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d1bc46ac77ef7ec/Escritorio/"/>
    </mc:Choice>
  </mc:AlternateContent>
  <xr:revisionPtr revIDLastSave="0" documentId="8_{9B673A4D-5D12-4118-B8E9-430462FFC55E}" xr6:coauthVersionLast="47" xr6:coauthVersionMax="47" xr10:uidLastSave="{00000000-0000-0000-0000-000000000000}"/>
  <bookViews>
    <workbookView xWindow="760" yWindow="760" windowWidth="14400" windowHeight="8170" tabRatio="815" xr2:uid="{00000000-000D-0000-FFFF-FFFF00000000}"/>
  </bookViews>
  <sheets>
    <sheet name="Escenario de Inversion" sheetId="64" r:id="rId1"/>
    <sheet name="Políticas" sheetId="68" r:id="rId2"/>
    <sheet name="Promos" sheetId="86" state="hidden" r:id="rId3"/>
    <sheet name="Macul View - Macul" sheetId="82" r:id="rId4"/>
    <sheet name="Datos" sheetId="63" state="hidden" r:id="rId5"/>
    <sheet name="Ñuñoa View - Ñuñoa" sheetId="83" r:id="rId6"/>
    <sheet name="Flujo Ñuñoa View" sheetId="84" state="hidden" r:id="rId7"/>
    <sheet name="Info RentaCorta" sheetId="85" state="hidden" r:id="rId8"/>
    <sheet name="SIMULACIÓN" sheetId="65" r:id="rId9"/>
    <sheet name="Hoja1" sheetId="56" state="hidden" r:id="rId10"/>
    <sheet name="UF HOY" sheetId="22" state="hidden" r:id="rId11"/>
  </sheets>
  <definedNames>
    <definedName name="_xlnm._FilterDatabase" localSheetId="3" hidden="1">'Macul View - Macul'!$A$1:$AE$285</definedName>
    <definedName name="_xlnm._FilterDatabase" localSheetId="5" hidden="1">'Ñuñoa View - Ñuñoa'!$A$1:$AE$32</definedName>
    <definedName name="_xleta.AND" hidden="1" xlm="1">#NAME?</definedName>
    <definedName name="_xleta.IF" hidden="1" xlm="1">#NAME?</definedName>
    <definedName name="_xleta.INFO" hidden="1" xlm="1">#NAME?</definedName>
    <definedName name="_xleta.OR" hidden="1" xlm="1">#NAME?</definedName>
    <definedName name="_xleta.TODAY" hidden="1" xlm="1">#NAME?</definedName>
    <definedName name="Base_orientación">#REF!</definedName>
    <definedName name="Base_piso">#REF!</definedName>
    <definedName name="Base_superficie">#REF!</definedName>
    <definedName name="Dpto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83" l="1"/>
  <c r="R3" i="83"/>
  <c r="N3" i="83" s="1"/>
  <c r="O4" i="83"/>
  <c r="R4" i="83" s="1"/>
  <c r="Q4" i="83" s="1"/>
  <c r="O5" i="83"/>
  <c r="R5" i="83" s="1"/>
  <c r="Q5" i="83" s="1"/>
  <c r="O6" i="83"/>
  <c r="O7" i="83"/>
  <c r="R7" i="83" s="1"/>
  <c r="Q7" i="83" s="1"/>
  <c r="O8" i="83"/>
  <c r="O9" i="83"/>
  <c r="R9" i="83"/>
  <c r="Q9" i="83" s="1"/>
  <c r="O10" i="83"/>
  <c r="N10" i="83" s="1"/>
  <c r="R10" i="83"/>
  <c r="Q10" i="83" s="1"/>
  <c r="O11" i="83"/>
  <c r="R11" i="83"/>
  <c r="N11" i="83" s="1"/>
  <c r="O12" i="83"/>
  <c r="O13" i="83"/>
  <c r="O14" i="83"/>
  <c r="R14" i="83"/>
  <c r="Q14" i="83" s="1"/>
  <c r="O15" i="83"/>
  <c r="R15" i="83"/>
  <c r="N15" i="83" s="1"/>
  <c r="O16" i="83"/>
  <c r="O17" i="83"/>
  <c r="O18" i="83"/>
  <c r="O19" i="83"/>
  <c r="R19" i="83" s="1"/>
  <c r="Q19" i="83" s="1"/>
  <c r="O20" i="83"/>
  <c r="O21" i="83"/>
  <c r="R21" i="83"/>
  <c r="Q21" i="83" s="1"/>
  <c r="O22" i="83"/>
  <c r="N22" i="83" s="1"/>
  <c r="R22" i="83"/>
  <c r="Q22" i="83" s="1"/>
  <c r="O23" i="83"/>
  <c r="R23" i="83"/>
  <c r="N23" i="83" s="1"/>
  <c r="O24" i="83"/>
  <c r="R24" i="83" s="1"/>
  <c r="Q24" i="83" s="1"/>
  <c r="O25" i="83"/>
  <c r="O26" i="83"/>
  <c r="R26" i="83"/>
  <c r="Q26" i="83" s="1"/>
  <c r="O27" i="83"/>
  <c r="R27" i="83" s="1"/>
  <c r="N27" i="83" s="1"/>
  <c r="O28" i="83"/>
  <c r="R28" i="83"/>
  <c r="Q28" i="83" s="1"/>
  <c r="O29" i="83"/>
  <c r="R29" i="83" s="1"/>
  <c r="Q29" i="83" s="1"/>
  <c r="O30" i="83"/>
  <c r="O31" i="83"/>
  <c r="R31" i="83" s="1"/>
  <c r="Q31" i="83" s="1"/>
  <c r="O32" i="83"/>
  <c r="N3" i="82"/>
  <c r="O3" i="82" s="1"/>
  <c r="AC3" i="82" s="1"/>
  <c r="AE3" i="82" s="1"/>
  <c r="N4" i="82"/>
  <c r="O4" i="82" s="1"/>
  <c r="AC4" i="82" s="1"/>
  <c r="AE4" i="82" s="1"/>
  <c r="N30" i="82"/>
  <c r="O30" i="82" s="1"/>
  <c r="AC30" i="82" s="1"/>
  <c r="AE30" i="82" s="1"/>
  <c r="N37" i="82"/>
  <c r="O37" i="82" s="1"/>
  <c r="AC37" i="82" s="1"/>
  <c r="AE37" i="82" s="1"/>
  <c r="N38" i="82"/>
  <c r="O38" i="82" s="1"/>
  <c r="AC38" i="82" s="1"/>
  <c r="AE38" i="82" s="1"/>
  <c r="N39" i="82"/>
  <c r="O39" i="82" s="1"/>
  <c r="AC39" i="82" s="1"/>
  <c r="AE39" i="82" s="1"/>
  <c r="N40" i="82"/>
  <c r="O40" i="82" s="1"/>
  <c r="AC40" i="82" s="1"/>
  <c r="AE40" i="82" s="1"/>
  <c r="N41" i="82"/>
  <c r="O41" i="82" s="1"/>
  <c r="AC41" i="82" s="1"/>
  <c r="AE41" i="82" s="1"/>
  <c r="N31" i="82"/>
  <c r="O31" i="82" s="1"/>
  <c r="AC31" i="82" s="1"/>
  <c r="AE31" i="82" s="1"/>
  <c r="N46" i="82"/>
  <c r="O46" i="82" s="1"/>
  <c r="AC46" i="82" s="1"/>
  <c r="AE46" i="82" s="1"/>
  <c r="N5" i="82"/>
  <c r="O5" i="82" s="1"/>
  <c r="AC5" i="82" s="1"/>
  <c r="AE5" i="82" s="1"/>
  <c r="N6" i="82"/>
  <c r="O6" i="82" s="1"/>
  <c r="AC6" i="82" s="1"/>
  <c r="AE6" i="82" s="1"/>
  <c r="N8" i="82"/>
  <c r="O8" i="82" s="1"/>
  <c r="AC8" i="82" s="1"/>
  <c r="AE8" i="82" s="1"/>
  <c r="N9" i="82"/>
  <c r="O9" i="82" s="1"/>
  <c r="AC9" i="82" s="1"/>
  <c r="AE9" i="82" s="1"/>
  <c r="N10" i="82"/>
  <c r="O10" i="82" s="1"/>
  <c r="AC10" i="82" s="1"/>
  <c r="AE10" i="82" s="1"/>
  <c r="N11" i="82"/>
  <c r="O11" i="82" s="1"/>
  <c r="AC11" i="82" s="1"/>
  <c r="AE11" i="82" s="1"/>
  <c r="N220" i="82"/>
  <c r="O220" i="82" s="1"/>
  <c r="AC220" i="82" s="1"/>
  <c r="AE220" i="82" s="1"/>
  <c r="N99" i="82"/>
  <c r="O99" i="82" s="1"/>
  <c r="AC99" i="82" s="1"/>
  <c r="AE99" i="82" s="1"/>
  <c r="N100" i="82"/>
  <c r="O100" i="82" s="1"/>
  <c r="AC100" i="82" s="1"/>
  <c r="AE100" i="82" s="1"/>
  <c r="N105" i="82"/>
  <c r="O105" i="82" s="1"/>
  <c r="AC105" i="82" s="1"/>
  <c r="AE105" i="82" s="1"/>
  <c r="N48" i="82"/>
  <c r="O48" i="82" s="1"/>
  <c r="AC48" i="82" s="1"/>
  <c r="AE48" i="82" s="1"/>
  <c r="N49" i="82"/>
  <c r="O49" i="82" s="1"/>
  <c r="AC49" i="82" s="1"/>
  <c r="AE49" i="82" s="1"/>
  <c r="N106" i="82"/>
  <c r="O106" i="82" s="1"/>
  <c r="AC106" i="82" s="1"/>
  <c r="AE106" i="82" s="1"/>
  <c r="N113" i="82"/>
  <c r="O113" i="82" s="1"/>
  <c r="AC113" i="82" s="1"/>
  <c r="AE113" i="82" s="1"/>
  <c r="N12" i="82"/>
  <c r="O12" i="82" s="1"/>
  <c r="AC12" i="82" s="1"/>
  <c r="AE12" i="82" s="1"/>
  <c r="N13" i="82"/>
  <c r="O13" i="82" s="1"/>
  <c r="AC13" i="82" s="1"/>
  <c r="AE13" i="82" s="1"/>
  <c r="N14" i="82"/>
  <c r="O14" i="82" s="1"/>
  <c r="AC14" i="82" s="1"/>
  <c r="AE14" i="82" s="1"/>
  <c r="N15" i="82"/>
  <c r="O15" i="82" s="1"/>
  <c r="AC15" i="82" s="1"/>
  <c r="AE15" i="82" s="1"/>
  <c r="N16" i="82"/>
  <c r="O16" i="82" s="1"/>
  <c r="AC16" i="82" s="1"/>
  <c r="AE16" i="82" s="1"/>
  <c r="N117" i="82"/>
  <c r="O117" i="82" s="1"/>
  <c r="AC117" i="82" s="1"/>
  <c r="AE117" i="82" s="1"/>
  <c r="N19" i="82"/>
  <c r="O19" i="82" s="1"/>
  <c r="AC19" i="82" s="1"/>
  <c r="AE19" i="82" s="1"/>
  <c r="N56" i="82"/>
  <c r="O56" i="82" s="1"/>
  <c r="AC56" i="82" s="1"/>
  <c r="AE56" i="82" s="1"/>
  <c r="N57" i="82"/>
  <c r="O57" i="82" s="1"/>
  <c r="AC57" i="82" s="1"/>
  <c r="AE57" i="82" s="1"/>
  <c r="N58" i="82"/>
  <c r="O58" i="82" s="1"/>
  <c r="AC58" i="82" s="1"/>
  <c r="AE58" i="82" s="1"/>
  <c r="N207" i="82"/>
  <c r="O207" i="82" s="1"/>
  <c r="AC207" i="82" s="1"/>
  <c r="AE207" i="82" s="1"/>
  <c r="N55" i="82"/>
  <c r="O55" i="82" s="1"/>
  <c r="AC55" i="82" s="1"/>
  <c r="AE55" i="82" s="1"/>
  <c r="N59" i="82"/>
  <c r="O59" i="82" s="1"/>
  <c r="AC59" i="82" s="1"/>
  <c r="AE59" i="82" s="1"/>
  <c r="N136" i="82"/>
  <c r="O136" i="82" s="1"/>
  <c r="AC136" i="82" s="1"/>
  <c r="AE136" i="82" s="1"/>
  <c r="N222" i="82"/>
  <c r="O222" i="82" s="1"/>
  <c r="AC222" i="82" s="1"/>
  <c r="AE222" i="82" s="1"/>
  <c r="N17" i="82"/>
  <c r="O17" i="82" s="1"/>
  <c r="AC17" i="82" s="1"/>
  <c r="AE17" i="82" s="1"/>
  <c r="N18" i="82"/>
  <c r="O18" i="82" s="1"/>
  <c r="AC18" i="82" s="1"/>
  <c r="AE18" i="82" s="1"/>
  <c r="N20" i="82"/>
  <c r="O20" i="82" s="1"/>
  <c r="AC20" i="82" s="1"/>
  <c r="AE20" i="82" s="1"/>
  <c r="N21" i="82"/>
  <c r="O21" i="82" s="1"/>
  <c r="AC21" i="82" s="1"/>
  <c r="AE21" i="82" s="1"/>
  <c r="N22" i="82"/>
  <c r="O22" i="82" s="1"/>
  <c r="AC22" i="82" s="1"/>
  <c r="AE22" i="82" s="1"/>
  <c r="N23" i="82"/>
  <c r="O23" i="82" s="1"/>
  <c r="AC23" i="82" s="1"/>
  <c r="AE23" i="82" s="1"/>
  <c r="N142" i="82"/>
  <c r="O142" i="82" s="1"/>
  <c r="AC142" i="82" s="1"/>
  <c r="AE142" i="82" s="1"/>
  <c r="N24" i="82"/>
  <c r="O24" i="82" s="1"/>
  <c r="AC24" i="82" s="1"/>
  <c r="AE24" i="82" s="1"/>
  <c r="N73" i="82"/>
  <c r="O73" i="82" s="1"/>
  <c r="AC73" i="82" s="1"/>
  <c r="AE73" i="82" s="1"/>
  <c r="N74" i="82"/>
  <c r="O74" i="82" s="1"/>
  <c r="AC74" i="82" s="1"/>
  <c r="AE74" i="82" s="1"/>
  <c r="N75" i="82"/>
  <c r="O75" i="82" s="1"/>
  <c r="AC75" i="82" s="1"/>
  <c r="AE75" i="82" s="1"/>
  <c r="N208" i="82"/>
  <c r="O208" i="82" s="1"/>
  <c r="AC208" i="82" s="1"/>
  <c r="AE208" i="82" s="1"/>
  <c r="N76" i="82"/>
  <c r="O76" i="82" s="1"/>
  <c r="AC76" i="82" s="1"/>
  <c r="AE76" i="82" s="1"/>
  <c r="N77" i="82"/>
  <c r="O77" i="82" s="1"/>
  <c r="AC77" i="82" s="1"/>
  <c r="AE77" i="82" s="1"/>
  <c r="N139" i="82"/>
  <c r="O139" i="82" s="1"/>
  <c r="AC139" i="82" s="1"/>
  <c r="AE139" i="82" s="1"/>
  <c r="N144" i="82"/>
  <c r="O144" i="82" s="1"/>
  <c r="AC144" i="82" s="1"/>
  <c r="AE144" i="82" s="1"/>
  <c r="N60" i="82"/>
  <c r="O60" i="82" s="1"/>
  <c r="AC60" i="82" s="1"/>
  <c r="AE60" i="82" s="1"/>
  <c r="N78" i="82"/>
  <c r="O78" i="82" s="1"/>
  <c r="AC78" i="82" s="1"/>
  <c r="AE78" i="82" s="1"/>
  <c r="N25" i="82"/>
  <c r="O25" i="82" s="1"/>
  <c r="AC25" i="82" s="1"/>
  <c r="AE25" i="82" s="1"/>
  <c r="N26" i="82"/>
  <c r="O26" i="82" s="1"/>
  <c r="AC26" i="82" s="1"/>
  <c r="AE26" i="82" s="1"/>
  <c r="N27" i="82"/>
  <c r="O27" i="82" s="1"/>
  <c r="AC27" i="82" s="1"/>
  <c r="AE27" i="82" s="1"/>
  <c r="N28" i="82"/>
  <c r="O28" i="82" s="1"/>
  <c r="AC28" i="82" s="1"/>
  <c r="AE28" i="82" s="1"/>
  <c r="N225" i="82"/>
  <c r="O225" i="82" s="1"/>
  <c r="AC225" i="82" s="1"/>
  <c r="AE225" i="82" s="1"/>
  <c r="N145" i="82"/>
  <c r="O145" i="82" s="1"/>
  <c r="AC145" i="82" s="1"/>
  <c r="AE145" i="82" s="1"/>
  <c r="N90" i="82"/>
  <c r="O90" i="82" s="1"/>
  <c r="AC90" i="82" s="1"/>
  <c r="AE90" i="82" s="1"/>
  <c r="N32" i="82"/>
  <c r="O32" i="82" s="1"/>
  <c r="AC32" i="82" s="1"/>
  <c r="AE32" i="82" s="1"/>
  <c r="N85" i="82"/>
  <c r="O85" i="82" s="1"/>
  <c r="AC85" i="82" s="1"/>
  <c r="AE85" i="82" s="1"/>
  <c r="N86" i="82"/>
  <c r="O86" i="82" s="1"/>
  <c r="AC86" i="82" s="1"/>
  <c r="AE86" i="82" s="1"/>
  <c r="N87" i="82"/>
  <c r="O87" i="82" s="1"/>
  <c r="AC87" i="82" s="1"/>
  <c r="AE87" i="82" s="1"/>
  <c r="N88" i="82"/>
  <c r="O88" i="82" s="1"/>
  <c r="AC88" i="82" s="1"/>
  <c r="AE88" i="82" s="1"/>
  <c r="N146" i="82"/>
  <c r="O146" i="82" s="1"/>
  <c r="AC146" i="82" s="1"/>
  <c r="AE146" i="82" s="1"/>
  <c r="N147" i="82"/>
  <c r="O147" i="82" s="1"/>
  <c r="AC147" i="82" s="1"/>
  <c r="AE147" i="82" s="1"/>
  <c r="N29" i="82"/>
  <c r="O29" i="82" s="1"/>
  <c r="AC29" i="82" s="1"/>
  <c r="AE29" i="82" s="1"/>
  <c r="N89" i="82"/>
  <c r="O89" i="82" s="1"/>
  <c r="AC89" i="82" s="1"/>
  <c r="AE89" i="82" s="1"/>
  <c r="N33" i="82"/>
  <c r="O33" i="82" s="1"/>
  <c r="AC33" i="82" s="1"/>
  <c r="AE33" i="82" s="1"/>
  <c r="N34" i="82"/>
  <c r="O34" i="82" s="1"/>
  <c r="AC34" i="82" s="1"/>
  <c r="AE34" i="82" s="1"/>
  <c r="N35" i="82"/>
  <c r="O35" i="82" s="1"/>
  <c r="AC35" i="82" s="1"/>
  <c r="AE35" i="82" s="1"/>
  <c r="N150" i="82"/>
  <c r="O150" i="82" s="1"/>
  <c r="AC150" i="82" s="1"/>
  <c r="AE150" i="82" s="1"/>
  <c r="N148" i="82"/>
  <c r="O148" i="82" s="1"/>
  <c r="AC148" i="82" s="1"/>
  <c r="AE148" i="82" s="1"/>
  <c r="N102" i="82"/>
  <c r="O102" i="82" s="1"/>
  <c r="AC102" i="82" s="1"/>
  <c r="AE102" i="82" s="1"/>
  <c r="N97" i="82"/>
  <c r="O97" i="82" s="1"/>
  <c r="AC97" i="82" s="1"/>
  <c r="AE97" i="82" s="1"/>
  <c r="N149" i="82"/>
  <c r="O149" i="82" s="1"/>
  <c r="AC149" i="82" s="1"/>
  <c r="AE149" i="82" s="1"/>
  <c r="N47" i="82"/>
  <c r="O47" i="82" s="1"/>
  <c r="AC47" i="82" s="1"/>
  <c r="AE47" i="82" s="1"/>
  <c r="N151" i="82"/>
  <c r="O151" i="82" s="1"/>
  <c r="AC151" i="82" s="1"/>
  <c r="AE151" i="82" s="1"/>
  <c r="N98" i="82"/>
  <c r="O98" i="82" s="1"/>
  <c r="AC98" i="82" s="1"/>
  <c r="AE98" i="82" s="1"/>
  <c r="N152" i="82"/>
  <c r="O152" i="82" s="1"/>
  <c r="AC152" i="82" s="1"/>
  <c r="AE152" i="82" s="1"/>
  <c r="N153" i="82"/>
  <c r="O153" i="82" s="1"/>
  <c r="AC153" i="82" s="1"/>
  <c r="AE153" i="82" s="1"/>
  <c r="N36" i="82"/>
  <c r="O36" i="82" s="1"/>
  <c r="AC36" i="82" s="1"/>
  <c r="AE36" i="82" s="1"/>
  <c r="N101" i="82"/>
  <c r="O101" i="82" s="1"/>
  <c r="AC101" i="82" s="1"/>
  <c r="AE101" i="82" s="1"/>
  <c r="N42" i="82"/>
  <c r="O42" i="82" s="1"/>
  <c r="AC42" i="82" s="1"/>
  <c r="AE42" i="82" s="1"/>
  <c r="N43" i="82"/>
  <c r="O43" i="82" s="1"/>
  <c r="AC43" i="82" s="1"/>
  <c r="AE43" i="82" s="1"/>
  <c r="N44" i="82"/>
  <c r="O44" i="82" s="1"/>
  <c r="AC44" i="82" s="1"/>
  <c r="AE44" i="82" s="1"/>
  <c r="N45" i="82"/>
  <c r="O45" i="82" s="1"/>
  <c r="AC45" i="82" s="1"/>
  <c r="AE45" i="82" s="1"/>
  <c r="N229" i="82"/>
  <c r="O229" i="82" s="1"/>
  <c r="AC229" i="82" s="1"/>
  <c r="AE229" i="82" s="1"/>
  <c r="N154" i="82"/>
  <c r="O154" i="82" s="1"/>
  <c r="AC154" i="82" s="1"/>
  <c r="AE154" i="82" s="1"/>
  <c r="N155" i="82"/>
  <c r="O155" i="82" s="1"/>
  <c r="AC155" i="82" s="1"/>
  <c r="AE155" i="82" s="1"/>
  <c r="N109" i="82"/>
  <c r="O109" i="82" s="1"/>
  <c r="AC109" i="82" s="1"/>
  <c r="AE109" i="82" s="1"/>
  <c r="N110" i="82"/>
  <c r="O110" i="82" s="1"/>
  <c r="AC110" i="82" s="1"/>
  <c r="AE110" i="82" s="1"/>
  <c r="N111" i="82"/>
  <c r="O111" i="82" s="1"/>
  <c r="AC111" i="82" s="1"/>
  <c r="AE111" i="82" s="1"/>
  <c r="N112" i="82"/>
  <c r="O112" i="82" s="1"/>
  <c r="AC112" i="82" s="1"/>
  <c r="AE112" i="82" s="1"/>
  <c r="N156" i="82"/>
  <c r="O156" i="82" s="1"/>
  <c r="AC156" i="82" s="1"/>
  <c r="AE156" i="82" s="1"/>
  <c r="N157" i="82"/>
  <c r="O157" i="82" s="1"/>
  <c r="AC157" i="82" s="1"/>
  <c r="AE157" i="82" s="1"/>
  <c r="N158" i="82"/>
  <c r="O158" i="82" s="1"/>
  <c r="AC158" i="82" s="1"/>
  <c r="AE158" i="82" s="1"/>
  <c r="N50" i="82"/>
  <c r="O50" i="82" s="1"/>
  <c r="AC50" i="82" s="1"/>
  <c r="AE50" i="82" s="1"/>
  <c r="N51" i="82"/>
  <c r="O51" i="82" s="1"/>
  <c r="AC51" i="82" s="1"/>
  <c r="AE51" i="82" s="1"/>
  <c r="N54" i="82"/>
  <c r="O54" i="82" s="1"/>
  <c r="AC54" i="82" s="1"/>
  <c r="AE54" i="82" s="1"/>
  <c r="N52" i="82"/>
  <c r="O52" i="82" s="1"/>
  <c r="AC52" i="82" s="1"/>
  <c r="AE52" i="82" s="1"/>
  <c r="N53" i="82"/>
  <c r="O53" i="82" s="1"/>
  <c r="AC53" i="82" s="1"/>
  <c r="AE53" i="82" s="1"/>
  <c r="N159" i="82"/>
  <c r="O159" i="82" s="1"/>
  <c r="AC159" i="82" s="1"/>
  <c r="AE159" i="82" s="1"/>
  <c r="N160" i="82"/>
  <c r="O160" i="82" s="1"/>
  <c r="AC160" i="82" s="1"/>
  <c r="AE160" i="82" s="1"/>
  <c r="N125" i="82"/>
  <c r="O125" i="82" s="1"/>
  <c r="AC125" i="82" s="1"/>
  <c r="AE125" i="82" s="1"/>
  <c r="N120" i="82"/>
  <c r="O120" i="82" s="1"/>
  <c r="AC120" i="82" s="1"/>
  <c r="AE120" i="82" s="1"/>
  <c r="N121" i="82"/>
  <c r="O121" i="82" s="1"/>
  <c r="AC121" i="82" s="1"/>
  <c r="AE121" i="82" s="1"/>
  <c r="N61" i="82"/>
  <c r="O61" i="82" s="1"/>
  <c r="AC61" i="82" s="1"/>
  <c r="AE61" i="82" s="1"/>
  <c r="N210" i="82"/>
  <c r="O210" i="82" s="1"/>
  <c r="AC210" i="82" s="1"/>
  <c r="AE210" i="82" s="1"/>
  <c r="N122" i="82"/>
  <c r="O122" i="82" s="1"/>
  <c r="AC122" i="82" s="1"/>
  <c r="AE122" i="82" s="1"/>
  <c r="N123" i="82"/>
  <c r="O123" i="82" s="1"/>
  <c r="AC123" i="82" s="1"/>
  <c r="AE123" i="82" s="1"/>
  <c r="N162" i="82"/>
  <c r="O162" i="82" s="1"/>
  <c r="AC162" i="82" s="1"/>
  <c r="AE162" i="82" s="1"/>
  <c r="N163" i="82"/>
  <c r="O163" i="82" s="1"/>
  <c r="AC163" i="82" s="1"/>
  <c r="AE163" i="82" s="1"/>
  <c r="N7" i="82"/>
  <c r="O7" i="82" s="1"/>
  <c r="AC7" i="82" s="1"/>
  <c r="AE7" i="82" s="1"/>
  <c r="N124" i="82"/>
  <c r="O124" i="82" s="1"/>
  <c r="AC124" i="82" s="1"/>
  <c r="AE124" i="82" s="1"/>
  <c r="N62" i="82"/>
  <c r="O62" i="82" s="1"/>
  <c r="AC62" i="82" s="1"/>
  <c r="AE62" i="82" s="1"/>
  <c r="N63" i="82"/>
  <c r="O63" i="82" s="1"/>
  <c r="AC63" i="82" s="1"/>
  <c r="AE63" i="82" s="1"/>
  <c r="N64" i="82"/>
  <c r="O64" i="82" s="1"/>
  <c r="AC64" i="82" s="1"/>
  <c r="AE64" i="82" s="1"/>
  <c r="N65" i="82"/>
  <c r="O65" i="82" s="1"/>
  <c r="AC65" i="82" s="1"/>
  <c r="AE65" i="82" s="1"/>
  <c r="N164" i="82"/>
  <c r="O164" i="82" s="1"/>
  <c r="AC164" i="82" s="1"/>
  <c r="AE164" i="82" s="1"/>
  <c r="N165" i="82"/>
  <c r="O165" i="82" s="1"/>
  <c r="AC165" i="82" s="1"/>
  <c r="AE165" i="82" s="1"/>
  <c r="N135" i="82"/>
  <c r="O135" i="82" s="1"/>
  <c r="AC135" i="82" s="1"/>
  <c r="AE135" i="82" s="1"/>
  <c r="N132" i="82"/>
  <c r="O132" i="82" s="1"/>
  <c r="AC132" i="82" s="1"/>
  <c r="AE132" i="82" s="1"/>
  <c r="N133" i="82"/>
  <c r="O133" i="82" s="1"/>
  <c r="AC133" i="82" s="1"/>
  <c r="AE133" i="82" s="1"/>
  <c r="N134" i="82"/>
  <c r="O134" i="82" s="1"/>
  <c r="AC134" i="82" s="1"/>
  <c r="AE134" i="82" s="1"/>
  <c r="N211" i="82"/>
  <c r="O211" i="82" s="1"/>
  <c r="AC211" i="82" s="1"/>
  <c r="AE211" i="82" s="1"/>
  <c r="N137" i="82"/>
  <c r="O137" i="82" s="1"/>
  <c r="AC137" i="82" s="1"/>
  <c r="AE137" i="82" s="1"/>
  <c r="N166" i="82"/>
  <c r="O166" i="82" s="1"/>
  <c r="AC166" i="82" s="1"/>
  <c r="AE166" i="82" s="1"/>
  <c r="N167" i="82"/>
  <c r="O167" i="82" s="1"/>
  <c r="AC167" i="82" s="1"/>
  <c r="AE167" i="82" s="1"/>
  <c r="N168" i="82"/>
  <c r="O168" i="82" s="1"/>
  <c r="AC168" i="82" s="1"/>
  <c r="AE168" i="82" s="1"/>
  <c r="N66" i="82"/>
  <c r="O66" i="82" s="1"/>
  <c r="AC66" i="82" s="1"/>
  <c r="AE66" i="82" s="1"/>
  <c r="N67" i="82"/>
  <c r="O67" i="82" s="1"/>
  <c r="AC67" i="82" s="1"/>
  <c r="AE67" i="82" s="1"/>
  <c r="N68" i="82"/>
  <c r="O68" i="82" s="1"/>
  <c r="AC68" i="82" s="1"/>
  <c r="AE68" i="82" s="1"/>
  <c r="N69" i="82"/>
  <c r="O69" i="82" s="1"/>
  <c r="AC69" i="82" s="1"/>
  <c r="AE69" i="82" s="1"/>
  <c r="N72" i="82"/>
  <c r="O72" i="82" s="1"/>
  <c r="AC72" i="82" s="1"/>
  <c r="AE72" i="82" s="1"/>
  <c r="N70" i="82"/>
  <c r="O70" i="82" s="1"/>
  <c r="AC70" i="82" s="1"/>
  <c r="AE70" i="82" s="1"/>
  <c r="N169" i="82"/>
  <c r="O169" i="82" s="1"/>
  <c r="AC169" i="82" s="1"/>
  <c r="AE169" i="82" s="1"/>
  <c r="N170" i="82"/>
  <c r="O170" i="82" s="1"/>
  <c r="AC170" i="82" s="1"/>
  <c r="AE170" i="82" s="1"/>
  <c r="N171" i="82"/>
  <c r="O171" i="82" s="1"/>
  <c r="AC171" i="82" s="1"/>
  <c r="AE171" i="82" s="1"/>
  <c r="N140" i="82"/>
  <c r="O140" i="82" s="1"/>
  <c r="AC140" i="82" s="1"/>
  <c r="AE140" i="82" s="1"/>
  <c r="N141" i="82"/>
  <c r="O141" i="82" s="1"/>
  <c r="AC141" i="82" s="1"/>
  <c r="AE141" i="82" s="1"/>
  <c r="N79" i="82"/>
  <c r="O79" i="82" s="1"/>
  <c r="AC79" i="82" s="1"/>
  <c r="AE79" i="82" s="1"/>
  <c r="N212" i="82"/>
  <c r="O212" i="82" s="1"/>
  <c r="AC212" i="82" s="1"/>
  <c r="AE212" i="82" s="1"/>
  <c r="N172" i="82"/>
  <c r="O172" i="82" s="1"/>
  <c r="AC172" i="82" s="1"/>
  <c r="AE172" i="82" s="1"/>
  <c r="N173" i="82"/>
  <c r="O173" i="82" s="1"/>
  <c r="AC173" i="82" s="1"/>
  <c r="AE173" i="82" s="1"/>
  <c r="N174" i="82"/>
  <c r="O174" i="82" s="1"/>
  <c r="AC174" i="82" s="1"/>
  <c r="AE174" i="82" s="1"/>
  <c r="N175" i="82"/>
  <c r="O175" i="82" s="1"/>
  <c r="AC175" i="82" s="1"/>
  <c r="AE175" i="82" s="1"/>
  <c r="N71" i="82"/>
  <c r="O71" i="82" s="1"/>
  <c r="AC71" i="82" s="1"/>
  <c r="AE71" i="82" s="1"/>
  <c r="N143" i="82"/>
  <c r="O143" i="82" s="1"/>
  <c r="AC143" i="82" s="1"/>
  <c r="AE143" i="82" s="1"/>
  <c r="N80" i="82"/>
  <c r="O80" i="82" s="1"/>
  <c r="AC80" i="82" s="1"/>
  <c r="AE80" i="82" s="1"/>
  <c r="N81" i="82"/>
  <c r="O81" i="82" s="1"/>
  <c r="AC81" i="82" s="1"/>
  <c r="AE81" i="82" s="1"/>
  <c r="N82" i="82"/>
  <c r="O82" i="82" s="1"/>
  <c r="AC82" i="82" s="1"/>
  <c r="AE82" i="82" s="1"/>
  <c r="N83" i="82"/>
  <c r="O83" i="82" s="1"/>
  <c r="AC83" i="82" s="1"/>
  <c r="AE83" i="82" s="1"/>
  <c r="N176" i="82"/>
  <c r="O176" i="82" s="1"/>
  <c r="AC176" i="82" s="1"/>
  <c r="AE176" i="82" s="1"/>
  <c r="N177" i="82"/>
  <c r="O177" i="82" s="1"/>
  <c r="AC177" i="82" s="1"/>
  <c r="AE177" i="82" s="1"/>
  <c r="N178" i="82"/>
  <c r="O178" i="82" s="1"/>
  <c r="AC178" i="82" s="1"/>
  <c r="AE178" i="82" s="1"/>
  <c r="N179" i="82"/>
  <c r="O179" i="82" s="1"/>
  <c r="AC179" i="82" s="1"/>
  <c r="AE179" i="82" s="1"/>
  <c r="N180" i="82"/>
  <c r="O180" i="82" s="1"/>
  <c r="AC180" i="82" s="1"/>
  <c r="AE180" i="82" s="1"/>
  <c r="N181" i="82"/>
  <c r="O181" i="82" s="1"/>
  <c r="AC181" i="82" s="1"/>
  <c r="AE181" i="82" s="1"/>
  <c r="N213" i="82"/>
  <c r="O213" i="82" s="1"/>
  <c r="AC213" i="82" s="1"/>
  <c r="AE213" i="82" s="1"/>
  <c r="N182" i="82"/>
  <c r="O182" i="82" s="1"/>
  <c r="AC182" i="82" s="1"/>
  <c r="AE182" i="82" s="1"/>
  <c r="N183" i="82"/>
  <c r="O183" i="82" s="1"/>
  <c r="AC183" i="82" s="1"/>
  <c r="AE183" i="82" s="1"/>
  <c r="N184" i="82"/>
  <c r="O184" i="82" s="1"/>
  <c r="AC184" i="82" s="1"/>
  <c r="AE184" i="82" s="1"/>
  <c r="N185" i="82"/>
  <c r="O185" i="82" s="1"/>
  <c r="AC185" i="82" s="1"/>
  <c r="AE185" i="82" s="1"/>
  <c r="N84" i="82"/>
  <c r="O84" i="82" s="1"/>
  <c r="AC84" i="82" s="1"/>
  <c r="AE84" i="82" s="1"/>
  <c r="N91" i="82"/>
  <c r="O91" i="82" s="1"/>
  <c r="AC91" i="82" s="1"/>
  <c r="AE91" i="82" s="1"/>
  <c r="N92" i="82"/>
  <c r="O92" i="82" s="1"/>
  <c r="AC92" i="82" s="1"/>
  <c r="AE92" i="82" s="1"/>
  <c r="N93" i="82"/>
  <c r="O93" i="82" s="1"/>
  <c r="AC93" i="82" s="1"/>
  <c r="AE93" i="82" s="1"/>
  <c r="N96" i="82"/>
  <c r="O96" i="82" s="1"/>
  <c r="AC96" i="82" s="1"/>
  <c r="AE96" i="82" s="1"/>
  <c r="N94" i="82"/>
  <c r="O94" i="82" s="1"/>
  <c r="AC94" i="82" s="1"/>
  <c r="AE94" i="82" s="1"/>
  <c r="N186" i="82"/>
  <c r="O186" i="82" s="1"/>
  <c r="AC186" i="82" s="1"/>
  <c r="AE186" i="82" s="1"/>
  <c r="N187" i="82"/>
  <c r="O187" i="82" s="1"/>
  <c r="AC187" i="82" s="1"/>
  <c r="AE187" i="82" s="1"/>
  <c r="N188" i="82"/>
  <c r="O188" i="82" s="1"/>
  <c r="AC188" i="82" s="1"/>
  <c r="AE188" i="82" s="1"/>
  <c r="N161" i="82"/>
  <c r="O161" i="82" s="1"/>
  <c r="AC161" i="82" s="1"/>
  <c r="AE161" i="82" s="1"/>
  <c r="N189" i="82"/>
  <c r="O189" i="82" s="1"/>
  <c r="AC189" i="82" s="1"/>
  <c r="AE189" i="82" s="1"/>
  <c r="N190" i="82"/>
  <c r="O190" i="82" s="1"/>
  <c r="AC190" i="82" s="1"/>
  <c r="AE190" i="82" s="1"/>
  <c r="N209" i="82"/>
  <c r="O209" i="82" s="1"/>
  <c r="AC209" i="82" s="1"/>
  <c r="AE209" i="82" s="1"/>
  <c r="N191" i="82"/>
  <c r="O191" i="82" s="1"/>
  <c r="AC191" i="82" s="1"/>
  <c r="AE191" i="82" s="1"/>
  <c r="N192" i="82"/>
  <c r="O192" i="82" s="1"/>
  <c r="AC192" i="82" s="1"/>
  <c r="AE192" i="82" s="1"/>
  <c r="N193" i="82"/>
  <c r="O193" i="82" s="1"/>
  <c r="AC193" i="82" s="1"/>
  <c r="AE193" i="82" s="1"/>
  <c r="N194" i="82"/>
  <c r="O194" i="82" s="1"/>
  <c r="AC194" i="82" s="1"/>
  <c r="AE194" i="82" s="1"/>
  <c r="N95" i="82"/>
  <c r="O95" i="82" s="1"/>
  <c r="AC95" i="82" s="1"/>
  <c r="AE95" i="82" s="1"/>
  <c r="N103" i="82"/>
  <c r="O103" i="82" s="1"/>
  <c r="AC103" i="82" s="1"/>
  <c r="AE103" i="82" s="1"/>
  <c r="N104" i="82"/>
  <c r="O104" i="82" s="1"/>
  <c r="AC104" i="82" s="1"/>
  <c r="AE104" i="82" s="1"/>
  <c r="N195" i="82"/>
  <c r="O195" i="82" s="1"/>
  <c r="AC195" i="82" s="1"/>
  <c r="AE195" i="82" s="1"/>
  <c r="N196" i="82"/>
  <c r="O196" i="82" s="1"/>
  <c r="AC196" i="82" s="1"/>
  <c r="AE196" i="82" s="1"/>
  <c r="N107" i="82"/>
  <c r="O107" i="82" s="1"/>
  <c r="AC107" i="82" s="1"/>
  <c r="AE107" i="82" s="1"/>
  <c r="N197" i="82"/>
  <c r="O197" i="82" s="1"/>
  <c r="AC197" i="82" s="1"/>
  <c r="AE197" i="82" s="1"/>
  <c r="N198" i="82"/>
  <c r="O198" i="82" s="1"/>
  <c r="AC198" i="82" s="1"/>
  <c r="AE198" i="82" s="1"/>
  <c r="N199" i="82"/>
  <c r="O199" i="82" s="1"/>
  <c r="AC199" i="82" s="1"/>
  <c r="AE199" i="82" s="1"/>
  <c r="N200" i="82"/>
  <c r="O200" i="82" s="1"/>
  <c r="AC200" i="82" s="1"/>
  <c r="AE200" i="82" s="1"/>
  <c r="N201" i="82"/>
  <c r="O201" i="82" s="1"/>
  <c r="AC201" i="82" s="1"/>
  <c r="AE201" i="82" s="1"/>
  <c r="N202" i="82"/>
  <c r="O202" i="82" s="1"/>
  <c r="AC202" i="82" s="1"/>
  <c r="AE202" i="82" s="1"/>
  <c r="N214" i="82"/>
  <c r="O214" i="82" s="1"/>
  <c r="AC214" i="82" s="1"/>
  <c r="AE214" i="82" s="1"/>
  <c r="N203" i="82"/>
  <c r="O203" i="82" s="1"/>
  <c r="AC203" i="82" s="1"/>
  <c r="AE203" i="82" s="1"/>
  <c r="N204" i="82"/>
  <c r="O204" i="82" s="1"/>
  <c r="AC204" i="82" s="1"/>
  <c r="AE204" i="82" s="1"/>
  <c r="N205" i="82"/>
  <c r="O205" i="82" s="1"/>
  <c r="AC205" i="82" s="1"/>
  <c r="AE205" i="82" s="1"/>
  <c r="N206" i="82"/>
  <c r="O206" i="82" s="1"/>
  <c r="AC206" i="82" s="1"/>
  <c r="AE206" i="82" s="1"/>
  <c r="N108" i="82"/>
  <c r="O108" i="82" s="1"/>
  <c r="AC108" i="82" s="1"/>
  <c r="AE108" i="82" s="1"/>
  <c r="N114" i="82"/>
  <c r="O114" i="82" s="1"/>
  <c r="AC114" i="82" s="1"/>
  <c r="AE114" i="82" s="1"/>
  <c r="N115" i="82"/>
  <c r="O115" i="82" s="1"/>
  <c r="AC115" i="82" s="1"/>
  <c r="AE115" i="82" s="1"/>
  <c r="N116" i="82"/>
  <c r="O116" i="82" s="1"/>
  <c r="AC116" i="82" s="1"/>
  <c r="AE116" i="82" s="1"/>
  <c r="N216" i="82"/>
  <c r="O216" i="82" s="1"/>
  <c r="AC216" i="82" s="1"/>
  <c r="AE216" i="82" s="1"/>
  <c r="N118" i="82"/>
  <c r="O118" i="82" s="1"/>
  <c r="AC118" i="82" s="1"/>
  <c r="AE118" i="82" s="1"/>
  <c r="N217" i="82"/>
  <c r="O217" i="82" s="1"/>
  <c r="AC217" i="82" s="1"/>
  <c r="AE217" i="82" s="1"/>
  <c r="N218" i="82"/>
  <c r="O218" i="82" s="1"/>
  <c r="AC218" i="82" s="1"/>
  <c r="AE218" i="82" s="1"/>
  <c r="N219" i="82"/>
  <c r="O219" i="82" s="1"/>
  <c r="AC219" i="82" s="1"/>
  <c r="AE219" i="82" s="1"/>
  <c r="N221" i="82"/>
  <c r="O221" i="82" s="1"/>
  <c r="AC221" i="82" s="1"/>
  <c r="AE221" i="82" s="1"/>
  <c r="N223" i="82"/>
  <c r="O223" i="82" s="1"/>
  <c r="AC223" i="82" s="1"/>
  <c r="AE223" i="82" s="1"/>
  <c r="N224" i="82"/>
  <c r="O224" i="82" s="1"/>
  <c r="AC224" i="82" s="1"/>
  <c r="AE224" i="82" s="1"/>
  <c r="N215" i="82"/>
  <c r="O215" i="82" s="1"/>
  <c r="AC215" i="82" s="1"/>
  <c r="AE215" i="82" s="1"/>
  <c r="N226" i="82"/>
  <c r="O226" i="82" s="1"/>
  <c r="AC226" i="82" s="1"/>
  <c r="AE226" i="82" s="1"/>
  <c r="N227" i="82"/>
  <c r="O227" i="82" s="1"/>
  <c r="AC227" i="82" s="1"/>
  <c r="AE227" i="82" s="1"/>
  <c r="N228" i="82"/>
  <c r="O228" i="82" s="1"/>
  <c r="AC228" i="82" s="1"/>
  <c r="AE228" i="82" s="1"/>
  <c r="N230" i="82"/>
  <c r="O230" i="82" s="1"/>
  <c r="AC230" i="82" s="1"/>
  <c r="AE230" i="82" s="1"/>
  <c r="N119" i="82"/>
  <c r="O119" i="82" s="1"/>
  <c r="AC119" i="82" s="1"/>
  <c r="AE119" i="82" s="1"/>
  <c r="N126" i="82"/>
  <c r="O126" i="82" s="1"/>
  <c r="AC126" i="82" s="1"/>
  <c r="AE126" i="82" s="1"/>
  <c r="N127" i="82"/>
  <c r="O127" i="82" s="1"/>
  <c r="AC127" i="82" s="1"/>
  <c r="AE127" i="82" s="1"/>
  <c r="N129" i="82"/>
  <c r="O129" i="82" s="1"/>
  <c r="AC129" i="82" s="1"/>
  <c r="AE129" i="82" s="1"/>
  <c r="N128" i="82"/>
  <c r="O128" i="82" s="1"/>
  <c r="AC128" i="82" s="1"/>
  <c r="AE128" i="82" s="1"/>
  <c r="N130" i="82"/>
  <c r="O130" i="82" s="1"/>
  <c r="AC130" i="82" s="1"/>
  <c r="AE130" i="82" s="1"/>
  <c r="N231" i="82"/>
  <c r="O231" i="82" s="1"/>
  <c r="AC231" i="82" s="1"/>
  <c r="AE231" i="82" s="1"/>
  <c r="N232" i="82"/>
  <c r="O232" i="82" s="1"/>
  <c r="AC232" i="82" s="1"/>
  <c r="AE232" i="82" s="1"/>
  <c r="N233" i="82"/>
  <c r="O233" i="82" s="1"/>
  <c r="AC233" i="82" s="1"/>
  <c r="AE233" i="82" s="1"/>
  <c r="N234" i="82"/>
  <c r="O234" i="82" s="1"/>
  <c r="AC234" i="82" s="1"/>
  <c r="AE234" i="82" s="1"/>
  <c r="N235" i="82"/>
  <c r="O235" i="82" s="1"/>
  <c r="AC235" i="82" s="1"/>
  <c r="AE235" i="82" s="1"/>
  <c r="N236" i="82"/>
  <c r="O236" i="82" s="1"/>
  <c r="AC236" i="82" s="1"/>
  <c r="AE236" i="82" s="1"/>
  <c r="N237" i="82"/>
  <c r="O237" i="82" s="1"/>
  <c r="AC237" i="82" s="1"/>
  <c r="AE237" i="82" s="1"/>
  <c r="N238" i="82"/>
  <c r="O238" i="82" s="1"/>
  <c r="AC238" i="82" s="1"/>
  <c r="AE238" i="82" s="1"/>
  <c r="N239" i="82"/>
  <c r="O239" i="82" s="1"/>
  <c r="AC239" i="82" s="1"/>
  <c r="AE239" i="82" s="1"/>
  <c r="N240" i="82"/>
  <c r="O240" i="82" s="1"/>
  <c r="AC240" i="82" s="1"/>
  <c r="AE240" i="82" s="1"/>
  <c r="N241" i="82"/>
  <c r="O241" i="82" s="1"/>
  <c r="AC241" i="82" s="1"/>
  <c r="AE241" i="82" s="1"/>
  <c r="N131" i="82"/>
  <c r="O131" i="82" s="1"/>
  <c r="AC131" i="82" s="1"/>
  <c r="AE131" i="82" s="1"/>
  <c r="N138" i="82"/>
  <c r="O138" i="82" s="1"/>
  <c r="AC138" i="82" s="1"/>
  <c r="AE138" i="82" s="1"/>
  <c r="N242" i="82"/>
  <c r="O242" i="82" s="1"/>
  <c r="AC242" i="82" s="1"/>
  <c r="AE242" i="82" s="1"/>
  <c r="N243" i="82"/>
  <c r="O243" i="82" s="1"/>
  <c r="AC243" i="82" s="1"/>
  <c r="AE243" i="82" s="1"/>
  <c r="N244" i="82"/>
  <c r="O244" i="82" s="1"/>
  <c r="AC244" i="82" s="1"/>
  <c r="AE244" i="82" s="1"/>
  <c r="N245" i="82"/>
  <c r="O245" i="82" s="1"/>
  <c r="AC245" i="82" s="1"/>
  <c r="AE245" i="82" s="1"/>
  <c r="N246" i="82"/>
  <c r="O246" i="82" s="1"/>
  <c r="AC246" i="82" s="1"/>
  <c r="AE246" i="82" s="1"/>
  <c r="N247" i="82"/>
  <c r="O247" i="82" s="1"/>
  <c r="AC247" i="82" s="1"/>
  <c r="AE247" i="82" s="1"/>
  <c r="N248" i="82"/>
  <c r="O248" i="82" s="1"/>
  <c r="AC248" i="82" s="1"/>
  <c r="AE248" i="82" s="1"/>
  <c r="N249" i="82"/>
  <c r="O249" i="82" s="1"/>
  <c r="AC249" i="82" s="1"/>
  <c r="AE249" i="82" s="1"/>
  <c r="N250" i="82"/>
  <c r="O250" i="82" s="1"/>
  <c r="AC250" i="82" s="1"/>
  <c r="AE250" i="82" s="1"/>
  <c r="N251" i="82"/>
  <c r="O251" i="82" s="1"/>
  <c r="AC251" i="82" s="1"/>
  <c r="AE251" i="82" s="1"/>
  <c r="N252" i="82"/>
  <c r="O252" i="82" s="1"/>
  <c r="AC252" i="82" s="1"/>
  <c r="AE252" i="82" s="1"/>
  <c r="N253" i="82"/>
  <c r="O253" i="82" s="1"/>
  <c r="AC253" i="82" s="1"/>
  <c r="AE253" i="82" s="1"/>
  <c r="N254" i="82"/>
  <c r="O254" i="82" s="1"/>
  <c r="AC254" i="82" s="1"/>
  <c r="AE254" i="82" s="1"/>
  <c r="N255" i="82"/>
  <c r="O255" i="82" s="1"/>
  <c r="AC255" i="82" s="1"/>
  <c r="AE255" i="82" s="1"/>
  <c r="N256" i="82"/>
  <c r="O256" i="82" s="1"/>
  <c r="AC256" i="82" s="1"/>
  <c r="AE256" i="82" s="1"/>
  <c r="N257" i="82"/>
  <c r="O257" i="82" s="1"/>
  <c r="AC257" i="82" s="1"/>
  <c r="AE257" i="82" s="1"/>
  <c r="N258" i="82"/>
  <c r="O258" i="82" s="1"/>
  <c r="AC258" i="82" s="1"/>
  <c r="AE258" i="82" s="1"/>
  <c r="N259" i="82"/>
  <c r="O259" i="82" s="1"/>
  <c r="AC259" i="82" s="1"/>
  <c r="AE259" i="82" s="1"/>
  <c r="N260" i="82"/>
  <c r="O260" i="82" s="1"/>
  <c r="AC260" i="82" s="1"/>
  <c r="AE260" i="82" s="1"/>
  <c r="N261" i="82"/>
  <c r="O261" i="82" s="1"/>
  <c r="AC261" i="82" s="1"/>
  <c r="AE261" i="82" s="1"/>
  <c r="N262" i="82"/>
  <c r="O262" i="82" s="1"/>
  <c r="AC262" i="82" s="1"/>
  <c r="AE262" i="82" s="1"/>
  <c r="N263" i="82"/>
  <c r="O263" i="82" s="1"/>
  <c r="AC263" i="82" s="1"/>
  <c r="AE263" i="82" s="1"/>
  <c r="N264" i="82"/>
  <c r="O264" i="82" s="1"/>
  <c r="AC264" i="82" s="1"/>
  <c r="AE264" i="82" s="1"/>
  <c r="N265" i="82"/>
  <c r="O265" i="82" s="1"/>
  <c r="AC265" i="82" s="1"/>
  <c r="AE265" i="82" s="1"/>
  <c r="N266" i="82"/>
  <c r="O266" i="82" s="1"/>
  <c r="AC266" i="82" s="1"/>
  <c r="AE266" i="82" s="1"/>
  <c r="N267" i="82"/>
  <c r="O267" i="82" s="1"/>
  <c r="AC267" i="82" s="1"/>
  <c r="AE267" i="82" s="1"/>
  <c r="N268" i="82"/>
  <c r="O268" i="82" s="1"/>
  <c r="AC268" i="82" s="1"/>
  <c r="AE268" i="82" s="1"/>
  <c r="N269" i="82"/>
  <c r="O269" i="82" s="1"/>
  <c r="AC269" i="82" s="1"/>
  <c r="AE269" i="82" s="1"/>
  <c r="N270" i="82"/>
  <c r="O270" i="82" s="1"/>
  <c r="AC270" i="82" s="1"/>
  <c r="AE270" i="82" s="1"/>
  <c r="N271" i="82"/>
  <c r="O271" i="82" s="1"/>
  <c r="AC271" i="82" s="1"/>
  <c r="AE271" i="82" s="1"/>
  <c r="N272" i="82"/>
  <c r="O272" i="82" s="1"/>
  <c r="AC272" i="82" s="1"/>
  <c r="AE272" i="82" s="1"/>
  <c r="N273" i="82"/>
  <c r="O273" i="82" s="1"/>
  <c r="AC273" i="82" s="1"/>
  <c r="AE273" i="82" s="1"/>
  <c r="N274" i="82"/>
  <c r="O274" i="82" s="1"/>
  <c r="AC274" i="82" s="1"/>
  <c r="AE274" i="82" s="1"/>
  <c r="N275" i="82"/>
  <c r="O275" i="82" s="1"/>
  <c r="AC275" i="82" s="1"/>
  <c r="AE275" i="82" s="1"/>
  <c r="N276" i="82"/>
  <c r="O276" i="82" s="1"/>
  <c r="AC276" i="82" s="1"/>
  <c r="AE276" i="82" s="1"/>
  <c r="N277" i="82"/>
  <c r="O277" i="82" s="1"/>
  <c r="AC277" i="82" s="1"/>
  <c r="AE277" i="82" s="1"/>
  <c r="N278" i="82"/>
  <c r="O278" i="82" s="1"/>
  <c r="AC278" i="82" s="1"/>
  <c r="AE278" i="82" s="1"/>
  <c r="N279" i="82"/>
  <c r="O279" i="82" s="1"/>
  <c r="AC279" i="82" s="1"/>
  <c r="AE279" i="82" s="1"/>
  <c r="N280" i="82"/>
  <c r="O280" i="82" s="1"/>
  <c r="AC280" i="82" s="1"/>
  <c r="AE280" i="82" s="1"/>
  <c r="N281" i="82"/>
  <c r="O281" i="82" s="1"/>
  <c r="AC281" i="82" s="1"/>
  <c r="AE281" i="82" s="1"/>
  <c r="N282" i="82"/>
  <c r="O282" i="82" s="1"/>
  <c r="AC282" i="82" s="1"/>
  <c r="AE282" i="82" s="1"/>
  <c r="N283" i="82"/>
  <c r="O283" i="82" s="1"/>
  <c r="AC283" i="82" s="1"/>
  <c r="AE283" i="82" s="1"/>
  <c r="N284" i="82"/>
  <c r="O284" i="82" s="1"/>
  <c r="AC284" i="82" s="1"/>
  <c r="AE284" i="82" s="1"/>
  <c r="N285" i="82"/>
  <c r="O285" i="82" s="1"/>
  <c r="AC285" i="82" s="1"/>
  <c r="AE285" i="82" s="1"/>
  <c r="H16" i="56"/>
  <c r="H15" i="56"/>
  <c r="H14" i="56"/>
  <c r="H13" i="56"/>
  <c r="H12" i="56"/>
  <c r="C4" i="65"/>
  <c r="J4" i="65" s="1"/>
  <c r="AO3" i="64"/>
  <c r="Z18" i="64"/>
  <c r="Z9" i="64"/>
  <c r="K18" i="64"/>
  <c r="K3" i="64"/>
  <c r="Q4" i="65"/>
  <c r="P4" i="65"/>
  <c r="M4" i="65"/>
  <c r="L4" i="65"/>
  <c r="K4" i="65"/>
  <c r="I4" i="65"/>
  <c r="G4" i="65"/>
  <c r="F4" i="65"/>
  <c r="D4" i="65"/>
  <c r="AB27" i="83"/>
  <c r="Z27" i="83"/>
  <c r="X27" i="83"/>
  <c r="I27" i="83"/>
  <c r="H27" i="83"/>
  <c r="AB38" i="82"/>
  <c r="X38" i="82"/>
  <c r="I38" i="82"/>
  <c r="H38" i="82"/>
  <c r="AB37" i="82"/>
  <c r="X37" i="82"/>
  <c r="I37" i="82"/>
  <c r="H37" i="82"/>
  <c r="N14" i="83" l="1"/>
  <c r="N28" i="83"/>
  <c r="N9" i="83"/>
  <c r="N21" i="83"/>
  <c r="N26" i="83"/>
  <c r="N4" i="83"/>
  <c r="R16" i="83"/>
  <c r="Q16" i="83" s="1"/>
  <c r="P27" i="83"/>
  <c r="N8" i="83"/>
  <c r="N25" i="83"/>
  <c r="N6" i="83"/>
  <c r="N24" i="83"/>
  <c r="N31" i="83"/>
  <c r="Q11" i="83"/>
  <c r="N19" i="83"/>
  <c r="N7" i="83"/>
  <c r="R25" i="83"/>
  <c r="Q25" i="83" s="1"/>
  <c r="R13" i="83"/>
  <c r="Q13" i="83" s="1"/>
  <c r="N5" i="83"/>
  <c r="R30" i="83"/>
  <c r="Q30" i="83" s="1"/>
  <c r="Q23" i="83"/>
  <c r="R18" i="83"/>
  <c r="Q18" i="83" s="1"/>
  <c r="R6" i="83"/>
  <c r="Q6" i="83" s="1"/>
  <c r="R32" i="83"/>
  <c r="Q32" i="83" s="1"/>
  <c r="R20" i="83"/>
  <c r="Q20" i="83" s="1"/>
  <c r="R8" i="83"/>
  <c r="Q8" i="83" s="1"/>
  <c r="N29" i="83"/>
  <c r="Q3" i="83"/>
  <c r="R17" i="83"/>
  <c r="Q17" i="83" s="1"/>
  <c r="Q27" i="83"/>
  <c r="U27" i="83" s="1"/>
  <c r="V27" i="83" s="1"/>
  <c r="W27" i="83" s="1"/>
  <c r="Q15" i="83"/>
  <c r="R12" i="83"/>
  <c r="Q12" i="83" s="1"/>
  <c r="R4" i="65"/>
  <c r="S4" i="65"/>
  <c r="O4" i="65"/>
  <c r="N4" i="65" s="1"/>
  <c r="E4" i="65"/>
  <c r="U4" i="65"/>
  <c r="H4" i="65"/>
  <c r="T27" i="83"/>
  <c r="AC27" i="83"/>
  <c r="AE27" i="83" s="1"/>
  <c r="P37" i="82"/>
  <c r="P38" i="82"/>
  <c r="R116" i="82"/>
  <c r="Q116" i="82" s="1"/>
  <c r="R117" i="82"/>
  <c r="Q117" i="82" s="1"/>
  <c r="R118" i="82"/>
  <c r="Q118" i="82" s="1"/>
  <c r="R252" i="82"/>
  <c r="Q252" i="82" s="1"/>
  <c r="R276" i="82"/>
  <c r="Q276" i="82" s="1"/>
  <c r="R169" i="82"/>
  <c r="Q169" i="82" s="1"/>
  <c r="R170" i="82"/>
  <c r="Q170" i="82" s="1"/>
  <c r="R171" i="82"/>
  <c r="Q171" i="82" s="1"/>
  <c r="R172" i="82"/>
  <c r="Q172" i="82" s="1"/>
  <c r="R215" i="82"/>
  <c r="Q215" i="82" s="1"/>
  <c r="R173" i="82"/>
  <c r="Q173" i="82" s="1"/>
  <c r="R174" i="82"/>
  <c r="Q174" i="82" s="1"/>
  <c r="R277" i="82"/>
  <c r="Q277" i="82" s="1"/>
  <c r="R253" i="82"/>
  <c r="Q253" i="82" s="1"/>
  <c r="R119" i="82"/>
  <c r="Q119" i="82" s="1"/>
  <c r="R126" i="82"/>
  <c r="Q126" i="82" s="1"/>
  <c r="R127" i="82"/>
  <c r="Q127" i="82" s="1"/>
  <c r="R129" i="82"/>
  <c r="Q129" i="82" s="1"/>
  <c r="R128" i="82"/>
  <c r="Q128" i="82" s="1"/>
  <c r="R130" i="82"/>
  <c r="Q130" i="82" s="1"/>
  <c r="R256" i="82"/>
  <c r="Q256" i="82" s="1"/>
  <c r="R278" i="82"/>
  <c r="Q278" i="82" s="1"/>
  <c r="R180" i="82"/>
  <c r="Q180" i="82" s="1"/>
  <c r="R175" i="82"/>
  <c r="Q175" i="82" s="1"/>
  <c r="R176" i="82"/>
  <c r="Q176" i="82" s="1"/>
  <c r="R177" i="82"/>
  <c r="Q177" i="82" s="1"/>
  <c r="R216" i="82"/>
  <c r="Q216" i="82" s="1"/>
  <c r="R178" i="82"/>
  <c r="Q178" i="82" s="1"/>
  <c r="R179" i="82"/>
  <c r="Q179" i="82" s="1"/>
  <c r="R279" i="82"/>
  <c r="Q279" i="82" s="1"/>
  <c r="R257" i="82"/>
  <c r="Q257" i="82" s="1"/>
  <c r="R131" i="82"/>
  <c r="Q131" i="82" s="1"/>
  <c r="R138" i="82"/>
  <c r="Q138" i="82" s="1"/>
  <c r="R145" i="82"/>
  <c r="Q145" i="82" s="1"/>
  <c r="R146" i="82"/>
  <c r="Q146" i="82" s="1"/>
  <c r="R147" i="82"/>
  <c r="Q147" i="82" s="1"/>
  <c r="R150" i="82"/>
  <c r="Q150" i="82" s="1"/>
  <c r="R260" i="82"/>
  <c r="Q260" i="82" s="1"/>
  <c r="R280" i="82"/>
  <c r="Q280" i="82" s="1"/>
  <c r="R181" i="82"/>
  <c r="Q181" i="82" s="1"/>
  <c r="R182" i="82"/>
  <c r="Q182" i="82" s="1"/>
  <c r="R183" i="82"/>
  <c r="Q183" i="82" s="1"/>
  <c r="R184" i="82"/>
  <c r="Q184" i="82" s="1"/>
  <c r="R217" i="82"/>
  <c r="Q217" i="82" s="1"/>
  <c r="R185" i="82"/>
  <c r="Q185" i="82" s="1"/>
  <c r="R186" i="82"/>
  <c r="Q186" i="82" s="1"/>
  <c r="R281" i="82"/>
  <c r="Q281" i="82" s="1"/>
  <c r="R261" i="82"/>
  <c r="Q261" i="82" s="1"/>
  <c r="R148" i="82"/>
  <c r="Q148" i="82" s="1"/>
  <c r="R149" i="82"/>
  <c r="Q149" i="82" s="1"/>
  <c r="R187" i="82"/>
  <c r="Q187" i="82" s="1"/>
  <c r="R188" i="82"/>
  <c r="Q188" i="82" s="1"/>
  <c r="R189" i="82"/>
  <c r="Q189" i="82" s="1"/>
  <c r="R190" i="82"/>
  <c r="Q190" i="82" s="1"/>
  <c r="R264" i="82"/>
  <c r="Q264" i="82" s="1"/>
  <c r="R282" i="82"/>
  <c r="Q282" i="82" s="1"/>
  <c r="R198" i="82"/>
  <c r="Q198" i="82" s="1"/>
  <c r="R193" i="82"/>
  <c r="Q193" i="82" s="1"/>
  <c r="R194" i="82"/>
  <c r="Q194" i="82" s="1"/>
  <c r="R195" i="82"/>
  <c r="Q195" i="82" s="1"/>
  <c r="R218" i="82"/>
  <c r="Q218" i="82" s="1"/>
  <c r="R196" i="82"/>
  <c r="Q196" i="82" s="1"/>
  <c r="R197" i="82"/>
  <c r="Q197" i="82" s="1"/>
  <c r="R283" i="82"/>
  <c r="Q283" i="82" s="1"/>
  <c r="R265" i="82"/>
  <c r="Q265" i="82" s="1"/>
  <c r="R191" i="82"/>
  <c r="Q191" i="82" s="1"/>
  <c r="R192" i="82"/>
  <c r="Q192" i="82" s="1"/>
  <c r="R199" i="82"/>
  <c r="Q199" i="82" s="1"/>
  <c r="R200" i="82"/>
  <c r="Q200" i="82" s="1"/>
  <c r="R201" i="82"/>
  <c r="Q201" i="82" s="1"/>
  <c r="R202" i="82"/>
  <c r="Q202" i="82" s="1"/>
  <c r="R284" i="82"/>
  <c r="Q284" i="82" s="1"/>
  <c r="R285" i="82"/>
  <c r="Q285" i="82" s="1"/>
  <c r="R203" i="82"/>
  <c r="Q203" i="82" s="1"/>
  <c r="R204" i="82"/>
  <c r="Q204" i="82" s="1"/>
  <c r="R205" i="82"/>
  <c r="Q205" i="82" s="1"/>
  <c r="R206" i="82"/>
  <c r="Q206" i="82" s="1"/>
  <c r="AB275" i="82"/>
  <c r="X275" i="82"/>
  <c r="T275" i="82"/>
  <c r="I275" i="82"/>
  <c r="H275" i="82"/>
  <c r="AB274" i="82"/>
  <c r="X274" i="82"/>
  <c r="I274" i="82"/>
  <c r="H274" i="82"/>
  <c r="AB273" i="82"/>
  <c r="X273" i="82"/>
  <c r="I273" i="82"/>
  <c r="H273" i="82"/>
  <c r="AB272" i="82"/>
  <c r="X272" i="82"/>
  <c r="I272" i="82"/>
  <c r="H272" i="82"/>
  <c r="AB271" i="82"/>
  <c r="X271" i="82"/>
  <c r="I271" i="82"/>
  <c r="H271" i="82"/>
  <c r="AB270" i="82"/>
  <c r="X270" i="82"/>
  <c r="I270" i="82"/>
  <c r="H270" i="82"/>
  <c r="AB269" i="82"/>
  <c r="X269" i="82"/>
  <c r="I269" i="82"/>
  <c r="H269" i="82"/>
  <c r="AB268" i="82"/>
  <c r="X268" i="82"/>
  <c r="I268" i="82"/>
  <c r="H268" i="82"/>
  <c r="AB267" i="82"/>
  <c r="X267" i="82"/>
  <c r="I267" i="82"/>
  <c r="H267" i="82"/>
  <c r="AB266" i="82"/>
  <c r="X266" i="82"/>
  <c r="I266" i="82"/>
  <c r="H266" i="82"/>
  <c r="AB263" i="82"/>
  <c r="X263" i="82"/>
  <c r="I263" i="82"/>
  <c r="H263" i="82"/>
  <c r="AB262" i="82"/>
  <c r="X262" i="82"/>
  <c r="I262" i="82"/>
  <c r="H262" i="82"/>
  <c r="AB259" i="82"/>
  <c r="X259" i="82"/>
  <c r="I259" i="82"/>
  <c r="H259" i="82"/>
  <c r="AB258" i="82"/>
  <c r="X258" i="82"/>
  <c r="I258" i="82"/>
  <c r="H258" i="82"/>
  <c r="AB255" i="82"/>
  <c r="X255" i="82"/>
  <c r="I255" i="82"/>
  <c r="H255" i="82"/>
  <c r="AB254" i="82"/>
  <c r="X254" i="82"/>
  <c r="T254" i="82"/>
  <c r="I254" i="82"/>
  <c r="H254" i="82"/>
  <c r="AB251" i="82"/>
  <c r="X251" i="82"/>
  <c r="I251" i="82"/>
  <c r="H251" i="82"/>
  <c r="AB250" i="82"/>
  <c r="X250" i="82"/>
  <c r="I250" i="82"/>
  <c r="H250" i="82"/>
  <c r="AB249" i="82"/>
  <c r="X249" i="82"/>
  <c r="I249" i="82"/>
  <c r="H249" i="82"/>
  <c r="AB248" i="82"/>
  <c r="X248" i="82"/>
  <c r="I248" i="82"/>
  <c r="H248" i="82"/>
  <c r="AB247" i="82"/>
  <c r="X247" i="82"/>
  <c r="I247" i="82"/>
  <c r="H247" i="82"/>
  <c r="AB246" i="82"/>
  <c r="X246" i="82"/>
  <c r="I246" i="82"/>
  <c r="H246" i="82"/>
  <c r="AB245" i="82"/>
  <c r="X245" i="82"/>
  <c r="I245" i="82"/>
  <c r="H245" i="82"/>
  <c r="AB244" i="82"/>
  <c r="X244" i="82"/>
  <c r="T244" i="82"/>
  <c r="I244" i="82"/>
  <c r="H244" i="82"/>
  <c r="AB243" i="82"/>
  <c r="X243" i="82"/>
  <c r="I243" i="82"/>
  <c r="H243" i="82"/>
  <c r="AB242" i="82"/>
  <c r="X242" i="82"/>
  <c r="I242" i="82"/>
  <c r="H242" i="82"/>
  <c r="AB241" i="82"/>
  <c r="X241" i="82"/>
  <c r="I241" i="82"/>
  <c r="H241" i="82"/>
  <c r="AB240" i="82"/>
  <c r="X240" i="82"/>
  <c r="I240" i="82"/>
  <c r="H240" i="82"/>
  <c r="AB239" i="82"/>
  <c r="X239" i="82"/>
  <c r="I239" i="82"/>
  <c r="H239" i="82"/>
  <c r="AB238" i="82"/>
  <c r="X238" i="82"/>
  <c r="I238" i="82"/>
  <c r="H238" i="82"/>
  <c r="AB237" i="82"/>
  <c r="X237" i="82"/>
  <c r="T237" i="82"/>
  <c r="I237" i="82"/>
  <c r="H237" i="82"/>
  <c r="AB236" i="82"/>
  <c r="X236" i="82"/>
  <c r="I236" i="82"/>
  <c r="H236" i="82"/>
  <c r="AB235" i="82"/>
  <c r="X235" i="82"/>
  <c r="R235" i="82"/>
  <c r="Q235" i="82" s="1"/>
  <c r="U235" i="82" s="1"/>
  <c r="I235" i="82"/>
  <c r="H235" i="82"/>
  <c r="AB234" i="82"/>
  <c r="X234" i="82"/>
  <c r="T234" i="82"/>
  <c r="I234" i="82"/>
  <c r="H234" i="82"/>
  <c r="AB233" i="82"/>
  <c r="X233" i="82"/>
  <c r="I233" i="82"/>
  <c r="H233" i="82"/>
  <c r="AB232" i="82"/>
  <c r="X232" i="82"/>
  <c r="I232" i="82"/>
  <c r="H232" i="82"/>
  <c r="AB231" i="82"/>
  <c r="X231" i="82"/>
  <c r="I231" i="82"/>
  <c r="H231" i="82"/>
  <c r="AB230" i="82"/>
  <c r="X230" i="82"/>
  <c r="I230" i="82"/>
  <c r="H230" i="82"/>
  <c r="AB228" i="82"/>
  <c r="X228" i="82"/>
  <c r="I228" i="82"/>
  <c r="H228" i="82"/>
  <c r="AB229" i="82"/>
  <c r="X229" i="82"/>
  <c r="I229" i="82"/>
  <c r="H229" i="82"/>
  <c r="AB227" i="82"/>
  <c r="X227" i="82"/>
  <c r="I227" i="82"/>
  <c r="H227" i="82"/>
  <c r="AB226" i="82"/>
  <c r="X226" i="82"/>
  <c r="I226" i="82"/>
  <c r="H226" i="82"/>
  <c r="AB224" i="82"/>
  <c r="X224" i="82"/>
  <c r="I224" i="82"/>
  <c r="H224" i="82"/>
  <c r="AB223" i="82"/>
  <c r="X223" i="82"/>
  <c r="I223" i="82"/>
  <c r="H223" i="82"/>
  <c r="AB221" i="82"/>
  <c r="X221" i="82"/>
  <c r="I221" i="82"/>
  <c r="H221" i="82"/>
  <c r="AB219" i="82"/>
  <c r="X219" i="82"/>
  <c r="I219" i="82"/>
  <c r="H219" i="82"/>
  <c r="AB213" i="82"/>
  <c r="X213" i="82"/>
  <c r="I213" i="82"/>
  <c r="H213" i="82"/>
  <c r="AB163" i="82"/>
  <c r="X163" i="82"/>
  <c r="I163" i="82"/>
  <c r="H163" i="82"/>
  <c r="AB168" i="82"/>
  <c r="X168" i="82"/>
  <c r="I168" i="82"/>
  <c r="H168" i="82"/>
  <c r="AB167" i="82"/>
  <c r="X167" i="82"/>
  <c r="I167" i="82"/>
  <c r="H167" i="82"/>
  <c r="AB166" i="82"/>
  <c r="X166" i="82"/>
  <c r="I166" i="82"/>
  <c r="H166" i="82"/>
  <c r="AB165" i="82"/>
  <c r="X165" i="82"/>
  <c r="I165" i="82"/>
  <c r="H165" i="82"/>
  <c r="AB164" i="82"/>
  <c r="X164" i="82"/>
  <c r="I164" i="82"/>
  <c r="H164" i="82"/>
  <c r="AB162" i="82"/>
  <c r="X162" i="82"/>
  <c r="I162" i="82"/>
  <c r="H162" i="82"/>
  <c r="AB160" i="82"/>
  <c r="X160" i="82"/>
  <c r="I160" i="82"/>
  <c r="H160" i="82"/>
  <c r="AB159" i="82"/>
  <c r="X159" i="82"/>
  <c r="I159" i="82"/>
  <c r="H159" i="82"/>
  <c r="AB158" i="82"/>
  <c r="X158" i="82"/>
  <c r="I158" i="82"/>
  <c r="H158" i="82"/>
  <c r="AB157" i="82"/>
  <c r="X157" i="82"/>
  <c r="T157" i="82"/>
  <c r="I157" i="82"/>
  <c r="H157" i="82"/>
  <c r="AB161" i="82"/>
  <c r="X161" i="82"/>
  <c r="I161" i="82"/>
  <c r="H161" i="82"/>
  <c r="AB156" i="82"/>
  <c r="X156" i="82"/>
  <c r="T156" i="82"/>
  <c r="I156" i="82"/>
  <c r="H156" i="82"/>
  <c r="AB155" i="82"/>
  <c r="X155" i="82"/>
  <c r="I155" i="82"/>
  <c r="H155" i="82"/>
  <c r="AB154" i="82"/>
  <c r="X154" i="82"/>
  <c r="I154" i="82"/>
  <c r="H154" i="82"/>
  <c r="AB153" i="82"/>
  <c r="X153" i="82"/>
  <c r="I153" i="82"/>
  <c r="H153" i="82"/>
  <c r="AB152" i="82"/>
  <c r="X152" i="82"/>
  <c r="I152" i="82"/>
  <c r="H152" i="82"/>
  <c r="AB151" i="82"/>
  <c r="X151" i="82"/>
  <c r="I151" i="82"/>
  <c r="H151" i="82"/>
  <c r="AB144" i="82"/>
  <c r="X144" i="82"/>
  <c r="T144" i="82"/>
  <c r="I144" i="82"/>
  <c r="H144" i="82"/>
  <c r="AB139" i="82"/>
  <c r="X139" i="82"/>
  <c r="I139" i="82"/>
  <c r="H139" i="82"/>
  <c r="AB142" i="82"/>
  <c r="X142" i="82"/>
  <c r="I142" i="82"/>
  <c r="H142" i="82"/>
  <c r="AB79" i="82"/>
  <c r="X79" i="82"/>
  <c r="I79" i="82"/>
  <c r="H79" i="82"/>
  <c r="AB141" i="82"/>
  <c r="X141" i="82"/>
  <c r="I141" i="82"/>
  <c r="H141" i="82"/>
  <c r="AB140" i="82"/>
  <c r="X140" i="82"/>
  <c r="I140" i="82"/>
  <c r="H140" i="82"/>
  <c r="AB136" i="82"/>
  <c r="X136" i="82"/>
  <c r="I136" i="82"/>
  <c r="H136" i="82"/>
  <c r="AB135" i="82"/>
  <c r="X135" i="82"/>
  <c r="I135" i="82"/>
  <c r="H135" i="82"/>
  <c r="AB134" i="82"/>
  <c r="X134" i="82"/>
  <c r="I134" i="82"/>
  <c r="H134" i="82"/>
  <c r="AB133" i="82"/>
  <c r="X133" i="82"/>
  <c r="T133" i="82"/>
  <c r="I133" i="82"/>
  <c r="H133" i="82"/>
  <c r="AB132" i="82"/>
  <c r="X132" i="82"/>
  <c r="I132" i="82"/>
  <c r="H132" i="82"/>
  <c r="AB125" i="82"/>
  <c r="X125" i="82"/>
  <c r="I125" i="82"/>
  <c r="H125" i="82"/>
  <c r="AB123" i="82"/>
  <c r="X123" i="82"/>
  <c r="I123" i="82"/>
  <c r="H123" i="82"/>
  <c r="N16" i="83" l="1"/>
  <c r="N18" i="83"/>
  <c r="N12" i="83"/>
  <c r="N13" i="83"/>
  <c r="N17" i="83"/>
  <c r="N20" i="83"/>
  <c r="N30" i="83"/>
  <c r="N32" i="83"/>
  <c r="T4" i="65"/>
  <c r="AD27" i="83"/>
  <c r="AA27" i="83"/>
  <c r="Y27" i="83"/>
  <c r="R37" i="82"/>
  <c r="Q37" i="82" s="1"/>
  <c r="U37" i="82" s="1"/>
  <c r="V37" i="82" s="1"/>
  <c r="W37" i="82" s="1"/>
  <c r="T37" i="82"/>
  <c r="R38" i="82"/>
  <c r="Q38" i="82" s="1"/>
  <c r="U38" i="82" s="1"/>
  <c r="V38" i="82" s="1"/>
  <c r="W38" i="82" s="1"/>
  <c r="T38" i="82"/>
  <c r="P235" i="82"/>
  <c r="P230" i="82"/>
  <c r="P244" i="82"/>
  <c r="P221" i="82"/>
  <c r="P250" i="82"/>
  <c r="P259" i="82"/>
  <c r="P125" i="82"/>
  <c r="P151" i="82"/>
  <c r="P153" i="82"/>
  <c r="P240" i="82"/>
  <c r="P166" i="82"/>
  <c r="T240" i="82"/>
  <c r="AD165" i="82"/>
  <c r="P272" i="82"/>
  <c r="R157" i="82"/>
  <c r="Q157" i="82" s="1"/>
  <c r="U157" i="82" s="1"/>
  <c r="V157" i="82" s="1"/>
  <c r="W157" i="82" s="1"/>
  <c r="P160" i="82"/>
  <c r="P247" i="82"/>
  <c r="P168" i="82"/>
  <c r="P231" i="82"/>
  <c r="P273" i="82"/>
  <c r="P224" i="82"/>
  <c r="P238" i="82"/>
  <c r="P267" i="82"/>
  <c r="R140" i="82"/>
  <c r="Q140" i="82" s="1"/>
  <c r="U140" i="82" s="1"/>
  <c r="V140" i="82" s="1"/>
  <c r="W140" i="82" s="1"/>
  <c r="T221" i="82"/>
  <c r="T226" i="82"/>
  <c r="P274" i="82"/>
  <c r="T168" i="82"/>
  <c r="P163" i="82"/>
  <c r="P226" i="82"/>
  <c r="P241" i="82"/>
  <c r="P246" i="82"/>
  <c r="T267" i="82"/>
  <c r="R274" i="82"/>
  <c r="Q274" i="82" s="1"/>
  <c r="U274" i="82" s="1"/>
  <c r="V274" i="82" s="1"/>
  <c r="W274" i="82" s="1"/>
  <c r="P161" i="82"/>
  <c r="P159" i="82"/>
  <c r="T136" i="82"/>
  <c r="P142" i="82"/>
  <c r="P156" i="82"/>
  <c r="P158" i="82"/>
  <c r="R165" i="82"/>
  <c r="Q165" i="82" s="1"/>
  <c r="U165" i="82" s="1"/>
  <c r="V165" i="82" s="1"/>
  <c r="W165" i="82" s="1"/>
  <c r="T247" i="82"/>
  <c r="T272" i="82"/>
  <c r="T165" i="82"/>
  <c r="P227" i="82"/>
  <c r="P255" i="82"/>
  <c r="P258" i="82"/>
  <c r="T241" i="82"/>
  <c r="R241" i="82"/>
  <c r="Q241" i="82" s="1"/>
  <c r="U241" i="82" s="1"/>
  <c r="V241" i="82" s="1"/>
  <c r="W241" i="82" s="1"/>
  <c r="T270" i="82"/>
  <c r="R270" i="82"/>
  <c r="Q270" i="82" s="1"/>
  <c r="U270" i="82" s="1"/>
  <c r="V270" i="82" s="1"/>
  <c r="W270" i="82" s="1"/>
  <c r="P141" i="82"/>
  <c r="R151" i="82"/>
  <c r="Q151" i="82" s="1"/>
  <c r="U151" i="82" s="1"/>
  <c r="V151" i="82" s="1"/>
  <c r="W151" i="82" s="1"/>
  <c r="P152" i="82"/>
  <c r="P154" i="82"/>
  <c r="R161" i="82"/>
  <c r="Q161" i="82" s="1"/>
  <c r="U161" i="82" s="1"/>
  <c r="V161" i="82" s="1"/>
  <c r="W161" i="82" s="1"/>
  <c r="P164" i="82"/>
  <c r="R166" i="82"/>
  <c r="Q166" i="82" s="1"/>
  <c r="U166" i="82" s="1"/>
  <c r="V166" i="82" s="1"/>
  <c r="W166" i="82" s="1"/>
  <c r="R224" i="82"/>
  <c r="Q224" i="82" s="1"/>
  <c r="U224" i="82" s="1"/>
  <c r="V224" i="82" s="1"/>
  <c r="W224" i="82" s="1"/>
  <c r="P234" i="82"/>
  <c r="P237" i="82"/>
  <c r="P242" i="82"/>
  <c r="R250" i="82"/>
  <c r="Q250" i="82" s="1"/>
  <c r="U250" i="82" s="1"/>
  <c r="V250" i="82" s="1"/>
  <c r="W250" i="82" s="1"/>
  <c r="P266" i="82"/>
  <c r="P275" i="82"/>
  <c r="P136" i="82"/>
  <c r="P140" i="82"/>
  <c r="P79" i="82"/>
  <c r="T250" i="82"/>
  <c r="AD133" i="82"/>
  <c r="P133" i="82"/>
  <c r="P134" i="82"/>
  <c r="P144" i="82"/>
  <c r="R158" i="82"/>
  <c r="Q158" i="82" s="1"/>
  <c r="U158" i="82" s="1"/>
  <c r="V158" i="82" s="1"/>
  <c r="W158" i="82" s="1"/>
  <c r="P162" i="82"/>
  <c r="P228" i="82"/>
  <c r="T235" i="82"/>
  <c r="P254" i="82"/>
  <c r="R258" i="82"/>
  <c r="Q258" i="82" s="1"/>
  <c r="U258" i="82" s="1"/>
  <c r="V258" i="82" s="1"/>
  <c r="W258" i="82" s="1"/>
  <c r="V235" i="82"/>
  <c r="W235" i="82" s="1"/>
  <c r="P262" i="82"/>
  <c r="P268" i="82"/>
  <c r="AD151" i="82"/>
  <c r="AD240" i="82"/>
  <c r="AD166" i="82"/>
  <c r="AD246" i="82"/>
  <c r="P132" i="82"/>
  <c r="R123" i="82"/>
  <c r="Q123" i="82" s="1"/>
  <c r="U123" i="82" s="1"/>
  <c r="V123" i="82" s="1"/>
  <c r="W123" i="82" s="1"/>
  <c r="AD153" i="82"/>
  <c r="P219" i="82"/>
  <c r="P123" i="82"/>
  <c r="T125" i="82"/>
  <c r="T142" i="82"/>
  <c r="R142" i="82"/>
  <c r="Q142" i="82" s="1"/>
  <c r="U142" i="82" s="1"/>
  <c r="V142" i="82" s="1"/>
  <c r="W142" i="82" s="1"/>
  <c r="T230" i="82"/>
  <c r="R230" i="82"/>
  <c r="Q230" i="82" s="1"/>
  <c r="U230" i="82" s="1"/>
  <c r="V230" i="82" s="1"/>
  <c r="W230" i="82" s="1"/>
  <c r="P263" i="82"/>
  <c r="P243" i="82"/>
  <c r="AD136" i="82"/>
  <c r="T123" i="82"/>
  <c r="R125" i="82"/>
  <c r="Q125" i="82" s="1"/>
  <c r="U125" i="82" s="1"/>
  <c r="V125" i="82" s="1"/>
  <c r="W125" i="82" s="1"/>
  <c r="T134" i="82"/>
  <c r="P139" i="82"/>
  <c r="R133" i="82"/>
  <c r="Q133" i="82" s="1"/>
  <c r="U133" i="82" s="1"/>
  <c r="V133" i="82" s="1"/>
  <c r="W133" i="82" s="1"/>
  <c r="R134" i="82"/>
  <c r="Q134" i="82" s="1"/>
  <c r="U134" i="82" s="1"/>
  <c r="V134" i="82" s="1"/>
  <c r="W134" i="82" s="1"/>
  <c r="T140" i="82"/>
  <c r="T79" i="82"/>
  <c r="R79" i="82"/>
  <c r="Q79" i="82" s="1"/>
  <c r="U79" i="82" s="1"/>
  <c r="V79" i="82" s="1"/>
  <c r="W79" i="82" s="1"/>
  <c r="AD161" i="82"/>
  <c r="AD158" i="82"/>
  <c r="P155" i="82"/>
  <c r="P135" i="82"/>
  <c r="T153" i="82"/>
  <c r="R153" i="82"/>
  <c r="Q153" i="82" s="1"/>
  <c r="U153" i="82" s="1"/>
  <c r="V153" i="82" s="1"/>
  <c r="W153" i="82" s="1"/>
  <c r="P213" i="82"/>
  <c r="R156" i="82"/>
  <c r="Q156" i="82" s="1"/>
  <c r="U156" i="82" s="1"/>
  <c r="V156" i="82" s="1"/>
  <c r="W156" i="82" s="1"/>
  <c r="R160" i="82"/>
  <c r="Q160" i="82" s="1"/>
  <c r="U160" i="82" s="1"/>
  <c r="V160" i="82" s="1"/>
  <c r="W160" i="82" s="1"/>
  <c r="T160" i="82"/>
  <c r="R136" i="82"/>
  <c r="Q136" i="82" s="1"/>
  <c r="U136" i="82" s="1"/>
  <c r="V136" i="82" s="1"/>
  <c r="W136" i="82" s="1"/>
  <c r="R144" i="82"/>
  <c r="Q144" i="82" s="1"/>
  <c r="U144" i="82" s="1"/>
  <c r="V144" i="82" s="1"/>
  <c r="W144" i="82" s="1"/>
  <c r="T154" i="82"/>
  <c r="R154" i="82"/>
  <c r="Q154" i="82" s="1"/>
  <c r="U154" i="82" s="1"/>
  <c r="V154" i="82" s="1"/>
  <c r="W154" i="82" s="1"/>
  <c r="T159" i="82"/>
  <c r="R159" i="82"/>
  <c r="Q159" i="82" s="1"/>
  <c r="U159" i="82" s="1"/>
  <c r="V159" i="82" s="1"/>
  <c r="W159" i="82" s="1"/>
  <c r="T162" i="82"/>
  <c r="R162" i="82"/>
  <c r="Q162" i="82" s="1"/>
  <c r="U162" i="82" s="1"/>
  <c r="V162" i="82" s="1"/>
  <c r="W162" i="82" s="1"/>
  <c r="P223" i="82"/>
  <c r="P239" i="82"/>
  <c r="R246" i="82"/>
  <c r="Q246" i="82" s="1"/>
  <c r="U246" i="82" s="1"/>
  <c r="V246" i="82" s="1"/>
  <c r="W246" i="82" s="1"/>
  <c r="T246" i="82"/>
  <c r="T151" i="82"/>
  <c r="T161" i="82"/>
  <c r="T158" i="82"/>
  <c r="P249" i="82"/>
  <c r="T273" i="82"/>
  <c r="R273" i="82"/>
  <c r="Q273" i="82" s="1"/>
  <c r="U273" i="82" s="1"/>
  <c r="V273" i="82" s="1"/>
  <c r="W273" i="82" s="1"/>
  <c r="P167" i="82"/>
  <c r="R221" i="82"/>
  <c r="Q221" i="82" s="1"/>
  <c r="U221" i="82" s="1"/>
  <c r="V221" i="82" s="1"/>
  <c r="W221" i="82" s="1"/>
  <c r="AD228" i="82"/>
  <c r="R234" i="82"/>
  <c r="Q234" i="82" s="1"/>
  <c r="U234" i="82" s="1"/>
  <c r="V234" i="82" s="1"/>
  <c r="W234" i="82" s="1"/>
  <c r="P245" i="82"/>
  <c r="R259" i="82"/>
  <c r="Q259" i="82" s="1"/>
  <c r="U259" i="82" s="1"/>
  <c r="V259" i="82" s="1"/>
  <c r="W259" i="82" s="1"/>
  <c r="T259" i="82"/>
  <c r="R266" i="82"/>
  <c r="Q266" i="82" s="1"/>
  <c r="U266" i="82" s="1"/>
  <c r="V266" i="82" s="1"/>
  <c r="W266" i="82" s="1"/>
  <c r="T266" i="82"/>
  <c r="T236" i="82"/>
  <c r="R236" i="82"/>
  <c r="Q236" i="82" s="1"/>
  <c r="U236" i="82" s="1"/>
  <c r="V236" i="82" s="1"/>
  <c r="W236" i="82" s="1"/>
  <c r="T242" i="82"/>
  <c r="R242" i="82"/>
  <c r="Q242" i="82" s="1"/>
  <c r="U242" i="82" s="1"/>
  <c r="V242" i="82" s="1"/>
  <c r="W242" i="82" s="1"/>
  <c r="R233" i="82"/>
  <c r="Q233" i="82" s="1"/>
  <c r="U233" i="82" s="1"/>
  <c r="V233" i="82" s="1"/>
  <c r="W233" i="82" s="1"/>
  <c r="P248" i="82"/>
  <c r="P251" i="82"/>
  <c r="P157" i="82"/>
  <c r="P229" i="82"/>
  <c r="P165" i="82"/>
  <c r="T166" i="82"/>
  <c r="R226" i="82"/>
  <c r="Q226" i="82" s="1"/>
  <c r="U226" i="82" s="1"/>
  <c r="V226" i="82" s="1"/>
  <c r="W226" i="82" s="1"/>
  <c r="T228" i="82"/>
  <c r="R228" i="82"/>
  <c r="Q228" i="82" s="1"/>
  <c r="U228" i="82" s="1"/>
  <c r="V228" i="82" s="1"/>
  <c r="W228" i="82" s="1"/>
  <c r="P232" i="82"/>
  <c r="T233" i="82"/>
  <c r="R244" i="82"/>
  <c r="Q244" i="82" s="1"/>
  <c r="U244" i="82" s="1"/>
  <c r="V244" i="82" s="1"/>
  <c r="W244" i="82" s="1"/>
  <c r="T262" i="82"/>
  <c r="R262" i="82"/>
  <c r="Q262" i="82" s="1"/>
  <c r="U262" i="82" s="1"/>
  <c r="V262" i="82" s="1"/>
  <c r="W262" i="82" s="1"/>
  <c r="P233" i="82"/>
  <c r="R237" i="82"/>
  <c r="Q237" i="82" s="1"/>
  <c r="U237" i="82" s="1"/>
  <c r="V237" i="82" s="1"/>
  <c r="W237" i="82" s="1"/>
  <c r="R275" i="82"/>
  <c r="Q275" i="82" s="1"/>
  <c r="U275" i="82" s="1"/>
  <c r="V275" i="82" s="1"/>
  <c r="W275" i="82" s="1"/>
  <c r="R269" i="82"/>
  <c r="Q269" i="82" s="1"/>
  <c r="U269" i="82" s="1"/>
  <c r="V269" i="82" s="1"/>
  <c r="W269" i="82" s="1"/>
  <c r="P270" i="82"/>
  <c r="P271" i="82"/>
  <c r="R240" i="82"/>
  <c r="Q240" i="82" s="1"/>
  <c r="U240" i="82" s="1"/>
  <c r="V240" i="82" s="1"/>
  <c r="W240" i="82" s="1"/>
  <c r="R254" i="82"/>
  <c r="Q254" i="82" s="1"/>
  <c r="U254" i="82" s="1"/>
  <c r="V254" i="82" s="1"/>
  <c r="W254" i="82" s="1"/>
  <c r="P269" i="82"/>
  <c r="P236" i="82"/>
  <c r="AD250" i="82"/>
  <c r="T269" i="82"/>
  <c r="AD269" i="82"/>
  <c r="Y37" i="82" l="1"/>
  <c r="Y38" i="82"/>
  <c r="AD37" i="82"/>
  <c r="AD38" i="82"/>
  <c r="AD226" i="82"/>
  <c r="T274" i="82"/>
  <c r="AD221" i="82"/>
  <c r="R247" i="82"/>
  <c r="Q247" i="82" s="1"/>
  <c r="U247" i="82" s="1"/>
  <c r="V247" i="82" s="1"/>
  <c r="W247" i="82" s="1"/>
  <c r="AD237" i="82"/>
  <c r="R267" i="82"/>
  <c r="Q267" i="82" s="1"/>
  <c r="U267" i="82" s="1"/>
  <c r="V267" i="82" s="1"/>
  <c r="W267" i="82" s="1"/>
  <c r="Y267" i="82" s="1"/>
  <c r="R168" i="82"/>
  <c r="Q168" i="82" s="1"/>
  <c r="U168" i="82" s="1"/>
  <c r="V168" i="82" s="1"/>
  <c r="W168" i="82" s="1"/>
  <c r="Y168" i="82" s="1"/>
  <c r="AD168" i="82"/>
  <c r="R231" i="82"/>
  <c r="Q231" i="82" s="1"/>
  <c r="U231" i="82" s="1"/>
  <c r="V231" i="82" s="1"/>
  <c r="W231" i="82" s="1"/>
  <c r="Y231" i="82" s="1"/>
  <c r="T231" i="82"/>
  <c r="Y140" i="82"/>
  <c r="R272" i="82"/>
  <c r="Q272" i="82" s="1"/>
  <c r="U272" i="82" s="1"/>
  <c r="V272" i="82" s="1"/>
  <c r="W272" i="82" s="1"/>
  <c r="AD270" i="82"/>
  <c r="Y235" i="82"/>
  <c r="AD254" i="82"/>
  <c r="AD275" i="82"/>
  <c r="Y270" i="82"/>
  <c r="Y250" i="82"/>
  <c r="Y166" i="82"/>
  <c r="AD258" i="82"/>
  <c r="T258" i="82"/>
  <c r="T224" i="82"/>
  <c r="T255" i="82"/>
  <c r="R255" i="82"/>
  <c r="Q255" i="82" s="1"/>
  <c r="U255" i="82" s="1"/>
  <c r="V255" i="82" s="1"/>
  <c r="W255" i="82" s="1"/>
  <c r="Y255" i="82" s="1"/>
  <c r="T163" i="82"/>
  <c r="R163" i="82"/>
  <c r="Q163" i="82" s="1"/>
  <c r="U163" i="82" s="1"/>
  <c r="V163" i="82" s="1"/>
  <c r="W163" i="82" s="1"/>
  <c r="T238" i="82"/>
  <c r="R238" i="82"/>
  <c r="Q238" i="82" s="1"/>
  <c r="U238" i="82" s="1"/>
  <c r="V238" i="82" s="1"/>
  <c r="W238" i="82" s="1"/>
  <c r="AD125" i="82"/>
  <c r="AD236" i="82"/>
  <c r="AD244" i="82"/>
  <c r="AD160" i="82"/>
  <c r="AD273" i="82"/>
  <c r="Y142" i="82"/>
  <c r="Y244" i="82"/>
  <c r="Y79" i="82"/>
  <c r="Y230" i="82"/>
  <c r="Y254" i="82"/>
  <c r="Y266" i="82"/>
  <c r="Y160" i="82"/>
  <c r="Y123" i="82"/>
  <c r="Y233" i="82"/>
  <c r="Y242" i="82"/>
  <c r="Y273" i="82"/>
  <c r="Y153" i="82"/>
  <c r="Y240" i="82"/>
  <c r="Y258" i="82"/>
  <c r="Y259" i="82"/>
  <c r="Y236" i="82"/>
  <c r="Y133" i="82"/>
  <c r="Y159" i="82"/>
  <c r="Y156" i="82"/>
  <c r="Y134" i="82"/>
  <c r="AD230" i="82"/>
  <c r="R219" i="82"/>
  <c r="Q219" i="82" s="1"/>
  <c r="U219" i="82" s="1"/>
  <c r="V219" i="82" s="1"/>
  <c r="W219" i="82" s="1"/>
  <c r="T219" i="82"/>
  <c r="T132" i="82"/>
  <c r="R132" i="82"/>
  <c r="Q132" i="82" s="1"/>
  <c r="U132" i="82" s="1"/>
  <c r="V132" i="82" s="1"/>
  <c r="W132" i="82" s="1"/>
  <c r="Y269" i="82"/>
  <c r="AD235" i="82"/>
  <c r="R164" i="82"/>
  <c r="Q164" i="82" s="1"/>
  <c r="U164" i="82" s="1"/>
  <c r="V164" i="82" s="1"/>
  <c r="W164" i="82" s="1"/>
  <c r="T164" i="82"/>
  <c r="Y234" i="82"/>
  <c r="T239" i="82"/>
  <c r="R239" i="82"/>
  <c r="Q239" i="82" s="1"/>
  <c r="U239" i="82" s="1"/>
  <c r="V239" i="82" s="1"/>
  <c r="W239" i="82" s="1"/>
  <c r="AD142" i="82"/>
  <c r="Y226" i="82"/>
  <c r="Y224" i="82"/>
  <c r="AD241" i="82"/>
  <c r="Y144" i="82"/>
  <c r="AD262" i="82"/>
  <c r="Y241" i="82"/>
  <c r="Y228" i="82"/>
  <c r="Y151" i="82"/>
  <c r="AD266" i="82"/>
  <c r="AD234" i="82"/>
  <c r="T223" i="82"/>
  <c r="R223" i="82"/>
  <c r="Q223" i="82" s="1"/>
  <c r="U223" i="82" s="1"/>
  <c r="V223" i="82" s="1"/>
  <c r="W223" i="82" s="1"/>
  <c r="AD144" i="82"/>
  <c r="Y274" i="82"/>
  <c r="Y237" i="82"/>
  <c r="T227" i="82"/>
  <c r="R227" i="82"/>
  <c r="Q227" i="82" s="1"/>
  <c r="U227" i="82" s="1"/>
  <c r="V227" i="82" s="1"/>
  <c r="W227" i="82" s="1"/>
  <c r="Y136" i="82"/>
  <c r="T213" i="82"/>
  <c r="R213" i="82"/>
  <c r="Q213" i="82" s="1"/>
  <c r="U213" i="82" s="1"/>
  <c r="V213" i="82" s="1"/>
  <c r="W213" i="82" s="1"/>
  <c r="AD123" i="82"/>
  <c r="T263" i="82"/>
  <c r="R263" i="82"/>
  <c r="Q263" i="82" s="1"/>
  <c r="U263" i="82" s="1"/>
  <c r="V263" i="82" s="1"/>
  <c r="W263" i="82" s="1"/>
  <c r="Y262" i="82"/>
  <c r="AD233" i="82"/>
  <c r="AD162" i="82"/>
  <c r="T248" i="82"/>
  <c r="R248" i="82"/>
  <c r="Q248" i="82" s="1"/>
  <c r="U248" i="82" s="1"/>
  <c r="V248" i="82" s="1"/>
  <c r="W248" i="82" s="1"/>
  <c r="Y221" i="82"/>
  <c r="AD157" i="82"/>
  <c r="Y158" i="82"/>
  <c r="Y154" i="82"/>
  <c r="T155" i="82"/>
  <c r="R155" i="82"/>
  <c r="Q155" i="82" s="1"/>
  <c r="U155" i="82" s="1"/>
  <c r="V155" i="82" s="1"/>
  <c r="W155" i="82" s="1"/>
  <c r="AD79" i="82"/>
  <c r="T139" i="82"/>
  <c r="R139" i="82"/>
  <c r="Q139" i="82" s="1"/>
  <c r="U139" i="82" s="1"/>
  <c r="V139" i="82" s="1"/>
  <c r="W139" i="82" s="1"/>
  <c r="AD231" i="82"/>
  <c r="Y275" i="82"/>
  <c r="T232" i="82"/>
  <c r="R232" i="82"/>
  <c r="Q232" i="82" s="1"/>
  <c r="U232" i="82" s="1"/>
  <c r="V232" i="82" s="1"/>
  <c r="W232" i="82" s="1"/>
  <c r="Y157" i="82"/>
  <c r="T245" i="82"/>
  <c r="R245" i="82"/>
  <c r="Q245" i="82" s="1"/>
  <c r="U245" i="82" s="1"/>
  <c r="V245" i="82" s="1"/>
  <c r="W245" i="82" s="1"/>
  <c r="T271" i="82"/>
  <c r="R271" i="82"/>
  <c r="Q271" i="82" s="1"/>
  <c r="U271" i="82" s="1"/>
  <c r="V271" i="82" s="1"/>
  <c r="W271" i="82" s="1"/>
  <c r="T229" i="82"/>
  <c r="R229" i="82"/>
  <c r="Q229" i="82" s="1"/>
  <c r="U229" i="82" s="1"/>
  <c r="V229" i="82" s="1"/>
  <c r="W229" i="82" s="1"/>
  <c r="T152" i="82"/>
  <c r="R152" i="82"/>
  <c r="Q152" i="82" s="1"/>
  <c r="U152" i="82" s="1"/>
  <c r="V152" i="82" s="1"/>
  <c r="W152" i="82" s="1"/>
  <c r="T141" i="82"/>
  <c r="R141" i="82"/>
  <c r="Q141" i="82" s="1"/>
  <c r="U141" i="82" s="1"/>
  <c r="V141" i="82" s="1"/>
  <c r="W141" i="82" s="1"/>
  <c r="Y161" i="82"/>
  <c r="AD255" i="82"/>
  <c r="AD159" i="82"/>
  <c r="AD156" i="82"/>
  <c r="R243" i="82"/>
  <c r="Q243" i="82" s="1"/>
  <c r="U243" i="82" s="1"/>
  <c r="V243" i="82" s="1"/>
  <c r="W243" i="82" s="1"/>
  <c r="T243" i="82"/>
  <c r="AD154" i="82"/>
  <c r="T268" i="82"/>
  <c r="R268" i="82"/>
  <c r="Q268" i="82" s="1"/>
  <c r="U268" i="82" s="1"/>
  <c r="V268" i="82" s="1"/>
  <c r="W268" i="82" s="1"/>
  <c r="AD259" i="82"/>
  <c r="Y165" i="82"/>
  <c r="T251" i="82"/>
  <c r="R251" i="82"/>
  <c r="Q251" i="82" s="1"/>
  <c r="U251" i="82" s="1"/>
  <c r="V251" i="82" s="1"/>
  <c r="W251" i="82" s="1"/>
  <c r="AD242" i="82"/>
  <c r="T167" i="82"/>
  <c r="R167" i="82"/>
  <c r="Q167" i="82" s="1"/>
  <c r="U167" i="82" s="1"/>
  <c r="V167" i="82" s="1"/>
  <c r="W167" i="82" s="1"/>
  <c r="R249" i="82"/>
  <c r="Q249" i="82" s="1"/>
  <c r="U249" i="82" s="1"/>
  <c r="V249" i="82" s="1"/>
  <c r="W249" i="82" s="1"/>
  <c r="T249" i="82"/>
  <c r="Y246" i="82"/>
  <c r="Y162" i="82"/>
  <c r="T135" i="82"/>
  <c r="R135" i="82"/>
  <c r="Q135" i="82" s="1"/>
  <c r="U135" i="82" s="1"/>
  <c r="V135" i="82" s="1"/>
  <c r="W135" i="82" s="1"/>
  <c r="AD140" i="82"/>
  <c r="Y125" i="82"/>
  <c r="AD134" i="82"/>
  <c r="AD247" i="82" l="1"/>
  <c r="Y247" i="82"/>
  <c r="AD274" i="82"/>
  <c r="AD267" i="82"/>
  <c r="Y272" i="82"/>
  <c r="AD272" i="82"/>
  <c r="Y238" i="82"/>
  <c r="AD238" i="82"/>
  <c r="AD163" i="82"/>
  <c r="AD224" i="82"/>
  <c r="Y163" i="82"/>
  <c r="Y251" i="82"/>
  <c r="Y243" i="82"/>
  <c r="Y164" i="82"/>
  <c r="Y271" i="82"/>
  <c r="Y141" i="82"/>
  <c r="Y227" i="82"/>
  <c r="Y268" i="82"/>
  <c r="Y232" i="82"/>
  <c r="Y249" i="82"/>
  <c r="Y245" i="82"/>
  <c r="Y167" i="82"/>
  <c r="Y263" i="82"/>
  <c r="Y223" i="82"/>
  <c r="Y219" i="82"/>
  <c r="AD239" i="82"/>
  <c r="Y132" i="82"/>
  <c r="AD243" i="82"/>
  <c r="AD152" i="82"/>
  <c r="AD132" i="82"/>
  <c r="AD135" i="82"/>
  <c r="AD229" i="82"/>
  <c r="Y139" i="82"/>
  <c r="Y155" i="82"/>
  <c r="Y248" i="82"/>
  <c r="Y213" i="82"/>
  <c r="AD249" i="82"/>
  <c r="AD268" i="82"/>
  <c r="AD141" i="82"/>
  <c r="AD271" i="82"/>
  <c r="AD245" i="82"/>
  <c r="AD232" i="82"/>
  <c r="AD139" i="82"/>
  <c r="AD155" i="82"/>
  <c r="AD248" i="82"/>
  <c r="AD263" i="82"/>
  <c r="AD213" i="82"/>
  <c r="Y239" i="82"/>
  <c r="AD219" i="82"/>
  <c r="Y152" i="82"/>
  <c r="AD167" i="82"/>
  <c r="Y135" i="82"/>
  <c r="AD251" i="82"/>
  <c r="Y229" i="82"/>
  <c r="AD227" i="82"/>
  <c r="AD223" i="82"/>
  <c r="AD164" i="82"/>
  <c r="AB8" i="83"/>
  <c r="Z8" i="83"/>
  <c r="X8" i="83"/>
  <c r="I8" i="83"/>
  <c r="H8" i="83"/>
  <c r="P8" i="83" s="1"/>
  <c r="O2" i="83"/>
  <c r="C16" i="65" l="1"/>
  <c r="B22" i="84"/>
  <c r="AC8" i="83"/>
  <c r="AE8" i="83" s="1"/>
  <c r="U8" i="83"/>
  <c r="V8" i="83" s="1"/>
  <c r="W8" i="83" s="1"/>
  <c r="T8" i="83"/>
  <c r="R2" i="83"/>
  <c r="Q2" i="83" s="1"/>
  <c r="Z21" i="83"/>
  <c r="Z11" i="83"/>
  <c r="Z2" i="83"/>
  <c r="Z3" i="83"/>
  <c r="Z29" i="83"/>
  <c r="Z30" i="83"/>
  <c r="Z26" i="83"/>
  <c r="Z32" i="83"/>
  <c r="Z16" i="83"/>
  <c r="Z31" i="83"/>
  <c r="Z14" i="83"/>
  <c r="Z6" i="83"/>
  <c r="Z12" i="83"/>
  <c r="Z22" i="83"/>
  <c r="Z15" i="83"/>
  <c r="Z25" i="83"/>
  <c r="Z13" i="83"/>
  <c r="Z20" i="83"/>
  <c r="Z23" i="83"/>
  <c r="Z28" i="83"/>
  <c r="Z4" i="83"/>
  <c r="Z5" i="83"/>
  <c r="Z17" i="83"/>
  <c r="Z19" i="83"/>
  <c r="Z9" i="83"/>
  <c r="Z18" i="83"/>
  <c r="Z10" i="83"/>
  <c r="Z24" i="83"/>
  <c r="Z7" i="83"/>
  <c r="X21" i="83"/>
  <c r="X11" i="83"/>
  <c r="X2" i="83"/>
  <c r="X3" i="83"/>
  <c r="X29" i="83"/>
  <c r="X30" i="83"/>
  <c r="X26" i="83"/>
  <c r="X32" i="83"/>
  <c r="X16" i="83"/>
  <c r="X31" i="83"/>
  <c r="X14" i="83"/>
  <c r="X6" i="83"/>
  <c r="X12" i="83"/>
  <c r="X22" i="83"/>
  <c r="X15" i="83"/>
  <c r="X25" i="83"/>
  <c r="X13" i="83"/>
  <c r="X20" i="83"/>
  <c r="X23" i="83"/>
  <c r="X28" i="83"/>
  <c r="X4" i="83"/>
  <c r="X5" i="83"/>
  <c r="X17" i="83"/>
  <c r="X19" i="83"/>
  <c r="X9" i="83"/>
  <c r="X18" i="83"/>
  <c r="X10" i="83"/>
  <c r="X24" i="83"/>
  <c r="X7" i="83"/>
  <c r="AA8" i="83" l="1"/>
  <c r="Y8" i="83"/>
  <c r="AD8" i="83"/>
  <c r="N2" i="83"/>
  <c r="C13" i="84"/>
  <c r="C7" i="84"/>
  <c r="M4" i="63" l="1"/>
  <c r="L4" i="63"/>
  <c r="I4" i="63"/>
  <c r="K4" i="63"/>
  <c r="F4" i="63"/>
  <c r="S13" i="65"/>
  <c r="K13" i="65"/>
  <c r="J13" i="65"/>
  <c r="I13" i="65"/>
  <c r="H13" i="65"/>
  <c r="F13" i="65"/>
  <c r="E13" i="65"/>
  <c r="D13" i="65"/>
  <c r="N7" i="84"/>
  <c r="M7" i="84"/>
  <c r="L7" i="84"/>
  <c r="K7" i="84"/>
  <c r="J7" i="84"/>
  <c r="I7" i="84"/>
  <c r="H7" i="84"/>
  <c r="G7" i="84"/>
  <c r="F7" i="84"/>
  <c r="E7" i="84"/>
  <c r="D7" i="84"/>
  <c r="E13" i="84" l="1"/>
  <c r="K13" i="84"/>
  <c r="F13" i="84"/>
  <c r="L13" i="84"/>
  <c r="J13" i="84"/>
  <c r="G13" i="84"/>
  <c r="M13" i="84"/>
  <c r="H13" i="84"/>
  <c r="N13" i="84"/>
  <c r="D13" i="84"/>
  <c r="I13" i="84"/>
  <c r="AB21" i="83" l="1"/>
  <c r="AB11" i="83"/>
  <c r="AB2" i="83"/>
  <c r="AB3" i="83"/>
  <c r="AB29" i="83"/>
  <c r="AB30" i="83"/>
  <c r="AB26" i="83"/>
  <c r="AB32" i="83"/>
  <c r="AB16" i="83"/>
  <c r="AB31" i="83"/>
  <c r="AB14" i="83"/>
  <c r="AB6" i="83"/>
  <c r="AB12" i="83"/>
  <c r="AB22" i="83"/>
  <c r="AB15" i="83"/>
  <c r="AB25" i="83"/>
  <c r="AB13" i="83"/>
  <c r="AB20" i="83"/>
  <c r="AB23" i="83"/>
  <c r="AB28" i="83"/>
  <c r="AB4" i="83"/>
  <c r="AB5" i="83"/>
  <c r="AB17" i="83"/>
  <c r="AB19" i="83"/>
  <c r="AB9" i="83"/>
  <c r="AB18" i="83"/>
  <c r="AB10" i="83"/>
  <c r="AB24" i="83"/>
  <c r="AB7" i="83"/>
  <c r="E17" i="63"/>
  <c r="E16" i="63"/>
  <c r="E15" i="63"/>
  <c r="E14" i="63"/>
  <c r="U13" i="65" l="1"/>
  <c r="AC25" i="83"/>
  <c r="AE25" i="83" s="1"/>
  <c r="AC4" i="83"/>
  <c r="AE4" i="83" s="1"/>
  <c r="AC19" i="83"/>
  <c r="AE19" i="83" s="1"/>
  <c r="I7" i="83"/>
  <c r="H7" i="83"/>
  <c r="P7" i="83" s="1"/>
  <c r="I24" i="83"/>
  <c r="H24" i="83"/>
  <c r="P24" i="83" s="1"/>
  <c r="I10" i="83"/>
  <c r="H10" i="83"/>
  <c r="P10" i="83" s="1"/>
  <c r="I18" i="83"/>
  <c r="H18" i="83"/>
  <c r="P18" i="83" s="1"/>
  <c r="I9" i="83"/>
  <c r="H9" i="83"/>
  <c r="P9" i="83" s="1"/>
  <c r="I19" i="83"/>
  <c r="H19" i="83"/>
  <c r="P19" i="83" s="1"/>
  <c r="I17" i="83"/>
  <c r="H17" i="83"/>
  <c r="P17" i="83" s="1"/>
  <c r="I5" i="83"/>
  <c r="H5" i="83"/>
  <c r="P5" i="83" s="1"/>
  <c r="I4" i="83"/>
  <c r="H4" i="83"/>
  <c r="P4" i="83" s="1"/>
  <c r="I28" i="83"/>
  <c r="H28" i="83"/>
  <c r="P28" i="83" s="1"/>
  <c r="I23" i="83"/>
  <c r="H23" i="83"/>
  <c r="P23" i="83" s="1"/>
  <c r="I20" i="83"/>
  <c r="H20" i="83"/>
  <c r="P20" i="83" s="1"/>
  <c r="I13" i="83"/>
  <c r="H13" i="83"/>
  <c r="P13" i="83" s="1"/>
  <c r="I25" i="83"/>
  <c r="H25" i="83"/>
  <c r="P25" i="83" s="1"/>
  <c r="I15" i="83"/>
  <c r="H15" i="83"/>
  <c r="P15" i="83" s="1"/>
  <c r="I22" i="83"/>
  <c r="H22" i="83"/>
  <c r="P22" i="83" s="1"/>
  <c r="I12" i="83"/>
  <c r="H12" i="83"/>
  <c r="P12" i="83" s="1"/>
  <c r="I6" i="83"/>
  <c r="H6" i="83"/>
  <c r="P6" i="83" s="1"/>
  <c r="I14" i="83"/>
  <c r="H14" i="83"/>
  <c r="P14" i="83" s="1"/>
  <c r="I31" i="83"/>
  <c r="H31" i="83"/>
  <c r="P31" i="83" s="1"/>
  <c r="I16" i="83"/>
  <c r="H16" i="83"/>
  <c r="P16" i="83" s="1"/>
  <c r="I32" i="83"/>
  <c r="H32" i="83"/>
  <c r="P32" i="83" s="1"/>
  <c r="I26" i="83"/>
  <c r="H26" i="83"/>
  <c r="P26" i="83" s="1"/>
  <c r="I30" i="83"/>
  <c r="H30" i="83"/>
  <c r="P30" i="83" s="1"/>
  <c r="I29" i="83"/>
  <c r="H29" i="83"/>
  <c r="P29" i="83" s="1"/>
  <c r="I3" i="83"/>
  <c r="H3" i="83"/>
  <c r="P3" i="83" s="1"/>
  <c r="I2" i="83"/>
  <c r="H2" i="83"/>
  <c r="P2" i="83" s="1"/>
  <c r="I11" i="83"/>
  <c r="H11" i="83"/>
  <c r="P11" i="83" s="1"/>
  <c r="I21" i="83"/>
  <c r="H21" i="83"/>
  <c r="P21" i="83" s="1"/>
  <c r="F21" i="64"/>
  <c r="T10" i="82"/>
  <c r="R14" i="82"/>
  <c r="Q14" i="82" s="1"/>
  <c r="U14" i="82" s="1"/>
  <c r="T15" i="82"/>
  <c r="R17" i="82"/>
  <c r="Q17" i="82" s="1"/>
  <c r="U17" i="82" s="1"/>
  <c r="T60" i="82"/>
  <c r="T28" i="82"/>
  <c r="T29" i="82"/>
  <c r="R33" i="82"/>
  <c r="Q33" i="82" s="1"/>
  <c r="U33" i="82" s="1"/>
  <c r="V33" i="82" s="1"/>
  <c r="W33" i="82" s="1"/>
  <c r="R39" i="82"/>
  <c r="Q39" i="82" s="1"/>
  <c r="U39" i="82" s="1"/>
  <c r="R40" i="82"/>
  <c r="Q40" i="82" s="1"/>
  <c r="U40" i="82" s="1"/>
  <c r="T41" i="82"/>
  <c r="R101" i="82"/>
  <c r="Q101" i="82" s="1"/>
  <c r="U101" i="82" s="1"/>
  <c r="V101" i="82" s="1"/>
  <c r="W101" i="82" s="1"/>
  <c r="R54" i="82"/>
  <c r="Q54" i="82" s="1"/>
  <c r="U54" i="82" s="1"/>
  <c r="R57" i="82"/>
  <c r="Q57" i="82" s="1"/>
  <c r="U57" i="82" s="1"/>
  <c r="R58" i="82"/>
  <c r="Q58" i="82" s="1"/>
  <c r="U58" i="82" s="1"/>
  <c r="T19" i="82"/>
  <c r="R62" i="82"/>
  <c r="Q62" i="82" s="1"/>
  <c r="U62" i="82" s="1"/>
  <c r="T63" i="82"/>
  <c r="R64" i="82"/>
  <c r="Q64" i="82" s="1"/>
  <c r="U64" i="82" s="1"/>
  <c r="T68" i="82"/>
  <c r="R72" i="82"/>
  <c r="Q72" i="82" s="1"/>
  <c r="U72" i="82" s="1"/>
  <c r="T71" i="82"/>
  <c r="T75" i="82"/>
  <c r="T77" i="82"/>
  <c r="R24" i="82"/>
  <c r="Q24" i="82" s="1"/>
  <c r="U24" i="82" s="1"/>
  <c r="V24" i="82" s="1"/>
  <c r="W24" i="82" s="1"/>
  <c r="T80" i="82"/>
  <c r="T81" i="82"/>
  <c r="T83" i="82"/>
  <c r="T84" i="82"/>
  <c r="R88" i="82"/>
  <c r="Q88" i="82" s="1"/>
  <c r="U88" i="82" s="1"/>
  <c r="T91" i="82"/>
  <c r="T93" i="82"/>
  <c r="T96" i="82"/>
  <c r="R97" i="82"/>
  <c r="Q97" i="82" s="1"/>
  <c r="U97" i="82" s="1"/>
  <c r="R47" i="82"/>
  <c r="Q47" i="82" s="1"/>
  <c r="U47" i="82" s="1"/>
  <c r="V47" i="82" s="1"/>
  <c r="W47" i="82" s="1"/>
  <c r="R98" i="82"/>
  <c r="Q98" i="82" s="1"/>
  <c r="U98" i="82" s="1"/>
  <c r="R109" i="82"/>
  <c r="Q109" i="82" s="1"/>
  <c r="U109" i="82" s="1"/>
  <c r="T118" i="82"/>
  <c r="U252" i="82"/>
  <c r="T137" i="82"/>
  <c r="U215" i="82"/>
  <c r="T173" i="82"/>
  <c r="T277" i="82"/>
  <c r="T119" i="82"/>
  <c r="T129" i="82"/>
  <c r="R210" i="82"/>
  <c r="Q210" i="82" s="1"/>
  <c r="U210" i="82" s="1"/>
  <c r="T257" i="82"/>
  <c r="U138" i="82"/>
  <c r="U150" i="82"/>
  <c r="T185" i="82"/>
  <c r="T148" i="82"/>
  <c r="U149" i="82"/>
  <c r="T188" i="82"/>
  <c r="T190" i="82"/>
  <c r="U197" i="82"/>
  <c r="V197" i="82" s="1"/>
  <c r="W197" i="82" s="1"/>
  <c r="U199" i="82"/>
  <c r="T200" i="82"/>
  <c r="T285" i="82"/>
  <c r="T203" i="82"/>
  <c r="N2" i="82"/>
  <c r="O2" i="82" s="1"/>
  <c r="AC2" i="82" s="1"/>
  <c r="AE2" i="82" s="1"/>
  <c r="D12" i="65"/>
  <c r="E12" i="65"/>
  <c r="F12" i="65"/>
  <c r="H12" i="65"/>
  <c r="I12" i="65"/>
  <c r="J12" i="65"/>
  <c r="K12" i="65"/>
  <c r="H19" i="64"/>
  <c r="X3" i="82"/>
  <c r="X4" i="82"/>
  <c r="X5" i="82"/>
  <c r="X6" i="82"/>
  <c r="X8" i="82"/>
  <c r="X9" i="82"/>
  <c r="X10" i="82"/>
  <c r="X11" i="82"/>
  <c r="X12" i="82"/>
  <c r="X13" i="82"/>
  <c r="X14" i="82"/>
  <c r="X15" i="82"/>
  <c r="X16" i="82"/>
  <c r="X17" i="82"/>
  <c r="X18" i="82"/>
  <c r="X20" i="82"/>
  <c r="X21" i="82"/>
  <c r="X22" i="82"/>
  <c r="X23" i="82"/>
  <c r="X60" i="82"/>
  <c r="X78" i="82"/>
  <c r="X25" i="82"/>
  <c r="X26" i="82"/>
  <c r="X27" i="82"/>
  <c r="X28" i="82"/>
  <c r="X29" i="82"/>
  <c r="X89" i="82"/>
  <c r="X33" i="82"/>
  <c r="X34" i="82"/>
  <c r="X35" i="82"/>
  <c r="X36" i="82"/>
  <c r="X30" i="82"/>
  <c r="X31" i="82"/>
  <c r="X39" i="82"/>
  <c r="X40" i="82"/>
  <c r="X41" i="82"/>
  <c r="X101" i="82"/>
  <c r="X42" i="82"/>
  <c r="X43" i="82"/>
  <c r="X44" i="82"/>
  <c r="X45" i="82"/>
  <c r="X46" i="82"/>
  <c r="X48" i="82"/>
  <c r="X49" i="82"/>
  <c r="X50" i="82"/>
  <c r="X51" i="82"/>
  <c r="X54" i="82"/>
  <c r="X52" i="82"/>
  <c r="X53" i="82"/>
  <c r="X7" i="82"/>
  <c r="X56" i="82"/>
  <c r="X57" i="82"/>
  <c r="X58" i="82"/>
  <c r="X55" i="82"/>
  <c r="X59" i="82"/>
  <c r="X19" i="82"/>
  <c r="X124" i="82"/>
  <c r="X62" i="82"/>
  <c r="X63" i="82"/>
  <c r="X64" i="82"/>
  <c r="X65" i="82"/>
  <c r="X66" i="82"/>
  <c r="X67" i="82"/>
  <c r="X68" i="82"/>
  <c r="X69" i="82"/>
  <c r="X72" i="82"/>
  <c r="X70" i="82"/>
  <c r="X71" i="82"/>
  <c r="X73" i="82"/>
  <c r="X74" i="82"/>
  <c r="X75" i="82"/>
  <c r="X76" i="82"/>
  <c r="X77" i="82"/>
  <c r="X24" i="82"/>
  <c r="X143" i="82"/>
  <c r="X80" i="82"/>
  <c r="X81" i="82"/>
  <c r="X82" i="82"/>
  <c r="X83" i="82"/>
  <c r="X84" i="82"/>
  <c r="X32" i="82"/>
  <c r="X85" i="82"/>
  <c r="X86" i="82"/>
  <c r="X87" i="82"/>
  <c r="X88" i="82"/>
  <c r="X90" i="82"/>
  <c r="X91" i="82"/>
  <c r="X92" i="82"/>
  <c r="X93" i="82"/>
  <c r="X96" i="82"/>
  <c r="X94" i="82"/>
  <c r="X95" i="82"/>
  <c r="X97" i="82"/>
  <c r="X99" i="82"/>
  <c r="X47" i="82"/>
  <c r="X100" i="82"/>
  <c r="X98" i="82"/>
  <c r="X102" i="82"/>
  <c r="X103" i="82"/>
  <c r="X104" i="82"/>
  <c r="X105" i="82"/>
  <c r="X106" i="82"/>
  <c r="X107" i="82"/>
  <c r="X108" i="82"/>
  <c r="X109" i="82"/>
  <c r="X110" i="82"/>
  <c r="X111" i="82"/>
  <c r="X112" i="82"/>
  <c r="X113" i="82"/>
  <c r="X114" i="82"/>
  <c r="X120" i="82"/>
  <c r="X121" i="82"/>
  <c r="X61" i="82"/>
  <c r="X122" i="82"/>
  <c r="X115" i="82"/>
  <c r="X116" i="82"/>
  <c r="X117" i="82"/>
  <c r="X118" i="82"/>
  <c r="X252" i="82"/>
  <c r="X276" i="82"/>
  <c r="X137" i="82"/>
  <c r="X169" i="82"/>
  <c r="X170" i="82"/>
  <c r="X171" i="82"/>
  <c r="X172" i="82"/>
  <c r="X215" i="82"/>
  <c r="X173" i="82"/>
  <c r="X174" i="82"/>
  <c r="S12" i="65" s="1"/>
  <c r="X277" i="82"/>
  <c r="X253" i="82"/>
  <c r="X119" i="82"/>
  <c r="X126" i="82"/>
  <c r="X127" i="82"/>
  <c r="X129" i="82"/>
  <c r="X128" i="82"/>
  <c r="X130" i="82"/>
  <c r="X256" i="82"/>
  <c r="X278" i="82"/>
  <c r="X180" i="82"/>
  <c r="X175" i="82"/>
  <c r="X176" i="82"/>
  <c r="X177" i="82"/>
  <c r="X216" i="82"/>
  <c r="X178" i="82"/>
  <c r="X179" i="82"/>
  <c r="X279" i="82"/>
  <c r="X207" i="82"/>
  <c r="X208" i="82"/>
  <c r="X210" i="82"/>
  <c r="X211" i="82"/>
  <c r="X212" i="82"/>
  <c r="X257" i="82"/>
  <c r="X209" i="82"/>
  <c r="X214" i="82"/>
  <c r="X131" i="82"/>
  <c r="X220" i="82"/>
  <c r="X138" i="82"/>
  <c r="X222" i="82"/>
  <c r="X145" i="82"/>
  <c r="X225" i="82"/>
  <c r="X146" i="82"/>
  <c r="X147" i="82"/>
  <c r="X150" i="82"/>
  <c r="X260" i="82"/>
  <c r="X280" i="82"/>
  <c r="X181" i="82"/>
  <c r="X182" i="82"/>
  <c r="X183" i="82"/>
  <c r="X184" i="82"/>
  <c r="X217" i="82"/>
  <c r="X185" i="82"/>
  <c r="X186" i="82"/>
  <c r="X281" i="82"/>
  <c r="X261" i="82"/>
  <c r="X148" i="82"/>
  <c r="X149" i="82"/>
  <c r="X187" i="82"/>
  <c r="X188" i="82"/>
  <c r="X189" i="82"/>
  <c r="X190" i="82"/>
  <c r="X264" i="82"/>
  <c r="X282" i="82"/>
  <c r="X198" i="82"/>
  <c r="X193" i="82"/>
  <c r="X194" i="82"/>
  <c r="X195" i="82"/>
  <c r="X218" i="82"/>
  <c r="X196" i="82"/>
  <c r="X197" i="82"/>
  <c r="X283" i="82"/>
  <c r="X265" i="82"/>
  <c r="X191" i="82"/>
  <c r="X192" i="82"/>
  <c r="X199" i="82"/>
  <c r="X200" i="82"/>
  <c r="X201" i="82"/>
  <c r="X202" i="82"/>
  <c r="X284" i="82"/>
  <c r="X285" i="82"/>
  <c r="X203" i="82"/>
  <c r="X204" i="82"/>
  <c r="X205" i="82"/>
  <c r="X206" i="82"/>
  <c r="X2" i="82"/>
  <c r="AB28" i="82"/>
  <c r="I28" i="82"/>
  <c r="H28" i="82"/>
  <c r="AB27" i="82"/>
  <c r="I27" i="82"/>
  <c r="H27" i="82"/>
  <c r="AB26" i="82"/>
  <c r="I26" i="82"/>
  <c r="H26" i="82"/>
  <c r="AB25" i="82"/>
  <c r="I25" i="82"/>
  <c r="H25" i="82"/>
  <c r="AB78" i="82"/>
  <c r="I78" i="82"/>
  <c r="H78" i="82"/>
  <c r="AB60" i="82"/>
  <c r="I60" i="82"/>
  <c r="H60" i="82"/>
  <c r="I145" i="82"/>
  <c r="H145" i="82"/>
  <c r="P145" i="82" s="1"/>
  <c r="I198" i="82"/>
  <c r="H198" i="82"/>
  <c r="P198" i="82" s="1"/>
  <c r="AB77" i="82"/>
  <c r="I77" i="82"/>
  <c r="H77" i="82"/>
  <c r="AB76" i="82"/>
  <c r="I76" i="82"/>
  <c r="H76" i="82"/>
  <c r="I208" i="82"/>
  <c r="H208" i="82"/>
  <c r="AB75" i="82"/>
  <c r="I75" i="82"/>
  <c r="H75" i="82"/>
  <c r="AB74" i="82"/>
  <c r="I74" i="82"/>
  <c r="H74" i="82"/>
  <c r="AB73" i="82"/>
  <c r="I73" i="82"/>
  <c r="H73" i="82"/>
  <c r="AB24" i="82"/>
  <c r="I24" i="82"/>
  <c r="H24" i="82"/>
  <c r="I282" i="82"/>
  <c r="H282" i="82"/>
  <c r="P282" i="82" s="1"/>
  <c r="AB23" i="82"/>
  <c r="I23" i="82"/>
  <c r="H23" i="82"/>
  <c r="AB22" i="82"/>
  <c r="I22" i="82"/>
  <c r="H22" i="82"/>
  <c r="AB21" i="82"/>
  <c r="I21" i="82"/>
  <c r="H21" i="82"/>
  <c r="AB20" i="82"/>
  <c r="I20" i="82"/>
  <c r="H20" i="82"/>
  <c r="AB18" i="82"/>
  <c r="I18" i="82"/>
  <c r="H18" i="82"/>
  <c r="AB17" i="82"/>
  <c r="I17" i="82"/>
  <c r="H17" i="82"/>
  <c r="I222" i="82"/>
  <c r="H222" i="82"/>
  <c r="I187" i="82"/>
  <c r="H187" i="82"/>
  <c r="P187" i="82" s="1"/>
  <c r="AB59" i="82"/>
  <c r="I59" i="82"/>
  <c r="H59" i="82"/>
  <c r="AB55" i="82"/>
  <c r="I55" i="82"/>
  <c r="H55" i="82"/>
  <c r="I207" i="82"/>
  <c r="H207" i="82"/>
  <c r="AB58" i="82"/>
  <c r="I58" i="82"/>
  <c r="H58" i="82"/>
  <c r="AB57" i="82"/>
  <c r="I57" i="82"/>
  <c r="H57" i="82"/>
  <c r="AB56" i="82"/>
  <c r="I56" i="82"/>
  <c r="H56" i="82"/>
  <c r="AB19" i="82"/>
  <c r="I19" i="82"/>
  <c r="H19" i="82"/>
  <c r="I149" i="82"/>
  <c r="H149" i="82"/>
  <c r="P149" i="82" s="1"/>
  <c r="AB16" i="82"/>
  <c r="I16" i="82"/>
  <c r="H16" i="82"/>
  <c r="AB15" i="82"/>
  <c r="I15" i="82"/>
  <c r="H15" i="82"/>
  <c r="AB14" i="82"/>
  <c r="I14" i="82"/>
  <c r="H14" i="82"/>
  <c r="AB13" i="82"/>
  <c r="I13" i="82"/>
  <c r="H13" i="82"/>
  <c r="AB12" i="82"/>
  <c r="I12" i="82"/>
  <c r="H12" i="82"/>
  <c r="I138" i="82"/>
  <c r="H138" i="82"/>
  <c r="P138" i="82" s="1"/>
  <c r="I281" i="82"/>
  <c r="H281" i="82"/>
  <c r="P281" i="82" s="1"/>
  <c r="AB49" i="82"/>
  <c r="I49" i="82"/>
  <c r="H49" i="82"/>
  <c r="AB48" i="82"/>
  <c r="I48" i="82"/>
  <c r="H48" i="82"/>
  <c r="I186" i="82"/>
  <c r="H186" i="82"/>
  <c r="P186" i="82" s="1"/>
  <c r="I220" i="82"/>
  <c r="H220" i="82"/>
  <c r="AB11" i="82"/>
  <c r="I11" i="82"/>
  <c r="H11" i="82"/>
  <c r="AB10" i="82"/>
  <c r="I10" i="82"/>
  <c r="H10" i="82"/>
  <c r="AB9" i="82"/>
  <c r="I9" i="82"/>
  <c r="H9" i="82"/>
  <c r="AB8" i="82"/>
  <c r="I8" i="82"/>
  <c r="H8" i="82"/>
  <c r="AB6" i="82"/>
  <c r="I6" i="82"/>
  <c r="H6" i="82"/>
  <c r="AB5" i="82"/>
  <c r="I5" i="82"/>
  <c r="H5" i="82"/>
  <c r="I131" i="82"/>
  <c r="H131" i="82"/>
  <c r="P131" i="82" s="1"/>
  <c r="I184" i="82"/>
  <c r="H184" i="82"/>
  <c r="P184" i="82" s="1"/>
  <c r="AB41" i="82"/>
  <c r="I41" i="82"/>
  <c r="H41" i="82"/>
  <c r="AB40" i="82"/>
  <c r="I40" i="82"/>
  <c r="H40" i="82"/>
  <c r="AB39" i="82"/>
  <c r="I39" i="82"/>
  <c r="H39" i="82"/>
  <c r="AB31" i="82"/>
  <c r="I31" i="82"/>
  <c r="H31" i="82"/>
  <c r="AB30" i="82"/>
  <c r="I30" i="82"/>
  <c r="H30" i="82"/>
  <c r="AB7" i="82"/>
  <c r="I7" i="82"/>
  <c r="H7" i="82"/>
  <c r="I182" i="82"/>
  <c r="H182" i="82"/>
  <c r="P182" i="82" s="1"/>
  <c r="I192" i="82"/>
  <c r="H192" i="82"/>
  <c r="P192" i="82" s="1"/>
  <c r="AB115" i="82"/>
  <c r="I115" i="82"/>
  <c r="H115" i="82"/>
  <c r="AB122" i="82"/>
  <c r="I122" i="82"/>
  <c r="H122" i="82"/>
  <c r="I210" i="82"/>
  <c r="H210" i="82"/>
  <c r="AB61" i="82"/>
  <c r="I61" i="82"/>
  <c r="H61" i="82"/>
  <c r="AB121" i="82"/>
  <c r="I121" i="82"/>
  <c r="H121" i="82"/>
  <c r="AB120" i="82"/>
  <c r="I120" i="82"/>
  <c r="H120" i="82"/>
  <c r="AB116" i="82"/>
  <c r="I116" i="82"/>
  <c r="H116" i="82"/>
  <c r="P116" i="82" s="1"/>
  <c r="I191" i="82"/>
  <c r="H191" i="82"/>
  <c r="P191" i="82" s="1"/>
  <c r="I181" i="82"/>
  <c r="H181" i="82"/>
  <c r="P181" i="82" s="1"/>
  <c r="AB53" i="82"/>
  <c r="I53" i="82"/>
  <c r="H53" i="82"/>
  <c r="AB52" i="82"/>
  <c r="I52" i="82"/>
  <c r="H52" i="82"/>
  <c r="AB54" i="82"/>
  <c r="I54" i="82"/>
  <c r="H54" i="82"/>
  <c r="AB51" i="82"/>
  <c r="I51" i="82"/>
  <c r="H51" i="82"/>
  <c r="AB50" i="82"/>
  <c r="I50" i="82"/>
  <c r="H50" i="82"/>
  <c r="AB46" i="82"/>
  <c r="I46" i="82"/>
  <c r="H46" i="82"/>
  <c r="I280" i="82"/>
  <c r="H280" i="82"/>
  <c r="P280" i="82" s="1"/>
  <c r="I265" i="82"/>
  <c r="H265" i="82"/>
  <c r="P265" i="82" s="1"/>
  <c r="AB112" i="82"/>
  <c r="I112" i="82"/>
  <c r="H112" i="82"/>
  <c r="AB111" i="82"/>
  <c r="I111" i="82"/>
  <c r="H111" i="82"/>
  <c r="AB110" i="82"/>
  <c r="I110" i="82"/>
  <c r="H110" i="82"/>
  <c r="AB109" i="82"/>
  <c r="I109" i="82"/>
  <c r="H109" i="82"/>
  <c r="AB113" i="82"/>
  <c r="I113" i="82"/>
  <c r="H113" i="82"/>
  <c r="I283" i="82"/>
  <c r="H283" i="82"/>
  <c r="P283" i="82" s="1"/>
  <c r="I260" i="82"/>
  <c r="H260" i="82"/>
  <c r="P260" i="82" s="1"/>
  <c r="AB45" i="82"/>
  <c r="I45" i="82"/>
  <c r="H45" i="82"/>
  <c r="AB44" i="82"/>
  <c r="I44" i="82"/>
  <c r="H44" i="82"/>
  <c r="AB43" i="82"/>
  <c r="I43" i="82"/>
  <c r="H43" i="82"/>
  <c r="AB42" i="82"/>
  <c r="I42" i="82"/>
  <c r="H42" i="82"/>
  <c r="AB101" i="82"/>
  <c r="I101" i="82"/>
  <c r="H101" i="82"/>
  <c r="AB36" i="82"/>
  <c r="I36" i="82"/>
  <c r="H36" i="82"/>
  <c r="I150" i="82"/>
  <c r="H150" i="82"/>
  <c r="P150" i="82" s="1"/>
  <c r="I197" i="82"/>
  <c r="H197" i="82"/>
  <c r="P197" i="82" s="1"/>
  <c r="AB98" i="82"/>
  <c r="I98" i="82"/>
  <c r="H98" i="82"/>
  <c r="AB100" i="82"/>
  <c r="I100" i="82"/>
  <c r="H100" i="82"/>
  <c r="AB47" i="82"/>
  <c r="I47" i="82"/>
  <c r="H47" i="82"/>
  <c r="AB99" i="82"/>
  <c r="I99" i="82"/>
  <c r="H99" i="82"/>
  <c r="AB97" i="82"/>
  <c r="I97" i="82"/>
  <c r="H97" i="82"/>
  <c r="AB102" i="82"/>
  <c r="I102" i="82"/>
  <c r="H102" i="82"/>
  <c r="I196" i="82"/>
  <c r="H196" i="82"/>
  <c r="P196" i="82" s="1"/>
  <c r="I147" i="82"/>
  <c r="H147" i="82"/>
  <c r="P147" i="82" s="1"/>
  <c r="AB35" i="82"/>
  <c r="I35" i="82"/>
  <c r="H35" i="82"/>
  <c r="AB34" i="82"/>
  <c r="I34" i="82"/>
  <c r="H34" i="82"/>
  <c r="AB33" i="82"/>
  <c r="I33" i="82"/>
  <c r="H33" i="82"/>
  <c r="AB89" i="82"/>
  <c r="I89" i="82"/>
  <c r="H89" i="82"/>
  <c r="AB29" i="82"/>
  <c r="I29" i="82"/>
  <c r="H29" i="82"/>
  <c r="I146" i="82"/>
  <c r="H146" i="82"/>
  <c r="P146" i="82" s="1"/>
  <c r="I218" i="82"/>
  <c r="H218" i="82"/>
  <c r="P218" i="82" s="1"/>
  <c r="AB88" i="82"/>
  <c r="I88" i="82"/>
  <c r="H88" i="82"/>
  <c r="AB87" i="82"/>
  <c r="I87" i="82"/>
  <c r="H87" i="82"/>
  <c r="AB86" i="82"/>
  <c r="I86" i="82"/>
  <c r="H86" i="82"/>
  <c r="AB85" i="82"/>
  <c r="I85" i="82"/>
  <c r="H85" i="82"/>
  <c r="AB32" i="82"/>
  <c r="I32" i="82"/>
  <c r="H32" i="82"/>
  <c r="AB90" i="82"/>
  <c r="I90" i="82"/>
  <c r="H90" i="82"/>
  <c r="I195" i="82"/>
  <c r="H195" i="82"/>
  <c r="P195" i="82" s="1"/>
  <c r="I225" i="82"/>
  <c r="H225" i="82"/>
  <c r="I203" i="82"/>
  <c r="H203" i="82"/>
  <c r="P203" i="82" s="1"/>
  <c r="I190" i="82"/>
  <c r="H190" i="82"/>
  <c r="P190" i="82" s="1"/>
  <c r="AB94" i="82"/>
  <c r="I94" i="82"/>
  <c r="H94" i="82"/>
  <c r="AB96" i="82"/>
  <c r="I96" i="82"/>
  <c r="H96" i="82"/>
  <c r="AB93" i="82"/>
  <c r="I93" i="82"/>
  <c r="H93" i="82"/>
  <c r="AB92" i="82"/>
  <c r="I92" i="82"/>
  <c r="H92" i="82"/>
  <c r="AB91" i="82"/>
  <c r="I91" i="82"/>
  <c r="H91" i="82"/>
  <c r="AB84" i="82"/>
  <c r="I84" i="82"/>
  <c r="H84" i="82"/>
  <c r="I189" i="82"/>
  <c r="H189" i="82"/>
  <c r="P189" i="82" s="1"/>
  <c r="I285" i="82"/>
  <c r="H285" i="82"/>
  <c r="P285" i="82" s="1"/>
  <c r="AB127" i="82"/>
  <c r="I127" i="82"/>
  <c r="H127" i="82"/>
  <c r="P127" i="82" s="1"/>
  <c r="AB126" i="82"/>
  <c r="I126" i="82"/>
  <c r="H126" i="82"/>
  <c r="P126" i="82" s="1"/>
  <c r="I257" i="82"/>
  <c r="H257" i="82"/>
  <c r="P257" i="82" s="1"/>
  <c r="AB119" i="82"/>
  <c r="I119" i="82"/>
  <c r="H119" i="82"/>
  <c r="P119" i="82" s="1"/>
  <c r="AB253" i="82"/>
  <c r="I253" i="82"/>
  <c r="H253" i="82"/>
  <c r="P253" i="82" s="1"/>
  <c r="AB277" i="82"/>
  <c r="I277" i="82"/>
  <c r="H277" i="82"/>
  <c r="P277" i="82" s="1"/>
  <c r="AB129" i="82"/>
  <c r="I129" i="82"/>
  <c r="H129" i="82"/>
  <c r="P129" i="82" s="1"/>
  <c r="I284" i="82"/>
  <c r="H284" i="82"/>
  <c r="P284" i="82" s="1"/>
  <c r="I188" i="82"/>
  <c r="H188" i="82"/>
  <c r="P188" i="82" s="1"/>
  <c r="AB83" i="82"/>
  <c r="I83" i="82"/>
  <c r="H83" i="82"/>
  <c r="AB82" i="82"/>
  <c r="I82" i="82"/>
  <c r="H82" i="82"/>
  <c r="AB81" i="82"/>
  <c r="I81" i="82"/>
  <c r="H81" i="82"/>
  <c r="AB80" i="82"/>
  <c r="I80" i="82"/>
  <c r="H80" i="82"/>
  <c r="AB143" i="82"/>
  <c r="I143" i="82"/>
  <c r="H143" i="82"/>
  <c r="AB71" i="82"/>
  <c r="I71" i="82"/>
  <c r="H71" i="82"/>
  <c r="I148" i="82"/>
  <c r="H148" i="82"/>
  <c r="P148" i="82" s="1"/>
  <c r="I202" i="82"/>
  <c r="H202" i="82"/>
  <c r="P202" i="82" s="1"/>
  <c r="AB173" i="82"/>
  <c r="I173" i="82"/>
  <c r="H173" i="82"/>
  <c r="P173" i="82" s="1"/>
  <c r="AB215" i="82"/>
  <c r="I215" i="82"/>
  <c r="H215" i="82"/>
  <c r="P215" i="82" s="1"/>
  <c r="I212" i="82"/>
  <c r="H212" i="82"/>
  <c r="AB172" i="82"/>
  <c r="I172" i="82"/>
  <c r="H172" i="82"/>
  <c r="P172" i="82" s="1"/>
  <c r="AB171" i="82"/>
  <c r="I171" i="82"/>
  <c r="H171" i="82"/>
  <c r="P171" i="82" s="1"/>
  <c r="AB170" i="82"/>
  <c r="I170" i="82"/>
  <c r="H170" i="82"/>
  <c r="P170" i="82" s="1"/>
  <c r="AB174" i="82"/>
  <c r="U12" i="65" s="1"/>
  <c r="I174" i="82"/>
  <c r="G12" i="65" s="1"/>
  <c r="H174" i="82"/>
  <c r="P174" i="82" s="1"/>
  <c r="I201" i="82"/>
  <c r="H201" i="82"/>
  <c r="P201" i="82" s="1"/>
  <c r="I261" i="82"/>
  <c r="H261" i="82"/>
  <c r="P261" i="82" s="1"/>
  <c r="AB70" i="82"/>
  <c r="I70" i="82"/>
  <c r="H70" i="82"/>
  <c r="AB72" i="82"/>
  <c r="I72" i="82"/>
  <c r="H72" i="82"/>
  <c r="AB69" i="82"/>
  <c r="I69" i="82"/>
  <c r="H69" i="82"/>
  <c r="AB68" i="82"/>
  <c r="I68" i="82"/>
  <c r="H68" i="82"/>
  <c r="AB67" i="82"/>
  <c r="I67" i="82"/>
  <c r="H67" i="82"/>
  <c r="AB66" i="82"/>
  <c r="I66" i="82"/>
  <c r="H66" i="82"/>
  <c r="I185" i="82"/>
  <c r="H185" i="82"/>
  <c r="P185" i="82" s="1"/>
  <c r="I200" i="82"/>
  <c r="H200" i="82"/>
  <c r="P200" i="82" s="1"/>
  <c r="AB169" i="82"/>
  <c r="I169" i="82"/>
  <c r="H169" i="82"/>
  <c r="P169" i="82" s="1"/>
  <c r="AB137" i="82"/>
  <c r="I137" i="82"/>
  <c r="H137" i="82"/>
  <c r="I211" i="82"/>
  <c r="H211" i="82"/>
  <c r="AB252" i="82"/>
  <c r="I252" i="82"/>
  <c r="H252" i="82"/>
  <c r="P252" i="82" s="1"/>
  <c r="AB118" i="82"/>
  <c r="I118" i="82"/>
  <c r="H118" i="82"/>
  <c r="P118" i="82" s="1"/>
  <c r="AB117" i="82"/>
  <c r="I117" i="82"/>
  <c r="H117" i="82"/>
  <c r="P117" i="82" s="1"/>
  <c r="AB276" i="82"/>
  <c r="I276" i="82"/>
  <c r="H276" i="82"/>
  <c r="P276" i="82" s="1"/>
  <c r="I199" i="82"/>
  <c r="H199" i="82"/>
  <c r="P199" i="82" s="1"/>
  <c r="I217" i="82"/>
  <c r="H217" i="82"/>
  <c r="P217" i="82" s="1"/>
  <c r="AB65" i="82"/>
  <c r="I65" i="82"/>
  <c r="H65" i="82"/>
  <c r="AB64" i="82"/>
  <c r="I64" i="82"/>
  <c r="H64" i="82"/>
  <c r="AB63" i="82"/>
  <c r="I63" i="82"/>
  <c r="H63" i="82"/>
  <c r="AB62" i="82"/>
  <c r="I62" i="82"/>
  <c r="H62" i="82"/>
  <c r="AB124" i="82"/>
  <c r="I124" i="82"/>
  <c r="H124" i="82"/>
  <c r="T31" i="82" l="1"/>
  <c r="R66" i="82"/>
  <c r="Q66" i="82" s="1"/>
  <c r="U66" i="82" s="1"/>
  <c r="V66" i="82" s="1"/>
  <c r="W66" i="82" s="1"/>
  <c r="G13" i="65"/>
  <c r="AC2" i="83"/>
  <c r="AE2" i="83" s="1"/>
  <c r="AC16" i="83"/>
  <c r="AC11" i="83"/>
  <c r="AE11" i="83" s="1"/>
  <c r="AC20" i="83"/>
  <c r="AE20" i="83" s="1"/>
  <c r="AC12" i="83"/>
  <c r="AE12" i="83" s="1"/>
  <c r="U30" i="83"/>
  <c r="V30" i="83" s="1"/>
  <c r="W30" i="83" s="1"/>
  <c r="AA30" i="83" s="1"/>
  <c r="AC9" i="83"/>
  <c r="AE9" i="83" s="1"/>
  <c r="U29" i="83"/>
  <c r="V29" i="83" s="1"/>
  <c r="W29" i="83" s="1"/>
  <c r="AA29" i="83" s="1"/>
  <c r="AC22" i="83"/>
  <c r="AE22" i="83" s="1"/>
  <c r="M13" i="65"/>
  <c r="T20" i="83"/>
  <c r="P3" i="63"/>
  <c r="AC21" i="83"/>
  <c r="AE21" i="83" s="1"/>
  <c r="T31" i="83"/>
  <c r="AC30" i="83"/>
  <c r="AE30" i="83" s="1"/>
  <c r="AC29" i="83"/>
  <c r="AE29" i="83" s="1"/>
  <c r="AC31" i="83"/>
  <c r="AE31" i="83" s="1"/>
  <c r="AC32" i="83"/>
  <c r="AE32" i="83" s="1"/>
  <c r="AC3" i="83"/>
  <c r="AE3" i="83" s="1"/>
  <c r="T21" i="83"/>
  <c r="T29" i="83"/>
  <c r="T12" i="83"/>
  <c r="U16" i="83"/>
  <c r="V16" i="83" s="1"/>
  <c r="W16" i="83" s="1"/>
  <c r="AA16" i="83" s="1"/>
  <c r="U21" i="83"/>
  <c r="V21" i="83" s="1"/>
  <c r="W21" i="83" s="1"/>
  <c r="AA21" i="83" s="1"/>
  <c r="U19" i="83"/>
  <c r="V19" i="83" s="1"/>
  <c r="W19" i="83" s="1"/>
  <c r="AA19" i="83" s="1"/>
  <c r="U3" i="83"/>
  <c r="V3" i="83" s="1"/>
  <c r="W3" i="83" s="1"/>
  <c r="T3" i="83"/>
  <c r="U31" i="83"/>
  <c r="V31" i="83" s="1"/>
  <c r="W31" i="83" s="1"/>
  <c r="AA31" i="83" s="1"/>
  <c r="T19" i="83"/>
  <c r="U32" i="83"/>
  <c r="V32" i="83" s="1"/>
  <c r="W32" i="83" s="1"/>
  <c r="AA32" i="83" s="1"/>
  <c r="U22" i="83"/>
  <c r="V22" i="83" s="1"/>
  <c r="W22" i="83" s="1"/>
  <c r="AA22" i="83" s="1"/>
  <c r="T32" i="83"/>
  <c r="AC23" i="83"/>
  <c r="AE23" i="83" s="1"/>
  <c r="T14" i="83"/>
  <c r="AD19" i="83"/>
  <c r="U11" i="83"/>
  <c r="V11" i="83" s="1"/>
  <c r="W11" i="83" s="1"/>
  <c r="AA11" i="83" s="1"/>
  <c r="T11" i="83"/>
  <c r="T9" i="83"/>
  <c r="U9" i="83"/>
  <c r="V9" i="83" s="1"/>
  <c r="W9" i="83" s="1"/>
  <c r="AA9" i="83" s="1"/>
  <c r="U2" i="83"/>
  <c r="V2" i="83" s="1"/>
  <c r="W2" i="83" s="1"/>
  <c r="AA2" i="83" s="1"/>
  <c r="T2" i="83"/>
  <c r="T25" i="83"/>
  <c r="U25" i="83"/>
  <c r="V25" i="83" s="1"/>
  <c r="W25" i="83" s="1"/>
  <c r="AA25" i="83" s="1"/>
  <c r="AC13" i="83"/>
  <c r="AE13" i="83" s="1"/>
  <c r="T30" i="83"/>
  <c r="AC24" i="83"/>
  <c r="AE24" i="83" s="1"/>
  <c r="T16" i="83"/>
  <c r="T4" i="83"/>
  <c r="U4" i="83"/>
  <c r="V4" i="83" s="1"/>
  <c r="W4" i="83" s="1"/>
  <c r="AA4" i="83" s="1"/>
  <c r="T6" i="83"/>
  <c r="U6" i="83"/>
  <c r="V6" i="83" s="1"/>
  <c r="W6" i="83" s="1"/>
  <c r="AA6" i="83" s="1"/>
  <c r="T22" i="83"/>
  <c r="U12" i="83"/>
  <c r="V12" i="83" s="1"/>
  <c r="W12" i="83" s="1"/>
  <c r="AA12" i="83" s="1"/>
  <c r="U20" i="83"/>
  <c r="V20" i="83" s="1"/>
  <c r="W20" i="83" s="1"/>
  <c r="AA20" i="83" s="1"/>
  <c r="T28" i="83"/>
  <c r="U28" i="83"/>
  <c r="V28" i="83" s="1"/>
  <c r="W28" i="83" s="1"/>
  <c r="AA28" i="83" s="1"/>
  <c r="AC17" i="83"/>
  <c r="AE17" i="83" s="1"/>
  <c r="AC18" i="83"/>
  <c r="AE18" i="83" s="1"/>
  <c r="U174" i="82"/>
  <c r="Q12" i="65" s="1"/>
  <c r="M12" i="65"/>
  <c r="P30" i="82"/>
  <c r="P34" i="82"/>
  <c r="T58" i="82"/>
  <c r="P29" i="82"/>
  <c r="P111" i="82"/>
  <c r="P66" i="82"/>
  <c r="AD48" i="82"/>
  <c r="R29" i="82"/>
  <c r="Q29" i="82" s="1"/>
  <c r="U29" i="82" s="1"/>
  <c r="V29" i="82" s="1"/>
  <c r="W29" i="82" s="1"/>
  <c r="R34" i="82"/>
  <c r="Q34" i="82" s="1"/>
  <c r="U34" i="82" s="1"/>
  <c r="V34" i="82" s="1"/>
  <c r="W34" i="82" s="1"/>
  <c r="T45" i="82"/>
  <c r="R11" i="82"/>
  <c r="Q11" i="82" s="1"/>
  <c r="U11" i="82" s="1"/>
  <c r="V11" i="82" s="1"/>
  <c r="W11" i="82" s="1"/>
  <c r="T61" i="82"/>
  <c r="R23" i="82"/>
  <c r="Q23" i="82" s="1"/>
  <c r="U23" i="82" s="1"/>
  <c r="V23" i="82" s="1"/>
  <c r="W23" i="82" s="1"/>
  <c r="R60" i="82"/>
  <c r="Q60" i="82" s="1"/>
  <c r="U60" i="82" s="1"/>
  <c r="V60" i="82" s="1"/>
  <c r="W60" i="82" s="1"/>
  <c r="AD11" i="82"/>
  <c r="R48" i="82"/>
  <c r="Q48" i="82" s="1"/>
  <c r="U48" i="82" s="1"/>
  <c r="V48" i="82" s="1"/>
  <c r="W48" i="82" s="1"/>
  <c r="T11" i="82"/>
  <c r="T98" i="82"/>
  <c r="T14" i="82"/>
  <c r="P57" i="82"/>
  <c r="AD72" i="82"/>
  <c r="U184" i="82"/>
  <c r="V184" i="82" s="1"/>
  <c r="W184" i="82" s="1"/>
  <c r="U187" i="82"/>
  <c r="V187" i="82" s="1"/>
  <c r="W187" i="82" s="1"/>
  <c r="R12" i="82"/>
  <c r="Q12" i="82" s="1"/>
  <c r="U12" i="82" s="1"/>
  <c r="V12" i="82" s="1"/>
  <c r="W12" i="82" s="1"/>
  <c r="T207" i="82"/>
  <c r="R222" i="82"/>
  <c r="Q222" i="82" s="1"/>
  <c r="U222" i="82" s="1"/>
  <c r="V222" i="82" s="1"/>
  <c r="W222" i="82" s="1"/>
  <c r="T24" i="82"/>
  <c r="T40" i="82"/>
  <c r="U131" i="82"/>
  <c r="V131" i="82" s="1"/>
  <c r="W131" i="82" s="1"/>
  <c r="T12" i="82"/>
  <c r="T57" i="82"/>
  <c r="T131" i="82"/>
  <c r="P10" i="82"/>
  <c r="T17" i="82"/>
  <c r="R8" i="82"/>
  <c r="Q8" i="82" s="1"/>
  <c r="U8" i="82" s="1"/>
  <c r="V8" i="82" s="1"/>
  <c r="W8" i="82" s="1"/>
  <c r="U196" i="82"/>
  <c r="V196" i="82" s="1"/>
  <c r="W196" i="82" s="1"/>
  <c r="V150" i="82"/>
  <c r="W150" i="82" s="1"/>
  <c r="R41" i="82"/>
  <c r="Q41" i="82" s="1"/>
  <c r="U41" i="82" s="1"/>
  <c r="V41" i="82" s="1"/>
  <c r="W41" i="82" s="1"/>
  <c r="P14" i="82"/>
  <c r="P207" i="82"/>
  <c r="P8" i="82"/>
  <c r="P76" i="82"/>
  <c r="P89" i="82"/>
  <c r="P32" i="82"/>
  <c r="P25" i="82"/>
  <c r="T201" i="82"/>
  <c r="R102" i="82"/>
  <c r="Q102" i="82" s="1"/>
  <c r="U102" i="82" s="1"/>
  <c r="V102" i="82" s="1"/>
  <c r="W102" i="82" s="1"/>
  <c r="P225" i="82"/>
  <c r="P9" i="82"/>
  <c r="T48" i="82"/>
  <c r="P18" i="82"/>
  <c r="R77" i="82"/>
  <c r="Q77" i="82" s="1"/>
  <c r="U77" i="82" s="1"/>
  <c r="V77" i="82" s="1"/>
  <c r="W77" i="82" s="1"/>
  <c r="P42" i="82"/>
  <c r="P74" i="82"/>
  <c r="U195" i="82"/>
  <c r="V195" i="82" s="1"/>
  <c r="W195" i="82" s="1"/>
  <c r="T34" i="82"/>
  <c r="T196" i="82"/>
  <c r="T186" i="82"/>
  <c r="T222" i="82"/>
  <c r="T18" i="82"/>
  <c r="T23" i="82"/>
  <c r="U201" i="82"/>
  <c r="V201" i="82" s="1"/>
  <c r="W201" i="82" s="1"/>
  <c r="P48" i="82"/>
  <c r="AD18" i="82"/>
  <c r="T88" i="82"/>
  <c r="P45" i="82"/>
  <c r="P15" i="82"/>
  <c r="P19" i="82"/>
  <c r="P28" i="82"/>
  <c r="P62" i="82"/>
  <c r="P68" i="82"/>
  <c r="T195" i="82"/>
  <c r="T115" i="82"/>
  <c r="P31" i="82"/>
  <c r="T39" i="82"/>
  <c r="P41" i="82"/>
  <c r="T8" i="82"/>
  <c r="T138" i="82"/>
  <c r="R19" i="82"/>
  <c r="Q19" i="82" s="1"/>
  <c r="U19" i="82" s="1"/>
  <c r="V19" i="82" s="1"/>
  <c r="W19" i="82" s="1"/>
  <c r="P222" i="82"/>
  <c r="R75" i="82"/>
  <c r="Q75" i="82" s="1"/>
  <c r="U75" i="82" s="1"/>
  <c r="V75" i="82" s="1"/>
  <c r="W75" i="82" s="1"/>
  <c r="R26" i="82"/>
  <c r="Q26" i="82" s="1"/>
  <c r="U26" i="82" s="1"/>
  <c r="V26" i="82" s="1"/>
  <c r="W26" i="82" s="1"/>
  <c r="P67" i="82"/>
  <c r="P137" i="82"/>
  <c r="P88" i="82"/>
  <c r="T51" i="82"/>
  <c r="R30" i="82"/>
  <c r="Q30" i="82" s="1"/>
  <c r="U30" i="82" s="1"/>
  <c r="V30" i="82" s="1"/>
  <c r="W30" i="82" s="1"/>
  <c r="P40" i="82"/>
  <c r="P6" i="82"/>
  <c r="P12" i="82"/>
  <c r="R15" i="82"/>
  <c r="Q15" i="82" s="1"/>
  <c r="U15" i="82" s="1"/>
  <c r="V15" i="82" s="1"/>
  <c r="W15" i="82" s="1"/>
  <c r="R22" i="82"/>
  <c r="Q22" i="82" s="1"/>
  <c r="U22" i="82" s="1"/>
  <c r="V22" i="82" s="1"/>
  <c r="W22" i="82" s="1"/>
  <c r="T26" i="82"/>
  <c r="T30" i="82"/>
  <c r="P11" i="82"/>
  <c r="AD12" i="82"/>
  <c r="T149" i="82"/>
  <c r="P63" i="82"/>
  <c r="U118" i="82"/>
  <c r="V118" i="82" s="1"/>
  <c r="W118" i="82" s="1"/>
  <c r="R137" i="82"/>
  <c r="Q137" i="82" s="1"/>
  <c r="U137" i="82" s="1"/>
  <c r="V137" i="82" s="1"/>
  <c r="W137" i="82" s="1"/>
  <c r="R44" i="82"/>
  <c r="Q44" i="82" s="1"/>
  <c r="U44" i="82" s="1"/>
  <c r="V44" i="82" s="1"/>
  <c r="W44" i="82" s="1"/>
  <c r="T280" i="82"/>
  <c r="T116" i="82"/>
  <c r="AD22" i="82"/>
  <c r="AD170" i="82"/>
  <c r="AD85" i="82"/>
  <c r="U117" i="82"/>
  <c r="V117" i="82" s="1"/>
  <c r="W117" i="82" s="1"/>
  <c r="P220" i="82"/>
  <c r="T220" i="82"/>
  <c r="R220" i="82"/>
  <c r="Q220" i="82" s="1"/>
  <c r="U220" i="82" s="1"/>
  <c r="V220" i="82" s="1"/>
  <c r="W220" i="82" s="1"/>
  <c r="P53" i="82"/>
  <c r="T53" i="82"/>
  <c r="R49" i="82"/>
  <c r="Q49" i="82" s="1"/>
  <c r="U49" i="82" s="1"/>
  <c r="V49" i="82" s="1"/>
  <c r="W49" i="82" s="1"/>
  <c r="P49" i="82"/>
  <c r="T199" i="82"/>
  <c r="R211" i="82"/>
  <c r="Q211" i="82" s="1"/>
  <c r="U211" i="82" s="1"/>
  <c r="V211" i="82" s="1"/>
  <c r="W211" i="82" s="1"/>
  <c r="T211" i="82"/>
  <c r="P211" i="82"/>
  <c r="P87" i="82"/>
  <c r="R35" i="82"/>
  <c r="Q35" i="82" s="1"/>
  <c r="U35" i="82" s="1"/>
  <c r="V35" i="82" s="1"/>
  <c r="W35" i="82" s="1"/>
  <c r="R100" i="82"/>
  <c r="Q100" i="82" s="1"/>
  <c r="U100" i="82" s="1"/>
  <c r="V100" i="82" s="1"/>
  <c r="W100" i="82" s="1"/>
  <c r="P100" i="82"/>
  <c r="T43" i="82"/>
  <c r="R43" i="82"/>
  <c r="Q43" i="82" s="1"/>
  <c r="U43" i="82" s="1"/>
  <c r="V43" i="82" s="1"/>
  <c r="W43" i="82" s="1"/>
  <c r="T49" i="82"/>
  <c r="P208" i="82"/>
  <c r="R208" i="82"/>
  <c r="Q208" i="82" s="1"/>
  <c r="U208" i="82" s="1"/>
  <c r="V208" i="82" s="1"/>
  <c r="W208" i="82" s="1"/>
  <c r="T208" i="82"/>
  <c r="U169" i="82"/>
  <c r="V169" i="82" s="1"/>
  <c r="W169" i="82" s="1"/>
  <c r="P72" i="82"/>
  <c r="T72" i="82"/>
  <c r="T218" i="82"/>
  <c r="U218" i="82"/>
  <c r="V218" i="82" s="1"/>
  <c r="W218" i="82" s="1"/>
  <c r="T5" i="82"/>
  <c r="P5" i="82"/>
  <c r="R5" i="82"/>
  <c r="Q5" i="82" s="1"/>
  <c r="U5" i="82" s="1"/>
  <c r="V5" i="82" s="1"/>
  <c r="W5" i="82" s="1"/>
  <c r="T6" i="82"/>
  <c r="R6" i="82"/>
  <c r="Q6" i="82" s="1"/>
  <c r="U6" i="82" s="1"/>
  <c r="V6" i="82" s="1"/>
  <c r="W6" i="82" s="1"/>
  <c r="P55" i="82"/>
  <c r="T55" i="82"/>
  <c r="R55" i="82"/>
  <c r="Q55" i="82" s="1"/>
  <c r="U55" i="82" s="1"/>
  <c r="V55" i="82" s="1"/>
  <c r="W55" i="82" s="1"/>
  <c r="U217" i="82"/>
  <c r="V217" i="82" s="1"/>
  <c r="W217" i="82" s="1"/>
  <c r="T217" i="82"/>
  <c r="U200" i="82"/>
  <c r="V200" i="82" s="1"/>
  <c r="W200" i="82" s="1"/>
  <c r="T127" i="82"/>
  <c r="T111" i="82"/>
  <c r="R65" i="82"/>
  <c r="Q65" i="82" s="1"/>
  <c r="U65" i="82" s="1"/>
  <c r="V65" i="82" s="1"/>
  <c r="W65" i="82" s="1"/>
  <c r="P65" i="82"/>
  <c r="T85" i="82"/>
  <c r="R85" i="82"/>
  <c r="Q85" i="82" s="1"/>
  <c r="U85" i="82" s="1"/>
  <c r="V85" i="82" s="1"/>
  <c r="W85" i="82" s="1"/>
  <c r="P85" i="82"/>
  <c r="AD34" i="82"/>
  <c r="U147" i="82"/>
  <c r="V147" i="82" s="1"/>
  <c r="W147" i="82" s="1"/>
  <c r="AD102" i="82"/>
  <c r="T99" i="82"/>
  <c r="R99" i="82"/>
  <c r="Q99" i="82" s="1"/>
  <c r="U99" i="82" s="1"/>
  <c r="V99" i="82" s="1"/>
  <c r="W99" i="82" s="1"/>
  <c r="T117" i="82"/>
  <c r="P36" i="82"/>
  <c r="T36" i="82"/>
  <c r="R36" i="82"/>
  <c r="Q36" i="82" s="1"/>
  <c r="U36" i="82" s="1"/>
  <c r="V36" i="82" s="1"/>
  <c r="W36" i="82" s="1"/>
  <c r="T174" i="82"/>
  <c r="AD174" i="82"/>
  <c r="P212" i="82"/>
  <c r="AD36" i="82"/>
  <c r="R21" i="82"/>
  <c r="Q21" i="82" s="1"/>
  <c r="U21" i="82" s="1"/>
  <c r="V21" i="82" s="1"/>
  <c r="W21" i="82" s="1"/>
  <c r="P21" i="82"/>
  <c r="T21" i="82"/>
  <c r="V88" i="82"/>
  <c r="W88" i="82" s="1"/>
  <c r="P97" i="82"/>
  <c r="P98" i="82"/>
  <c r="P113" i="82"/>
  <c r="T113" i="82"/>
  <c r="P61" i="82"/>
  <c r="P39" i="82"/>
  <c r="V39" i="82"/>
  <c r="W39" i="82" s="1"/>
  <c r="T184" i="82"/>
  <c r="T9" i="82"/>
  <c r="R9" i="82"/>
  <c r="Q9" i="82" s="1"/>
  <c r="U9" i="82" s="1"/>
  <c r="V9" i="82" s="1"/>
  <c r="W9" i="82" s="1"/>
  <c r="U186" i="82"/>
  <c r="V186" i="82" s="1"/>
  <c r="W186" i="82" s="1"/>
  <c r="T281" i="82"/>
  <c r="U281" i="82"/>
  <c r="V281" i="82" s="1"/>
  <c r="W281" i="82" s="1"/>
  <c r="P20" i="82"/>
  <c r="T20" i="82"/>
  <c r="R20" i="82"/>
  <c r="Q20" i="82" s="1"/>
  <c r="U20" i="82" s="1"/>
  <c r="V20" i="82" s="1"/>
  <c r="W20" i="82" s="1"/>
  <c r="P73" i="82"/>
  <c r="R73" i="82"/>
  <c r="Q73" i="82" s="1"/>
  <c r="U73" i="82" s="1"/>
  <c r="V73" i="82" s="1"/>
  <c r="W73" i="82" s="1"/>
  <c r="T73" i="82"/>
  <c r="AD78" i="82"/>
  <c r="R25" i="82"/>
  <c r="Q25" i="82" s="1"/>
  <c r="U25" i="82" s="1"/>
  <c r="V25" i="82" s="1"/>
  <c r="W25" i="82" s="1"/>
  <c r="T25" i="82"/>
  <c r="V40" i="82"/>
  <c r="W40" i="82" s="1"/>
  <c r="P13" i="82"/>
  <c r="T13" i="82"/>
  <c r="R13" i="82"/>
  <c r="Q13" i="82" s="1"/>
  <c r="U13" i="82" s="1"/>
  <c r="V13" i="82" s="1"/>
  <c r="W13" i="82" s="1"/>
  <c r="P23" i="82"/>
  <c r="P69" i="82"/>
  <c r="P33" i="82"/>
  <c r="V97" i="82"/>
  <c r="W97" i="82" s="1"/>
  <c r="R10" i="82"/>
  <c r="Q10" i="82" s="1"/>
  <c r="U10" i="82" s="1"/>
  <c r="V10" i="82" s="1"/>
  <c r="W10" i="82" s="1"/>
  <c r="P16" i="82"/>
  <c r="T16" i="82"/>
  <c r="R16" i="82"/>
  <c r="Q16" i="82" s="1"/>
  <c r="U16" i="82" s="1"/>
  <c r="V16" i="82" s="1"/>
  <c r="W16" i="82" s="1"/>
  <c r="AD16" i="82"/>
  <c r="U198" i="82"/>
  <c r="V198" i="82" s="1"/>
  <c r="W198" i="82" s="1"/>
  <c r="T198" i="82"/>
  <c r="AD26" i="82"/>
  <c r="P7" i="82"/>
  <c r="P56" i="82"/>
  <c r="T56" i="82"/>
  <c r="R56" i="82"/>
  <c r="Q56" i="82" s="1"/>
  <c r="U56" i="82" s="1"/>
  <c r="V56" i="82" s="1"/>
  <c r="W56" i="82" s="1"/>
  <c r="AD56" i="82"/>
  <c r="R59" i="82"/>
  <c r="Q59" i="82" s="1"/>
  <c r="U59" i="82" s="1"/>
  <c r="V59" i="82" s="1"/>
  <c r="W59" i="82" s="1"/>
  <c r="P59" i="82"/>
  <c r="T59" i="82"/>
  <c r="Y24" i="82"/>
  <c r="V138" i="82"/>
  <c r="W138" i="82" s="1"/>
  <c r="V14" i="82"/>
  <c r="W14" i="82" s="1"/>
  <c r="V149" i="82"/>
  <c r="W149" i="82" s="1"/>
  <c r="V57" i="82"/>
  <c r="W57" i="82" s="1"/>
  <c r="P58" i="82"/>
  <c r="V58" i="82"/>
  <c r="W58" i="82" s="1"/>
  <c r="T187" i="82"/>
  <c r="P17" i="82"/>
  <c r="V17" i="82"/>
  <c r="W17" i="82" s="1"/>
  <c r="T22" i="82"/>
  <c r="U282" i="82"/>
  <c r="V282" i="82" s="1"/>
  <c r="W282" i="82" s="1"/>
  <c r="R74" i="82"/>
  <c r="Q74" i="82" s="1"/>
  <c r="U74" i="82" s="1"/>
  <c r="V74" i="82" s="1"/>
  <c r="W74" i="82" s="1"/>
  <c r="R76" i="82"/>
  <c r="Q76" i="82" s="1"/>
  <c r="U76" i="82" s="1"/>
  <c r="V76" i="82" s="1"/>
  <c r="W76" i="82" s="1"/>
  <c r="U145" i="82"/>
  <c r="V145" i="82" s="1"/>
  <c r="W145" i="82" s="1"/>
  <c r="P51" i="82"/>
  <c r="P115" i="82"/>
  <c r="R207" i="82"/>
  <c r="Q207" i="82" s="1"/>
  <c r="U207" i="82" s="1"/>
  <c r="V207" i="82" s="1"/>
  <c r="W207" i="82" s="1"/>
  <c r="R18" i="82"/>
  <c r="Q18" i="82" s="1"/>
  <c r="U18" i="82" s="1"/>
  <c r="V18" i="82" s="1"/>
  <c r="W18" i="82" s="1"/>
  <c r="P22" i="82"/>
  <c r="P24" i="82"/>
  <c r="P75" i="82"/>
  <c r="P77" i="82"/>
  <c r="P60" i="82"/>
  <c r="T282" i="82"/>
  <c r="T74" i="82"/>
  <c r="T76" i="82"/>
  <c r="T145" i="82"/>
  <c r="P78" i="82"/>
  <c r="T78" i="82"/>
  <c r="R78" i="82"/>
  <c r="Q78" i="82" s="1"/>
  <c r="U78" i="82" s="1"/>
  <c r="V78" i="82" s="1"/>
  <c r="W78" i="82" s="1"/>
  <c r="AD27" i="82"/>
  <c r="P26" i="82"/>
  <c r="R27" i="82"/>
  <c r="Q27" i="82" s="1"/>
  <c r="U27" i="82" s="1"/>
  <c r="V27" i="82" s="1"/>
  <c r="W27" i="82" s="1"/>
  <c r="T27" i="82"/>
  <c r="P27" i="82"/>
  <c r="R28" i="82"/>
  <c r="Q28" i="82" s="1"/>
  <c r="U28" i="82" s="1"/>
  <c r="V28" i="82" s="1"/>
  <c r="W28" i="82" s="1"/>
  <c r="Y33" i="82"/>
  <c r="T124" i="82"/>
  <c r="R124" i="82"/>
  <c r="Q124" i="82" s="1"/>
  <c r="U124" i="82" s="1"/>
  <c r="V124" i="82" s="1"/>
  <c r="W124" i="82" s="1"/>
  <c r="U283" i="82"/>
  <c r="V283" i="82" s="1"/>
  <c r="W283" i="82" s="1"/>
  <c r="T283" i="82"/>
  <c r="T225" i="82"/>
  <c r="R225" i="82"/>
  <c r="Q225" i="82" s="1"/>
  <c r="U225" i="82" s="1"/>
  <c r="V225" i="82" s="1"/>
  <c r="W225" i="82" s="1"/>
  <c r="T89" i="82"/>
  <c r="R89" i="82"/>
  <c r="Q89" i="82" s="1"/>
  <c r="U89" i="82" s="1"/>
  <c r="V89" i="82" s="1"/>
  <c r="W89" i="82" s="1"/>
  <c r="T70" i="82"/>
  <c r="P70" i="82"/>
  <c r="T32" i="82"/>
  <c r="R32" i="82"/>
  <c r="Q32" i="82" s="1"/>
  <c r="U32" i="82" s="1"/>
  <c r="V32" i="82" s="1"/>
  <c r="W32" i="82" s="1"/>
  <c r="Y197" i="82"/>
  <c r="T171" i="82"/>
  <c r="P50" i="82"/>
  <c r="R50" i="82"/>
  <c r="Q50" i="82" s="1"/>
  <c r="U50" i="82" s="1"/>
  <c r="V50" i="82" s="1"/>
  <c r="W50" i="82" s="1"/>
  <c r="T50" i="82"/>
  <c r="P121" i="82"/>
  <c r="R121" i="82"/>
  <c r="Q121" i="82" s="1"/>
  <c r="U121" i="82" s="1"/>
  <c r="V121" i="82" s="1"/>
  <c r="W121" i="82" s="1"/>
  <c r="T121" i="82"/>
  <c r="R63" i="82"/>
  <c r="Q63" i="82" s="1"/>
  <c r="U63" i="82" s="1"/>
  <c r="V63" i="82" s="1"/>
  <c r="W63" i="82" s="1"/>
  <c r="R70" i="82"/>
  <c r="Q70" i="82" s="1"/>
  <c r="U70" i="82" s="1"/>
  <c r="V70" i="82" s="1"/>
  <c r="W70" i="82" s="1"/>
  <c r="AD90" i="82"/>
  <c r="T87" i="82"/>
  <c r="R87" i="82"/>
  <c r="Q87" i="82" s="1"/>
  <c r="U87" i="82" s="1"/>
  <c r="V87" i="82" s="1"/>
  <c r="W87" i="82" s="1"/>
  <c r="U171" i="82"/>
  <c r="V171" i="82" s="1"/>
  <c r="W171" i="82" s="1"/>
  <c r="T67" i="82"/>
  <c r="R67" i="82"/>
  <c r="Q67" i="82" s="1"/>
  <c r="U67" i="82" s="1"/>
  <c r="V67" i="82" s="1"/>
  <c r="W67" i="82" s="1"/>
  <c r="T215" i="82"/>
  <c r="AD124" i="82"/>
  <c r="T172" i="82"/>
  <c r="AD86" i="82"/>
  <c r="T146" i="82"/>
  <c r="U146" i="82"/>
  <c r="V146" i="82" s="1"/>
  <c r="W146" i="82" s="1"/>
  <c r="P124" i="82"/>
  <c r="T64" i="82"/>
  <c r="P64" i="82"/>
  <c r="AD64" i="82"/>
  <c r="Y47" i="82"/>
  <c r="Y101" i="82"/>
  <c r="P112" i="82"/>
  <c r="T112" i="82"/>
  <c r="R112" i="82"/>
  <c r="Q112" i="82" s="1"/>
  <c r="U112" i="82" s="1"/>
  <c r="V112" i="82" s="1"/>
  <c r="W112" i="82" s="1"/>
  <c r="T181" i="82"/>
  <c r="U181" i="82"/>
  <c r="V181" i="82" s="1"/>
  <c r="W181" i="82" s="1"/>
  <c r="T192" i="82"/>
  <c r="U192" i="82"/>
  <c r="V192" i="82" s="1"/>
  <c r="W192" i="82" s="1"/>
  <c r="R90" i="82"/>
  <c r="Q90" i="82" s="1"/>
  <c r="U90" i="82" s="1"/>
  <c r="V90" i="82" s="1"/>
  <c r="W90" i="82" s="1"/>
  <c r="R86" i="82"/>
  <c r="Q86" i="82" s="1"/>
  <c r="U86" i="82" s="1"/>
  <c r="V86" i="82" s="1"/>
  <c r="W86" i="82" s="1"/>
  <c r="T42" i="82"/>
  <c r="R42" i="82"/>
  <c r="Q42" i="82" s="1"/>
  <c r="U42" i="82" s="1"/>
  <c r="V42" i="82" s="1"/>
  <c r="W42" i="82" s="1"/>
  <c r="T260" i="82"/>
  <c r="P110" i="82"/>
  <c r="R110" i="82"/>
  <c r="Q110" i="82" s="1"/>
  <c r="U110" i="82" s="1"/>
  <c r="V110" i="82" s="1"/>
  <c r="W110" i="82" s="1"/>
  <c r="T110" i="82"/>
  <c r="P46" i="82"/>
  <c r="T46" i="82"/>
  <c r="P52" i="82"/>
  <c r="R52" i="82"/>
  <c r="Q52" i="82" s="1"/>
  <c r="U52" i="82" s="1"/>
  <c r="V52" i="82" s="1"/>
  <c r="W52" i="82" s="1"/>
  <c r="T52" i="82"/>
  <c r="P120" i="82"/>
  <c r="T120" i="82"/>
  <c r="P122" i="82"/>
  <c r="R122" i="82"/>
  <c r="Q122" i="82" s="1"/>
  <c r="U122" i="82" s="1"/>
  <c r="V122" i="82" s="1"/>
  <c r="W122" i="82" s="1"/>
  <c r="T122" i="82"/>
  <c r="U185" i="82"/>
  <c r="V185" i="82" s="1"/>
  <c r="W185" i="82" s="1"/>
  <c r="R68" i="82"/>
  <c r="Q68" i="82" s="1"/>
  <c r="U68" i="82" s="1"/>
  <c r="V68" i="82" s="1"/>
  <c r="W68" i="82" s="1"/>
  <c r="T90" i="82"/>
  <c r="T86" i="82"/>
  <c r="P35" i="82"/>
  <c r="T35" i="82"/>
  <c r="P102" i="82"/>
  <c r="T102" i="82"/>
  <c r="P47" i="82"/>
  <c r="T47" i="82"/>
  <c r="T197" i="82"/>
  <c r="P101" i="82"/>
  <c r="T101" i="82"/>
  <c r="P43" i="82"/>
  <c r="U276" i="82"/>
  <c r="V276" i="82" s="1"/>
  <c r="W276" i="82" s="1"/>
  <c r="P71" i="82"/>
  <c r="P81" i="82"/>
  <c r="P91" i="82"/>
  <c r="P96" i="82"/>
  <c r="P90" i="82"/>
  <c r="P86" i="82"/>
  <c r="T33" i="82"/>
  <c r="T147" i="82"/>
  <c r="T97" i="82"/>
  <c r="P99" i="82"/>
  <c r="T100" i="82"/>
  <c r="T150" i="82"/>
  <c r="AD44" i="82"/>
  <c r="U260" i="82"/>
  <c r="V260" i="82" s="1"/>
  <c r="W260" i="82" s="1"/>
  <c r="P109" i="82"/>
  <c r="V109" i="82"/>
  <c r="W109" i="82" s="1"/>
  <c r="T109" i="82"/>
  <c r="U265" i="82"/>
  <c r="V265" i="82" s="1"/>
  <c r="W265" i="82" s="1"/>
  <c r="T265" i="82"/>
  <c r="R46" i="82"/>
  <c r="Q46" i="82" s="1"/>
  <c r="U46" i="82" s="1"/>
  <c r="V46" i="82" s="1"/>
  <c r="W46" i="82" s="1"/>
  <c r="P54" i="82"/>
  <c r="V54" i="82"/>
  <c r="W54" i="82" s="1"/>
  <c r="T54" i="82"/>
  <c r="U191" i="82"/>
  <c r="V191" i="82" s="1"/>
  <c r="W191" i="82" s="1"/>
  <c r="T191" i="82"/>
  <c r="R120" i="82"/>
  <c r="Q120" i="82" s="1"/>
  <c r="U120" i="82" s="1"/>
  <c r="V120" i="82" s="1"/>
  <c r="W120" i="82" s="1"/>
  <c r="P210" i="82"/>
  <c r="V210" i="82"/>
  <c r="W210" i="82" s="1"/>
  <c r="T210" i="82"/>
  <c r="T182" i="82"/>
  <c r="U182" i="82"/>
  <c r="V182" i="82" s="1"/>
  <c r="W182" i="82" s="1"/>
  <c r="AD118" i="82"/>
  <c r="V98" i="82"/>
  <c r="W98" i="82" s="1"/>
  <c r="T44" i="82"/>
  <c r="P44" i="82"/>
  <c r="T7" i="82"/>
  <c r="R7" i="82"/>
  <c r="Q7" i="82" s="1"/>
  <c r="U7" i="82" s="1"/>
  <c r="V7" i="82" s="1"/>
  <c r="W7" i="82" s="1"/>
  <c r="R45" i="82"/>
  <c r="Q45" i="82" s="1"/>
  <c r="U45" i="82" s="1"/>
  <c r="V45" i="82" s="1"/>
  <c r="W45" i="82" s="1"/>
  <c r="R113" i="82"/>
  <c r="Q113" i="82" s="1"/>
  <c r="U113" i="82" s="1"/>
  <c r="V113" i="82" s="1"/>
  <c r="W113" i="82" s="1"/>
  <c r="R111" i="82"/>
  <c r="Q111" i="82" s="1"/>
  <c r="U111" i="82" s="1"/>
  <c r="V111" i="82" s="1"/>
  <c r="W111" i="82" s="1"/>
  <c r="U280" i="82"/>
  <c r="V280" i="82" s="1"/>
  <c r="W280" i="82" s="1"/>
  <c r="R51" i="82"/>
  <c r="Q51" i="82" s="1"/>
  <c r="U51" i="82" s="1"/>
  <c r="V51" i="82" s="1"/>
  <c r="W51" i="82" s="1"/>
  <c r="R53" i="82"/>
  <c r="Q53" i="82" s="1"/>
  <c r="U53" i="82" s="1"/>
  <c r="V53" i="82" s="1"/>
  <c r="W53" i="82" s="1"/>
  <c r="U116" i="82"/>
  <c r="V116" i="82" s="1"/>
  <c r="W116" i="82" s="1"/>
  <c r="R61" i="82"/>
  <c r="Q61" i="82" s="1"/>
  <c r="U61" i="82" s="1"/>
  <c r="V61" i="82" s="1"/>
  <c r="W61" i="82" s="1"/>
  <c r="R115" i="82"/>
  <c r="Q115" i="82" s="1"/>
  <c r="U115" i="82" s="1"/>
  <c r="V115" i="82" s="1"/>
  <c r="W115" i="82" s="1"/>
  <c r="V252" i="82"/>
  <c r="W252" i="82" s="1"/>
  <c r="AD69" i="82"/>
  <c r="V72" i="82"/>
  <c r="W72" i="82" s="1"/>
  <c r="V215" i="82"/>
  <c r="W215" i="82" s="1"/>
  <c r="V62" i="82"/>
  <c r="W62" i="82" s="1"/>
  <c r="AD143" i="82"/>
  <c r="AD82" i="82"/>
  <c r="AD253" i="82"/>
  <c r="AD126" i="82"/>
  <c r="AD92" i="82"/>
  <c r="AD94" i="82"/>
  <c r="U261" i="82"/>
  <c r="V261" i="82" s="1"/>
  <c r="W261" i="82" s="1"/>
  <c r="U170" i="82"/>
  <c r="V170" i="82" s="1"/>
  <c r="W170" i="82" s="1"/>
  <c r="R212" i="82"/>
  <c r="Q212" i="82" s="1"/>
  <c r="U212" i="82" s="1"/>
  <c r="V212" i="82" s="1"/>
  <c r="W212" i="82" s="1"/>
  <c r="U202" i="82"/>
  <c r="V202" i="82" s="1"/>
  <c r="W202" i="82" s="1"/>
  <c r="R143" i="82"/>
  <c r="Q143" i="82" s="1"/>
  <c r="U143" i="82" s="1"/>
  <c r="V143" i="82" s="1"/>
  <c r="W143" i="82" s="1"/>
  <c r="R82" i="82"/>
  <c r="Q82" i="82" s="1"/>
  <c r="U82" i="82" s="1"/>
  <c r="V82" i="82" s="1"/>
  <c r="W82" i="82" s="1"/>
  <c r="U284" i="82"/>
  <c r="V284" i="82" s="1"/>
  <c r="W284" i="82" s="1"/>
  <c r="U253" i="82"/>
  <c r="V253" i="82" s="1"/>
  <c r="W253" i="82" s="1"/>
  <c r="U126" i="82"/>
  <c r="V126" i="82" s="1"/>
  <c r="W126" i="82" s="1"/>
  <c r="U189" i="82"/>
  <c r="V189" i="82" s="1"/>
  <c r="W189" i="82" s="1"/>
  <c r="R92" i="82"/>
  <c r="Q92" i="82" s="1"/>
  <c r="U92" i="82" s="1"/>
  <c r="V92" i="82" s="1"/>
  <c r="W92" i="82" s="1"/>
  <c r="R94" i="82"/>
  <c r="Q94" i="82" s="1"/>
  <c r="U94" i="82" s="1"/>
  <c r="V94" i="82" s="1"/>
  <c r="W94" i="82" s="1"/>
  <c r="R69" i="82"/>
  <c r="Q69" i="82" s="1"/>
  <c r="U69" i="82" s="1"/>
  <c r="V69" i="82" s="1"/>
  <c r="W69" i="82" s="1"/>
  <c r="T62" i="82"/>
  <c r="V64" i="82"/>
  <c r="W64" i="82" s="1"/>
  <c r="T65" i="82"/>
  <c r="V199" i="82"/>
  <c r="W199" i="82" s="1"/>
  <c r="T276" i="82"/>
  <c r="T252" i="82"/>
  <c r="T169" i="82"/>
  <c r="T69" i="82"/>
  <c r="T261" i="82"/>
  <c r="T170" i="82"/>
  <c r="T212" i="82"/>
  <c r="T202" i="82"/>
  <c r="T143" i="82"/>
  <c r="T82" i="82"/>
  <c r="T284" i="82"/>
  <c r="T253" i="82"/>
  <c r="T126" i="82"/>
  <c r="T189" i="82"/>
  <c r="T92" i="82"/>
  <c r="T94" i="82"/>
  <c r="U148" i="82"/>
  <c r="V148" i="82" s="1"/>
  <c r="W148" i="82" s="1"/>
  <c r="P143" i="82"/>
  <c r="R80" i="82"/>
  <c r="Q80" i="82" s="1"/>
  <c r="U80" i="82" s="1"/>
  <c r="V80" i="82" s="1"/>
  <c r="W80" i="82" s="1"/>
  <c r="P82" i="82"/>
  <c r="R83" i="82"/>
  <c r="Q83" i="82" s="1"/>
  <c r="U83" i="82" s="1"/>
  <c r="V83" i="82" s="1"/>
  <c r="W83" i="82" s="1"/>
  <c r="U129" i="82"/>
  <c r="V129" i="82" s="1"/>
  <c r="W129" i="82" s="1"/>
  <c r="U119" i="82"/>
  <c r="V119" i="82" s="1"/>
  <c r="W119" i="82" s="1"/>
  <c r="U127" i="82"/>
  <c r="V127" i="82" s="1"/>
  <c r="W127" i="82" s="1"/>
  <c r="R84" i="82"/>
  <c r="Q84" i="82" s="1"/>
  <c r="U84" i="82" s="1"/>
  <c r="V84" i="82" s="1"/>
  <c r="W84" i="82" s="1"/>
  <c r="P92" i="82"/>
  <c r="R93" i="82"/>
  <c r="Q93" i="82" s="1"/>
  <c r="U93" i="82" s="1"/>
  <c r="V93" i="82" s="1"/>
  <c r="W93" i="82" s="1"/>
  <c r="P94" i="82"/>
  <c r="U190" i="82"/>
  <c r="V190" i="82" s="1"/>
  <c r="W190" i="82" s="1"/>
  <c r="U173" i="82"/>
  <c r="V173" i="82" s="1"/>
  <c r="W173" i="82" s="1"/>
  <c r="R71" i="82"/>
  <c r="Q71" i="82" s="1"/>
  <c r="U71" i="82" s="1"/>
  <c r="V71" i="82" s="1"/>
  <c r="W71" i="82" s="1"/>
  <c r="P80" i="82"/>
  <c r="R81" i="82"/>
  <c r="Q81" i="82" s="1"/>
  <c r="U81" i="82" s="1"/>
  <c r="V81" i="82" s="1"/>
  <c r="W81" i="82" s="1"/>
  <c r="P83" i="82"/>
  <c r="U188" i="82"/>
  <c r="V188" i="82" s="1"/>
  <c r="W188" i="82" s="1"/>
  <c r="U277" i="82"/>
  <c r="V277" i="82" s="1"/>
  <c r="W277" i="82" s="1"/>
  <c r="U257" i="82"/>
  <c r="V257" i="82" s="1"/>
  <c r="W257" i="82" s="1"/>
  <c r="U285" i="82"/>
  <c r="V285" i="82" s="1"/>
  <c r="W285" i="82" s="1"/>
  <c r="P84" i="82"/>
  <c r="R91" i="82"/>
  <c r="Q91" i="82" s="1"/>
  <c r="U91" i="82" s="1"/>
  <c r="V91" i="82" s="1"/>
  <c r="W91" i="82" s="1"/>
  <c r="P93" i="82"/>
  <c r="R96" i="82"/>
  <c r="Q96" i="82" s="1"/>
  <c r="U96" i="82" s="1"/>
  <c r="V96" i="82" s="1"/>
  <c r="W96" i="82" s="1"/>
  <c r="U203" i="82"/>
  <c r="V203" i="82" s="1"/>
  <c r="W203" i="82" s="1"/>
  <c r="U172" i="82"/>
  <c r="V172" i="82" s="1"/>
  <c r="W172" i="82" s="1"/>
  <c r="U194" i="82"/>
  <c r="I194" i="82"/>
  <c r="H194" i="82"/>
  <c r="P194" i="82" s="1"/>
  <c r="AD16" i="83" l="1"/>
  <c r="AE16" i="83"/>
  <c r="R31" i="82"/>
  <c r="Q31" i="82" s="1"/>
  <c r="U31" i="82" s="1"/>
  <c r="V31" i="82" s="1"/>
  <c r="W31" i="82" s="1"/>
  <c r="Y31" i="82" s="1"/>
  <c r="T66" i="82"/>
  <c r="AD12" i="83"/>
  <c r="AD22" i="83"/>
  <c r="Y3" i="83"/>
  <c r="AA3" i="83"/>
  <c r="Y28" i="83"/>
  <c r="Y6" i="83"/>
  <c r="Y4" i="83"/>
  <c r="Y25" i="83"/>
  <c r="Y9" i="83"/>
  <c r="Y22" i="83"/>
  <c r="Y29" i="83"/>
  <c r="Y2" i="83"/>
  <c r="Y21" i="83"/>
  <c r="Y20" i="83"/>
  <c r="Y30" i="83"/>
  <c r="Y32" i="83"/>
  <c r="Y31" i="83"/>
  <c r="Y16" i="83"/>
  <c r="Y19" i="83"/>
  <c r="Y12" i="83"/>
  <c r="Y11" i="83"/>
  <c r="AD32" i="83"/>
  <c r="AD3" i="83"/>
  <c r="AC6" i="83"/>
  <c r="AE6" i="83" s="1"/>
  <c r="T26" i="83"/>
  <c r="AC26" i="83"/>
  <c r="AE26" i="83" s="1"/>
  <c r="T7" i="83"/>
  <c r="AC7" i="83"/>
  <c r="AE7" i="83" s="1"/>
  <c r="AC15" i="83"/>
  <c r="AE15" i="83" s="1"/>
  <c r="T10" i="83"/>
  <c r="AC10" i="83"/>
  <c r="AE10" i="83" s="1"/>
  <c r="AC5" i="83"/>
  <c r="AE5" i="83" s="1"/>
  <c r="AC28" i="83"/>
  <c r="AC14" i="83"/>
  <c r="AE14" i="83" s="1"/>
  <c r="T15" i="83"/>
  <c r="AD21" i="83"/>
  <c r="AD20" i="83"/>
  <c r="T23" i="83"/>
  <c r="T5" i="83"/>
  <c r="AD4" i="83"/>
  <c r="AD31" i="83"/>
  <c r="AD29" i="83"/>
  <c r="AD11" i="83"/>
  <c r="T13" i="83"/>
  <c r="T17" i="83"/>
  <c r="AD30" i="83"/>
  <c r="AD9" i="83"/>
  <c r="AD25" i="83"/>
  <c r="T18" i="83"/>
  <c r="AD23" i="83"/>
  <c r="T24" i="83"/>
  <c r="AD2" i="83"/>
  <c r="V174" i="82"/>
  <c r="W174" i="82" s="1"/>
  <c r="Y174" i="82" s="1"/>
  <c r="P12" i="65"/>
  <c r="O12" i="65" s="1"/>
  <c r="N12" i="65" s="1"/>
  <c r="R12" i="65"/>
  <c r="T12" i="65" s="1"/>
  <c r="L12" i="65"/>
  <c r="Y150" i="82"/>
  <c r="AD29" i="82"/>
  <c r="Y102" i="82"/>
  <c r="Y30" i="82"/>
  <c r="Y97" i="82"/>
  <c r="Y88" i="82"/>
  <c r="Y77" i="82"/>
  <c r="AD47" i="82"/>
  <c r="Y41" i="82"/>
  <c r="AD30" i="82"/>
  <c r="AD68" i="82"/>
  <c r="AD83" i="82"/>
  <c r="AD101" i="82"/>
  <c r="Y12" i="82"/>
  <c r="AD40" i="82"/>
  <c r="Y35" i="82"/>
  <c r="AD62" i="82"/>
  <c r="AD8" i="82"/>
  <c r="AD19" i="82"/>
  <c r="AD252" i="82"/>
  <c r="Y75" i="82"/>
  <c r="AD88" i="82"/>
  <c r="AD15" i="82"/>
  <c r="AD33" i="82"/>
  <c r="AD65" i="82"/>
  <c r="AD100" i="82"/>
  <c r="AD63" i="82"/>
  <c r="AD49" i="82"/>
  <c r="AD43" i="82"/>
  <c r="AD109" i="82"/>
  <c r="AD10" i="82"/>
  <c r="AD23" i="82"/>
  <c r="AD215" i="82"/>
  <c r="AD276" i="82"/>
  <c r="Y147" i="82"/>
  <c r="Y85" i="82"/>
  <c r="AD127" i="82"/>
  <c r="AD13" i="82"/>
  <c r="AD39" i="82"/>
  <c r="AD6" i="82"/>
  <c r="AD25" i="82"/>
  <c r="AD32" i="82"/>
  <c r="AD89" i="82"/>
  <c r="Y27" i="82"/>
  <c r="Y73" i="82"/>
  <c r="Y6" i="82"/>
  <c r="Y25" i="82"/>
  <c r="Y55" i="82"/>
  <c r="Y20" i="82"/>
  <c r="Y21" i="82"/>
  <c r="Y5" i="82"/>
  <c r="Y208" i="82"/>
  <c r="AD60" i="82"/>
  <c r="Y207" i="82"/>
  <c r="Y59" i="82"/>
  <c r="AD20" i="82"/>
  <c r="AD54" i="82"/>
  <c r="Y22" i="82"/>
  <c r="Y58" i="82"/>
  <c r="AD59" i="82"/>
  <c r="Y184" i="82"/>
  <c r="Y9" i="82"/>
  <c r="AD117" i="82"/>
  <c r="AD75" i="82"/>
  <c r="AD98" i="82"/>
  <c r="Y49" i="82"/>
  <c r="AD119" i="82"/>
  <c r="Y100" i="82"/>
  <c r="Y26" i="82"/>
  <c r="Y78" i="82"/>
  <c r="AD77" i="82"/>
  <c r="Y74" i="82"/>
  <c r="AD17" i="82"/>
  <c r="Y11" i="82"/>
  <c r="AD58" i="82"/>
  <c r="AD73" i="82"/>
  <c r="AD24" i="82"/>
  <c r="AD5" i="82"/>
  <c r="Y28" i="82"/>
  <c r="Y76" i="82"/>
  <c r="Y14" i="82"/>
  <c r="Y16" i="82"/>
  <c r="Y40" i="82"/>
  <c r="Y186" i="82"/>
  <c r="AD21" i="82"/>
  <c r="AD74" i="82"/>
  <c r="Y17" i="82"/>
  <c r="Y138" i="82"/>
  <c r="Y13" i="82"/>
  <c r="AD93" i="82"/>
  <c r="AD120" i="82"/>
  <c r="AD97" i="82"/>
  <c r="Y195" i="82"/>
  <c r="AD28" i="82"/>
  <c r="Y18" i="82"/>
  <c r="AD57" i="82"/>
  <c r="AD35" i="82"/>
  <c r="AD55" i="82"/>
  <c r="Y187" i="82"/>
  <c r="Y145" i="82"/>
  <c r="Y282" i="82"/>
  <c r="Y23" i="82"/>
  <c r="Y222" i="82"/>
  <c r="Y57" i="82"/>
  <c r="Y56" i="82"/>
  <c r="Y131" i="82"/>
  <c r="Y198" i="82"/>
  <c r="Y281" i="82"/>
  <c r="Y10" i="82"/>
  <c r="Y19" i="82"/>
  <c r="Y15" i="82"/>
  <c r="Y48" i="82"/>
  <c r="AD99" i="82"/>
  <c r="AD9" i="82"/>
  <c r="AD41" i="82"/>
  <c r="Y220" i="82"/>
  <c r="Y60" i="82"/>
  <c r="AD76" i="82"/>
  <c r="Y149" i="82"/>
  <c r="AD14" i="82"/>
  <c r="Y39" i="82"/>
  <c r="Y8" i="82"/>
  <c r="Y52" i="82"/>
  <c r="Y90" i="82"/>
  <c r="Y112" i="82"/>
  <c r="Y171" i="82"/>
  <c r="Y116" i="82"/>
  <c r="Y280" i="82"/>
  <c r="Y45" i="82"/>
  <c r="Y276" i="82"/>
  <c r="Y89" i="82"/>
  <c r="Y46" i="82"/>
  <c r="Y67" i="82"/>
  <c r="Y182" i="82"/>
  <c r="Y61" i="82"/>
  <c r="Y51" i="82"/>
  <c r="Y113" i="82"/>
  <c r="Y86" i="82"/>
  <c r="Y32" i="82"/>
  <c r="Y99" i="82"/>
  <c r="Y43" i="82"/>
  <c r="Y192" i="82"/>
  <c r="Y87" i="82"/>
  <c r="Y42" i="82"/>
  <c r="Y109" i="82"/>
  <c r="Y120" i="82"/>
  <c r="AD129" i="82"/>
  <c r="AD169" i="82"/>
  <c r="Y44" i="82"/>
  <c r="Y115" i="82"/>
  <c r="Y111" i="82"/>
  <c r="Y36" i="82"/>
  <c r="Y196" i="82"/>
  <c r="AD122" i="82"/>
  <c r="AD46" i="82"/>
  <c r="AD110" i="82"/>
  <c r="Y29" i="82"/>
  <c r="AD67" i="82"/>
  <c r="AD50" i="82"/>
  <c r="AD116" i="82"/>
  <c r="Y283" i="82"/>
  <c r="AD84" i="82"/>
  <c r="AD80" i="82"/>
  <c r="AD42" i="82"/>
  <c r="Y122" i="82"/>
  <c r="Y260" i="82"/>
  <c r="Y121" i="82"/>
  <c r="AD172" i="82"/>
  <c r="AD7" i="82"/>
  <c r="Y54" i="82"/>
  <c r="Y265" i="82"/>
  <c r="Y110" i="82"/>
  <c r="AD171" i="82"/>
  <c r="Y225" i="82"/>
  <c r="AD121" i="82"/>
  <c r="AD112" i="82"/>
  <c r="AD45" i="82"/>
  <c r="Y218" i="82"/>
  <c r="Y50" i="82"/>
  <c r="AD137" i="82"/>
  <c r="Y146" i="82"/>
  <c r="AD61" i="82"/>
  <c r="AD51" i="82"/>
  <c r="AD113" i="82"/>
  <c r="Y98" i="82"/>
  <c r="Y34" i="82"/>
  <c r="AD87" i="82"/>
  <c r="AD115" i="82"/>
  <c r="AD53" i="82"/>
  <c r="Y7" i="82"/>
  <c r="Y53" i="82"/>
  <c r="Y210" i="82"/>
  <c r="Y191" i="82"/>
  <c r="AD52" i="82"/>
  <c r="Y181" i="82"/>
  <c r="AD111" i="82"/>
  <c r="AD70" i="82"/>
  <c r="Y284" i="82"/>
  <c r="Y93" i="82"/>
  <c r="Y129" i="82"/>
  <c r="Y277" i="82"/>
  <c r="Y71" i="82"/>
  <c r="Y96" i="82"/>
  <c r="Y69" i="82"/>
  <c r="Y127" i="82"/>
  <c r="Y80" i="82"/>
  <c r="Y91" i="82"/>
  <c r="Y172" i="82"/>
  <c r="Y173" i="82"/>
  <c r="Y119" i="82"/>
  <c r="Y148" i="82"/>
  <c r="Y285" i="82"/>
  <c r="Y84" i="82"/>
  <c r="Y170" i="82"/>
  <c r="Y81" i="82"/>
  <c r="Y261" i="82"/>
  <c r="Y126" i="82"/>
  <c r="Y212" i="82"/>
  <c r="Y203" i="82"/>
  <c r="Y257" i="82"/>
  <c r="Y188" i="82"/>
  <c r="Y68" i="82"/>
  <c r="Y118" i="82"/>
  <c r="Y124" i="82"/>
  <c r="Y215" i="82"/>
  <c r="Y169" i="82"/>
  <c r="Y253" i="82"/>
  <c r="Y190" i="82"/>
  <c r="Y252" i="82"/>
  <c r="AD91" i="82"/>
  <c r="AD71" i="82"/>
  <c r="Y185" i="82"/>
  <c r="Y199" i="82"/>
  <c r="Y66" i="82"/>
  <c r="Y83" i="82"/>
  <c r="Y94" i="82"/>
  <c r="Y82" i="82"/>
  <c r="Y200" i="82"/>
  <c r="Y92" i="82"/>
  <c r="Y143" i="82"/>
  <c r="Y70" i="82"/>
  <c r="Y137" i="82"/>
  <c r="Y64" i="82"/>
  <c r="Y117" i="82"/>
  <c r="Y217" i="82"/>
  <c r="Y72" i="82"/>
  <c r="Y63" i="82"/>
  <c r="Y211" i="82"/>
  <c r="Y189" i="82"/>
  <c r="Y202" i="82"/>
  <c r="AD96" i="82"/>
  <c r="AD277" i="82"/>
  <c r="AD81" i="82"/>
  <c r="AD173" i="82"/>
  <c r="Y201" i="82"/>
  <c r="Y62" i="82"/>
  <c r="Y65" i="82"/>
  <c r="T194" i="82"/>
  <c r="V194" i="82"/>
  <c r="W194" i="82" s="1"/>
  <c r="AD28" i="83" l="1"/>
  <c r="AE28" i="83"/>
  <c r="AD31" i="82"/>
  <c r="AD66" i="82"/>
  <c r="U10" i="83"/>
  <c r="V10" i="83" s="1"/>
  <c r="W10" i="83" s="1"/>
  <c r="Y10" i="83" s="1"/>
  <c r="U17" i="83"/>
  <c r="V17" i="83" s="1"/>
  <c r="W17" i="83" s="1"/>
  <c r="AA17" i="83" s="1"/>
  <c r="U13" i="83"/>
  <c r="V13" i="83" s="1"/>
  <c r="W13" i="83" s="1"/>
  <c r="AA13" i="83" s="1"/>
  <c r="U5" i="83"/>
  <c r="V5" i="83" s="1"/>
  <c r="W5" i="83" s="1"/>
  <c r="Y5" i="83" s="1"/>
  <c r="U18" i="83"/>
  <c r="V18" i="83" s="1"/>
  <c r="W18" i="83" s="1"/>
  <c r="AA18" i="83" s="1"/>
  <c r="U15" i="83"/>
  <c r="V15" i="83" s="1"/>
  <c r="W15" i="83" s="1"/>
  <c r="AA15" i="83" s="1"/>
  <c r="U23" i="83"/>
  <c r="V23" i="83" s="1"/>
  <c r="W23" i="83" s="1"/>
  <c r="AA23" i="83" s="1"/>
  <c r="U26" i="83"/>
  <c r="V26" i="83" s="1"/>
  <c r="W26" i="83" s="1"/>
  <c r="AA26" i="83" s="1"/>
  <c r="U24" i="83"/>
  <c r="V24" i="83" s="1"/>
  <c r="W24" i="83" s="1"/>
  <c r="AA24" i="83" s="1"/>
  <c r="P13" i="65"/>
  <c r="U14" i="83"/>
  <c r="V14" i="83" s="1"/>
  <c r="W14" i="83" s="1"/>
  <c r="Y14" i="83" s="1"/>
  <c r="AD7" i="83"/>
  <c r="AD14" i="83"/>
  <c r="AD6" i="83"/>
  <c r="AD15" i="83"/>
  <c r="AD10" i="83"/>
  <c r="AD26" i="83"/>
  <c r="AD5" i="83"/>
  <c r="AD18" i="83"/>
  <c r="AD24" i="83"/>
  <c r="AD17" i="83"/>
  <c r="AD13" i="83"/>
  <c r="Y194" i="82"/>
  <c r="U7" i="83" l="1"/>
  <c r="V7" i="83" s="1"/>
  <c r="W7" i="83" s="1"/>
  <c r="AA10" i="83"/>
  <c r="Y18" i="83"/>
  <c r="AA5" i="83"/>
  <c r="Y15" i="83"/>
  <c r="Y24" i="83"/>
  <c r="Y26" i="83"/>
  <c r="Y23" i="83"/>
  <c r="L13" i="65"/>
  <c r="Y13" i="83"/>
  <c r="Y17" i="83"/>
  <c r="AA14" i="83"/>
  <c r="Q13" i="65"/>
  <c r="R13" i="65" s="1"/>
  <c r="T13" i="65" s="1"/>
  <c r="AV49" i="64"/>
  <c r="O13" i="65" l="1"/>
  <c r="N13" i="65" s="1"/>
  <c r="Y7" i="83"/>
  <c r="AA7" i="83"/>
  <c r="AV16" i="64"/>
  <c r="AV38" i="64"/>
  <c r="AV27" i="64"/>
  <c r="AE2" i="64"/>
  <c r="R4" i="82" l="1"/>
  <c r="Q4" i="82" s="1"/>
  <c r="R209" i="82"/>
  <c r="Q209" i="82" s="1"/>
  <c r="R103" i="82"/>
  <c r="Q103" i="82" s="1"/>
  <c r="R104" i="82"/>
  <c r="Q104" i="82" s="1"/>
  <c r="R105" i="82"/>
  <c r="Q105" i="82" s="1"/>
  <c r="R106" i="82"/>
  <c r="Q106" i="82" s="1"/>
  <c r="R214" i="82"/>
  <c r="Q214" i="82" s="1"/>
  <c r="R114" i="82"/>
  <c r="Q114" i="82" s="1"/>
  <c r="H4" i="56"/>
  <c r="H5" i="56"/>
  <c r="AB179" i="82"/>
  <c r="I179" i="82"/>
  <c r="H179" i="82"/>
  <c r="P179" i="82" s="1"/>
  <c r="AB178" i="82"/>
  <c r="I178" i="82"/>
  <c r="H178" i="82"/>
  <c r="P178" i="82" s="1"/>
  <c r="I214" i="82"/>
  <c r="H214" i="82"/>
  <c r="AB114" i="82"/>
  <c r="I114" i="82"/>
  <c r="H114" i="82"/>
  <c r="AB175" i="82"/>
  <c r="I175" i="82"/>
  <c r="H175" i="82"/>
  <c r="P175" i="82" s="1"/>
  <c r="AB107" i="82"/>
  <c r="I107" i="82"/>
  <c r="H107" i="82"/>
  <c r="AB106" i="82"/>
  <c r="I106" i="82"/>
  <c r="H106" i="82"/>
  <c r="AB105" i="82"/>
  <c r="I105" i="82"/>
  <c r="H105" i="82"/>
  <c r="AB104" i="82"/>
  <c r="I104" i="82"/>
  <c r="H104" i="82"/>
  <c r="AB103" i="82"/>
  <c r="I103" i="82"/>
  <c r="H103" i="82"/>
  <c r="AB95" i="82"/>
  <c r="I95" i="82"/>
  <c r="H95" i="82"/>
  <c r="I204" i="82"/>
  <c r="H204" i="82"/>
  <c r="P204" i="82" s="1"/>
  <c r="AB180" i="82"/>
  <c r="I180" i="82"/>
  <c r="H180" i="82"/>
  <c r="P180" i="82" s="1"/>
  <c r="AB278" i="82"/>
  <c r="I278" i="82"/>
  <c r="H278" i="82"/>
  <c r="P278" i="82" s="1"/>
  <c r="I209" i="82"/>
  <c r="H209" i="82"/>
  <c r="AB256" i="82"/>
  <c r="I256" i="82"/>
  <c r="H256" i="82"/>
  <c r="P256" i="82" s="1"/>
  <c r="AB130" i="82"/>
  <c r="I130" i="82"/>
  <c r="H130" i="82"/>
  <c r="P130" i="82" s="1"/>
  <c r="AB128" i="82"/>
  <c r="I128" i="82"/>
  <c r="H128" i="82"/>
  <c r="P128" i="82" s="1"/>
  <c r="E9" i="63"/>
  <c r="E10" i="63"/>
  <c r="AB214" i="82" s="1"/>
  <c r="E11" i="63"/>
  <c r="AB204" i="82" s="1"/>
  <c r="E8" i="63"/>
  <c r="AB209" i="82" l="1"/>
  <c r="AB210" i="82"/>
  <c r="AD210" i="82" s="1"/>
  <c r="AB212" i="82"/>
  <c r="AD212" i="82" s="1"/>
  <c r="AB257" i="82"/>
  <c r="AD257" i="82" s="1"/>
  <c r="AB207" i="82"/>
  <c r="AD207" i="82" s="1"/>
  <c r="AB208" i="82"/>
  <c r="AD208" i="82" s="1"/>
  <c r="AB211" i="82"/>
  <c r="AD211" i="82" s="1"/>
  <c r="AB198" i="82"/>
  <c r="AD198" i="82" s="1"/>
  <c r="AB282" i="82"/>
  <c r="AD282" i="82" s="1"/>
  <c r="AB181" i="82"/>
  <c r="AD181" i="82" s="1"/>
  <c r="AB195" i="82"/>
  <c r="AD195" i="82" s="1"/>
  <c r="AB148" i="82"/>
  <c r="AD148" i="82" s="1"/>
  <c r="AB201" i="82"/>
  <c r="AD201" i="82" s="1"/>
  <c r="AB200" i="82"/>
  <c r="AD200" i="82" s="1"/>
  <c r="AB217" i="82"/>
  <c r="AD217" i="82" s="1"/>
  <c r="AB218" i="82"/>
  <c r="AD218" i="82" s="1"/>
  <c r="AB203" i="82"/>
  <c r="AD203" i="82" s="1"/>
  <c r="AB185" i="82"/>
  <c r="AD185" i="82" s="1"/>
  <c r="AB199" i="82"/>
  <c r="AD199" i="82" s="1"/>
  <c r="AB145" i="82"/>
  <c r="AD145" i="82" s="1"/>
  <c r="AB131" i="82"/>
  <c r="AD131" i="82" s="1"/>
  <c r="AB192" i="82"/>
  <c r="AD192" i="82" s="1"/>
  <c r="AB260" i="82"/>
  <c r="AD260" i="82" s="1"/>
  <c r="AB196" i="82"/>
  <c r="AD196" i="82" s="1"/>
  <c r="AB190" i="82"/>
  <c r="AD190" i="82" s="1"/>
  <c r="AB281" i="82"/>
  <c r="AD281" i="82" s="1"/>
  <c r="AB220" i="82"/>
  <c r="AD220" i="82" s="1"/>
  <c r="AB182" i="82"/>
  <c r="AD182" i="82" s="1"/>
  <c r="AB191" i="82"/>
  <c r="AD191" i="82" s="1"/>
  <c r="AB265" i="82"/>
  <c r="AD265" i="82" s="1"/>
  <c r="AB283" i="82"/>
  <c r="AD283" i="82" s="1"/>
  <c r="AB197" i="82"/>
  <c r="AD197" i="82" s="1"/>
  <c r="AB285" i="82"/>
  <c r="AD285" i="82" s="1"/>
  <c r="AB188" i="82"/>
  <c r="AD188" i="82" s="1"/>
  <c r="AB187" i="82"/>
  <c r="AD187" i="82" s="1"/>
  <c r="AB222" i="82"/>
  <c r="AD222" i="82" s="1"/>
  <c r="AB149" i="82"/>
  <c r="AD149" i="82" s="1"/>
  <c r="AB138" i="82"/>
  <c r="AD138" i="82" s="1"/>
  <c r="AB186" i="82"/>
  <c r="AD186" i="82" s="1"/>
  <c r="AB184" i="82"/>
  <c r="AD184" i="82" s="1"/>
  <c r="AB280" i="82"/>
  <c r="AD280" i="82" s="1"/>
  <c r="AB150" i="82"/>
  <c r="AD150" i="82" s="1"/>
  <c r="AB147" i="82"/>
  <c r="AD147" i="82" s="1"/>
  <c r="AB146" i="82"/>
  <c r="AD146" i="82" s="1"/>
  <c r="AB225" i="82"/>
  <c r="AD225" i="82" s="1"/>
  <c r="AB189" i="82"/>
  <c r="AD189" i="82" s="1"/>
  <c r="AB284" i="82"/>
  <c r="AD284" i="82" s="1"/>
  <c r="AB202" i="82"/>
  <c r="AD202" i="82" s="1"/>
  <c r="AB261" i="82"/>
  <c r="AD261" i="82" s="1"/>
  <c r="AB194" i="82"/>
  <c r="AD194" i="82" s="1"/>
  <c r="T209" i="82"/>
  <c r="U178" i="82"/>
  <c r="V178" i="82" s="1"/>
  <c r="W178" i="82" s="1"/>
  <c r="P103" i="82"/>
  <c r="T204" i="82"/>
  <c r="R108" i="82"/>
  <c r="Q108" i="82" s="1"/>
  <c r="P214" i="82"/>
  <c r="P114" i="82"/>
  <c r="R95" i="82"/>
  <c r="Q95" i="82" s="1"/>
  <c r="U95" i="82" s="1"/>
  <c r="P95" i="82"/>
  <c r="U130" i="82"/>
  <c r="R107" i="82"/>
  <c r="Q107" i="82" s="1"/>
  <c r="P104" i="82"/>
  <c r="P209" i="82"/>
  <c r="T104" i="82"/>
  <c r="P107" i="82"/>
  <c r="U256" i="82"/>
  <c r="V256" i="82" s="1"/>
  <c r="W256" i="82" s="1"/>
  <c r="R3" i="82"/>
  <c r="Q3" i="82" s="1"/>
  <c r="AD278" i="82"/>
  <c r="P106" i="82"/>
  <c r="P105" i="82"/>
  <c r="T106" i="82"/>
  <c r="T128" i="82"/>
  <c r="T107" i="82"/>
  <c r="U103" i="82"/>
  <c r="V103" i="82" s="1"/>
  <c r="W103" i="82" s="1"/>
  <c r="U114" i="82"/>
  <c r="V114" i="82" s="1"/>
  <c r="W114" i="82" s="1"/>
  <c r="AD105" i="82"/>
  <c r="T178" i="82"/>
  <c r="U179" i="82"/>
  <c r="T179" i="82"/>
  <c r="T214" i="82"/>
  <c r="T256" i="82"/>
  <c r="T114" i="82"/>
  <c r="T180" i="82"/>
  <c r="T130" i="82"/>
  <c r="U175" i="82"/>
  <c r="U180" i="82"/>
  <c r="T95" i="82"/>
  <c r="T175" i="82"/>
  <c r="U278" i="82"/>
  <c r="U105" i="82"/>
  <c r="V105" i="82" s="1"/>
  <c r="W105" i="82" s="1"/>
  <c r="T278" i="82"/>
  <c r="T105" i="82"/>
  <c r="T103" i="82"/>
  <c r="U106" i="82"/>
  <c r="V106" i="82" s="1"/>
  <c r="W106" i="82" s="1"/>
  <c r="AD130" i="82"/>
  <c r="U209" i="82"/>
  <c r="V209" i="82" s="1"/>
  <c r="W209" i="82" s="1"/>
  <c r="AD179" i="82" l="1"/>
  <c r="AD175" i="82"/>
  <c r="AD95" i="82"/>
  <c r="AD214" i="82"/>
  <c r="AD256" i="82"/>
  <c r="V179" i="82"/>
  <c r="W179" i="82" s="1"/>
  <c r="Y178" i="82"/>
  <c r="U214" i="82"/>
  <c r="V214" i="82" s="1"/>
  <c r="W214" i="82" s="1"/>
  <c r="AD178" i="82"/>
  <c r="AD114" i="82"/>
  <c r="Y114" i="82"/>
  <c r="AD180" i="82"/>
  <c r="V175" i="82"/>
  <c r="W175" i="82" s="1"/>
  <c r="Y106" i="82"/>
  <c r="V180" i="82"/>
  <c r="W180" i="82" s="1"/>
  <c r="Y103" i="82"/>
  <c r="V130" i="82"/>
  <c r="W130" i="82" s="1"/>
  <c r="AD106" i="82"/>
  <c r="V95" i="82"/>
  <c r="W95" i="82" s="1"/>
  <c r="AD103" i="82"/>
  <c r="Y256" i="82"/>
  <c r="U128" i="82"/>
  <c r="V128" i="82" s="1"/>
  <c r="W128" i="82" s="1"/>
  <c r="Y105" i="82"/>
  <c r="AD204" i="82"/>
  <c r="AD104" i="82"/>
  <c r="AD128" i="82"/>
  <c r="U107" i="82"/>
  <c r="V107" i="82" s="1"/>
  <c r="W107" i="82" s="1"/>
  <c r="AD107" i="82"/>
  <c r="U104" i="82"/>
  <c r="V104" i="82" s="1"/>
  <c r="W104" i="82" s="1"/>
  <c r="Y209" i="82"/>
  <c r="AD209" i="82"/>
  <c r="U204" i="82"/>
  <c r="V204" i="82" s="1"/>
  <c r="W204" i="82" s="1"/>
  <c r="V278" i="82"/>
  <c r="W278" i="82" s="1"/>
  <c r="Y175" i="82" l="1"/>
  <c r="Y179" i="82"/>
  <c r="Y214" i="82"/>
  <c r="Y180" i="82"/>
  <c r="Y130" i="82"/>
  <c r="Y95" i="82"/>
  <c r="Y278" i="82"/>
  <c r="Y128" i="82"/>
  <c r="Y204" i="82"/>
  <c r="Y104" i="82"/>
  <c r="Y107" i="82"/>
  <c r="T3" i="82" l="1"/>
  <c r="T4" i="82"/>
  <c r="T176" i="82"/>
  <c r="T177" i="82"/>
  <c r="T206" i="82"/>
  <c r="T264" i="82"/>
  <c r="H3" i="82"/>
  <c r="P3" i="82" s="1"/>
  <c r="I3" i="82"/>
  <c r="H4" i="82"/>
  <c r="P4" i="82" s="1"/>
  <c r="I4" i="82"/>
  <c r="H183" i="82"/>
  <c r="P183" i="82" s="1"/>
  <c r="I183" i="82"/>
  <c r="H193" i="82"/>
  <c r="P193" i="82" s="1"/>
  <c r="I193" i="82"/>
  <c r="H205" i="82"/>
  <c r="P205" i="82" s="1"/>
  <c r="I205" i="82"/>
  <c r="H279" i="82"/>
  <c r="P279" i="82" s="1"/>
  <c r="I279" i="82"/>
  <c r="H176" i="82"/>
  <c r="P176" i="82" s="1"/>
  <c r="I176" i="82"/>
  <c r="H177" i="82"/>
  <c r="P177" i="82" s="1"/>
  <c r="I177" i="82"/>
  <c r="H216" i="82"/>
  <c r="P216" i="82" s="1"/>
  <c r="I216" i="82"/>
  <c r="H206" i="82"/>
  <c r="P206" i="82" s="1"/>
  <c r="I206" i="82"/>
  <c r="H108" i="82"/>
  <c r="P108" i="82" s="1"/>
  <c r="I108" i="82"/>
  <c r="H264" i="82"/>
  <c r="P264" i="82" s="1"/>
  <c r="I264" i="82"/>
  <c r="AB216" i="82"/>
  <c r="AB177" i="82"/>
  <c r="AB176" i="82"/>
  <c r="AB279" i="82"/>
  <c r="AB264" i="82"/>
  <c r="U177" i="82" l="1"/>
  <c r="V177" i="82" s="1"/>
  <c r="W177" i="82" s="1"/>
  <c r="T183" i="82"/>
  <c r="T279" i="82"/>
  <c r="T216" i="82"/>
  <c r="T205" i="82"/>
  <c r="T108" i="82"/>
  <c r="T193" i="82"/>
  <c r="U279" i="82" l="1"/>
  <c r="V279" i="82" s="1"/>
  <c r="W279" i="82" s="1"/>
  <c r="AD176" i="82"/>
  <c r="U264" i="82"/>
  <c r="V264" i="82" s="1"/>
  <c r="W264" i="82" s="1"/>
  <c r="U176" i="82"/>
  <c r="Y177" i="82"/>
  <c r="AD279" i="82"/>
  <c r="AD264" i="82"/>
  <c r="AD216" i="82"/>
  <c r="AD177" i="82"/>
  <c r="Y279" i="82" l="1"/>
  <c r="AV47" i="64"/>
  <c r="AV25" i="64"/>
  <c r="AV14" i="64"/>
  <c r="AV36" i="64"/>
  <c r="U216" i="82"/>
  <c r="Y264" i="82"/>
  <c r="V176" i="82"/>
  <c r="W176" i="82" s="1"/>
  <c r="L3" i="63"/>
  <c r="K3" i="63"/>
  <c r="I3" i="63"/>
  <c r="F3" i="63"/>
  <c r="AB108" i="82"/>
  <c r="AB206" i="82"/>
  <c r="AB205" i="82"/>
  <c r="Z37" i="82" l="1"/>
  <c r="AA37" i="82" s="1"/>
  <c r="Z38" i="82"/>
  <c r="AA38" i="82" s="1"/>
  <c r="Z273" i="82"/>
  <c r="AA273" i="82" s="1"/>
  <c r="Z270" i="82"/>
  <c r="AA270" i="82" s="1"/>
  <c r="Z268" i="82"/>
  <c r="AA268" i="82" s="1"/>
  <c r="Z266" i="82"/>
  <c r="AA266" i="82" s="1"/>
  <c r="Z262" i="82"/>
  <c r="AA262" i="82" s="1"/>
  <c r="Z255" i="82"/>
  <c r="AA255" i="82" s="1"/>
  <c r="Z250" i="82"/>
  <c r="AA250" i="82" s="1"/>
  <c r="Z248" i="82"/>
  <c r="AA248" i="82" s="1"/>
  <c r="Z245" i="82"/>
  <c r="AA245" i="82" s="1"/>
  <c r="Z243" i="82"/>
  <c r="AA243" i="82" s="1"/>
  <c r="Z240" i="82"/>
  <c r="AA240" i="82" s="1"/>
  <c r="Z238" i="82"/>
  <c r="AA238" i="82" s="1"/>
  <c r="Z235" i="82"/>
  <c r="AA235" i="82" s="1"/>
  <c r="Z233" i="82"/>
  <c r="AA233" i="82" s="1"/>
  <c r="Z230" i="82"/>
  <c r="AA230" i="82" s="1"/>
  <c r="Z227" i="82"/>
  <c r="AA227" i="82" s="1"/>
  <c r="Z224" i="82"/>
  <c r="AA224" i="82" s="1"/>
  <c r="Z219" i="82"/>
  <c r="AA219" i="82" s="1"/>
  <c r="Z163" i="82"/>
  <c r="AA163" i="82" s="1"/>
  <c r="Z166" i="82"/>
  <c r="AA166" i="82" s="1"/>
  <c r="Z160" i="82"/>
  <c r="AA160" i="82" s="1"/>
  <c r="Z158" i="82"/>
  <c r="AA158" i="82" s="1"/>
  <c r="Z156" i="82"/>
  <c r="AA156" i="82" s="1"/>
  <c r="Z153" i="82"/>
  <c r="AA153" i="82" s="1"/>
  <c r="Z151" i="82"/>
  <c r="AA151" i="82" s="1"/>
  <c r="Z142" i="82"/>
  <c r="AA142" i="82" s="1"/>
  <c r="Z141" i="82"/>
  <c r="AA141" i="82" s="1"/>
  <c r="Z135" i="82"/>
  <c r="AA135" i="82" s="1"/>
  <c r="Z133" i="82"/>
  <c r="AA133" i="82" s="1"/>
  <c r="Z123" i="82"/>
  <c r="AA123" i="82" s="1"/>
  <c r="Z274" i="82"/>
  <c r="AA274" i="82" s="1"/>
  <c r="Z271" i="82"/>
  <c r="AA271" i="82" s="1"/>
  <c r="Z267" i="82"/>
  <c r="AA267" i="82" s="1"/>
  <c r="Z259" i="82"/>
  <c r="AA259" i="82" s="1"/>
  <c r="Z251" i="82"/>
  <c r="AA251" i="82" s="1"/>
  <c r="Z247" i="82"/>
  <c r="AA247" i="82" s="1"/>
  <c r="Z242" i="82"/>
  <c r="AA242" i="82" s="1"/>
  <c r="Z237" i="82"/>
  <c r="AA237" i="82" s="1"/>
  <c r="Z232" i="82"/>
  <c r="AA232" i="82" s="1"/>
  <c r="Z229" i="82"/>
  <c r="AA229" i="82" s="1"/>
  <c r="Z221" i="82"/>
  <c r="AA221" i="82" s="1"/>
  <c r="Z168" i="82"/>
  <c r="AA168" i="82" s="1"/>
  <c r="Z164" i="82"/>
  <c r="AA164" i="82" s="1"/>
  <c r="Z157" i="82"/>
  <c r="AA157" i="82" s="1"/>
  <c r="Z154" i="82"/>
  <c r="AA154" i="82" s="1"/>
  <c r="Z144" i="82"/>
  <c r="AA144" i="82" s="1"/>
  <c r="Z140" i="82"/>
  <c r="AA140" i="82" s="1"/>
  <c r="Z132" i="82"/>
  <c r="AA132" i="82" s="1"/>
  <c r="Z275" i="82"/>
  <c r="AA275" i="82" s="1"/>
  <c r="Z272" i="82"/>
  <c r="AA272" i="82" s="1"/>
  <c r="Z269" i="82"/>
  <c r="AA269" i="82" s="1"/>
  <c r="Z263" i="82"/>
  <c r="AA263" i="82" s="1"/>
  <c r="Z258" i="82"/>
  <c r="AA258" i="82" s="1"/>
  <c r="Z254" i="82"/>
  <c r="AA254" i="82" s="1"/>
  <c r="Z249" i="82"/>
  <c r="AA249" i="82" s="1"/>
  <c r="Z246" i="82"/>
  <c r="AA246" i="82" s="1"/>
  <c r="Z244" i="82"/>
  <c r="AA244" i="82" s="1"/>
  <c r="Z241" i="82"/>
  <c r="AA241" i="82" s="1"/>
  <c r="Z239" i="82"/>
  <c r="AA239" i="82" s="1"/>
  <c r="Z236" i="82"/>
  <c r="AA236" i="82" s="1"/>
  <c r="Z234" i="82"/>
  <c r="AA234" i="82" s="1"/>
  <c r="Z231" i="82"/>
  <c r="AA231" i="82" s="1"/>
  <c r="Z228" i="82"/>
  <c r="AA228" i="82" s="1"/>
  <c r="Z226" i="82"/>
  <c r="AA226" i="82" s="1"/>
  <c r="Z223" i="82"/>
  <c r="AA223" i="82" s="1"/>
  <c r="Z213" i="82"/>
  <c r="AA213" i="82" s="1"/>
  <c r="Z167" i="82"/>
  <c r="AA167" i="82" s="1"/>
  <c r="Z165" i="82"/>
  <c r="AA165" i="82" s="1"/>
  <c r="Z162" i="82"/>
  <c r="AA162" i="82" s="1"/>
  <c r="Z159" i="82"/>
  <c r="AA159" i="82" s="1"/>
  <c r="Z161" i="82"/>
  <c r="AA161" i="82" s="1"/>
  <c r="Z155" i="82"/>
  <c r="AA155" i="82" s="1"/>
  <c r="Z152" i="82"/>
  <c r="AA152" i="82" s="1"/>
  <c r="Z139" i="82"/>
  <c r="AA139" i="82" s="1"/>
  <c r="Z79" i="82"/>
  <c r="AA79" i="82" s="1"/>
  <c r="Z136" i="82"/>
  <c r="AA136" i="82" s="1"/>
  <c r="Z134" i="82"/>
  <c r="AA134" i="82" s="1"/>
  <c r="Z125" i="82"/>
  <c r="AA125" i="82" s="1"/>
  <c r="V216" i="82"/>
  <c r="W216" i="82" s="1"/>
  <c r="Y216" i="82" s="1"/>
  <c r="M3" i="63"/>
  <c r="Z4" i="82"/>
  <c r="Z11" i="82"/>
  <c r="AA11" i="82" s="1"/>
  <c r="Z17" i="82"/>
  <c r="AA17" i="82" s="1"/>
  <c r="Z60" i="82"/>
  <c r="AA60" i="82" s="1"/>
  <c r="Z29" i="82"/>
  <c r="AA29" i="82" s="1"/>
  <c r="Z30" i="82"/>
  <c r="AA30" i="82" s="1"/>
  <c r="Z42" i="82"/>
  <c r="AA42" i="82" s="1"/>
  <c r="Z49" i="82"/>
  <c r="AA49" i="82" s="1"/>
  <c r="Z53" i="82"/>
  <c r="AA53" i="82" s="1"/>
  <c r="Z59" i="82"/>
  <c r="AA59" i="82" s="1"/>
  <c r="Z65" i="82"/>
  <c r="AA65" i="82" s="1"/>
  <c r="Z70" i="82"/>
  <c r="AA70" i="82" s="1"/>
  <c r="Z77" i="82"/>
  <c r="AA77" i="82" s="1"/>
  <c r="Z83" i="82"/>
  <c r="AA83" i="82" s="1"/>
  <c r="Z88" i="82"/>
  <c r="AA88" i="82" s="1"/>
  <c r="Z94" i="82"/>
  <c r="AA94" i="82" s="1"/>
  <c r="Z98" i="82"/>
  <c r="AA98" i="82" s="1"/>
  <c r="Z107" i="82"/>
  <c r="AA107" i="82" s="1"/>
  <c r="Z113" i="82"/>
  <c r="AA113" i="82" s="1"/>
  <c r="Z115" i="82"/>
  <c r="AA115" i="82" s="1"/>
  <c r="Z137" i="82"/>
  <c r="AA137" i="82" s="1"/>
  <c r="Z173" i="82"/>
  <c r="AA173" i="82" s="1"/>
  <c r="Z127" i="82"/>
  <c r="AA127" i="82" s="1"/>
  <c r="Z180" i="82"/>
  <c r="AA180" i="82" s="1"/>
  <c r="Z179" i="82"/>
  <c r="AA179" i="82" s="1"/>
  <c r="Z211" i="82"/>
  <c r="AA211" i="82" s="1"/>
  <c r="Z220" i="82"/>
  <c r="AA220" i="82" s="1"/>
  <c r="Z147" i="82"/>
  <c r="AA147" i="82" s="1"/>
  <c r="Z183" i="82"/>
  <c r="Z261" i="82"/>
  <c r="AA261" i="82" s="1"/>
  <c r="Z190" i="82"/>
  <c r="AA190" i="82" s="1"/>
  <c r="Z195" i="82"/>
  <c r="AA195" i="82" s="1"/>
  <c r="Z191" i="82"/>
  <c r="AA191" i="82" s="1"/>
  <c r="Z284" i="82"/>
  <c r="AA284" i="82" s="1"/>
  <c r="Z2" i="82"/>
  <c r="Z8" i="82"/>
  <c r="AA8" i="82" s="1"/>
  <c r="Z14" i="82"/>
  <c r="AA14" i="82" s="1"/>
  <c r="Z21" i="82"/>
  <c r="AA21" i="82" s="1"/>
  <c r="Z34" i="82"/>
  <c r="AA34" i="82" s="1"/>
  <c r="Z40" i="82"/>
  <c r="AA40" i="82" s="1"/>
  <c r="Z45" i="82"/>
  <c r="AA45" i="82" s="1"/>
  <c r="Z57" i="82"/>
  <c r="AA57" i="82" s="1"/>
  <c r="Z68" i="82"/>
  <c r="AA68" i="82" s="1"/>
  <c r="Z85" i="82"/>
  <c r="AA85" i="82" s="1"/>
  <c r="Z99" i="82"/>
  <c r="AA99" i="82" s="1"/>
  <c r="Z171" i="82"/>
  <c r="AA171" i="82" s="1"/>
  <c r="Z177" i="82"/>
  <c r="AA177" i="82" s="1"/>
  <c r="Z145" i="82"/>
  <c r="AA145" i="82" s="1"/>
  <c r="Z187" i="82"/>
  <c r="AA187" i="82" s="1"/>
  <c r="Z200" i="82"/>
  <c r="AA200" i="82" s="1"/>
  <c r="Z5" i="82"/>
  <c r="AA5" i="82" s="1"/>
  <c r="Z12" i="82"/>
  <c r="AA12" i="82" s="1"/>
  <c r="Z18" i="82"/>
  <c r="AA18" i="82" s="1"/>
  <c r="Z78" i="82"/>
  <c r="AA78" i="82" s="1"/>
  <c r="Z89" i="82"/>
  <c r="AA89" i="82" s="1"/>
  <c r="Z31" i="82"/>
  <c r="AA31" i="82" s="1"/>
  <c r="Z43" i="82"/>
  <c r="AA43" i="82" s="1"/>
  <c r="Z7" i="82"/>
  <c r="AA7" i="82" s="1"/>
  <c r="Z19" i="82"/>
  <c r="AA19" i="82" s="1"/>
  <c r="Z66" i="82"/>
  <c r="AA66" i="82" s="1"/>
  <c r="Z71" i="82"/>
  <c r="AA71" i="82" s="1"/>
  <c r="Z24" i="82"/>
  <c r="AA24" i="82" s="1"/>
  <c r="Z84" i="82"/>
  <c r="AA84" i="82" s="1"/>
  <c r="Z90" i="82"/>
  <c r="AA90" i="82" s="1"/>
  <c r="Z95" i="82"/>
  <c r="AA95" i="82" s="1"/>
  <c r="Z102" i="82"/>
  <c r="AA102" i="82" s="1"/>
  <c r="Z108" i="82"/>
  <c r="Z114" i="82"/>
  <c r="AA114" i="82" s="1"/>
  <c r="Z116" i="82"/>
  <c r="AA116" i="82" s="1"/>
  <c r="Z169" i="82"/>
  <c r="AA169" i="82" s="1"/>
  <c r="Z174" i="82"/>
  <c r="AA174" i="82" s="1"/>
  <c r="Z129" i="82"/>
  <c r="AA129" i="82" s="1"/>
  <c r="Z175" i="82"/>
  <c r="AA175" i="82" s="1"/>
  <c r="Z279" i="82"/>
  <c r="AA279" i="82" s="1"/>
  <c r="Z212" i="82"/>
  <c r="AA212" i="82" s="1"/>
  <c r="Z138" i="82"/>
  <c r="AA138" i="82" s="1"/>
  <c r="Z150" i="82"/>
  <c r="AA150" i="82" s="1"/>
  <c r="Z184" i="82"/>
  <c r="AA184" i="82" s="1"/>
  <c r="Z148" i="82"/>
  <c r="AA148" i="82" s="1"/>
  <c r="Z264" i="82"/>
  <c r="AA264" i="82" s="1"/>
  <c r="Z218" i="82"/>
  <c r="AA218" i="82" s="1"/>
  <c r="Z192" i="82"/>
  <c r="AA192" i="82" s="1"/>
  <c r="Z285" i="82"/>
  <c r="AA285" i="82" s="1"/>
  <c r="Z26" i="82"/>
  <c r="AA26" i="82" s="1"/>
  <c r="Z51" i="82"/>
  <c r="AA51" i="82" s="1"/>
  <c r="Z62" i="82"/>
  <c r="AA62" i="82" s="1"/>
  <c r="Z80" i="82"/>
  <c r="AA80" i="82" s="1"/>
  <c r="Z92" i="82"/>
  <c r="AA92" i="82" s="1"/>
  <c r="Z110" i="82"/>
  <c r="AA110" i="82" s="1"/>
  <c r="Z118" i="82"/>
  <c r="AA118" i="82" s="1"/>
  <c r="Z253" i="82"/>
  <c r="AA253" i="82" s="1"/>
  <c r="Z207" i="82"/>
  <c r="AA207" i="82" s="1"/>
  <c r="Z280" i="82"/>
  <c r="AA280" i="82" s="1"/>
  <c r="Z198" i="82"/>
  <c r="AA198" i="82" s="1"/>
  <c r="Z6" i="82"/>
  <c r="AA6" i="82" s="1"/>
  <c r="Z13" i="82"/>
  <c r="AA13" i="82" s="1"/>
  <c r="Z20" i="82"/>
  <c r="AA20" i="82" s="1"/>
  <c r="Z25" i="82"/>
  <c r="AA25" i="82" s="1"/>
  <c r="Z33" i="82"/>
  <c r="AA33" i="82" s="1"/>
  <c r="Z39" i="82"/>
  <c r="AA39" i="82" s="1"/>
  <c r="Z44" i="82"/>
  <c r="AA44" i="82" s="1"/>
  <c r="Z50" i="82"/>
  <c r="AA50" i="82" s="1"/>
  <c r="Z56" i="82"/>
  <c r="AA56" i="82" s="1"/>
  <c r="Z124" i="82"/>
  <c r="AA124" i="82" s="1"/>
  <c r="Z67" i="82"/>
  <c r="AA67" i="82" s="1"/>
  <c r="Z73" i="82"/>
  <c r="AA73" i="82" s="1"/>
  <c r="Z143" i="82"/>
  <c r="AA143" i="82" s="1"/>
  <c r="Z32" i="82"/>
  <c r="AA32" i="82" s="1"/>
  <c r="Z91" i="82"/>
  <c r="AA91" i="82" s="1"/>
  <c r="Z97" i="82"/>
  <c r="AA97" i="82" s="1"/>
  <c r="Z103" i="82"/>
  <c r="AA103" i="82" s="1"/>
  <c r="Z109" i="82"/>
  <c r="AA109" i="82" s="1"/>
  <c r="Z120" i="82"/>
  <c r="AA120" i="82" s="1"/>
  <c r="Z117" i="82"/>
  <c r="AA117" i="82" s="1"/>
  <c r="Z170" i="82"/>
  <c r="AA170" i="82" s="1"/>
  <c r="Z277" i="82"/>
  <c r="AA277" i="82" s="1"/>
  <c r="Z128" i="82"/>
  <c r="AA128" i="82" s="1"/>
  <c r="Z176" i="82"/>
  <c r="AA176" i="82" s="1"/>
  <c r="Z257" i="82"/>
  <c r="AA257" i="82" s="1"/>
  <c r="Z222" i="82"/>
  <c r="AA222" i="82" s="1"/>
  <c r="Z260" i="82"/>
  <c r="AA260" i="82" s="1"/>
  <c r="Z217" i="82"/>
  <c r="AA217" i="82" s="1"/>
  <c r="Z149" i="82"/>
  <c r="AA149" i="82" s="1"/>
  <c r="Z282" i="82"/>
  <c r="AA282" i="82" s="1"/>
  <c r="Z196" i="82"/>
  <c r="AA196" i="82" s="1"/>
  <c r="Z199" i="82"/>
  <c r="AA199" i="82" s="1"/>
  <c r="Z203" i="82"/>
  <c r="AA203" i="82" s="1"/>
  <c r="Z74" i="82"/>
  <c r="AA74" i="82" s="1"/>
  <c r="Z104" i="82"/>
  <c r="AA104" i="82" s="1"/>
  <c r="Z121" i="82"/>
  <c r="AA121" i="82" s="1"/>
  <c r="Z130" i="82"/>
  <c r="AA130" i="82" s="1"/>
  <c r="Z209" i="82"/>
  <c r="AA209" i="82" s="1"/>
  <c r="Z185" i="82"/>
  <c r="AA185" i="82" s="1"/>
  <c r="Z197" i="82"/>
  <c r="AA197" i="82" s="1"/>
  <c r="Z204" i="82"/>
  <c r="AA204" i="82" s="1"/>
  <c r="Z9" i="82"/>
  <c r="AA9" i="82" s="1"/>
  <c r="Z15" i="82"/>
  <c r="AA15" i="82" s="1"/>
  <c r="Z22" i="82"/>
  <c r="AA22" i="82" s="1"/>
  <c r="Z27" i="82"/>
  <c r="AA27" i="82" s="1"/>
  <c r="Z35" i="82"/>
  <c r="AA35" i="82" s="1"/>
  <c r="Z41" i="82"/>
  <c r="AA41" i="82" s="1"/>
  <c r="Z46" i="82"/>
  <c r="AA46" i="82" s="1"/>
  <c r="Z54" i="82"/>
  <c r="AA54" i="82" s="1"/>
  <c r="Z58" i="82"/>
  <c r="AA58" i="82" s="1"/>
  <c r="Z63" i="82"/>
  <c r="AA63" i="82" s="1"/>
  <c r="Z69" i="82"/>
  <c r="AA69" i="82" s="1"/>
  <c r="Z75" i="82"/>
  <c r="AA75" i="82" s="1"/>
  <c r="Z81" i="82"/>
  <c r="AA81" i="82" s="1"/>
  <c r="Z86" i="82"/>
  <c r="AA86" i="82" s="1"/>
  <c r="Z93" i="82"/>
  <c r="AA93" i="82" s="1"/>
  <c r="Z47" i="82"/>
  <c r="AA47" i="82" s="1"/>
  <c r="Z105" i="82"/>
  <c r="AA105" i="82" s="1"/>
  <c r="Z111" i="82"/>
  <c r="AA111" i="82" s="1"/>
  <c r="Z61" i="82"/>
  <c r="AA61" i="82" s="1"/>
  <c r="Z252" i="82"/>
  <c r="AA252" i="82" s="1"/>
  <c r="Z172" i="82"/>
  <c r="AA172" i="82" s="1"/>
  <c r="Z119" i="82"/>
  <c r="AA119" i="82" s="1"/>
  <c r="Z256" i="82"/>
  <c r="AA256" i="82" s="1"/>
  <c r="Z216" i="82"/>
  <c r="Z208" i="82"/>
  <c r="AA208" i="82" s="1"/>
  <c r="Z214" i="82"/>
  <c r="AA214" i="82" s="1"/>
  <c r="Z225" i="82"/>
  <c r="AA225" i="82" s="1"/>
  <c r="Z181" i="82"/>
  <c r="AA181" i="82" s="1"/>
  <c r="Z186" i="82"/>
  <c r="AA186" i="82" s="1"/>
  <c r="Z188" i="82"/>
  <c r="AA188" i="82" s="1"/>
  <c r="Z193" i="82"/>
  <c r="Z283" i="82"/>
  <c r="AA283" i="82" s="1"/>
  <c r="Z201" i="82"/>
  <c r="AA201" i="82" s="1"/>
  <c r="Z205" i="82"/>
  <c r="Z3" i="82"/>
  <c r="Z10" i="82"/>
  <c r="AA10" i="82" s="1"/>
  <c r="Z16" i="82"/>
  <c r="AA16" i="82" s="1"/>
  <c r="Z23" i="82"/>
  <c r="AA23" i="82" s="1"/>
  <c r="Z28" i="82"/>
  <c r="AA28" i="82" s="1"/>
  <c r="Z36" i="82"/>
  <c r="AA36" i="82" s="1"/>
  <c r="Z101" i="82"/>
  <c r="AA101" i="82" s="1"/>
  <c r="Z48" i="82"/>
  <c r="AA48" i="82" s="1"/>
  <c r="Z52" i="82"/>
  <c r="AA52" i="82" s="1"/>
  <c r="Z55" i="82"/>
  <c r="AA55" i="82" s="1"/>
  <c r="Z64" i="82"/>
  <c r="AA64" i="82" s="1"/>
  <c r="Z72" i="82"/>
  <c r="AA72" i="82" s="1"/>
  <c r="Z76" i="82"/>
  <c r="AA76" i="82" s="1"/>
  <c r="Z82" i="82"/>
  <c r="AA82" i="82" s="1"/>
  <c r="Z87" i="82"/>
  <c r="AA87" i="82" s="1"/>
  <c r="Z96" i="82"/>
  <c r="AA96" i="82" s="1"/>
  <c r="Z100" i="82"/>
  <c r="AA100" i="82" s="1"/>
  <c r="Z106" i="82"/>
  <c r="AA106" i="82" s="1"/>
  <c r="Z112" i="82"/>
  <c r="AA112" i="82" s="1"/>
  <c r="Z122" i="82"/>
  <c r="AA122" i="82" s="1"/>
  <c r="Z276" i="82"/>
  <c r="AA276" i="82" s="1"/>
  <c r="Z215" i="82"/>
  <c r="AA215" i="82" s="1"/>
  <c r="Z126" i="82"/>
  <c r="AA126" i="82" s="1"/>
  <c r="Z278" i="82"/>
  <c r="AA278" i="82" s="1"/>
  <c r="Z178" i="82"/>
  <c r="AA178" i="82" s="1"/>
  <c r="Z210" i="82"/>
  <c r="AA210" i="82" s="1"/>
  <c r="Z131" i="82"/>
  <c r="AA131" i="82" s="1"/>
  <c r="Z146" i="82"/>
  <c r="AA146" i="82" s="1"/>
  <c r="Z182" i="82"/>
  <c r="AA182" i="82" s="1"/>
  <c r="Z281" i="82"/>
  <c r="AA281" i="82" s="1"/>
  <c r="Z189" i="82"/>
  <c r="AA189" i="82" s="1"/>
  <c r="Z194" i="82"/>
  <c r="AA194" i="82" s="1"/>
  <c r="Z265" i="82"/>
  <c r="AA265" i="82" s="1"/>
  <c r="Z202" i="82"/>
  <c r="AA202" i="82" s="1"/>
  <c r="Z206" i="82"/>
  <c r="U108" i="82"/>
  <c r="Y176" i="82"/>
  <c r="AD205" i="82"/>
  <c r="J3" i="63"/>
  <c r="AD206" i="82"/>
  <c r="AB193" i="82"/>
  <c r="AB183" i="82"/>
  <c r="AB4" i="82"/>
  <c r="AB3" i="82"/>
  <c r="AB2" i="82"/>
  <c r="I2" i="82"/>
  <c r="H2" i="82"/>
  <c r="AA216" i="82" l="1"/>
  <c r="U4" i="82"/>
  <c r="V4" i="82" s="1"/>
  <c r="W4" i="82" s="1"/>
  <c r="AA4" i="82" s="1"/>
  <c r="U205" i="82"/>
  <c r="V205" i="82" s="1"/>
  <c r="W205" i="82" s="1"/>
  <c r="AA205" i="82" s="1"/>
  <c r="U206" i="82"/>
  <c r="V206" i="82" s="1"/>
  <c r="W206" i="82" s="1"/>
  <c r="AA206" i="82" s="1"/>
  <c r="V108" i="82"/>
  <c r="W108" i="82" s="1"/>
  <c r="AA108" i="82" s="1"/>
  <c r="AD108" i="82"/>
  <c r="P2" i="82"/>
  <c r="U193" i="82"/>
  <c r="U3" i="82"/>
  <c r="AD4" i="82"/>
  <c r="AD183" i="82"/>
  <c r="R2" i="82"/>
  <c r="Q2" i="82" s="1"/>
  <c r="T2" i="82"/>
  <c r="U183" i="82" l="1"/>
  <c r="V183" i="82" s="1"/>
  <c r="W183" i="82" s="1"/>
  <c r="AA183" i="82" s="1"/>
  <c r="Y206" i="82"/>
  <c r="Y205" i="82"/>
  <c r="Y4" i="82"/>
  <c r="Y108" i="82"/>
  <c r="V3" i="82"/>
  <c r="W3" i="82" s="1"/>
  <c r="AA3" i="82" s="1"/>
  <c r="AD2" i="82"/>
  <c r="V193" i="82"/>
  <c r="W193" i="82" s="1"/>
  <c r="AA193" i="82" s="1"/>
  <c r="U2" i="82"/>
  <c r="AD3" i="82"/>
  <c r="AD193" i="82"/>
  <c r="V2" i="82" l="1"/>
  <c r="W2" i="82" s="1"/>
  <c r="AA2" i="82" s="1"/>
  <c r="Y183" i="82"/>
  <c r="Y193" i="82"/>
  <c r="Y3" i="82"/>
  <c r="Y2" i="82" l="1"/>
  <c r="B20" i="65" l="1"/>
  <c r="AM17" i="64" l="1"/>
  <c r="AM6" i="64"/>
  <c r="AM28" i="64"/>
  <c r="C17" i="65"/>
  <c r="P4" i="63" s="1"/>
  <c r="K13" i="64"/>
  <c r="B28" i="65"/>
  <c r="M15" i="64" s="1"/>
  <c r="H6" i="56"/>
  <c r="H7" i="56"/>
  <c r="H8" i="56"/>
  <c r="B22" i="65"/>
  <c r="K14" i="64" s="1"/>
  <c r="AC3" i="64"/>
  <c r="AQ39" i="64"/>
  <c r="AO41" i="64"/>
  <c r="AO52" i="64"/>
  <c r="AR52" i="64"/>
  <c r="AU52" i="64"/>
  <c r="K1" i="65"/>
  <c r="AD34" i="64"/>
  <c r="AX48" i="64"/>
  <c r="AX49" i="64"/>
  <c r="AX47" i="64"/>
  <c r="AX37" i="64"/>
  <c r="AX38" i="64"/>
  <c r="AX36" i="64"/>
  <c r="AB3" i="64"/>
  <c r="AQ50" i="64"/>
  <c r="AM50" i="64"/>
  <c r="AM39" i="64"/>
  <c r="L10" i="64"/>
  <c r="BI4" i="64"/>
  <c r="X3" i="64"/>
  <c r="AU41" i="64"/>
  <c r="AR41" i="64"/>
  <c r="AD32" i="64" l="1"/>
  <c r="AD36" i="64"/>
  <c r="AV56" i="64"/>
  <c r="BH18" i="64"/>
  <c r="P22" i="64"/>
  <c r="AD9" i="64"/>
  <c r="B25" i="65"/>
  <c r="BH11" i="64" s="1"/>
  <c r="AX5" i="64"/>
  <c r="AB18" i="64"/>
  <c r="AC18" i="64"/>
  <c r="AB9" i="64"/>
  <c r="AD18" i="64"/>
  <c r="AC9" i="64"/>
  <c r="AA18" i="64"/>
  <c r="AO30" i="64"/>
  <c r="AX26" i="64"/>
  <c r="AQ28" i="64"/>
  <c r="AV4" i="64"/>
  <c r="AX25" i="64"/>
  <c r="AX27" i="64"/>
  <c r="BD13" i="64"/>
  <c r="BD11" i="64"/>
  <c r="BH14" i="64"/>
  <c r="AV48" i="64" l="1"/>
  <c r="AW48" i="64" s="1"/>
  <c r="AY48" i="64" s="1"/>
  <c r="AV26" i="64"/>
  <c r="AW26" i="64" s="1"/>
  <c r="AV37" i="64"/>
  <c r="AW37" i="64" s="1"/>
  <c r="AY37" i="64" s="1"/>
  <c r="AV15" i="64"/>
  <c r="AE18" i="64"/>
  <c r="B27" i="65"/>
  <c r="M14" i="64" s="1"/>
  <c r="AW47" i="64"/>
  <c r="AY47" i="64" s="1"/>
  <c r="AW27" i="64"/>
  <c r="AW36" i="64"/>
  <c r="AY36" i="64" s="1"/>
  <c r="AW49" i="64"/>
  <c r="AY49" i="64" s="1"/>
  <c r="AW38" i="64"/>
  <c r="AY38" i="64" s="1"/>
  <c r="AW25" i="64"/>
  <c r="L9" i="64"/>
  <c r="BG4" i="64"/>
  <c r="Q3" i="64"/>
  <c r="M13" i="64"/>
  <c r="AO19" i="64"/>
  <c r="L18" i="64"/>
  <c r="AQ17" i="64"/>
  <c r="AX4" i="64"/>
  <c r="AX3" i="64"/>
  <c r="N3" i="64"/>
  <c r="AX16" i="64"/>
  <c r="AX14" i="64"/>
  <c r="AX15" i="64"/>
  <c r="M3" i="64"/>
  <c r="AF18" i="64"/>
  <c r="O3" i="64"/>
  <c r="L3" i="64"/>
  <c r="AA9" i="64"/>
  <c r="AQ6" i="64" s="1"/>
  <c r="N14" i="84" l="1"/>
  <c r="F12" i="84"/>
  <c r="L12" i="84"/>
  <c r="E12" i="84"/>
  <c r="K12" i="84"/>
  <c r="K14" i="84"/>
  <c r="G12" i="84"/>
  <c r="M12" i="84"/>
  <c r="H14" i="84"/>
  <c r="H12" i="84"/>
  <c r="N12" i="84"/>
  <c r="E14" i="84"/>
  <c r="I12" i="84"/>
  <c r="C12" i="84"/>
  <c r="D12" i="84"/>
  <c r="J12" i="84"/>
  <c r="C6" i="84"/>
  <c r="C8" i="84" s="1"/>
  <c r="C11" i="84" s="1"/>
  <c r="D6" i="84"/>
  <c r="D8" i="84" s="1"/>
  <c r="D11" i="84" s="1"/>
  <c r="E6" i="84"/>
  <c r="E8" i="84" s="1"/>
  <c r="E11" i="84" s="1"/>
  <c r="K6" i="84"/>
  <c r="K8" i="84" s="1"/>
  <c r="K11" i="84" s="1"/>
  <c r="F6" i="84"/>
  <c r="F8" i="84" s="1"/>
  <c r="F11" i="84" s="1"/>
  <c r="L6" i="84"/>
  <c r="L8" i="84" s="1"/>
  <c r="L11" i="84" s="1"/>
  <c r="G6" i="84"/>
  <c r="G8" i="84" s="1"/>
  <c r="G11" i="84" s="1"/>
  <c r="M6" i="84"/>
  <c r="M8" i="84" s="1"/>
  <c r="M11" i="84" s="1"/>
  <c r="I6" i="84"/>
  <c r="I8" i="84" s="1"/>
  <c r="I11" i="84" s="1"/>
  <c r="H6" i="84"/>
  <c r="H8" i="84" s="1"/>
  <c r="H11" i="84" s="1"/>
  <c r="N6" i="84"/>
  <c r="N8" i="84" s="1"/>
  <c r="N11" i="84" s="1"/>
  <c r="J6" i="84"/>
  <c r="J8" i="84" s="1"/>
  <c r="J11" i="84" s="1"/>
  <c r="AW15" i="64"/>
  <c r="C28" i="65"/>
  <c r="D28" i="65" s="1"/>
  <c r="O3" i="63"/>
  <c r="BH13" i="64"/>
  <c r="AW14" i="64"/>
  <c r="AW16" i="64"/>
  <c r="S11" i="64"/>
  <c r="S15" i="64" s="1"/>
  <c r="S16" i="64" s="1"/>
  <c r="S17" i="64" s="1"/>
  <c r="S18" i="64" s="1"/>
  <c r="S19" i="64" s="1"/>
  <c r="AI18" i="64"/>
  <c r="AF25" i="64"/>
  <c r="AO8" i="64"/>
  <c r="AF29" i="64"/>
  <c r="C27" i="65" l="1"/>
  <c r="N14" i="64" s="1"/>
  <c r="M18" i="64"/>
  <c r="BJ14" i="64"/>
  <c r="BH19" i="64" s="1"/>
  <c r="O15" i="64"/>
  <c r="N15" i="64"/>
  <c r="BI14" i="64"/>
  <c r="R3" i="64"/>
  <c r="AJ18" i="64"/>
  <c r="C10" i="84" l="1"/>
  <c r="D10" i="84"/>
  <c r="D16" i="84" s="1"/>
  <c r="D18" i="84" s="1"/>
  <c r="J10" i="84"/>
  <c r="E10" i="84"/>
  <c r="E16" i="84" s="1"/>
  <c r="E18" i="84" s="1"/>
  <c r="K10" i="84"/>
  <c r="K16" i="84" s="1"/>
  <c r="K18" i="84" s="1"/>
  <c r="F10" i="84"/>
  <c r="F16" i="84" s="1"/>
  <c r="F18" i="84" s="1"/>
  <c r="L10" i="84"/>
  <c r="L16" i="84" s="1"/>
  <c r="L18" i="84" s="1"/>
  <c r="G10" i="84"/>
  <c r="G16" i="84" s="1"/>
  <c r="G18" i="84" s="1"/>
  <c r="M10" i="84"/>
  <c r="M16" i="84" s="1"/>
  <c r="M18" i="84" s="1"/>
  <c r="H10" i="84"/>
  <c r="H16" i="84" s="1"/>
  <c r="H18" i="84" s="1"/>
  <c r="N10" i="84"/>
  <c r="N16" i="84" s="1"/>
  <c r="N18" i="84" s="1"/>
  <c r="I10" i="84"/>
  <c r="I16" i="84" s="1"/>
  <c r="I18" i="84" s="1"/>
  <c r="C22" i="65"/>
  <c r="D22" i="65" s="1"/>
  <c r="AR19" i="64"/>
  <c r="AR30" i="64"/>
  <c r="S3" i="64"/>
  <c r="AK18" i="64"/>
  <c r="AG18" i="64"/>
  <c r="AR8" i="64" s="1"/>
  <c r="P3" i="64"/>
  <c r="AH18" i="64"/>
  <c r="N18" i="64"/>
  <c r="C16" i="84" l="1"/>
  <c r="J16" i="84"/>
  <c r="J18" i="84" s="1"/>
  <c r="AW5" i="64"/>
  <c r="AY5" i="64" s="1"/>
  <c r="AW3" i="64"/>
  <c r="AY3" i="64" s="1"/>
  <c r="AW4" i="64"/>
  <c r="AY4" i="64" s="1"/>
  <c r="AU19" i="64"/>
  <c r="AY16" i="64"/>
  <c r="AY15" i="64"/>
  <c r="AY14" i="64"/>
  <c r="AU8" i="64"/>
  <c r="AK25" i="64"/>
  <c r="BE13" i="64"/>
  <c r="L14" i="64"/>
  <c r="BF13" i="64"/>
  <c r="S9" i="64"/>
  <c r="S21" i="64" s="1"/>
  <c r="AU30" i="64"/>
  <c r="AY26" i="64"/>
  <c r="AY25" i="64"/>
  <c r="AY27" i="64"/>
  <c r="Q21" i="64"/>
  <c r="C18" i="84" l="1"/>
  <c r="C19" i="84" s="1"/>
  <c r="D19" i="84" s="1"/>
  <c r="E19" i="84" s="1"/>
  <c r="F19" i="84" s="1"/>
  <c r="G19" i="84" s="1"/>
  <c r="H19" i="84" s="1"/>
  <c r="I19" i="84" s="1"/>
  <c r="J19" i="84" s="1"/>
  <c r="K19" i="84" s="1"/>
  <c r="L19" i="84" s="1"/>
  <c r="M19" i="84" s="1"/>
  <c r="N19" i="84" s="1"/>
  <c r="L11" i="64"/>
  <c r="D27" i="65"/>
  <c r="BI13" i="64"/>
  <c r="BE4" i="64"/>
  <c r="BG8" i="64" s="1"/>
  <c r="AK29" i="64"/>
  <c r="N21" i="84" l="1"/>
  <c r="BJ13" i="64"/>
  <c r="BJ15" i="64" s="1"/>
  <c r="O14" i="64"/>
  <c r="D29" i="65"/>
</calcChain>
</file>

<file path=xl/sharedStrings.xml><?xml version="1.0" encoding="utf-8"?>
<sst xmlns="http://schemas.openxmlformats.org/spreadsheetml/2006/main" count="1349" uniqueCount="240">
  <si>
    <t>INGRESE LOS SIGUIENTES DATOS</t>
  </si>
  <si>
    <t>Escenario Express (NO MODIFICAR)</t>
  </si>
  <si>
    <t>Inmobiliaria:</t>
  </si>
  <si>
    <t>Proyecto:</t>
  </si>
  <si>
    <t>Comuna:</t>
  </si>
  <si>
    <t>Entrega Estimada:</t>
  </si>
  <si>
    <t>Depto</t>
  </si>
  <si>
    <t>N° Depto</t>
  </si>
  <si>
    <t>Tipología</t>
  </si>
  <si>
    <t>Est.</t>
  </si>
  <si>
    <t>Bod.</t>
  </si>
  <si>
    <t>Precio Escr.</t>
  </si>
  <si>
    <t>Crédito (%)</t>
  </si>
  <si>
    <t>Bono (%)</t>
  </si>
  <si>
    <t>PIE (%)</t>
  </si>
  <si>
    <t>PIE</t>
  </si>
  <si>
    <t>Nombre Cliente</t>
  </si>
  <si>
    <t>PARA 1° DEPTO</t>
  </si>
  <si>
    <t>Nombre Cliente:</t>
  </si>
  <si>
    <t>Precio de Escrituración:</t>
  </si>
  <si>
    <t>Monto Crédito:</t>
  </si>
  <si>
    <t>Crédito (%):</t>
  </si>
  <si>
    <t># Departamentos:</t>
  </si>
  <si>
    <t>RESERVA</t>
  </si>
  <si>
    <t>PIE TOTAL</t>
  </si>
  <si>
    <t>ABONO</t>
  </si>
  <si>
    <t>PIE PENDIENTE</t>
  </si>
  <si>
    <t>PATRIMONIO TOTAL</t>
  </si>
  <si>
    <t>N° depto:</t>
  </si>
  <si>
    <t>Forma de Pago</t>
  </si>
  <si>
    <t>Cuota</t>
  </si>
  <si>
    <t>Total</t>
  </si>
  <si>
    <t>Ingresar plusvalía:</t>
  </si>
  <si>
    <t>PARA 2° DEPTO</t>
  </si>
  <si>
    <t>Año 1</t>
  </si>
  <si>
    <t>Abono Inicial:</t>
  </si>
  <si>
    <t>Año 2</t>
  </si>
  <si>
    <t>Arriendo</t>
  </si>
  <si>
    <t>Dividendo</t>
  </si>
  <si>
    <t>Flujo</t>
  </si>
  <si>
    <t>Año 3</t>
  </si>
  <si>
    <t>* El "Abono Inicial" y "Monto Reserva" se abona al pie de los deptos.</t>
  </si>
  <si>
    <t>Año 4</t>
  </si>
  <si>
    <t>Plazo Crédito (años):</t>
  </si>
  <si>
    <t>Tasa Banco</t>
  </si>
  <si>
    <t>Año 5</t>
  </si>
  <si>
    <t>Cuotón Máximo:</t>
  </si>
  <si>
    <t>Flujo Total:</t>
  </si>
  <si>
    <t>GANANCIA</t>
  </si>
  <si>
    <t>PARA 3° DEPTO</t>
  </si>
  <si>
    <t>UF HOY</t>
  </si>
  <si>
    <t>PARA 4° DEPTO</t>
  </si>
  <si>
    <t>PARA 5° DEPTO</t>
  </si>
  <si>
    <t>* Valores referenciales, sujeto a evaluación bancaria y tasa de interés obtenida al momento del crédito.</t>
  </si>
  <si>
    <t>INFO GENERAL</t>
  </si>
  <si>
    <t>Entrega Estimada</t>
  </si>
  <si>
    <t>Cuotas ForPay</t>
  </si>
  <si>
    <t>Cuotas TC</t>
  </si>
  <si>
    <t>Monto Reserva</t>
  </si>
  <si>
    <t>Enviar reserva a</t>
  </si>
  <si>
    <t>Monto Abono inicial</t>
  </si>
  <si>
    <t>Estacionamientos</t>
  </si>
  <si>
    <t>Bodegas</t>
  </si>
  <si>
    <t>Plan de pago</t>
  </si>
  <si>
    <t>Devoluciones</t>
  </si>
  <si>
    <t>PROMESA</t>
  </si>
  <si>
    <t>Qué se debe firmar</t>
  </si>
  <si>
    <t>Formato</t>
  </si>
  <si>
    <t>Cheques</t>
  </si>
  <si>
    <t>NO SE DEJAN CHEQUES DE CONTRA ESCRITURA NI BONO PIE</t>
  </si>
  <si>
    <t>Fecha de cobro</t>
  </si>
  <si>
    <t>05 de cada mes</t>
  </si>
  <si>
    <t>Razón Social</t>
  </si>
  <si>
    <t>Rut</t>
  </si>
  <si>
    <t>Banco</t>
  </si>
  <si>
    <t>Tipo de cuenta</t>
  </si>
  <si>
    <t>Corriente</t>
  </si>
  <si>
    <t>Número cuenta</t>
  </si>
  <si>
    <t>Proyecto</t>
  </si>
  <si>
    <t>CUENTA CORRIENTE INMOBILIARIA</t>
  </si>
  <si>
    <t>Estado</t>
  </si>
  <si>
    <t>N° Depto.</t>
  </si>
  <si>
    <t xml:space="preserve">Orientacion </t>
  </si>
  <si>
    <t xml:space="preserve">Tipologia </t>
  </si>
  <si>
    <t>Tipo</t>
  </si>
  <si>
    <t>Sup. Util</t>
  </si>
  <si>
    <t>Sup. Terraza</t>
  </si>
  <si>
    <t>Sup. Pond.</t>
  </si>
  <si>
    <t>Sup. Total</t>
  </si>
  <si>
    <t>P.Lista</t>
  </si>
  <si>
    <t>Descuento</t>
  </si>
  <si>
    <t>Estacionamiento</t>
  </si>
  <si>
    <t>Bodega</t>
  </si>
  <si>
    <t>P.Final</t>
  </si>
  <si>
    <t>P. de Escrituración</t>
  </si>
  <si>
    <t>UF/m2</t>
  </si>
  <si>
    <t>Bono %</t>
  </si>
  <si>
    <t>Bono UF</t>
  </si>
  <si>
    <t>Crédito Hipotecario Máx</t>
  </si>
  <si>
    <t>Crédito Hipotecario UF</t>
  </si>
  <si>
    <t>PIE UF</t>
  </si>
  <si>
    <t>PIE ($)</t>
  </si>
  <si>
    <t>Cuota Cheque</t>
  </si>
  <si>
    <t>Cuota Mensual $</t>
  </si>
  <si>
    <t>Renta mínima</t>
  </si>
  <si>
    <t>Disponible</t>
  </si>
  <si>
    <t>Estudio</t>
  </si>
  <si>
    <t>Comuna</t>
  </si>
  <si>
    <t>Reserva</t>
  </si>
  <si>
    <t>Contra escritura</t>
  </si>
  <si>
    <t>Opción 1</t>
  </si>
  <si>
    <t>Opción 2 CH</t>
  </si>
  <si>
    <t>Opción 2 C.E</t>
  </si>
  <si>
    <t>Opción 2</t>
  </si>
  <si>
    <t>Entrega</t>
  </si>
  <si>
    <t>opc2 cuotas</t>
  </si>
  <si>
    <t>opc2 cuoton</t>
  </si>
  <si>
    <t>Sin Est.</t>
  </si>
  <si>
    <t>Con Est.</t>
  </si>
  <si>
    <t>Años Crédito</t>
  </si>
  <si>
    <t>NO MODIFICAR NADA DE ESTA HOJA</t>
  </si>
  <si>
    <t>Años</t>
  </si>
  <si>
    <t>Orientación</t>
  </si>
  <si>
    <t>Superficie Total.</t>
  </si>
  <si>
    <t>Valor Lista</t>
  </si>
  <si>
    <t>Dcto</t>
  </si>
  <si>
    <t>Bod</t>
  </si>
  <si>
    <t>Precio Final</t>
  </si>
  <si>
    <t>Precio de Escrituración</t>
  </si>
  <si>
    <t>Monto a solicitar</t>
  </si>
  <si>
    <t>C. Hip.</t>
  </si>
  <si>
    <t>Bono</t>
  </si>
  <si>
    <t>Pie (%)</t>
  </si>
  <si>
    <t>Pie ($)</t>
  </si>
  <si>
    <t>Cuotas</t>
  </si>
  <si>
    <t>Valor Cuota</t>
  </si>
  <si>
    <t>Arriendo aprox.</t>
  </si>
  <si>
    <t>Proyectos</t>
  </si>
  <si>
    <t>Abono Inicial</t>
  </si>
  <si>
    <t>Monto</t>
  </si>
  <si>
    <t>Departamento</t>
  </si>
  <si>
    <t>Precio Escritura</t>
  </si>
  <si>
    <t>Crédito Hip.</t>
  </si>
  <si>
    <t>Monto Crédito</t>
  </si>
  <si>
    <t>Fecha</t>
  </si>
  <si>
    <t>Seguros</t>
  </si>
  <si>
    <t>TOTAL</t>
  </si>
  <si>
    <t xml:space="preserve">  Proyecto:</t>
  </si>
  <si>
    <t>Recepción Final</t>
  </si>
  <si>
    <t>Tasa Inmediata</t>
  </si>
  <si>
    <t>Tasa Futura</t>
  </si>
  <si>
    <t>S</t>
  </si>
  <si>
    <t>N</t>
  </si>
  <si>
    <t>1D+1B</t>
  </si>
  <si>
    <t>2D+2B</t>
  </si>
  <si>
    <t>2D+1B</t>
  </si>
  <si>
    <t>MACUL</t>
  </si>
  <si>
    <t>Macul</t>
  </si>
  <si>
    <t>Macul View</t>
  </si>
  <si>
    <t>Macul View - Macul</t>
  </si>
  <si>
    <t>2do Semestre 2028</t>
  </si>
  <si>
    <t>77.389.291-1</t>
  </si>
  <si>
    <t>Metra</t>
  </si>
  <si>
    <t>30 días</t>
  </si>
  <si>
    <t>ForPay</t>
  </si>
  <si>
    <t>SÓLO PAC</t>
  </si>
  <si>
    <t>Bodegas desde UF 80</t>
  </si>
  <si>
    <t>Estacionamientos desde UF 380</t>
  </si>
  <si>
    <t>Opcional para toda tipología</t>
  </si>
  <si>
    <t>3% cuotón máximo</t>
  </si>
  <si>
    <t>Bloqueado</t>
  </si>
  <si>
    <t>Brochure</t>
  </si>
  <si>
    <t>Promesa, Pagaré bono pie, Acuerdo Comercial Activo Más</t>
  </si>
  <si>
    <t>Físico o Digital por FirmaYa - Pagaré en Notaría</t>
  </si>
  <si>
    <t>PONIENTE</t>
  </si>
  <si>
    <t>SUR</t>
  </si>
  <si>
    <t>NORTE</t>
  </si>
  <si>
    <t>NORPONIENTE</t>
  </si>
  <si>
    <t>SURPONIENTE</t>
  </si>
  <si>
    <t>ORIENTE</t>
  </si>
  <si>
    <t>1D1B</t>
  </si>
  <si>
    <t>2D1B</t>
  </si>
  <si>
    <t>2D2B</t>
  </si>
  <si>
    <t>A3</t>
  </si>
  <si>
    <t>A1</t>
  </si>
  <si>
    <t>A1 JARDIN</t>
  </si>
  <si>
    <t>B2</t>
  </si>
  <si>
    <t>C</t>
  </si>
  <si>
    <t>B1</t>
  </si>
  <si>
    <t>D2</t>
  </si>
  <si>
    <t>ÑUÑOA</t>
  </si>
  <si>
    <t>Flujo Arriendo Diario 1er Año</t>
  </si>
  <si>
    <t>Días</t>
  </si>
  <si>
    <t>Total Ingresos</t>
  </si>
  <si>
    <t>Ocupación</t>
  </si>
  <si>
    <t>Corredora (25%+IVA)</t>
  </si>
  <si>
    <t>Gastos Comunes</t>
  </si>
  <si>
    <t>Servicios básicos</t>
  </si>
  <si>
    <t>* Considera agua, luz e internet.</t>
  </si>
  <si>
    <t>Contribuciones</t>
  </si>
  <si>
    <t>Amoblado GRATIS</t>
  </si>
  <si>
    <t>Total Gastos</t>
  </si>
  <si>
    <t>FCN Mensual</t>
  </si>
  <si>
    <t>FCN Acumulado</t>
  </si>
  <si>
    <t>Flujo Mensual</t>
  </si>
  <si>
    <t>Diario</t>
  </si>
  <si>
    <t>Fijo</t>
  </si>
  <si>
    <t>Gastos</t>
  </si>
  <si>
    <t>$/m2</t>
  </si>
  <si>
    <t>Ñuñoa View - Ñuñoa</t>
  </si>
  <si>
    <t>Ñuñoa View</t>
  </si>
  <si>
    <t>Ñuñoa</t>
  </si>
  <si>
    <t>-</t>
  </si>
  <si>
    <t>Inmediata</t>
  </si>
  <si>
    <t>3D2B</t>
  </si>
  <si>
    <t>*Mínimo $1.750.000 para Macul.</t>
  </si>
  <si>
    <t>3% máximo para Macul.</t>
  </si>
  <si>
    <t>Inmobiliaria San Eugenio SpA</t>
  </si>
  <si>
    <t>77.096.778-3</t>
  </si>
  <si>
    <t>BCI</t>
  </si>
  <si>
    <t>nunoa@metra.cl</t>
  </si>
  <si>
    <t>Correo</t>
  </si>
  <si>
    <t>Pago en Notaría</t>
  </si>
  <si>
    <t>Cliente debe pagar un impuesto por el pagaré, $100.000 en total aprox. por dpto.</t>
  </si>
  <si>
    <t>Estacionamientos desde UF 450</t>
  </si>
  <si>
    <t>Bodegas desde UF 120</t>
  </si>
  <si>
    <t>Corredora</t>
  </si>
  <si>
    <t>No</t>
  </si>
  <si>
    <t>PACK AIRBNB PLUS</t>
  </si>
  <si>
    <t>PACK AIRBNB EXPRESS</t>
  </si>
  <si>
    <t>PACK INVERCITY</t>
  </si>
  <si>
    <t>Incluye solo: Iluminación: Focos cielo + ampolletas LED. Cortinas: Blackout (dormitorios) y screen (living/comedor). No incluye muebles, electrodomésticos, ropa de cama, ni accesorios de cocina o baño.</t>
  </si>
  <si>
    <t>Incluye: Dormitorio(s): Cama(s), veladores, alfombra, cortinas blackout, ropa de cama premium. Living: Sofá, poltrona, mesas, lámpara de pie, alfombra, TV 43". Cocina-Comedor: Mesa, sillas, lavadora/secadora, tostadora, hervidor, plancha, vajilla completa, cubiertos, utensilios. Baño: Toallas, set de accesorios, dispensador, papelero, etc.</t>
  </si>
  <si>
    <t>Incluye: Dormitorio(s): Cama(s), veladores, cortinas blackout, ropa de cama básica. Living: Futón sofá cama, mesa de centro, cortinas screen. Cocina-Comedor: Mesa, sillas, hervidor, plancha, vajilla y cubiertos. Baño: Toallas y accesorios básicos.</t>
  </si>
  <si>
    <t>El cliente debe firmar primero la escritura, y a partir de ese momento, el plazo máximo para que el departamento quede completamente amoblado es de 45 días. Todo se entrega listo y montado en el departamento.</t>
  </si>
  <si>
    <t>*Seleccionar "Si" o "No" según corresponda.</t>
  </si>
  <si>
    <t>*Ingresar % de ocupación estimada.</t>
  </si>
  <si>
    <t>Inmobiliaria Vicuña Mackenna Spa</t>
  </si>
  <si>
    <t>Banco Consorcio</t>
  </si>
  <si>
    <t>* Dividendos incluyen los seguros obligatorios, equivalentes a UF 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</si>
</sst>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 &quot;$&quot;* #,##0_ ;_ &quot;$&quot;* \-#,##0_ ;_ &quot;$&quot;* &quot;-&quot;_ ;_ @_ "/>
    <numFmt numFmtId="41" formatCode="_ * #,##0_ ;_ * \-#,##0_ ;_ * &quot;-&quot;_ ;_ @_ "/>
    <numFmt numFmtId="164" formatCode="_-* #,##0_-;\-* #,##0_-;_-* &quot;-&quot;_-;_-@_-"/>
    <numFmt numFmtId="165" formatCode="_-* #,##0.00_-;\-* #,##0.00_-;_-* &quot;-&quot;??_-;_-@_-"/>
    <numFmt numFmtId="166" formatCode="_-&quot;$&quot;* #,##0_-;\-&quot;$&quot;* #,##0_-;_-&quot;$&quot;* &quot;-&quot;_-;_-@_-"/>
    <numFmt numFmtId="167" formatCode="_-&quot;$&quot;\ * #,##0_-;\-&quot;$&quot;\ * #,##0_-;_-&quot;$&quot;\ * &quot;-&quot;_-;_-@_-"/>
    <numFmt numFmtId="168" formatCode="&quot;$&quot;#,##0"/>
    <numFmt numFmtId="169" formatCode="\U\F\ #,##0.00"/>
    <numFmt numFmtId="170" formatCode="0;[Red]0"/>
    <numFmt numFmtId="171" formatCode="\U\F\ #,##0"/>
    <numFmt numFmtId="172" formatCode="0.0%"/>
    <numFmt numFmtId="173" formatCode="#,##0_ ;\-#,##0\ "/>
    <numFmt numFmtId="174" formatCode="#,##0.000"/>
  </numFmts>
  <fonts count="10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706F6F"/>
      <name val="Arial"/>
      <family val="2"/>
    </font>
    <font>
      <sz val="8"/>
      <color theme="1"/>
      <name val="Arial"/>
      <family val="2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3"/>
      <name val="Calibri Light"/>
      <family val="2"/>
      <scheme val="major"/>
    </font>
    <font>
      <sz val="11"/>
      <color theme="1"/>
      <name val="Calibri"/>
      <family val="2"/>
    </font>
    <font>
      <b/>
      <sz val="22"/>
      <color theme="0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4" tint="-0.249977111117893"/>
      <name val="Tahoma"/>
      <family val="2"/>
    </font>
    <font>
      <sz val="10"/>
      <color theme="4" tint="-0.249977111117893"/>
      <name val="Tahoma"/>
      <family val="2"/>
    </font>
    <font>
      <b/>
      <sz val="11"/>
      <color theme="1"/>
      <name val="Arial"/>
      <family val="2"/>
    </font>
    <font>
      <b/>
      <sz val="12"/>
      <color theme="4" tint="-0.249977111117893"/>
      <name val="Arial"/>
      <family val="2"/>
    </font>
    <font>
      <b/>
      <sz val="12"/>
      <color rgb="FF2D2E83"/>
      <name val="Tahoma"/>
      <family val="2"/>
    </font>
    <font>
      <b/>
      <sz val="12"/>
      <color theme="8" tint="-0.499984740745262"/>
      <name val="Calibri"/>
      <family val="2"/>
      <scheme val="minor"/>
    </font>
    <font>
      <b/>
      <sz val="9"/>
      <color theme="4" tint="-0.249977111117893"/>
      <name val="Tahoma"/>
      <family val="2"/>
    </font>
    <font>
      <sz val="12"/>
      <color theme="1"/>
      <name val="Arial"/>
      <family val="2"/>
    </font>
    <font>
      <b/>
      <sz val="12"/>
      <color theme="0"/>
      <name val="Tahoma"/>
      <family val="2"/>
    </font>
    <font>
      <sz val="12"/>
      <color theme="8" tint="0.39997558519241921"/>
      <name val="Calibri"/>
      <family val="2"/>
      <scheme val="minor"/>
    </font>
    <font>
      <sz val="12"/>
      <name val="Arial"/>
      <family val="2"/>
    </font>
    <font>
      <b/>
      <sz val="12"/>
      <color theme="4" tint="-0.249977111117893"/>
      <name val="Tahoma"/>
      <family val="2"/>
    </font>
    <font>
      <sz val="12"/>
      <color theme="4" tint="-0.249977111117893"/>
      <name val="Arial"/>
      <family val="2"/>
    </font>
    <font>
      <sz val="12"/>
      <color rgb="FF2D2E83"/>
      <name val="Tahoma"/>
      <family val="2"/>
    </font>
    <font>
      <sz val="11"/>
      <color rgb="FF2D2E83"/>
      <name val="Tahoma"/>
      <family val="2"/>
    </font>
    <font>
      <b/>
      <sz val="12"/>
      <color rgb="FF0095EB"/>
      <name val="Tahoma"/>
      <family val="2"/>
    </font>
    <font>
      <b/>
      <sz val="12"/>
      <color theme="1"/>
      <name val="Arial"/>
      <family val="2"/>
    </font>
    <font>
      <sz val="12"/>
      <name val="Calibri"/>
      <family val="2"/>
      <scheme val="minor"/>
    </font>
    <font>
      <b/>
      <sz val="14"/>
      <color theme="0"/>
      <name val="Arial"/>
      <family val="2"/>
    </font>
    <font>
      <sz val="12"/>
      <color rgb="FF2D2E83"/>
      <name val="Calibri"/>
      <family val="2"/>
      <scheme val="minor"/>
    </font>
    <font>
      <sz val="12"/>
      <color rgb="FF2D2E83"/>
      <name val="Arial"/>
      <family val="2"/>
    </font>
    <font>
      <sz val="12"/>
      <color theme="8" tint="-0.499984740745262"/>
      <name val="Calibri"/>
      <family val="2"/>
      <scheme val="minor"/>
    </font>
    <font>
      <sz val="12"/>
      <color rgb="FF0095EB"/>
      <name val="Tahoma"/>
      <family val="2"/>
    </font>
    <font>
      <i/>
      <sz val="8"/>
      <color rgb="FF2D2E83"/>
      <name val="Tahoma"/>
      <family val="2"/>
    </font>
    <font>
      <i/>
      <sz val="8"/>
      <color theme="4" tint="-0.499984740745262"/>
      <name val="Arial"/>
      <family val="2"/>
    </font>
    <font>
      <b/>
      <sz val="12"/>
      <name val="Calibri"/>
      <family val="2"/>
      <scheme val="minor"/>
    </font>
    <font>
      <sz val="12"/>
      <color theme="4" tint="-0.249977111117893"/>
      <name val="Tahoma"/>
      <family val="2"/>
    </font>
    <font>
      <b/>
      <sz val="12"/>
      <color theme="0"/>
      <name val="Arial"/>
      <family val="2"/>
    </font>
    <font>
      <b/>
      <sz val="11"/>
      <color rgb="FF2D2E83"/>
      <name val="Tahoma"/>
      <family val="2"/>
    </font>
    <font>
      <sz val="12"/>
      <color theme="1"/>
      <name val="Tahoma"/>
      <family val="2"/>
    </font>
    <font>
      <b/>
      <sz val="11"/>
      <color theme="4" tint="-0.249977111117893"/>
      <name val="Arial"/>
      <family val="2"/>
    </font>
    <font>
      <b/>
      <sz val="12"/>
      <color theme="4" tint="-0.499984740745262"/>
      <name val="Tahoma"/>
      <family val="2"/>
    </font>
    <font>
      <sz val="12"/>
      <color theme="4" tint="-0.499984740745262"/>
      <name val="Tahoma"/>
      <family val="2"/>
    </font>
    <font>
      <b/>
      <sz val="10"/>
      <color rgb="FF2D2E83"/>
      <name val="Tahoma"/>
      <family val="2"/>
    </font>
    <font>
      <sz val="12"/>
      <color rgb="FF1E1E1E"/>
      <name val="Segoe UI"/>
      <family val="2"/>
    </font>
    <font>
      <b/>
      <sz val="20"/>
      <color theme="1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6"/>
      <color rgb="FF2D2E8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8"/>
      <color theme="1"/>
      <name val="Arial"/>
      <family val="2"/>
    </font>
    <font>
      <sz val="11"/>
      <color theme="4" tint="-0.499984740745262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b/>
      <u/>
      <sz val="18"/>
      <color theme="4" tint="-0.499984740745262"/>
      <name val="Calibri"/>
      <family val="2"/>
      <scheme val="minor"/>
    </font>
    <font>
      <i/>
      <sz val="12"/>
      <color theme="8" tint="-0.499984740745262"/>
      <name val="Calibri"/>
      <family val="2"/>
      <scheme val="minor"/>
    </font>
    <font>
      <i/>
      <sz val="11"/>
      <color theme="4" tint="-0.499984740745262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color rgb="FF002060"/>
      <name val="Tahoma"/>
      <family val="2"/>
    </font>
    <font>
      <b/>
      <sz val="12"/>
      <color theme="7" tint="-0.249977111117893"/>
      <name val="Tahoma"/>
      <family val="2"/>
    </font>
    <font>
      <b/>
      <i/>
      <sz val="12"/>
      <color theme="4"/>
      <name val="Tahoma"/>
      <family val="2"/>
    </font>
    <font>
      <b/>
      <sz val="12"/>
      <color rgb="FFFF0000"/>
      <name val="Tahoma"/>
      <family val="2"/>
    </font>
    <font>
      <i/>
      <sz val="10"/>
      <color rgb="FF2D2E83"/>
      <name val="Tahoma"/>
      <family val="2"/>
    </font>
    <font>
      <b/>
      <sz val="14"/>
      <color rgb="FF00B050"/>
      <name val="Tahoma"/>
      <family val="2"/>
    </font>
    <font>
      <i/>
      <sz val="12"/>
      <color theme="1"/>
      <name val="Tahoma"/>
      <family val="2"/>
    </font>
  </fonts>
  <fills count="5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95E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CCCCCC"/>
      </right>
      <top style="medium">
        <color rgb="FFDDDDDD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theme="4" tint="-0.249977111117893"/>
      </bottom>
      <diagonal/>
    </border>
    <border>
      <left style="thin">
        <color rgb="FF2D2E83"/>
      </left>
      <right style="thin">
        <color rgb="FF2D2E83"/>
      </right>
      <top style="thin">
        <color rgb="FF2D2E83"/>
      </top>
      <bottom style="thin">
        <color rgb="FF2D2E83"/>
      </bottom>
      <diagonal/>
    </border>
    <border>
      <left style="thin">
        <color rgb="FF2D2E83"/>
      </left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indexed="64"/>
      </right>
      <top/>
      <bottom/>
      <diagonal/>
    </border>
    <border>
      <left style="thin">
        <color rgb="FF2D2E83"/>
      </left>
      <right style="thin">
        <color rgb="FF2D2E83"/>
      </right>
      <top/>
      <bottom/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rgb="FF2D2E83"/>
      </top>
      <bottom/>
      <diagonal/>
    </border>
    <border>
      <left/>
      <right style="thin">
        <color theme="4" tint="-0.24994659260841701"/>
      </right>
      <top/>
      <bottom/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/>
      <right style="thin">
        <color theme="4" tint="-0.24994659260841701"/>
      </right>
      <top/>
      <bottom style="thin">
        <color theme="4" tint="-0.2499465926084170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2D2E83"/>
      </left>
      <right style="thin">
        <color rgb="FF2D2E83"/>
      </right>
      <top style="thin">
        <color rgb="FF2D2E83"/>
      </top>
      <bottom/>
      <diagonal/>
    </border>
    <border>
      <left style="thin">
        <color rgb="FF2D2E83"/>
      </left>
      <right style="thin">
        <color rgb="FF2D2E83"/>
      </right>
      <top style="thin">
        <color rgb="FF2D2E83"/>
      </top>
      <bottom style="thin">
        <color theme="4" tint="-0.249977111117893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medium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thin">
        <color theme="4" tint="0.59996337778862885"/>
      </bottom>
      <diagonal/>
    </border>
    <border>
      <left style="medium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medium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medium">
        <color theme="4" tint="0.59996337778862885"/>
      </bottom>
      <diagonal/>
    </border>
    <border>
      <left style="medium">
        <color theme="4" tint="0.59996337778862885"/>
      </left>
      <right style="medium">
        <color theme="4" tint="0.59996337778862885"/>
      </right>
      <top style="medium">
        <color theme="4" tint="0.59996337778862885"/>
      </top>
      <bottom/>
      <diagonal/>
    </border>
    <border>
      <left style="medium">
        <color theme="4" tint="0.59996337778862885"/>
      </left>
      <right style="medium">
        <color theme="4" tint="0.59996337778862885"/>
      </right>
      <top/>
      <bottom/>
      <diagonal/>
    </border>
    <border>
      <left style="medium">
        <color theme="4" tint="0.59996337778862885"/>
      </left>
      <right style="medium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medium">
        <color theme="4" tint="0.59996337778862885"/>
      </right>
      <top style="medium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medium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medium">
        <color theme="4" tint="0.59996337778862885"/>
      </right>
      <top style="thin">
        <color theme="4" tint="0.59996337778862885"/>
      </top>
      <bottom style="medium">
        <color theme="4" tint="0.59996337778862885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ck">
        <color rgb="FF0070C0"/>
      </left>
      <right style="hair">
        <color rgb="FF0070C0"/>
      </right>
      <top style="thick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thick">
        <color rgb="FF0070C0"/>
      </top>
      <bottom style="hair">
        <color rgb="FF0070C0"/>
      </bottom>
      <diagonal/>
    </border>
    <border>
      <left style="hair">
        <color rgb="FF0070C0"/>
      </left>
      <right style="thick">
        <color rgb="FF0070C0"/>
      </right>
      <top style="thick">
        <color rgb="FF0070C0"/>
      </top>
      <bottom style="hair">
        <color rgb="FF0070C0"/>
      </bottom>
      <diagonal/>
    </border>
    <border>
      <left style="thick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thick">
        <color rgb="FF0070C0"/>
      </right>
      <top style="hair">
        <color rgb="FF0070C0"/>
      </top>
      <bottom style="hair">
        <color rgb="FF0070C0"/>
      </bottom>
      <diagonal/>
    </border>
    <border>
      <left style="thick">
        <color rgb="FF0070C0"/>
      </left>
      <right/>
      <top style="hair">
        <color rgb="FF0070C0"/>
      </top>
      <bottom style="hair">
        <color rgb="FF0070C0"/>
      </bottom>
      <diagonal/>
    </border>
    <border>
      <left/>
      <right/>
      <top style="hair">
        <color rgb="FF0070C0"/>
      </top>
      <bottom style="hair">
        <color rgb="FF0070C0"/>
      </bottom>
      <diagonal/>
    </border>
    <border>
      <left/>
      <right style="thick">
        <color rgb="FF0070C0"/>
      </right>
      <top style="hair">
        <color rgb="FF0070C0"/>
      </top>
      <bottom style="hair">
        <color rgb="FF0070C0"/>
      </bottom>
      <diagonal/>
    </border>
    <border>
      <left style="thick">
        <color rgb="FF0070C0"/>
      </left>
      <right style="hair">
        <color rgb="FF0070C0"/>
      </right>
      <top style="hair">
        <color rgb="FF0070C0"/>
      </top>
      <bottom style="thick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thick">
        <color rgb="FF0070C0"/>
      </bottom>
      <diagonal/>
    </border>
    <border>
      <left style="hair">
        <color rgb="FF0070C0"/>
      </left>
      <right style="thick">
        <color rgb="FF0070C0"/>
      </right>
      <top style="hair">
        <color rgb="FF0070C0"/>
      </top>
      <bottom style="thick">
        <color rgb="FF0070C0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</borders>
  <cellStyleXfs count="82">
    <xf numFmtId="0" fontId="0" fillId="0" borderId="0"/>
    <xf numFmtId="166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42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2" fillId="0" borderId="16" applyNumberFormat="0" applyFill="0" applyAlignment="0" applyProtection="0"/>
    <xf numFmtId="0" fontId="23" fillId="7" borderId="0" applyNumberFormat="0" applyBorder="0" applyAlignment="0" applyProtection="0"/>
    <xf numFmtId="0" fontId="24" fillId="8" borderId="0" applyNumberFormat="0" applyBorder="0" applyAlignment="0" applyProtection="0"/>
    <xf numFmtId="0" fontId="25" fillId="10" borderId="17" applyNumberFormat="0" applyAlignment="0" applyProtection="0"/>
    <xf numFmtId="0" fontId="26" fillId="11" borderId="18" applyNumberFormat="0" applyAlignment="0" applyProtection="0"/>
    <xf numFmtId="0" fontId="27" fillId="11" borderId="17" applyNumberFormat="0" applyAlignment="0" applyProtection="0"/>
    <xf numFmtId="0" fontId="28" fillId="0" borderId="19" applyNumberFormat="0" applyFill="0" applyAlignment="0" applyProtection="0"/>
    <xf numFmtId="0" fontId="29" fillId="12" borderId="20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1" fillId="0" borderId="22" applyNumberFormat="0" applyFill="0" applyAlignment="0" applyProtection="0"/>
    <xf numFmtId="0" fontId="32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32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32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32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32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32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0" borderId="0"/>
    <xf numFmtId="0" fontId="32" fillId="17" borderId="0" applyNumberFormat="0" applyBorder="0" applyAlignment="0" applyProtection="0"/>
    <xf numFmtId="0" fontId="32" fillId="21" borderId="0" applyNumberFormat="0" applyBorder="0" applyAlignment="0" applyProtection="0"/>
    <xf numFmtId="0" fontId="32" fillId="25" borderId="0" applyNumberFormat="0" applyBorder="0" applyAlignment="0" applyProtection="0"/>
    <xf numFmtId="0" fontId="32" fillId="29" borderId="0" applyNumberFormat="0" applyBorder="0" applyAlignment="0" applyProtection="0"/>
    <xf numFmtId="0" fontId="32" fillId="33" borderId="0" applyNumberFormat="0" applyBorder="0" applyAlignment="0" applyProtection="0"/>
    <xf numFmtId="0" fontId="32" fillId="37" borderId="0" applyNumberFormat="0" applyBorder="0" applyAlignment="0" applyProtection="0"/>
    <xf numFmtId="16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34" fillId="9" borderId="0" applyNumberFormat="0" applyBorder="0" applyAlignment="0" applyProtection="0"/>
    <xf numFmtId="0" fontId="33" fillId="0" borderId="0"/>
    <xf numFmtId="0" fontId="35" fillId="0" borderId="0"/>
    <xf numFmtId="0" fontId="35" fillId="0" borderId="0"/>
    <xf numFmtId="0" fontId="35" fillId="0" borderId="0"/>
    <xf numFmtId="0" fontId="8" fillId="13" borderId="21" applyNumberFormat="0" applyFont="0" applyAlignment="0" applyProtection="0"/>
    <xf numFmtId="9" fontId="8" fillId="0" borderId="0" applyFont="0" applyFill="0" applyBorder="0" applyAlignment="0" applyProtection="0"/>
    <xf numFmtId="0" fontId="36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65" fontId="8" fillId="0" borderId="0" applyFont="0" applyFill="0" applyBorder="0" applyAlignment="0" applyProtection="0"/>
    <xf numFmtId="9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42" fontId="7" fillId="0" borderId="0" applyFont="0" applyFill="0" applyBorder="0" applyAlignment="0" applyProtection="0"/>
    <xf numFmtId="0" fontId="7" fillId="0" borderId="0"/>
    <xf numFmtId="0" fontId="10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42" fontId="6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42" fontId="4" fillId="0" borderId="0" applyFont="0" applyFill="0" applyBorder="0" applyAlignment="0" applyProtection="0"/>
    <xf numFmtId="0" fontId="86" fillId="0" borderId="0" applyNumberFormat="0" applyFill="0" applyBorder="0" applyAlignment="0" applyProtection="0"/>
    <xf numFmtId="11" fontId="33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3" fillId="0" borderId="0"/>
    <xf numFmtId="4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94" fillId="0" borderId="0" applyNumberFormat="0" applyFill="0" applyBorder="0" applyAlignment="0" applyProtection="0"/>
    <xf numFmtId="0" fontId="1" fillId="0" borderId="0"/>
  </cellStyleXfs>
  <cellXfs count="446">
    <xf numFmtId="0" fontId="0" fillId="0" borderId="0" xfId="0"/>
    <xf numFmtId="0" fontId="0" fillId="3" borderId="0" xfId="0" applyFill="1" applyAlignment="1">
      <alignment horizontal="center" vertical="center"/>
    </xf>
    <xf numFmtId="3" fontId="15" fillId="4" borderId="12" xfId="0" applyNumberFormat="1" applyFont="1" applyFill="1" applyBorder="1" applyAlignment="1">
      <alignment horizontal="center" vertical="center" wrapText="1"/>
    </xf>
    <xf numFmtId="14" fontId="14" fillId="5" borderId="13" xfId="0" applyNumberFormat="1" applyFont="1" applyFill="1" applyBorder="1" applyAlignment="1">
      <alignment horizontal="center" vertical="center" wrapText="1"/>
    </xf>
    <xf numFmtId="0" fontId="13" fillId="0" borderId="0" xfId="0" applyFont="1"/>
    <xf numFmtId="10" fontId="13" fillId="0" borderId="0" xfId="0" applyNumberFormat="1" applyFont="1"/>
    <xf numFmtId="0" fontId="39" fillId="3" borderId="0" xfId="0" applyFont="1" applyFill="1" applyAlignment="1">
      <alignment horizontal="center" vertical="center"/>
    </xf>
    <xf numFmtId="0" fontId="39" fillId="3" borderId="27" xfId="0" applyFont="1" applyFill="1" applyBorder="1" applyAlignment="1">
      <alignment horizontal="center" vertical="center"/>
    </xf>
    <xf numFmtId="0" fontId="37" fillId="39" borderId="0" xfId="61" applyFont="1" applyFill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4" fontId="39" fillId="3" borderId="26" xfId="0" applyNumberFormat="1" applyFont="1" applyFill="1" applyBorder="1" applyAlignment="1">
      <alignment horizontal="center" vertical="center"/>
    </xf>
    <xf numFmtId="166" fontId="10" fillId="3" borderId="0" xfId="1" applyFill="1" applyAlignment="1">
      <alignment horizontal="center" vertical="center"/>
    </xf>
    <xf numFmtId="166" fontId="0" fillId="3" borderId="0" xfId="1" applyFont="1" applyFill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9" fontId="16" fillId="40" borderId="26" xfId="0" applyNumberFormat="1" applyFont="1" applyFill="1" applyBorder="1" applyAlignment="1">
      <alignment horizontal="center" vertical="center" wrapText="1"/>
    </xf>
    <xf numFmtId="9" fontId="16" fillId="44" borderId="26" xfId="0" applyNumberFormat="1" applyFont="1" applyFill="1" applyBorder="1" applyAlignment="1">
      <alignment horizontal="center" vertical="center" wrapText="1"/>
    </xf>
    <xf numFmtId="166" fontId="16" fillId="44" borderId="26" xfId="1" applyFont="1" applyFill="1" applyBorder="1" applyAlignment="1">
      <alignment horizontal="center" vertical="center" wrapText="1"/>
    </xf>
    <xf numFmtId="9" fontId="16" fillId="44" borderId="26" xfId="2" applyFont="1" applyFill="1" applyBorder="1" applyAlignment="1">
      <alignment horizontal="center" vertical="center" wrapText="1"/>
    </xf>
    <xf numFmtId="0" fontId="13" fillId="3" borderId="26" xfId="0" applyFont="1" applyFill="1" applyBorder="1" applyAlignment="1">
      <alignment horizontal="center"/>
    </xf>
    <xf numFmtId="171" fontId="17" fillId="3" borderId="26" xfId="0" applyNumberFormat="1" applyFont="1" applyFill="1" applyBorder="1" applyAlignment="1">
      <alignment horizontal="center"/>
    </xf>
    <xf numFmtId="169" fontId="17" fillId="3" borderId="26" xfId="0" applyNumberFormat="1" applyFont="1" applyFill="1" applyBorder="1" applyAlignment="1">
      <alignment horizontal="center"/>
    </xf>
    <xf numFmtId="10" fontId="13" fillId="3" borderId="26" xfId="2" applyNumberFormat="1" applyFont="1" applyFill="1" applyBorder="1" applyAlignment="1">
      <alignment horizontal="center"/>
    </xf>
    <xf numFmtId="166" fontId="13" fillId="3" borderId="26" xfId="1" applyFont="1" applyFill="1" applyBorder="1" applyAlignment="1">
      <alignment horizontal="center"/>
    </xf>
    <xf numFmtId="170" fontId="13" fillId="0" borderId="26" xfId="0" applyNumberFormat="1" applyFont="1" applyBorder="1" applyAlignment="1">
      <alignment horizontal="center"/>
    </xf>
    <xf numFmtId="166" fontId="13" fillId="0" borderId="26" xfId="1" applyFont="1" applyBorder="1" applyAlignment="1">
      <alignment horizontal="center"/>
    </xf>
    <xf numFmtId="0" fontId="82" fillId="6" borderId="26" xfId="0" applyFont="1" applyFill="1" applyBorder="1" applyAlignment="1">
      <alignment horizontal="center" vertical="center"/>
    </xf>
    <xf numFmtId="166" fontId="80" fillId="6" borderId="26" xfId="1" applyFont="1" applyFill="1" applyBorder="1" applyAlignment="1">
      <alignment horizontal="center" vertical="center"/>
    </xf>
    <xf numFmtId="0" fontId="82" fillId="3" borderId="0" xfId="0" applyFont="1" applyFill="1" applyAlignment="1">
      <alignment horizontal="center" vertical="center"/>
    </xf>
    <xf numFmtId="0" fontId="39" fillId="6" borderId="26" xfId="0" applyFont="1" applyFill="1" applyBorder="1" applyAlignment="1">
      <alignment horizontal="center" vertical="center"/>
    </xf>
    <xf numFmtId="166" fontId="81" fillId="6" borderId="26" xfId="1" applyFont="1" applyFill="1" applyBorder="1" applyAlignment="1">
      <alignment horizontal="center" vertical="center"/>
    </xf>
    <xf numFmtId="166" fontId="39" fillId="6" borderId="26" xfId="1" applyFont="1" applyFill="1" applyBorder="1" applyAlignment="1">
      <alignment horizontal="center" vertical="center"/>
    </xf>
    <xf numFmtId="1" fontId="39" fillId="6" borderId="26" xfId="1" applyNumberFormat="1" applyFont="1" applyFill="1" applyBorder="1" applyAlignment="1">
      <alignment horizontal="center" vertical="center"/>
    </xf>
    <xf numFmtId="10" fontId="39" fillId="6" borderId="26" xfId="2" applyNumberFormat="1" applyFont="1" applyFill="1" applyBorder="1" applyAlignment="1">
      <alignment horizontal="center" vertical="center"/>
    </xf>
    <xf numFmtId="0" fontId="83" fillId="40" borderId="9" xfId="10" applyFont="1" applyFill="1" applyBorder="1" applyAlignment="1">
      <alignment horizontal="center" vertical="center" wrapText="1"/>
    </xf>
    <xf numFmtId="0" fontId="83" fillId="40" borderId="1" xfId="10" applyFont="1" applyFill="1" applyBorder="1" applyAlignment="1">
      <alignment horizontal="center" vertical="center" wrapText="1"/>
    </xf>
    <xf numFmtId="0" fontId="83" fillId="40" borderId="1" xfId="10" applyFont="1" applyFill="1" applyBorder="1" applyAlignment="1">
      <alignment horizontal="center" vertical="center"/>
    </xf>
    <xf numFmtId="9" fontId="83" fillId="40" borderId="1" xfId="57" applyFont="1" applyFill="1" applyBorder="1" applyAlignment="1">
      <alignment horizontal="center" vertical="center" wrapText="1"/>
    </xf>
    <xf numFmtId="42" fontId="83" fillId="40" borderId="1" xfId="10" applyNumberFormat="1" applyFont="1" applyFill="1" applyBorder="1" applyAlignment="1">
      <alignment horizontal="center" vertical="center" wrapText="1"/>
    </xf>
    <xf numFmtId="2" fontId="13" fillId="3" borderId="26" xfId="0" applyNumberFormat="1" applyFont="1" applyFill="1" applyBorder="1" applyAlignment="1">
      <alignment horizontal="center"/>
    </xf>
    <xf numFmtId="171" fontId="17" fillId="40" borderId="26" xfId="0" applyNumberFormat="1" applyFont="1" applyFill="1" applyBorder="1" applyAlignment="1">
      <alignment horizontal="center" vertical="center"/>
    </xf>
    <xf numFmtId="0" fontId="85" fillId="3" borderId="0" xfId="69" applyFont="1" applyFill="1" applyAlignment="1">
      <alignment vertical="center"/>
    </xf>
    <xf numFmtId="0" fontId="4" fillId="0" borderId="0" xfId="69"/>
    <xf numFmtId="9" fontId="16" fillId="40" borderId="58" xfId="0" applyNumberFormat="1" applyFont="1" applyFill="1" applyBorder="1" applyAlignment="1">
      <alignment horizontal="center" vertical="center" wrapText="1"/>
    </xf>
    <xf numFmtId="9" fontId="39" fillId="3" borderId="27" xfId="2" applyFont="1" applyFill="1" applyBorder="1" applyAlignment="1">
      <alignment horizontal="center" vertical="center"/>
    </xf>
    <xf numFmtId="0" fontId="16" fillId="44" borderId="26" xfId="0" applyFont="1" applyFill="1" applyBorder="1" applyAlignment="1">
      <alignment horizontal="center" vertical="center" wrapText="1"/>
    </xf>
    <xf numFmtId="0" fontId="13" fillId="0" borderId="26" xfId="75" applyNumberFormat="1" applyFont="1" applyFill="1" applyBorder="1" applyAlignment="1">
      <alignment horizontal="center"/>
    </xf>
    <xf numFmtId="0" fontId="88" fillId="40" borderId="26" xfId="0" applyFont="1" applyFill="1" applyBorder="1" applyAlignment="1">
      <alignment horizontal="center" vertical="center" wrapText="1"/>
    </xf>
    <xf numFmtId="166" fontId="88" fillId="40" borderId="26" xfId="1" applyFont="1" applyFill="1" applyBorder="1" applyAlignment="1">
      <alignment horizontal="center" vertical="center" wrapText="1"/>
    </xf>
    <xf numFmtId="0" fontId="87" fillId="47" borderId="57" xfId="50" applyFont="1" applyFill="1" applyBorder="1" applyAlignment="1">
      <alignment horizontal="center" vertical="center"/>
    </xf>
    <xf numFmtId="0" fontId="10" fillId="3" borderId="0" xfId="61" applyFill="1" applyAlignment="1">
      <alignment horizontal="center" vertical="center"/>
    </xf>
    <xf numFmtId="0" fontId="80" fillId="48" borderId="60" xfId="50" applyFont="1" applyFill="1" applyBorder="1" applyAlignment="1">
      <alignment horizontal="center" vertical="center"/>
    </xf>
    <xf numFmtId="0" fontId="80" fillId="48" borderId="61" xfId="50" applyFont="1" applyFill="1" applyBorder="1" applyAlignment="1">
      <alignment horizontal="center" vertical="center"/>
    </xf>
    <xf numFmtId="0" fontId="80" fillId="44" borderId="60" xfId="50" applyFont="1" applyFill="1" applyBorder="1" applyAlignment="1">
      <alignment horizontal="center" vertical="center"/>
    </xf>
    <xf numFmtId="0" fontId="80" fillId="44" borderId="61" xfId="50" applyFont="1" applyFill="1" applyBorder="1" applyAlignment="1">
      <alignment horizontal="center" vertical="center"/>
    </xf>
    <xf numFmtId="0" fontId="80" fillId="48" borderId="59" xfId="50" applyFont="1" applyFill="1" applyBorder="1" applyAlignment="1">
      <alignment horizontal="center" vertical="center"/>
    </xf>
    <xf numFmtId="0" fontId="80" fillId="44" borderId="59" xfId="50" applyFont="1" applyFill="1" applyBorder="1" applyAlignment="1">
      <alignment horizontal="center" vertical="center"/>
    </xf>
    <xf numFmtId="0" fontId="89" fillId="0" borderId="0" xfId="69" applyFont="1"/>
    <xf numFmtId="0" fontId="90" fillId="3" borderId="0" xfId="69" applyFont="1" applyFill="1" applyAlignment="1">
      <alignment vertical="center"/>
    </xf>
    <xf numFmtId="14" fontId="89" fillId="0" borderId="0" xfId="69" applyNumberFormat="1" applyFont="1"/>
    <xf numFmtId="14" fontId="0" fillId="3" borderId="0" xfId="0" applyNumberFormat="1" applyFill="1" applyAlignment="1">
      <alignment horizontal="center" vertical="center"/>
    </xf>
    <xf numFmtId="0" fontId="81" fillId="48" borderId="69" xfId="71" applyFont="1" applyFill="1" applyBorder="1" applyAlignment="1">
      <alignment horizontal="center" vertical="center" wrapText="1"/>
    </xf>
    <xf numFmtId="0" fontId="81" fillId="48" borderId="70" xfId="71" applyFont="1" applyFill="1" applyBorder="1" applyAlignment="1">
      <alignment horizontal="center" vertical="center" wrapText="1"/>
    </xf>
    <xf numFmtId="168" fontId="81" fillId="48" borderId="70" xfId="71" applyNumberFormat="1" applyFont="1" applyFill="1" applyBorder="1" applyAlignment="1">
      <alignment horizontal="center" vertical="center" wrapText="1"/>
    </xf>
    <xf numFmtId="0" fontId="81" fillId="44" borderId="69" xfId="71" applyFont="1" applyFill="1" applyBorder="1" applyAlignment="1">
      <alignment horizontal="center" vertical="center" wrapText="1"/>
    </xf>
    <xf numFmtId="0" fontId="81" fillId="44" borderId="70" xfId="71" applyFont="1" applyFill="1" applyBorder="1" applyAlignment="1">
      <alignment horizontal="center" vertical="center" wrapText="1"/>
    </xf>
    <xf numFmtId="0" fontId="81" fillId="44" borderId="71" xfId="71" applyFont="1" applyFill="1" applyBorder="1" applyAlignment="1">
      <alignment horizontal="center" vertical="center" wrapText="1"/>
    </xf>
    <xf numFmtId="17" fontId="81" fillId="48" borderId="69" xfId="50" applyNumberFormat="1" applyFont="1" applyFill="1" applyBorder="1" applyAlignment="1">
      <alignment horizontal="center" vertical="center"/>
    </xf>
    <xf numFmtId="0" fontId="81" fillId="48" borderId="70" xfId="50" applyFont="1" applyFill="1" applyBorder="1" applyAlignment="1">
      <alignment horizontal="center" vertical="center"/>
    </xf>
    <xf numFmtId="0" fontId="81" fillId="48" borderId="71" xfId="50" applyFont="1" applyFill="1" applyBorder="1" applyAlignment="1">
      <alignment horizontal="center" vertical="center"/>
    </xf>
    <xf numFmtId="171" fontId="17" fillId="0" borderId="26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1" fillId="0" borderId="69" xfId="80" applyFont="1" applyFill="1" applyBorder="1" applyAlignment="1">
      <alignment horizontal="center" vertical="center" wrapText="1"/>
    </xf>
    <xf numFmtId="0" fontId="95" fillId="3" borderId="0" xfId="0" applyFont="1" applyFill="1" applyAlignment="1">
      <alignment horizontal="center" vertical="center"/>
    </xf>
    <xf numFmtId="166" fontId="95" fillId="3" borderId="0" xfId="1" applyFont="1" applyFill="1" applyBorder="1" applyAlignment="1">
      <alignment horizontal="center" vertical="center"/>
    </xf>
    <xf numFmtId="0" fontId="72" fillId="3" borderId="0" xfId="0" applyFont="1" applyFill="1" applyAlignment="1">
      <alignment horizontal="center" vertical="center"/>
    </xf>
    <xf numFmtId="166" fontId="72" fillId="3" borderId="0" xfId="1" applyFont="1" applyFill="1" applyBorder="1" applyAlignment="1">
      <alignment horizontal="center" vertical="center"/>
    </xf>
    <xf numFmtId="166" fontId="72" fillId="3" borderId="79" xfId="1" applyFont="1" applyFill="1" applyBorder="1" applyAlignment="1">
      <alignment horizontal="center" vertical="center"/>
    </xf>
    <xf numFmtId="173" fontId="96" fillId="0" borderId="0" xfId="1" applyNumberFormat="1" applyFont="1" applyFill="1" applyBorder="1" applyAlignment="1">
      <alignment horizontal="center" vertical="center"/>
    </xf>
    <xf numFmtId="0" fontId="97" fillId="3" borderId="0" xfId="0" applyFont="1" applyFill="1" applyAlignment="1">
      <alignment horizontal="center" vertical="center"/>
    </xf>
    <xf numFmtId="0" fontId="98" fillId="3" borderId="0" xfId="0" applyFont="1" applyFill="1" applyAlignment="1">
      <alignment horizontal="center" vertical="center"/>
    </xf>
    <xf numFmtId="0" fontId="99" fillId="3" borderId="0" xfId="0" applyFont="1" applyFill="1" applyAlignment="1">
      <alignment horizontal="left" vertical="center"/>
    </xf>
    <xf numFmtId="0" fontId="100" fillId="3" borderId="0" xfId="0" applyFont="1" applyFill="1" applyAlignment="1">
      <alignment horizontal="center" vertical="center"/>
    </xf>
    <xf numFmtId="166" fontId="95" fillId="3" borderId="0" xfId="0" applyNumberFormat="1" applyFont="1" applyFill="1" applyAlignment="1">
      <alignment horizontal="center" vertical="center"/>
    </xf>
    <xf numFmtId="0" fontId="95" fillId="40" borderId="80" xfId="0" applyFont="1" applyFill="1" applyBorder="1" applyAlignment="1">
      <alignment horizontal="center" vertical="center"/>
    </xf>
    <xf numFmtId="166" fontId="95" fillId="40" borderId="81" xfId="1" applyFont="1" applyFill="1" applyBorder="1" applyAlignment="1">
      <alignment horizontal="center" vertical="center"/>
    </xf>
    <xf numFmtId="166" fontId="95" fillId="40" borderId="82" xfId="1" applyFont="1" applyFill="1" applyBorder="1" applyAlignment="1">
      <alignment horizontal="center" vertical="center"/>
    </xf>
    <xf numFmtId="173" fontId="72" fillId="3" borderId="0" xfId="0" applyNumberFormat="1" applyFont="1" applyFill="1" applyAlignment="1">
      <alignment horizontal="center" vertical="center"/>
    </xf>
    <xf numFmtId="166" fontId="72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66" fontId="47" fillId="3" borderId="0" xfId="0" applyNumberFormat="1" applyFont="1" applyFill="1" applyAlignment="1">
      <alignment horizontal="center" vertical="center"/>
    </xf>
    <xf numFmtId="0" fontId="101" fillId="0" borderId="0" xfId="0" applyFont="1" applyAlignment="1">
      <alignment horizontal="left" vertical="center" wrapText="1"/>
    </xf>
    <xf numFmtId="0" fontId="101" fillId="0" borderId="0" xfId="0" applyFont="1" applyAlignment="1">
      <alignment vertical="center" wrapText="1"/>
    </xf>
    <xf numFmtId="166" fontId="101" fillId="0" borderId="0" xfId="0" applyNumberFormat="1" applyFont="1" applyAlignment="1">
      <alignment vertical="center" wrapText="1"/>
    </xf>
    <xf numFmtId="10" fontId="82" fillId="6" borderId="86" xfId="2" applyNumberFormat="1" applyFont="1" applyFill="1" applyBorder="1" applyAlignment="1">
      <alignment horizontal="center" vertical="center"/>
    </xf>
    <xf numFmtId="10" fontId="82" fillId="6" borderId="87" xfId="2" applyNumberFormat="1" applyFont="1" applyFill="1" applyBorder="1" applyAlignment="1">
      <alignment horizontal="center" vertical="center"/>
    </xf>
    <xf numFmtId="10" fontId="82" fillId="6" borderId="88" xfId="2" applyNumberFormat="1" applyFont="1" applyFill="1" applyBorder="1" applyAlignment="1">
      <alignment horizontal="center" vertical="center"/>
    </xf>
    <xf numFmtId="166" fontId="82" fillId="0" borderId="87" xfId="1" applyFont="1" applyFill="1" applyBorder="1" applyAlignment="1">
      <alignment horizontal="center" vertical="center"/>
    </xf>
    <xf numFmtId="166" fontId="82" fillId="0" borderId="88" xfId="1" applyFont="1" applyFill="1" applyBorder="1" applyAlignment="1">
      <alignment horizontal="center" vertical="center"/>
    </xf>
    <xf numFmtId="166" fontId="82" fillId="0" borderId="88" xfId="1" applyFont="1" applyBorder="1"/>
    <xf numFmtId="10" fontId="82" fillId="6" borderId="92" xfId="2" applyNumberFormat="1" applyFont="1" applyFill="1" applyBorder="1" applyAlignment="1">
      <alignment horizontal="center" vertical="center"/>
    </xf>
    <xf numFmtId="166" fontId="82" fillId="0" borderId="93" xfId="1" applyFont="1" applyFill="1" applyBorder="1" applyAlignment="1">
      <alignment horizontal="center" vertical="center"/>
    </xf>
    <xf numFmtId="0" fontId="0" fillId="0" borderId="94" xfId="0" applyBorder="1"/>
    <xf numFmtId="166" fontId="0" fillId="0" borderId="0" xfId="1" applyFont="1" applyFill="1" applyAlignment="1">
      <alignment horizontal="center" vertical="center"/>
    </xf>
    <xf numFmtId="0" fontId="95" fillId="0" borderId="78" xfId="0" applyFont="1" applyBorder="1" applyAlignment="1">
      <alignment horizontal="center" vertical="center"/>
    </xf>
    <xf numFmtId="17" fontId="95" fillId="0" borderId="0" xfId="0" applyNumberFormat="1" applyFont="1" applyAlignment="1">
      <alignment horizontal="center" vertical="center"/>
    </xf>
    <xf numFmtId="0" fontId="72" fillId="0" borderId="78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79" xfId="0" applyFont="1" applyBorder="1" applyAlignment="1">
      <alignment horizontal="center" vertical="center"/>
    </xf>
    <xf numFmtId="166" fontId="72" fillId="0" borderId="0" xfId="1" applyFont="1" applyFill="1" applyBorder="1" applyAlignment="1">
      <alignment horizontal="center" vertical="center"/>
    </xf>
    <xf numFmtId="166" fontId="72" fillId="0" borderId="79" xfId="1" applyFont="1" applyFill="1" applyBorder="1" applyAlignment="1">
      <alignment horizontal="center" vertical="center"/>
    </xf>
    <xf numFmtId="1" fontId="95" fillId="0" borderId="79" xfId="1" applyNumberFormat="1" applyFont="1" applyFill="1" applyBorder="1" applyAlignment="1">
      <alignment horizontal="center" vertical="center"/>
    </xf>
    <xf numFmtId="0" fontId="54" fillId="0" borderId="78" xfId="0" applyFont="1" applyBorder="1" applyAlignment="1">
      <alignment horizontal="center" vertical="center"/>
    </xf>
    <xf numFmtId="166" fontId="54" fillId="0" borderId="0" xfId="1" applyFont="1" applyFill="1" applyBorder="1" applyAlignment="1">
      <alignment horizontal="center" vertical="center"/>
    </xf>
    <xf numFmtId="166" fontId="54" fillId="0" borderId="79" xfId="1" applyFont="1" applyFill="1" applyBorder="1" applyAlignment="1">
      <alignment horizontal="center" vertical="center"/>
    </xf>
    <xf numFmtId="0" fontId="95" fillId="0" borderId="78" xfId="0" applyFont="1" applyBorder="1" applyAlignment="1">
      <alignment vertical="center"/>
    </xf>
    <xf numFmtId="0" fontId="95" fillId="0" borderId="0" xfId="0" applyFont="1" applyAlignment="1">
      <alignment vertical="center"/>
    </xf>
    <xf numFmtId="0" fontId="95" fillId="0" borderId="79" xfId="0" applyFont="1" applyBorder="1" applyAlignment="1">
      <alignment vertical="center"/>
    </xf>
    <xf numFmtId="0" fontId="100" fillId="0" borderId="78" xfId="0" applyFont="1" applyBorder="1" applyAlignment="1">
      <alignment vertical="center"/>
    </xf>
    <xf numFmtId="0" fontId="100" fillId="0" borderId="0" xfId="0" applyFont="1" applyAlignment="1">
      <alignment vertical="center"/>
    </xf>
    <xf numFmtId="0" fontId="100" fillId="0" borderId="79" xfId="0" applyFont="1" applyBorder="1" applyAlignment="1">
      <alignment vertical="center"/>
    </xf>
    <xf numFmtId="0" fontId="102" fillId="0" borderId="78" xfId="0" applyFont="1" applyBorder="1" applyAlignment="1">
      <alignment horizontal="center" vertical="center"/>
    </xf>
    <xf numFmtId="168" fontId="102" fillId="0" borderId="0" xfId="1" applyNumberFormat="1" applyFont="1" applyFill="1" applyBorder="1" applyAlignment="1">
      <alignment horizontal="center" vertical="center"/>
    </xf>
    <xf numFmtId="14" fontId="81" fillId="48" borderId="70" xfId="71" applyNumberFormat="1" applyFont="1" applyFill="1" applyBorder="1" applyAlignment="1">
      <alignment horizontal="center" vertical="center" wrapText="1"/>
    </xf>
    <xf numFmtId="0" fontId="80" fillId="48" borderId="70" xfId="71" applyFont="1" applyFill="1" applyBorder="1" applyAlignment="1">
      <alignment horizontal="center" vertical="center" wrapText="1"/>
    </xf>
    <xf numFmtId="0" fontId="72" fillId="3" borderId="95" xfId="0" applyFont="1" applyFill="1" applyBorder="1" applyAlignment="1">
      <alignment horizontal="center" vertical="center"/>
    </xf>
    <xf numFmtId="9" fontId="72" fillId="40" borderId="95" xfId="2" applyFont="1" applyFill="1" applyBorder="1" applyAlignment="1">
      <alignment horizontal="center" vertical="center"/>
    </xf>
    <xf numFmtId="0" fontId="1" fillId="0" borderId="0" xfId="81" applyAlignment="1">
      <alignment horizontal="center"/>
    </xf>
    <xf numFmtId="0" fontId="81" fillId="6" borderId="57" xfId="50" applyFont="1" applyFill="1" applyBorder="1" applyAlignment="1">
      <alignment horizontal="center" vertical="center" wrapText="1"/>
    </xf>
    <xf numFmtId="0" fontId="11" fillId="0" borderId="0" xfId="81" applyFont="1" applyAlignment="1">
      <alignment horizontal="center"/>
    </xf>
    <xf numFmtId="0" fontId="13" fillId="0" borderId="26" xfId="0" applyFont="1" applyBorder="1" applyAlignment="1">
      <alignment horizontal="center" vertical="center"/>
    </xf>
    <xf numFmtId="0" fontId="13" fillId="0" borderId="26" xfId="75" applyNumberFormat="1" applyFont="1" applyFill="1" applyBorder="1" applyAlignment="1">
      <alignment horizontal="center" vertical="center"/>
    </xf>
    <xf numFmtId="0" fontId="13" fillId="3" borderId="26" xfId="0" applyFont="1" applyFill="1" applyBorder="1" applyAlignment="1">
      <alignment horizontal="center" vertical="center"/>
    </xf>
    <xf numFmtId="2" fontId="13" fillId="3" borderId="26" xfId="0" applyNumberFormat="1" applyFont="1" applyFill="1" applyBorder="1" applyAlignment="1">
      <alignment horizontal="center" vertical="center"/>
    </xf>
    <xf numFmtId="171" fontId="17" fillId="3" borderId="26" xfId="0" applyNumberFormat="1" applyFont="1" applyFill="1" applyBorder="1" applyAlignment="1">
      <alignment horizontal="center" vertical="center"/>
    </xf>
    <xf numFmtId="9" fontId="16" fillId="3" borderId="26" xfId="0" applyNumberFormat="1" applyFont="1" applyFill="1" applyBorder="1" applyAlignment="1">
      <alignment horizontal="center" vertical="center" wrapText="1"/>
    </xf>
    <xf numFmtId="171" fontId="13" fillId="3" borderId="26" xfId="0" applyNumberFormat="1" applyFont="1" applyFill="1" applyBorder="1" applyAlignment="1">
      <alignment horizontal="center" vertical="center"/>
    </xf>
    <xf numFmtId="171" fontId="13" fillId="44" borderId="26" xfId="0" applyNumberFormat="1" applyFont="1" applyFill="1" applyBorder="1" applyAlignment="1">
      <alignment horizontal="center" vertical="center"/>
    </xf>
    <xf numFmtId="10" fontId="16" fillId="0" borderId="26" xfId="2" applyNumberFormat="1" applyFont="1" applyBorder="1" applyAlignment="1">
      <alignment horizontal="center" vertical="center" wrapText="1"/>
    </xf>
    <xf numFmtId="169" fontId="17" fillId="3" borderId="26" xfId="0" applyNumberFormat="1" applyFont="1" applyFill="1" applyBorder="1" applyAlignment="1">
      <alignment horizontal="center" vertical="center"/>
    </xf>
    <xf numFmtId="9" fontId="13" fillId="3" borderId="26" xfId="2" applyFont="1" applyFill="1" applyBorder="1" applyAlignment="1">
      <alignment horizontal="center" vertical="center"/>
    </xf>
    <xf numFmtId="10" fontId="13" fillId="3" borderId="26" xfId="2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66" fontId="13" fillId="3" borderId="26" xfId="1" applyFont="1" applyFill="1" applyBorder="1" applyAlignment="1">
      <alignment horizontal="center" vertical="center"/>
    </xf>
    <xf numFmtId="170" fontId="13" fillId="0" borderId="26" xfId="0" applyNumberFormat="1" applyFont="1" applyBorder="1" applyAlignment="1">
      <alignment horizontal="center" vertical="center"/>
    </xf>
    <xf numFmtId="166" fontId="13" fillId="0" borderId="26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8" fillId="0" borderId="0" xfId="0" applyFont="1" applyAlignment="1">
      <alignment vertical="center"/>
    </xf>
    <xf numFmtId="174" fontId="13" fillId="0" borderId="0" xfId="0" applyNumberFormat="1" applyFont="1" applyAlignment="1">
      <alignment vertical="center"/>
    </xf>
    <xf numFmtId="0" fontId="13" fillId="3" borderId="0" xfId="0" applyFont="1" applyFill="1" applyAlignment="1">
      <alignment vertical="center"/>
    </xf>
    <xf numFmtId="10" fontId="13" fillId="0" borderId="0" xfId="0" applyNumberFormat="1" applyFont="1" applyAlignment="1">
      <alignment vertical="center"/>
    </xf>
    <xf numFmtId="9" fontId="13" fillId="0" borderId="0" xfId="0" applyNumberFormat="1" applyFont="1" applyAlignment="1">
      <alignment vertical="center"/>
    </xf>
    <xf numFmtId="166" fontId="13" fillId="0" borderId="0" xfId="1" applyFont="1" applyAlignment="1">
      <alignment vertical="center"/>
    </xf>
    <xf numFmtId="166" fontId="13" fillId="0" borderId="0" xfId="0" applyNumberFormat="1" applyFont="1" applyAlignment="1">
      <alignment vertical="center"/>
    </xf>
    <xf numFmtId="17" fontId="95" fillId="0" borderId="74" xfId="0" applyNumberFormat="1" applyFont="1" applyBorder="1" applyAlignment="1">
      <alignment horizontal="center" vertical="center"/>
    </xf>
    <xf numFmtId="0" fontId="103" fillId="3" borderId="78" xfId="0" applyFont="1" applyFill="1" applyBorder="1" applyAlignment="1">
      <alignment vertical="center"/>
    </xf>
    <xf numFmtId="0" fontId="103" fillId="3" borderId="0" xfId="0" applyFont="1" applyFill="1" applyAlignment="1">
      <alignment vertical="center"/>
    </xf>
    <xf numFmtId="171" fontId="17" fillId="49" borderId="26" xfId="0" applyNumberFormat="1" applyFont="1" applyFill="1" applyBorder="1" applyAlignment="1">
      <alignment horizontal="center" vertical="center"/>
    </xf>
    <xf numFmtId="0" fontId="10" fillId="3" borderId="0" xfId="61" applyFill="1" applyAlignment="1">
      <alignment vertical="center"/>
    </xf>
    <xf numFmtId="0" fontId="60" fillId="3" borderId="0" xfId="61" applyFont="1" applyFill="1" applyAlignment="1">
      <alignment vertical="center"/>
    </xf>
    <xf numFmtId="0" fontId="41" fillId="3" borderId="0" xfId="61" applyFont="1" applyFill="1" applyAlignment="1">
      <alignment vertical="center"/>
    </xf>
    <xf numFmtId="9" fontId="0" fillId="3" borderId="0" xfId="57" applyFont="1" applyFill="1" applyAlignment="1">
      <alignment vertical="center"/>
    </xf>
    <xf numFmtId="0" fontId="60" fillId="3" borderId="0" xfId="61" applyFont="1" applyFill="1" applyAlignment="1">
      <alignment horizontal="center" vertical="center"/>
    </xf>
    <xf numFmtId="0" fontId="10" fillId="0" borderId="0" xfId="61" applyAlignment="1">
      <alignment vertical="center"/>
    </xf>
    <xf numFmtId="0" fontId="0" fillId="3" borderId="1" xfId="61" applyFont="1" applyFill="1" applyBorder="1" applyAlignment="1">
      <alignment horizontal="center" vertical="center"/>
    </xf>
    <xf numFmtId="0" fontId="37" fillId="39" borderId="1" xfId="61" applyFont="1" applyFill="1" applyBorder="1" applyAlignment="1">
      <alignment horizontal="center" vertical="center"/>
    </xf>
    <xf numFmtId="171" fontId="6" fillId="0" borderId="9" xfId="62" applyNumberFormat="1" applyBorder="1" applyAlignment="1">
      <alignment horizontal="center" vertical="center" wrapText="1"/>
    </xf>
    <xf numFmtId="9" fontId="37" fillId="39" borderId="1" xfId="63" applyFont="1" applyFill="1" applyBorder="1" applyAlignment="1">
      <alignment horizontal="center" vertical="center"/>
    </xf>
    <xf numFmtId="172" fontId="37" fillId="39" borderId="1" xfId="63" applyNumberFormat="1" applyFont="1" applyFill="1" applyBorder="1" applyAlignment="1">
      <alignment horizontal="center" vertical="center"/>
    </xf>
    <xf numFmtId="168" fontId="3" fillId="0" borderId="1" xfId="58" applyNumberFormat="1" applyFont="1" applyBorder="1" applyAlignment="1">
      <alignment horizontal="center" vertical="center"/>
    </xf>
    <xf numFmtId="0" fontId="10" fillId="0" borderId="1" xfId="61" applyBorder="1" applyAlignment="1">
      <alignment horizontal="center" vertical="center"/>
    </xf>
    <xf numFmtId="168" fontId="10" fillId="0" borderId="1" xfId="61" applyNumberFormat="1" applyBorder="1" applyAlignment="1">
      <alignment horizontal="center" vertical="center"/>
    </xf>
    <xf numFmtId="168" fontId="10" fillId="0" borderId="0" xfId="61" applyNumberFormat="1" applyAlignment="1">
      <alignment horizontal="center" vertical="center"/>
    </xf>
    <xf numFmtId="0" fontId="84" fillId="39" borderId="0" xfId="61" applyFont="1" applyFill="1" applyAlignment="1">
      <alignment horizontal="center" vertical="center"/>
    </xf>
    <xf numFmtId="1" fontId="60" fillId="3" borderId="0" xfId="61" applyNumberFormat="1" applyFont="1" applyFill="1" applyAlignment="1">
      <alignment horizontal="center" vertical="center"/>
    </xf>
    <xf numFmtId="169" fontId="60" fillId="3" borderId="0" xfId="61" applyNumberFormat="1" applyFont="1" applyFill="1" applyAlignment="1">
      <alignment horizontal="center" vertical="center"/>
    </xf>
    <xf numFmtId="168" fontId="60" fillId="3" borderId="0" xfId="61" applyNumberFormat="1" applyFont="1" applyFill="1" applyAlignment="1">
      <alignment horizontal="center" vertical="center"/>
    </xf>
    <xf numFmtId="0" fontId="0" fillId="3" borderId="0" xfId="61" applyFont="1" applyFill="1" applyAlignment="1">
      <alignment horizontal="center" vertical="center"/>
    </xf>
    <xf numFmtId="171" fontId="6" fillId="0" borderId="0" xfId="62" applyNumberFormat="1" applyAlignment="1">
      <alignment horizontal="center" vertical="center" wrapText="1"/>
    </xf>
    <xf numFmtId="9" fontId="37" fillId="39" borderId="0" xfId="63" applyFont="1" applyFill="1" applyBorder="1" applyAlignment="1">
      <alignment horizontal="center" vertical="center"/>
    </xf>
    <xf numFmtId="172" fontId="37" fillId="39" borderId="0" xfId="63" applyNumberFormat="1" applyFont="1" applyFill="1" applyBorder="1" applyAlignment="1">
      <alignment horizontal="center" vertical="center"/>
    </xf>
    <xf numFmtId="168" fontId="3" fillId="0" borderId="0" xfId="58" applyNumberFormat="1" applyFont="1" applyBorder="1" applyAlignment="1">
      <alignment horizontal="center" vertical="center"/>
    </xf>
    <xf numFmtId="0" fontId="10" fillId="0" borderId="0" xfId="61" applyAlignment="1">
      <alignment horizontal="center" vertical="center"/>
    </xf>
    <xf numFmtId="166" fontId="10" fillId="3" borderId="0" xfId="1" applyFill="1" applyAlignment="1">
      <alignment vertical="center"/>
    </xf>
    <xf numFmtId="166" fontId="10" fillId="3" borderId="0" xfId="61" applyNumberFormat="1" applyFill="1" applyAlignment="1">
      <alignment vertical="center"/>
    </xf>
    <xf numFmtId="2" fontId="13" fillId="0" borderId="26" xfId="0" applyNumberFormat="1" applyFont="1" applyBorder="1" applyAlignment="1">
      <alignment horizontal="center" vertical="center"/>
    </xf>
    <xf numFmtId="0" fontId="13" fillId="50" borderId="26" xfId="75" applyNumberFormat="1" applyFont="1" applyFill="1" applyBorder="1" applyAlignment="1">
      <alignment horizontal="center" vertical="center"/>
    </xf>
    <xf numFmtId="0" fontId="41" fillId="3" borderId="28" xfId="0" applyFont="1" applyFill="1" applyBorder="1" applyProtection="1">
      <protection locked="0"/>
    </xf>
    <xf numFmtId="0" fontId="41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46" fillId="3" borderId="0" xfId="0" applyFont="1" applyFill="1" applyAlignment="1" applyProtection="1">
      <alignment horizontal="center" vertical="center"/>
      <protection locked="0"/>
    </xf>
    <xf numFmtId="0" fontId="0" fillId="3" borderId="11" xfId="0" applyFill="1" applyBorder="1" applyProtection="1">
      <protection locked="0"/>
    </xf>
    <xf numFmtId="0" fontId="0" fillId="3" borderId="29" xfId="0" applyFill="1" applyBorder="1" applyProtection="1">
      <protection locked="0"/>
    </xf>
    <xf numFmtId="0" fontId="48" fillId="3" borderId="11" xfId="0" applyFont="1" applyFill="1" applyBorder="1" applyAlignment="1" applyProtection="1">
      <alignment horizontal="center" vertical="center"/>
      <protection locked="0"/>
    </xf>
    <xf numFmtId="0" fontId="48" fillId="3" borderId="0" xfId="0" applyFont="1" applyFill="1" applyAlignment="1" applyProtection="1">
      <alignment horizontal="center" vertical="center"/>
      <protection locked="0"/>
    </xf>
    <xf numFmtId="0" fontId="50" fillId="3" borderId="0" xfId="0" applyFont="1" applyFill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left" vertical="center" readingOrder="1"/>
      <protection locked="0"/>
    </xf>
    <xf numFmtId="0" fontId="0" fillId="3" borderId="0" xfId="0" applyFill="1" applyAlignment="1" applyProtection="1">
      <alignment wrapText="1"/>
      <protection locked="0"/>
    </xf>
    <xf numFmtId="0" fontId="52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48" fillId="3" borderId="30" xfId="0" applyFont="1" applyFill="1" applyBorder="1" applyAlignment="1" applyProtection="1">
      <alignment horizont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71" fontId="0" fillId="3" borderId="0" xfId="1" applyNumberFormat="1" applyFont="1" applyFill="1" applyBorder="1" applyAlignment="1" applyProtection="1">
      <alignment horizontal="center" vertical="center"/>
      <protection locked="0"/>
    </xf>
    <xf numFmtId="9" fontId="0" fillId="3" borderId="0" xfId="2" applyFont="1" applyFill="1" applyBorder="1" applyAlignment="1" applyProtection="1">
      <alignment horizontal="center"/>
      <protection locked="0"/>
    </xf>
    <xf numFmtId="166" fontId="0" fillId="3" borderId="0" xfId="1" applyFont="1" applyFill="1" applyBorder="1" applyAlignment="1" applyProtection="1">
      <alignment horizontal="center" vertical="center"/>
      <protection locked="0"/>
    </xf>
    <xf numFmtId="0" fontId="48" fillId="3" borderId="29" xfId="0" applyFont="1" applyFill="1" applyBorder="1" applyAlignment="1" applyProtection="1">
      <alignment horizontal="center"/>
      <protection locked="0"/>
    </xf>
    <xf numFmtId="14" fontId="44" fillId="0" borderId="0" xfId="0" applyNumberFormat="1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50" fillId="3" borderId="0" xfId="0" applyFont="1" applyFill="1" applyProtection="1">
      <protection locked="0"/>
    </xf>
    <xf numFmtId="0" fontId="50" fillId="0" borderId="0" xfId="0" applyFont="1" applyProtection="1">
      <protection locked="0"/>
    </xf>
    <xf numFmtId="0" fontId="55" fillId="3" borderId="1" xfId="0" applyFont="1" applyFill="1" applyBorder="1" applyAlignment="1" applyProtection="1">
      <alignment horizontal="center"/>
      <protection locked="0"/>
    </xf>
    <xf numFmtId="171" fontId="55" fillId="3" borderId="0" xfId="0" applyNumberFormat="1" applyFont="1" applyFill="1" applyAlignment="1" applyProtection="1">
      <alignment horizontal="center"/>
      <protection locked="0"/>
    </xf>
    <xf numFmtId="0" fontId="50" fillId="3" borderId="0" xfId="0" applyFont="1" applyFill="1" applyAlignment="1" applyProtection="1">
      <alignment horizontal="center"/>
      <protection locked="0"/>
    </xf>
    <xf numFmtId="172" fontId="56" fillId="0" borderId="0" xfId="0" applyNumberFormat="1" applyFont="1" applyAlignment="1" applyProtection="1">
      <alignment horizontal="center" vertical="center"/>
      <protection locked="0"/>
    </xf>
    <xf numFmtId="166" fontId="56" fillId="0" borderId="0" xfId="1" applyFont="1" applyFill="1" applyBorder="1" applyAlignment="1" applyProtection="1">
      <alignment horizontal="center" vertical="center"/>
      <protection locked="0"/>
    </xf>
    <xf numFmtId="168" fontId="57" fillId="0" borderId="0" xfId="66" applyNumberFormat="1" applyFont="1" applyFill="1" applyBorder="1" applyAlignment="1" applyProtection="1">
      <alignment vertical="center"/>
      <protection locked="0"/>
    </xf>
    <xf numFmtId="0" fontId="46" fillId="0" borderId="0" xfId="0" applyFont="1" applyAlignment="1" applyProtection="1">
      <alignment horizontal="left" vertical="center" wrapText="1"/>
      <protection locked="0"/>
    </xf>
    <xf numFmtId="173" fontId="58" fillId="0" borderId="0" xfId="0" applyNumberFormat="1" applyFont="1" applyAlignment="1" applyProtection="1">
      <alignment horizontal="left" vertical="center"/>
      <protection locked="0"/>
    </xf>
    <xf numFmtId="168" fontId="55" fillId="0" borderId="0" xfId="0" applyNumberFormat="1" applyFont="1" applyAlignment="1" applyProtection="1">
      <alignment horizontal="center" vertical="center"/>
      <protection locked="0"/>
    </xf>
    <xf numFmtId="0" fontId="59" fillId="0" borderId="0" xfId="0" applyFont="1" applyProtection="1">
      <protection locked="0"/>
    </xf>
    <xf numFmtId="3" fontId="47" fillId="0" borderId="0" xfId="0" applyNumberFormat="1" applyFont="1" applyAlignment="1" applyProtection="1">
      <alignment horizontal="left" vertical="center"/>
      <protection locked="0"/>
    </xf>
    <xf numFmtId="0" fontId="48" fillId="3" borderId="30" xfId="0" applyFont="1" applyFill="1" applyBorder="1" applyProtection="1">
      <protection locked="0"/>
    </xf>
    <xf numFmtId="0" fontId="48" fillId="3" borderId="0" xfId="0" applyFont="1" applyFill="1" applyProtection="1">
      <protection locked="0"/>
    </xf>
    <xf numFmtId="0" fontId="60" fillId="3" borderId="0" xfId="0" applyFont="1" applyFill="1" applyProtection="1">
      <protection locked="0"/>
    </xf>
    <xf numFmtId="0" fontId="44" fillId="3" borderId="0" xfId="0" applyFont="1" applyFill="1" applyAlignment="1" applyProtection="1">
      <alignment horizontal="center" vertical="center"/>
      <protection locked="0"/>
    </xf>
    <xf numFmtId="0" fontId="44" fillId="3" borderId="0" xfId="0" applyFont="1" applyFill="1" applyAlignment="1" applyProtection="1">
      <alignment horizontal="center" vertical="center" wrapText="1"/>
      <protection locked="0"/>
    </xf>
    <xf numFmtId="172" fontId="56" fillId="40" borderId="0" xfId="0" applyNumberFormat="1" applyFont="1" applyFill="1" applyAlignment="1" applyProtection="1">
      <alignment horizontal="center" vertical="center"/>
      <protection locked="0"/>
    </xf>
    <xf numFmtId="166" fontId="56" fillId="40" borderId="0" xfId="1" applyFont="1" applyFill="1" applyBorder="1" applyAlignment="1" applyProtection="1">
      <alignment horizontal="center" vertical="center"/>
      <protection locked="0"/>
    </xf>
    <xf numFmtId="168" fontId="57" fillId="0" borderId="0" xfId="66" applyNumberFormat="1" applyFont="1" applyFill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41" fontId="58" fillId="0" borderId="0" xfId="0" applyNumberFormat="1" applyFont="1" applyAlignment="1" applyProtection="1">
      <alignment horizontal="left" vertical="center"/>
      <protection locked="0"/>
    </xf>
    <xf numFmtId="41" fontId="47" fillId="0" borderId="0" xfId="0" applyNumberFormat="1" applyFont="1" applyAlignment="1" applyProtection="1">
      <alignment horizontal="left" vertical="center"/>
      <protection locked="0"/>
    </xf>
    <xf numFmtId="168" fontId="51" fillId="0" borderId="0" xfId="66" applyNumberFormat="1" applyFont="1" applyFill="1" applyBorder="1" applyAlignment="1" applyProtection="1">
      <alignment vertical="center"/>
      <protection locked="0"/>
    </xf>
    <xf numFmtId="0" fontId="50" fillId="0" borderId="0" xfId="0" applyFont="1" applyAlignment="1" applyProtection="1">
      <alignment horizontal="left"/>
      <protection locked="0"/>
    </xf>
    <xf numFmtId="41" fontId="58" fillId="0" borderId="0" xfId="0" applyNumberFormat="1" applyFont="1" applyAlignment="1" applyProtection="1">
      <alignment horizontal="left"/>
      <protection locked="0"/>
    </xf>
    <xf numFmtId="41" fontId="47" fillId="0" borderId="0" xfId="0" applyNumberFormat="1" applyFont="1" applyAlignment="1" applyProtection="1">
      <alignment horizontal="left"/>
      <protection locked="0"/>
    </xf>
    <xf numFmtId="0" fontId="48" fillId="3" borderId="30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Protection="1">
      <protection locked="0"/>
    </xf>
    <xf numFmtId="0" fontId="47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63" fillId="0" borderId="0" xfId="0" applyFont="1" applyAlignment="1" applyProtection="1">
      <alignment horizontal="center" vertical="center"/>
      <protection locked="0"/>
    </xf>
    <xf numFmtId="3" fontId="47" fillId="0" borderId="0" xfId="1" applyNumberFormat="1" applyFont="1" applyFill="1" applyAlignment="1" applyProtection="1">
      <alignment horizontal="left" vertical="center"/>
      <protection locked="0"/>
    </xf>
    <xf numFmtId="0" fontId="64" fillId="3" borderId="30" xfId="0" applyFont="1" applyFill="1" applyBorder="1" applyProtection="1">
      <protection locked="0"/>
    </xf>
    <xf numFmtId="0" fontId="58" fillId="0" borderId="0" xfId="0" applyFont="1" applyAlignment="1" applyProtection="1">
      <alignment horizontal="center" vertical="center"/>
      <protection locked="0"/>
    </xf>
    <xf numFmtId="171" fontId="65" fillId="0" borderId="0" xfId="0" applyNumberFormat="1" applyFont="1" applyAlignment="1" applyProtection="1">
      <alignment horizontal="left" vertical="center"/>
      <protection locked="0"/>
    </xf>
    <xf numFmtId="9" fontId="65" fillId="0" borderId="0" xfId="2" applyFont="1" applyFill="1" applyBorder="1" applyAlignment="1" applyProtection="1">
      <alignment horizontal="left" vertical="center"/>
      <protection locked="0"/>
    </xf>
    <xf numFmtId="0" fontId="66" fillId="0" borderId="0" xfId="0" applyFont="1" applyAlignment="1" applyProtection="1">
      <alignment vertical="top" wrapText="1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171" fontId="55" fillId="0" borderId="0" xfId="1" applyNumberFormat="1" applyFont="1" applyFill="1" applyAlignment="1" applyProtection="1">
      <alignment horizontal="center" vertical="center"/>
      <protection locked="0"/>
    </xf>
    <xf numFmtId="0" fontId="41" fillId="3" borderId="35" xfId="0" applyFont="1" applyFill="1" applyBorder="1" applyProtection="1">
      <protection locked="0"/>
    </xf>
    <xf numFmtId="0" fontId="48" fillId="3" borderId="0" xfId="0" applyFont="1" applyFill="1" applyAlignment="1" applyProtection="1">
      <alignment horizont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0" fillId="0" borderId="0" xfId="0" applyNumberFormat="1" applyProtection="1"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0" fontId="56" fillId="0" borderId="0" xfId="0" applyFont="1" applyAlignment="1" applyProtection="1">
      <alignment horizontal="center"/>
      <protection locked="0"/>
    </xf>
    <xf numFmtId="0" fontId="67" fillId="0" borderId="0" xfId="0" applyFont="1" applyProtection="1">
      <protection locked="0"/>
    </xf>
    <xf numFmtId="0" fontId="48" fillId="3" borderId="36" xfId="0" applyFont="1" applyFill="1" applyBorder="1" applyAlignment="1" applyProtection="1">
      <alignment horizontal="center" vertical="center"/>
      <protection locked="0"/>
    </xf>
    <xf numFmtId="166" fontId="0" fillId="3" borderId="37" xfId="0" applyNumberFormat="1" applyFill="1" applyBorder="1" applyAlignment="1" applyProtection="1">
      <alignment horizontal="center" vertical="center"/>
      <protection locked="0"/>
    </xf>
    <xf numFmtId="166" fontId="0" fillId="3" borderId="0" xfId="0" applyNumberFormat="1" applyFill="1" applyProtection="1">
      <protection locked="0"/>
    </xf>
    <xf numFmtId="0" fontId="68" fillId="3" borderId="0" xfId="0" applyFont="1" applyFill="1" applyAlignment="1" applyProtection="1">
      <alignment vertical="center"/>
      <protection locked="0"/>
    </xf>
    <xf numFmtId="0" fontId="48" fillId="3" borderId="29" xfId="0" applyFont="1" applyFill="1" applyBorder="1" applyProtection="1">
      <protection locked="0"/>
    </xf>
    <xf numFmtId="0" fontId="0" fillId="43" borderId="0" xfId="0" applyFill="1" applyProtection="1">
      <protection locked="0"/>
    </xf>
    <xf numFmtId="0" fontId="50" fillId="43" borderId="0" xfId="0" applyFont="1" applyFill="1" applyProtection="1">
      <protection locked="0"/>
    </xf>
    <xf numFmtId="0" fontId="0" fillId="3" borderId="38" xfId="0" applyFill="1" applyBorder="1" applyProtection="1">
      <protection locked="0"/>
    </xf>
    <xf numFmtId="166" fontId="0" fillId="3" borderId="0" xfId="1" applyFont="1" applyFill="1" applyProtection="1">
      <protection locked="0"/>
    </xf>
    <xf numFmtId="0" fontId="69" fillId="3" borderId="0" xfId="0" applyFont="1" applyFill="1" applyAlignment="1" applyProtection="1">
      <alignment horizontal="center"/>
      <protection locked="0"/>
    </xf>
    <xf numFmtId="0" fontId="50" fillId="0" borderId="40" xfId="0" applyFont="1" applyBorder="1" applyProtection="1"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3" borderId="41" xfId="0" applyFill="1" applyBorder="1" applyAlignment="1" applyProtection="1">
      <alignment horizontal="center"/>
      <protection locked="0"/>
    </xf>
    <xf numFmtId="0" fontId="0" fillId="3" borderId="32" xfId="0" applyFill="1" applyBorder="1" applyAlignment="1" applyProtection="1">
      <alignment horizontal="center"/>
      <protection locked="0"/>
    </xf>
    <xf numFmtId="0" fontId="0" fillId="3" borderId="42" xfId="0" applyFill="1" applyBorder="1" applyProtection="1">
      <protection locked="0"/>
    </xf>
    <xf numFmtId="0" fontId="71" fillId="0" borderId="39" xfId="61" applyFont="1" applyBorder="1" applyAlignment="1" applyProtection="1">
      <alignment horizontal="center" vertical="center"/>
      <protection locked="0"/>
    </xf>
    <xf numFmtId="0" fontId="55" fillId="0" borderId="43" xfId="0" applyFont="1" applyBorder="1" applyAlignment="1" applyProtection="1">
      <alignment horizontal="center" vertical="center"/>
      <protection locked="0"/>
    </xf>
    <xf numFmtId="0" fontId="0" fillId="3" borderId="44" xfId="0" applyFill="1" applyBorder="1" applyAlignment="1" applyProtection="1">
      <alignment horizontal="center"/>
      <protection locked="0"/>
    </xf>
    <xf numFmtId="166" fontId="12" fillId="40" borderId="1" xfId="1" applyFont="1" applyFill="1" applyBorder="1" applyAlignment="1" applyProtection="1">
      <alignment horizontal="center" vertical="center"/>
      <protection locked="0"/>
    </xf>
    <xf numFmtId="0" fontId="80" fillId="0" borderId="0" xfId="0" applyFont="1" applyAlignment="1" applyProtection="1">
      <alignment horizontal="center"/>
      <protection locked="0"/>
    </xf>
    <xf numFmtId="9" fontId="80" fillId="2" borderId="56" xfId="2" applyFont="1" applyFill="1" applyBorder="1" applyAlignment="1" applyProtection="1">
      <alignment horizontal="center"/>
      <protection locked="0"/>
    </xf>
    <xf numFmtId="0" fontId="57" fillId="0" borderId="39" xfId="61" applyFont="1" applyBorder="1" applyAlignment="1" applyProtection="1">
      <alignment horizontal="center" vertical="center"/>
      <protection locked="0"/>
    </xf>
    <xf numFmtId="166" fontId="57" fillId="0" borderId="39" xfId="1" applyFont="1" applyFill="1" applyBorder="1" applyAlignment="1" applyProtection="1">
      <alignment horizontal="center" vertical="center"/>
      <protection locked="0"/>
    </xf>
    <xf numFmtId="166" fontId="71" fillId="0" borderId="39" xfId="1" applyFont="1" applyFill="1" applyBorder="1" applyAlignment="1" applyProtection="1">
      <alignment horizontal="center" vertical="center"/>
      <protection locked="0"/>
    </xf>
    <xf numFmtId="0" fontId="57" fillId="0" borderId="53" xfId="61" applyFont="1" applyBorder="1" applyAlignment="1" applyProtection="1">
      <alignment horizontal="center" vertical="center"/>
      <protection locked="0"/>
    </xf>
    <xf numFmtId="166" fontId="57" fillId="0" borderId="54" xfId="1" applyFont="1" applyFill="1" applyBorder="1" applyAlignment="1" applyProtection="1">
      <alignment horizontal="center" vertical="center"/>
      <protection locked="0"/>
    </xf>
    <xf numFmtId="166" fontId="57" fillId="0" borderId="53" xfId="1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166" fontId="0" fillId="6" borderId="1" xfId="1" applyFont="1" applyFill="1" applyBorder="1" applyAlignment="1" applyProtection="1">
      <alignment horizontal="center" vertical="center"/>
      <protection locked="0"/>
    </xf>
    <xf numFmtId="0" fontId="0" fillId="40" borderId="1" xfId="0" applyFill="1" applyBorder="1" applyAlignment="1" applyProtection="1">
      <alignment horizontal="center" vertical="center"/>
      <protection locked="0"/>
    </xf>
    <xf numFmtId="166" fontId="0" fillId="40" borderId="1" xfId="1" applyFont="1" applyFill="1" applyBorder="1" applyAlignment="1" applyProtection="1">
      <alignment horizontal="center" vertical="center"/>
      <protection locked="0"/>
    </xf>
    <xf numFmtId="0" fontId="47" fillId="3" borderId="0" xfId="0" applyFont="1" applyFill="1" applyAlignment="1" applyProtection="1">
      <alignment vertical="center"/>
      <protection locked="0"/>
    </xf>
    <xf numFmtId="0" fontId="55" fillId="0" borderId="45" xfId="0" applyFont="1" applyBorder="1" applyAlignment="1" applyProtection="1">
      <alignment horizontal="center" vertical="center"/>
      <protection locked="0"/>
    </xf>
    <xf numFmtId="0" fontId="80" fillId="45" borderId="0" xfId="0" applyFont="1" applyFill="1" applyAlignment="1" applyProtection="1">
      <alignment horizontal="center"/>
      <protection locked="0"/>
    </xf>
    <xf numFmtId="166" fontId="81" fillId="45" borderId="0" xfId="1" applyFont="1" applyFill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166" fontId="71" fillId="0" borderId="54" xfId="1" applyFont="1" applyFill="1" applyBorder="1" applyAlignment="1" applyProtection="1">
      <alignment horizontal="center" vertical="center"/>
      <protection locked="0"/>
    </xf>
    <xf numFmtId="0" fontId="12" fillId="3" borderId="44" xfId="0" applyFont="1" applyFill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39" fillId="3" borderId="0" xfId="0" applyFont="1" applyFill="1" applyAlignment="1" applyProtection="1">
      <alignment horizontal="center" vertical="center"/>
      <protection locked="0"/>
    </xf>
    <xf numFmtId="0" fontId="55" fillId="3" borderId="0" xfId="0" applyFont="1" applyFill="1" applyAlignment="1" applyProtection="1">
      <alignment horizontal="center" vertical="center"/>
      <protection locked="0"/>
    </xf>
    <xf numFmtId="0" fontId="93" fillId="3" borderId="0" xfId="0" applyFont="1" applyFill="1" applyProtection="1">
      <protection locked="0"/>
    </xf>
    <xf numFmtId="0" fontId="0" fillId="3" borderId="44" xfId="0" applyFill="1" applyBorder="1" applyProtection="1">
      <protection locked="0"/>
    </xf>
    <xf numFmtId="0" fontId="66" fillId="0" borderId="0" xfId="0" applyFont="1" applyProtection="1">
      <protection locked="0"/>
    </xf>
    <xf numFmtId="0" fontId="72" fillId="0" borderId="0" xfId="0" applyFont="1" applyProtection="1">
      <protection locked="0"/>
    </xf>
    <xf numFmtId="168" fontId="73" fillId="0" borderId="0" xfId="61" applyNumberFormat="1" applyFont="1" applyAlignment="1" applyProtection="1">
      <alignment horizontal="center" vertical="center"/>
      <protection locked="0"/>
    </xf>
    <xf numFmtId="0" fontId="0" fillId="3" borderId="30" xfId="0" applyFill="1" applyBorder="1" applyProtection="1">
      <protection locked="0"/>
    </xf>
    <xf numFmtId="171" fontId="56" fillId="0" borderId="0" xfId="0" applyNumberFormat="1" applyFont="1" applyAlignment="1" applyProtection="1">
      <alignment horizontal="center"/>
      <protection locked="0"/>
    </xf>
    <xf numFmtId="9" fontId="56" fillId="0" borderId="0" xfId="2" applyFont="1" applyAlignment="1" applyProtection="1">
      <alignment horizontal="center"/>
      <protection locked="0"/>
    </xf>
    <xf numFmtId="172" fontId="56" fillId="0" borderId="0" xfId="2" applyNumberFormat="1" applyFont="1" applyAlignment="1" applyProtection="1">
      <alignment horizontal="center"/>
      <protection locked="0"/>
    </xf>
    <xf numFmtId="168" fontId="56" fillId="0" borderId="0" xfId="2" applyNumberFormat="1" applyFont="1" applyAlignment="1" applyProtection="1">
      <alignment horizontal="center"/>
      <protection locked="0"/>
    </xf>
    <xf numFmtId="0" fontId="66" fillId="0" borderId="0" xfId="0" applyFont="1" applyAlignment="1" applyProtection="1">
      <alignment vertical="center" wrapText="1"/>
      <protection locked="0"/>
    </xf>
    <xf numFmtId="0" fontId="12" fillId="3" borderId="30" xfId="0" applyFont="1" applyFill="1" applyBorder="1" applyProtection="1">
      <protection locked="0"/>
    </xf>
    <xf numFmtId="172" fontId="0" fillId="3" borderId="27" xfId="2" applyNumberFormat="1" applyFont="1" applyFill="1" applyBorder="1" applyAlignment="1" applyProtection="1">
      <alignment horizontal="center"/>
      <protection locked="0"/>
    </xf>
    <xf numFmtId="0" fontId="48" fillId="3" borderId="0" xfId="0" applyFont="1" applyFill="1" applyAlignment="1" applyProtection="1">
      <alignment horizontal="left" vertical="center"/>
      <protection locked="0"/>
    </xf>
    <xf numFmtId="168" fontId="0" fillId="3" borderId="0" xfId="0" applyNumberFormat="1" applyFill="1" applyAlignment="1" applyProtection="1">
      <alignment horizontal="left" vertical="center"/>
      <protection locked="0"/>
    </xf>
    <xf numFmtId="0" fontId="42" fillId="46" borderId="0" xfId="0" applyFont="1" applyFill="1" applyAlignment="1" applyProtection="1">
      <alignment horizontal="center"/>
      <protection locked="0"/>
    </xf>
    <xf numFmtId="168" fontId="42" fillId="46" borderId="0" xfId="1" applyNumberFormat="1" applyFont="1" applyFill="1" applyBorder="1" applyAlignment="1" applyProtection="1">
      <alignment horizontal="center"/>
      <protection locked="0"/>
    </xf>
    <xf numFmtId="0" fontId="67" fillId="43" borderId="0" xfId="0" applyFont="1" applyFill="1" applyProtection="1"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166" fontId="0" fillId="3" borderId="24" xfId="1" applyFont="1" applyFill="1" applyBorder="1" applyAlignment="1" applyProtection="1">
      <alignment horizontal="center" vertical="center"/>
      <protection locked="0"/>
    </xf>
    <xf numFmtId="0" fontId="0" fillId="3" borderId="24" xfId="0" applyFill="1" applyBorder="1" applyAlignment="1" applyProtection="1">
      <alignment horizontal="center" vertical="center"/>
      <protection locked="0"/>
    </xf>
    <xf numFmtId="0" fontId="40" fillId="3" borderId="24" xfId="0" applyFont="1" applyFill="1" applyBorder="1" applyAlignment="1" applyProtection="1">
      <alignment horizontal="left" vertical="center"/>
      <protection locked="0"/>
    </xf>
    <xf numFmtId="0" fontId="0" fillId="3" borderId="24" xfId="0" applyFill="1" applyBorder="1" applyAlignment="1" applyProtection="1">
      <alignment horizontal="left" vertical="center"/>
      <protection locked="0"/>
    </xf>
    <xf numFmtId="0" fontId="0" fillId="3" borderId="25" xfId="0" applyFill="1" applyBorder="1" applyProtection="1">
      <protection locked="0"/>
    </xf>
    <xf numFmtId="0" fontId="0" fillId="3" borderId="24" xfId="0" applyFill="1" applyBorder="1" applyProtection="1">
      <protection locked="0"/>
    </xf>
    <xf numFmtId="171" fontId="74" fillId="0" borderId="0" xfId="7" applyNumberFormat="1" applyFont="1" applyFill="1" applyBorder="1" applyAlignment="1" applyProtection="1">
      <alignment vertical="center"/>
      <protection locked="0"/>
    </xf>
    <xf numFmtId="0" fontId="75" fillId="0" borderId="0" xfId="0" applyFont="1" applyAlignment="1" applyProtection="1">
      <alignment horizontal="center"/>
      <protection locked="0"/>
    </xf>
    <xf numFmtId="166" fontId="74" fillId="3" borderId="0" xfId="1" applyFont="1" applyFill="1" applyBorder="1" applyAlignment="1" applyProtection="1">
      <alignment vertical="center"/>
      <protection locked="0"/>
    </xf>
    <xf numFmtId="0" fontId="42" fillId="3" borderId="0" xfId="0" applyFont="1" applyFill="1" applyProtection="1">
      <protection locked="0"/>
    </xf>
    <xf numFmtId="168" fontId="47" fillId="0" borderId="0" xfId="1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wrapText="1"/>
      <protection locked="0"/>
    </xf>
    <xf numFmtId="171" fontId="76" fillId="0" borderId="0" xfId="1" applyNumberFormat="1" applyFont="1" applyFill="1" applyBorder="1" applyAlignment="1" applyProtection="1">
      <alignment horizontal="center" vertical="center"/>
      <protection locked="0"/>
    </xf>
    <xf numFmtId="171" fontId="76" fillId="0" borderId="0" xfId="1" applyNumberFormat="1" applyFont="1" applyFill="1" applyBorder="1" applyAlignment="1" applyProtection="1">
      <alignment vertical="center"/>
      <protection locked="0"/>
    </xf>
    <xf numFmtId="0" fontId="58" fillId="0" borderId="0" xfId="0" applyFont="1" applyAlignment="1" applyProtection="1">
      <alignment vertical="center"/>
      <protection locked="0"/>
    </xf>
    <xf numFmtId="9" fontId="65" fillId="0" borderId="0" xfId="2" applyFont="1" applyFill="1" applyAlignment="1" applyProtection="1">
      <alignment horizontal="left" vertical="center"/>
      <protection locked="0"/>
    </xf>
    <xf numFmtId="0" fontId="0" fillId="43" borderId="0" xfId="0" applyFill="1" applyAlignment="1" applyProtection="1">
      <alignment wrapText="1"/>
      <protection locked="0"/>
    </xf>
    <xf numFmtId="0" fontId="50" fillId="43" borderId="0" xfId="0" applyFont="1" applyFill="1" applyAlignment="1" applyProtection="1">
      <alignment horizontal="center"/>
      <protection locked="0"/>
    </xf>
    <xf numFmtId="14" fontId="0" fillId="3" borderId="0" xfId="0" applyNumberFormat="1" applyFill="1" applyProtection="1">
      <protection locked="0"/>
    </xf>
    <xf numFmtId="166" fontId="43" fillId="0" borderId="0" xfId="1" applyFont="1" applyAlignment="1" applyProtection="1">
      <alignment horizontal="center" vertical="center"/>
      <protection locked="0"/>
    </xf>
    <xf numFmtId="1" fontId="43" fillId="0" borderId="0" xfId="1" applyNumberFormat="1" applyFont="1" applyAlignment="1" applyProtection="1">
      <alignment horizontal="center" vertical="center"/>
      <protection locked="0"/>
    </xf>
    <xf numFmtId="42" fontId="0" fillId="3" borderId="0" xfId="0" applyNumberFormat="1" applyFill="1" applyProtection="1">
      <protection locked="0"/>
    </xf>
    <xf numFmtId="0" fontId="77" fillId="0" borderId="0" xfId="0" applyFont="1" applyProtection="1">
      <protection locked="0"/>
    </xf>
    <xf numFmtId="0" fontId="71" fillId="0" borderId="0" xfId="0" applyFont="1" applyAlignment="1" applyProtection="1">
      <alignment horizontal="center"/>
      <protection locked="0"/>
    </xf>
    <xf numFmtId="171" fontId="57" fillId="0" borderId="0" xfId="0" applyNumberFormat="1" applyFont="1" applyAlignment="1" applyProtection="1">
      <alignment horizontal="left"/>
      <protection locked="0"/>
    </xf>
    <xf numFmtId="0" fontId="0" fillId="0" borderId="0" xfId="0" applyAlignment="1" applyProtection="1">
      <alignment horizontal="left" vertic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0" fontId="66" fillId="0" borderId="0" xfId="0" applyFont="1" applyAlignment="1" applyProtection="1">
      <alignment horizontal="left" vertical="center"/>
      <protection locked="0"/>
    </xf>
    <xf numFmtId="0" fontId="72" fillId="0" borderId="0" xfId="0" applyFont="1" applyAlignment="1" applyProtection="1">
      <alignment horizontal="left" vertical="center"/>
      <protection locked="0"/>
    </xf>
    <xf numFmtId="172" fontId="0" fillId="3" borderId="27" xfId="2" applyNumberFormat="1" applyFont="1" applyFill="1" applyBorder="1" applyAlignment="1" applyProtection="1"/>
    <xf numFmtId="4" fontId="13" fillId="0" borderId="0" xfId="0" applyNumberFormat="1" applyFont="1" applyAlignment="1">
      <alignment vertical="center"/>
    </xf>
    <xf numFmtId="169" fontId="17" fillId="0" borderId="26" xfId="0" applyNumberFormat="1" applyFont="1" applyBorder="1" applyAlignment="1">
      <alignment horizontal="center" vertical="center"/>
    </xf>
    <xf numFmtId="169" fontId="17" fillId="40" borderId="26" xfId="0" applyNumberFormat="1" applyFont="1" applyFill="1" applyBorder="1" applyAlignment="1">
      <alignment horizontal="center" vertical="center"/>
    </xf>
    <xf numFmtId="0" fontId="66" fillId="0" borderId="0" xfId="0" applyFont="1" applyAlignment="1" applyProtection="1">
      <alignment horizontal="left" vertical="center" wrapText="1"/>
      <protection locked="0"/>
    </xf>
    <xf numFmtId="0" fontId="48" fillId="3" borderId="30" xfId="0" applyFont="1" applyFill="1" applyBorder="1" applyAlignment="1" applyProtection="1">
      <alignment horizontal="center"/>
      <protection locked="0"/>
    </xf>
    <xf numFmtId="0" fontId="48" fillId="3" borderId="31" xfId="0" applyFont="1" applyFill="1" applyBorder="1" applyAlignment="1" applyProtection="1">
      <alignment horizontal="center"/>
      <protection locked="0"/>
    </xf>
    <xf numFmtId="0" fontId="79" fillId="43" borderId="0" xfId="0" applyFont="1" applyFill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0" fontId="59" fillId="3" borderId="1" xfId="39" applyFont="1" applyFill="1" applyBorder="1" applyAlignment="1" applyProtection="1">
      <alignment horizontal="center" vertical="center"/>
      <protection locked="0"/>
    </xf>
    <xf numFmtId="0" fontId="70" fillId="3" borderId="0" xfId="39" applyFont="1" applyFill="1" applyBorder="1" applyAlignment="1" applyProtection="1">
      <alignment horizontal="center" vertical="center" wrapText="1"/>
      <protection locked="0"/>
    </xf>
    <xf numFmtId="0" fontId="46" fillId="3" borderId="0" xfId="0" applyFont="1" applyFill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70" fillId="0" borderId="0" xfId="39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left" vertical="center" readingOrder="1"/>
      <protection locked="0"/>
    </xf>
    <xf numFmtId="0" fontId="47" fillId="0" borderId="0" xfId="7" applyFont="1" applyFill="1" applyBorder="1" applyAlignment="1" applyProtection="1">
      <alignment horizontal="center" vertical="center"/>
      <protection locked="0"/>
    </xf>
    <xf numFmtId="168" fontId="47" fillId="0" borderId="0" xfId="1" applyNumberFormat="1" applyFont="1" applyFill="1" applyBorder="1" applyAlignment="1" applyProtection="1">
      <alignment horizontal="center" vertical="center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70" fillId="0" borderId="0" xfId="39" applyFont="1" applyFill="1" applyBorder="1" applyAlignment="1" applyProtection="1">
      <alignment horizontal="center" vertical="center" wrapText="1"/>
      <protection locked="0"/>
    </xf>
    <xf numFmtId="0" fontId="48" fillId="3" borderId="30" xfId="0" applyFont="1" applyFill="1" applyBorder="1" applyAlignment="1" applyProtection="1">
      <alignment horizontal="center" vertical="center"/>
      <protection locked="0"/>
    </xf>
    <xf numFmtId="0" fontId="48" fillId="3" borderId="46" xfId="0" applyFont="1" applyFill="1" applyBorder="1" applyAlignment="1" applyProtection="1">
      <alignment horizontal="center" vertical="center"/>
      <protection locked="0"/>
    </xf>
    <xf numFmtId="166" fontId="0" fillId="3" borderId="47" xfId="1" applyFont="1" applyFill="1" applyBorder="1" applyAlignment="1" applyProtection="1">
      <alignment horizontal="center" vertical="center"/>
      <protection locked="0"/>
    </xf>
    <xf numFmtId="166" fontId="0" fillId="3" borderId="48" xfId="1" applyFont="1" applyFill="1" applyBorder="1" applyAlignment="1" applyProtection="1">
      <alignment horizontal="center" vertical="center"/>
      <protection locked="0"/>
    </xf>
    <xf numFmtId="166" fontId="0" fillId="3" borderId="49" xfId="1" applyFont="1" applyFill="1" applyBorder="1" applyAlignment="1" applyProtection="1">
      <alignment horizontal="center" vertical="center"/>
      <protection locked="0"/>
    </xf>
    <xf numFmtId="166" fontId="0" fillId="3" borderId="50" xfId="1" applyFont="1" applyFill="1" applyBorder="1" applyAlignment="1" applyProtection="1">
      <alignment horizontal="center" vertical="center"/>
      <protection locked="0"/>
    </xf>
    <xf numFmtId="0" fontId="48" fillId="3" borderId="55" xfId="0" applyFont="1" applyFill="1" applyBorder="1" applyAlignment="1" applyProtection="1">
      <alignment horizontal="center"/>
      <protection locked="0"/>
    </xf>
    <xf numFmtId="0" fontId="51" fillId="41" borderId="39" xfId="61" applyFont="1" applyFill="1" applyBorder="1" applyAlignment="1" applyProtection="1">
      <alignment horizontal="center" vertical="center"/>
      <protection locked="0"/>
    </xf>
    <xf numFmtId="0" fontId="68" fillId="6" borderId="2" xfId="0" applyFont="1" applyFill="1" applyBorder="1" applyAlignment="1" applyProtection="1">
      <alignment horizontal="center" vertical="center"/>
      <protection locked="0"/>
    </xf>
    <xf numFmtId="0" fontId="68" fillId="6" borderId="3" xfId="0" applyFont="1" applyFill="1" applyBorder="1" applyAlignment="1" applyProtection="1">
      <alignment horizontal="center" vertical="center"/>
      <protection locked="0"/>
    </xf>
    <xf numFmtId="0" fontId="68" fillId="40" borderId="1" xfId="0" applyFont="1" applyFill="1" applyBorder="1" applyAlignment="1" applyProtection="1">
      <alignment horizontal="center" vertical="center"/>
      <protection locked="0"/>
    </xf>
    <xf numFmtId="0" fontId="46" fillId="3" borderId="0" xfId="0" applyFont="1" applyFill="1" applyAlignment="1" applyProtection="1">
      <alignment horizontal="center" vertical="center" wrapText="1"/>
      <protection locked="0"/>
    </xf>
    <xf numFmtId="0" fontId="48" fillId="3" borderId="0" xfId="0" applyFont="1" applyFill="1" applyAlignment="1" applyProtection="1">
      <alignment horizontal="center" vertical="center"/>
      <protection locked="0"/>
    </xf>
    <xf numFmtId="0" fontId="48" fillId="3" borderId="29" xfId="0" applyFont="1" applyFill="1" applyBorder="1" applyAlignment="1" applyProtection="1">
      <alignment horizontal="center" vertical="center"/>
      <protection locked="0"/>
    </xf>
    <xf numFmtId="168" fontId="51" fillId="0" borderId="0" xfId="66" applyNumberFormat="1" applyFont="1" applyFill="1" applyBorder="1" applyAlignment="1" applyProtection="1">
      <alignment horizontal="center" vertical="center"/>
      <protection locked="0"/>
    </xf>
    <xf numFmtId="0" fontId="53" fillId="3" borderId="32" xfId="0" applyFont="1" applyFill="1" applyBorder="1" applyAlignment="1" applyProtection="1">
      <alignment horizontal="center"/>
      <protection locked="0"/>
    </xf>
    <xf numFmtId="0" fontId="53" fillId="3" borderId="33" xfId="0" applyFont="1" applyFill="1" applyBorder="1" applyAlignment="1" applyProtection="1">
      <alignment horizontal="center"/>
      <protection locked="0"/>
    </xf>
    <xf numFmtId="0" fontId="53" fillId="3" borderId="34" xfId="0" applyFont="1" applyFill="1" applyBorder="1" applyAlignment="1" applyProtection="1">
      <alignment horizontal="center"/>
      <protection locked="0"/>
    </xf>
    <xf numFmtId="0" fontId="54" fillId="0" borderId="0" xfId="0" applyFont="1" applyAlignment="1" applyProtection="1">
      <alignment horizontal="center" vertical="center" wrapText="1"/>
      <protection locked="0"/>
    </xf>
    <xf numFmtId="0" fontId="44" fillId="0" borderId="0" xfId="0" applyFont="1" applyAlignment="1" applyProtection="1">
      <alignment horizontal="center" wrapText="1"/>
      <protection locked="0"/>
    </xf>
    <xf numFmtId="0" fontId="45" fillId="3" borderId="8" xfId="39" applyFont="1" applyFill="1" applyBorder="1" applyAlignment="1" applyProtection="1">
      <alignment horizontal="center" vertical="center"/>
      <protection locked="0"/>
    </xf>
    <xf numFmtId="0" fontId="45" fillId="3" borderId="9" xfId="39" applyFont="1" applyFill="1" applyBorder="1" applyAlignment="1" applyProtection="1">
      <alignment horizontal="center" vertical="center"/>
      <protection locked="0"/>
    </xf>
    <xf numFmtId="0" fontId="45" fillId="3" borderId="0" xfId="39" applyFont="1" applyFill="1" applyBorder="1" applyAlignment="1" applyProtection="1">
      <alignment horizontal="center" vertical="center" wrapText="1"/>
      <protection locked="0"/>
    </xf>
    <xf numFmtId="0" fontId="42" fillId="38" borderId="2" xfId="0" applyFont="1" applyFill="1" applyBorder="1" applyAlignment="1" applyProtection="1">
      <alignment horizontal="center"/>
      <protection locked="0"/>
    </xf>
    <xf numFmtId="0" fontId="42" fillId="38" borderId="23" xfId="0" applyFont="1" applyFill="1" applyBorder="1" applyAlignment="1" applyProtection="1">
      <alignment horizontal="center"/>
      <protection locked="0"/>
    </xf>
    <xf numFmtId="0" fontId="42" fillId="38" borderId="3" xfId="0" applyFont="1" applyFill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4" fillId="0" borderId="0" xfId="0" applyFont="1" applyAlignment="1" applyProtection="1">
      <alignment horizontal="center"/>
      <protection locked="0"/>
    </xf>
    <xf numFmtId="0" fontId="92" fillId="3" borderId="30" xfId="0" applyFont="1" applyFill="1" applyBorder="1" applyAlignment="1" applyProtection="1">
      <alignment horizontal="center" vertical="center" wrapText="1"/>
      <protection locked="0"/>
    </xf>
    <xf numFmtId="0" fontId="92" fillId="3" borderId="0" xfId="0" applyFont="1" applyFill="1" applyAlignment="1" applyProtection="1">
      <alignment horizontal="center" vertical="center" wrapText="1"/>
      <protection locked="0"/>
    </xf>
    <xf numFmtId="0" fontId="92" fillId="3" borderId="10" xfId="0" applyFont="1" applyFill="1" applyBorder="1" applyAlignment="1" applyProtection="1">
      <alignment horizontal="center" vertical="center" wrapText="1"/>
      <protection locked="0"/>
    </xf>
    <xf numFmtId="0" fontId="92" fillId="3" borderId="24" xfId="0" applyFont="1" applyFill="1" applyBorder="1" applyAlignment="1" applyProtection="1">
      <alignment horizontal="center" vertical="center" wrapText="1"/>
      <protection locked="0"/>
    </xf>
    <xf numFmtId="0" fontId="49" fillId="3" borderId="0" xfId="0" applyFont="1" applyFill="1" applyAlignment="1" applyProtection="1">
      <alignment horizontal="center" vertical="center"/>
      <protection locked="0"/>
    </xf>
    <xf numFmtId="0" fontId="61" fillId="0" borderId="0" xfId="39" applyFont="1" applyFill="1" applyBorder="1" applyAlignment="1" applyProtection="1">
      <alignment horizontal="center" vertical="center"/>
      <protection locked="0"/>
    </xf>
    <xf numFmtId="0" fontId="61" fillId="0" borderId="0" xfId="39" applyFont="1" applyFill="1" applyBorder="1" applyAlignment="1" applyProtection="1">
      <alignment horizontal="center" vertical="center" wrapText="1"/>
      <protection locked="0"/>
    </xf>
    <xf numFmtId="0" fontId="48" fillId="3" borderId="0" xfId="0" applyFont="1" applyFill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87" fillId="47" borderId="65" xfId="50" applyFont="1" applyFill="1" applyBorder="1" applyAlignment="1">
      <alignment horizontal="center" vertical="center"/>
    </xf>
    <xf numFmtId="0" fontId="87" fillId="47" borderId="66" xfId="50" applyFont="1" applyFill="1" applyBorder="1" applyAlignment="1">
      <alignment horizontal="center" vertical="center"/>
    </xf>
    <xf numFmtId="0" fontId="91" fillId="3" borderId="67" xfId="50" applyFont="1" applyFill="1" applyBorder="1" applyAlignment="1">
      <alignment horizontal="center" vertical="center" wrapText="1"/>
    </xf>
    <xf numFmtId="0" fontId="91" fillId="3" borderId="68" xfId="50" applyFont="1" applyFill="1" applyBorder="1" applyAlignment="1">
      <alignment horizontal="center" vertical="center" wrapText="1"/>
    </xf>
    <xf numFmtId="0" fontId="90" fillId="48" borderId="62" xfId="69" applyFont="1" applyFill="1" applyBorder="1" applyAlignment="1">
      <alignment horizontal="center" vertical="center" wrapText="1"/>
    </xf>
    <xf numFmtId="0" fontId="90" fillId="48" borderId="63" xfId="69" applyFont="1" applyFill="1" applyBorder="1" applyAlignment="1">
      <alignment horizontal="center" vertical="center" wrapText="1"/>
    </xf>
    <xf numFmtId="0" fontId="90" fillId="48" borderId="64" xfId="69" applyFont="1" applyFill="1" applyBorder="1" applyAlignment="1">
      <alignment horizontal="center" vertical="center" wrapText="1"/>
    </xf>
    <xf numFmtId="0" fontId="90" fillId="44" borderId="62" xfId="69" applyFont="1" applyFill="1" applyBorder="1" applyAlignment="1">
      <alignment horizontal="center" vertical="center" wrapText="1"/>
    </xf>
    <xf numFmtId="0" fontId="90" fillId="44" borderId="63" xfId="69" applyFont="1" applyFill="1" applyBorder="1" applyAlignment="1">
      <alignment horizontal="center" vertical="center" wrapText="1"/>
    </xf>
    <xf numFmtId="0" fontId="90" fillId="44" borderId="64" xfId="69" applyFont="1" applyFill="1" applyBorder="1" applyAlignment="1">
      <alignment horizontal="center" vertical="center" wrapText="1"/>
    </xf>
    <xf numFmtId="0" fontId="80" fillId="6" borderId="96" xfId="50" applyFont="1" applyFill="1" applyBorder="1" applyAlignment="1">
      <alignment horizontal="center" vertical="center"/>
    </xf>
    <xf numFmtId="0" fontId="80" fillId="6" borderId="97" xfId="50" applyFont="1" applyFill="1" applyBorder="1" applyAlignment="1">
      <alignment horizontal="center" vertical="center"/>
    </xf>
    <xf numFmtId="0" fontId="80" fillId="6" borderId="98" xfId="50" applyFont="1" applyFill="1" applyBorder="1" applyAlignment="1">
      <alignment horizontal="center" vertical="center"/>
    </xf>
    <xf numFmtId="0" fontId="81" fillId="6" borderId="96" xfId="50" applyFont="1" applyFill="1" applyBorder="1" applyAlignment="1">
      <alignment horizontal="center" vertical="center" wrapText="1"/>
    </xf>
    <xf numFmtId="0" fontId="81" fillId="6" borderId="97" xfId="50" applyFont="1" applyFill="1" applyBorder="1" applyAlignment="1">
      <alignment horizontal="center" vertical="center" wrapText="1"/>
    </xf>
    <xf numFmtId="0" fontId="81" fillId="6" borderId="98" xfId="50" applyFont="1" applyFill="1" applyBorder="1" applyAlignment="1">
      <alignment horizontal="center" vertical="center" wrapText="1"/>
    </xf>
    <xf numFmtId="0" fontId="95" fillId="40" borderId="72" xfId="0" applyFont="1" applyFill="1" applyBorder="1" applyAlignment="1">
      <alignment horizontal="center" vertical="center"/>
    </xf>
    <xf numFmtId="0" fontId="95" fillId="40" borderId="73" xfId="0" applyFont="1" applyFill="1" applyBorder="1" applyAlignment="1">
      <alignment horizontal="center" vertical="center"/>
    </xf>
    <xf numFmtId="0" fontId="95" fillId="40" borderId="74" xfId="0" applyFont="1" applyFill="1" applyBorder="1" applyAlignment="1">
      <alignment horizontal="center" vertical="center"/>
    </xf>
    <xf numFmtId="0" fontId="95" fillId="40" borderId="75" xfId="0" applyFont="1" applyFill="1" applyBorder="1" applyAlignment="1">
      <alignment horizontal="center" vertical="center"/>
    </xf>
    <xf numFmtId="0" fontId="95" fillId="40" borderId="76" xfId="0" applyFont="1" applyFill="1" applyBorder="1" applyAlignment="1">
      <alignment horizontal="center" vertical="center"/>
    </xf>
    <xf numFmtId="0" fontId="95" fillId="40" borderId="77" xfId="0" applyFont="1" applyFill="1" applyBorder="1" applyAlignment="1">
      <alignment horizontal="center" vertical="center"/>
    </xf>
    <xf numFmtId="0" fontId="101" fillId="0" borderId="0" xfId="0" applyFont="1" applyAlignment="1">
      <alignment horizontal="left" vertical="center" wrapText="1"/>
    </xf>
    <xf numFmtId="0" fontId="82" fillId="6" borderId="83" xfId="0" applyFont="1" applyFill="1" applyBorder="1" applyAlignment="1">
      <alignment horizontal="center"/>
    </xf>
    <xf numFmtId="0" fontId="82" fillId="6" borderId="84" xfId="0" applyFont="1" applyFill="1" applyBorder="1" applyAlignment="1">
      <alignment horizontal="center"/>
    </xf>
    <xf numFmtId="0" fontId="82" fillId="6" borderId="85" xfId="0" applyFont="1" applyFill="1" applyBorder="1" applyAlignment="1">
      <alignment horizontal="center"/>
    </xf>
    <xf numFmtId="10" fontId="82" fillId="6" borderId="89" xfId="2" applyNumberFormat="1" applyFont="1" applyFill="1" applyBorder="1" applyAlignment="1">
      <alignment horizontal="center" vertical="center"/>
    </xf>
    <xf numFmtId="10" fontId="82" fillId="6" borderId="90" xfId="2" applyNumberFormat="1" applyFont="1" applyFill="1" applyBorder="1" applyAlignment="1">
      <alignment horizontal="center" vertical="center"/>
    </xf>
    <xf numFmtId="10" fontId="82" fillId="6" borderId="91" xfId="2" applyNumberFormat="1" applyFont="1" applyFill="1" applyBorder="1" applyAlignment="1">
      <alignment horizontal="center" vertical="center"/>
    </xf>
    <xf numFmtId="0" fontId="78" fillId="42" borderId="4" xfId="61" applyFont="1" applyFill="1" applyBorder="1" applyAlignment="1">
      <alignment horizontal="center" vertical="center"/>
    </xf>
    <xf numFmtId="0" fontId="78" fillId="42" borderId="51" xfId="61" applyFont="1" applyFill="1" applyBorder="1" applyAlignment="1">
      <alignment horizontal="center" vertical="center"/>
    </xf>
    <xf numFmtId="0" fontId="78" fillId="42" borderId="5" xfId="61" applyFont="1" applyFill="1" applyBorder="1" applyAlignment="1">
      <alignment horizontal="center" vertical="center"/>
    </xf>
    <xf numFmtId="0" fontId="78" fillId="42" borderId="6" xfId="61" applyFont="1" applyFill="1" applyBorder="1" applyAlignment="1">
      <alignment horizontal="center" vertical="center"/>
    </xf>
    <xf numFmtId="0" fontId="78" fillId="42" borderId="52" xfId="61" applyFont="1" applyFill="1" applyBorder="1" applyAlignment="1">
      <alignment horizontal="center" vertical="center"/>
    </xf>
    <xf numFmtId="0" fontId="78" fillId="42" borderId="7" xfId="61" applyFont="1" applyFill="1" applyBorder="1" applyAlignment="1">
      <alignment horizontal="center" vertical="center"/>
    </xf>
    <xf numFmtId="0" fontId="38" fillId="38" borderId="2" xfId="61" applyFont="1" applyFill="1" applyBorder="1" applyAlignment="1">
      <alignment horizontal="center" vertical="center"/>
    </xf>
    <xf numFmtId="0" fontId="38" fillId="38" borderId="23" xfId="61" applyFont="1" applyFill="1" applyBorder="1" applyAlignment="1">
      <alignment horizontal="center" vertical="center"/>
    </xf>
    <xf numFmtId="0" fontId="38" fillId="38" borderId="3" xfId="61" applyFont="1" applyFill="1" applyBorder="1" applyAlignment="1">
      <alignment horizontal="center" vertical="center"/>
    </xf>
    <xf numFmtId="0" fontId="10" fillId="3" borderId="0" xfId="61" applyFill="1" applyAlignment="1">
      <alignment horizontal="center" vertical="center"/>
    </xf>
    <xf numFmtId="0" fontId="12" fillId="3" borderId="0" xfId="61" applyFont="1" applyFill="1" applyAlignment="1">
      <alignment horizontal="center" vertical="center"/>
    </xf>
  </cellXfs>
  <cellStyles count="82">
    <cellStyle name="20% - Énfasis1" xfId="21" builtinId="30" customBuiltin="1"/>
    <cellStyle name="20% - Énfasis2" xfId="24" builtinId="34" customBuiltin="1"/>
    <cellStyle name="20% - Énfasis3" xfId="27" builtinId="38" customBuiltin="1"/>
    <cellStyle name="20% - Énfasis4" xfId="30" builtinId="42" customBuiltin="1"/>
    <cellStyle name="20% - Énfasis5" xfId="33" builtinId="46" customBuiltin="1"/>
    <cellStyle name="20% - Énfasis6" xfId="36" builtinId="50" customBuiltin="1"/>
    <cellStyle name="40% - Énfasis1" xfId="22" builtinId="31" customBuiltin="1"/>
    <cellStyle name="40% - Énfasis2" xfId="25" builtinId="35" customBuiltin="1"/>
    <cellStyle name="40% - Énfasis3" xfId="28" builtinId="39" customBuiltin="1"/>
    <cellStyle name="40% - Énfasis4" xfId="31" builtinId="43" customBuiltin="1"/>
    <cellStyle name="40% - Énfasis5" xfId="34" builtinId="47" customBuiltin="1"/>
    <cellStyle name="40% - Énfasis6" xfId="37" builtinId="51" customBuiltin="1"/>
    <cellStyle name="60% - Énfasis1 2" xfId="39" xr:uid="{00000000-0005-0000-0000-00000C000000}"/>
    <cellStyle name="60% - Énfasis2 2" xfId="40" xr:uid="{00000000-0005-0000-0000-00000D000000}"/>
    <cellStyle name="60% - Énfasis3 2" xfId="41" xr:uid="{00000000-0005-0000-0000-00000E000000}"/>
    <cellStyle name="60% - Énfasis4 2" xfId="42" xr:uid="{00000000-0005-0000-0000-00000F000000}"/>
    <cellStyle name="60% - Énfasis5 2" xfId="43" xr:uid="{00000000-0005-0000-0000-000010000000}"/>
    <cellStyle name="60% - Énfasis6 2" xfId="44" xr:uid="{00000000-0005-0000-0000-000011000000}"/>
    <cellStyle name="Bueno" xfId="10" builtinId="26" customBuiltin="1"/>
    <cellStyle name="Cálculo" xfId="14" builtinId="22" customBuiltin="1"/>
    <cellStyle name="Celda de comprobación" xfId="16" builtinId="23" customBuiltin="1"/>
    <cellStyle name="Celda vinculada" xfId="15" builtinId="24" customBuiltin="1"/>
    <cellStyle name="Encabezado 1" xfId="7" builtinId="16" customBuiltin="1"/>
    <cellStyle name="Encabezado 4" xfId="55" builtinId="19" customBuiltin="1"/>
    <cellStyle name="Énfasis1" xfId="20" builtinId="29" customBuiltin="1"/>
    <cellStyle name="Énfasis2" xfId="23" builtinId="33" customBuiltin="1"/>
    <cellStyle name="Énfasis3" xfId="26" builtinId="37" customBuiltin="1"/>
    <cellStyle name="Énfasis4" xfId="29" builtinId="41" customBuiltin="1"/>
    <cellStyle name="Énfasis5" xfId="32" builtinId="45" customBuiltin="1"/>
    <cellStyle name="Énfasis6" xfId="35" builtinId="49" customBuiltin="1"/>
    <cellStyle name="Entrada" xfId="12" builtinId="20" customBuiltin="1"/>
    <cellStyle name="Hipervínculo" xfId="80" builtinId="8"/>
    <cellStyle name="Hipervínculo 2" xfId="71" xr:uid="{904235D3-4B62-441E-8274-E758C2284F06}"/>
    <cellStyle name="Incorrecto" xfId="11" builtinId="27" customBuiltin="1"/>
    <cellStyle name="Millares [0]" xfId="75" builtinId="6"/>
    <cellStyle name="Millares [0] 2" xfId="6" xr:uid="{00000000-0005-0000-0000-000020000000}"/>
    <cellStyle name="Millares [0] 2 2" xfId="74" xr:uid="{46220D19-360C-46CA-959A-6B64E75945B6}"/>
    <cellStyle name="Millares 2" xfId="45" xr:uid="{00000000-0005-0000-0000-000021000000}"/>
    <cellStyle name="Millares 2 2" xfId="72" xr:uid="{8D423F1C-5992-4419-9E03-5467AFE02B30}"/>
    <cellStyle name="Millares 3" xfId="56" xr:uid="{00000000-0005-0000-0000-000022000000}"/>
    <cellStyle name="Moneda [0]" xfId="1" builtinId="7"/>
    <cellStyle name="Moneda [0] 2" xfId="5" xr:uid="{00000000-0005-0000-0000-000024000000}"/>
    <cellStyle name="Moneda [0] 2 2" xfId="58" xr:uid="{00000000-0005-0000-0000-000025000000}"/>
    <cellStyle name="Moneda [0] 3" xfId="46" xr:uid="{00000000-0005-0000-0000-000026000000}"/>
    <cellStyle name="Moneda [0] 3 2" xfId="59" xr:uid="{00000000-0005-0000-0000-000027000000}"/>
    <cellStyle name="Moneda [0] 3 2 2" xfId="65" xr:uid="{00000000-0005-0000-0000-000028000000}"/>
    <cellStyle name="Moneda [0] 3 2 2 2" xfId="66" xr:uid="{9C3AD843-7147-4D09-8B74-CFF916FF4554}"/>
    <cellStyle name="Moneda [0] 4" xfId="70" xr:uid="{63AF428F-E8A9-4AD1-8895-3D52FAA377F5}"/>
    <cellStyle name="Moneda [0] 5" xfId="77" xr:uid="{4EA8A87A-7F28-47D7-8D6D-349AFA3D5402}"/>
    <cellStyle name="Neutral 2" xfId="47" xr:uid="{00000000-0005-0000-0000-000029000000}"/>
    <cellStyle name="Normal" xfId="0" builtinId="0"/>
    <cellStyle name="Normal 2" xfId="3" xr:uid="{00000000-0005-0000-0000-00002B000000}"/>
    <cellStyle name="Normal 2 2" xfId="48" xr:uid="{00000000-0005-0000-0000-00002C000000}"/>
    <cellStyle name="Normal 2 2 2" xfId="61" xr:uid="{00000000-0005-0000-0000-00002D000000}"/>
    <cellStyle name="Normal 3" xfId="49" xr:uid="{00000000-0005-0000-0000-00002E000000}"/>
    <cellStyle name="Normal 3 2" xfId="60" xr:uid="{00000000-0005-0000-0000-00002F000000}"/>
    <cellStyle name="Normal 3 2 2" xfId="64" xr:uid="{00000000-0005-0000-0000-000030000000}"/>
    <cellStyle name="Normal 3 3" xfId="62" xr:uid="{00000000-0005-0000-0000-000031000000}"/>
    <cellStyle name="Normal 3 4" xfId="67" xr:uid="{F54430EE-8754-4C00-A67B-7FFE22F2261C}"/>
    <cellStyle name="Normal 3 5" xfId="73" xr:uid="{B85D1524-2A24-4D34-B917-413FCFCEBD2C}"/>
    <cellStyle name="Normal 4" xfId="50" xr:uid="{00000000-0005-0000-0000-000032000000}"/>
    <cellStyle name="Normal 5" xfId="51" xr:uid="{00000000-0005-0000-0000-000033000000}"/>
    <cellStyle name="Normal 6" xfId="38" xr:uid="{00000000-0005-0000-0000-000034000000}"/>
    <cellStyle name="Normal 7" xfId="69" xr:uid="{FE649989-F991-4297-8CB9-92D0AB8C44A8}"/>
    <cellStyle name="Normal 7 2" xfId="79" xr:uid="{0C56C4D3-A425-4666-BA69-1783AAE12555}"/>
    <cellStyle name="Normal 7 2 2" xfId="81" xr:uid="{B52C2339-CB6E-420E-899D-55792B8B68B9}"/>
    <cellStyle name="Normal 8" xfId="76" xr:uid="{7FBB1DE5-38C5-4C5F-B97B-B1A2AA068D77}"/>
    <cellStyle name="Notas 2" xfId="52" xr:uid="{00000000-0005-0000-0000-000035000000}"/>
    <cellStyle name="Porcentaje" xfId="2" builtinId="5"/>
    <cellStyle name="Porcentaje 2" xfId="4" xr:uid="{00000000-0005-0000-0000-000036000000}"/>
    <cellStyle name="Porcentaje 2 2" xfId="57" xr:uid="{00000000-0005-0000-0000-000037000000}"/>
    <cellStyle name="Porcentaje 3" xfId="53" xr:uid="{00000000-0005-0000-0000-000038000000}"/>
    <cellStyle name="Porcentaje 3 2" xfId="63" xr:uid="{00000000-0005-0000-0000-000039000000}"/>
    <cellStyle name="Porcentaje 3 3" xfId="68" xr:uid="{C3558B4C-B535-4DE2-BD5E-4EEC9C2A7F46}"/>
    <cellStyle name="Porcentaje 4" xfId="78" xr:uid="{1BE19D12-0BC6-42D0-B504-D25984BE222B}"/>
    <cellStyle name="Salida" xfId="13" builtinId="21" customBuiltin="1"/>
    <cellStyle name="Texto de advertencia" xfId="17" builtinId="11" customBuiltin="1"/>
    <cellStyle name="Texto explicativo" xfId="18" builtinId="53" customBuiltin="1"/>
    <cellStyle name="Título 2" xfId="8" builtinId="17" customBuiltin="1"/>
    <cellStyle name="Título 3" xfId="9" builtinId="18" customBuiltin="1"/>
    <cellStyle name="Título 5" xfId="54" xr:uid="{00000000-0005-0000-0000-000041000000}"/>
    <cellStyle name="Total" xfId="19" builtinId="25" customBuiltin="1"/>
  </cellStyles>
  <dxfs count="8"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ont>
        <color rgb="FFFF0000"/>
      </font>
    </dxf>
    <dxf>
      <font>
        <color rgb="FF00B050"/>
      </font>
    </dxf>
  </dxfs>
  <tableStyles count="0" defaultTableStyle="TableStyleMedium9" defaultPivotStyle="PivotStyleMedium7"/>
  <colors>
    <mruColors>
      <color rgb="FF99CCFF"/>
      <color rgb="FF00CCFF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206952</xdr:colOff>
      <xdr:row>7</xdr:row>
      <xdr:rowOff>102177</xdr:rowOff>
    </xdr:from>
    <xdr:to>
      <xdr:col>3</xdr:col>
      <xdr:colOff>637309</xdr:colOff>
      <xdr:row>9</xdr:row>
      <xdr:rowOff>121227</xdr:rowOff>
    </xdr:to>
    <xdr:sp macro="[0]!uno" textlink="">
      <xdr:nvSpPr>
        <xdr:cNvPr id="2" name="Elipse 1">
          <a:extLst>
            <a:ext uri="{FF2B5EF4-FFF2-40B4-BE49-F238E27FC236}">
              <a16:creationId xmlns:a16="http://schemas.microsoft.com/office/drawing/2014/main" id="{B1A61674-C017-4DA5-8D11-39F09A68E00E}"/>
            </a:ext>
          </a:extLst>
        </xdr:cNvPr>
        <xdr:cNvSpPr/>
      </xdr:nvSpPr>
      <xdr:spPr>
        <a:xfrm>
          <a:off x="1950027" y="1502352"/>
          <a:ext cx="430357" cy="4191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100" b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+mj-lt"/>
            </a:rPr>
            <a:t>1</a:t>
          </a:r>
        </a:p>
      </xdr:txBody>
    </xdr:sp>
    <xdr:clientData/>
  </xdr:twoCellAnchor>
  <xdr:twoCellAnchor>
    <xdr:from>
      <xdr:col>4</xdr:col>
      <xdr:colOff>169717</xdr:colOff>
      <xdr:row>7</xdr:row>
      <xdr:rowOff>119496</xdr:rowOff>
    </xdr:from>
    <xdr:to>
      <xdr:col>4</xdr:col>
      <xdr:colOff>598342</xdr:colOff>
      <xdr:row>9</xdr:row>
      <xdr:rowOff>138546</xdr:rowOff>
    </xdr:to>
    <xdr:sp macro="[0]!dos" textlink="">
      <xdr:nvSpPr>
        <xdr:cNvPr id="3" name="Elipse 2">
          <a:extLst>
            <a:ext uri="{FF2B5EF4-FFF2-40B4-BE49-F238E27FC236}">
              <a16:creationId xmlns:a16="http://schemas.microsoft.com/office/drawing/2014/main" id="{9D69C7FA-68FB-4313-A0CC-9B36CC45E2AB}"/>
            </a:ext>
          </a:extLst>
        </xdr:cNvPr>
        <xdr:cNvSpPr/>
      </xdr:nvSpPr>
      <xdr:spPr>
        <a:xfrm>
          <a:off x="2836717" y="1519671"/>
          <a:ext cx="428625" cy="4191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100" b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5</xdr:col>
      <xdr:colOff>167120</xdr:colOff>
      <xdr:row>7</xdr:row>
      <xdr:rowOff>119495</xdr:rowOff>
    </xdr:from>
    <xdr:to>
      <xdr:col>5</xdr:col>
      <xdr:colOff>595745</xdr:colOff>
      <xdr:row>9</xdr:row>
      <xdr:rowOff>138545</xdr:rowOff>
    </xdr:to>
    <xdr:sp macro="[0]!tres" textlink="">
      <xdr:nvSpPr>
        <xdr:cNvPr id="4" name="Elipse 3">
          <a:extLst>
            <a:ext uri="{FF2B5EF4-FFF2-40B4-BE49-F238E27FC236}">
              <a16:creationId xmlns:a16="http://schemas.microsoft.com/office/drawing/2014/main" id="{8F7CBE7B-53C7-42BF-B926-DD1BF29EEA9B}"/>
            </a:ext>
          </a:extLst>
        </xdr:cNvPr>
        <xdr:cNvSpPr/>
      </xdr:nvSpPr>
      <xdr:spPr>
        <a:xfrm>
          <a:off x="3672320" y="1519670"/>
          <a:ext cx="428625" cy="4191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100" b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6</xdr:col>
      <xdr:colOff>163657</xdr:colOff>
      <xdr:row>7</xdr:row>
      <xdr:rowOff>129021</xdr:rowOff>
    </xdr:from>
    <xdr:to>
      <xdr:col>6</xdr:col>
      <xdr:colOff>594014</xdr:colOff>
      <xdr:row>9</xdr:row>
      <xdr:rowOff>148071</xdr:rowOff>
    </xdr:to>
    <xdr:sp macro="[0]!cuatro" textlink="">
      <xdr:nvSpPr>
        <xdr:cNvPr id="5" name="Elipse 4">
          <a:extLst>
            <a:ext uri="{FF2B5EF4-FFF2-40B4-BE49-F238E27FC236}">
              <a16:creationId xmlns:a16="http://schemas.microsoft.com/office/drawing/2014/main" id="{F915A036-0BB4-481C-AF8D-D93A7AD14909}"/>
            </a:ext>
          </a:extLst>
        </xdr:cNvPr>
        <xdr:cNvSpPr/>
      </xdr:nvSpPr>
      <xdr:spPr>
        <a:xfrm>
          <a:off x="4507057" y="1529196"/>
          <a:ext cx="430357" cy="4191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100" b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7</xdr:col>
      <xdr:colOff>178593</xdr:colOff>
      <xdr:row>7</xdr:row>
      <xdr:rowOff>119063</xdr:rowOff>
    </xdr:from>
    <xdr:to>
      <xdr:col>7</xdr:col>
      <xdr:colOff>608950</xdr:colOff>
      <xdr:row>9</xdr:row>
      <xdr:rowOff>138113</xdr:rowOff>
    </xdr:to>
    <xdr:sp macro="[0]!cinco" textlink="">
      <xdr:nvSpPr>
        <xdr:cNvPr id="6" name="Elipse 5">
          <a:extLst>
            <a:ext uri="{FF2B5EF4-FFF2-40B4-BE49-F238E27FC236}">
              <a16:creationId xmlns:a16="http://schemas.microsoft.com/office/drawing/2014/main" id="{EBC4D537-AA9B-4B27-B5C2-CE27AA1CAD8B}"/>
            </a:ext>
          </a:extLst>
        </xdr:cNvPr>
        <xdr:cNvSpPr/>
      </xdr:nvSpPr>
      <xdr:spPr>
        <a:xfrm>
          <a:off x="5360193" y="1519238"/>
          <a:ext cx="430357" cy="4191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100" b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25</xdr:col>
      <xdr:colOff>21431</xdr:colOff>
      <xdr:row>5</xdr:row>
      <xdr:rowOff>129885</xdr:rowOff>
    </xdr:from>
    <xdr:to>
      <xdr:col>25</xdr:col>
      <xdr:colOff>1059656</xdr:colOff>
      <xdr:row>7</xdr:row>
      <xdr:rowOff>187307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814A760-C6C4-4FDA-88CD-B8D6D38F06ED}"/>
            </a:ext>
          </a:extLst>
        </xdr:cNvPr>
        <xdr:cNvSpPr/>
      </xdr:nvSpPr>
      <xdr:spPr>
        <a:xfrm>
          <a:off x="20995481" y="1130010"/>
          <a:ext cx="1038225" cy="457472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Dpto.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26</xdr:col>
      <xdr:colOff>14655</xdr:colOff>
      <xdr:row>5</xdr:row>
      <xdr:rowOff>129886</xdr:rowOff>
    </xdr:from>
    <xdr:to>
      <xdr:col>26</xdr:col>
      <xdr:colOff>1083469</xdr:colOff>
      <xdr:row>7</xdr:row>
      <xdr:rowOff>186071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72AEE25-0968-426C-858E-3B00BB30AF4C}"/>
            </a:ext>
          </a:extLst>
        </xdr:cNvPr>
        <xdr:cNvSpPr/>
      </xdr:nvSpPr>
      <xdr:spPr>
        <a:xfrm>
          <a:off x="22055505" y="1130011"/>
          <a:ext cx="1068814" cy="456235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Tipología</a:t>
          </a:r>
        </a:p>
      </xdr:txBody>
    </xdr:sp>
    <xdr:clientData/>
  </xdr:twoCellAnchor>
  <xdr:twoCellAnchor>
    <xdr:from>
      <xdr:col>27</xdr:col>
      <xdr:colOff>14655</xdr:colOff>
      <xdr:row>5</xdr:row>
      <xdr:rowOff>129887</xdr:rowOff>
    </xdr:from>
    <xdr:to>
      <xdr:col>27</xdr:col>
      <xdr:colOff>1084385</xdr:colOff>
      <xdr:row>7</xdr:row>
      <xdr:rowOff>187309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BFC5697-DAB0-47E6-ACE3-CD8BBCD89A42}"/>
            </a:ext>
          </a:extLst>
        </xdr:cNvPr>
        <xdr:cNvSpPr/>
      </xdr:nvSpPr>
      <xdr:spPr>
        <a:xfrm>
          <a:off x="23150880" y="1130012"/>
          <a:ext cx="1041155" cy="457472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Orientación</a:t>
          </a:r>
        </a:p>
      </xdr:txBody>
    </xdr:sp>
    <xdr:clientData/>
  </xdr:twoCellAnchor>
  <xdr:twoCellAnchor>
    <xdr:from>
      <xdr:col>28</xdr:col>
      <xdr:colOff>16354</xdr:colOff>
      <xdr:row>5</xdr:row>
      <xdr:rowOff>133350</xdr:rowOff>
    </xdr:from>
    <xdr:to>
      <xdr:col>29</xdr:col>
      <xdr:colOff>-1</xdr:colOff>
      <xdr:row>7</xdr:row>
      <xdr:rowOff>188673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3140A8BD-C1B5-4E35-9172-D8E6B71EB0E1}"/>
            </a:ext>
          </a:extLst>
        </xdr:cNvPr>
        <xdr:cNvSpPr/>
      </xdr:nvSpPr>
      <xdr:spPr>
        <a:xfrm>
          <a:off x="24209854" y="1133475"/>
          <a:ext cx="1269520" cy="455373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Tipo de Planta</a:t>
          </a:r>
        </a:p>
      </xdr:txBody>
    </xdr:sp>
    <xdr:clientData/>
  </xdr:twoCellAnchor>
  <xdr:twoCellAnchor>
    <xdr:from>
      <xdr:col>29</xdr:col>
      <xdr:colOff>28574</xdr:colOff>
      <xdr:row>5</xdr:row>
      <xdr:rowOff>137464</xdr:rowOff>
    </xdr:from>
    <xdr:to>
      <xdr:col>29</xdr:col>
      <xdr:colOff>971549</xdr:colOff>
      <xdr:row>7</xdr:row>
      <xdr:rowOff>193649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7DF33546-71E1-4B32-A27E-EEB8E7113627}"/>
            </a:ext>
          </a:extLst>
        </xdr:cNvPr>
        <xdr:cNvSpPr/>
      </xdr:nvSpPr>
      <xdr:spPr>
        <a:xfrm>
          <a:off x="25507949" y="1137589"/>
          <a:ext cx="942975" cy="456235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Sup. Total (m2)</a:t>
          </a:r>
        </a:p>
      </xdr:txBody>
    </xdr:sp>
    <xdr:clientData/>
  </xdr:twoCellAnchor>
  <xdr:twoCellAnchor>
    <xdr:from>
      <xdr:col>26</xdr:col>
      <xdr:colOff>17318</xdr:colOff>
      <xdr:row>14</xdr:row>
      <xdr:rowOff>138242</xdr:rowOff>
    </xdr:from>
    <xdr:to>
      <xdr:col>26</xdr:col>
      <xdr:colOff>1086518</xdr:colOff>
      <xdr:row>16</xdr:row>
      <xdr:rowOff>194428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652991D4-4D63-4BF5-B91D-CA7641D6E9E3}"/>
            </a:ext>
          </a:extLst>
        </xdr:cNvPr>
        <xdr:cNvSpPr/>
      </xdr:nvSpPr>
      <xdr:spPr>
        <a:xfrm>
          <a:off x="22020068" y="2953409"/>
          <a:ext cx="1069200" cy="458352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Precio Lista</a:t>
          </a:r>
        </a:p>
      </xdr:txBody>
    </xdr:sp>
    <xdr:clientData/>
  </xdr:twoCellAnchor>
  <xdr:twoCellAnchor>
    <xdr:from>
      <xdr:col>27</xdr:col>
      <xdr:colOff>17317</xdr:colOff>
      <xdr:row>14</xdr:row>
      <xdr:rowOff>136070</xdr:rowOff>
    </xdr:from>
    <xdr:to>
      <xdr:col>27</xdr:col>
      <xdr:colOff>1121832</xdr:colOff>
      <xdr:row>16</xdr:row>
      <xdr:rowOff>192256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4CE9D5E5-DA57-4739-BC60-F3E4CE512799}"/>
            </a:ext>
          </a:extLst>
        </xdr:cNvPr>
        <xdr:cNvSpPr/>
      </xdr:nvSpPr>
      <xdr:spPr>
        <a:xfrm>
          <a:off x="23120734" y="2951237"/>
          <a:ext cx="1104515" cy="458352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Descuento</a:t>
          </a:r>
        </a:p>
      </xdr:txBody>
    </xdr:sp>
    <xdr:clientData/>
  </xdr:twoCellAnchor>
  <xdr:twoCellAnchor>
    <xdr:from>
      <xdr:col>28</xdr:col>
      <xdr:colOff>13609</xdr:colOff>
      <xdr:row>14</xdr:row>
      <xdr:rowOff>136072</xdr:rowOff>
    </xdr:from>
    <xdr:to>
      <xdr:col>28</xdr:col>
      <xdr:colOff>1312333</xdr:colOff>
      <xdr:row>16</xdr:row>
      <xdr:rowOff>192258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53CB0AD8-1D20-45C9-A10D-0A121FB53836}"/>
            </a:ext>
          </a:extLst>
        </xdr:cNvPr>
        <xdr:cNvSpPr/>
      </xdr:nvSpPr>
      <xdr:spPr>
        <a:xfrm>
          <a:off x="24260026" y="2951239"/>
          <a:ext cx="1298724" cy="458352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Estacionamiento</a:t>
          </a:r>
        </a:p>
      </xdr:txBody>
    </xdr:sp>
    <xdr:clientData/>
  </xdr:twoCellAnchor>
  <xdr:twoCellAnchor>
    <xdr:from>
      <xdr:col>25</xdr:col>
      <xdr:colOff>8659</xdr:colOff>
      <xdr:row>14</xdr:row>
      <xdr:rowOff>136070</xdr:rowOff>
    </xdr:from>
    <xdr:to>
      <xdr:col>25</xdr:col>
      <xdr:colOff>1045459</xdr:colOff>
      <xdr:row>16</xdr:row>
      <xdr:rowOff>192256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ED98E8DC-0A70-4BEE-83A8-FDCEFC337534}"/>
            </a:ext>
          </a:extLst>
        </xdr:cNvPr>
        <xdr:cNvSpPr/>
      </xdr:nvSpPr>
      <xdr:spPr>
        <a:xfrm>
          <a:off x="20982709" y="2936420"/>
          <a:ext cx="1036800" cy="456236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Dpto.</a:t>
          </a:r>
        </a:p>
      </xdr:txBody>
    </xdr:sp>
    <xdr:clientData/>
  </xdr:twoCellAnchor>
  <xdr:twoCellAnchor>
    <xdr:from>
      <xdr:col>28</xdr:col>
      <xdr:colOff>1322916</xdr:colOff>
      <xdr:row>14</xdr:row>
      <xdr:rowOff>136071</xdr:rowOff>
    </xdr:from>
    <xdr:to>
      <xdr:col>30</xdr:col>
      <xdr:colOff>0</xdr:colOff>
      <xdr:row>16</xdr:row>
      <xdr:rowOff>192257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1EB0DFF7-3B9B-488D-8FD7-5E56A97FD422}"/>
            </a:ext>
          </a:extLst>
        </xdr:cNvPr>
        <xdr:cNvSpPr/>
      </xdr:nvSpPr>
      <xdr:spPr>
        <a:xfrm>
          <a:off x="25569333" y="2951238"/>
          <a:ext cx="1026584" cy="458352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Bodega</a:t>
          </a:r>
        </a:p>
      </xdr:txBody>
    </xdr:sp>
    <xdr:clientData/>
  </xdr:twoCellAnchor>
  <xdr:twoCellAnchor>
    <xdr:from>
      <xdr:col>30</xdr:col>
      <xdr:colOff>17318</xdr:colOff>
      <xdr:row>14</xdr:row>
      <xdr:rowOff>136071</xdr:rowOff>
    </xdr:from>
    <xdr:to>
      <xdr:col>30</xdr:col>
      <xdr:colOff>1066305</xdr:colOff>
      <xdr:row>16</xdr:row>
      <xdr:rowOff>193493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58054687-EBB0-4015-B0FA-AB6305B04FC4}"/>
            </a:ext>
          </a:extLst>
        </xdr:cNvPr>
        <xdr:cNvSpPr/>
      </xdr:nvSpPr>
      <xdr:spPr>
        <a:xfrm>
          <a:off x="26477768" y="2936421"/>
          <a:ext cx="1048987" cy="457472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Precio Final</a:t>
          </a:r>
        </a:p>
      </xdr:txBody>
    </xdr:sp>
    <xdr:clientData/>
  </xdr:twoCellAnchor>
  <xdr:twoCellAnchor>
    <xdr:from>
      <xdr:col>31</xdr:col>
      <xdr:colOff>17318</xdr:colOff>
      <xdr:row>14</xdr:row>
      <xdr:rowOff>133350</xdr:rowOff>
    </xdr:from>
    <xdr:to>
      <xdr:col>31</xdr:col>
      <xdr:colOff>1154906</xdr:colOff>
      <xdr:row>16</xdr:row>
      <xdr:rowOff>188771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CF15BC79-4208-4D21-8EBD-BAF2ECFF205B}"/>
            </a:ext>
          </a:extLst>
        </xdr:cNvPr>
        <xdr:cNvSpPr/>
      </xdr:nvSpPr>
      <xdr:spPr>
        <a:xfrm>
          <a:off x="27563618" y="2933700"/>
          <a:ext cx="1137588" cy="455471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Precio de Escrituración</a:t>
          </a:r>
        </a:p>
      </xdr:txBody>
    </xdr:sp>
    <xdr:clientData/>
  </xdr:twoCellAnchor>
  <xdr:twoCellAnchor>
    <xdr:from>
      <xdr:col>32</xdr:col>
      <xdr:colOff>6928</xdr:colOff>
      <xdr:row>14</xdr:row>
      <xdr:rowOff>142873</xdr:rowOff>
    </xdr:from>
    <xdr:to>
      <xdr:col>32</xdr:col>
      <xdr:colOff>1038226</xdr:colOff>
      <xdr:row>16</xdr:row>
      <xdr:rowOff>190554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7538-9AFD-4E61-AD8F-3000052408EB}"/>
            </a:ext>
          </a:extLst>
        </xdr:cNvPr>
        <xdr:cNvSpPr/>
      </xdr:nvSpPr>
      <xdr:spPr>
        <a:xfrm>
          <a:off x="28724803" y="2943223"/>
          <a:ext cx="1031298" cy="447731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Crédito Hip.</a:t>
          </a:r>
        </a:p>
      </xdr:txBody>
    </xdr:sp>
    <xdr:clientData/>
  </xdr:twoCellAnchor>
  <xdr:twoCellAnchor>
    <xdr:from>
      <xdr:col>33</xdr:col>
      <xdr:colOff>17008</xdr:colOff>
      <xdr:row>14</xdr:row>
      <xdr:rowOff>142874</xdr:rowOff>
    </xdr:from>
    <xdr:to>
      <xdr:col>33</xdr:col>
      <xdr:colOff>1059655</xdr:colOff>
      <xdr:row>16</xdr:row>
      <xdr:rowOff>190555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7A2E24F2-4148-4AD7-8765-D1D98F56402D}"/>
            </a:ext>
          </a:extLst>
        </xdr:cNvPr>
        <xdr:cNvSpPr/>
      </xdr:nvSpPr>
      <xdr:spPr>
        <a:xfrm>
          <a:off x="29801683" y="2943224"/>
          <a:ext cx="1042647" cy="447731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Crédito</a:t>
          </a:r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(%)</a:t>
          </a:r>
          <a:endParaRPr lang="es-CL" sz="100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34</xdr:col>
      <xdr:colOff>8658</xdr:colOff>
      <xdr:row>14</xdr:row>
      <xdr:rowOff>142875</xdr:rowOff>
    </xdr:from>
    <xdr:to>
      <xdr:col>34</xdr:col>
      <xdr:colOff>865909</xdr:colOff>
      <xdr:row>16</xdr:row>
      <xdr:rowOff>190556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3A20434-CFBD-4CE2-806E-ED9699157CC5}"/>
            </a:ext>
          </a:extLst>
        </xdr:cNvPr>
        <xdr:cNvSpPr/>
      </xdr:nvSpPr>
      <xdr:spPr>
        <a:xfrm>
          <a:off x="31007241" y="2958042"/>
          <a:ext cx="857251" cy="449847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Bono</a:t>
          </a:r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(%)</a:t>
          </a:r>
          <a:endParaRPr lang="es-CL" sz="100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35</xdr:col>
      <xdr:colOff>17319</xdr:colOff>
      <xdr:row>14</xdr:row>
      <xdr:rowOff>142874</xdr:rowOff>
    </xdr:from>
    <xdr:to>
      <xdr:col>35</xdr:col>
      <xdr:colOff>822615</xdr:colOff>
      <xdr:row>16</xdr:row>
      <xdr:rowOff>190555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CCF879F7-880D-417C-B5F8-0DDB1476B140}"/>
            </a:ext>
          </a:extLst>
        </xdr:cNvPr>
        <xdr:cNvSpPr/>
      </xdr:nvSpPr>
      <xdr:spPr>
        <a:xfrm>
          <a:off x="31745094" y="2943224"/>
          <a:ext cx="805296" cy="447731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PIE (%)</a:t>
          </a:r>
          <a:endParaRPr lang="es-CL" sz="100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36</xdr:col>
      <xdr:colOff>10390</xdr:colOff>
      <xdr:row>14</xdr:row>
      <xdr:rowOff>142873</xdr:rowOff>
    </xdr:from>
    <xdr:to>
      <xdr:col>36</xdr:col>
      <xdr:colOff>1329171</xdr:colOff>
      <xdr:row>16</xdr:row>
      <xdr:rowOff>190554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39C50ED-C19A-42CD-B17D-6D1488A0F288}"/>
            </a:ext>
          </a:extLst>
        </xdr:cNvPr>
        <xdr:cNvSpPr/>
      </xdr:nvSpPr>
      <xdr:spPr>
        <a:xfrm>
          <a:off x="32576365" y="2943223"/>
          <a:ext cx="1318781" cy="447731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PIE ($)</a:t>
          </a:r>
        </a:p>
      </xdr:txBody>
    </xdr:sp>
    <xdr:clientData/>
  </xdr:twoCellAnchor>
  <xdr:twoCellAnchor>
    <xdr:from>
      <xdr:col>46</xdr:col>
      <xdr:colOff>831272</xdr:colOff>
      <xdr:row>11</xdr:row>
      <xdr:rowOff>3896</xdr:rowOff>
    </xdr:from>
    <xdr:to>
      <xdr:col>48</xdr:col>
      <xdr:colOff>8659</xdr:colOff>
      <xdr:row>12</xdr:row>
      <xdr:rowOff>191205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BFC825A-0D1F-45BD-9862-F3BAABE9A984}"/>
            </a:ext>
          </a:extLst>
        </xdr:cNvPr>
        <xdr:cNvSpPr/>
      </xdr:nvSpPr>
      <xdr:spPr>
        <a:xfrm>
          <a:off x="42198347" y="2204171"/>
          <a:ext cx="1196687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Tasa</a:t>
          </a:r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Referencial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47</xdr:col>
      <xdr:colOff>1174172</xdr:colOff>
      <xdr:row>11</xdr:row>
      <xdr:rowOff>5195</xdr:rowOff>
    </xdr:from>
    <xdr:to>
      <xdr:col>49</xdr:col>
      <xdr:colOff>8659</xdr:colOff>
      <xdr:row>12</xdr:row>
      <xdr:rowOff>192504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88819BD0-2845-46D4-9C26-1BF61D3A6D21}"/>
            </a:ext>
          </a:extLst>
        </xdr:cNvPr>
        <xdr:cNvSpPr/>
      </xdr:nvSpPr>
      <xdr:spPr>
        <a:xfrm>
          <a:off x="43379447" y="2205470"/>
          <a:ext cx="863312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Dividendo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48</xdr:col>
      <xdr:colOff>1194953</xdr:colOff>
      <xdr:row>11</xdr:row>
      <xdr:rowOff>8659</xdr:rowOff>
    </xdr:from>
    <xdr:to>
      <xdr:col>50</xdr:col>
      <xdr:colOff>21085</xdr:colOff>
      <xdr:row>12</xdr:row>
      <xdr:rowOff>195968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600CF234-00F2-42B2-A73E-674AF8ACC27C}"/>
            </a:ext>
          </a:extLst>
        </xdr:cNvPr>
        <xdr:cNvSpPr/>
      </xdr:nvSpPr>
      <xdr:spPr>
        <a:xfrm>
          <a:off x="44238428" y="2208934"/>
          <a:ext cx="864482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5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Arriendo</a:t>
          </a:r>
        </a:p>
      </xdr:txBody>
    </xdr:sp>
    <xdr:clientData/>
  </xdr:twoCellAnchor>
  <xdr:twoCellAnchor>
    <xdr:from>
      <xdr:col>50</xdr:col>
      <xdr:colOff>0</xdr:colOff>
      <xdr:row>11</xdr:row>
      <xdr:rowOff>9958</xdr:rowOff>
    </xdr:from>
    <xdr:to>
      <xdr:col>51</xdr:col>
      <xdr:colOff>2150</xdr:colOff>
      <xdr:row>12</xdr:row>
      <xdr:rowOff>197267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549BBAB5-3771-4124-BAF6-5EF89599E5AD}"/>
            </a:ext>
          </a:extLst>
        </xdr:cNvPr>
        <xdr:cNvSpPr/>
      </xdr:nvSpPr>
      <xdr:spPr>
        <a:xfrm>
          <a:off x="45381333" y="2221875"/>
          <a:ext cx="986400" cy="388392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5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Flujo</a:t>
          </a:r>
        </a:p>
      </xdr:txBody>
    </xdr:sp>
    <xdr:clientData/>
  </xdr:twoCellAnchor>
  <xdr:twoCellAnchor>
    <xdr:from>
      <xdr:col>46</xdr:col>
      <xdr:colOff>831272</xdr:colOff>
      <xdr:row>22</xdr:row>
      <xdr:rowOff>3896</xdr:rowOff>
    </xdr:from>
    <xdr:to>
      <xdr:col>48</xdr:col>
      <xdr:colOff>8659</xdr:colOff>
      <xdr:row>23</xdr:row>
      <xdr:rowOff>191205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990E626D-04C1-4624-A7BF-918A9B7B7A93}"/>
            </a:ext>
          </a:extLst>
        </xdr:cNvPr>
        <xdr:cNvSpPr/>
      </xdr:nvSpPr>
      <xdr:spPr>
        <a:xfrm>
          <a:off x="42198347" y="4404446"/>
          <a:ext cx="1196687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Tasa</a:t>
          </a:r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Referencial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47</xdr:col>
      <xdr:colOff>1174172</xdr:colOff>
      <xdr:row>22</xdr:row>
      <xdr:rowOff>5195</xdr:rowOff>
    </xdr:from>
    <xdr:to>
      <xdr:col>49</xdr:col>
      <xdr:colOff>8659</xdr:colOff>
      <xdr:row>23</xdr:row>
      <xdr:rowOff>192504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674B5973-C085-4089-8C8B-B1D69C0FD9EA}"/>
            </a:ext>
          </a:extLst>
        </xdr:cNvPr>
        <xdr:cNvSpPr/>
      </xdr:nvSpPr>
      <xdr:spPr>
        <a:xfrm>
          <a:off x="43379447" y="4405745"/>
          <a:ext cx="863312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Dividendo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48</xdr:col>
      <xdr:colOff>1194953</xdr:colOff>
      <xdr:row>22</xdr:row>
      <xdr:rowOff>8659</xdr:rowOff>
    </xdr:from>
    <xdr:to>
      <xdr:col>50</xdr:col>
      <xdr:colOff>21085</xdr:colOff>
      <xdr:row>23</xdr:row>
      <xdr:rowOff>195968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8183C50-252D-49E4-A973-75C24F85F2C4}"/>
            </a:ext>
          </a:extLst>
        </xdr:cNvPr>
        <xdr:cNvSpPr/>
      </xdr:nvSpPr>
      <xdr:spPr>
        <a:xfrm>
          <a:off x="44238428" y="4409209"/>
          <a:ext cx="864482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5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Arriendo</a:t>
          </a:r>
        </a:p>
      </xdr:txBody>
    </xdr:sp>
    <xdr:clientData/>
  </xdr:twoCellAnchor>
  <xdr:twoCellAnchor>
    <xdr:from>
      <xdr:col>49</xdr:col>
      <xdr:colOff>846665</xdr:colOff>
      <xdr:row>22</xdr:row>
      <xdr:rowOff>9958</xdr:rowOff>
    </xdr:from>
    <xdr:to>
      <xdr:col>51</xdr:col>
      <xdr:colOff>2149</xdr:colOff>
      <xdr:row>23</xdr:row>
      <xdr:rowOff>197267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DF0ACBC-79A5-4109-9B4A-DE2BB437F0A0}"/>
            </a:ext>
          </a:extLst>
        </xdr:cNvPr>
        <xdr:cNvSpPr/>
      </xdr:nvSpPr>
      <xdr:spPr>
        <a:xfrm>
          <a:off x="45381332" y="4433791"/>
          <a:ext cx="986400" cy="388393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5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Flujo</a:t>
          </a:r>
        </a:p>
      </xdr:txBody>
    </xdr:sp>
    <xdr:clientData/>
  </xdr:twoCellAnchor>
  <xdr:twoCellAnchor>
    <xdr:from>
      <xdr:col>46</xdr:col>
      <xdr:colOff>831272</xdr:colOff>
      <xdr:row>44</xdr:row>
      <xdr:rowOff>3896</xdr:rowOff>
    </xdr:from>
    <xdr:to>
      <xdr:col>48</xdr:col>
      <xdr:colOff>8659</xdr:colOff>
      <xdr:row>45</xdr:row>
      <xdr:rowOff>191205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4CEFA111-AF79-4715-9C38-CB24FBF36C2F}"/>
            </a:ext>
          </a:extLst>
        </xdr:cNvPr>
        <xdr:cNvSpPr/>
      </xdr:nvSpPr>
      <xdr:spPr>
        <a:xfrm>
          <a:off x="42198347" y="8824046"/>
          <a:ext cx="1196687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Tasa</a:t>
          </a:r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Referencial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47</xdr:col>
      <xdr:colOff>1174172</xdr:colOff>
      <xdr:row>44</xdr:row>
      <xdr:rowOff>5195</xdr:rowOff>
    </xdr:from>
    <xdr:to>
      <xdr:col>49</xdr:col>
      <xdr:colOff>8659</xdr:colOff>
      <xdr:row>45</xdr:row>
      <xdr:rowOff>192504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83E47C03-9A38-443B-8982-830E435B3D70}"/>
            </a:ext>
          </a:extLst>
        </xdr:cNvPr>
        <xdr:cNvSpPr/>
      </xdr:nvSpPr>
      <xdr:spPr>
        <a:xfrm>
          <a:off x="43379447" y="8825345"/>
          <a:ext cx="863312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Dividendo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48</xdr:col>
      <xdr:colOff>1194955</xdr:colOff>
      <xdr:row>44</xdr:row>
      <xdr:rowOff>8659</xdr:rowOff>
    </xdr:from>
    <xdr:to>
      <xdr:col>50</xdr:col>
      <xdr:colOff>20411</xdr:colOff>
      <xdr:row>45</xdr:row>
      <xdr:rowOff>195968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E157A108-ED27-4E5B-A434-4A8B8E4251A9}"/>
            </a:ext>
          </a:extLst>
        </xdr:cNvPr>
        <xdr:cNvSpPr/>
      </xdr:nvSpPr>
      <xdr:spPr>
        <a:xfrm>
          <a:off x="44238430" y="8828809"/>
          <a:ext cx="863806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5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Arriendo</a:t>
          </a:r>
        </a:p>
      </xdr:txBody>
    </xdr:sp>
    <xdr:clientData/>
  </xdr:twoCellAnchor>
  <xdr:twoCellAnchor>
    <xdr:from>
      <xdr:col>49</xdr:col>
      <xdr:colOff>846665</xdr:colOff>
      <xdr:row>44</xdr:row>
      <xdr:rowOff>9958</xdr:rowOff>
    </xdr:from>
    <xdr:to>
      <xdr:col>51</xdr:col>
      <xdr:colOff>2149</xdr:colOff>
      <xdr:row>45</xdr:row>
      <xdr:rowOff>197267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E463FF9E-24EA-4508-A0D1-C5584348DDD5}"/>
            </a:ext>
          </a:extLst>
        </xdr:cNvPr>
        <xdr:cNvSpPr/>
      </xdr:nvSpPr>
      <xdr:spPr>
        <a:xfrm>
          <a:off x="45381332" y="8878791"/>
          <a:ext cx="986400" cy="388393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5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Flujo</a:t>
          </a:r>
        </a:p>
      </xdr:txBody>
    </xdr:sp>
    <xdr:clientData/>
  </xdr:twoCellAnchor>
  <xdr:twoCellAnchor>
    <xdr:from>
      <xdr:col>55</xdr:col>
      <xdr:colOff>983458</xdr:colOff>
      <xdr:row>1</xdr:row>
      <xdr:rowOff>156367</xdr:rowOff>
    </xdr:from>
    <xdr:to>
      <xdr:col>57</xdr:col>
      <xdr:colOff>461739</xdr:colOff>
      <xdr:row>2</xdr:row>
      <xdr:rowOff>168638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2C573996-D45D-496F-8997-59F49357EF37}"/>
            </a:ext>
          </a:extLst>
        </xdr:cNvPr>
        <xdr:cNvSpPr/>
      </xdr:nvSpPr>
      <xdr:spPr>
        <a:xfrm>
          <a:off x="50170558" y="356392"/>
          <a:ext cx="2269106" cy="212296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1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Pie</a:t>
          </a:r>
          <a:r>
            <a:rPr lang="es-CL" sz="11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</a:t>
          </a:r>
          <a:endParaRPr lang="es-CL" sz="120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57</xdr:col>
      <xdr:colOff>694530</xdr:colOff>
      <xdr:row>1</xdr:row>
      <xdr:rowOff>142873</xdr:rowOff>
    </xdr:from>
    <xdr:to>
      <xdr:col>59</xdr:col>
      <xdr:colOff>673366</xdr:colOff>
      <xdr:row>2</xdr:row>
      <xdr:rowOff>159112</xdr:rowOff>
    </xdr:to>
    <xdr:sp macro="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E3E3B199-8AB2-416A-9FC4-217AA890F978}"/>
            </a:ext>
          </a:extLst>
        </xdr:cNvPr>
        <xdr:cNvSpPr/>
      </xdr:nvSpPr>
      <xdr:spPr>
        <a:xfrm>
          <a:off x="54355999" y="345279"/>
          <a:ext cx="2205305" cy="218646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1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Monto</a:t>
          </a:r>
          <a:r>
            <a:rPr lang="es-CL" sz="11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Reserva Total</a:t>
          </a:r>
          <a:endParaRPr lang="es-CL" sz="120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59</xdr:col>
      <xdr:colOff>971820</xdr:colOff>
      <xdr:row>1</xdr:row>
      <xdr:rowOff>147010</xdr:rowOff>
    </xdr:from>
    <xdr:to>
      <xdr:col>61</xdr:col>
      <xdr:colOff>451264</xdr:colOff>
      <xdr:row>2</xdr:row>
      <xdr:rowOff>160786</xdr:rowOff>
    </xdr:to>
    <xdr:sp macro="" textlink="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9F6EC855-84C9-4255-A296-1B5A140A912E}"/>
            </a:ext>
          </a:extLst>
        </xdr:cNvPr>
        <xdr:cNvSpPr/>
      </xdr:nvSpPr>
      <xdr:spPr>
        <a:xfrm>
          <a:off x="55178595" y="347035"/>
          <a:ext cx="2270269" cy="213801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1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Abono Inicial</a:t>
          </a:r>
          <a:endParaRPr lang="es-CL" sz="120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29</xdr:col>
      <xdr:colOff>38100</xdr:colOff>
      <xdr:row>24</xdr:row>
      <xdr:rowOff>0</xdr:rowOff>
    </xdr:from>
    <xdr:to>
      <xdr:col>30</xdr:col>
      <xdr:colOff>1076325</xdr:colOff>
      <xdr:row>26</xdr:row>
      <xdr:rowOff>0</xdr:rowOff>
    </xdr:to>
    <xdr:sp macro="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6323E66F-6B7F-458E-909C-3E5DD9808348}"/>
            </a:ext>
          </a:extLst>
        </xdr:cNvPr>
        <xdr:cNvSpPr/>
      </xdr:nvSpPr>
      <xdr:spPr>
        <a:xfrm>
          <a:off x="25517475" y="4800600"/>
          <a:ext cx="2019300" cy="400050"/>
        </a:xfrm>
        <a:prstGeom prst="roundRect">
          <a:avLst/>
        </a:prstGeom>
        <a:solidFill>
          <a:srgbClr val="0095EB"/>
        </a:solidFill>
        <a:ln>
          <a:solidFill>
            <a:srgbClr val="2D2E83"/>
          </a:solidFill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2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Patrimonio</a:t>
          </a:r>
          <a:r>
            <a:rPr lang="es-CL" sz="12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($)</a:t>
          </a:r>
        </a:p>
      </xdr:txBody>
    </xdr:sp>
    <xdr:clientData/>
  </xdr:twoCellAnchor>
  <xdr:twoCellAnchor>
    <xdr:from>
      <xdr:col>33</xdr:col>
      <xdr:colOff>771525</xdr:colOff>
      <xdr:row>24</xdr:row>
      <xdr:rowOff>0</xdr:rowOff>
    </xdr:from>
    <xdr:to>
      <xdr:col>36</xdr:col>
      <xdr:colOff>9525</xdr:colOff>
      <xdr:row>25</xdr:row>
      <xdr:rowOff>200025</xdr:rowOff>
    </xdr:to>
    <xdr:sp macro="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290BEB0A-A1A8-40FE-ACF6-D08B423F6FB9}"/>
            </a:ext>
          </a:extLst>
        </xdr:cNvPr>
        <xdr:cNvSpPr/>
      </xdr:nvSpPr>
      <xdr:spPr>
        <a:xfrm>
          <a:off x="30556200" y="4800600"/>
          <a:ext cx="2019300" cy="400050"/>
        </a:xfrm>
        <a:prstGeom prst="roundRect">
          <a:avLst/>
        </a:prstGeom>
        <a:solidFill>
          <a:srgbClr val="0095EB"/>
        </a:solidFill>
        <a:ln>
          <a:solidFill>
            <a:srgbClr val="2D2E83"/>
          </a:solidFill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2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Pie Total ($)</a:t>
          </a:r>
        </a:p>
      </xdr:txBody>
    </xdr:sp>
    <xdr:clientData/>
  </xdr:twoCellAnchor>
  <xdr:twoCellAnchor>
    <xdr:from>
      <xdr:col>29</xdr:col>
      <xdr:colOff>38100</xdr:colOff>
      <xdr:row>27</xdr:row>
      <xdr:rowOff>171450</xdr:rowOff>
    </xdr:from>
    <xdr:to>
      <xdr:col>30</xdr:col>
      <xdr:colOff>1076325</xdr:colOff>
      <xdr:row>29</xdr:row>
      <xdr:rowOff>28575</xdr:rowOff>
    </xdr:to>
    <xdr:sp macro="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DAF8E03F-3B8E-4806-BDF3-A2C3B2AE0A2E}"/>
            </a:ext>
          </a:extLst>
        </xdr:cNvPr>
        <xdr:cNvSpPr/>
      </xdr:nvSpPr>
      <xdr:spPr>
        <a:xfrm>
          <a:off x="25517475" y="5572125"/>
          <a:ext cx="2019300" cy="257175"/>
        </a:xfrm>
        <a:prstGeom prst="roundRect">
          <a:avLst/>
        </a:prstGeom>
        <a:solidFill>
          <a:srgbClr val="0095EB"/>
        </a:solidFill>
        <a:ln>
          <a:solidFill>
            <a:srgbClr val="2D2E83"/>
          </a:solidFill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Patrimonio</a:t>
          </a:r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 (UF)</a:t>
          </a:r>
          <a:endParaRPr lang="es-CL" sz="100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33</xdr:col>
      <xdr:colOff>771525</xdr:colOff>
      <xdr:row>27</xdr:row>
      <xdr:rowOff>161925</xdr:rowOff>
    </xdr:from>
    <xdr:to>
      <xdr:col>36</xdr:col>
      <xdr:colOff>9525</xdr:colOff>
      <xdr:row>29</xdr:row>
      <xdr:rowOff>19050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44A2891-FE82-4482-B0F9-5B35F8E39B36}"/>
            </a:ext>
          </a:extLst>
        </xdr:cNvPr>
        <xdr:cNvSpPr/>
      </xdr:nvSpPr>
      <xdr:spPr>
        <a:xfrm>
          <a:off x="30556200" y="5562600"/>
          <a:ext cx="2019300" cy="257175"/>
        </a:xfrm>
        <a:prstGeom prst="roundRect">
          <a:avLst/>
        </a:prstGeom>
        <a:solidFill>
          <a:srgbClr val="0095EB"/>
        </a:solidFill>
        <a:ln>
          <a:solidFill>
            <a:srgbClr val="2D2E83"/>
          </a:solidFill>
        </a:ln>
        <a:effectLst>
          <a:outerShdw blurRad="76200" dist="12700" dir="2700000" sy="-23000" kx="-8004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Pie </a:t>
          </a:r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Total  (UF)</a:t>
          </a:r>
          <a:endParaRPr lang="es-CL" sz="100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46</xdr:col>
      <xdr:colOff>831272</xdr:colOff>
      <xdr:row>0</xdr:row>
      <xdr:rowOff>3896</xdr:rowOff>
    </xdr:from>
    <xdr:to>
      <xdr:col>48</xdr:col>
      <xdr:colOff>8659</xdr:colOff>
      <xdr:row>1</xdr:row>
      <xdr:rowOff>191205</xdr:rowOff>
    </xdr:to>
    <xdr:sp macro="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8DD1D663-4CFB-4888-903D-31D911D96690}"/>
            </a:ext>
          </a:extLst>
        </xdr:cNvPr>
        <xdr:cNvSpPr/>
      </xdr:nvSpPr>
      <xdr:spPr>
        <a:xfrm>
          <a:off x="42198347" y="3896"/>
          <a:ext cx="1196687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Tasa</a:t>
          </a:r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Referencial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47</xdr:col>
      <xdr:colOff>1174172</xdr:colOff>
      <xdr:row>0</xdr:row>
      <xdr:rowOff>5195</xdr:rowOff>
    </xdr:from>
    <xdr:to>
      <xdr:col>49</xdr:col>
      <xdr:colOff>8659</xdr:colOff>
      <xdr:row>1</xdr:row>
      <xdr:rowOff>192504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CEBF8E3A-5CCA-4741-9EFA-5E40E57109C1}"/>
            </a:ext>
          </a:extLst>
        </xdr:cNvPr>
        <xdr:cNvSpPr/>
      </xdr:nvSpPr>
      <xdr:spPr>
        <a:xfrm>
          <a:off x="43379447" y="5195"/>
          <a:ext cx="863312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Dividendo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48</xdr:col>
      <xdr:colOff>1194953</xdr:colOff>
      <xdr:row>0</xdr:row>
      <xdr:rowOff>8659</xdr:rowOff>
    </xdr:from>
    <xdr:to>
      <xdr:col>50</xdr:col>
      <xdr:colOff>21085</xdr:colOff>
      <xdr:row>1</xdr:row>
      <xdr:rowOff>195968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CE1F4C8C-0C63-4277-B29B-818675C2A8F8}"/>
            </a:ext>
          </a:extLst>
        </xdr:cNvPr>
        <xdr:cNvSpPr/>
      </xdr:nvSpPr>
      <xdr:spPr>
        <a:xfrm>
          <a:off x="44238428" y="8659"/>
          <a:ext cx="864482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5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Arriendo</a:t>
          </a:r>
        </a:p>
      </xdr:txBody>
    </xdr:sp>
    <xdr:clientData/>
  </xdr:twoCellAnchor>
  <xdr:twoCellAnchor>
    <xdr:from>
      <xdr:col>50</xdr:col>
      <xdr:colOff>0</xdr:colOff>
      <xdr:row>0</xdr:row>
      <xdr:rowOff>9958</xdr:rowOff>
    </xdr:from>
    <xdr:to>
      <xdr:col>51</xdr:col>
      <xdr:colOff>3031</xdr:colOff>
      <xdr:row>1</xdr:row>
      <xdr:rowOff>197267</xdr:rowOff>
    </xdr:to>
    <xdr:sp macro="" textlink="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7BC456C8-66E4-4510-989B-FF0BC8B9B65E}"/>
            </a:ext>
          </a:extLst>
        </xdr:cNvPr>
        <xdr:cNvSpPr/>
      </xdr:nvSpPr>
      <xdr:spPr>
        <a:xfrm>
          <a:off x="45081825" y="9958"/>
          <a:ext cx="841231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5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Flujo</a:t>
          </a:r>
        </a:p>
      </xdr:txBody>
    </xdr:sp>
    <xdr:clientData/>
  </xdr:twoCellAnchor>
  <xdr:twoCellAnchor>
    <xdr:from>
      <xdr:col>57</xdr:col>
      <xdr:colOff>674450</xdr:colOff>
      <xdr:row>5</xdr:row>
      <xdr:rowOff>154781</xdr:rowOff>
    </xdr:from>
    <xdr:to>
      <xdr:col>59</xdr:col>
      <xdr:colOff>712967</xdr:colOff>
      <xdr:row>6</xdr:row>
      <xdr:rowOff>168377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B15DAAEA-CAF0-4474-8DA0-BE3F635B93A3}"/>
            </a:ext>
          </a:extLst>
        </xdr:cNvPr>
        <xdr:cNvSpPr/>
      </xdr:nvSpPr>
      <xdr:spPr>
        <a:xfrm>
          <a:off x="52807950" y="1160198"/>
          <a:ext cx="2271600" cy="214679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marL="0" indent="0" algn="ctr"/>
          <a:r>
            <a:rPr lang="es-CL" sz="11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Pie Pendiente</a:t>
          </a:r>
        </a:p>
      </xdr:txBody>
    </xdr:sp>
    <xdr:clientData/>
  </xdr:twoCellAnchor>
  <xdr:twoCellAnchor>
    <xdr:from>
      <xdr:col>55</xdr:col>
      <xdr:colOff>1390585</xdr:colOff>
      <xdr:row>2</xdr:row>
      <xdr:rowOff>192032</xdr:rowOff>
    </xdr:from>
    <xdr:to>
      <xdr:col>56</xdr:col>
      <xdr:colOff>114301</xdr:colOff>
      <xdr:row>4</xdr:row>
      <xdr:rowOff>28575</xdr:rowOff>
    </xdr:to>
    <xdr:sp macro="" textlink="">
      <xdr:nvSpPr>
        <xdr:cNvPr id="49" name="Signo más 48">
          <a:extLst>
            <a:ext uri="{FF2B5EF4-FFF2-40B4-BE49-F238E27FC236}">
              <a16:creationId xmlns:a16="http://schemas.microsoft.com/office/drawing/2014/main" id="{FF9A0112-B841-4120-BDC2-49102AFA6D4A}"/>
            </a:ext>
          </a:extLst>
        </xdr:cNvPr>
        <xdr:cNvSpPr/>
      </xdr:nvSpPr>
      <xdr:spPr>
        <a:xfrm>
          <a:off x="50577685" y="592082"/>
          <a:ext cx="247716" cy="236593"/>
        </a:xfrm>
        <a:prstGeom prst="mathPlus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endParaRPr lang="es-CL" sz="1100">
            <a:ln>
              <a:solidFill>
                <a:schemeClr val="bg1"/>
              </a:solidFill>
            </a:ln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57</xdr:col>
      <xdr:colOff>1038224</xdr:colOff>
      <xdr:row>6</xdr:row>
      <xdr:rowOff>197918</xdr:rowOff>
    </xdr:from>
    <xdr:to>
      <xdr:col>58</xdr:col>
      <xdr:colOff>19799</xdr:colOff>
      <xdr:row>8</xdr:row>
      <xdr:rowOff>33087</xdr:rowOff>
    </xdr:to>
    <xdr:sp macro="" textlink="">
      <xdr:nvSpPr>
        <xdr:cNvPr id="51" name="Es igual a 50">
          <a:extLst>
            <a:ext uri="{FF2B5EF4-FFF2-40B4-BE49-F238E27FC236}">
              <a16:creationId xmlns:a16="http://schemas.microsoft.com/office/drawing/2014/main" id="{DD75A070-DF7B-4CC7-87FF-9897A3F99A40}"/>
            </a:ext>
          </a:extLst>
        </xdr:cNvPr>
        <xdr:cNvSpPr/>
      </xdr:nvSpPr>
      <xdr:spPr>
        <a:xfrm>
          <a:off x="53016149" y="1398068"/>
          <a:ext cx="248400" cy="235219"/>
        </a:xfrm>
        <a:prstGeom prst="mathEqual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endParaRPr lang="es-CL" sz="1100">
            <a:ln>
              <a:solidFill>
                <a:schemeClr val="bg1"/>
              </a:solidFill>
            </a:ln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59</xdr:col>
      <xdr:colOff>1419225</xdr:colOff>
      <xdr:row>2</xdr:row>
      <xdr:rowOff>190500</xdr:rowOff>
    </xdr:from>
    <xdr:to>
      <xdr:col>60</xdr:col>
      <xdr:colOff>143625</xdr:colOff>
      <xdr:row>4</xdr:row>
      <xdr:rowOff>25669</xdr:rowOff>
    </xdr:to>
    <xdr:sp macro="" textlink="">
      <xdr:nvSpPr>
        <xdr:cNvPr id="52" name="Signo menos 51">
          <a:extLst>
            <a:ext uri="{FF2B5EF4-FFF2-40B4-BE49-F238E27FC236}">
              <a16:creationId xmlns:a16="http://schemas.microsoft.com/office/drawing/2014/main" id="{425BCCC1-DE93-4CAC-8DF4-A775A428FCE1}"/>
            </a:ext>
          </a:extLst>
        </xdr:cNvPr>
        <xdr:cNvSpPr/>
      </xdr:nvSpPr>
      <xdr:spPr>
        <a:xfrm>
          <a:off x="55626000" y="590550"/>
          <a:ext cx="248400" cy="235219"/>
        </a:xfrm>
        <a:prstGeom prst="mathMinus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endParaRPr lang="es-CL" sz="1100">
            <a:ln>
              <a:solidFill>
                <a:schemeClr val="bg1"/>
              </a:solidFill>
            </a:ln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46</xdr:col>
      <xdr:colOff>831272</xdr:colOff>
      <xdr:row>33</xdr:row>
      <xdr:rowOff>3896</xdr:rowOff>
    </xdr:from>
    <xdr:to>
      <xdr:col>48</xdr:col>
      <xdr:colOff>8659</xdr:colOff>
      <xdr:row>34</xdr:row>
      <xdr:rowOff>191205</xdr:rowOff>
    </xdr:to>
    <xdr:sp macro="" textlink="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38B7D061-21A9-47A4-9F0D-B6B714D46FAC}"/>
            </a:ext>
          </a:extLst>
        </xdr:cNvPr>
        <xdr:cNvSpPr/>
      </xdr:nvSpPr>
      <xdr:spPr>
        <a:xfrm>
          <a:off x="42198347" y="6604721"/>
          <a:ext cx="1196687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Tasa</a:t>
          </a:r>
          <a:r>
            <a:rPr lang="es-CL" sz="10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Referencial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47</xdr:col>
      <xdr:colOff>1174172</xdr:colOff>
      <xdr:row>33</xdr:row>
      <xdr:rowOff>5195</xdr:rowOff>
    </xdr:from>
    <xdr:to>
      <xdr:col>49</xdr:col>
      <xdr:colOff>8659</xdr:colOff>
      <xdr:row>34</xdr:row>
      <xdr:rowOff>192504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5192E8-1B39-444F-9863-F4E08D58879B}"/>
            </a:ext>
          </a:extLst>
        </xdr:cNvPr>
        <xdr:cNvSpPr/>
      </xdr:nvSpPr>
      <xdr:spPr>
        <a:xfrm>
          <a:off x="43379447" y="6606020"/>
          <a:ext cx="863312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Dividendo</a:t>
          </a:r>
          <a:endParaRPr lang="es-CL" sz="1050" b="0">
            <a:ln>
              <a:solidFill>
                <a:schemeClr val="bg1"/>
              </a:solidFill>
            </a:ln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48</xdr:col>
      <xdr:colOff>1194953</xdr:colOff>
      <xdr:row>33</xdr:row>
      <xdr:rowOff>8659</xdr:rowOff>
    </xdr:from>
    <xdr:to>
      <xdr:col>50</xdr:col>
      <xdr:colOff>21085</xdr:colOff>
      <xdr:row>34</xdr:row>
      <xdr:rowOff>195968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520C915B-F155-4A9B-8EB2-B21228E0D794}"/>
            </a:ext>
          </a:extLst>
        </xdr:cNvPr>
        <xdr:cNvSpPr/>
      </xdr:nvSpPr>
      <xdr:spPr>
        <a:xfrm>
          <a:off x="44238428" y="6609484"/>
          <a:ext cx="864482" cy="387334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5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Arriendo</a:t>
          </a:r>
        </a:p>
      </xdr:txBody>
    </xdr:sp>
    <xdr:clientData/>
  </xdr:twoCellAnchor>
  <xdr:twoCellAnchor>
    <xdr:from>
      <xdr:col>49</xdr:col>
      <xdr:colOff>846665</xdr:colOff>
      <xdr:row>33</xdr:row>
      <xdr:rowOff>9958</xdr:rowOff>
    </xdr:from>
    <xdr:to>
      <xdr:col>51</xdr:col>
      <xdr:colOff>2149</xdr:colOff>
      <xdr:row>34</xdr:row>
      <xdr:rowOff>197267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AD044C59-86BD-4C6C-BCE3-83CCA2479E6E}"/>
            </a:ext>
          </a:extLst>
        </xdr:cNvPr>
        <xdr:cNvSpPr/>
      </xdr:nvSpPr>
      <xdr:spPr>
        <a:xfrm>
          <a:off x="45381332" y="6645708"/>
          <a:ext cx="986400" cy="388392"/>
        </a:xfrm>
        <a:prstGeom prst="roundRect">
          <a:avLst/>
        </a:prstGeom>
        <a:solidFill>
          <a:srgbClr val="2D2E83"/>
        </a:solidFill>
        <a:ln>
          <a:solidFill>
            <a:srgbClr val="2D2E83"/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  <a:softEdge rad="3175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05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Flujo</a:t>
          </a:r>
        </a:p>
      </xdr:txBody>
    </xdr:sp>
    <xdr:clientData/>
  </xdr:twoCellAnchor>
  <xdr:twoCellAnchor editAs="oneCell">
    <xdr:from>
      <xdr:col>7</xdr:col>
      <xdr:colOff>440529</xdr:colOff>
      <xdr:row>0</xdr:row>
      <xdr:rowOff>192727</xdr:rowOff>
    </xdr:from>
    <xdr:to>
      <xdr:col>8</xdr:col>
      <xdr:colOff>359997</xdr:colOff>
      <xdr:row>3</xdr:row>
      <xdr:rowOff>55721</xdr:rowOff>
    </xdr:to>
    <xdr:pic>
      <xdr:nvPicPr>
        <xdr:cNvPr id="61" name="Imagen 60" descr="Interfaz de usuario gráfica, Aplicación&#10;&#10;Descripción generada automáticamente">
          <a:extLst>
            <a:ext uri="{FF2B5EF4-FFF2-40B4-BE49-F238E27FC236}">
              <a16:creationId xmlns:a16="http://schemas.microsoft.com/office/drawing/2014/main" id="{8AF97D82-9EB2-4F42-8213-89E64E8C1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502" b="25182"/>
        <a:stretch/>
      </xdr:blipFill>
      <xdr:spPr bwMode="auto">
        <a:xfrm>
          <a:off x="5607842" y="192727"/>
          <a:ext cx="749095" cy="47402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523876</xdr:colOff>
      <xdr:row>4</xdr:row>
      <xdr:rowOff>123295</xdr:rowOff>
    </xdr:from>
    <xdr:to>
      <xdr:col>3</xdr:col>
      <xdr:colOff>631029</xdr:colOff>
      <xdr:row>6</xdr:row>
      <xdr:rowOff>90390</xdr:rowOff>
    </xdr:to>
    <xdr:sp macro="[0]!maculview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39980024-202E-4F86-A58C-13D42090A3DE}"/>
            </a:ext>
          </a:extLst>
        </xdr:cNvPr>
        <xdr:cNvSpPr/>
      </xdr:nvSpPr>
      <xdr:spPr>
        <a:xfrm>
          <a:off x="1428751" y="932920"/>
          <a:ext cx="940591" cy="371908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1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+mj-lt"/>
            </a:rPr>
            <a:t>Macul</a:t>
          </a:r>
          <a:r>
            <a:rPr lang="es-CL" sz="11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+mj-lt"/>
            </a:rPr>
            <a:t> View</a:t>
          </a:r>
          <a:endParaRPr lang="es-CL" sz="1100" b="0">
            <a:ln>
              <a:solidFill>
                <a:schemeClr val="bg1"/>
              </a:solidFill>
            </a:ln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3</xdr:col>
      <xdr:colOff>711994</xdr:colOff>
      <xdr:row>4</xdr:row>
      <xdr:rowOff>132820</xdr:rowOff>
    </xdr:from>
    <xdr:to>
      <xdr:col>4</xdr:col>
      <xdr:colOff>723898</xdr:colOff>
      <xdr:row>6</xdr:row>
      <xdr:rowOff>99915</xdr:rowOff>
    </xdr:to>
    <xdr:sp macro="[0]!ñuño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3CC706F2-45C9-43D0-9A2F-C911967BE944}"/>
            </a:ext>
          </a:extLst>
        </xdr:cNvPr>
        <xdr:cNvSpPr/>
      </xdr:nvSpPr>
      <xdr:spPr>
        <a:xfrm>
          <a:off x="2450307" y="942445"/>
          <a:ext cx="940591" cy="371908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es-CL" sz="1100" b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+mj-lt"/>
            </a:rPr>
            <a:t>Ñuñoa</a:t>
          </a:r>
          <a:r>
            <a:rPr lang="es-CL" sz="1100" b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+mj-lt"/>
            </a:rPr>
            <a:t> View</a:t>
          </a:r>
          <a:endParaRPr lang="es-CL" sz="1100" b="0">
            <a:ln>
              <a:solidFill>
                <a:schemeClr val="bg1"/>
              </a:solidFill>
            </a:ln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C:\Users\rcobo\Activo%20M&#225;s%20Dropbox\Raimundo%20Cobo%20Lewin\Activo%20Mas%20-%20Ventas\Inmobiliarias\Metra\&#209;u&#241;oa%20View\Brochure%20&#209;u&#241;oa%20View,%20&#209;u&#241;oa.pdf" TargetMode="External"/><Relationship Id="rId1" Type="http://schemas.openxmlformats.org/officeDocument/2006/relationships/hyperlink" Target="file:///C:\Users\rcobo\Activo%20M&#225;s%20Dropbox\Raimundo%20Cobo%20Lewin\Activo%20Mas%20-%20Ventas\Inmobiliarias\Metra\Macul%20View\Brochure%20Macul%20View,%20Macul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418CC-5EDF-4064-A54F-38EB5DA4AB8C}">
  <sheetPr codeName="Hoja1">
    <tabColor theme="4" tint="0.59999389629810485"/>
    <pageSetUpPr autoPageBreaks="0"/>
  </sheetPr>
  <dimension ref="A1:BW261"/>
  <sheetViews>
    <sheetView showGridLines="0" tabSelected="1" zoomScale="80" zoomScaleNormal="80" workbookViewId="0">
      <selection activeCell="D3" sqref="D3:F3"/>
    </sheetView>
  </sheetViews>
  <sheetFormatPr baseColWidth="10" defaultColWidth="11" defaultRowHeight="15.5" x14ac:dyDescent="0.35"/>
  <cols>
    <col min="1" max="1" width="0.9140625" style="189" customWidth="1"/>
    <col min="2" max="2" width="11" style="189"/>
    <col min="3" max="3" width="11" style="189" customWidth="1"/>
    <col min="4" max="4" width="12.08203125" style="189" bestFit="1" customWidth="1"/>
    <col min="5" max="7" width="11" style="189"/>
    <col min="8" max="8" width="10.9140625" style="189" customWidth="1"/>
    <col min="9" max="9" width="5.58203125" style="189" customWidth="1"/>
    <col min="10" max="10" width="0.9140625" style="189" customWidth="1"/>
    <col min="11" max="11" width="16.4140625" style="189" bestFit="1" customWidth="1"/>
    <col min="12" max="12" width="18.58203125" style="189" customWidth="1"/>
    <col min="13" max="13" width="20.6640625" style="189" bestFit="1" customWidth="1"/>
    <col min="14" max="14" width="12.6640625" style="189" customWidth="1"/>
    <col min="15" max="15" width="15" style="189" bestFit="1" customWidth="1"/>
    <col min="16" max="16" width="14.9140625" style="189" customWidth="1"/>
    <col min="17" max="17" width="10.9140625" style="189" customWidth="1"/>
    <col min="18" max="18" width="16.4140625" style="189" bestFit="1" customWidth="1"/>
    <col min="19" max="19" width="21.08203125" style="189" customWidth="1"/>
    <col min="20" max="20" width="3.1640625" style="189" customWidth="1"/>
    <col min="21" max="22" width="11" style="189"/>
    <col min="23" max="23" width="12.58203125" style="189" bestFit="1" customWidth="1"/>
    <col min="24" max="24" width="11" style="189"/>
    <col min="25" max="25" width="20.6640625" style="189" bestFit="1" customWidth="1"/>
    <col min="26" max="26" width="14" style="189" customWidth="1"/>
    <col min="27" max="27" width="14.4140625" style="189" customWidth="1"/>
    <col min="28" max="28" width="15" style="189" bestFit="1" customWidth="1"/>
    <col min="29" max="29" width="17.9140625" style="189" bestFit="1" customWidth="1"/>
    <col min="30" max="30" width="12.9140625" style="189" customWidth="1"/>
    <col min="31" max="31" width="14.1640625" style="189" customWidth="1"/>
    <col min="32" max="32" width="15.4140625" style="189" customWidth="1"/>
    <col min="33" max="34" width="14" style="189" customWidth="1"/>
    <col min="35" max="35" width="11.5" style="189" customWidth="1"/>
    <col min="36" max="36" width="11" style="189"/>
    <col min="37" max="37" width="17.5" style="189" customWidth="1"/>
    <col min="38" max="38" width="13.08203125" style="189" customWidth="1"/>
    <col min="39" max="39" width="11" style="189"/>
    <col min="40" max="40" width="15.4140625" style="189" customWidth="1"/>
    <col min="41" max="41" width="11" style="189"/>
    <col min="42" max="42" width="10.1640625" style="189" customWidth="1"/>
    <col min="43" max="43" width="8.4140625" style="189" customWidth="1"/>
    <col min="44" max="44" width="10.58203125" style="189" customWidth="1"/>
    <col min="45" max="45" width="12.9140625" style="189" customWidth="1"/>
    <col min="46" max="46" width="5.4140625" style="189" bestFit="1" customWidth="1"/>
    <col min="47" max="47" width="11" style="189" customWidth="1"/>
    <col min="48" max="48" width="15.5" style="189" customWidth="1"/>
    <col min="49" max="49" width="12.9140625" style="189" bestFit="1" customWidth="1"/>
    <col min="50" max="50" width="11.08203125" style="189" bestFit="1" customWidth="1"/>
    <col min="51" max="51" width="12.9140625" style="189" bestFit="1" customWidth="1"/>
    <col min="52" max="54" width="11" style="189"/>
    <col min="55" max="55" width="9.9140625" style="189" customWidth="1"/>
    <col min="56" max="56" width="20" style="189" customWidth="1"/>
    <col min="57" max="58" width="16.58203125" style="189" customWidth="1"/>
    <col min="59" max="59" width="12.58203125" style="189" customWidth="1"/>
    <col min="60" max="60" width="20.9140625" style="189" customWidth="1"/>
    <col min="61" max="62" width="16.58203125" style="189" customWidth="1"/>
    <col min="63" max="65" width="11" style="189"/>
    <col min="66" max="66" width="14.08203125" style="189" bestFit="1" customWidth="1"/>
    <col min="67" max="68" width="15.58203125" style="189" customWidth="1"/>
    <col min="69" max="69" width="11" style="189"/>
    <col min="70" max="70" width="18.4140625" style="189" bestFit="1" customWidth="1"/>
    <col min="71" max="71" width="17" style="189" bestFit="1" customWidth="1"/>
    <col min="72" max="16384" width="11" style="189"/>
  </cols>
  <sheetData>
    <row r="1" spans="1:75" x14ac:dyDescent="0.35">
      <c r="A1" s="186"/>
      <c r="B1" s="392" t="s">
        <v>0</v>
      </c>
      <c r="C1" s="393"/>
      <c r="D1" s="393"/>
      <c r="E1" s="393"/>
      <c r="F1" s="393"/>
      <c r="G1" s="393"/>
      <c r="H1" s="393"/>
      <c r="I1" s="394"/>
      <c r="J1" s="187"/>
      <c r="K1" s="392" t="s">
        <v>1</v>
      </c>
      <c r="L1" s="393"/>
      <c r="M1" s="393"/>
      <c r="N1" s="393"/>
      <c r="O1" s="393"/>
      <c r="P1" s="393"/>
      <c r="Q1" s="393"/>
      <c r="R1" s="393"/>
      <c r="S1" s="393"/>
      <c r="T1" s="394"/>
      <c r="U1" s="188"/>
      <c r="V1" s="188"/>
      <c r="W1" s="395"/>
      <c r="X1" s="188"/>
      <c r="Z1" s="396" t="s">
        <v>2</v>
      </c>
      <c r="AA1" s="396" t="s">
        <v>3</v>
      </c>
      <c r="AB1" s="396" t="s">
        <v>4</v>
      </c>
      <c r="AC1" s="388" t="s">
        <v>5</v>
      </c>
      <c r="AD1" s="188"/>
      <c r="AI1" s="188"/>
      <c r="AJ1" s="188"/>
      <c r="AK1" s="188"/>
      <c r="AL1" s="188"/>
      <c r="AM1" s="188"/>
      <c r="AN1" s="188"/>
      <c r="AO1" s="389" t="s">
        <v>6</v>
      </c>
      <c r="AP1" s="391"/>
      <c r="AQ1" s="391"/>
      <c r="AR1" s="361"/>
      <c r="AS1" s="190"/>
      <c r="AT1" s="190"/>
      <c r="AU1" s="190"/>
      <c r="AV1" s="362"/>
      <c r="AW1" s="362"/>
      <c r="AX1" s="356"/>
      <c r="AY1" s="356"/>
      <c r="BA1" s="188"/>
      <c r="BB1" s="188"/>
      <c r="BL1" s="188"/>
      <c r="BT1" s="188"/>
      <c r="BU1" s="188"/>
      <c r="BV1" s="188"/>
      <c r="BW1" s="188"/>
    </row>
    <row r="2" spans="1:75" x14ac:dyDescent="0.35">
      <c r="A2" s="186"/>
      <c r="B2" s="191"/>
      <c r="C2" s="188"/>
      <c r="D2" s="188"/>
      <c r="E2" s="188"/>
      <c r="F2" s="188"/>
      <c r="G2" s="188"/>
      <c r="H2" s="188"/>
      <c r="I2" s="192"/>
      <c r="J2" s="187"/>
      <c r="K2" s="193" t="s">
        <v>7</v>
      </c>
      <c r="L2" s="194" t="s">
        <v>8</v>
      </c>
      <c r="M2" s="194" t="s">
        <v>9</v>
      </c>
      <c r="N2" s="194" t="s">
        <v>10</v>
      </c>
      <c r="O2" s="194" t="s">
        <v>11</v>
      </c>
      <c r="P2" s="194" t="s">
        <v>12</v>
      </c>
      <c r="Q2" s="194" t="s">
        <v>13</v>
      </c>
      <c r="R2" s="194" t="s">
        <v>14</v>
      </c>
      <c r="S2" s="194" t="s">
        <v>15</v>
      </c>
      <c r="T2" s="192"/>
      <c r="U2" s="188"/>
      <c r="V2" s="188"/>
      <c r="W2" s="395"/>
      <c r="X2" s="401" t="s">
        <v>16</v>
      </c>
      <c r="Y2" s="401"/>
      <c r="Z2" s="396"/>
      <c r="AA2" s="396"/>
      <c r="AB2" s="396"/>
      <c r="AC2" s="388"/>
      <c r="AD2" s="195"/>
      <c r="AE2" s="196" t="str">
        <f ca="1">"Escenario enviado: "&amp;TEXT(TODAY(),"d ""de"" mmmm ""de"" yyyy"&amp;".")</f>
        <v>Escenario enviado: 18 de febrero de 2026.</v>
      </c>
      <c r="AI2" s="188"/>
      <c r="AJ2" s="188"/>
      <c r="AK2" s="188"/>
      <c r="AL2" s="188"/>
      <c r="AM2" s="188"/>
      <c r="AN2" s="197" t="s">
        <v>17</v>
      </c>
      <c r="AO2" s="390"/>
      <c r="AP2" s="391"/>
      <c r="AQ2" s="391"/>
      <c r="AR2" s="361"/>
      <c r="AS2" s="190"/>
      <c r="AT2" s="190"/>
      <c r="AU2" s="190"/>
      <c r="AV2" s="362"/>
      <c r="AW2" s="362"/>
      <c r="AX2" s="356"/>
      <c r="AY2" s="356"/>
      <c r="BA2" s="188"/>
      <c r="BB2" s="188"/>
      <c r="BF2" s="383"/>
      <c r="BG2" s="383"/>
      <c r="BH2" s="383"/>
      <c r="BL2" s="188"/>
      <c r="BO2" s="198"/>
      <c r="BS2" s="199"/>
      <c r="BT2" s="188"/>
      <c r="BU2" s="188"/>
      <c r="BV2" s="188"/>
      <c r="BW2" s="188"/>
    </row>
    <row r="3" spans="1:75" ht="15.75" customHeight="1" x14ac:dyDescent="0.35">
      <c r="A3" s="186"/>
      <c r="B3" s="353" t="s">
        <v>18</v>
      </c>
      <c r="C3" s="354"/>
      <c r="D3" s="384"/>
      <c r="E3" s="385"/>
      <c r="F3" s="386"/>
      <c r="G3" s="188"/>
      <c r="H3" s="188"/>
      <c r="I3" s="192"/>
      <c r="J3" s="187"/>
      <c r="K3" s="201">
        <f>D12</f>
        <v>0</v>
      </c>
      <c r="L3" s="202" t="str">
        <f>SIMULACIÓN!D4</f>
        <v>0</v>
      </c>
      <c r="M3" s="202" t="str">
        <f>SIMULACIÓN!J4</f>
        <v>0</v>
      </c>
      <c r="N3" s="202" t="str">
        <f>SIMULACIÓN!K4</f>
        <v>0</v>
      </c>
      <c r="O3" s="203" t="str">
        <f>SIMULACIÓN!M4</f>
        <v>0</v>
      </c>
      <c r="P3" s="204">
        <f>SIMULACIÓN!O4</f>
        <v>1</v>
      </c>
      <c r="Q3" s="204" t="str">
        <f>SIMULACIÓN!P4</f>
        <v>0</v>
      </c>
      <c r="R3" s="204" t="str">
        <f>SIMULACIÓN!Q4</f>
        <v>0</v>
      </c>
      <c r="S3" s="205">
        <f ca="1">SIMULACIÓN!R4</f>
        <v>0</v>
      </c>
      <c r="T3" s="206"/>
      <c r="U3" s="188"/>
      <c r="V3" s="188"/>
      <c r="W3" s="207"/>
      <c r="X3" s="387">
        <f>D3</f>
        <v>0</v>
      </c>
      <c r="Y3" s="387"/>
      <c r="Z3" s="208" t="s">
        <v>162</v>
      </c>
      <c r="AA3" s="208" t="s">
        <v>158</v>
      </c>
      <c r="AB3" s="208" t="str">
        <f>VLOOKUP(AA3,Datos!A2:B4,2,0)</f>
        <v>Macul</v>
      </c>
      <c r="AC3" s="208" t="str">
        <f>VLOOKUP(AA3,Datos!A2:N4,14,0)</f>
        <v>2do Semestre 2028</v>
      </c>
      <c r="AD3" s="209"/>
      <c r="AE3" s="210"/>
      <c r="AI3" s="188"/>
      <c r="AJ3" s="188"/>
      <c r="AK3" s="188"/>
      <c r="AL3" s="188"/>
      <c r="AM3" s="188"/>
      <c r="AN3" s="197"/>
      <c r="AO3" s="211">
        <f>D12</f>
        <v>0</v>
      </c>
      <c r="AP3" s="212"/>
      <c r="AQ3" s="212"/>
      <c r="AR3" s="213"/>
      <c r="AS3" s="213"/>
      <c r="AT3" s="213"/>
      <c r="AU3" s="213"/>
      <c r="AV3" s="214">
        <v>0.03</v>
      </c>
      <c r="AW3" s="215">
        <f ca="1">((AH18*PMT(AV3,D19,-AO8)*VLOOKUP(TODAY(),'UF HOY'!$A$2:$B$36,2,0))/12)+$AD$36</f>
        <v>39734</v>
      </c>
      <c r="AX3" s="215" t="str">
        <f>SIMULACIÓN!$U$4</f>
        <v>0</v>
      </c>
      <c r="AY3" s="215">
        <f ca="1">AX3-AW3</f>
        <v>-39734</v>
      </c>
      <c r="BA3" s="188"/>
      <c r="BB3" s="188"/>
      <c r="BG3" s="188"/>
      <c r="BH3" s="216"/>
      <c r="BK3" s="209"/>
      <c r="BL3" s="188"/>
      <c r="BN3" s="217"/>
      <c r="BO3" s="218"/>
      <c r="BP3" s="219"/>
      <c r="BQ3" s="220"/>
      <c r="BR3" s="217"/>
      <c r="BS3" s="221"/>
      <c r="BT3" s="188"/>
      <c r="BU3" s="188"/>
      <c r="BV3" s="188"/>
      <c r="BW3" s="188"/>
    </row>
    <row r="4" spans="1:75" ht="15.75" customHeight="1" x14ac:dyDescent="0.35">
      <c r="A4" s="186"/>
      <c r="B4" s="222"/>
      <c r="C4" s="223"/>
      <c r="D4" s="224"/>
      <c r="E4" s="224"/>
      <c r="F4" s="224"/>
      <c r="G4" s="188"/>
      <c r="H4" s="188"/>
      <c r="I4" s="192"/>
      <c r="J4" s="187"/>
      <c r="K4" s="201"/>
      <c r="L4" s="202"/>
      <c r="M4" s="202"/>
      <c r="N4" s="202"/>
      <c r="O4" s="203"/>
      <c r="P4" s="204"/>
      <c r="Q4" s="204"/>
      <c r="R4" s="204"/>
      <c r="S4" s="205"/>
      <c r="T4" s="192"/>
      <c r="U4" s="188"/>
      <c r="V4" s="188"/>
      <c r="W4" s="188"/>
      <c r="X4" s="387"/>
      <c r="Y4" s="387"/>
      <c r="Z4" s="225"/>
      <c r="AA4" s="225"/>
      <c r="AB4" s="225"/>
      <c r="AC4" s="226"/>
      <c r="AD4" s="188"/>
      <c r="AE4" s="210"/>
      <c r="AI4" s="188"/>
      <c r="AJ4" s="188"/>
      <c r="AK4" s="188"/>
      <c r="AL4" s="188"/>
      <c r="AM4" s="188"/>
      <c r="AN4" s="197"/>
      <c r="AO4" s="188"/>
      <c r="AP4" s="188"/>
      <c r="AQ4" s="188"/>
      <c r="AR4" s="188"/>
      <c r="AS4" s="188"/>
      <c r="AT4" s="188"/>
      <c r="AU4" s="188"/>
      <c r="AV4" s="227">
        <f>$H$19</f>
        <v>0.04</v>
      </c>
      <c r="AW4" s="228">
        <f ca="1">((AH18*PMT(AV4,D19,-AO8)*VLOOKUP(TODAY(),'UF HOY'!$A$2:$B$36,2,0))/12)+$AD$36</f>
        <v>39734</v>
      </c>
      <c r="AX4" s="228" t="str">
        <f>SIMULACIÓN!$U$4</f>
        <v>0</v>
      </c>
      <c r="AY4" s="228">
        <f t="shared" ref="AY4:AY5" ca="1" si="0">AX4-AW4</f>
        <v>-39734</v>
      </c>
      <c r="BA4" s="188"/>
      <c r="BB4" s="188"/>
      <c r="BE4" s="229">
        <f ca="1">AK25</f>
        <v>0</v>
      </c>
      <c r="BF4" s="230"/>
      <c r="BG4" s="229">
        <f>SIMULACIÓN!C16</f>
        <v>0</v>
      </c>
      <c r="BH4" s="230"/>
      <c r="BI4" s="229">
        <f>D16</f>
        <v>0</v>
      </c>
      <c r="BJ4" s="210"/>
      <c r="BK4" s="209"/>
      <c r="BL4" s="188"/>
      <c r="BN4" s="217"/>
      <c r="BO4" s="231"/>
      <c r="BP4" s="230"/>
      <c r="BQ4" s="220"/>
      <c r="BR4" s="217"/>
      <c r="BS4" s="232"/>
      <c r="BT4" s="188"/>
      <c r="BU4" s="188"/>
      <c r="BV4" s="188"/>
      <c r="BW4" s="188"/>
    </row>
    <row r="5" spans="1:75" x14ac:dyDescent="0.35">
      <c r="A5" s="186"/>
      <c r="B5" s="222"/>
      <c r="C5" s="223"/>
      <c r="D5" s="188"/>
      <c r="E5" s="188"/>
      <c r="F5" s="188"/>
      <c r="G5" s="188"/>
      <c r="H5" s="188"/>
      <c r="I5" s="192"/>
      <c r="J5" s="187"/>
      <c r="K5" s="201"/>
      <c r="L5" s="202"/>
      <c r="M5" s="202"/>
      <c r="N5" s="202"/>
      <c r="O5" s="203"/>
      <c r="P5" s="204"/>
      <c r="Q5" s="204"/>
      <c r="R5" s="204"/>
      <c r="S5" s="205"/>
      <c r="T5" s="192"/>
      <c r="U5" s="188"/>
      <c r="V5" s="188"/>
      <c r="W5" s="188"/>
      <c r="X5" s="188"/>
      <c r="Y5" s="188"/>
      <c r="Z5" s="188"/>
      <c r="AA5" s="188"/>
      <c r="AB5" s="188"/>
      <c r="AC5" s="188"/>
      <c r="AD5" s="188"/>
      <c r="AE5" s="210"/>
      <c r="AI5" s="188"/>
      <c r="AJ5" s="188"/>
      <c r="AK5" s="188"/>
      <c r="AL5" s="188"/>
      <c r="AM5" s="188"/>
      <c r="AN5" s="197"/>
      <c r="AO5" s="188"/>
      <c r="AP5" s="188"/>
      <c r="AQ5" s="188"/>
      <c r="AR5" s="188"/>
      <c r="AS5" s="188"/>
      <c r="AT5" s="188"/>
      <c r="AU5" s="188"/>
      <c r="AV5" s="214">
        <v>0.05</v>
      </c>
      <c r="AW5" s="215">
        <f ca="1">((AH18*PMT(AV5,D19,-AO8)*VLOOKUP(TODAY(),'UF HOY'!$A$2:$B$36,2,0))/12)+$AD$36</f>
        <v>39734</v>
      </c>
      <c r="AX5" s="215" t="str">
        <f>SIMULACIÓN!$U$4</f>
        <v>0</v>
      </c>
      <c r="AY5" s="215">
        <f t="shared" ca="1" si="0"/>
        <v>-39734</v>
      </c>
      <c r="BA5" s="188"/>
      <c r="BB5" s="188"/>
      <c r="BC5" s="188"/>
      <c r="BD5" s="230"/>
      <c r="BE5" s="230"/>
      <c r="BF5" s="233"/>
      <c r="BG5" s="233"/>
      <c r="BH5" s="233"/>
      <c r="BI5" s="210"/>
      <c r="BJ5" s="210"/>
      <c r="BK5" s="209"/>
      <c r="BL5" s="188"/>
      <c r="BN5" s="234"/>
      <c r="BO5" s="235"/>
      <c r="BP5" s="210"/>
      <c r="BQ5" s="220"/>
      <c r="BR5" s="234"/>
      <c r="BS5" s="236"/>
      <c r="BT5" s="188"/>
      <c r="BU5" s="188"/>
      <c r="BV5" s="188"/>
      <c r="BW5" s="188"/>
    </row>
    <row r="6" spans="1:75" x14ac:dyDescent="0.35">
      <c r="A6" s="186"/>
      <c r="B6" s="369" t="s">
        <v>147</v>
      </c>
      <c r="C6" s="381"/>
      <c r="D6" s="188"/>
      <c r="E6" s="188"/>
      <c r="F6" s="188"/>
      <c r="G6" s="238"/>
      <c r="H6" s="188"/>
      <c r="I6" s="192"/>
      <c r="J6" s="187"/>
      <c r="K6" s="201"/>
      <c r="L6" s="202"/>
      <c r="M6" s="202"/>
      <c r="N6" s="202"/>
      <c r="O6" s="203"/>
      <c r="P6" s="204"/>
      <c r="Q6" s="204"/>
      <c r="R6" s="204"/>
      <c r="S6" s="205"/>
      <c r="T6" s="192"/>
      <c r="U6" s="188"/>
      <c r="V6" s="188"/>
      <c r="W6" s="188"/>
      <c r="X6" s="188"/>
      <c r="AE6" s="209"/>
      <c r="AF6" s="188"/>
      <c r="AG6" s="188"/>
      <c r="AH6" s="188"/>
      <c r="AI6" s="188"/>
      <c r="AJ6" s="188"/>
      <c r="AK6" s="188"/>
      <c r="AL6" s="188"/>
      <c r="AM6" s="357" t="str">
        <f>"Simulación departamento: "&amp;AO3</f>
        <v>Simulación departamento: 0</v>
      </c>
      <c r="AN6" s="357"/>
      <c r="AO6" s="357"/>
      <c r="AP6" s="357"/>
      <c r="AQ6" s="356" t="str">
        <f>"Tipología: "&amp;AA9</f>
        <v>Tipología: 0</v>
      </c>
      <c r="AR6" s="356"/>
      <c r="AS6" s="356"/>
      <c r="AT6" s="356"/>
      <c r="AU6" s="239"/>
      <c r="BC6" s="188"/>
      <c r="BD6" s="230"/>
      <c r="BE6" s="230"/>
      <c r="BG6" s="229"/>
      <c r="BH6" s="216"/>
      <c r="BI6" s="210"/>
      <c r="BJ6" s="210"/>
      <c r="BK6" s="209"/>
      <c r="BN6" s="234"/>
      <c r="BO6" s="235"/>
      <c r="BP6" s="210"/>
      <c r="BQ6" s="220"/>
      <c r="BR6" s="234"/>
      <c r="BS6" s="236"/>
      <c r="BT6" s="188"/>
      <c r="BU6" s="188"/>
      <c r="BV6" s="188"/>
      <c r="BW6" s="188"/>
    </row>
    <row r="7" spans="1:75" ht="15.75" customHeight="1" x14ac:dyDescent="0.35">
      <c r="A7" s="186"/>
      <c r="B7" s="222"/>
      <c r="C7" s="223"/>
      <c r="D7" s="188"/>
      <c r="E7" s="188"/>
      <c r="F7" s="188"/>
      <c r="G7" s="188"/>
      <c r="H7" s="188"/>
      <c r="I7" s="192"/>
      <c r="J7" s="187"/>
      <c r="K7" s="201"/>
      <c r="L7" s="202"/>
      <c r="M7" s="202"/>
      <c r="N7" s="202"/>
      <c r="O7" s="203"/>
      <c r="P7" s="204"/>
      <c r="Q7" s="204"/>
      <c r="R7" s="204"/>
      <c r="S7" s="205"/>
      <c r="T7" s="192"/>
      <c r="U7" s="188"/>
      <c r="V7" s="188"/>
      <c r="W7" s="188"/>
      <c r="X7" s="188"/>
      <c r="Z7" s="402"/>
      <c r="AA7" s="402"/>
      <c r="AB7" s="402"/>
      <c r="AC7" s="402"/>
      <c r="AD7" s="403"/>
      <c r="AE7" s="188"/>
      <c r="AF7" s="188"/>
      <c r="AG7" s="188"/>
      <c r="AH7" s="188"/>
      <c r="AI7" s="188"/>
      <c r="AJ7" s="188"/>
      <c r="AK7" s="188"/>
      <c r="AL7" s="188"/>
      <c r="AM7" s="240"/>
      <c r="AN7" s="240"/>
      <c r="AO7" s="240"/>
      <c r="AP7" s="240"/>
      <c r="AQ7" s="240"/>
      <c r="AR7" s="240"/>
      <c r="AS7" s="240"/>
      <c r="AT7" s="240"/>
      <c r="BC7" s="188"/>
      <c r="BD7" s="230"/>
      <c r="BE7" s="230"/>
      <c r="BF7" s="241"/>
      <c r="BG7" s="241"/>
      <c r="BJ7" s="210"/>
      <c r="BK7" s="209"/>
      <c r="BN7" s="217"/>
      <c r="BO7" s="218"/>
      <c r="BP7" s="219"/>
      <c r="BQ7" s="220"/>
      <c r="BR7" s="217"/>
      <c r="BS7" s="242"/>
      <c r="BT7" s="188"/>
      <c r="BU7" s="188"/>
      <c r="BV7" s="188"/>
      <c r="BW7" s="188"/>
    </row>
    <row r="8" spans="1:75" x14ac:dyDescent="0.35">
      <c r="A8" s="186"/>
      <c r="B8" s="243"/>
      <c r="C8" s="223"/>
      <c r="D8" s="188"/>
      <c r="E8" s="188"/>
      <c r="F8" s="188"/>
      <c r="G8" s="188"/>
      <c r="H8" s="188"/>
      <c r="I8" s="192"/>
      <c r="J8" s="187"/>
      <c r="K8" s="201"/>
      <c r="L8" s="202"/>
      <c r="M8" s="202"/>
      <c r="N8" s="202"/>
      <c r="O8" s="202"/>
      <c r="P8" s="202"/>
      <c r="Q8" s="202"/>
      <c r="R8" s="202"/>
      <c r="S8" s="202"/>
      <c r="T8" s="192"/>
      <c r="U8" s="188"/>
      <c r="V8" s="188"/>
      <c r="W8" s="188"/>
      <c r="X8" s="188"/>
      <c r="Z8" s="402"/>
      <c r="AA8" s="402"/>
      <c r="AB8" s="402"/>
      <c r="AC8" s="402"/>
      <c r="AD8" s="403"/>
      <c r="AE8" s="188"/>
      <c r="AF8" s="188"/>
      <c r="AG8" s="188"/>
      <c r="AH8" s="188"/>
      <c r="AI8" s="188"/>
      <c r="AJ8" s="188"/>
      <c r="AK8" s="188"/>
      <c r="AL8" s="188"/>
      <c r="AM8" s="358" t="s">
        <v>19</v>
      </c>
      <c r="AN8" s="358"/>
      <c r="AO8" s="245" t="str">
        <f>AF18</f>
        <v>0</v>
      </c>
      <c r="AP8" s="358" t="s">
        <v>20</v>
      </c>
      <c r="AQ8" s="358"/>
      <c r="AR8" s="245">
        <f>AG18</f>
        <v>0</v>
      </c>
      <c r="AS8" s="358" t="s">
        <v>21</v>
      </c>
      <c r="AT8" s="358"/>
      <c r="AU8" s="246">
        <f>AH18</f>
        <v>1</v>
      </c>
      <c r="AX8" s="247"/>
      <c r="AY8" s="247"/>
      <c r="AZ8" s="247"/>
      <c r="BA8" s="247"/>
      <c r="BB8" s="248"/>
      <c r="BC8" s="248"/>
      <c r="BD8" s="230"/>
      <c r="BE8" s="230"/>
      <c r="BF8" s="233"/>
      <c r="BG8" s="229">
        <f ca="1">IF((BE4-BI4-BG4)&gt;0,(BE4-BI4-BG4),0)</f>
        <v>0</v>
      </c>
      <c r="BH8" s="233"/>
      <c r="BI8" s="210"/>
      <c r="BJ8" s="210"/>
      <c r="BK8" s="209"/>
      <c r="BL8" s="188"/>
      <c r="BN8" s="217"/>
      <c r="BO8" s="244"/>
      <c r="BP8" s="230"/>
      <c r="BQ8" s="220"/>
      <c r="BR8" s="217"/>
      <c r="BS8" s="249"/>
      <c r="BT8" s="188"/>
      <c r="BU8" s="188"/>
      <c r="BV8" s="188"/>
      <c r="BW8" s="188"/>
    </row>
    <row r="9" spans="1:75" x14ac:dyDescent="0.35">
      <c r="A9" s="250"/>
      <c r="B9" s="404" t="s">
        <v>22</v>
      </c>
      <c r="C9" s="404"/>
      <c r="D9" s="188"/>
      <c r="E9" s="188"/>
      <c r="F9" s="188"/>
      <c r="G9" s="188"/>
      <c r="H9" s="188"/>
      <c r="I9" s="192"/>
      <c r="J9" s="187"/>
      <c r="K9" s="237" t="s">
        <v>23</v>
      </c>
      <c r="L9" s="252">
        <f>SIMULACIÓN!C16</f>
        <v>0</v>
      </c>
      <c r="M9" s="202"/>
      <c r="N9" s="202"/>
      <c r="P9" s="253"/>
      <c r="Q9" s="381" t="s">
        <v>24</v>
      </c>
      <c r="R9" s="382"/>
      <c r="S9" s="254">
        <f ca="1">SUM(S3:S7)</f>
        <v>0</v>
      </c>
      <c r="T9" s="192"/>
      <c r="U9" s="188"/>
      <c r="V9" s="188"/>
      <c r="W9" s="188"/>
      <c r="X9" s="188"/>
      <c r="Z9" s="255">
        <f>D12</f>
        <v>0</v>
      </c>
      <c r="AA9" s="255" t="str">
        <f>SIMULACIÓN!D4</f>
        <v>0</v>
      </c>
      <c r="AB9" s="255" t="str">
        <f>SIMULACIÓN!E4</f>
        <v>0</v>
      </c>
      <c r="AC9" s="255" t="str">
        <f>SIMULACIÓN!F4</f>
        <v>0</v>
      </c>
      <c r="AD9" s="255" t="str">
        <f>SIMULACIÓN!G4</f>
        <v>0</v>
      </c>
      <c r="AE9" s="188"/>
      <c r="AF9" s="188"/>
      <c r="AG9" s="188"/>
      <c r="AH9" s="188"/>
      <c r="AI9" s="188"/>
      <c r="AJ9" s="188"/>
      <c r="AK9" s="188"/>
      <c r="AL9" s="188"/>
      <c r="AU9" s="256"/>
      <c r="AW9" s="188"/>
      <c r="AX9" s="188"/>
      <c r="AY9" s="188"/>
      <c r="AZ9" s="188"/>
      <c r="BA9" s="188"/>
      <c r="BB9" s="248"/>
      <c r="BC9" s="248"/>
      <c r="BD9" s="230"/>
      <c r="BE9" s="230"/>
      <c r="BG9" s="229"/>
      <c r="BH9" s="216"/>
      <c r="BI9" s="210"/>
      <c r="BJ9" s="210"/>
      <c r="BK9" s="209"/>
      <c r="BL9" s="188"/>
      <c r="BT9" s="188"/>
      <c r="BU9" s="188"/>
      <c r="BV9" s="188"/>
      <c r="BW9" s="188"/>
    </row>
    <row r="10" spans="1:75" ht="15.75" customHeight="1" x14ac:dyDescent="0.35">
      <c r="A10" s="186"/>
      <c r="B10" s="200"/>
      <c r="C10" s="251"/>
      <c r="D10" s="188"/>
      <c r="E10" s="188"/>
      <c r="F10" s="188"/>
      <c r="G10" s="188"/>
      <c r="H10" s="188"/>
      <c r="I10" s="192"/>
      <c r="J10" s="187"/>
      <c r="K10" s="257" t="s">
        <v>25</v>
      </c>
      <c r="L10" s="258">
        <f>D16</f>
        <v>0</v>
      </c>
      <c r="M10" s="188"/>
      <c r="N10" s="188"/>
      <c r="O10" s="188"/>
      <c r="P10" s="259"/>
      <c r="Q10" s="188"/>
      <c r="R10" s="260"/>
      <c r="S10" s="188"/>
      <c r="T10" s="261"/>
      <c r="U10" s="223"/>
      <c r="V10" s="188"/>
      <c r="W10" s="188"/>
      <c r="X10" s="188"/>
      <c r="Z10" s="255"/>
      <c r="AA10" s="255"/>
      <c r="AB10" s="255"/>
      <c r="AC10" s="255"/>
      <c r="AD10" s="255"/>
      <c r="AE10" s="188"/>
      <c r="AF10" s="188"/>
      <c r="AG10" s="188"/>
      <c r="AH10" s="188"/>
      <c r="AI10" s="188"/>
      <c r="AJ10" s="188"/>
      <c r="AK10" s="188"/>
      <c r="AL10" s="188"/>
      <c r="AM10" s="262"/>
      <c r="AN10" s="262"/>
      <c r="AO10" s="262"/>
      <c r="AP10" s="262"/>
      <c r="AQ10" s="262"/>
      <c r="AR10" s="262"/>
      <c r="AS10" s="262"/>
      <c r="AT10" s="262"/>
      <c r="AU10" s="262"/>
      <c r="AV10" s="263"/>
      <c r="AW10" s="262"/>
      <c r="AX10" s="262"/>
      <c r="AY10" s="262"/>
      <c r="AZ10" s="262"/>
      <c r="BA10" s="262"/>
      <c r="BB10" s="248"/>
      <c r="BC10" s="248"/>
      <c r="BD10" s="230"/>
      <c r="BE10" s="230"/>
      <c r="BF10" s="230"/>
      <c r="BG10" s="230"/>
      <c r="BH10" s="230"/>
      <c r="BI10" s="210"/>
      <c r="BJ10" s="210"/>
      <c r="BK10" s="210"/>
      <c r="BT10" s="188"/>
      <c r="BU10" s="188"/>
      <c r="BV10" s="188"/>
      <c r="BW10" s="188"/>
    </row>
    <row r="11" spans="1:75" x14ac:dyDescent="0.35">
      <c r="A11" s="186"/>
      <c r="B11" s="222"/>
      <c r="C11" s="223"/>
      <c r="D11" s="188"/>
      <c r="E11" s="264"/>
      <c r="F11" s="188"/>
      <c r="G11" s="188"/>
      <c r="H11" s="188"/>
      <c r="I11" s="192"/>
      <c r="J11" s="187"/>
      <c r="K11" s="237" t="s">
        <v>26</v>
      </c>
      <c r="L11" s="252">
        <f ca="1">S9-L10-L9</f>
        <v>0</v>
      </c>
      <c r="M11" s="259"/>
      <c r="N11" s="188"/>
      <c r="O11" s="188"/>
      <c r="P11" s="188"/>
      <c r="Q11" s="381" t="s">
        <v>27</v>
      </c>
      <c r="R11" s="382"/>
      <c r="S11" s="254">
        <f ca="1">SUM(O3:O7)*VLOOKUP(TODAY(),'UF HOY'!$A$2:$B$36,2,0)</f>
        <v>0</v>
      </c>
      <c r="T11" s="192"/>
      <c r="U11" s="265"/>
      <c r="V11" s="188"/>
      <c r="W11" s="188"/>
      <c r="X11" s="188"/>
      <c r="Z11" s="255"/>
      <c r="AA11" s="255"/>
      <c r="AB11" s="255"/>
      <c r="AC11" s="255"/>
      <c r="AD11" s="255"/>
      <c r="AE11" s="188"/>
      <c r="AF11" s="190"/>
      <c r="AG11" s="266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209"/>
      <c r="AW11" s="188"/>
      <c r="AX11" s="188"/>
      <c r="AY11" s="188"/>
      <c r="AZ11" s="188"/>
      <c r="BA11" s="188"/>
      <c r="BD11" s="376" t="str">
        <f>SIMULACIÓN!B20</f>
        <v>Opción 1: 31 Cuotas (Sólo ForPay)</v>
      </c>
      <c r="BE11" s="376"/>
      <c r="BF11" s="376"/>
      <c r="BG11" s="230"/>
      <c r="BH11" s="376" t="str">
        <f>SIMULACIÓN!B25</f>
        <v>Opción 2: 55 Cuotas (ForPay + TC)</v>
      </c>
      <c r="BI11" s="376"/>
      <c r="BJ11" s="376"/>
      <c r="BK11" s="267"/>
      <c r="BT11" s="188"/>
      <c r="BU11" s="188"/>
      <c r="BV11" s="188"/>
      <c r="BW11" s="188"/>
    </row>
    <row r="12" spans="1:75" ht="15.75" customHeight="1" x14ac:dyDescent="0.35">
      <c r="A12" s="186"/>
      <c r="B12" s="353" t="s">
        <v>28</v>
      </c>
      <c r="C12" s="354"/>
      <c r="D12" s="268"/>
      <c r="E12" s="269"/>
      <c r="F12" s="268"/>
      <c r="G12" s="270"/>
      <c r="H12" s="270"/>
      <c r="I12" s="271"/>
      <c r="J12" s="187"/>
      <c r="K12" s="237"/>
      <c r="L12" s="252"/>
      <c r="M12" s="188"/>
      <c r="N12" s="188"/>
      <c r="O12" s="188"/>
      <c r="P12" s="188"/>
      <c r="Q12" s="188"/>
      <c r="R12" s="188"/>
      <c r="S12" s="188"/>
      <c r="T12" s="192"/>
      <c r="U12" s="188"/>
      <c r="V12" s="188"/>
      <c r="W12" s="188"/>
      <c r="X12" s="188"/>
      <c r="Z12" s="255"/>
      <c r="AA12" s="255"/>
      <c r="AB12" s="255"/>
      <c r="AC12" s="255"/>
      <c r="AD12" s="255"/>
      <c r="AE12" s="188"/>
      <c r="AF12" s="188"/>
      <c r="AG12" s="188"/>
      <c r="AH12" s="188"/>
      <c r="AI12" s="188"/>
      <c r="AJ12" s="188"/>
      <c r="AK12" s="188"/>
      <c r="AL12" s="188"/>
      <c r="AM12" s="188"/>
      <c r="AN12" s="197"/>
      <c r="AO12" s="359" t="s">
        <v>6</v>
      </c>
      <c r="AP12" s="360"/>
      <c r="AQ12" s="360"/>
      <c r="AR12" s="361"/>
      <c r="AS12" s="190"/>
      <c r="AT12" s="190"/>
      <c r="AU12" s="190"/>
      <c r="AV12" s="362"/>
      <c r="AW12" s="362"/>
      <c r="AX12" s="356"/>
      <c r="AY12" s="356"/>
      <c r="BA12" s="188"/>
      <c r="BD12" s="272" t="s">
        <v>29</v>
      </c>
      <c r="BE12" s="272" t="s">
        <v>30</v>
      </c>
      <c r="BF12" s="272" t="s">
        <v>31</v>
      </c>
      <c r="BG12" s="273"/>
      <c r="BH12" s="272" t="s">
        <v>29</v>
      </c>
      <c r="BI12" s="272" t="s">
        <v>30</v>
      </c>
      <c r="BJ12" s="272" t="s">
        <v>31</v>
      </c>
      <c r="BK12" s="267"/>
      <c r="BT12" s="188"/>
      <c r="BU12" s="188"/>
      <c r="BV12" s="188"/>
      <c r="BW12" s="188"/>
    </row>
    <row r="13" spans="1:75" x14ac:dyDescent="0.35">
      <c r="A13" s="186"/>
      <c r="B13" s="222"/>
      <c r="C13" s="223"/>
      <c r="D13" s="274"/>
      <c r="E13" s="268"/>
      <c r="F13" s="270"/>
      <c r="G13" s="268"/>
      <c r="H13" s="268"/>
      <c r="I13" s="192"/>
      <c r="J13" s="187"/>
      <c r="K13" s="377" t="str">
        <f>SIMULACIÓN!B20</f>
        <v>Opción 1: 31 Cuotas (Sólo ForPay)</v>
      </c>
      <c r="L13" s="378"/>
      <c r="M13" s="379" t="str">
        <f>SIMULACIÓN!B25</f>
        <v>Opción 2: 55 Cuotas (ForPay + TC)</v>
      </c>
      <c r="N13" s="379"/>
      <c r="O13" s="275" t="s">
        <v>146</v>
      </c>
      <c r="R13" s="276" t="s">
        <v>32</v>
      </c>
      <c r="S13" s="277">
        <v>0</v>
      </c>
      <c r="T13" s="192"/>
      <c r="U13" s="188"/>
      <c r="V13" s="188"/>
      <c r="W13" s="188"/>
      <c r="X13" s="188"/>
      <c r="Z13" s="255"/>
      <c r="AA13" s="255"/>
      <c r="AB13" s="255"/>
      <c r="AC13" s="255"/>
      <c r="AD13" s="255"/>
      <c r="AE13" s="361"/>
      <c r="AF13" s="380"/>
      <c r="AG13" s="361"/>
      <c r="AH13" s="361"/>
      <c r="AI13" s="361"/>
      <c r="AJ13" s="361"/>
      <c r="AK13" s="361"/>
      <c r="AL13" s="188"/>
      <c r="AM13" s="188"/>
      <c r="AN13" s="197" t="s">
        <v>33</v>
      </c>
      <c r="AO13" s="359"/>
      <c r="AP13" s="360"/>
      <c r="AQ13" s="360"/>
      <c r="AR13" s="361"/>
      <c r="AS13" s="190"/>
      <c r="AT13" s="190"/>
      <c r="AU13" s="190"/>
      <c r="AV13" s="362"/>
      <c r="AW13" s="362"/>
      <c r="AX13" s="356"/>
      <c r="AY13" s="356"/>
      <c r="BA13" s="188"/>
      <c r="BD13" s="278" t="str">
        <f>SIMULACIÓN!B22</f>
        <v>31 Cuotas ForPay</v>
      </c>
      <c r="BE13" s="279">
        <f ca="1">SIMULACIÓN!C22</f>
        <v>0</v>
      </c>
      <c r="BF13" s="280">
        <f ca="1">SIMULACIÓN!D22</f>
        <v>0</v>
      </c>
      <c r="BG13" s="230"/>
      <c r="BH13" s="281" t="str">
        <f>SIMULACIÓN!B27</f>
        <v>31 Cuotas ForPay</v>
      </c>
      <c r="BI13" s="282">
        <f ca="1">SIMULACIÓN!C27</f>
        <v>0</v>
      </c>
      <c r="BJ13" s="283">
        <f ca="1">SIMULACIÓN!D27</f>
        <v>0</v>
      </c>
      <c r="BK13" s="210"/>
      <c r="BT13" s="188"/>
      <c r="BU13" s="188"/>
      <c r="BV13" s="188"/>
      <c r="BW13" s="188"/>
    </row>
    <row r="14" spans="1:75" x14ac:dyDescent="0.35">
      <c r="A14" s="250"/>
      <c r="B14" s="284"/>
      <c r="C14" s="284"/>
      <c r="D14" s="285"/>
      <c r="E14" s="274"/>
      <c r="F14" s="270"/>
      <c r="G14" s="268"/>
      <c r="H14" s="268"/>
      <c r="I14" s="271"/>
      <c r="J14" s="187"/>
      <c r="K14" s="286" t="str">
        <f>SIMULACIÓN!B22</f>
        <v>31 Cuotas ForPay</v>
      </c>
      <c r="L14" s="287">
        <f ca="1">SIMULACIÓN!C22</f>
        <v>0</v>
      </c>
      <c r="M14" s="288" t="str">
        <f>SIMULACIÓN!B27</f>
        <v>31 Cuotas ForPay</v>
      </c>
      <c r="N14" s="289">
        <f ca="1">IF($F$21="Todo está ok",SIMULACIÓN!C27,"-")</f>
        <v>0</v>
      </c>
      <c r="O14" s="275">
        <f ca="1">IF($F$21="Todo está ok",SIMULACIÓN!D27,"-")</f>
        <v>0</v>
      </c>
      <c r="T14" s="192"/>
      <c r="U14" s="188"/>
      <c r="V14" s="188"/>
      <c r="W14" s="188"/>
      <c r="X14" s="188"/>
      <c r="Z14" s="290"/>
      <c r="AA14" s="290"/>
      <c r="AB14" s="290"/>
      <c r="AC14" s="290"/>
      <c r="AD14" s="290"/>
      <c r="AE14" s="361"/>
      <c r="AF14" s="380"/>
      <c r="AG14" s="361"/>
      <c r="AH14" s="361"/>
      <c r="AI14" s="361"/>
      <c r="AJ14" s="361"/>
      <c r="AK14" s="361"/>
      <c r="AL14" s="188"/>
      <c r="AM14" s="188"/>
      <c r="AO14" s="211"/>
      <c r="AP14" s="212"/>
      <c r="AQ14" s="212"/>
      <c r="AR14" s="213"/>
      <c r="AS14" s="213"/>
      <c r="AT14" s="213"/>
      <c r="AU14" s="213"/>
      <c r="AV14" s="214">
        <f>$AV$3</f>
        <v>0.03</v>
      </c>
      <c r="AW14" s="215">
        <f ca="1">((AH19*PMT(AV14,D19,-AO19)*VLOOKUP(TODAY(),'UF HOY'!$A$2:$B$36,2,0))/12)+$AD$36</f>
        <v>39734</v>
      </c>
      <c r="AX14" s="215">
        <f>SIMULACIÓN!$U$5</f>
        <v>0</v>
      </c>
      <c r="AY14" s="215">
        <f ca="1">AX14-AW14</f>
        <v>-39734</v>
      </c>
      <c r="AZ14" s="188"/>
      <c r="BA14" s="188"/>
      <c r="BD14" s="291"/>
      <c r="BE14" s="230"/>
      <c r="BF14" s="291"/>
      <c r="BG14" s="230"/>
      <c r="BH14" s="278" t="str">
        <f>SIMULACIÓN!B28</f>
        <v>24 Cuotas TC</v>
      </c>
      <c r="BI14" s="282">
        <f ca="1">SIMULACIÓN!C28</f>
        <v>0</v>
      </c>
      <c r="BJ14" s="283">
        <f ca="1">SIMULACIÓN!D28</f>
        <v>0</v>
      </c>
      <c r="BK14" s="210"/>
      <c r="BM14" s="188"/>
      <c r="BN14" s="188"/>
      <c r="BO14" s="188"/>
      <c r="BP14" s="188"/>
      <c r="BQ14" s="188"/>
      <c r="BR14" s="188"/>
      <c r="BS14" s="188"/>
      <c r="BT14" s="188"/>
      <c r="BU14" s="188"/>
      <c r="BV14" s="188"/>
      <c r="BW14" s="188"/>
    </row>
    <row r="15" spans="1:75" x14ac:dyDescent="0.35">
      <c r="A15" s="186"/>
      <c r="B15" s="222"/>
      <c r="C15" s="223"/>
      <c r="D15" s="285"/>
      <c r="E15" s="285"/>
      <c r="F15" s="274"/>
      <c r="G15" s="268"/>
      <c r="H15" s="268"/>
      <c r="I15" s="192"/>
      <c r="J15" s="187"/>
      <c r="K15" s="201"/>
      <c r="L15" s="202"/>
      <c r="M15" s="288" t="str">
        <f>SIMULACIÓN!B28</f>
        <v>24 Cuotas TC</v>
      </c>
      <c r="N15" s="289">
        <f ca="1">IF($F$21="Todo está ok",SIMULACIÓN!C28,"-")</f>
        <v>0</v>
      </c>
      <c r="O15" s="275">
        <f ca="1">IF($F$21="Todo está ok",SIMULACIÓN!D28,"-")</f>
        <v>0</v>
      </c>
      <c r="R15" s="292" t="s">
        <v>34</v>
      </c>
      <c r="S15" s="293">
        <f ca="1">S11+S11*S13</f>
        <v>0</v>
      </c>
      <c r="T15" s="192"/>
      <c r="U15" s="188"/>
      <c r="V15" s="188"/>
      <c r="W15" s="188"/>
      <c r="X15" s="188"/>
      <c r="Z15" s="294"/>
      <c r="AA15" s="294"/>
      <c r="AB15" s="294"/>
      <c r="AC15" s="294"/>
      <c r="AD15" s="294"/>
      <c r="AL15" s="188"/>
      <c r="AM15" s="188"/>
      <c r="AN15" s="197"/>
      <c r="AO15" s="213"/>
      <c r="AP15" s="213"/>
      <c r="AQ15" s="213"/>
      <c r="AR15" s="213"/>
      <c r="AS15" s="213"/>
      <c r="AT15" s="213"/>
      <c r="AU15" s="213"/>
      <c r="AV15" s="227">
        <f>$AV$4</f>
        <v>0.04</v>
      </c>
      <c r="AW15" s="228">
        <f ca="1">((AH19*PMT(AV15,D19,-AO19)*VLOOKUP(TODAY(),'UF HOY'!$A$2:$B$36,2,0))/12)+$AD$36</f>
        <v>39734</v>
      </c>
      <c r="AX15" s="228">
        <f>SIMULACIÓN!$U$5</f>
        <v>0</v>
      </c>
      <c r="AY15" s="228">
        <f t="shared" ref="AY15:AY16" ca="1" si="1">AX15-AW15</f>
        <v>-39734</v>
      </c>
      <c r="AZ15" s="188"/>
      <c r="BA15" s="188"/>
      <c r="BD15" s="230"/>
      <c r="BE15" s="220"/>
      <c r="BF15" s="210"/>
      <c r="BG15" s="230"/>
      <c r="BI15" s="272" t="s">
        <v>31</v>
      </c>
      <c r="BJ15" s="295">
        <f ca="1">SUM(BJ13:BJ14)</f>
        <v>0</v>
      </c>
      <c r="BK15" s="210"/>
      <c r="BM15" s="188"/>
      <c r="BN15" s="188"/>
      <c r="BO15" s="188"/>
      <c r="BP15" s="188"/>
      <c r="BQ15" s="188"/>
      <c r="BR15" s="188"/>
      <c r="BS15" s="188"/>
      <c r="BT15" s="188"/>
      <c r="BU15" s="188"/>
      <c r="BV15" s="188"/>
      <c r="BW15" s="188"/>
    </row>
    <row r="16" spans="1:75" x14ac:dyDescent="0.35">
      <c r="A16" s="186"/>
      <c r="B16" s="369" t="s">
        <v>35</v>
      </c>
      <c r="C16" s="370"/>
      <c r="D16" s="371">
        <v>0</v>
      </c>
      <c r="E16" s="372"/>
      <c r="F16" s="188"/>
      <c r="G16" s="296"/>
      <c r="H16" s="268"/>
      <c r="I16" s="192"/>
      <c r="J16" s="187"/>
      <c r="K16" s="201"/>
      <c r="L16" s="202"/>
      <c r="M16" s="202"/>
      <c r="N16" s="202"/>
      <c r="O16" s="297"/>
      <c r="R16" s="292" t="s">
        <v>36</v>
      </c>
      <c r="S16" s="293">
        <f ca="1">S15+S15*$S$13</f>
        <v>0</v>
      </c>
      <c r="T16" s="192"/>
      <c r="U16" s="188"/>
      <c r="V16" s="188"/>
      <c r="W16" s="188"/>
      <c r="X16" s="188"/>
      <c r="Z16" s="363"/>
      <c r="AA16" s="363"/>
      <c r="AB16" s="363"/>
      <c r="AC16" s="363"/>
      <c r="AD16" s="363"/>
      <c r="AE16" s="363"/>
      <c r="AF16" s="368"/>
      <c r="AG16" s="363"/>
      <c r="AH16" s="363"/>
      <c r="AI16" s="363"/>
      <c r="AJ16" s="363"/>
      <c r="AK16" s="363"/>
      <c r="AL16" s="188"/>
      <c r="AM16" s="188"/>
      <c r="AN16" s="197"/>
      <c r="AO16" s="188"/>
      <c r="AP16" s="188"/>
      <c r="AQ16" s="188"/>
      <c r="AR16" s="188"/>
      <c r="AS16" s="188"/>
      <c r="AT16" s="188"/>
      <c r="AU16" s="188"/>
      <c r="AV16" s="214">
        <f>$AV$5</f>
        <v>0.05</v>
      </c>
      <c r="AW16" s="215">
        <f ca="1">((AH19*PMT(AV16,D19,-AO19)*VLOOKUP(TODAY(),'UF HOY'!$A$2:$B$36,2,0))/12)+$AD$36</f>
        <v>39734</v>
      </c>
      <c r="AX16" s="215">
        <f>SIMULACIÓN!$U$5</f>
        <v>0</v>
      </c>
      <c r="AY16" s="215">
        <f t="shared" ca="1" si="1"/>
        <v>-39734</v>
      </c>
      <c r="AZ16" s="188"/>
      <c r="BA16" s="188"/>
      <c r="BC16" s="298"/>
      <c r="BD16" s="299"/>
      <c r="BE16" s="209"/>
      <c r="BF16" s="209"/>
      <c r="BG16" s="299"/>
      <c r="BH16" s="299"/>
      <c r="BI16" s="299"/>
      <c r="BJ16" s="299"/>
      <c r="BK16" s="188"/>
      <c r="BM16" s="188"/>
      <c r="BN16" s="188"/>
      <c r="BO16" s="188"/>
      <c r="BP16" s="188"/>
      <c r="BQ16" s="188"/>
      <c r="BR16" s="188"/>
      <c r="BS16" s="188"/>
      <c r="BT16" s="188"/>
      <c r="BU16" s="188"/>
      <c r="BV16" s="188"/>
      <c r="BW16" s="188"/>
    </row>
    <row r="17" spans="1:75" x14ac:dyDescent="0.35">
      <c r="A17" s="186"/>
      <c r="B17" s="369"/>
      <c r="C17" s="370"/>
      <c r="D17" s="373"/>
      <c r="E17" s="374"/>
      <c r="F17" s="300" t="s">
        <v>215</v>
      </c>
      <c r="G17" s="188"/>
      <c r="H17" s="301"/>
      <c r="I17" s="192"/>
      <c r="J17" s="187"/>
      <c r="K17" s="237" t="s">
        <v>7</v>
      </c>
      <c r="L17" s="194" t="s">
        <v>37</v>
      </c>
      <c r="M17" s="194" t="s">
        <v>38</v>
      </c>
      <c r="N17" s="194" t="s">
        <v>39</v>
      </c>
      <c r="O17" s="202"/>
      <c r="R17" s="292" t="s">
        <v>40</v>
      </c>
      <c r="S17" s="293">
        <f ca="1">S16+S16*$S$13</f>
        <v>0</v>
      </c>
      <c r="T17" s="192"/>
      <c r="U17" s="188"/>
      <c r="V17" s="188"/>
      <c r="W17" s="188"/>
      <c r="X17" s="188"/>
      <c r="Z17" s="363"/>
      <c r="AA17" s="363"/>
      <c r="AB17" s="363"/>
      <c r="AC17" s="363"/>
      <c r="AD17" s="363"/>
      <c r="AE17" s="363"/>
      <c r="AF17" s="368"/>
      <c r="AG17" s="363"/>
      <c r="AH17" s="363"/>
      <c r="AI17" s="363"/>
      <c r="AJ17" s="363"/>
      <c r="AK17" s="363"/>
      <c r="AL17" s="188"/>
      <c r="AM17" s="357" t="str">
        <f>"Simulación departamento: "&amp;AO14</f>
        <v xml:space="preserve">Simulación departamento: </v>
      </c>
      <c r="AN17" s="357"/>
      <c r="AO17" s="357"/>
      <c r="AP17" s="357"/>
      <c r="AQ17" s="357" t="str">
        <f>"Tipología: "&amp;AA10</f>
        <v xml:space="preserve">Tipología: </v>
      </c>
      <c r="AR17" s="357"/>
      <c r="AS17" s="357"/>
      <c r="AT17" s="357"/>
      <c r="AU17" s="239"/>
      <c r="AV17" s="302"/>
      <c r="AW17" s="303"/>
      <c r="AX17" s="303"/>
      <c r="AY17" s="303"/>
      <c r="AZ17" s="188"/>
      <c r="BA17" s="188"/>
      <c r="BB17" s="188"/>
      <c r="BC17" s="188"/>
      <c r="BD17" s="298"/>
      <c r="BE17" s="188"/>
      <c r="BF17" s="188"/>
      <c r="BH17" s="196" t="s">
        <v>41</v>
      </c>
      <c r="BI17" s="304"/>
      <c r="BM17" s="188"/>
      <c r="BN17" s="188"/>
      <c r="BO17" s="188"/>
      <c r="BP17" s="188"/>
      <c r="BQ17" s="188"/>
      <c r="BR17" s="188"/>
      <c r="BS17" s="188"/>
      <c r="BT17" s="188"/>
      <c r="BV17" s="188"/>
      <c r="BW17" s="188"/>
    </row>
    <row r="18" spans="1:75" x14ac:dyDescent="0.35">
      <c r="A18" s="186"/>
      <c r="B18" s="305"/>
      <c r="C18" s="188"/>
      <c r="D18" s="188"/>
      <c r="E18" s="188"/>
      <c r="F18" s="188"/>
      <c r="G18" s="188"/>
      <c r="H18" s="188"/>
      <c r="I18" s="192"/>
      <c r="J18" s="187"/>
      <c r="K18" s="201">
        <f>D12</f>
        <v>0</v>
      </c>
      <c r="L18" s="205" t="str">
        <f>SIMULACIÓN!U4</f>
        <v>0</v>
      </c>
      <c r="M18" s="205">
        <f ca="1">IF(SIMULACIÓN!O4&gt;0,(SIMULACIÓN!O4*PMT($H$19,$D$19,-O3)*VLOOKUP(TODAY(),'UF HOY'!$A$2:$B$36,2,0)/12)+$AD$36," ")</f>
        <v>39734</v>
      </c>
      <c r="N18" s="205">
        <f ca="1">L18-M18</f>
        <v>-39734</v>
      </c>
      <c r="O18" s="202"/>
      <c r="R18" s="292" t="s">
        <v>42</v>
      </c>
      <c r="S18" s="293">
        <f ca="1">S17+S17*$S$13</f>
        <v>0</v>
      </c>
      <c r="T18" s="192"/>
      <c r="U18" s="188"/>
      <c r="V18" s="188"/>
      <c r="W18" s="188"/>
      <c r="X18" s="188"/>
      <c r="Z18" s="255">
        <f>D12</f>
        <v>0</v>
      </c>
      <c r="AA18" s="306" t="str">
        <f>SIMULACIÓN!H4</f>
        <v>0</v>
      </c>
      <c r="AB18" s="307" t="str">
        <f>SIMULACIÓN!I4</f>
        <v>0</v>
      </c>
      <c r="AC18" s="306" t="str">
        <f>SIMULACIÓN!J4</f>
        <v>0</v>
      </c>
      <c r="AD18" s="306" t="str">
        <f>SIMULACIÓN!K4</f>
        <v>0</v>
      </c>
      <c r="AE18" s="306" t="str">
        <f>SIMULACIÓN!L4</f>
        <v>0</v>
      </c>
      <c r="AF18" s="306" t="str">
        <f>SIMULACIÓN!M4</f>
        <v>0</v>
      </c>
      <c r="AG18" s="306">
        <f>SIMULACIÓN!N4</f>
        <v>0</v>
      </c>
      <c r="AH18" s="307">
        <f>SIMULACIÓN!O4</f>
        <v>1</v>
      </c>
      <c r="AI18" s="308" t="str">
        <f>SIMULACIÓN!P4</f>
        <v>0</v>
      </c>
      <c r="AJ18" s="308" t="str">
        <f>SIMULACIÓN!Q4</f>
        <v>0</v>
      </c>
      <c r="AK18" s="309">
        <f ca="1">SIMULACIÓN!R4</f>
        <v>0</v>
      </c>
      <c r="AL18" s="285"/>
      <c r="AM18" s="240"/>
      <c r="AN18" s="240"/>
      <c r="AO18" s="240"/>
      <c r="AP18" s="240"/>
      <c r="AQ18" s="240"/>
      <c r="AR18" s="240"/>
      <c r="AS18" s="240"/>
      <c r="AT18" s="240"/>
      <c r="AV18" s="310"/>
      <c r="AW18" s="310"/>
      <c r="AX18" s="310"/>
      <c r="AY18" s="310"/>
      <c r="AZ18" s="188"/>
      <c r="BA18" s="188"/>
      <c r="BB18" s="188"/>
      <c r="BC18" s="188"/>
      <c r="BD18" s="298"/>
      <c r="BE18" s="188"/>
      <c r="BF18" s="188"/>
      <c r="BH18" s="196" t="str">
        <f ca="1" xml:space="preserve"> CONCATENATE("* Monto en pesos referenciales considerando UF de hoy ($ ",  TEXT(AD34,"##.###"), ").")</f>
        <v>* Monto en pesos referenciales considerando UF de hoy ($ 39.734).</v>
      </c>
      <c r="BM18" s="188"/>
      <c r="BN18" s="188"/>
      <c r="BO18" s="188"/>
      <c r="BP18" s="188"/>
      <c r="BQ18" s="188"/>
      <c r="BR18" s="188"/>
      <c r="BS18" s="188"/>
      <c r="BT18" s="188"/>
    </row>
    <row r="19" spans="1:75" x14ac:dyDescent="0.35">
      <c r="A19" s="186"/>
      <c r="B19" s="353" t="s">
        <v>43</v>
      </c>
      <c r="C19" s="354"/>
      <c r="D19" s="405">
        <v>30</v>
      </c>
      <c r="E19" s="405"/>
      <c r="F19" s="375" t="s">
        <v>44</v>
      </c>
      <c r="G19" s="354"/>
      <c r="H19" s="348">
        <f>IF(OR(AA3="Macul View"),4%,IF(F19="Tasa Banco",4%,4.5%))</f>
        <v>0.04</v>
      </c>
      <c r="I19" s="192"/>
      <c r="J19" s="187"/>
      <c r="K19" s="201"/>
      <c r="L19" s="205"/>
      <c r="M19" s="205"/>
      <c r="N19" s="205"/>
      <c r="O19" s="202"/>
      <c r="R19" s="292" t="s">
        <v>45</v>
      </c>
      <c r="S19" s="293">
        <f ca="1">S18+S18*$S$13</f>
        <v>0</v>
      </c>
      <c r="T19" s="192"/>
      <c r="U19" s="188"/>
      <c r="V19" s="188"/>
      <c r="W19" s="188"/>
      <c r="X19" s="188"/>
      <c r="Z19" s="255"/>
      <c r="AA19" s="306"/>
      <c r="AB19" s="307"/>
      <c r="AC19" s="306"/>
      <c r="AD19" s="306"/>
      <c r="AE19" s="306"/>
      <c r="AF19" s="306"/>
      <c r="AG19" s="306"/>
      <c r="AH19" s="307"/>
      <c r="AI19" s="308"/>
      <c r="AJ19" s="308"/>
      <c r="AK19" s="309"/>
      <c r="AL19" s="188"/>
      <c r="AM19" s="358" t="s">
        <v>19</v>
      </c>
      <c r="AN19" s="358"/>
      <c r="AO19" s="245">
        <f>AF19</f>
        <v>0</v>
      </c>
      <c r="AP19" s="358" t="s">
        <v>20</v>
      </c>
      <c r="AQ19" s="358"/>
      <c r="AR19" s="245">
        <f>AG19</f>
        <v>0</v>
      </c>
      <c r="AS19" s="358" t="s">
        <v>21</v>
      </c>
      <c r="AT19" s="358"/>
      <c r="AU19" s="246">
        <f>AH19</f>
        <v>0</v>
      </c>
      <c r="AX19" s="310"/>
      <c r="AY19" s="310"/>
      <c r="AZ19" s="188"/>
      <c r="BA19" s="188"/>
      <c r="BB19" s="188"/>
      <c r="BC19" s="188"/>
      <c r="BD19" s="188"/>
      <c r="BE19" s="188"/>
      <c r="BF19" s="188"/>
      <c r="BH19" s="196" t="e">
        <f ca="1">"* El cuotón final considera un " &amp;ROUND(BJ14/AF25*100,2)&amp; "% del Precio de Escritura."</f>
        <v>#DIV/0!</v>
      </c>
      <c r="BL19" s="188"/>
      <c r="BM19" s="188"/>
      <c r="BN19" s="188"/>
      <c r="BO19" s="188"/>
      <c r="BP19" s="188"/>
      <c r="BQ19" s="188"/>
      <c r="BR19" s="188"/>
      <c r="BS19" s="188"/>
      <c r="BT19" s="188"/>
    </row>
    <row r="20" spans="1:75" ht="15.75" customHeight="1" x14ac:dyDescent="0.35">
      <c r="A20" s="186"/>
      <c r="B20" s="311"/>
      <c r="C20" s="188"/>
      <c r="D20" s="188"/>
      <c r="E20" s="188"/>
      <c r="F20" s="188"/>
      <c r="G20" s="188"/>
      <c r="H20" s="188"/>
      <c r="I20" s="192"/>
      <c r="J20" s="187"/>
      <c r="K20" s="201"/>
      <c r="L20" s="205"/>
      <c r="M20" s="205"/>
      <c r="N20" s="205"/>
      <c r="O20" s="202"/>
      <c r="R20" s="202"/>
      <c r="S20" s="202"/>
      <c r="T20" s="192"/>
      <c r="U20" s="188"/>
      <c r="V20" s="188"/>
      <c r="W20" s="188"/>
      <c r="X20" s="188"/>
      <c r="Z20" s="255"/>
      <c r="AA20" s="306"/>
      <c r="AB20" s="307"/>
      <c r="AC20" s="306"/>
      <c r="AD20" s="306"/>
      <c r="AE20" s="306"/>
      <c r="AF20" s="306"/>
      <c r="AG20" s="306"/>
      <c r="AH20" s="307"/>
      <c r="AI20" s="308"/>
      <c r="AJ20" s="308"/>
      <c r="AK20" s="309"/>
      <c r="AL20" s="188"/>
      <c r="AU20" s="256"/>
      <c r="AX20" s="188"/>
      <c r="AY20" s="188"/>
      <c r="AZ20" s="188"/>
      <c r="BA20" s="188"/>
      <c r="BB20" s="188"/>
      <c r="BC20" s="188"/>
      <c r="BD20" s="188"/>
      <c r="BE20" s="188"/>
      <c r="BF20" s="188"/>
      <c r="BL20" s="188"/>
      <c r="BM20" s="188"/>
      <c r="BN20" s="188"/>
      <c r="BO20" s="188"/>
      <c r="BP20" s="188"/>
      <c r="BQ20" s="188"/>
      <c r="BR20" s="188"/>
      <c r="BS20" s="188"/>
      <c r="BT20" s="188"/>
    </row>
    <row r="21" spans="1:75" ht="15.75" customHeight="1" x14ac:dyDescent="0.35">
      <c r="A21" s="187"/>
      <c r="B21" s="353" t="s">
        <v>46</v>
      </c>
      <c r="C21" s="354"/>
      <c r="D21" s="312">
        <v>0.03</v>
      </c>
      <c r="E21" s="188"/>
      <c r="F21" s="355" t="str">
        <f>IF(AND(AA3="Macul View",D21&gt;3%),"Bajar % de cuotón","Todo está ok")</f>
        <v>Todo está ok</v>
      </c>
      <c r="G21" s="355"/>
      <c r="H21" s="355"/>
      <c r="I21" s="192"/>
      <c r="J21" s="187"/>
      <c r="K21" s="201"/>
      <c r="L21" s="205"/>
      <c r="M21" s="205"/>
      <c r="N21" s="205"/>
      <c r="O21" s="202"/>
      <c r="P21" s="313" t="s">
        <v>47</v>
      </c>
      <c r="Q21" s="314">
        <f ca="1">SUM(N18:N22)</f>
        <v>-39734</v>
      </c>
      <c r="R21" s="315" t="s">
        <v>48</v>
      </c>
      <c r="S21" s="316">
        <f ca="1">IF((S19-S11-S9)&gt;0,(S19-S11-S9),0)</f>
        <v>0</v>
      </c>
      <c r="T21" s="192"/>
      <c r="U21" s="188"/>
      <c r="V21" s="188"/>
      <c r="W21" s="188"/>
      <c r="X21" s="188"/>
      <c r="Z21" s="255"/>
      <c r="AA21" s="306"/>
      <c r="AB21" s="307"/>
      <c r="AC21" s="306"/>
      <c r="AD21" s="306"/>
      <c r="AE21" s="306"/>
      <c r="AF21" s="306"/>
      <c r="AG21" s="306"/>
      <c r="AH21" s="307"/>
      <c r="AI21" s="308"/>
      <c r="AJ21" s="308"/>
      <c r="AK21" s="309"/>
      <c r="AL21" s="188"/>
      <c r="AM21" s="262"/>
      <c r="AN21" s="262"/>
      <c r="AO21" s="262"/>
      <c r="AP21" s="262"/>
      <c r="AQ21" s="262"/>
      <c r="AR21" s="262"/>
      <c r="AS21" s="262"/>
      <c r="AT21" s="262"/>
      <c r="AU21" s="317"/>
      <c r="AV21" s="262"/>
      <c r="AW21" s="262"/>
      <c r="AX21" s="262"/>
      <c r="AY21" s="262"/>
      <c r="AZ21" s="262"/>
      <c r="BA21" s="262"/>
      <c r="BB21" s="188"/>
      <c r="BC21" s="188"/>
      <c r="BD21" s="188"/>
      <c r="BE21" s="188"/>
      <c r="BF21" s="188"/>
      <c r="BL21" s="188"/>
      <c r="BM21" s="188"/>
      <c r="BN21" s="188"/>
      <c r="BO21" s="188"/>
      <c r="BP21" s="188"/>
      <c r="BQ21" s="188"/>
      <c r="BR21" s="188"/>
      <c r="BS21" s="188"/>
      <c r="BT21" s="188"/>
    </row>
    <row r="22" spans="1:75" ht="15.75" customHeight="1" x14ac:dyDescent="0.35">
      <c r="A22" s="188"/>
      <c r="B22" s="397" t="s">
        <v>216</v>
      </c>
      <c r="C22" s="398"/>
      <c r="D22" s="398"/>
      <c r="E22" s="398"/>
      <c r="F22" s="355"/>
      <c r="G22" s="355"/>
      <c r="H22" s="355"/>
      <c r="I22" s="192"/>
      <c r="J22" s="188"/>
      <c r="K22" s="318"/>
      <c r="L22" s="319"/>
      <c r="M22" s="319"/>
      <c r="N22" s="319"/>
      <c r="O22" s="320"/>
      <c r="P22" s="321" t="str">
        <f>"* Tasa Referencial del "&amp;H19*100&amp;"%."</f>
        <v>* Tasa Referencial del 4%.</v>
      </c>
      <c r="Q22" s="322"/>
      <c r="R22" s="320"/>
      <c r="S22" s="320"/>
      <c r="T22" s="323"/>
      <c r="U22" s="188"/>
      <c r="V22" s="188"/>
      <c r="W22" s="188"/>
      <c r="X22" s="188"/>
      <c r="Z22" s="255"/>
      <c r="AA22" s="306"/>
      <c r="AB22" s="307"/>
      <c r="AC22" s="306"/>
      <c r="AD22" s="306"/>
      <c r="AE22" s="306"/>
      <c r="AF22" s="306"/>
      <c r="AG22" s="306"/>
      <c r="AH22" s="307"/>
      <c r="AI22" s="308"/>
      <c r="AJ22" s="308"/>
      <c r="AK22" s="309"/>
      <c r="AL22" s="188"/>
      <c r="AM22" s="188"/>
      <c r="AN22" s="188"/>
      <c r="AO22" s="188"/>
      <c r="AP22" s="188"/>
      <c r="AQ22" s="188"/>
      <c r="AR22" s="188"/>
      <c r="AS22" s="188"/>
      <c r="AT22" s="188"/>
      <c r="AU22" s="188"/>
      <c r="AV22" s="188"/>
      <c r="AW22" s="188"/>
      <c r="AX22" s="188"/>
      <c r="AY22" s="188"/>
      <c r="AZ22" s="188"/>
      <c r="BA22" s="188"/>
      <c r="BB22" s="188"/>
      <c r="BC22" s="188"/>
      <c r="BD22" s="188"/>
      <c r="BE22" s="188"/>
      <c r="BF22" s="188"/>
      <c r="BL22" s="188"/>
      <c r="BM22" s="188"/>
      <c r="BN22" s="188"/>
      <c r="BO22" s="188"/>
      <c r="BP22" s="188"/>
      <c r="BQ22" s="188"/>
      <c r="BR22" s="188"/>
      <c r="BS22" s="188"/>
      <c r="BT22" s="188"/>
    </row>
    <row r="23" spans="1:75" x14ac:dyDescent="0.35">
      <c r="A23" s="188"/>
      <c r="B23" s="399"/>
      <c r="C23" s="400"/>
      <c r="D23" s="400"/>
      <c r="E23" s="400"/>
      <c r="F23" s="324"/>
      <c r="G23" s="324"/>
      <c r="H23" s="324"/>
      <c r="I23" s="323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Z23" s="213"/>
      <c r="AA23" s="213"/>
      <c r="AB23" s="213"/>
      <c r="AC23" s="213"/>
      <c r="AG23" s="325"/>
      <c r="AH23" s="326"/>
      <c r="AL23" s="327"/>
      <c r="AM23" s="188"/>
      <c r="AN23" s="197"/>
      <c r="AO23" s="359" t="s">
        <v>6</v>
      </c>
      <c r="AP23" s="360"/>
      <c r="AQ23" s="360"/>
      <c r="AR23" s="361"/>
      <c r="AS23" s="190"/>
      <c r="AT23" s="190"/>
      <c r="AU23" s="190"/>
      <c r="AV23" s="362"/>
      <c r="AW23" s="362"/>
      <c r="AX23" s="356"/>
      <c r="AY23" s="356"/>
      <c r="BA23" s="188"/>
      <c r="BB23" s="188"/>
      <c r="BC23" s="188"/>
      <c r="BD23" s="188"/>
      <c r="BE23" s="188"/>
      <c r="BF23" s="188"/>
      <c r="BL23" s="188"/>
      <c r="BM23" s="188"/>
      <c r="BN23" s="188"/>
      <c r="BO23" s="188"/>
      <c r="BP23" s="188"/>
      <c r="BQ23" s="188"/>
      <c r="BR23" s="188"/>
      <c r="BS23" s="188"/>
      <c r="BT23" s="188"/>
    </row>
    <row r="24" spans="1:75" x14ac:dyDescent="0.35">
      <c r="A24" s="188"/>
      <c r="B24" s="188"/>
      <c r="C24" s="188"/>
      <c r="D24" s="188"/>
      <c r="E24" s="188"/>
      <c r="F24" s="188"/>
      <c r="G24" s="188"/>
      <c r="H24" s="188"/>
      <c r="I24" s="188"/>
      <c r="J24" s="188"/>
      <c r="K24" s="328"/>
      <c r="L24" s="328"/>
      <c r="M24" s="328"/>
      <c r="N24" s="328"/>
      <c r="O24" s="328"/>
      <c r="P24" s="328"/>
      <c r="Q24" s="328"/>
      <c r="R24" s="188"/>
      <c r="S24" s="188"/>
      <c r="T24" s="188"/>
      <c r="U24" s="188"/>
      <c r="V24" s="188"/>
      <c r="W24" s="188"/>
      <c r="X24" s="188"/>
      <c r="Y24" s="188"/>
      <c r="Z24" s="188"/>
      <c r="AA24" s="188"/>
      <c r="AB24" s="188"/>
      <c r="AC24" s="188"/>
      <c r="AL24" s="188"/>
      <c r="AM24" s="188"/>
      <c r="AN24" s="197" t="s">
        <v>49</v>
      </c>
      <c r="AO24" s="359"/>
      <c r="AP24" s="360"/>
      <c r="AQ24" s="360"/>
      <c r="AR24" s="361"/>
      <c r="AS24" s="190"/>
      <c r="AT24" s="190"/>
      <c r="AU24" s="190"/>
      <c r="AV24" s="362"/>
      <c r="AW24" s="362"/>
      <c r="AX24" s="356"/>
      <c r="AY24" s="356"/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  <c r="BK24" s="188"/>
      <c r="BL24" s="188"/>
      <c r="BM24" s="188"/>
      <c r="BN24" s="188"/>
      <c r="BO24" s="188"/>
      <c r="BP24" s="188"/>
      <c r="BQ24" s="188"/>
      <c r="BR24" s="188"/>
      <c r="BS24" s="188"/>
      <c r="BT24" s="188"/>
    </row>
    <row r="25" spans="1:75" x14ac:dyDescent="0.35">
      <c r="A25" s="188"/>
      <c r="B25" s="188"/>
      <c r="C25" s="188"/>
      <c r="D25" s="188"/>
      <c r="E25" s="188"/>
      <c r="F25" s="188"/>
      <c r="G25" s="188"/>
      <c r="H25" s="188"/>
      <c r="I25" s="188"/>
      <c r="J25" s="188"/>
      <c r="K25" s="328"/>
      <c r="L25" s="328"/>
      <c r="M25" s="328"/>
      <c r="N25" s="328"/>
      <c r="O25" s="328"/>
      <c r="P25" s="328"/>
      <c r="Q25" s="328"/>
      <c r="R25" s="188"/>
      <c r="S25" s="188"/>
      <c r="T25" s="188"/>
      <c r="U25" s="188"/>
      <c r="V25" s="188"/>
      <c r="W25" s="188"/>
      <c r="X25" s="188"/>
      <c r="Y25" s="188"/>
      <c r="Z25" s="188"/>
      <c r="AA25" s="188"/>
      <c r="AB25" s="188"/>
      <c r="AC25" s="188"/>
      <c r="AD25" s="365"/>
      <c r="AE25" s="365"/>
      <c r="AF25" s="366">
        <f ca="1">SUM(AF18:AF22)*VLOOKUP(TODAY(),'UF HOY'!$A$2:$B$36,2,0)</f>
        <v>0</v>
      </c>
      <c r="AG25" s="329"/>
      <c r="AI25" s="367"/>
      <c r="AJ25" s="367"/>
      <c r="AK25" s="366">
        <f ca="1">SUM(AK18:AK22)</f>
        <v>0</v>
      </c>
      <c r="AL25" s="188"/>
      <c r="AM25" s="188"/>
      <c r="AO25" s="211"/>
      <c r="AP25" s="212"/>
      <c r="AQ25" s="212"/>
      <c r="AR25" s="213"/>
      <c r="AS25" s="213"/>
      <c r="AT25" s="213"/>
      <c r="AU25" s="213"/>
      <c r="AV25" s="214">
        <f>$AV$3</f>
        <v>0.03</v>
      </c>
      <c r="AW25" s="215">
        <f ca="1">((AH20*PMT(AV25,D19,-AO30)*VLOOKUP(TODAY(),'UF HOY'!$A$2:$B$36,2,0))/12)+$AD$36</f>
        <v>39734</v>
      </c>
      <c r="AX25" s="215">
        <f>SIMULACIÓN!$U$6</f>
        <v>0</v>
      </c>
      <c r="AY25" s="215">
        <f ca="1">AX25-AW25</f>
        <v>-39734</v>
      </c>
      <c r="AZ25" s="188"/>
      <c r="BA25" s="188"/>
      <c r="BC25" s="188"/>
      <c r="BD25" s="188"/>
      <c r="BE25" s="188"/>
      <c r="BF25" s="188"/>
      <c r="BG25" s="188"/>
      <c r="BH25" s="188"/>
      <c r="BI25" s="188"/>
      <c r="BJ25" s="188"/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</row>
    <row r="26" spans="1:75" x14ac:dyDescent="0.35">
      <c r="A26" s="188"/>
      <c r="B26" s="188"/>
      <c r="C26" s="188"/>
      <c r="D26" s="188"/>
      <c r="E26" s="188"/>
      <c r="F26" s="188"/>
      <c r="G26" s="188"/>
      <c r="H26" s="188"/>
      <c r="I26" s="188"/>
      <c r="J26" s="188"/>
      <c r="K26" s="328"/>
      <c r="L26" s="328"/>
      <c r="M26" s="328"/>
      <c r="N26" s="328"/>
      <c r="O26" s="328"/>
      <c r="P26" s="328"/>
      <c r="Q26" s="32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188"/>
      <c r="AD26" s="365"/>
      <c r="AE26" s="365"/>
      <c r="AF26" s="366"/>
      <c r="AG26" s="329"/>
      <c r="AI26" s="367"/>
      <c r="AJ26" s="367"/>
      <c r="AK26" s="366"/>
      <c r="AL26" s="188"/>
      <c r="AM26" s="188"/>
      <c r="AN26" s="197"/>
      <c r="AO26" s="213"/>
      <c r="AP26" s="213"/>
      <c r="AQ26" s="213"/>
      <c r="AR26" s="213"/>
      <c r="AS26" s="213"/>
      <c r="AT26" s="213"/>
      <c r="AU26" s="213"/>
      <c r="AV26" s="227">
        <f>$AV$4</f>
        <v>0.04</v>
      </c>
      <c r="AW26" s="228">
        <f ca="1">((AH20*PMT(AV26,D19,-AO30)*VLOOKUP(TODAY(),'UF HOY'!$A$2:$B$36,2,0))/12)+$AD$36</f>
        <v>39734</v>
      </c>
      <c r="AX26" s="228">
        <f>SIMULACIÓN!$U$6</f>
        <v>0</v>
      </c>
      <c r="AY26" s="228">
        <f ca="1">AX26-AW26</f>
        <v>-39734</v>
      </c>
      <c r="AZ26" s="188"/>
      <c r="BA26" s="188"/>
      <c r="BC26" s="188"/>
      <c r="BD26" s="188"/>
      <c r="BE26" s="188"/>
      <c r="BF26" s="188"/>
      <c r="BG26" s="188"/>
      <c r="BH26" s="188"/>
      <c r="BI26" s="188"/>
      <c r="BJ26" s="188"/>
      <c r="BK26" s="188"/>
      <c r="BL26" s="188"/>
      <c r="BM26" s="188"/>
      <c r="BN26" s="188"/>
      <c r="BO26" s="188"/>
      <c r="BP26" s="188"/>
      <c r="BQ26" s="188"/>
      <c r="BR26" s="188"/>
      <c r="BS26" s="188"/>
      <c r="BT26" s="188"/>
    </row>
    <row r="27" spans="1:75" ht="15.75" customHeight="1" x14ac:dyDescent="0.35">
      <c r="A27" s="188"/>
      <c r="B27" s="188"/>
      <c r="C27" s="188"/>
      <c r="D27" s="188"/>
      <c r="E27" s="188"/>
      <c r="F27" s="188"/>
      <c r="G27" s="188"/>
      <c r="H27" s="188"/>
      <c r="I27" s="188"/>
      <c r="J27" s="188"/>
      <c r="K27" s="328"/>
      <c r="L27" s="328"/>
      <c r="M27" s="328"/>
      <c r="N27" s="328"/>
      <c r="O27" s="328"/>
      <c r="P27" s="328"/>
      <c r="Q27" s="328"/>
      <c r="R27" s="188"/>
      <c r="S27" s="188"/>
      <c r="T27" s="188"/>
      <c r="U27" s="188"/>
      <c r="V27" s="188"/>
      <c r="W27" s="188"/>
      <c r="X27" s="188"/>
      <c r="Y27" s="188"/>
      <c r="Z27" s="188"/>
      <c r="AA27" s="188"/>
      <c r="AB27" s="188"/>
      <c r="AC27" s="188"/>
      <c r="AN27" s="330"/>
      <c r="AV27" s="214">
        <f>$AV$5</f>
        <v>0.05</v>
      </c>
      <c r="AW27" s="215">
        <f ca="1">((AH20*PMT(AV27,D19,-AO30)*VLOOKUP(TODAY(),'UF HOY'!$A$2:$B$36,2,0))/12)+$AD$36</f>
        <v>39734</v>
      </c>
      <c r="AX27" s="215">
        <f>SIMULACIÓN!$U$6</f>
        <v>0</v>
      </c>
      <c r="AY27" s="215">
        <f ca="1">AX27-AW27</f>
        <v>-39734</v>
      </c>
      <c r="AZ27" s="188"/>
      <c r="BA27" s="188"/>
      <c r="BB27" s="188"/>
      <c r="BC27" s="188"/>
      <c r="BD27" s="188"/>
      <c r="BE27" s="188"/>
      <c r="BF27" s="188"/>
      <c r="BG27" s="188"/>
      <c r="BH27" s="188"/>
      <c r="BI27" s="188"/>
      <c r="BJ27" s="188"/>
      <c r="BK27" s="188"/>
      <c r="BL27" s="188"/>
      <c r="BM27" s="188"/>
      <c r="BN27" s="188"/>
      <c r="BO27" s="188"/>
      <c r="BP27" s="188"/>
      <c r="BQ27" s="188"/>
      <c r="BR27" s="188"/>
      <c r="BS27" s="188"/>
      <c r="BT27" s="188"/>
    </row>
    <row r="28" spans="1:75" x14ac:dyDescent="0.35">
      <c r="A28" s="188"/>
      <c r="B28" s="188"/>
      <c r="C28" s="188"/>
      <c r="D28" s="188"/>
      <c r="E28" s="188"/>
      <c r="F28" s="188"/>
      <c r="G28" s="188"/>
      <c r="H28" s="188"/>
      <c r="I28" s="188"/>
      <c r="J28" s="188"/>
      <c r="K28" s="328"/>
      <c r="L28" s="328"/>
      <c r="M28" s="328"/>
      <c r="N28" s="328"/>
      <c r="O28" s="328"/>
      <c r="P28" s="328"/>
      <c r="Q28" s="32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188"/>
      <c r="AL28" s="188"/>
      <c r="AM28" s="357" t="str">
        <f>"Simulación departamento: "&amp;AO25</f>
        <v xml:space="preserve">Simulación departamento: </v>
      </c>
      <c r="AN28" s="357"/>
      <c r="AO28" s="357"/>
      <c r="AP28" s="357"/>
      <c r="AQ28" s="357" t="str">
        <f>"Tipología: "&amp;AA11</f>
        <v xml:space="preserve">Tipología: </v>
      </c>
      <c r="AR28" s="357"/>
      <c r="AS28" s="357"/>
      <c r="AT28" s="357"/>
      <c r="AV28" s="302"/>
      <c r="AW28" s="294"/>
      <c r="AX28" s="294"/>
      <c r="AZ28" s="188"/>
      <c r="BA28" s="188"/>
      <c r="BB28" s="188"/>
      <c r="BC28" s="188"/>
      <c r="BD28" s="188"/>
      <c r="BE28" s="188"/>
      <c r="BF28" s="188"/>
      <c r="BG28" s="188"/>
      <c r="BH28" s="188"/>
      <c r="BI28" s="188"/>
      <c r="BJ28" s="188"/>
      <c r="BK28" s="188"/>
      <c r="BL28" s="188"/>
      <c r="BM28" s="188"/>
      <c r="BN28" s="188"/>
      <c r="BO28" s="188"/>
      <c r="BP28" s="188"/>
      <c r="BQ28" s="188"/>
      <c r="BR28" s="188"/>
      <c r="BS28" s="188"/>
      <c r="BT28" s="188"/>
    </row>
    <row r="29" spans="1:75" x14ac:dyDescent="0.35">
      <c r="A29" s="188"/>
      <c r="B29" s="188"/>
      <c r="C29" s="188"/>
      <c r="D29" s="188"/>
      <c r="E29" s="188"/>
      <c r="F29" s="188"/>
      <c r="G29" s="188"/>
      <c r="H29" s="188"/>
      <c r="I29" s="188"/>
      <c r="J29" s="188"/>
      <c r="K29" s="328"/>
      <c r="L29" s="328"/>
      <c r="M29" s="328"/>
      <c r="N29" s="328"/>
      <c r="O29" s="328"/>
      <c r="P29" s="328"/>
      <c r="Q29" s="328"/>
      <c r="R29" s="188"/>
      <c r="S29" s="188"/>
      <c r="T29" s="188"/>
      <c r="U29" s="188"/>
      <c r="V29" s="188"/>
      <c r="W29" s="188"/>
      <c r="X29" s="188"/>
      <c r="Y29" s="188"/>
      <c r="Z29" s="188"/>
      <c r="AA29" s="188"/>
      <c r="AB29" s="188"/>
      <c r="AC29" s="188"/>
      <c r="AE29" s="363"/>
      <c r="AF29" s="331">
        <f>SUM(AF18:AF22)</f>
        <v>0</v>
      </c>
      <c r="AG29" s="363"/>
      <c r="AH29" s="363"/>
      <c r="AI29" s="363"/>
      <c r="AJ29" s="363"/>
      <c r="AK29" s="331">
        <f ca="1">AK25/VLOOKUP(TODAY(),'UF HOY'!$A$2:$B$36,2,0)</f>
        <v>0</v>
      </c>
      <c r="AL29" s="188"/>
      <c r="AM29" s="240"/>
      <c r="AN29" s="240"/>
      <c r="AO29" s="240"/>
      <c r="AP29" s="240"/>
      <c r="AQ29" s="240"/>
      <c r="AR29" s="240"/>
      <c r="AS29" s="240"/>
      <c r="AT29" s="240"/>
      <c r="AV29" s="310"/>
      <c r="AW29" s="310"/>
      <c r="AX29" s="310"/>
      <c r="AY29" s="310"/>
      <c r="AZ29" s="188"/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</row>
    <row r="30" spans="1:75" x14ac:dyDescent="0.35">
      <c r="A30" s="188"/>
      <c r="B30" s="188"/>
      <c r="C30" s="188"/>
      <c r="D30" s="188"/>
      <c r="E30" s="188"/>
      <c r="F30" s="188"/>
      <c r="G30" s="188"/>
      <c r="H30" s="188"/>
      <c r="I30" s="188"/>
      <c r="J30" s="188"/>
      <c r="K30" s="328"/>
      <c r="L30" s="328"/>
      <c r="M30" s="328"/>
      <c r="N30" s="328"/>
      <c r="O30" s="328"/>
      <c r="P30" s="328"/>
      <c r="Q30" s="328"/>
      <c r="R30" s="188"/>
      <c r="S30" s="188"/>
      <c r="T30" s="188"/>
      <c r="U30" s="188"/>
      <c r="V30" s="188"/>
      <c r="W30" s="188"/>
      <c r="X30" s="188"/>
      <c r="Y30" s="188"/>
      <c r="Z30" s="188"/>
      <c r="AA30" s="188"/>
      <c r="AB30" s="188"/>
      <c r="AC30" s="188"/>
      <c r="AE30" s="363"/>
      <c r="AF30" s="332"/>
      <c r="AG30" s="363"/>
      <c r="AH30" s="363"/>
      <c r="AI30" s="363"/>
      <c r="AJ30" s="363"/>
      <c r="AK30" s="332"/>
      <c r="AL30" s="188"/>
      <c r="AM30" s="358" t="s">
        <v>19</v>
      </c>
      <c r="AN30" s="358"/>
      <c r="AO30" s="245">
        <f>AF20</f>
        <v>0</v>
      </c>
      <c r="AP30" s="358" t="s">
        <v>20</v>
      </c>
      <c r="AQ30" s="358"/>
      <c r="AR30" s="245">
        <f>AG20</f>
        <v>0</v>
      </c>
      <c r="AS30" s="358" t="s">
        <v>21</v>
      </c>
      <c r="AT30" s="358"/>
      <c r="AU30" s="246">
        <f>AH20</f>
        <v>0</v>
      </c>
      <c r="AV30" s="333"/>
      <c r="AW30" s="334"/>
      <c r="AX30" s="310"/>
      <c r="AY30" s="310"/>
      <c r="AZ30" s="188"/>
      <c r="BA30" s="188"/>
      <c r="BB30" s="188"/>
      <c r="BC30" s="188"/>
      <c r="BD30" s="188"/>
      <c r="BE30" s="188"/>
      <c r="BF30" s="188"/>
      <c r="BG30" s="188"/>
      <c r="BH30" s="188"/>
      <c r="BI30" s="188"/>
      <c r="BJ30" s="188"/>
      <c r="BK30" s="188"/>
      <c r="BL30" s="188"/>
      <c r="BM30" s="188"/>
      <c r="BN30" s="188"/>
      <c r="BO30" s="188"/>
      <c r="BP30" s="188"/>
      <c r="BQ30" s="188"/>
      <c r="BR30" s="188"/>
      <c r="BS30" s="188"/>
      <c r="BT30" s="188"/>
    </row>
    <row r="31" spans="1:75" x14ac:dyDescent="0.35">
      <c r="A31" s="188"/>
      <c r="B31" s="188"/>
      <c r="C31" s="188"/>
      <c r="D31" s="188"/>
      <c r="E31" s="188"/>
      <c r="F31" s="188"/>
      <c r="G31" s="188"/>
      <c r="H31" s="188"/>
      <c r="I31" s="188"/>
      <c r="J31" s="188"/>
      <c r="K31" s="328"/>
      <c r="L31" s="328"/>
      <c r="M31" s="328"/>
      <c r="N31" s="328"/>
      <c r="O31" s="328"/>
      <c r="P31" s="328"/>
      <c r="Q31" s="328"/>
      <c r="R31" s="188"/>
      <c r="S31" s="188"/>
      <c r="T31" s="188"/>
      <c r="U31" s="188"/>
      <c r="V31" s="188"/>
      <c r="W31" s="188"/>
      <c r="X31" s="188"/>
      <c r="Y31" s="188"/>
      <c r="Z31" s="188"/>
      <c r="AA31" s="188"/>
      <c r="AB31" s="188"/>
      <c r="AC31" s="188"/>
      <c r="AL31" s="188"/>
      <c r="AN31" s="330"/>
      <c r="AO31" s="294"/>
      <c r="AP31" s="294"/>
      <c r="AQ31" s="294"/>
      <c r="AR31" s="294"/>
      <c r="AS31" s="294"/>
      <c r="AT31" s="294"/>
      <c r="AU31" s="256"/>
      <c r="AV31" s="294"/>
      <c r="AW31" s="213"/>
      <c r="AX31" s="213"/>
      <c r="AY31" s="188"/>
      <c r="AZ31" s="188"/>
      <c r="BA31" s="188"/>
      <c r="BB31" s="188"/>
      <c r="BC31" s="188"/>
      <c r="BD31" s="188"/>
      <c r="BE31" s="188"/>
      <c r="BF31" s="188"/>
      <c r="BG31" s="188"/>
      <c r="BH31" s="188"/>
      <c r="BI31" s="188"/>
      <c r="BJ31" s="188"/>
      <c r="BK31" s="188"/>
      <c r="BL31" s="188"/>
      <c r="BM31" s="188"/>
      <c r="BN31" s="188"/>
      <c r="BO31" s="188"/>
      <c r="BP31" s="188"/>
      <c r="BQ31" s="188"/>
      <c r="BR31" s="188"/>
      <c r="BS31" s="188"/>
      <c r="BT31" s="188"/>
    </row>
    <row r="32" spans="1:75" x14ac:dyDescent="0.35">
      <c r="A32" s="188"/>
      <c r="B32" s="188"/>
      <c r="C32" s="188"/>
      <c r="D32" s="188"/>
      <c r="E32" s="188"/>
      <c r="F32" s="188"/>
      <c r="G32" s="188"/>
      <c r="H32" s="188"/>
      <c r="I32" s="188"/>
      <c r="J32" s="188"/>
      <c r="K32" s="328"/>
      <c r="L32" s="328"/>
      <c r="M32" s="328"/>
      <c r="N32" s="328"/>
      <c r="O32" s="328"/>
      <c r="P32" s="328"/>
      <c r="Q32" s="328"/>
      <c r="R32" s="188"/>
      <c r="S32" s="188"/>
      <c r="T32" s="188"/>
      <c r="U32" s="188"/>
      <c r="V32" s="188"/>
      <c r="W32" s="188"/>
      <c r="X32" s="188"/>
      <c r="Y32" s="188"/>
      <c r="Z32" s="188"/>
      <c r="AA32" s="188"/>
      <c r="AB32" s="188"/>
      <c r="AC32" s="188"/>
      <c r="AD32" s="364" t="str">
        <f ca="1">CONCATENATE("* Monto en pesos referenciales considerando UF de hoy ($ ", TEXT(AD34,"##.###"), ") al ", TEXT(TODAY(),"dd-mm-yy"), ".")</f>
        <v>* Monto en pesos referenciales considerando UF de hoy ($ 39.734) al 18-02-26.</v>
      </c>
      <c r="AE32" s="364"/>
      <c r="AF32" s="364"/>
      <c r="AG32" s="364"/>
      <c r="AL32" s="188"/>
      <c r="AM32" s="262"/>
      <c r="AN32" s="335"/>
      <c r="AO32" s="336"/>
      <c r="AP32" s="336"/>
      <c r="AQ32" s="336"/>
      <c r="AR32" s="336"/>
      <c r="AS32" s="336"/>
      <c r="AT32" s="336"/>
      <c r="AU32" s="317"/>
      <c r="AV32" s="336"/>
      <c r="AW32" s="336"/>
      <c r="AX32" s="336"/>
      <c r="AY32" s="262"/>
      <c r="AZ32" s="262"/>
      <c r="BA32" s="262"/>
      <c r="BB32" s="188"/>
      <c r="BC32" s="188"/>
      <c r="BD32" s="188"/>
      <c r="BE32" s="188"/>
      <c r="BF32" s="188"/>
      <c r="BG32" s="188"/>
      <c r="BH32" s="188"/>
      <c r="BI32" s="188"/>
      <c r="BJ32" s="188"/>
      <c r="BK32" s="188"/>
      <c r="BL32" s="188"/>
      <c r="BM32" s="188"/>
      <c r="BN32" s="188"/>
      <c r="BO32" s="188"/>
      <c r="BP32" s="188"/>
      <c r="BQ32" s="188"/>
      <c r="BR32" s="188"/>
      <c r="BS32" s="188"/>
      <c r="BT32" s="188"/>
    </row>
    <row r="33" spans="1:72" ht="15.75" customHeight="1" x14ac:dyDescent="0.35">
      <c r="A33" s="188"/>
      <c r="B33" s="188"/>
      <c r="C33" s="188"/>
      <c r="D33" s="188"/>
      <c r="E33" s="188"/>
      <c r="F33" s="188"/>
      <c r="G33" s="188"/>
      <c r="H33" s="188"/>
      <c r="I33" s="188"/>
      <c r="J33" s="188"/>
      <c r="K33" s="328"/>
      <c r="L33" s="328"/>
      <c r="M33" s="328"/>
      <c r="N33" s="328"/>
      <c r="O33" s="328"/>
      <c r="P33" s="328"/>
      <c r="Q33" s="328"/>
      <c r="R33" s="188"/>
      <c r="S33" s="188"/>
      <c r="T33" s="188"/>
      <c r="U33" s="188"/>
      <c r="V33" s="188"/>
      <c r="W33" s="188"/>
      <c r="X33" s="188"/>
      <c r="Y33" s="188"/>
      <c r="Z33" s="188"/>
      <c r="AA33" s="188"/>
      <c r="AB33" s="188"/>
      <c r="AC33" s="188"/>
      <c r="AD33" s="188"/>
      <c r="AE33" s="188"/>
      <c r="AF33" s="188"/>
      <c r="AG33" s="188"/>
      <c r="AH33" s="337"/>
      <c r="AI33" s="188"/>
      <c r="AJ33" s="188"/>
      <c r="AK33" s="285"/>
      <c r="AL33" s="188"/>
      <c r="AM33" s="188"/>
      <c r="AN33" s="197"/>
      <c r="AO33" s="188"/>
      <c r="AP33" s="188"/>
      <c r="AQ33" s="188"/>
      <c r="AR33" s="188"/>
      <c r="AS33" s="188"/>
      <c r="AT33" s="188"/>
      <c r="AU33" s="188"/>
      <c r="AV33" s="213"/>
      <c r="AW33" s="213"/>
      <c r="AX33" s="213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  <c r="BI33" s="188"/>
      <c r="BJ33" s="188"/>
      <c r="BK33" s="188"/>
      <c r="BL33" s="188"/>
      <c r="BM33" s="188"/>
      <c r="BN33" s="188"/>
      <c r="BO33" s="188"/>
      <c r="BP33" s="188"/>
      <c r="BQ33" s="188"/>
      <c r="BR33" s="188"/>
      <c r="BS33" s="188"/>
      <c r="BT33" s="188"/>
    </row>
    <row r="34" spans="1:72" x14ac:dyDescent="0.35">
      <c r="A34" s="188"/>
      <c r="B34" s="188"/>
      <c r="C34" s="188"/>
      <c r="D34" s="188"/>
      <c r="E34" s="188"/>
      <c r="F34" s="188"/>
      <c r="G34" s="188"/>
      <c r="H34" s="188"/>
      <c r="I34" s="188"/>
      <c r="J34" s="188"/>
      <c r="K34" s="328"/>
      <c r="L34" s="328"/>
      <c r="M34" s="328"/>
      <c r="N34" s="328"/>
      <c r="O34" s="328"/>
      <c r="P34" s="328"/>
      <c r="Q34" s="32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208" t="s">
        <v>50</v>
      </c>
      <c r="AD34" s="338">
        <f ca="1">ROUNDUP(VLOOKUP(TODAY(),'UF HOY'!$A$2:$B$36,2,0),0)</f>
        <v>39734</v>
      </c>
      <c r="AE34" s="188"/>
      <c r="AF34" s="188"/>
      <c r="AG34" s="188"/>
      <c r="AH34" s="188"/>
      <c r="AI34" s="188"/>
      <c r="AJ34" s="188"/>
      <c r="AK34" s="188"/>
      <c r="AL34" s="188"/>
      <c r="AM34" s="188"/>
      <c r="AN34" s="197"/>
      <c r="AO34" s="359" t="s">
        <v>6</v>
      </c>
      <c r="AP34" s="360"/>
      <c r="AQ34" s="360"/>
      <c r="AR34" s="361"/>
      <c r="AS34" s="190"/>
      <c r="AT34" s="190"/>
      <c r="AU34" s="190"/>
      <c r="AV34" s="362"/>
      <c r="AW34" s="362"/>
      <c r="AX34" s="356"/>
      <c r="AY34" s="356"/>
      <c r="BA34" s="188"/>
      <c r="BB34" s="188"/>
      <c r="BC34" s="188"/>
      <c r="BD34" s="188"/>
      <c r="BE34" s="188"/>
      <c r="BF34" s="188"/>
      <c r="BG34" s="188"/>
      <c r="BH34" s="188"/>
      <c r="BI34" s="188"/>
      <c r="BJ34" s="188"/>
      <c r="BK34" s="188"/>
      <c r="BL34" s="188"/>
      <c r="BM34" s="188"/>
      <c r="BN34" s="188"/>
      <c r="BO34" s="188"/>
      <c r="BP34" s="188"/>
      <c r="BQ34" s="188"/>
      <c r="BR34" s="188"/>
      <c r="BS34" s="188"/>
      <c r="BT34" s="188"/>
    </row>
    <row r="35" spans="1:72" x14ac:dyDescent="0.35">
      <c r="A35" s="188"/>
      <c r="B35" s="188"/>
      <c r="C35" s="188"/>
      <c r="D35" s="188"/>
      <c r="E35" s="188"/>
      <c r="F35" s="188"/>
      <c r="G35" s="188"/>
      <c r="H35" s="188"/>
      <c r="I35" s="188"/>
      <c r="J35" s="188"/>
      <c r="K35" s="328"/>
      <c r="L35" s="328"/>
      <c r="M35" s="328"/>
      <c r="N35" s="328"/>
      <c r="O35" s="328"/>
      <c r="P35" s="328"/>
      <c r="Q35" s="328"/>
      <c r="R35" s="188"/>
      <c r="S35" s="188"/>
      <c r="T35" s="188"/>
      <c r="U35" s="188"/>
      <c r="V35" s="188"/>
      <c r="W35" s="188"/>
      <c r="X35" s="188"/>
      <c r="Y35" s="188"/>
      <c r="Z35" s="188"/>
      <c r="AA35" s="188"/>
      <c r="AB35" s="188"/>
      <c r="AC35" s="208"/>
      <c r="AD35" s="339"/>
      <c r="AE35" s="188"/>
      <c r="AF35" s="188"/>
      <c r="AG35" s="188"/>
      <c r="AH35" s="340"/>
      <c r="AI35" s="188"/>
      <c r="AJ35" s="188"/>
      <c r="AK35" s="188"/>
      <c r="AL35" s="188"/>
      <c r="AM35" s="188"/>
      <c r="AN35" s="197" t="s">
        <v>51</v>
      </c>
      <c r="AO35" s="359"/>
      <c r="AP35" s="360"/>
      <c r="AQ35" s="360"/>
      <c r="AR35" s="361"/>
      <c r="AS35" s="190"/>
      <c r="AT35" s="190"/>
      <c r="AU35" s="190"/>
      <c r="AV35" s="362"/>
      <c r="AW35" s="362"/>
      <c r="AX35" s="356"/>
      <c r="AY35" s="356"/>
      <c r="BA35" s="188"/>
      <c r="BB35" s="188"/>
      <c r="BC35" s="188"/>
      <c r="BD35" s="188"/>
      <c r="BE35" s="188"/>
      <c r="BF35" s="188"/>
      <c r="BG35" s="188"/>
      <c r="BH35" s="188"/>
      <c r="BI35" s="188"/>
      <c r="BJ35" s="188"/>
      <c r="BK35" s="188"/>
      <c r="BL35" s="188"/>
      <c r="BM35" s="188"/>
      <c r="BN35" s="188"/>
      <c r="BO35" s="188"/>
      <c r="BP35" s="188"/>
      <c r="BQ35" s="188"/>
      <c r="BR35" s="188"/>
      <c r="BS35" s="188"/>
      <c r="BT35" s="188"/>
    </row>
    <row r="36" spans="1:72" ht="15.75" customHeight="1" x14ac:dyDescent="0.35">
      <c r="A36" s="188"/>
      <c r="B36" s="188"/>
      <c r="C36" s="188"/>
      <c r="D36" s="188"/>
      <c r="E36" s="188"/>
      <c r="F36" s="188"/>
      <c r="G36" s="188"/>
      <c r="H36" s="188"/>
      <c r="I36" s="188"/>
      <c r="J36" s="188"/>
      <c r="K36" s="328"/>
      <c r="L36" s="328"/>
      <c r="M36" s="328"/>
      <c r="N36" s="328"/>
      <c r="O36" s="328"/>
      <c r="P36" s="328"/>
      <c r="Q36" s="328"/>
      <c r="R36" s="188"/>
      <c r="S36" s="188"/>
      <c r="T36" s="188"/>
      <c r="U36" s="188"/>
      <c r="V36" s="188"/>
      <c r="W36" s="188"/>
      <c r="X36" s="188"/>
      <c r="Y36" s="188"/>
      <c r="Z36" s="188"/>
      <c r="AA36" s="188"/>
      <c r="AB36" s="188"/>
      <c r="AC36" s="208" t="s">
        <v>145</v>
      </c>
      <c r="AD36" s="338">
        <f ca="1">AD34</f>
        <v>39734</v>
      </c>
      <c r="AE36" s="188"/>
      <c r="AF36" s="188"/>
      <c r="AG36" s="188"/>
      <c r="AH36" s="188"/>
      <c r="AI36" s="188"/>
      <c r="AJ36" s="188"/>
      <c r="AK36" s="188"/>
      <c r="AL36" s="188"/>
      <c r="AM36" s="188"/>
      <c r="AO36" s="211"/>
      <c r="AP36" s="212"/>
      <c r="AQ36" s="212"/>
      <c r="AR36" s="213"/>
      <c r="AS36" s="213"/>
      <c r="AT36" s="213"/>
      <c r="AU36" s="213"/>
      <c r="AV36" s="214">
        <f>$AV$3</f>
        <v>0.03</v>
      </c>
      <c r="AW36" s="215">
        <f ca="1">((AH21*PMT(AV36,D19,-AO41)*VLOOKUP(TODAY(),'UF HOY'!$A$2:$B$36,2,0))/12)+$AD$36</f>
        <v>39734</v>
      </c>
      <c r="AX36" s="215">
        <f>SIMULACIÓN!$U$7</f>
        <v>0</v>
      </c>
      <c r="AY36" s="215">
        <f ca="1">AX36-AW36</f>
        <v>-39734</v>
      </c>
      <c r="AZ36" s="188"/>
      <c r="BA36" s="188"/>
      <c r="BB36" s="188"/>
      <c r="BC36" s="188"/>
      <c r="BD36" s="188"/>
      <c r="BE36" s="188"/>
      <c r="BF36" s="188"/>
      <c r="BG36" s="188"/>
      <c r="BH36" s="188"/>
      <c r="BI36" s="188"/>
      <c r="BJ36" s="188"/>
      <c r="BK36" s="188"/>
      <c r="BL36" s="188"/>
      <c r="BM36" s="188"/>
      <c r="BN36" s="188"/>
      <c r="BO36" s="188"/>
      <c r="BP36" s="188"/>
      <c r="BQ36" s="188"/>
      <c r="BR36" s="188"/>
      <c r="BS36" s="188"/>
      <c r="BT36" s="188"/>
    </row>
    <row r="37" spans="1:72" ht="15.75" customHeight="1" x14ac:dyDescent="0.45">
      <c r="A37" s="188"/>
      <c r="B37" s="188"/>
      <c r="C37" s="188"/>
      <c r="D37" s="188"/>
      <c r="E37" s="188"/>
      <c r="F37" s="188"/>
      <c r="G37" s="188"/>
      <c r="H37" s="188"/>
      <c r="I37" s="188"/>
      <c r="J37" s="188"/>
      <c r="K37" s="328"/>
      <c r="L37" s="328"/>
      <c r="M37" s="328"/>
      <c r="N37" s="328"/>
      <c r="O37" s="328"/>
      <c r="P37" s="328"/>
      <c r="Q37" s="328"/>
      <c r="R37" s="188"/>
      <c r="S37" s="188"/>
      <c r="T37" s="188"/>
      <c r="U37" s="188"/>
      <c r="V37" s="188"/>
      <c r="W37" s="188"/>
      <c r="X37" s="188"/>
      <c r="Y37" s="188"/>
      <c r="Z37" s="188"/>
      <c r="AA37" s="188"/>
      <c r="AB37" s="188"/>
      <c r="AC37" s="188"/>
      <c r="AD37" s="341"/>
      <c r="AE37" s="188"/>
      <c r="AF37" s="188"/>
      <c r="AG37" s="188"/>
      <c r="AH37" s="188"/>
      <c r="AI37" s="188"/>
      <c r="AJ37" s="188"/>
      <c r="AK37" s="188"/>
      <c r="AL37" s="188"/>
      <c r="AM37" s="188"/>
      <c r="AN37" s="197"/>
      <c r="AO37" s="213"/>
      <c r="AP37" s="213"/>
      <c r="AQ37" s="213"/>
      <c r="AR37" s="213"/>
      <c r="AS37" s="213"/>
      <c r="AT37" s="213"/>
      <c r="AU37" s="213"/>
      <c r="AV37" s="227">
        <f>$AV$4</f>
        <v>0.04</v>
      </c>
      <c r="AW37" s="228">
        <f ca="1">((AH21*PMT(AV37,D19,-AO41)*VLOOKUP(TODAY(),'UF HOY'!$A$2:$B$36,2,0))/12)+$AD$36</f>
        <v>39734</v>
      </c>
      <c r="AX37" s="228">
        <f>SIMULACIÓN!$U$7</f>
        <v>0</v>
      </c>
      <c r="AY37" s="228">
        <f t="shared" ref="AY37:AY38" ca="1" si="2">AX37-AW37</f>
        <v>-39734</v>
      </c>
      <c r="AZ37" s="188"/>
      <c r="BA37" s="188"/>
      <c r="BB37" s="188"/>
      <c r="BC37" s="188"/>
      <c r="BD37" s="188"/>
      <c r="BE37" s="188"/>
      <c r="BF37" s="188"/>
      <c r="BG37" s="188"/>
      <c r="BH37" s="188"/>
      <c r="BI37" s="188"/>
      <c r="BJ37" s="188"/>
      <c r="BK37" s="188"/>
      <c r="BL37" s="188"/>
      <c r="BM37" s="188"/>
      <c r="BN37" s="188"/>
      <c r="BO37" s="188"/>
      <c r="BP37" s="188"/>
      <c r="BQ37" s="188"/>
      <c r="BR37" s="188"/>
      <c r="BS37" s="188"/>
      <c r="BT37" s="188"/>
    </row>
    <row r="38" spans="1:72" x14ac:dyDescent="0.35">
      <c r="A38" s="188"/>
      <c r="B38" s="188"/>
      <c r="C38" s="188"/>
      <c r="D38" s="188"/>
      <c r="E38" s="188"/>
      <c r="F38" s="188"/>
      <c r="G38" s="188"/>
      <c r="H38" s="188"/>
      <c r="I38" s="188"/>
      <c r="J38" s="188"/>
      <c r="K38" s="188"/>
      <c r="L38" s="188"/>
      <c r="M38" s="188"/>
      <c r="N38" s="188"/>
      <c r="O38" s="188"/>
      <c r="P38" s="188"/>
      <c r="Q38" s="188"/>
      <c r="R38" s="188"/>
      <c r="S38" s="188"/>
      <c r="T38" s="188"/>
      <c r="U38" s="188"/>
      <c r="V38" s="188"/>
      <c r="W38" s="188"/>
      <c r="X38" s="188"/>
      <c r="Y38" s="188"/>
      <c r="Z38" s="188"/>
      <c r="AA38" s="188"/>
      <c r="AB38" s="188"/>
      <c r="AC38" s="188"/>
      <c r="AD38" s="188"/>
      <c r="AE38" s="188"/>
      <c r="AF38" s="188"/>
      <c r="AG38" s="188"/>
      <c r="AH38" s="188"/>
      <c r="AI38" s="188"/>
      <c r="AJ38" s="188"/>
      <c r="AK38" s="188"/>
      <c r="AL38" s="188"/>
      <c r="AN38" s="330"/>
      <c r="AV38" s="214">
        <f>$AV$5</f>
        <v>0.05</v>
      </c>
      <c r="AW38" s="215">
        <f ca="1">((AH21*PMT(AV38,D19,-AO41)*VLOOKUP(TODAY(),'UF HOY'!$A$2:$B$36,2,0))/12)+$AD$36</f>
        <v>39734</v>
      </c>
      <c r="AX38" s="215">
        <f>SIMULACIÓN!$U$7</f>
        <v>0</v>
      </c>
      <c r="AY38" s="215">
        <f t="shared" ca="1" si="2"/>
        <v>-39734</v>
      </c>
      <c r="AZ38" s="188"/>
      <c r="BA38" s="188"/>
      <c r="BB38" s="188"/>
      <c r="BC38" s="188"/>
      <c r="BD38" s="188"/>
      <c r="BE38" s="188"/>
      <c r="BF38" s="188"/>
      <c r="BG38" s="188"/>
      <c r="BH38" s="188"/>
      <c r="BI38" s="188"/>
      <c r="BJ38" s="188"/>
      <c r="BK38" s="188"/>
      <c r="BL38" s="188"/>
      <c r="BM38" s="188"/>
      <c r="BN38" s="188"/>
      <c r="BO38" s="188"/>
      <c r="BP38" s="188"/>
      <c r="BQ38" s="188"/>
      <c r="BR38" s="188"/>
      <c r="BS38" s="188"/>
      <c r="BT38" s="188"/>
    </row>
    <row r="39" spans="1:72" x14ac:dyDescent="0.35">
      <c r="A39" s="188"/>
      <c r="B39" s="188"/>
      <c r="C39" s="188"/>
      <c r="D39" s="188"/>
      <c r="E39" s="188"/>
      <c r="F39" s="188"/>
      <c r="G39" s="188"/>
      <c r="H39" s="188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S39" s="188"/>
      <c r="T39" s="188"/>
      <c r="U39" s="188"/>
      <c r="V39" s="188"/>
      <c r="W39" s="188"/>
      <c r="X39" s="188"/>
      <c r="Y39" s="188"/>
      <c r="Z39" s="188"/>
      <c r="AA39" s="188"/>
      <c r="AB39" s="188"/>
      <c r="AC39" s="188"/>
      <c r="AD39" s="188"/>
      <c r="AE39" s="188"/>
      <c r="AF39" s="188"/>
      <c r="AG39" s="188"/>
      <c r="AH39" s="188"/>
      <c r="AI39" s="188"/>
      <c r="AJ39" s="188"/>
      <c r="AK39" s="188"/>
      <c r="AL39" s="188"/>
      <c r="AM39" s="357" t="str">
        <f>"Simulación departamento: "&amp;AO36</f>
        <v xml:space="preserve">Simulación departamento: </v>
      </c>
      <c r="AN39" s="357"/>
      <c r="AO39" s="357"/>
      <c r="AP39" s="357"/>
      <c r="AQ39" s="357" t="str">
        <f>"Tipología: "&amp;AA12</f>
        <v xml:space="preserve">Tipología: </v>
      </c>
      <c r="AR39" s="357"/>
      <c r="AS39" s="357"/>
      <c r="AT39" s="357"/>
      <c r="AV39" s="302"/>
      <c r="AW39" s="240"/>
      <c r="AX39" s="240"/>
      <c r="AY39" s="240"/>
      <c r="AZ39" s="188"/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</row>
    <row r="40" spans="1:72" x14ac:dyDescent="0.35">
      <c r="A40" s="188"/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8"/>
      <c r="P40" s="188"/>
      <c r="Q40" s="188"/>
      <c r="R40" s="188"/>
      <c r="S40" s="188"/>
      <c r="T40" s="188"/>
      <c r="U40" s="188"/>
      <c r="V40" s="188"/>
      <c r="W40" s="188"/>
      <c r="X40" s="188"/>
      <c r="Y40" s="188"/>
      <c r="Z40" s="188"/>
      <c r="AA40" s="188"/>
      <c r="AB40" s="188"/>
      <c r="AC40" s="188"/>
      <c r="AD40" s="188"/>
      <c r="AE40" s="188"/>
      <c r="AF40" s="188"/>
      <c r="AG40" s="188"/>
      <c r="AH40" s="188"/>
      <c r="AI40" s="188"/>
      <c r="AJ40" s="188"/>
      <c r="AK40" s="188"/>
      <c r="AL40" s="188"/>
      <c r="AM40" s="240"/>
      <c r="AN40" s="240"/>
      <c r="AO40" s="240"/>
      <c r="AP40" s="240"/>
      <c r="AQ40" s="240"/>
      <c r="AR40" s="240"/>
      <c r="AS40" s="240"/>
      <c r="AT40" s="240"/>
      <c r="AV40" s="310"/>
      <c r="AW40" s="310"/>
      <c r="AX40" s="310"/>
      <c r="AY40" s="310"/>
      <c r="AZ40" s="188"/>
      <c r="BA40" s="188"/>
      <c r="BB40" s="188"/>
      <c r="BC40" s="188"/>
      <c r="BD40" s="188"/>
      <c r="BE40" s="188"/>
      <c r="BF40" s="188"/>
      <c r="BG40" s="188"/>
      <c r="BH40" s="188"/>
      <c r="BI40" s="188"/>
      <c r="BJ40" s="188"/>
      <c r="BK40" s="188"/>
      <c r="BL40" s="188"/>
      <c r="BM40" s="188"/>
      <c r="BN40" s="188"/>
      <c r="BO40" s="188"/>
      <c r="BP40" s="188"/>
      <c r="BQ40" s="188"/>
      <c r="BR40" s="188"/>
      <c r="BS40" s="188"/>
      <c r="BT40" s="188"/>
    </row>
    <row r="41" spans="1:72" x14ac:dyDescent="0.35">
      <c r="A41" s="188"/>
      <c r="B41" s="188"/>
      <c r="C41" s="188"/>
      <c r="D41" s="188"/>
      <c r="E41" s="188"/>
      <c r="F41" s="188"/>
      <c r="G41" s="188"/>
      <c r="H41" s="188"/>
      <c r="I41" s="188"/>
      <c r="J41" s="188"/>
      <c r="K41" s="188"/>
      <c r="L41" s="188"/>
      <c r="M41" s="188"/>
      <c r="N41" s="188"/>
      <c r="O41" s="188"/>
      <c r="P41" s="188"/>
      <c r="Q41" s="188"/>
      <c r="R41" s="188"/>
      <c r="S41" s="188"/>
      <c r="T41" s="188"/>
      <c r="U41" s="188"/>
      <c r="V41" s="188"/>
      <c r="W41" s="188"/>
      <c r="X41" s="188"/>
      <c r="Y41" s="188"/>
      <c r="Z41" s="188"/>
      <c r="AA41" s="188"/>
      <c r="AB41" s="188"/>
      <c r="AC41" s="188"/>
      <c r="AD41" s="188"/>
      <c r="AE41" s="188"/>
      <c r="AF41" s="188"/>
      <c r="AG41" s="188"/>
      <c r="AH41" s="188"/>
      <c r="AI41" s="188"/>
      <c r="AJ41" s="188"/>
      <c r="AK41" s="188"/>
      <c r="AL41" s="188"/>
      <c r="AM41" s="358" t="s">
        <v>19</v>
      </c>
      <c r="AN41" s="358"/>
      <c r="AO41" s="245">
        <f>AF21</f>
        <v>0</v>
      </c>
      <c r="AP41" s="358" t="s">
        <v>20</v>
      </c>
      <c r="AQ41" s="358"/>
      <c r="AR41" s="245">
        <f>AG21</f>
        <v>0</v>
      </c>
      <c r="AS41" s="358" t="s">
        <v>21</v>
      </c>
      <c r="AT41" s="358"/>
      <c r="AU41" s="246">
        <f>AH21</f>
        <v>0</v>
      </c>
      <c r="AV41" s="333"/>
      <c r="AW41" s="334"/>
      <c r="AX41" s="310"/>
      <c r="AY41" s="310"/>
      <c r="AZ41" s="188"/>
      <c r="BA41" s="188"/>
      <c r="BB41" s="188"/>
      <c r="BC41" s="188"/>
      <c r="BD41" s="188"/>
      <c r="BE41" s="188"/>
      <c r="BF41" s="188"/>
      <c r="BG41" s="188"/>
      <c r="BH41" s="188"/>
      <c r="BI41" s="188"/>
      <c r="BJ41" s="188"/>
      <c r="BK41" s="188"/>
      <c r="BL41" s="188"/>
      <c r="BM41" s="188"/>
      <c r="BN41" s="188"/>
      <c r="BO41" s="188"/>
      <c r="BP41" s="188"/>
      <c r="BQ41" s="188"/>
      <c r="BR41" s="188"/>
      <c r="BS41" s="188"/>
      <c r="BT41" s="188"/>
    </row>
    <row r="42" spans="1:72" ht="16.5" customHeight="1" x14ac:dyDescent="0.35">
      <c r="A42" s="188"/>
      <c r="B42" s="188"/>
      <c r="C42" s="188"/>
      <c r="D42" s="188"/>
      <c r="E42" s="188"/>
      <c r="F42" s="188"/>
      <c r="G42" s="188"/>
      <c r="H42" s="188"/>
      <c r="I42" s="188"/>
      <c r="J42" s="188"/>
      <c r="K42" s="188"/>
      <c r="L42" s="188"/>
      <c r="M42" s="188"/>
      <c r="N42" s="188"/>
      <c r="O42" s="188"/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  <c r="AB42" s="188"/>
      <c r="AC42" s="188"/>
      <c r="AD42" s="188"/>
      <c r="AE42" s="188"/>
      <c r="AF42" s="188"/>
      <c r="AG42" s="188"/>
      <c r="AH42" s="188"/>
      <c r="AI42" s="188"/>
      <c r="AJ42" s="188"/>
      <c r="AK42" s="188"/>
      <c r="AL42" s="188"/>
      <c r="AM42" s="342"/>
      <c r="AN42" s="342"/>
      <c r="AO42" s="343"/>
      <c r="AP42" s="342"/>
      <c r="AQ42" s="342"/>
      <c r="AR42" s="343"/>
      <c r="AS42" s="343"/>
      <c r="AT42" s="343"/>
      <c r="AV42" s="210"/>
      <c r="AW42" s="188"/>
      <c r="AX42" s="188"/>
      <c r="AY42" s="188"/>
      <c r="AZ42" s="188"/>
      <c r="BA42" s="188"/>
      <c r="BB42" s="188"/>
      <c r="BC42" s="188"/>
      <c r="BD42" s="188"/>
      <c r="BE42" s="188"/>
      <c r="BF42" s="188"/>
      <c r="BG42" s="188"/>
      <c r="BH42" s="188"/>
      <c r="BI42" s="188"/>
      <c r="BJ42" s="188"/>
      <c r="BK42" s="188"/>
      <c r="BL42" s="188"/>
      <c r="BM42" s="188"/>
      <c r="BN42" s="188"/>
      <c r="BO42" s="188"/>
      <c r="BP42" s="188"/>
      <c r="BQ42" s="188"/>
      <c r="BR42" s="188"/>
      <c r="BS42" s="188"/>
      <c r="BT42" s="188"/>
    </row>
    <row r="43" spans="1:72" ht="16.5" customHeight="1" x14ac:dyDescent="0.35">
      <c r="A43" s="188"/>
      <c r="B43" s="188"/>
      <c r="C43" s="188"/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188"/>
      <c r="S43" s="188"/>
      <c r="T43" s="188"/>
      <c r="U43" s="188"/>
      <c r="V43" s="188"/>
      <c r="W43" s="188"/>
      <c r="X43" s="188"/>
      <c r="Y43" s="188"/>
      <c r="Z43" s="188"/>
      <c r="AA43" s="188"/>
      <c r="AB43" s="188"/>
      <c r="AC43" s="188"/>
      <c r="AD43" s="188"/>
      <c r="AE43" s="188"/>
      <c r="AF43" s="188"/>
      <c r="AG43" s="188"/>
      <c r="AH43" s="188"/>
      <c r="AI43" s="188"/>
      <c r="AJ43" s="188"/>
      <c r="AK43" s="188"/>
      <c r="AL43" s="188"/>
      <c r="AM43" s="262"/>
      <c r="AN43" s="262"/>
      <c r="AO43" s="262"/>
      <c r="AP43" s="262"/>
      <c r="AQ43" s="262"/>
      <c r="AR43" s="262"/>
      <c r="AS43" s="262"/>
      <c r="AT43" s="262"/>
      <c r="AU43" s="262"/>
      <c r="AV43" s="263"/>
      <c r="AW43" s="262"/>
      <c r="AX43" s="262"/>
      <c r="AY43" s="262"/>
      <c r="AZ43" s="262"/>
      <c r="BA43" s="262"/>
      <c r="BB43" s="188"/>
      <c r="BC43" s="188"/>
      <c r="BD43" s="188"/>
      <c r="BE43" s="188"/>
      <c r="BF43" s="188"/>
      <c r="BG43" s="188"/>
      <c r="BH43" s="188"/>
      <c r="BI43" s="188"/>
      <c r="BJ43" s="188"/>
      <c r="BK43" s="188"/>
      <c r="BL43" s="188"/>
      <c r="BM43" s="188"/>
      <c r="BN43" s="188"/>
      <c r="BO43" s="188"/>
      <c r="BP43" s="188"/>
      <c r="BQ43" s="188"/>
      <c r="BR43" s="188"/>
      <c r="BS43" s="188"/>
      <c r="BT43" s="188"/>
    </row>
    <row r="44" spans="1:72" x14ac:dyDescent="0.35">
      <c r="A44" s="188"/>
      <c r="B44" s="188"/>
      <c r="C44" s="188"/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188"/>
      <c r="S44" s="188"/>
      <c r="T44" s="188"/>
      <c r="U44" s="188"/>
      <c r="V44" s="188"/>
      <c r="W44" s="188"/>
      <c r="X44" s="188"/>
      <c r="Y44" s="188"/>
      <c r="Z44" s="188"/>
      <c r="AA44" s="188"/>
      <c r="AB44" s="188"/>
      <c r="AC44" s="188"/>
      <c r="AD44" s="188"/>
      <c r="AE44" s="188"/>
      <c r="AF44" s="188"/>
      <c r="AG44" s="188"/>
      <c r="AH44" s="188"/>
      <c r="AI44" s="188"/>
      <c r="AJ44" s="188"/>
      <c r="AK44" s="188"/>
      <c r="AL44" s="188"/>
      <c r="AM44" s="188"/>
      <c r="AN44" s="188"/>
      <c r="AO44" s="188"/>
      <c r="AP44" s="188"/>
      <c r="AQ44" s="188"/>
      <c r="AR44" s="188"/>
      <c r="AS44" s="188"/>
      <c r="AT44" s="188"/>
      <c r="AU44" s="188"/>
      <c r="AV44" s="209"/>
      <c r="AW44" s="188"/>
      <c r="AX44" s="188"/>
      <c r="AY44" s="188"/>
      <c r="AZ44" s="188"/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</row>
    <row r="45" spans="1:72" x14ac:dyDescent="0.35">
      <c r="A45" s="188"/>
      <c r="B45" s="188"/>
      <c r="C45" s="188"/>
      <c r="D45" s="188"/>
      <c r="E45" s="188"/>
      <c r="F45" s="188"/>
      <c r="G45" s="188"/>
      <c r="H45" s="188"/>
      <c r="I45" s="188"/>
      <c r="J45" s="188"/>
      <c r="K45" s="188"/>
      <c r="L45" s="188"/>
      <c r="M45" s="188"/>
      <c r="N45" s="188"/>
      <c r="O45" s="188"/>
      <c r="P45" s="188"/>
      <c r="Q45" s="188"/>
      <c r="R45" s="188"/>
      <c r="S45" s="188"/>
      <c r="T45" s="188"/>
      <c r="U45" s="188"/>
      <c r="V45" s="188"/>
      <c r="W45" s="188"/>
      <c r="X45" s="188"/>
      <c r="Y45" s="188"/>
      <c r="Z45" s="188"/>
      <c r="AA45" s="188"/>
      <c r="AB45" s="188"/>
      <c r="AC45" s="188"/>
      <c r="AD45" s="188"/>
      <c r="AE45" s="188"/>
      <c r="AF45" s="188"/>
      <c r="AG45" s="188"/>
      <c r="AH45" s="188"/>
      <c r="AI45" s="188"/>
      <c r="AJ45" s="188"/>
      <c r="AK45" s="188"/>
      <c r="AL45" s="188"/>
      <c r="AM45" s="188"/>
      <c r="AN45" s="197"/>
      <c r="AO45" s="359" t="s">
        <v>6</v>
      </c>
      <c r="AP45" s="360"/>
      <c r="AQ45" s="360"/>
      <c r="AR45" s="361"/>
      <c r="AS45" s="190"/>
      <c r="AT45" s="190"/>
      <c r="AU45" s="190"/>
      <c r="AV45" s="362"/>
      <c r="AW45" s="362"/>
      <c r="AX45" s="356"/>
      <c r="AY45" s="356"/>
      <c r="BA45" s="188"/>
      <c r="BB45" s="188"/>
      <c r="BC45" s="188"/>
      <c r="BD45" s="188"/>
      <c r="BE45" s="188"/>
      <c r="BF45" s="188"/>
      <c r="BG45" s="188"/>
      <c r="BH45" s="188"/>
      <c r="BI45" s="188"/>
      <c r="BJ45" s="188"/>
      <c r="BK45" s="188"/>
      <c r="BL45" s="188"/>
      <c r="BM45" s="188"/>
      <c r="BN45" s="188"/>
      <c r="BO45" s="188"/>
      <c r="BP45" s="188"/>
      <c r="BQ45" s="188"/>
      <c r="BR45" s="188"/>
      <c r="BS45" s="188"/>
      <c r="BT45" s="188"/>
    </row>
    <row r="46" spans="1:72" x14ac:dyDescent="0.35">
      <c r="A46" s="188"/>
      <c r="B46" s="188"/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  <c r="X46" s="188"/>
      <c r="Y46" s="188"/>
      <c r="Z46" s="188"/>
      <c r="AA46" s="188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8"/>
      <c r="AM46" s="188"/>
      <c r="AN46" s="197" t="s">
        <v>52</v>
      </c>
      <c r="AO46" s="359"/>
      <c r="AP46" s="360"/>
      <c r="AQ46" s="360"/>
      <c r="AR46" s="361"/>
      <c r="AS46" s="190"/>
      <c r="AT46" s="190"/>
      <c r="AU46" s="190"/>
      <c r="AV46" s="362"/>
      <c r="AW46" s="362"/>
      <c r="AX46" s="356"/>
      <c r="AY46" s="356"/>
      <c r="BA46" s="188"/>
      <c r="BB46" s="188"/>
      <c r="BC46" s="188"/>
      <c r="BD46" s="188"/>
      <c r="BE46" s="188"/>
      <c r="BF46" s="188"/>
      <c r="BG46" s="188"/>
      <c r="BH46" s="188"/>
      <c r="BI46" s="188"/>
      <c r="BJ46" s="188"/>
      <c r="BK46" s="188"/>
      <c r="BL46" s="188"/>
      <c r="BM46" s="188"/>
      <c r="BN46" s="188"/>
      <c r="BO46" s="188"/>
      <c r="BP46" s="188"/>
      <c r="BQ46" s="188"/>
      <c r="BR46" s="188"/>
      <c r="BS46" s="188"/>
      <c r="BT46" s="188"/>
    </row>
    <row r="47" spans="1:72" x14ac:dyDescent="0.35">
      <c r="A47" s="188"/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8"/>
      <c r="P47" s="188"/>
      <c r="Q47" s="188"/>
      <c r="R47" s="188"/>
      <c r="S47" s="188"/>
      <c r="T47" s="188"/>
      <c r="U47" s="188"/>
      <c r="V47" s="188"/>
      <c r="W47" s="188"/>
      <c r="X47" s="188"/>
      <c r="Y47" s="188"/>
      <c r="Z47" s="188"/>
      <c r="AA47" s="188"/>
      <c r="AB47" s="188"/>
      <c r="AC47" s="188"/>
      <c r="AD47" s="188"/>
      <c r="AE47" s="188"/>
      <c r="AF47" s="188"/>
      <c r="AG47" s="188"/>
      <c r="AH47" s="188"/>
      <c r="AI47" s="188"/>
      <c r="AJ47" s="188"/>
      <c r="AK47" s="188"/>
      <c r="AL47" s="188"/>
      <c r="AM47" s="188"/>
      <c r="AO47" s="211"/>
      <c r="AP47" s="212"/>
      <c r="AQ47" s="212"/>
      <c r="AR47" s="213"/>
      <c r="AS47" s="213"/>
      <c r="AT47" s="213"/>
      <c r="AU47" s="213"/>
      <c r="AV47" s="214">
        <f>$AV$3</f>
        <v>0.03</v>
      </c>
      <c r="AW47" s="215">
        <f ca="1">((AH22*PMT(AV47,D19,-AO52)*VLOOKUP(TODAY(),'UF HOY'!$A$2:$B$36,2,0))/12)+$AD$36</f>
        <v>39734</v>
      </c>
      <c r="AX47" s="215">
        <f>SIMULACIÓN!$U$8</f>
        <v>0</v>
      </c>
      <c r="AY47" s="215">
        <f ca="1">AX47-AW47</f>
        <v>-39734</v>
      </c>
      <c r="AZ47" s="188"/>
      <c r="BA47" s="188"/>
      <c r="BB47" s="188"/>
      <c r="BC47" s="188"/>
      <c r="BD47" s="188"/>
      <c r="BE47" s="188"/>
      <c r="BF47" s="188"/>
      <c r="BG47" s="188"/>
      <c r="BH47" s="188"/>
      <c r="BI47" s="188"/>
      <c r="BJ47" s="188"/>
      <c r="BK47" s="188"/>
      <c r="BL47" s="188"/>
      <c r="BM47" s="188"/>
      <c r="BN47" s="188"/>
      <c r="BO47" s="188"/>
      <c r="BP47" s="188"/>
      <c r="BQ47" s="188"/>
      <c r="BR47" s="188"/>
      <c r="BS47" s="188"/>
      <c r="BT47" s="188"/>
    </row>
    <row r="48" spans="1:72" x14ac:dyDescent="0.35">
      <c r="A48" s="188"/>
      <c r="B48" s="188"/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88"/>
      <c r="W48" s="188"/>
      <c r="X48" s="188"/>
      <c r="Y48" s="188"/>
      <c r="Z48" s="188"/>
      <c r="AA48" s="188"/>
      <c r="AB48" s="188"/>
      <c r="AC48" s="188"/>
      <c r="AD48" s="188"/>
      <c r="AE48" s="188"/>
      <c r="AF48" s="188"/>
      <c r="AG48" s="188"/>
      <c r="AH48" s="188"/>
      <c r="AI48" s="188"/>
      <c r="AJ48" s="188"/>
      <c r="AK48" s="188"/>
      <c r="AL48" s="188"/>
      <c r="AM48" s="188"/>
      <c r="AN48" s="197"/>
      <c r="AO48" s="213"/>
      <c r="AP48" s="213"/>
      <c r="AQ48" s="213"/>
      <c r="AR48" s="213"/>
      <c r="AS48" s="213"/>
      <c r="AT48" s="213"/>
      <c r="AU48" s="213"/>
      <c r="AV48" s="227">
        <f>$AV$4</f>
        <v>0.04</v>
      </c>
      <c r="AW48" s="228">
        <f ca="1">((AH22*PMT(AV48,D19,-AO52)*VLOOKUP(TODAY(),'UF HOY'!$A$2:$B$36,2,0))/12)+$AD$36</f>
        <v>39734</v>
      </c>
      <c r="AX48" s="228">
        <f>SIMULACIÓN!$U$8</f>
        <v>0</v>
      </c>
      <c r="AY48" s="228">
        <f ca="1">AX48-AW48</f>
        <v>-39734</v>
      </c>
      <c r="AZ48" s="188"/>
      <c r="BA48" s="188"/>
      <c r="BB48" s="188"/>
      <c r="BC48" s="188"/>
      <c r="BD48" s="188"/>
      <c r="BE48" s="188"/>
      <c r="BF48" s="188"/>
      <c r="BG48" s="188"/>
      <c r="BH48" s="188"/>
      <c r="BI48" s="188"/>
      <c r="BJ48" s="188"/>
      <c r="BK48" s="188"/>
      <c r="BL48" s="188"/>
      <c r="BM48" s="188"/>
      <c r="BN48" s="188"/>
      <c r="BO48" s="188"/>
      <c r="BP48" s="188"/>
      <c r="BQ48" s="188"/>
      <c r="BR48" s="188"/>
      <c r="BS48" s="188"/>
      <c r="BT48" s="188"/>
    </row>
    <row r="49" spans="1:72" x14ac:dyDescent="0.35">
      <c r="A49" s="188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88"/>
      <c r="W49" s="188"/>
      <c r="X49" s="188"/>
      <c r="Y49" s="188"/>
      <c r="Z49" s="188"/>
      <c r="AA49" s="188"/>
      <c r="AB49" s="188"/>
      <c r="AC49" s="188"/>
      <c r="AD49" s="188"/>
      <c r="AE49" s="188"/>
      <c r="AF49" s="188"/>
      <c r="AG49" s="188"/>
      <c r="AH49" s="188"/>
      <c r="AI49" s="188"/>
      <c r="AJ49" s="188"/>
      <c r="AK49" s="188"/>
      <c r="AL49" s="188"/>
      <c r="AN49" s="330"/>
      <c r="AV49" s="214">
        <f>$AV$5</f>
        <v>0.05</v>
      </c>
      <c r="AW49" s="215">
        <f ca="1">((AH22*PMT(AV49,D19,-AO52)*VLOOKUP(TODAY(),'UF HOY'!$A$2:$B$36,2,0))/12)+$AD$36</f>
        <v>39734</v>
      </c>
      <c r="AX49" s="215">
        <f>SIMULACIÓN!$U$8</f>
        <v>0</v>
      </c>
      <c r="AY49" s="215">
        <f t="shared" ref="AY49" ca="1" si="3">AX49-AW49</f>
        <v>-39734</v>
      </c>
      <c r="AZ49" s="188"/>
      <c r="BA49" s="188"/>
      <c r="BB49" s="188"/>
      <c r="BC49" s="188"/>
      <c r="BD49" s="188"/>
      <c r="BE49" s="188"/>
      <c r="BF49" s="188"/>
      <c r="BG49" s="188"/>
      <c r="BH49" s="188"/>
      <c r="BI49" s="188"/>
      <c r="BJ49" s="188"/>
      <c r="BK49" s="188"/>
      <c r="BL49" s="188"/>
      <c r="BM49" s="188"/>
      <c r="BN49" s="188"/>
      <c r="BO49" s="188"/>
      <c r="BP49" s="188"/>
      <c r="BQ49" s="188"/>
      <c r="BR49" s="188"/>
      <c r="BS49" s="188"/>
      <c r="BT49" s="188"/>
    </row>
    <row r="50" spans="1:72" ht="15.75" customHeight="1" x14ac:dyDescent="0.35">
      <c r="A50" s="188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8"/>
      <c r="AJ50" s="188"/>
      <c r="AK50" s="188"/>
      <c r="AL50" s="188"/>
      <c r="AM50" s="357" t="str">
        <f>"Simulación departamento: "&amp;AO47</f>
        <v xml:space="preserve">Simulación departamento: </v>
      </c>
      <c r="AN50" s="357"/>
      <c r="AO50" s="357"/>
      <c r="AP50" s="357"/>
      <c r="AQ50" s="357" t="str">
        <f>"Tipología: "&amp;AA13</f>
        <v xml:space="preserve">Tipología: </v>
      </c>
      <c r="AR50" s="357"/>
      <c r="AS50" s="357"/>
      <c r="AT50" s="357"/>
      <c r="AV50" s="302"/>
      <c r="AW50" s="240"/>
      <c r="AX50" s="240"/>
      <c r="AY50" s="240"/>
      <c r="AZ50" s="188"/>
      <c r="BA50" s="188"/>
      <c r="BB50" s="188"/>
      <c r="BC50" s="188"/>
      <c r="BD50" s="188"/>
      <c r="BE50" s="188"/>
      <c r="BF50" s="188"/>
      <c r="BG50" s="188"/>
      <c r="BH50" s="188"/>
      <c r="BI50" s="188"/>
      <c r="BJ50" s="188"/>
      <c r="BK50" s="188"/>
      <c r="BL50" s="188"/>
      <c r="BM50" s="188"/>
      <c r="BN50" s="188"/>
      <c r="BO50" s="188"/>
      <c r="BP50" s="188"/>
      <c r="BQ50" s="188"/>
      <c r="BR50" s="188"/>
      <c r="BS50" s="188"/>
      <c r="BT50" s="188"/>
    </row>
    <row r="51" spans="1:72" x14ac:dyDescent="0.35">
      <c r="A51" s="188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  <c r="AB51" s="188"/>
      <c r="AC51" s="188"/>
      <c r="AD51" s="188"/>
      <c r="AE51" s="188"/>
      <c r="AF51" s="188"/>
      <c r="AG51" s="188"/>
      <c r="AH51" s="188"/>
      <c r="AI51" s="188"/>
      <c r="AJ51" s="188"/>
      <c r="AK51" s="188"/>
      <c r="AL51" s="188"/>
      <c r="AM51" s="240"/>
      <c r="AN51" s="240"/>
      <c r="AO51" s="240"/>
      <c r="AP51" s="240"/>
      <c r="AQ51" s="240"/>
      <c r="AR51" s="240"/>
      <c r="AS51" s="240"/>
      <c r="AT51" s="240"/>
      <c r="AV51" s="310"/>
      <c r="AW51" s="310"/>
      <c r="AX51" s="310"/>
      <c r="AY51" s="310"/>
      <c r="AZ51" s="188"/>
      <c r="BA51" s="188"/>
      <c r="BB51" s="188"/>
      <c r="BC51" s="188"/>
      <c r="BD51" s="188"/>
      <c r="BE51" s="188"/>
      <c r="BF51" s="188"/>
      <c r="BG51" s="188"/>
      <c r="BH51" s="188"/>
      <c r="BI51" s="188"/>
      <c r="BJ51" s="188"/>
      <c r="BK51" s="188"/>
      <c r="BL51" s="188"/>
      <c r="BM51" s="188"/>
      <c r="BN51" s="188"/>
      <c r="BO51" s="188"/>
      <c r="BP51" s="188"/>
      <c r="BQ51" s="188"/>
      <c r="BR51" s="188"/>
      <c r="BS51" s="188"/>
      <c r="BT51" s="188"/>
    </row>
    <row r="52" spans="1:72" x14ac:dyDescent="0.35">
      <c r="A52" s="188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188"/>
      <c r="AD52" s="188"/>
      <c r="AE52" s="188"/>
      <c r="AF52" s="188"/>
      <c r="AG52" s="188"/>
      <c r="AH52" s="188"/>
      <c r="AI52" s="188"/>
      <c r="AJ52" s="188"/>
      <c r="AK52" s="188"/>
      <c r="AL52" s="188"/>
      <c r="AM52" s="358" t="s">
        <v>19</v>
      </c>
      <c r="AN52" s="358"/>
      <c r="AO52" s="245">
        <f>AF22</f>
        <v>0</v>
      </c>
      <c r="AP52" s="358" t="s">
        <v>20</v>
      </c>
      <c r="AQ52" s="358"/>
      <c r="AR52" s="245">
        <f>AG22</f>
        <v>0</v>
      </c>
      <c r="AS52" s="358" t="s">
        <v>21</v>
      </c>
      <c r="AT52" s="358"/>
      <c r="AU52" s="246">
        <f>AH22</f>
        <v>0</v>
      </c>
      <c r="AV52" s="333"/>
      <c r="AW52" s="334"/>
      <c r="AX52" s="310"/>
      <c r="AY52" s="310"/>
      <c r="AZ52" s="188"/>
      <c r="BA52" s="188"/>
      <c r="BB52" s="188"/>
      <c r="BC52" s="188"/>
      <c r="BD52" s="188"/>
      <c r="BE52" s="188"/>
      <c r="BF52" s="188"/>
      <c r="BG52" s="188"/>
      <c r="BH52" s="188"/>
      <c r="BI52" s="188"/>
      <c r="BJ52" s="188"/>
      <c r="BK52" s="188"/>
      <c r="BL52" s="188"/>
      <c r="BM52" s="188"/>
      <c r="BN52" s="188"/>
      <c r="BO52" s="188"/>
      <c r="BP52" s="188"/>
      <c r="BQ52" s="188"/>
      <c r="BR52" s="188"/>
      <c r="BS52" s="188"/>
      <c r="BT52" s="188"/>
    </row>
    <row r="53" spans="1:72" x14ac:dyDescent="0.35">
      <c r="A53" s="188"/>
      <c r="B53" s="188"/>
      <c r="C53" s="188"/>
      <c r="D53" s="188"/>
      <c r="E53" s="188"/>
      <c r="F53" s="188"/>
      <c r="G53" s="188"/>
      <c r="H53" s="188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8"/>
      <c r="U53" s="188"/>
      <c r="V53" s="188"/>
      <c r="W53" s="188"/>
      <c r="X53" s="188"/>
      <c r="Y53" s="188"/>
      <c r="Z53" s="188"/>
      <c r="AA53" s="188"/>
      <c r="AB53" s="188"/>
      <c r="AC53" s="188"/>
      <c r="AD53" s="188"/>
      <c r="AE53" s="188"/>
      <c r="AF53" s="188"/>
      <c r="AG53" s="188"/>
      <c r="AH53" s="188"/>
      <c r="AI53" s="188"/>
      <c r="AJ53" s="188"/>
      <c r="AK53" s="188"/>
      <c r="AL53" s="188"/>
      <c r="AM53" s="342"/>
      <c r="AN53" s="342"/>
      <c r="AO53" s="343"/>
      <c r="AP53" s="342"/>
      <c r="AQ53" s="342"/>
      <c r="AR53" s="343"/>
      <c r="AS53" s="343"/>
      <c r="AT53" s="343"/>
      <c r="AV53" s="210"/>
      <c r="AW53" s="188"/>
      <c r="AX53" s="188"/>
      <c r="AY53" s="188"/>
      <c r="AZ53" s="188"/>
      <c r="BA53" s="188"/>
      <c r="BB53" s="188"/>
      <c r="BC53" s="188"/>
      <c r="BD53" s="188"/>
      <c r="BE53" s="188"/>
      <c r="BF53" s="188"/>
      <c r="BG53" s="188"/>
      <c r="BH53" s="188"/>
      <c r="BI53" s="188"/>
      <c r="BJ53" s="188"/>
      <c r="BK53" s="188"/>
      <c r="BL53" s="188"/>
      <c r="BM53" s="188"/>
      <c r="BN53" s="188"/>
      <c r="BO53" s="188"/>
      <c r="BP53" s="188"/>
      <c r="BQ53" s="188"/>
      <c r="BR53" s="188"/>
      <c r="BS53" s="188"/>
      <c r="BT53" s="188"/>
    </row>
    <row r="54" spans="1:72" x14ac:dyDescent="0.35">
      <c r="A54" s="188"/>
      <c r="B54" s="188"/>
      <c r="C54" s="188"/>
      <c r="D54" s="188"/>
      <c r="E54" s="188"/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T54" s="188"/>
      <c r="U54" s="188"/>
      <c r="V54" s="188"/>
      <c r="W54" s="188"/>
      <c r="X54" s="188"/>
      <c r="Y54" s="188"/>
      <c r="Z54" s="188"/>
      <c r="AA54" s="188"/>
      <c r="AB54" s="188"/>
      <c r="AC54" s="188"/>
      <c r="AD54" s="188"/>
      <c r="AE54" s="188"/>
      <c r="AF54" s="188"/>
      <c r="AG54" s="188"/>
      <c r="AH54" s="188"/>
      <c r="AI54" s="188"/>
      <c r="AJ54" s="188"/>
      <c r="AK54" s="188"/>
      <c r="AL54" s="188"/>
      <c r="AV54" s="210"/>
      <c r="BB54" s="188"/>
      <c r="BC54" s="188"/>
      <c r="BD54" s="188"/>
      <c r="BE54" s="188"/>
      <c r="BF54" s="188"/>
      <c r="BG54" s="188"/>
      <c r="BH54" s="188"/>
      <c r="BI54" s="188"/>
      <c r="BJ54" s="188"/>
      <c r="BK54" s="188"/>
      <c r="BL54" s="188"/>
      <c r="BM54" s="188"/>
      <c r="BN54" s="188"/>
      <c r="BO54" s="188"/>
      <c r="BP54" s="188"/>
      <c r="BQ54" s="188"/>
      <c r="BR54" s="188"/>
      <c r="BS54" s="188"/>
      <c r="BT54" s="188"/>
    </row>
    <row r="55" spans="1:72" x14ac:dyDescent="0.35">
      <c r="A55" s="188"/>
      <c r="B55" s="188"/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S55" s="188"/>
      <c r="T55" s="188"/>
      <c r="U55" s="188"/>
      <c r="V55" s="188"/>
      <c r="W55" s="188"/>
      <c r="X55" s="188"/>
      <c r="Y55" s="188"/>
      <c r="Z55" s="188"/>
      <c r="AA55" s="188"/>
      <c r="AB55" s="188"/>
      <c r="AC55" s="188"/>
      <c r="AD55" s="188"/>
      <c r="AE55" s="188"/>
      <c r="AF55" s="188"/>
      <c r="AG55" s="188"/>
      <c r="AH55" s="188"/>
      <c r="AI55" s="188"/>
      <c r="AJ55" s="188"/>
      <c r="AK55" s="188"/>
      <c r="AL55" s="188"/>
      <c r="AM55" s="188"/>
      <c r="AN55" s="188"/>
      <c r="AO55" s="188"/>
      <c r="AP55" s="188"/>
      <c r="AQ55" s="188"/>
      <c r="AR55" s="188"/>
      <c r="AS55" s="188"/>
      <c r="AT55" s="188"/>
      <c r="AU55" s="344"/>
      <c r="AV55" s="345"/>
      <c r="AW55" s="344"/>
      <c r="AX55" s="344"/>
      <c r="AY55" s="344"/>
      <c r="AZ55" s="344"/>
      <c r="BA55" s="344"/>
      <c r="BB55" s="344"/>
      <c r="BC55" s="188"/>
      <c r="BD55" s="188"/>
      <c r="BE55" s="188"/>
      <c r="BF55" s="188"/>
      <c r="BG55" s="188"/>
      <c r="BH55" s="188"/>
      <c r="BI55" s="188"/>
      <c r="BJ55" s="188"/>
      <c r="BK55" s="188"/>
      <c r="BL55" s="188"/>
      <c r="BM55" s="188"/>
      <c r="BN55" s="188"/>
      <c r="BO55" s="188"/>
      <c r="BP55" s="188"/>
      <c r="BQ55" s="188"/>
      <c r="BR55" s="188"/>
      <c r="BS55" s="188"/>
      <c r="BT55" s="188"/>
    </row>
    <row r="56" spans="1:72" x14ac:dyDescent="0.35">
      <c r="A56" s="188"/>
      <c r="B56" s="188"/>
      <c r="C56" s="188"/>
      <c r="D56" s="188"/>
      <c r="E56" s="188"/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344"/>
      <c r="AV56" s="346" t="str">
        <f ca="1">CONCATENATE("* Simulación a ",D19," años considerando la UF de hoy (UF ", TEXT(AD34,"##.###"),").")</f>
        <v>* Simulación a 30 años considerando la UF de hoy (UF 39.734).</v>
      </c>
      <c r="AW56" s="347"/>
      <c r="AX56" s="347"/>
      <c r="AY56" s="347"/>
      <c r="AZ56" s="344"/>
      <c r="BA56" s="344"/>
      <c r="BB56" s="344"/>
      <c r="BC56" s="188"/>
      <c r="BD56" s="188"/>
      <c r="BE56" s="188"/>
      <c r="BF56" s="188"/>
      <c r="BG56" s="188"/>
      <c r="BH56" s="188"/>
      <c r="BI56" s="188"/>
      <c r="BJ56" s="188"/>
      <c r="BK56" s="188"/>
      <c r="BL56" s="188"/>
      <c r="BM56" s="188"/>
      <c r="BN56" s="188"/>
      <c r="BO56" s="188"/>
      <c r="BP56" s="188"/>
      <c r="BQ56" s="188"/>
      <c r="BR56" s="188"/>
      <c r="BS56" s="188"/>
      <c r="BT56" s="188"/>
    </row>
    <row r="57" spans="1:72" x14ac:dyDescent="0.35">
      <c r="A57" s="188"/>
      <c r="B57" s="188"/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88"/>
      <c r="O57" s="188"/>
      <c r="P57" s="188"/>
      <c r="Q57" s="188"/>
      <c r="R57" s="188"/>
      <c r="S57" s="188"/>
      <c r="T57" s="188"/>
      <c r="U57" s="188"/>
      <c r="V57" s="188"/>
      <c r="W57" s="188"/>
      <c r="X57" s="188"/>
      <c r="Y57" s="188"/>
      <c r="Z57" s="188"/>
      <c r="AA57" s="188"/>
      <c r="AB57" s="188"/>
      <c r="AC57" s="188"/>
      <c r="AD57" s="188"/>
      <c r="AE57" s="188"/>
      <c r="AF57" s="188"/>
      <c r="AG57" s="188"/>
      <c r="AH57" s="188"/>
      <c r="AI57" s="188"/>
      <c r="AJ57" s="188"/>
      <c r="AK57" s="188"/>
      <c r="AL57" s="188"/>
      <c r="AM57" s="188"/>
      <c r="AN57" s="188"/>
      <c r="AO57" s="188"/>
      <c r="AP57" s="188"/>
      <c r="AQ57" s="188"/>
      <c r="AR57" s="188"/>
      <c r="AS57" s="188"/>
      <c r="AT57" s="188"/>
      <c r="AU57" s="344"/>
      <c r="AV57" s="352" t="s">
        <v>53</v>
      </c>
      <c r="AW57" s="352"/>
      <c r="AX57" s="352"/>
      <c r="AY57" s="352"/>
      <c r="AZ57" s="352"/>
      <c r="BA57" s="352"/>
      <c r="BB57" s="344"/>
      <c r="BC57" s="188"/>
      <c r="BD57" s="188"/>
      <c r="BE57" s="188"/>
      <c r="BF57" s="188"/>
      <c r="BG57" s="188"/>
      <c r="BH57" s="188"/>
      <c r="BI57" s="188"/>
      <c r="BJ57" s="188"/>
      <c r="BK57" s="188"/>
      <c r="BL57" s="188"/>
      <c r="BM57" s="188"/>
      <c r="BN57" s="188"/>
      <c r="BO57" s="188"/>
      <c r="BP57" s="188"/>
      <c r="BQ57" s="188"/>
      <c r="BR57" s="188"/>
      <c r="BS57" s="188"/>
      <c r="BT57" s="188"/>
    </row>
    <row r="58" spans="1:72" x14ac:dyDescent="0.35">
      <c r="A58" s="188"/>
      <c r="B58" s="188"/>
      <c r="C58" s="188"/>
      <c r="D58" s="188"/>
      <c r="E58" s="188"/>
      <c r="F58" s="188"/>
      <c r="G58" s="188"/>
      <c r="H58" s="188"/>
      <c r="I58" s="188"/>
      <c r="J58" s="188"/>
      <c r="K58" s="188"/>
      <c r="L58" s="188"/>
      <c r="M58" s="188"/>
      <c r="N58" s="188"/>
      <c r="O58" s="188"/>
      <c r="P58" s="188"/>
      <c r="Q58" s="188"/>
      <c r="R58" s="188"/>
      <c r="S58" s="188"/>
      <c r="T58" s="188"/>
      <c r="U58" s="188"/>
      <c r="V58" s="188"/>
      <c r="W58" s="188"/>
      <c r="X58" s="188"/>
      <c r="Y58" s="188"/>
      <c r="Z58" s="188"/>
      <c r="AA58" s="188"/>
      <c r="AB58" s="188"/>
      <c r="AC58" s="188"/>
      <c r="AD58" s="188"/>
      <c r="AE58" s="188"/>
      <c r="AF58" s="188"/>
      <c r="AG58" s="188"/>
      <c r="AH58" s="188"/>
      <c r="AI58" s="188"/>
      <c r="AJ58" s="188"/>
      <c r="AK58" s="188"/>
      <c r="AL58" s="188"/>
      <c r="AM58" s="188"/>
      <c r="AN58" s="188"/>
      <c r="AO58" s="188"/>
      <c r="AP58" s="188"/>
      <c r="AQ58" s="188"/>
      <c r="AR58" s="188"/>
      <c r="AS58" s="188"/>
      <c r="AT58" s="188"/>
      <c r="AU58" s="344"/>
      <c r="AV58" s="352" t="s">
        <v>239</v>
      </c>
      <c r="AW58" s="352"/>
      <c r="AX58" s="352"/>
      <c r="AY58" s="352"/>
      <c r="AZ58" s="352"/>
      <c r="BA58" s="352"/>
      <c r="BB58" s="344"/>
      <c r="BC58" s="188"/>
      <c r="BD58" s="188"/>
      <c r="BE58" s="188"/>
      <c r="BF58" s="188"/>
      <c r="BG58" s="188"/>
      <c r="BH58" s="188"/>
      <c r="BI58" s="188"/>
      <c r="BJ58" s="188"/>
      <c r="BK58" s="188"/>
      <c r="BL58" s="188"/>
      <c r="BM58" s="188"/>
      <c r="BN58" s="188"/>
      <c r="BO58" s="188"/>
      <c r="BP58" s="188"/>
      <c r="BQ58" s="188"/>
      <c r="BR58" s="188"/>
      <c r="BS58" s="188"/>
      <c r="BT58" s="188"/>
    </row>
    <row r="59" spans="1:72" x14ac:dyDescent="0.35">
      <c r="A59" s="188"/>
      <c r="B59" s="188"/>
      <c r="C59" s="188"/>
      <c r="D59" s="188"/>
      <c r="E59" s="188"/>
      <c r="F59" s="188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S59" s="188"/>
      <c r="T59" s="188"/>
      <c r="U59" s="188"/>
      <c r="V59" s="188"/>
      <c r="W59" s="188"/>
      <c r="X59" s="188"/>
      <c r="Y59" s="188"/>
      <c r="Z59" s="188"/>
      <c r="AA59" s="188"/>
      <c r="AB59" s="188"/>
      <c r="AC59" s="188"/>
      <c r="AD59" s="188"/>
      <c r="AE59" s="188"/>
      <c r="AF59" s="188"/>
      <c r="AG59" s="188"/>
      <c r="AH59" s="188"/>
      <c r="AI59" s="188"/>
      <c r="AJ59" s="188"/>
      <c r="AK59" s="188"/>
      <c r="AL59" s="188"/>
      <c r="AM59" s="188"/>
      <c r="AN59" s="188"/>
      <c r="AO59" s="188"/>
      <c r="AP59" s="188"/>
      <c r="AQ59" s="188"/>
      <c r="AR59" s="188"/>
      <c r="AS59" s="188"/>
      <c r="AT59" s="188"/>
      <c r="AU59" s="344"/>
      <c r="AV59" s="352"/>
      <c r="AW59" s="352"/>
      <c r="AX59" s="352"/>
      <c r="AY59" s="352"/>
      <c r="AZ59" s="352"/>
      <c r="BA59" s="352"/>
      <c r="BB59" s="344"/>
      <c r="BC59" s="188"/>
      <c r="BD59" s="188"/>
      <c r="BE59" s="188"/>
      <c r="BF59" s="188"/>
      <c r="BG59" s="188"/>
      <c r="BH59" s="188"/>
      <c r="BI59" s="188"/>
      <c r="BJ59" s="188"/>
      <c r="BK59" s="188"/>
      <c r="BL59" s="188"/>
      <c r="BM59" s="188"/>
      <c r="BN59" s="188"/>
      <c r="BO59" s="188"/>
      <c r="BP59" s="188"/>
      <c r="BQ59" s="188"/>
      <c r="BR59" s="188"/>
      <c r="BS59" s="188"/>
      <c r="BT59" s="188"/>
    </row>
    <row r="60" spans="1:72" x14ac:dyDescent="0.35">
      <c r="A60" s="188"/>
      <c r="B60" s="188"/>
      <c r="C60" s="188"/>
      <c r="D60" s="188"/>
      <c r="E60" s="188"/>
      <c r="F60" s="188"/>
      <c r="G60" s="188"/>
      <c r="H60" s="188"/>
      <c r="I60" s="188"/>
      <c r="J60" s="188"/>
      <c r="K60" s="188"/>
      <c r="L60" s="188"/>
      <c r="M60" s="188"/>
      <c r="N60" s="188"/>
      <c r="O60" s="188"/>
      <c r="P60" s="188"/>
      <c r="Q60" s="188"/>
      <c r="R60" s="188"/>
      <c r="S60" s="188"/>
      <c r="T60" s="188"/>
      <c r="U60" s="188"/>
      <c r="V60" s="188"/>
      <c r="W60" s="188"/>
      <c r="X60" s="188"/>
      <c r="Y60" s="188"/>
      <c r="Z60" s="188"/>
      <c r="AA60" s="188"/>
      <c r="AB60" s="188"/>
      <c r="AC60" s="188"/>
      <c r="AD60" s="188"/>
      <c r="AE60" s="188"/>
      <c r="AF60" s="188"/>
      <c r="AG60" s="188"/>
      <c r="AH60" s="188"/>
      <c r="AI60" s="188"/>
      <c r="AJ60" s="188"/>
      <c r="AK60" s="188"/>
      <c r="AL60" s="188"/>
      <c r="AM60" s="188"/>
      <c r="AN60" s="188"/>
      <c r="AO60" s="188"/>
      <c r="AP60" s="188"/>
      <c r="AQ60" s="188"/>
      <c r="AR60" s="188"/>
      <c r="AS60" s="188"/>
      <c r="AT60" s="188"/>
      <c r="AV60" s="210"/>
      <c r="BB60" s="188"/>
      <c r="BC60" s="188"/>
      <c r="BD60" s="188"/>
      <c r="BE60" s="188"/>
      <c r="BF60" s="188"/>
      <c r="BG60" s="188"/>
      <c r="BH60" s="188"/>
      <c r="BI60" s="188"/>
      <c r="BJ60" s="188"/>
      <c r="BK60" s="188"/>
      <c r="BL60" s="188"/>
      <c r="BM60" s="188"/>
      <c r="BN60" s="188"/>
      <c r="BO60" s="188"/>
      <c r="BP60" s="188"/>
      <c r="BQ60" s="188"/>
      <c r="BR60" s="188"/>
      <c r="BS60" s="188"/>
      <c r="BT60" s="188"/>
    </row>
    <row r="61" spans="1:72" x14ac:dyDescent="0.35">
      <c r="A61" s="188"/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V61" s="210"/>
      <c r="BB61" s="188"/>
      <c r="BD61" s="188"/>
      <c r="BE61" s="188"/>
      <c r="BF61" s="188"/>
      <c r="BG61" s="188"/>
      <c r="BH61" s="188"/>
      <c r="BI61" s="188"/>
      <c r="BJ61" s="188"/>
      <c r="BK61" s="188"/>
    </row>
    <row r="62" spans="1:72" x14ac:dyDescent="0.35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V62" s="210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</row>
    <row r="63" spans="1:72" x14ac:dyDescent="0.35">
      <c r="A63" s="188"/>
      <c r="B63" s="188"/>
      <c r="C63" s="188"/>
      <c r="D63" s="188"/>
      <c r="E63" s="188"/>
      <c r="F63" s="188"/>
      <c r="G63" s="188"/>
      <c r="H63" s="188"/>
      <c r="I63" s="188"/>
      <c r="J63" s="188"/>
      <c r="K63" s="188"/>
      <c r="L63" s="188"/>
      <c r="M63" s="188"/>
      <c r="N63" s="188"/>
      <c r="O63" s="188"/>
      <c r="P63" s="188"/>
      <c r="Q63" s="188"/>
      <c r="R63" s="188"/>
      <c r="S63" s="188"/>
      <c r="T63" s="188"/>
      <c r="U63" s="188"/>
      <c r="V63" s="188"/>
      <c r="W63" s="188"/>
      <c r="X63" s="188"/>
      <c r="Y63" s="188"/>
      <c r="Z63" s="188"/>
      <c r="AA63" s="188"/>
      <c r="AB63" s="188"/>
      <c r="AC63" s="188"/>
      <c r="AD63" s="188"/>
      <c r="AE63" s="188"/>
      <c r="AF63" s="188"/>
      <c r="AG63" s="188"/>
      <c r="AH63" s="188"/>
      <c r="AI63" s="188"/>
      <c r="AJ63" s="188"/>
      <c r="AK63" s="188"/>
      <c r="AL63" s="188"/>
      <c r="AM63" s="188"/>
      <c r="AN63" s="188"/>
      <c r="AO63" s="188"/>
      <c r="AP63" s="188"/>
      <c r="AQ63" s="188"/>
      <c r="AR63" s="188"/>
      <c r="AS63" s="188"/>
      <c r="AT63" s="188"/>
      <c r="AV63" s="210"/>
      <c r="BB63" s="188"/>
      <c r="BC63" s="188"/>
      <c r="BD63" s="188"/>
      <c r="BE63" s="188"/>
      <c r="BF63" s="188"/>
      <c r="BG63" s="188"/>
      <c r="BI63" s="188"/>
      <c r="BJ63" s="188"/>
    </row>
    <row r="64" spans="1:72" x14ac:dyDescent="0.35">
      <c r="A64" s="188"/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8"/>
      <c r="P64" s="188"/>
      <c r="Q64" s="188"/>
      <c r="R64" s="188"/>
      <c r="S64" s="188"/>
      <c r="T64" s="188"/>
      <c r="U64" s="188"/>
      <c r="V64" s="188"/>
      <c r="W64" s="188"/>
      <c r="X64" s="188"/>
      <c r="Y64" s="188"/>
      <c r="Z64" s="188"/>
      <c r="AA64" s="188"/>
      <c r="AB64" s="188"/>
      <c r="AC64" s="188"/>
      <c r="AD64" s="188"/>
      <c r="AE64" s="188"/>
      <c r="AF64" s="188"/>
      <c r="AG64" s="188"/>
      <c r="AH64" s="188"/>
      <c r="AI64" s="188"/>
      <c r="AJ64" s="188"/>
      <c r="AK64" s="188"/>
      <c r="AL64" s="188"/>
      <c r="AM64" s="188"/>
      <c r="AN64" s="188"/>
      <c r="AO64" s="188"/>
      <c r="AP64" s="188"/>
      <c r="AQ64" s="188"/>
      <c r="AR64" s="188"/>
      <c r="AS64" s="188"/>
      <c r="AT64" s="188"/>
      <c r="AU64" s="188"/>
      <c r="AV64" s="209"/>
      <c r="AW64" s="188"/>
      <c r="AX64" s="188"/>
      <c r="AY64" s="188"/>
      <c r="AZ64" s="188"/>
      <c r="BA64" s="188"/>
      <c r="BB64" s="188"/>
      <c r="BC64" s="188"/>
    </row>
    <row r="65" spans="1:55" x14ac:dyDescent="0.35">
      <c r="A65" s="188"/>
      <c r="B65" s="188"/>
      <c r="C65" s="188"/>
      <c r="D65" s="188"/>
      <c r="E65" s="188"/>
      <c r="F65" s="188"/>
      <c r="G65" s="188"/>
      <c r="H65" s="188"/>
      <c r="I65" s="188"/>
      <c r="J65" s="188"/>
      <c r="K65" s="188"/>
      <c r="L65" s="188"/>
      <c r="M65" s="188"/>
      <c r="N65" s="188"/>
      <c r="O65" s="188"/>
      <c r="P65" s="188"/>
      <c r="Q65" s="188"/>
      <c r="R65" s="188"/>
      <c r="S65" s="188"/>
      <c r="T65" s="188"/>
      <c r="U65" s="188"/>
      <c r="V65" s="188"/>
      <c r="W65" s="188"/>
      <c r="X65" s="188"/>
      <c r="Y65" s="188"/>
      <c r="Z65" s="188"/>
      <c r="AA65" s="188"/>
      <c r="AB65" s="188"/>
      <c r="AC65" s="188"/>
      <c r="AD65" s="188"/>
      <c r="AE65" s="188"/>
      <c r="AF65" s="188"/>
      <c r="AG65" s="188"/>
      <c r="AH65" s="188"/>
      <c r="AI65" s="188"/>
      <c r="AJ65" s="188"/>
      <c r="AK65" s="188"/>
      <c r="AL65" s="188"/>
      <c r="AM65" s="188"/>
      <c r="AN65" s="188"/>
      <c r="AO65" s="188"/>
      <c r="AP65" s="188"/>
      <c r="AQ65" s="188"/>
      <c r="AR65" s="188"/>
      <c r="AS65" s="188"/>
      <c r="AT65" s="188"/>
      <c r="AU65" s="188"/>
      <c r="AV65" s="209"/>
      <c r="AW65" s="188"/>
      <c r="AX65" s="188"/>
      <c r="AY65" s="188"/>
      <c r="AZ65" s="188"/>
      <c r="BA65" s="188"/>
      <c r="BB65" s="188"/>
      <c r="BC65" s="188"/>
    </row>
    <row r="66" spans="1:55" x14ac:dyDescent="0.35">
      <c r="A66" s="188"/>
      <c r="B66" s="188"/>
      <c r="C66" s="188"/>
      <c r="D66" s="188"/>
      <c r="E66" s="188"/>
      <c r="F66" s="188"/>
      <c r="G66" s="188"/>
      <c r="H66" s="188"/>
      <c r="I66" s="188"/>
      <c r="J66" s="188"/>
      <c r="K66" s="188"/>
      <c r="L66" s="188"/>
      <c r="M66" s="188"/>
      <c r="N66" s="188"/>
      <c r="O66" s="188"/>
      <c r="P66" s="188"/>
      <c r="Q66" s="188"/>
      <c r="R66" s="188"/>
      <c r="S66" s="188"/>
      <c r="T66" s="188"/>
      <c r="U66" s="188"/>
      <c r="V66" s="188"/>
      <c r="W66" s="188"/>
      <c r="X66" s="188"/>
      <c r="Y66" s="188"/>
      <c r="Z66" s="188"/>
      <c r="AA66" s="188"/>
      <c r="AB66" s="188"/>
      <c r="AC66" s="188"/>
      <c r="AD66" s="188"/>
      <c r="AE66" s="188"/>
      <c r="AF66" s="188"/>
      <c r="AG66" s="188"/>
      <c r="AH66" s="188"/>
      <c r="AI66" s="188"/>
      <c r="AJ66" s="188"/>
      <c r="AK66" s="188"/>
      <c r="AL66" s="188"/>
      <c r="AM66" s="188"/>
      <c r="AN66" s="188"/>
      <c r="AO66" s="188"/>
      <c r="AP66" s="188"/>
      <c r="AQ66" s="188"/>
      <c r="AR66" s="188"/>
      <c r="AS66" s="188"/>
      <c r="AT66" s="188"/>
      <c r="AU66" s="188"/>
      <c r="AV66" s="209"/>
      <c r="AW66" s="188"/>
      <c r="AX66" s="188"/>
      <c r="AY66" s="188"/>
      <c r="AZ66" s="188"/>
      <c r="BA66" s="188"/>
      <c r="BB66" s="188"/>
      <c r="BC66" s="188"/>
    </row>
    <row r="67" spans="1:55" x14ac:dyDescent="0.35">
      <c r="A67" s="188"/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188"/>
      <c r="AA67" s="188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Q67" s="188"/>
      <c r="AR67" s="188"/>
      <c r="AS67" s="188"/>
      <c r="AT67" s="188"/>
      <c r="AU67" s="188"/>
      <c r="AV67" s="209"/>
      <c r="AW67" s="188"/>
      <c r="AX67" s="188"/>
      <c r="AY67" s="188"/>
      <c r="AZ67" s="188"/>
      <c r="BA67" s="188"/>
      <c r="BB67" s="188"/>
      <c r="BC67" s="188"/>
    </row>
    <row r="68" spans="1:55" x14ac:dyDescent="0.35">
      <c r="A68" s="188"/>
      <c r="B68" s="188"/>
      <c r="C68" s="188"/>
      <c r="D68" s="188"/>
      <c r="E68" s="188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188"/>
      <c r="U68" s="188"/>
      <c r="V68" s="188"/>
      <c r="W68" s="188"/>
      <c r="X68" s="188"/>
      <c r="Y68" s="188"/>
      <c r="Z68" s="188"/>
      <c r="AA68" s="188"/>
      <c r="AB68" s="188"/>
      <c r="AC68" s="188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88"/>
      <c r="AR68" s="188"/>
      <c r="AS68" s="188"/>
      <c r="AT68" s="188"/>
      <c r="AU68" s="188"/>
      <c r="AV68" s="209"/>
      <c r="AW68" s="188"/>
      <c r="AX68" s="188"/>
      <c r="AY68" s="188"/>
      <c r="AZ68" s="188"/>
      <c r="BA68" s="188"/>
      <c r="BB68" s="188"/>
      <c r="BC68" s="188"/>
    </row>
    <row r="69" spans="1:55" x14ac:dyDescent="0.35">
      <c r="A69" s="188"/>
      <c r="B69" s="188"/>
      <c r="C69" s="188"/>
      <c r="D69" s="188"/>
      <c r="E69" s="188"/>
      <c r="F69" s="188"/>
      <c r="G69" s="188"/>
      <c r="H69" s="188"/>
      <c r="I69" s="188"/>
      <c r="J69" s="188"/>
      <c r="K69" s="188"/>
      <c r="L69" s="188"/>
      <c r="M69" s="188"/>
      <c r="N69" s="188"/>
      <c r="O69" s="188"/>
      <c r="P69" s="188"/>
      <c r="Q69" s="188"/>
      <c r="R69" s="188"/>
      <c r="S69" s="188"/>
      <c r="T69" s="188"/>
      <c r="U69" s="188"/>
      <c r="V69" s="188"/>
      <c r="W69" s="188"/>
      <c r="X69" s="188"/>
      <c r="Y69" s="188"/>
      <c r="Z69" s="188"/>
      <c r="AA69" s="188"/>
      <c r="AB69" s="188"/>
      <c r="AC69" s="188"/>
      <c r="AD69" s="188"/>
      <c r="AE69" s="188"/>
      <c r="AF69" s="188"/>
      <c r="AG69" s="188"/>
      <c r="AH69" s="188"/>
      <c r="AI69" s="188"/>
      <c r="AJ69" s="188"/>
      <c r="AK69" s="188"/>
      <c r="AL69" s="188"/>
      <c r="AM69" s="188"/>
      <c r="AN69" s="188"/>
      <c r="AO69" s="188"/>
      <c r="AP69" s="188"/>
      <c r="AQ69" s="188"/>
      <c r="AR69" s="188"/>
      <c r="AS69" s="188"/>
      <c r="AT69" s="188"/>
      <c r="AU69" s="188"/>
      <c r="AV69" s="209"/>
      <c r="AW69" s="188"/>
      <c r="AX69" s="188"/>
      <c r="AY69" s="188"/>
      <c r="AZ69" s="188"/>
      <c r="BA69" s="188"/>
      <c r="BB69" s="188"/>
      <c r="BC69" s="188"/>
    </row>
    <row r="70" spans="1:55" x14ac:dyDescent="0.35">
      <c r="A70" s="188"/>
      <c r="B70" s="188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88"/>
      <c r="S70" s="188"/>
      <c r="T70" s="188"/>
      <c r="U70" s="188"/>
      <c r="V70" s="188"/>
      <c r="W70" s="188"/>
      <c r="X70" s="188"/>
      <c r="Y70" s="188"/>
      <c r="Z70" s="188"/>
      <c r="AA70" s="188"/>
      <c r="AB70" s="188"/>
      <c r="AC70" s="188"/>
      <c r="AD70" s="188"/>
      <c r="AE70" s="188"/>
      <c r="AF70" s="188"/>
      <c r="AG70" s="188"/>
      <c r="AH70" s="188"/>
      <c r="AI70" s="188"/>
      <c r="AJ70" s="188"/>
      <c r="AK70" s="188"/>
      <c r="AL70" s="188"/>
      <c r="AM70" s="188"/>
      <c r="AN70" s="188"/>
      <c r="AO70" s="188"/>
      <c r="AP70" s="188"/>
      <c r="AQ70" s="188"/>
      <c r="AR70" s="188"/>
      <c r="AS70" s="188"/>
      <c r="AT70" s="188"/>
      <c r="AU70" s="188"/>
      <c r="AV70" s="209"/>
      <c r="AW70" s="188"/>
      <c r="AX70" s="188"/>
      <c r="AY70" s="188"/>
      <c r="AZ70" s="188"/>
      <c r="BA70" s="188"/>
      <c r="BB70" s="188"/>
      <c r="BC70" s="188"/>
    </row>
    <row r="71" spans="1:55" x14ac:dyDescent="0.35">
      <c r="A71" s="188"/>
      <c r="B71" s="188"/>
      <c r="C71" s="188"/>
      <c r="D71" s="188"/>
      <c r="E71" s="188"/>
      <c r="F71" s="188"/>
      <c r="G71" s="188"/>
      <c r="H71" s="188"/>
      <c r="I71" s="188"/>
      <c r="J71" s="188"/>
      <c r="K71" s="188"/>
      <c r="L71" s="188"/>
      <c r="M71" s="188"/>
      <c r="N71" s="188"/>
      <c r="O71" s="188"/>
      <c r="P71" s="188"/>
      <c r="Q71" s="188"/>
      <c r="R71" s="188"/>
      <c r="S71" s="188"/>
      <c r="T71" s="188"/>
      <c r="U71" s="188"/>
      <c r="V71" s="188"/>
      <c r="W71" s="188"/>
      <c r="X71" s="188"/>
      <c r="Y71" s="188"/>
      <c r="Z71" s="188"/>
      <c r="AA71" s="188"/>
      <c r="AB71" s="188"/>
      <c r="AC71" s="188"/>
      <c r="AD71" s="188"/>
      <c r="AE71" s="188"/>
      <c r="AF71" s="188"/>
      <c r="AG71" s="188"/>
      <c r="AH71" s="188"/>
      <c r="AI71" s="188"/>
      <c r="AJ71" s="188"/>
      <c r="AK71" s="188"/>
      <c r="AL71" s="188"/>
      <c r="AM71" s="188"/>
      <c r="AN71" s="188"/>
      <c r="AO71" s="188"/>
      <c r="AP71" s="188"/>
      <c r="AQ71" s="188"/>
      <c r="AR71" s="188"/>
      <c r="AS71" s="188"/>
      <c r="AT71" s="188"/>
      <c r="AU71" s="188"/>
      <c r="AV71" s="209"/>
      <c r="AW71" s="188"/>
      <c r="AX71" s="188"/>
      <c r="AY71" s="188"/>
      <c r="AZ71" s="188"/>
      <c r="BA71" s="188"/>
      <c r="BB71" s="188"/>
      <c r="BC71" s="188"/>
    </row>
    <row r="72" spans="1:55" x14ac:dyDescent="0.35">
      <c r="A72" s="188"/>
      <c r="B72" s="188"/>
      <c r="C72" s="188"/>
      <c r="D72" s="188"/>
      <c r="E72" s="188"/>
      <c r="F72" s="188"/>
      <c r="G72" s="188"/>
      <c r="H72" s="188"/>
      <c r="I72" s="188"/>
      <c r="J72" s="188"/>
      <c r="K72" s="188"/>
      <c r="L72" s="188"/>
      <c r="M72" s="188"/>
      <c r="N72" s="188"/>
      <c r="O72" s="188"/>
      <c r="P72" s="188"/>
      <c r="Q72" s="188"/>
      <c r="R72" s="188"/>
      <c r="S72" s="188"/>
      <c r="T72" s="188"/>
      <c r="U72" s="188"/>
      <c r="V72" s="188"/>
      <c r="W72" s="188"/>
      <c r="X72" s="188"/>
      <c r="Y72" s="188"/>
      <c r="Z72" s="188"/>
      <c r="AA72" s="188"/>
      <c r="AB72" s="188"/>
      <c r="AC72" s="188"/>
      <c r="AD72" s="188"/>
      <c r="AE72" s="188"/>
      <c r="AF72" s="188"/>
      <c r="AG72" s="188"/>
      <c r="AH72" s="188"/>
      <c r="AI72" s="188"/>
      <c r="AJ72" s="188"/>
      <c r="AK72" s="188"/>
      <c r="AL72" s="188"/>
      <c r="AM72" s="188"/>
      <c r="AN72" s="188"/>
      <c r="AO72" s="188"/>
      <c r="AP72" s="188"/>
      <c r="AQ72" s="188"/>
      <c r="AR72" s="188"/>
      <c r="AS72" s="188"/>
      <c r="AT72" s="188"/>
      <c r="AU72" s="188"/>
      <c r="AV72" s="209"/>
      <c r="AW72" s="188"/>
      <c r="AX72" s="188"/>
      <c r="AY72" s="188"/>
      <c r="AZ72" s="188"/>
      <c r="BA72" s="188"/>
      <c r="BB72" s="188"/>
      <c r="BC72" s="188"/>
    </row>
    <row r="73" spans="1:55" x14ac:dyDescent="0.35">
      <c r="A73" s="188"/>
      <c r="B73" s="188"/>
      <c r="C73" s="188"/>
      <c r="D73" s="188"/>
      <c r="E73" s="188"/>
      <c r="F73" s="188"/>
      <c r="G73" s="188"/>
      <c r="H73" s="188"/>
      <c r="I73" s="188"/>
      <c r="J73" s="188"/>
      <c r="K73" s="188"/>
      <c r="L73" s="188"/>
      <c r="M73" s="188"/>
      <c r="N73" s="188"/>
      <c r="O73" s="188"/>
      <c r="P73" s="188"/>
      <c r="Q73" s="188"/>
      <c r="R73" s="188"/>
      <c r="S73" s="188"/>
      <c r="T73" s="188"/>
      <c r="U73" s="188"/>
      <c r="V73" s="188"/>
      <c r="W73" s="188"/>
      <c r="X73" s="188"/>
      <c r="Y73" s="188"/>
      <c r="Z73" s="188"/>
      <c r="AA73" s="188"/>
      <c r="AB73" s="188"/>
      <c r="AC73" s="188"/>
      <c r="AD73" s="188"/>
      <c r="AE73" s="188"/>
      <c r="AF73" s="188"/>
      <c r="AG73" s="188"/>
      <c r="AH73" s="188"/>
      <c r="AI73" s="188"/>
      <c r="AJ73" s="188"/>
      <c r="AK73" s="188"/>
      <c r="AL73" s="188"/>
      <c r="AM73" s="188"/>
      <c r="AN73" s="188"/>
      <c r="AO73" s="188"/>
      <c r="AP73" s="188"/>
      <c r="AQ73" s="188"/>
      <c r="AR73" s="188"/>
      <c r="AS73" s="188"/>
      <c r="AT73" s="188"/>
      <c r="AU73" s="188"/>
      <c r="AV73" s="209"/>
      <c r="AW73" s="188"/>
      <c r="AX73" s="188"/>
      <c r="AY73" s="188"/>
      <c r="AZ73" s="188"/>
      <c r="BA73" s="188"/>
      <c r="BB73" s="188"/>
      <c r="BC73" s="188"/>
    </row>
    <row r="74" spans="1:55" x14ac:dyDescent="0.35">
      <c r="A74" s="188"/>
      <c r="B74" s="188"/>
      <c r="C74" s="188"/>
      <c r="D74" s="188"/>
      <c r="E74" s="188"/>
      <c r="F74" s="188"/>
      <c r="G74" s="188"/>
      <c r="H74" s="188"/>
      <c r="I74" s="188"/>
      <c r="J74" s="188"/>
      <c r="K74" s="188"/>
      <c r="L74" s="188"/>
      <c r="M74" s="188"/>
      <c r="N74" s="188"/>
      <c r="O74" s="188"/>
      <c r="P74" s="188"/>
      <c r="Q74" s="188"/>
      <c r="R74" s="188"/>
      <c r="S74" s="188"/>
      <c r="T74" s="188"/>
      <c r="U74" s="188"/>
      <c r="V74" s="188"/>
      <c r="W74" s="188"/>
      <c r="X74" s="188"/>
      <c r="Y74" s="188"/>
      <c r="Z74" s="188"/>
      <c r="AA74" s="188"/>
      <c r="AB74" s="188"/>
      <c r="AC74" s="188"/>
      <c r="AD74" s="188"/>
      <c r="AE74" s="188"/>
      <c r="AF74" s="188"/>
      <c r="AG74" s="188"/>
      <c r="AH74" s="188"/>
      <c r="AI74" s="188"/>
      <c r="AJ74" s="188"/>
      <c r="AK74" s="188"/>
      <c r="AL74" s="188"/>
      <c r="AM74" s="188"/>
      <c r="AN74" s="188"/>
      <c r="AO74" s="188"/>
      <c r="AP74" s="188"/>
      <c r="AQ74" s="188"/>
      <c r="AR74" s="188"/>
      <c r="AS74" s="188"/>
      <c r="AT74" s="188"/>
      <c r="AU74" s="188"/>
      <c r="AV74" s="209"/>
      <c r="AW74" s="188"/>
      <c r="AX74" s="188"/>
      <c r="AY74" s="188"/>
      <c r="AZ74" s="188"/>
      <c r="BA74" s="188"/>
      <c r="BB74" s="188"/>
      <c r="BC74" s="188"/>
    </row>
    <row r="75" spans="1:55" x14ac:dyDescent="0.35">
      <c r="A75" s="188"/>
      <c r="B75" s="188"/>
      <c r="C75" s="188"/>
      <c r="D75" s="188"/>
      <c r="E75" s="188"/>
      <c r="F75" s="188"/>
      <c r="G75" s="188"/>
      <c r="H75" s="188"/>
      <c r="I75" s="188"/>
      <c r="J75" s="188"/>
      <c r="K75" s="188"/>
      <c r="L75" s="188"/>
      <c r="M75" s="188"/>
      <c r="N75" s="188"/>
      <c r="O75" s="188"/>
      <c r="P75" s="188"/>
      <c r="Q75" s="188"/>
      <c r="R75" s="188"/>
      <c r="S75" s="188"/>
      <c r="T75" s="188"/>
      <c r="U75" s="188"/>
      <c r="V75" s="188"/>
      <c r="W75" s="188"/>
      <c r="X75" s="188"/>
      <c r="Y75" s="188"/>
      <c r="Z75" s="188"/>
      <c r="AA75" s="188"/>
      <c r="AB75" s="188"/>
      <c r="AC75" s="188"/>
      <c r="AD75" s="188"/>
      <c r="AE75" s="188"/>
      <c r="AF75" s="188"/>
      <c r="AG75" s="188"/>
      <c r="AH75" s="188"/>
      <c r="AI75" s="188"/>
      <c r="AJ75" s="188"/>
      <c r="AK75" s="188"/>
      <c r="AL75" s="188"/>
      <c r="AM75" s="188"/>
      <c r="AN75" s="188"/>
      <c r="AO75" s="188"/>
      <c r="AP75" s="188"/>
      <c r="AQ75" s="188"/>
      <c r="AR75" s="188"/>
      <c r="AS75" s="188"/>
      <c r="AT75" s="188"/>
      <c r="AU75" s="188"/>
      <c r="AV75" s="209"/>
      <c r="AW75" s="188"/>
      <c r="AX75" s="188"/>
      <c r="AY75" s="188"/>
      <c r="AZ75" s="188"/>
      <c r="BA75" s="188"/>
      <c r="BB75" s="188"/>
      <c r="BC75" s="188"/>
    </row>
    <row r="76" spans="1:55" x14ac:dyDescent="0.35">
      <c r="A76" s="188"/>
      <c r="B76" s="188"/>
      <c r="C76" s="188"/>
      <c r="D76" s="188"/>
      <c r="E76" s="188"/>
      <c r="F76" s="188"/>
      <c r="G76" s="188"/>
      <c r="H76" s="188"/>
      <c r="I76" s="188"/>
      <c r="J76" s="188"/>
      <c r="K76" s="188"/>
      <c r="L76" s="188"/>
      <c r="M76" s="188"/>
      <c r="N76" s="188"/>
      <c r="O76" s="188"/>
      <c r="P76" s="188"/>
      <c r="Q76" s="188"/>
      <c r="R76" s="188"/>
      <c r="S76" s="188"/>
      <c r="T76" s="188"/>
      <c r="U76" s="188"/>
      <c r="V76" s="188"/>
      <c r="W76" s="188"/>
      <c r="X76" s="188"/>
      <c r="Y76" s="188"/>
      <c r="Z76" s="188"/>
      <c r="AA76" s="188"/>
      <c r="AB76" s="188"/>
      <c r="AC76" s="188"/>
      <c r="AD76" s="188"/>
      <c r="AE76" s="188"/>
      <c r="AF76" s="188"/>
      <c r="AG76" s="188"/>
      <c r="AH76" s="188"/>
      <c r="AI76" s="188"/>
      <c r="AJ76" s="188"/>
      <c r="AK76" s="188"/>
      <c r="AL76" s="188"/>
      <c r="AM76" s="188"/>
      <c r="AN76" s="188"/>
      <c r="AO76" s="188"/>
      <c r="AP76" s="188"/>
      <c r="AQ76" s="188"/>
      <c r="AR76" s="188"/>
      <c r="AS76" s="188"/>
      <c r="AT76" s="188"/>
      <c r="AU76" s="188"/>
      <c r="AV76" s="209"/>
      <c r="AW76" s="188"/>
      <c r="AX76" s="188"/>
      <c r="AY76" s="188"/>
      <c r="AZ76" s="188"/>
      <c r="BA76" s="188"/>
      <c r="BB76" s="188"/>
      <c r="BC76" s="188"/>
    </row>
    <row r="77" spans="1:55" x14ac:dyDescent="0.35">
      <c r="A77" s="188"/>
      <c r="B77" s="188"/>
      <c r="C77" s="188"/>
      <c r="D77" s="188"/>
      <c r="E77" s="188"/>
      <c r="F77" s="188"/>
      <c r="G77" s="188"/>
      <c r="H77" s="188"/>
      <c r="I77" s="188"/>
      <c r="J77" s="188"/>
      <c r="K77" s="188"/>
      <c r="L77" s="188"/>
      <c r="M77" s="188"/>
      <c r="N77" s="188"/>
      <c r="O77" s="188"/>
      <c r="P77" s="188"/>
      <c r="Q77" s="188"/>
      <c r="R77" s="188"/>
      <c r="S77" s="188"/>
      <c r="T77" s="188"/>
      <c r="U77" s="188"/>
      <c r="V77" s="188"/>
      <c r="W77" s="188"/>
      <c r="X77" s="188"/>
      <c r="Y77" s="188"/>
      <c r="Z77" s="188"/>
      <c r="AA77" s="188"/>
      <c r="AB77" s="188"/>
      <c r="AC77" s="188"/>
      <c r="AD77" s="188"/>
      <c r="AE77" s="188"/>
      <c r="AF77" s="188"/>
      <c r="AG77" s="188"/>
      <c r="AH77" s="188"/>
      <c r="AI77" s="188"/>
      <c r="AJ77" s="188"/>
      <c r="AK77" s="188"/>
      <c r="AL77" s="188"/>
      <c r="AM77" s="188"/>
      <c r="AN77" s="188"/>
      <c r="AO77" s="188"/>
      <c r="AP77" s="188"/>
      <c r="AQ77" s="188"/>
      <c r="AR77" s="188"/>
      <c r="AS77" s="188"/>
      <c r="AT77" s="188"/>
      <c r="AU77" s="188"/>
      <c r="AV77" s="209"/>
      <c r="AW77" s="188"/>
      <c r="AX77" s="188"/>
      <c r="AY77" s="188"/>
      <c r="AZ77" s="188"/>
      <c r="BA77" s="188"/>
      <c r="BB77" s="188"/>
      <c r="BC77" s="188"/>
    </row>
    <row r="78" spans="1:55" x14ac:dyDescent="0.35">
      <c r="A78" s="188"/>
      <c r="B78" s="188"/>
      <c r="C78" s="188"/>
      <c r="D78" s="188"/>
      <c r="E78" s="188"/>
      <c r="F78" s="188"/>
      <c r="G78" s="188"/>
      <c r="H78" s="188"/>
      <c r="I78" s="188"/>
      <c r="J78" s="188"/>
      <c r="K78" s="188"/>
      <c r="L78" s="188"/>
      <c r="M78" s="188"/>
      <c r="N78" s="188"/>
      <c r="O78" s="188"/>
      <c r="P78" s="188"/>
      <c r="Q78" s="188"/>
      <c r="R78" s="188"/>
      <c r="S78" s="188"/>
      <c r="T78" s="188"/>
      <c r="U78" s="188"/>
      <c r="V78" s="188"/>
      <c r="W78" s="188"/>
      <c r="X78" s="188"/>
      <c r="Y78" s="188"/>
      <c r="Z78" s="188"/>
      <c r="AA78" s="188"/>
      <c r="AB78" s="188"/>
      <c r="AC78" s="188"/>
      <c r="AD78" s="188"/>
      <c r="AE78" s="188"/>
      <c r="AF78" s="188"/>
      <c r="AG78" s="188"/>
      <c r="AH78" s="188"/>
      <c r="AI78" s="188"/>
      <c r="AJ78" s="188"/>
      <c r="AK78" s="188"/>
      <c r="AL78" s="188"/>
      <c r="AM78" s="188"/>
      <c r="AN78" s="188"/>
      <c r="AO78" s="188"/>
      <c r="AP78" s="188"/>
      <c r="AQ78" s="188"/>
      <c r="AR78" s="188"/>
      <c r="AS78" s="188"/>
      <c r="AT78" s="188"/>
      <c r="AU78" s="188"/>
      <c r="AV78" s="209"/>
      <c r="AW78" s="188"/>
      <c r="AX78" s="188"/>
      <c r="AY78" s="188"/>
      <c r="AZ78" s="188"/>
      <c r="BA78" s="188"/>
      <c r="BB78" s="188"/>
      <c r="BC78" s="188"/>
    </row>
    <row r="79" spans="1:55" x14ac:dyDescent="0.35">
      <c r="A79" s="188"/>
      <c r="B79" s="188"/>
      <c r="C79" s="188"/>
      <c r="D79" s="188"/>
      <c r="E79" s="188"/>
      <c r="F79" s="188"/>
      <c r="G79" s="188"/>
      <c r="H79" s="188"/>
      <c r="I79" s="188"/>
      <c r="J79" s="188"/>
      <c r="K79" s="188"/>
      <c r="L79" s="188"/>
      <c r="M79" s="188"/>
      <c r="N79" s="188"/>
      <c r="O79" s="188"/>
      <c r="P79" s="188"/>
      <c r="Q79" s="188"/>
      <c r="R79" s="188"/>
      <c r="S79" s="188"/>
      <c r="T79" s="188"/>
      <c r="U79" s="188"/>
      <c r="V79" s="188"/>
      <c r="W79" s="188"/>
      <c r="X79" s="188"/>
      <c r="Y79" s="188"/>
      <c r="Z79" s="188"/>
      <c r="AA79" s="188"/>
      <c r="AB79" s="188"/>
      <c r="AC79" s="188"/>
      <c r="AD79" s="188"/>
      <c r="AE79" s="188"/>
      <c r="AF79" s="188"/>
      <c r="AG79" s="188"/>
      <c r="AH79" s="188"/>
      <c r="AI79" s="188"/>
      <c r="AJ79" s="188"/>
      <c r="AK79" s="188"/>
      <c r="AL79" s="188"/>
      <c r="AM79" s="188"/>
      <c r="AN79" s="188"/>
      <c r="AO79" s="188"/>
      <c r="AP79" s="188"/>
      <c r="AQ79" s="188"/>
      <c r="AR79" s="188"/>
      <c r="AS79" s="188"/>
      <c r="AT79" s="188"/>
      <c r="AU79" s="188"/>
      <c r="AV79" s="209"/>
      <c r="AW79" s="188"/>
      <c r="AX79" s="188"/>
      <c r="AY79" s="188"/>
      <c r="AZ79" s="188"/>
      <c r="BA79" s="188"/>
      <c r="BB79" s="188"/>
      <c r="BC79" s="188"/>
    </row>
    <row r="80" spans="1:55" x14ac:dyDescent="0.35">
      <c r="A80" s="188"/>
      <c r="B80" s="188"/>
      <c r="C80" s="188"/>
      <c r="D80" s="188"/>
      <c r="E80" s="188"/>
      <c r="F80" s="188"/>
      <c r="G80" s="188"/>
      <c r="H80" s="188"/>
      <c r="I80" s="188"/>
      <c r="J80" s="188"/>
      <c r="K80" s="188"/>
      <c r="L80" s="188"/>
      <c r="M80" s="188"/>
      <c r="N80" s="188"/>
      <c r="O80" s="188"/>
      <c r="P80" s="188"/>
      <c r="Q80" s="188"/>
      <c r="R80" s="188"/>
      <c r="S80" s="188"/>
      <c r="T80" s="188"/>
      <c r="U80" s="188"/>
      <c r="V80" s="188"/>
      <c r="W80" s="188"/>
      <c r="X80" s="188"/>
      <c r="Y80" s="188"/>
      <c r="Z80" s="188"/>
      <c r="AA80" s="188"/>
      <c r="AB80" s="188"/>
      <c r="AC80" s="188"/>
      <c r="AD80" s="188"/>
      <c r="AE80" s="188"/>
      <c r="AF80" s="188"/>
      <c r="AG80" s="188"/>
      <c r="AH80" s="188"/>
      <c r="AI80" s="188"/>
      <c r="AJ80" s="188"/>
      <c r="AK80" s="188"/>
      <c r="AL80" s="188"/>
      <c r="AM80" s="188"/>
      <c r="AN80" s="188"/>
      <c r="AO80" s="188"/>
      <c r="AP80" s="188"/>
      <c r="AQ80" s="188"/>
      <c r="AR80" s="188"/>
      <c r="AS80" s="188"/>
      <c r="AT80" s="188"/>
      <c r="AU80" s="188"/>
      <c r="AV80" s="209"/>
      <c r="AW80" s="188"/>
      <c r="AX80" s="188"/>
      <c r="AY80" s="188"/>
      <c r="AZ80" s="188"/>
      <c r="BA80" s="188"/>
      <c r="BB80" s="188"/>
      <c r="BC80" s="188"/>
    </row>
    <row r="81" spans="1:55" x14ac:dyDescent="0.35">
      <c r="A81" s="188"/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Q81" s="188"/>
      <c r="AR81" s="188"/>
      <c r="AS81" s="188"/>
      <c r="AT81" s="188"/>
      <c r="AU81" s="188"/>
      <c r="AV81" s="188"/>
      <c r="AW81" s="188"/>
      <c r="AX81" s="188"/>
      <c r="AY81" s="188"/>
      <c r="AZ81" s="188"/>
      <c r="BA81" s="188"/>
      <c r="BB81" s="188"/>
      <c r="BC81" s="188"/>
    </row>
    <row r="82" spans="1:55" x14ac:dyDescent="0.35">
      <c r="A82" s="188"/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188"/>
      <c r="U82" s="188"/>
      <c r="V82" s="188"/>
      <c r="W82" s="188"/>
      <c r="X82" s="188"/>
      <c r="Y82" s="188"/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88"/>
      <c r="AR82" s="188"/>
      <c r="AS82" s="188"/>
      <c r="AT82" s="188"/>
      <c r="AU82" s="188"/>
      <c r="AV82" s="188"/>
      <c r="AW82" s="188"/>
      <c r="AX82" s="188"/>
      <c r="AY82" s="188"/>
      <c r="AZ82" s="188"/>
      <c r="BA82" s="188"/>
      <c r="BB82" s="188"/>
      <c r="BC82" s="188"/>
    </row>
    <row r="83" spans="1:55" x14ac:dyDescent="0.35">
      <c r="A83" s="188"/>
      <c r="B83" s="188"/>
      <c r="C83" s="188"/>
      <c r="D83" s="188"/>
      <c r="E83" s="188"/>
      <c r="F83" s="188"/>
      <c r="G83" s="188"/>
      <c r="H83" s="188"/>
      <c r="I83" s="188"/>
      <c r="J83" s="188"/>
      <c r="K83" s="188"/>
      <c r="L83" s="188"/>
      <c r="M83" s="188"/>
      <c r="N83" s="188"/>
      <c r="O83" s="188"/>
      <c r="P83" s="188"/>
      <c r="Q83" s="188"/>
      <c r="R83" s="188"/>
      <c r="S83" s="188"/>
      <c r="T83" s="188"/>
      <c r="U83" s="188"/>
      <c r="V83" s="188"/>
      <c r="W83" s="188"/>
      <c r="X83" s="188"/>
      <c r="Y83" s="188"/>
      <c r="Z83" s="188"/>
      <c r="AA83" s="188"/>
      <c r="AB83" s="188"/>
      <c r="AC83" s="188"/>
      <c r="AD83" s="188"/>
      <c r="AE83" s="188"/>
      <c r="AF83" s="188"/>
      <c r="AG83" s="188"/>
      <c r="AH83" s="188"/>
      <c r="AI83" s="188"/>
      <c r="AJ83" s="188"/>
      <c r="AK83" s="188"/>
      <c r="AL83" s="188"/>
      <c r="AM83" s="188"/>
      <c r="AN83" s="188"/>
      <c r="AO83" s="188"/>
      <c r="AP83" s="188"/>
      <c r="AQ83" s="188"/>
      <c r="AR83" s="188"/>
      <c r="AS83" s="188"/>
      <c r="AT83" s="188"/>
      <c r="AU83" s="188"/>
      <c r="AV83" s="188"/>
      <c r="AW83" s="188"/>
      <c r="AX83" s="188"/>
      <c r="AY83" s="188"/>
      <c r="AZ83" s="188"/>
      <c r="BA83" s="188"/>
      <c r="BB83" s="188"/>
      <c r="BC83" s="188"/>
    </row>
    <row r="84" spans="1:55" x14ac:dyDescent="0.35">
      <c r="A84" s="188"/>
      <c r="B84" s="188"/>
      <c r="C84" s="188"/>
      <c r="D84" s="188"/>
      <c r="E84" s="188"/>
      <c r="F84" s="188"/>
      <c r="G84" s="188"/>
      <c r="H84" s="188"/>
      <c r="I84" s="188"/>
      <c r="J84" s="188"/>
      <c r="K84" s="188"/>
      <c r="L84" s="188"/>
      <c r="M84" s="188"/>
      <c r="N84" s="188"/>
      <c r="O84" s="188"/>
      <c r="P84" s="188"/>
      <c r="Q84" s="188"/>
      <c r="R84" s="188"/>
      <c r="S84" s="188"/>
      <c r="T84" s="188"/>
      <c r="U84" s="188"/>
      <c r="V84" s="188"/>
      <c r="W84" s="188"/>
      <c r="X84" s="188"/>
      <c r="Y84" s="188"/>
      <c r="Z84" s="188"/>
      <c r="AA84" s="188"/>
      <c r="AB84" s="188"/>
      <c r="AC84" s="188"/>
      <c r="AD84" s="188"/>
      <c r="AE84" s="188"/>
      <c r="AF84" s="188"/>
      <c r="AG84" s="188"/>
      <c r="AH84" s="188"/>
      <c r="AI84" s="188"/>
      <c r="AJ84" s="188"/>
      <c r="AK84" s="188"/>
      <c r="AL84" s="188"/>
      <c r="AM84" s="188"/>
      <c r="AN84" s="188"/>
      <c r="AO84" s="188"/>
      <c r="AP84" s="188"/>
      <c r="AQ84" s="188"/>
      <c r="AR84" s="188"/>
      <c r="AS84" s="188"/>
      <c r="AT84" s="188"/>
      <c r="AU84" s="188"/>
      <c r="AV84" s="188"/>
      <c r="AW84" s="188"/>
      <c r="AX84" s="188"/>
      <c r="AY84" s="188"/>
      <c r="AZ84" s="188"/>
      <c r="BA84" s="188"/>
      <c r="BB84" s="188"/>
      <c r="BC84" s="188"/>
    </row>
    <row r="85" spans="1:55" x14ac:dyDescent="0.35">
      <c r="A85" s="188"/>
      <c r="B85" s="188"/>
      <c r="C85" s="188"/>
      <c r="D85" s="188"/>
      <c r="E85" s="188"/>
      <c r="F85" s="188"/>
      <c r="G85" s="188"/>
      <c r="H85" s="188"/>
      <c r="I85" s="188"/>
      <c r="J85" s="188"/>
      <c r="K85" s="188"/>
      <c r="L85" s="188"/>
      <c r="M85" s="188"/>
      <c r="N85" s="188"/>
      <c r="O85" s="188"/>
      <c r="P85" s="188"/>
      <c r="Q85" s="188"/>
      <c r="R85" s="188"/>
      <c r="S85" s="188"/>
      <c r="T85" s="188"/>
      <c r="U85" s="188"/>
      <c r="V85" s="188"/>
      <c r="W85" s="188"/>
      <c r="X85" s="188"/>
      <c r="Y85" s="188"/>
      <c r="Z85" s="188"/>
      <c r="AA85" s="188"/>
      <c r="AB85" s="188"/>
      <c r="AC85" s="188"/>
      <c r="AD85" s="188"/>
      <c r="AE85" s="188"/>
      <c r="AF85" s="188"/>
      <c r="AG85" s="188"/>
      <c r="AH85" s="188"/>
      <c r="AI85" s="188"/>
      <c r="AJ85" s="188"/>
      <c r="AK85" s="188"/>
      <c r="AL85" s="188"/>
      <c r="AM85" s="188"/>
      <c r="AN85" s="188"/>
      <c r="AO85" s="188"/>
      <c r="AP85" s="188"/>
      <c r="AQ85" s="188"/>
      <c r="AR85" s="188"/>
      <c r="AS85" s="188"/>
      <c r="AT85" s="188"/>
      <c r="AU85" s="188"/>
      <c r="AV85" s="188"/>
      <c r="AW85" s="188"/>
      <c r="AX85" s="188"/>
      <c r="AY85" s="188"/>
      <c r="AZ85" s="188"/>
      <c r="BA85" s="188"/>
      <c r="BB85" s="188"/>
      <c r="BC85" s="188"/>
    </row>
    <row r="86" spans="1:55" x14ac:dyDescent="0.35">
      <c r="A86" s="188"/>
      <c r="B86" s="188"/>
      <c r="C86" s="188"/>
      <c r="D86" s="188"/>
      <c r="E86" s="188"/>
      <c r="F86" s="188"/>
      <c r="G86" s="188"/>
      <c r="H86" s="188"/>
      <c r="I86" s="188"/>
      <c r="J86" s="188"/>
      <c r="K86" s="188"/>
      <c r="L86" s="188"/>
      <c r="M86" s="188"/>
      <c r="N86" s="188"/>
      <c r="O86" s="188"/>
      <c r="P86" s="188"/>
      <c r="Q86" s="188"/>
      <c r="R86" s="188"/>
      <c r="S86" s="188"/>
      <c r="T86" s="188"/>
      <c r="U86" s="188"/>
      <c r="V86" s="188"/>
      <c r="W86" s="188"/>
      <c r="X86" s="188"/>
      <c r="Y86" s="188"/>
      <c r="Z86" s="188"/>
      <c r="AA86" s="188"/>
      <c r="AB86" s="188"/>
      <c r="AC86" s="188"/>
      <c r="AD86" s="188"/>
      <c r="AE86" s="188"/>
      <c r="AF86" s="188"/>
      <c r="AG86" s="188"/>
      <c r="AH86" s="188"/>
      <c r="AI86" s="188"/>
      <c r="AJ86" s="188"/>
      <c r="AK86" s="188"/>
      <c r="AL86" s="188"/>
      <c r="AM86" s="188"/>
      <c r="AN86" s="188"/>
      <c r="AO86" s="188"/>
      <c r="AP86" s="188"/>
      <c r="AQ86" s="188"/>
      <c r="AR86" s="188"/>
      <c r="AS86" s="188"/>
      <c r="AT86" s="188"/>
      <c r="AU86" s="188"/>
      <c r="AV86" s="188"/>
      <c r="AW86" s="188"/>
      <c r="AX86" s="188"/>
      <c r="AY86" s="188"/>
      <c r="AZ86" s="188"/>
      <c r="BA86" s="188"/>
      <c r="BB86" s="188"/>
      <c r="BC86" s="188"/>
    </row>
    <row r="87" spans="1:55" x14ac:dyDescent="0.35">
      <c r="A87" s="188"/>
      <c r="B87" s="188"/>
      <c r="C87" s="188"/>
      <c r="D87" s="188"/>
      <c r="E87" s="188"/>
      <c r="F87" s="188"/>
      <c r="G87" s="188"/>
      <c r="H87" s="188"/>
      <c r="I87" s="188"/>
      <c r="J87" s="188"/>
      <c r="K87" s="188"/>
      <c r="L87" s="188"/>
      <c r="M87" s="188"/>
      <c r="N87" s="188"/>
      <c r="O87" s="188"/>
      <c r="P87" s="188"/>
      <c r="Q87" s="188"/>
      <c r="R87" s="188"/>
      <c r="S87" s="188"/>
      <c r="T87" s="188"/>
      <c r="U87" s="188"/>
      <c r="V87" s="188"/>
      <c r="W87" s="188"/>
      <c r="X87" s="188"/>
      <c r="Y87" s="188"/>
      <c r="Z87" s="188"/>
      <c r="AA87" s="188"/>
      <c r="AB87" s="188"/>
      <c r="AC87" s="188"/>
      <c r="AD87" s="188"/>
      <c r="AE87" s="188"/>
      <c r="AF87" s="188"/>
      <c r="AG87" s="188"/>
      <c r="AH87" s="188"/>
      <c r="AI87" s="188"/>
      <c r="AJ87" s="188"/>
      <c r="AK87" s="188"/>
      <c r="AL87" s="188"/>
      <c r="AM87" s="188"/>
      <c r="AN87" s="188"/>
      <c r="AO87" s="188"/>
      <c r="AP87" s="188"/>
      <c r="AQ87" s="188"/>
      <c r="AR87" s="188"/>
      <c r="AS87" s="188"/>
      <c r="AT87" s="188"/>
      <c r="AU87" s="188"/>
      <c r="AV87" s="188"/>
      <c r="AW87" s="188"/>
      <c r="AX87" s="188"/>
      <c r="AY87" s="188"/>
      <c r="AZ87" s="188"/>
      <c r="BA87" s="188"/>
      <c r="BB87" s="188"/>
      <c r="BC87" s="188"/>
    </row>
    <row r="88" spans="1:55" x14ac:dyDescent="0.35">
      <c r="A88" s="188"/>
      <c r="B88" s="188"/>
      <c r="C88" s="188"/>
      <c r="D88" s="188"/>
      <c r="E88" s="188"/>
      <c r="F88" s="188"/>
      <c r="G88" s="188"/>
      <c r="H88" s="188"/>
      <c r="I88" s="188"/>
      <c r="J88" s="188"/>
      <c r="K88" s="188"/>
      <c r="L88" s="188"/>
      <c r="M88" s="188"/>
      <c r="N88" s="188"/>
      <c r="O88" s="188"/>
      <c r="P88" s="188"/>
      <c r="Q88" s="188"/>
      <c r="R88" s="188"/>
      <c r="S88" s="188"/>
      <c r="T88" s="188"/>
      <c r="U88" s="188"/>
      <c r="V88" s="188"/>
      <c r="W88" s="188"/>
      <c r="X88" s="188"/>
      <c r="Y88" s="188"/>
      <c r="Z88" s="188"/>
      <c r="AA88" s="188"/>
      <c r="AB88" s="188"/>
      <c r="AC88" s="188"/>
      <c r="AD88" s="188"/>
      <c r="AE88" s="188"/>
      <c r="AF88" s="188"/>
      <c r="AG88" s="188"/>
      <c r="AH88" s="188"/>
      <c r="AI88" s="188"/>
      <c r="AJ88" s="188"/>
      <c r="AK88" s="188"/>
      <c r="AL88" s="188"/>
      <c r="AM88" s="188"/>
      <c r="AN88" s="188"/>
      <c r="AO88" s="188"/>
      <c r="AP88" s="188"/>
      <c r="AQ88" s="188"/>
      <c r="AR88" s="188"/>
      <c r="AS88" s="188"/>
      <c r="AT88" s="188"/>
      <c r="AU88" s="188"/>
      <c r="AV88" s="188"/>
      <c r="AW88" s="188"/>
      <c r="AX88" s="188"/>
      <c r="AY88" s="188"/>
      <c r="AZ88" s="188"/>
      <c r="BA88" s="188"/>
      <c r="BB88" s="188"/>
      <c r="BC88" s="188"/>
    </row>
    <row r="89" spans="1:55" x14ac:dyDescent="0.35">
      <c r="A89" s="188"/>
      <c r="B89" s="188"/>
      <c r="C89" s="188"/>
      <c r="D89" s="188"/>
      <c r="E89" s="188"/>
      <c r="F89" s="188"/>
      <c r="G89" s="188"/>
      <c r="H89" s="188"/>
      <c r="I89" s="188"/>
      <c r="J89" s="188"/>
      <c r="K89" s="188"/>
      <c r="L89" s="188"/>
      <c r="M89" s="188"/>
      <c r="N89" s="188"/>
      <c r="O89" s="188"/>
      <c r="P89" s="188"/>
      <c r="Q89" s="188"/>
      <c r="R89" s="188"/>
      <c r="S89" s="188"/>
      <c r="T89" s="188"/>
      <c r="U89" s="188"/>
      <c r="V89" s="188"/>
      <c r="W89" s="188"/>
      <c r="X89" s="188"/>
      <c r="Y89" s="188"/>
      <c r="Z89" s="188"/>
      <c r="AA89" s="188"/>
      <c r="AB89" s="188"/>
      <c r="AC89" s="188"/>
      <c r="AD89" s="188"/>
      <c r="AE89" s="188"/>
      <c r="AF89" s="188"/>
      <c r="AG89" s="188"/>
      <c r="AH89" s="188"/>
      <c r="AI89" s="188"/>
      <c r="AJ89" s="188"/>
      <c r="AK89" s="188"/>
      <c r="AL89" s="188"/>
      <c r="AM89" s="188"/>
      <c r="AN89" s="188"/>
      <c r="AO89" s="188"/>
      <c r="AP89" s="188"/>
      <c r="AQ89" s="188"/>
      <c r="AR89" s="188"/>
      <c r="AS89" s="188"/>
      <c r="AT89" s="188"/>
      <c r="AU89" s="188"/>
      <c r="AV89" s="188"/>
      <c r="AW89" s="188"/>
      <c r="AX89" s="188"/>
      <c r="AY89" s="188"/>
      <c r="AZ89" s="188"/>
      <c r="BA89" s="188"/>
      <c r="BB89" s="188"/>
      <c r="BC89" s="188"/>
    </row>
    <row r="90" spans="1:55" x14ac:dyDescent="0.35">
      <c r="A90" s="188"/>
      <c r="B90" s="188"/>
      <c r="C90" s="188"/>
      <c r="D90" s="188"/>
      <c r="E90" s="188"/>
      <c r="F90" s="188"/>
      <c r="G90" s="188"/>
      <c r="H90" s="188"/>
      <c r="I90" s="188"/>
      <c r="J90" s="188"/>
      <c r="K90" s="188"/>
      <c r="L90" s="188"/>
      <c r="M90" s="188"/>
      <c r="N90" s="188"/>
      <c r="O90" s="188"/>
      <c r="P90" s="188"/>
      <c r="Q90" s="188"/>
      <c r="R90" s="188"/>
      <c r="S90" s="188"/>
      <c r="T90" s="188"/>
      <c r="U90" s="188"/>
      <c r="V90" s="188"/>
      <c r="W90" s="188"/>
      <c r="X90" s="188"/>
      <c r="Y90" s="188"/>
      <c r="Z90" s="188"/>
      <c r="AA90" s="188"/>
      <c r="AB90" s="188"/>
      <c r="AC90" s="188"/>
      <c r="AD90" s="188"/>
      <c r="AE90" s="188"/>
      <c r="AF90" s="188"/>
      <c r="AG90" s="188"/>
      <c r="AH90" s="188"/>
      <c r="AI90" s="188"/>
      <c r="AJ90" s="188"/>
      <c r="AK90" s="188"/>
      <c r="AL90" s="188"/>
      <c r="AM90" s="188"/>
      <c r="AN90" s="188"/>
      <c r="AO90" s="188"/>
      <c r="AP90" s="188"/>
      <c r="AQ90" s="188"/>
      <c r="AR90" s="188"/>
      <c r="AS90" s="188"/>
      <c r="AT90" s="188"/>
      <c r="AU90" s="188"/>
      <c r="AV90" s="188"/>
      <c r="AW90" s="188"/>
      <c r="AX90" s="188"/>
      <c r="AY90" s="188"/>
      <c r="AZ90" s="188"/>
      <c r="BA90" s="188"/>
      <c r="BB90" s="188"/>
      <c r="BC90" s="188"/>
    </row>
    <row r="91" spans="1:55" x14ac:dyDescent="0.35">
      <c r="A91" s="188"/>
      <c r="B91" s="188"/>
      <c r="C91" s="188"/>
      <c r="D91" s="188"/>
      <c r="E91" s="188"/>
      <c r="F91" s="188"/>
      <c r="G91" s="188"/>
      <c r="H91" s="188"/>
      <c r="I91" s="188"/>
      <c r="J91" s="188"/>
      <c r="K91" s="188"/>
      <c r="L91" s="188"/>
      <c r="M91" s="188"/>
      <c r="N91" s="188"/>
      <c r="O91" s="188"/>
      <c r="P91" s="188"/>
      <c r="Q91" s="188"/>
      <c r="R91" s="188"/>
      <c r="S91" s="188"/>
      <c r="T91" s="188"/>
      <c r="U91" s="188"/>
      <c r="V91" s="188"/>
      <c r="W91" s="188"/>
      <c r="X91" s="188"/>
      <c r="Y91" s="188"/>
      <c r="Z91" s="188"/>
      <c r="AA91" s="188"/>
      <c r="AB91" s="188"/>
      <c r="AC91" s="188"/>
      <c r="AD91" s="188"/>
      <c r="AE91" s="188"/>
      <c r="AF91" s="188"/>
      <c r="AG91" s="188"/>
      <c r="AH91" s="188"/>
      <c r="AI91" s="188"/>
      <c r="AJ91" s="188"/>
      <c r="AK91" s="188"/>
      <c r="AL91" s="188"/>
      <c r="AM91" s="188"/>
      <c r="AN91" s="188"/>
      <c r="AO91" s="188"/>
      <c r="AP91" s="188"/>
      <c r="AQ91" s="188"/>
      <c r="AR91" s="188"/>
      <c r="AS91" s="188"/>
      <c r="AT91" s="188"/>
      <c r="AU91" s="188"/>
      <c r="AV91" s="188"/>
      <c r="AW91" s="188"/>
      <c r="AX91" s="188"/>
      <c r="AY91" s="188"/>
      <c r="AZ91" s="188"/>
      <c r="BA91" s="188"/>
      <c r="BB91" s="188"/>
      <c r="BC91" s="188"/>
    </row>
    <row r="92" spans="1:55" x14ac:dyDescent="0.35">
      <c r="A92" s="188"/>
      <c r="B92" s="188"/>
      <c r="C92" s="188"/>
      <c r="D92" s="188"/>
      <c r="E92" s="188"/>
      <c r="F92" s="188"/>
      <c r="G92" s="188"/>
      <c r="H92" s="188"/>
      <c r="I92" s="188"/>
      <c r="J92" s="188"/>
      <c r="K92" s="188"/>
      <c r="L92" s="188"/>
      <c r="M92" s="188"/>
      <c r="N92" s="188"/>
      <c r="O92" s="188"/>
      <c r="P92" s="188"/>
      <c r="Q92" s="188"/>
      <c r="R92" s="188"/>
      <c r="S92" s="188"/>
      <c r="T92" s="188"/>
      <c r="U92" s="188"/>
      <c r="V92" s="188"/>
      <c r="W92" s="188"/>
      <c r="X92" s="188"/>
      <c r="Y92" s="188"/>
      <c r="Z92" s="188"/>
      <c r="AA92" s="188"/>
      <c r="AB92" s="188"/>
      <c r="AC92" s="188"/>
      <c r="AD92" s="188"/>
      <c r="AE92" s="188"/>
      <c r="AF92" s="188"/>
      <c r="AG92" s="188"/>
      <c r="AH92" s="188"/>
      <c r="AI92" s="188"/>
      <c r="AJ92" s="188"/>
      <c r="AK92" s="188"/>
      <c r="AL92" s="188"/>
      <c r="AM92" s="188"/>
      <c r="AN92" s="188"/>
      <c r="AO92" s="188"/>
      <c r="AP92" s="188"/>
      <c r="AQ92" s="188"/>
      <c r="AR92" s="188"/>
      <c r="AS92" s="188"/>
      <c r="AT92" s="188"/>
      <c r="AU92" s="188"/>
      <c r="AV92" s="188"/>
      <c r="AW92" s="188"/>
      <c r="AX92" s="188"/>
      <c r="AY92" s="188"/>
      <c r="AZ92" s="188"/>
      <c r="BA92" s="188"/>
      <c r="BB92" s="188"/>
      <c r="BC92" s="188"/>
    </row>
    <row r="93" spans="1:55" x14ac:dyDescent="0.35">
      <c r="A93" s="188"/>
      <c r="B93" s="188"/>
      <c r="C93" s="188"/>
      <c r="D93" s="188"/>
      <c r="E93" s="188"/>
      <c r="F93" s="188"/>
      <c r="G93" s="188"/>
      <c r="H93" s="188"/>
      <c r="I93" s="188"/>
      <c r="J93" s="188"/>
      <c r="K93" s="188"/>
      <c r="L93" s="188"/>
      <c r="M93" s="188"/>
      <c r="N93" s="188"/>
      <c r="O93" s="188"/>
      <c r="P93" s="188"/>
      <c r="Q93" s="188"/>
      <c r="R93" s="188"/>
      <c r="S93" s="188"/>
      <c r="T93" s="188"/>
      <c r="U93" s="188"/>
      <c r="V93" s="188"/>
      <c r="W93" s="188"/>
      <c r="X93" s="188"/>
      <c r="Y93" s="188"/>
      <c r="Z93" s="188"/>
      <c r="AA93" s="188"/>
      <c r="AB93" s="188"/>
      <c r="AC93" s="188"/>
      <c r="AD93" s="188"/>
      <c r="AE93" s="188"/>
      <c r="AF93" s="188"/>
      <c r="AG93" s="188"/>
      <c r="AH93" s="188"/>
      <c r="AI93" s="188"/>
      <c r="AJ93" s="188"/>
      <c r="AK93" s="188"/>
      <c r="AL93" s="188"/>
      <c r="AM93" s="188"/>
      <c r="AN93" s="188"/>
      <c r="AO93" s="188"/>
      <c r="AP93" s="188"/>
      <c r="AQ93" s="188"/>
      <c r="AR93" s="188"/>
      <c r="AS93" s="188"/>
      <c r="AT93" s="188"/>
      <c r="AU93" s="188"/>
      <c r="AV93" s="188"/>
      <c r="AW93" s="188"/>
      <c r="AX93" s="188"/>
      <c r="AY93" s="188"/>
      <c r="AZ93" s="188"/>
      <c r="BA93" s="188"/>
      <c r="BB93" s="188"/>
      <c r="BC93" s="188"/>
    </row>
    <row r="94" spans="1:55" x14ac:dyDescent="0.35">
      <c r="A94" s="188"/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8"/>
      <c r="P94" s="188"/>
      <c r="Q94" s="188"/>
      <c r="R94" s="188"/>
      <c r="S94" s="188"/>
      <c r="T94" s="188"/>
      <c r="U94" s="188"/>
      <c r="V94" s="188"/>
      <c r="W94" s="188"/>
      <c r="X94" s="188"/>
      <c r="Y94" s="188"/>
      <c r="Z94" s="188"/>
      <c r="AA94" s="188"/>
      <c r="AB94" s="188"/>
      <c r="AC94" s="188"/>
      <c r="AD94" s="188"/>
      <c r="AE94" s="188"/>
      <c r="AF94" s="188"/>
      <c r="AG94" s="188"/>
      <c r="AH94" s="188"/>
      <c r="AI94" s="188"/>
      <c r="AJ94" s="188"/>
      <c r="AK94" s="188"/>
      <c r="AL94" s="188"/>
      <c r="AM94" s="188"/>
      <c r="AN94" s="188"/>
      <c r="AO94" s="188"/>
      <c r="AP94" s="188"/>
      <c r="AQ94" s="188"/>
      <c r="AR94" s="188"/>
      <c r="AS94" s="188"/>
      <c r="AT94" s="188"/>
      <c r="AU94" s="188"/>
      <c r="AV94" s="188"/>
      <c r="AW94" s="188"/>
      <c r="AX94" s="188"/>
      <c r="AY94" s="188"/>
      <c r="AZ94" s="188"/>
      <c r="BA94" s="188"/>
      <c r="BB94" s="188"/>
      <c r="BC94" s="188"/>
    </row>
    <row r="95" spans="1:55" x14ac:dyDescent="0.35">
      <c r="A95" s="188"/>
      <c r="B95" s="188"/>
      <c r="C95" s="188"/>
      <c r="D95" s="188"/>
      <c r="E95" s="188"/>
      <c r="F95" s="188"/>
      <c r="G95" s="188"/>
      <c r="H95" s="188"/>
      <c r="I95" s="188"/>
      <c r="J95" s="188"/>
      <c r="K95" s="188"/>
      <c r="L95" s="188"/>
      <c r="M95" s="188"/>
      <c r="N95" s="188"/>
      <c r="O95" s="188"/>
      <c r="P95" s="188"/>
      <c r="Q95" s="188"/>
      <c r="R95" s="188"/>
      <c r="S95" s="188"/>
      <c r="T95" s="188"/>
      <c r="U95" s="188"/>
      <c r="V95" s="188"/>
      <c r="W95" s="188"/>
      <c r="X95" s="188"/>
      <c r="Y95" s="188"/>
      <c r="Z95" s="188"/>
      <c r="AA95" s="188"/>
      <c r="AB95" s="188"/>
      <c r="AC95" s="188"/>
      <c r="AD95" s="188"/>
      <c r="AE95" s="188"/>
      <c r="AF95" s="188"/>
      <c r="AG95" s="188"/>
      <c r="AH95" s="188"/>
      <c r="AI95" s="188"/>
      <c r="AJ95" s="188"/>
      <c r="AK95" s="188"/>
      <c r="AL95" s="188"/>
      <c r="AM95" s="188"/>
      <c r="AN95" s="188"/>
      <c r="AO95" s="188"/>
      <c r="AP95" s="188"/>
      <c r="AQ95" s="188"/>
      <c r="AR95" s="188"/>
      <c r="AS95" s="188"/>
      <c r="AT95" s="188"/>
      <c r="AU95" s="188"/>
      <c r="AV95" s="188"/>
      <c r="AW95" s="188"/>
      <c r="AX95" s="188"/>
      <c r="AY95" s="188"/>
      <c r="AZ95" s="188"/>
      <c r="BA95" s="188"/>
      <c r="BB95" s="188"/>
      <c r="BC95" s="188"/>
    </row>
    <row r="96" spans="1:55" x14ac:dyDescent="0.35">
      <c r="A96" s="188"/>
      <c r="B96" s="188"/>
      <c r="C96" s="188"/>
      <c r="D96" s="188"/>
      <c r="E96" s="188"/>
      <c r="F96" s="188"/>
      <c r="G96" s="188"/>
      <c r="H96" s="188"/>
      <c r="I96" s="188"/>
      <c r="J96" s="188"/>
      <c r="K96" s="188"/>
      <c r="L96" s="188"/>
      <c r="M96" s="188"/>
      <c r="N96" s="188"/>
      <c r="O96" s="188"/>
      <c r="P96" s="188"/>
      <c r="Q96" s="188"/>
      <c r="R96" s="188"/>
      <c r="S96" s="188"/>
      <c r="T96" s="188"/>
      <c r="U96" s="188"/>
      <c r="V96" s="188"/>
      <c r="W96" s="188"/>
      <c r="X96" s="188"/>
      <c r="Y96" s="188"/>
      <c r="Z96" s="188"/>
      <c r="AA96" s="188"/>
      <c r="AB96" s="188"/>
      <c r="AC96" s="188"/>
      <c r="AD96" s="188"/>
      <c r="AE96" s="188"/>
      <c r="AF96" s="188"/>
      <c r="AG96" s="188"/>
      <c r="AH96" s="188"/>
      <c r="AI96" s="188"/>
      <c r="AJ96" s="188"/>
      <c r="AK96" s="188"/>
      <c r="AM96" s="188"/>
      <c r="AN96" s="188"/>
      <c r="AO96" s="188"/>
      <c r="AP96" s="188"/>
      <c r="AQ96" s="188"/>
      <c r="AR96" s="188"/>
      <c r="AS96" s="188"/>
      <c r="AT96" s="188"/>
      <c r="AU96" s="188"/>
      <c r="AV96" s="188"/>
      <c r="AW96" s="188"/>
      <c r="AX96" s="188"/>
      <c r="AY96" s="188"/>
      <c r="AZ96" s="188"/>
      <c r="BA96" s="188"/>
      <c r="BB96" s="188"/>
    </row>
    <row r="97" spans="1:54" x14ac:dyDescent="0.35">
      <c r="A97" s="188"/>
      <c r="B97" s="188"/>
      <c r="C97" s="188"/>
      <c r="D97" s="188"/>
      <c r="E97" s="188"/>
      <c r="F97" s="188"/>
      <c r="G97" s="188"/>
      <c r="H97" s="188"/>
      <c r="I97" s="188"/>
      <c r="J97" s="188"/>
      <c r="K97" s="188"/>
      <c r="L97" s="188"/>
      <c r="M97" s="188"/>
      <c r="N97" s="188"/>
      <c r="O97" s="188"/>
      <c r="P97" s="188"/>
      <c r="Q97" s="188"/>
      <c r="R97" s="188"/>
      <c r="S97" s="188"/>
      <c r="T97" s="188"/>
      <c r="U97" s="188"/>
      <c r="V97" s="188"/>
      <c r="W97" s="188"/>
      <c r="X97" s="188"/>
      <c r="Y97" s="188"/>
      <c r="Z97" s="188"/>
      <c r="AA97" s="188"/>
      <c r="AB97" s="188"/>
      <c r="AC97" s="188"/>
      <c r="AD97" s="188"/>
      <c r="AE97" s="188"/>
      <c r="AF97" s="188"/>
      <c r="AG97" s="188"/>
      <c r="AM97" s="188"/>
      <c r="AN97" s="188"/>
      <c r="AO97" s="188"/>
      <c r="AP97" s="188"/>
      <c r="AQ97" s="188"/>
      <c r="AR97" s="188"/>
      <c r="AS97" s="188"/>
      <c r="AT97" s="188"/>
      <c r="AU97" s="188"/>
      <c r="AV97" s="188"/>
      <c r="AW97" s="188"/>
      <c r="AX97" s="188"/>
      <c r="AY97" s="188"/>
      <c r="AZ97" s="188"/>
      <c r="BA97" s="188"/>
      <c r="BB97" s="188"/>
    </row>
    <row r="98" spans="1:54" x14ac:dyDescent="0.35">
      <c r="A98" s="188"/>
      <c r="B98" s="188"/>
      <c r="C98" s="188"/>
      <c r="D98" s="188"/>
      <c r="E98" s="188"/>
      <c r="F98" s="188"/>
      <c r="G98" s="188"/>
      <c r="H98" s="188"/>
      <c r="I98" s="188"/>
      <c r="J98" s="188"/>
      <c r="K98" s="188"/>
      <c r="L98" s="188"/>
      <c r="M98" s="188"/>
      <c r="N98" s="188"/>
      <c r="O98" s="188"/>
      <c r="P98" s="188"/>
      <c r="Q98" s="188"/>
      <c r="R98" s="188"/>
      <c r="S98" s="188"/>
      <c r="T98" s="188"/>
      <c r="U98" s="188"/>
      <c r="V98" s="188"/>
      <c r="W98" s="188"/>
      <c r="X98" s="188"/>
      <c r="Y98" s="188"/>
      <c r="Z98" s="188"/>
      <c r="AA98" s="188"/>
      <c r="AB98" s="188"/>
      <c r="AC98" s="188"/>
      <c r="AD98" s="188"/>
      <c r="AE98" s="188"/>
      <c r="AF98" s="188"/>
      <c r="AG98" s="188"/>
      <c r="AN98" s="188"/>
      <c r="AO98" s="188"/>
      <c r="AP98" s="188"/>
      <c r="AQ98" s="188"/>
      <c r="AR98" s="188"/>
      <c r="AS98" s="188"/>
      <c r="AT98" s="188"/>
      <c r="AU98" s="188"/>
      <c r="AV98" s="188"/>
      <c r="AW98" s="188"/>
      <c r="AX98" s="188"/>
      <c r="AY98" s="188"/>
      <c r="AZ98" s="188"/>
      <c r="BA98" s="188"/>
      <c r="BB98" s="188"/>
    </row>
    <row r="99" spans="1:54" x14ac:dyDescent="0.35">
      <c r="A99" s="188"/>
      <c r="B99" s="188"/>
      <c r="C99" s="188"/>
      <c r="D99" s="188"/>
      <c r="E99" s="188"/>
      <c r="F99" s="188"/>
      <c r="G99" s="188"/>
      <c r="H99" s="188"/>
      <c r="I99" s="188"/>
      <c r="J99" s="188"/>
      <c r="K99" s="1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8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N99" s="188"/>
      <c r="AO99" s="188"/>
      <c r="AP99" s="188"/>
      <c r="AQ99" s="188"/>
      <c r="AR99" s="188"/>
      <c r="AS99" s="188"/>
      <c r="AT99" s="188"/>
      <c r="AU99" s="188"/>
      <c r="AV99" s="188"/>
      <c r="AW99" s="188"/>
      <c r="AX99" s="188"/>
      <c r="AY99" s="188"/>
      <c r="AZ99" s="188"/>
      <c r="BA99" s="188"/>
      <c r="BB99" s="188"/>
    </row>
    <row r="100" spans="1:54" x14ac:dyDescent="0.35">
      <c r="A100" s="188"/>
      <c r="B100" s="188"/>
      <c r="C100" s="188"/>
      <c r="D100" s="188"/>
      <c r="E100" s="188"/>
      <c r="F100" s="188"/>
      <c r="G100" s="188"/>
      <c r="H100" s="188"/>
      <c r="I100" s="188"/>
      <c r="J100" s="188"/>
      <c r="K100" s="188"/>
      <c r="L100" s="188"/>
      <c r="M100" s="188"/>
      <c r="N100" s="188"/>
      <c r="O100" s="188"/>
      <c r="P100" s="188"/>
      <c r="Q100" s="188"/>
      <c r="R100" s="188"/>
      <c r="S100" s="188"/>
      <c r="T100" s="188"/>
      <c r="U100" s="188"/>
      <c r="V100" s="188"/>
      <c r="W100" s="188"/>
      <c r="X100" s="188"/>
      <c r="Y100" s="188"/>
      <c r="Z100" s="188"/>
      <c r="AA100" s="188"/>
      <c r="AB100" s="188"/>
      <c r="AC100" s="188"/>
      <c r="AD100" s="188"/>
      <c r="AE100" s="188"/>
      <c r="AF100" s="188"/>
      <c r="AG100" s="188"/>
      <c r="AN100" s="188"/>
      <c r="AO100" s="188"/>
      <c r="AP100" s="188"/>
      <c r="AQ100" s="188"/>
      <c r="AR100" s="188"/>
      <c r="AS100" s="188"/>
      <c r="AT100" s="188"/>
      <c r="AU100" s="188"/>
      <c r="AV100" s="188"/>
      <c r="AW100" s="188"/>
      <c r="AX100" s="188"/>
      <c r="AY100" s="188"/>
      <c r="AZ100" s="188"/>
      <c r="BA100" s="188"/>
      <c r="BB100" s="188"/>
    </row>
    <row r="101" spans="1:54" x14ac:dyDescent="0.35">
      <c r="A101" s="188"/>
      <c r="B101" s="188"/>
      <c r="C101" s="188"/>
      <c r="D101" s="188"/>
      <c r="E101" s="188"/>
      <c r="F101" s="188"/>
      <c r="G101" s="188"/>
      <c r="H101" s="188"/>
      <c r="I101" s="188"/>
      <c r="J101" s="188"/>
      <c r="K101" s="188"/>
      <c r="L101" s="188"/>
      <c r="M101" s="188"/>
      <c r="N101" s="188"/>
      <c r="O101" s="188"/>
      <c r="P101" s="188"/>
      <c r="Q101" s="188"/>
      <c r="R101" s="188"/>
      <c r="S101" s="188"/>
      <c r="T101" s="188"/>
      <c r="U101" s="188"/>
      <c r="V101" s="188"/>
      <c r="W101" s="188"/>
      <c r="X101" s="188"/>
      <c r="Y101" s="188"/>
      <c r="Z101" s="188"/>
      <c r="AA101" s="188"/>
      <c r="AB101" s="188"/>
      <c r="AC101" s="188"/>
      <c r="AD101" s="188"/>
      <c r="AE101" s="188"/>
      <c r="AF101" s="188"/>
      <c r="AG101" s="188"/>
      <c r="AN101" s="188"/>
      <c r="AO101" s="188"/>
      <c r="AP101" s="188"/>
      <c r="AQ101" s="188"/>
      <c r="AR101" s="188"/>
      <c r="AS101" s="188"/>
      <c r="AT101" s="188"/>
      <c r="AU101" s="188"/>
      <c r="AV101" s="188"/>
      <c r="AW101" s="188"/>
      <c r="AX101" s="188"/>
      <c r="AY101" s="188"/>
      <c r="AZ101" s="188"/>
      <c r="BA101" s="188"/>
      <c r="BB101" s="188"/>
    </row>
    <row r="102" spans="1:54" x14ac:dyDescent="0.35">
      <c r="A102" s="188"/>
      <c r="B102" s="188"/>
      <c r="C102" s="188"/>
      <c r="D102" s="188"/>
      <c r="E102" s="188"/>
      <c r="F102" s="188"/>
      <c r="G102" s="188"/>
      <c r="H102" s="188"/>
      <c r="I102" s="188"/>
      <c r="J102" s="188"/>
      <c r="K102" s="188"/>
      <c r="L102" s="188"/>
      <c r="M102" s="188"/>
      <c r="N102" s="188"/>
      <c r="O102" s="188"/>
      <c r="P102" s="188"/>
      <c r="Q102" s="188"/>
      <c r="R102" s="188"/>
      <c r="S102" s="188"/>
      <c r="T102" s="188"/>
      <c r="U102" s="188"/>
      <c r="V102" s="188"/>
      <c r="W102" s="188"/>
      <c r="X102" s="188"/>
      <c r="Y102" s="188"/>
      <c r="Z102" s="188"/>
      <c r="AA102" s="188"/>
      <c r="AB102" s="188"/>
      <c r="AC102" s="188"/>
      <c r="AD102" s="188"/>
      <c r="AE102" s="188"/>
      <c r="AF102" s="188"/>
      <c r="AG102" s="188"/>
      <c r="AN102" s="188"/>
      <c r="AO102" s="188"/>
      <c r="AP102" s="188"/>
      <c r="AQ102" s="188"/>
      <c r="AR102" s="188"/>
      <c r="AS102" s="188"/>
      <c r="AT102" s="188"/>
      <c r="AU102" s="188"/>
      <c r="AV102" s="188"/>
      <c r="AW102" s="188"/>
      <c r="AX102" s="188"/>
      <c r="AY102" s="188"/>
      <c r="AZ102" s="188"/>
      <c r="BA102" s="188"/>
      <c r="BB102" s="188"/>
    </row>
    <row r="103" spans="1:54" x14ac:dyDescent="0.35">
      <c r="A103" s="188"/>
      <c r="B103" s="188"/>
      <c r="C103" s="188"/>
      <c r="D103" s="188"/>
      <c r="E103" s="188"/>
      <c r="F103" s="188"/>
      <c r="G103" s="188"/>
      <c r="H103" s="188"/>
      <c r="I103" s="188"/>
      <c r="J103" s="188"/>
      <c r="K103" s="188"/>
      <c r="L103" s="188"/>
      <c r="M103" s="188"/>
      <c r="N103" s="188"/>
      <c r="O103" s="188"/>
      <c r="P103" s="188"/>
      <c r="Q103" s="188"/>
      <c r="R103" s="188"/>
      <c r="S103" s="188"/>
      <c r="T103" s="188"/>
      <c r="U103" s="188"/>
      <c r="V103" s="188"/>
      <c r="W103" s="188"/>
      <c r="X103" s="188"/>
      <c r="Y103" s="188"/>
      <c r="Z103" s="188"/>
      <c r="AA103" s="188"/>
      <c r="AB103" s="188"/>
      <c r="AC103" s="188"/>
      <c r="AD103" s="188"/>
      <c r="AE103" s="188"/>
      <c r="AF103" s="188"/>
      <c r="AG103" s="188"/>
      <c r="AN103" s="188"/>
      <c r="AO103" s="188"/>
      <c r="AP103" s="188"/>
      <c r="AQ103" s="188"/>
      <c r="AR103" s="188"/>
      <c r="AS103" s="188"/>
      <c r="AT103" s="188"/>
      <c r="AU103" s="188"/>
      <c r="AV103" s="188"/>
      <c r="AW103" s="188"/>
      <c r="AX103" s="188"/>
      <c r="AY103" s="188"/>
      <c r="AZ103" s="188"/>
      <c r="BA103" s="188"/>
    </row>
    <row r="104" spans="1:54" x14ac:dyDescent="0.35">
      <c r="A104" s="188"/>
      <c r="B104" s="188"/>
      <c r="C104" s="188"/>
      <c r="D104" s="188"/>
      <c r="E104" s="188"/>
      <c r="F104" s="188"/>
      <c r="G104" s="188"/>
      <c r="H104" s="188"/>
      <c r="I104" s="188"/>
      <c r="J104" s="188"/>
      <c r="K104" s="188"/>
      <c r="L104" s="188"/>
      <c r="M104" s="188"/>
      <c r="N104" s="188"/>
      <c r="O104" s="188"/>
      <c r="P104" s="188"/>
      <c r="Q104" s="188"/>
      <c r="R104" s="188"/>
      <c r="S104" s="188"/>
      <c r="T104" s="188"/>
      <c r="U104" s="188"/>
      <c r="V104" s="188"/>
      <c r="W104" s="188"/>
      <c r="X104" s="188"/>
      <c r="Y104" s="188"/>
      <c r="Z104" s="188"/>
      <c r="AA104" s="188"/>
      <c r="AB104" s="188"/>
      <c r="AC104" s="188"/>
      <c r="AD104" s="188"/>
      <c r="AE104" s="188"/>
      <c r="AF104" s="188"/>
      <c r="AG104" s="188"/>
      <c r="AN104" s="188"/>
      <c r="AO104" s="188"/>
      <c r="AP104" s="188"/>
      <c r="AQ104" s="188"/>
      <c r="AR104" s="188"/>
      <c r="AS104" s="188"/>
      <c r="AT104" s="188"/>
      <c r="AU104" s="188"/>
      <c r="AV104" s="188"/>
      <c r="AW104" s="188"/>
      <c r="AX104" s="188"/>
      <c r="AY104" s="188"/>
      <c r="AZ104" s="188"/>
      <c r="BA104" s="188"/>
    </row>
    <row r="105" spans="1:54" x14ac:dyDescent="0.35">
      <c r="A105" s="188"/>
      <c r="B105" s="188"/>
      <c r="C105" s="188"/>
      <c r="D105" s="188"/>
      <c r="E105" s="188"/>
      <c r="F105" s="188"/>
      <c r="G105" s="188"/>
      <c r="H105" s="188"/>
      <c r="I105" s="188"/>
      <c r="J105" s="188"/>
      <c r="K105" s="188"/>
      <c r="L105" s="188"/>
      <c r="M105" s="188"/>
      <c r="N105" s="188"/>
      <c r="O105" s="188"/>
      <c r="P105" s="188"/>
      <c r="Q105" s="188"/>
      <c r="R105" s="188"/>
      <c r="S105" s="188"/>
      <c r="T105" s="188"/>
      <c r="U105" s="188"/>
      <c r="V105" s="188"/>
      <c r="W105" s="188"/>
      <c r="X105" s="188"/>
      <c r="Y105" s="188"/>
      <c r="Z105" s="188"/>
      <c r="AA105" s="188"/>
      <c r="AB105" s="188"/>
      <c r="AC105" s="188"/>
      <c r="AD105" s="188"/>
      <c r="AE105" s="188"/>
      <c r="AF105" s="188"/>
      <c r="AG105" s="188"/>
      <c r="AN105" s="188"/>
      <c r="AO105" s="188"/>
      <c r="AP105" s="188"/>
      <c r="AQ105" s="188"/>
      <c r="AR105" s="188"/>
      <c r="AS105" s="188"/>
      <c r="AT105" s="188"/>
      <c r="AU105" s="188"/>
      <c r="AV105" s="188"/>
      <c r="AW105" s="188"/>
      <c r="AX105" s="188"/>
      <c r="AY105" s="188"/>
      <c r="AZ105" s="188"/>
      <c r="BA105" s="188"/>
    </row>
    <row r="106" spans="1:54" x14ac:dyDescent="0.35">
      <c r="A106" s="188"/>
      <c r="B106" s="188"/>
      <c r="C106" s="188"/>
      <c r="D106" s="188"/>
      <c r="E106" s="188"/>
      <c r="F106" s="188"/>
      <c r="G106" s="188"/>
      <c r="H106" s="188"/>
      <c r="I106" s="188"/>
      <c r="J106" s="188"/>
      <c r="K106" s="188"/>
      <c r="L106" s="188"/>
      <c r="M106" s="188"/>
      <c r="N106" s="188"/>
      <c r="O106" s="188"/>
      <c r="P106" s="188"/>
      <c r="Q106" s="188"/>
      <c r="R106" s="188"/>
      <c r="S106" s="188"/>
      <c r="T106" s="188"/>
      <c r="U106" s="188"/>
      <c r="V106" s="188"/>
      <c r="W106" s="188"/>
      <c r="X106" s="188"/>
      <c r="Y106" s="188"/>
      <c r="Z106" s="188"/>
      <c r="AA106" s="188"/>
      <c r="AB106" s="188"/>
      <c r="AC106" s="188"/>
      <c r="AD106" s="188"/>
      <c r="AE106" s="188"/>
      <c r="AF106" s="188"/>
      <c r="AG106" s="188"/>
      <c r="AN106" s="188"/>
      <c r="AO106" s="188"/>
      <c r="AP106" s="188"/>
      <c r="AQ106" s="188"/>
      <c r="AR106" s="188"/>
      <c r="AS106" s="188"/>
      <c r="AT106" s="188"/>
      <c r="AU106" s="188"/>
      <c r="AV106" s="188"/>
      <c r="AW106" s="188"/>
      <c r="AX106" s="188"/>
      <c r="AY106" s="188"/>
      <c r="AZ106" s="188"/>
      <c r="BA106" s="188"/>
    </row>
    <row r="107" spans="1:54" x14ac:dyDescent="0.35">
      <c r="A107" s="188"/>
      <c r="B107" s="188"/>
      <c r="C107" s="188"/>
      <c r="D107" s="188"/>
      <c r="E107" s="188"/>
      <c r="F107" s="188"/>
      <c r="G107" s="188"/>
      <c r="H107" s="188"/>
      <c r="I107" s="188"/>
      <c r="J107" s="188"/>
      <c r="K107" s="188"/>
      <c r="L107" s="188"/>
      <c r="M107" s="188"/>
      <c r="N107" s="188"/>
      <c r="O107" s="188"/>
      <c r="P107" s="188"/>
      <c r="Q107" s="188"/>
      <c r="R107" s="188"/>
      <c r="S107" s="188"/>
      <c r="T107" s="188"/>
      <c r="U107" s="188"/>
      <c r="V107" s="188"/>
      <c r="W107" s="188"/>
      <c r="X107" s="188"/>
      <c r="Y107" s="188"/>
      <c r="Z107" s="188"/>
      <c r="AA107" s="188"/>
      <c r="AB107" s="188"/>
      <c r="AC107" s="188"/>
      <c r="AD107" s="188"/>
      <c r="AE107" s="188"/>
      <c r="AF107" s="188"/>
      <c r="AG107" s="188"/>
      <c r="AN107" s="188"/>
      <c r="AO107" s="188"/>
      <c r="AP107" s="188"/>
      <c r="AQ107" s="188"/>
      <c r="AR107" s="188"/>
      <c r="AS107" s="188"/>
      <c r="AT107" s="188"/>
      <c r="AU107" s="188"/>
      <c r="AV107" s="188"/>
      <c r="AW107" s="188"/>
      <c r="AX107" s="188"/>
      <c r="AY107" s="188"/>
      <c r="AZ107" s="188"/>
      <c r="BA107" s="188"/>
    </row>
    <row r="108" spans="1:54" x14ac:dyDescent="0.35">
      <c r="A108" s="188"/>
      <c r="B108" s="188"/>
      <c r="C108" s="188"/>
      <c r="D108" s="188"/>
      <c r="E108" s="188"/>
      <c r="F108" s="188"/>
      <c r="G108" s="188"/>
      <c r="H108" s="188"/>
      <c r="I108" s="188"/>
      <c r="J108" s="188"/>
      <c r="K108" s="188"/>
      <c r="L108" s="188"/>
      <c r="M108" s="188"/>
      <c r="N108" s="188"/>
      <c r="O108" s="188"/>
      <c r="P108" s="188"/>
      <c r="Q108" s="188"/>
      <c r="R108" s="188"/>
      <c r="S108" s="188"/>
      <c r="T108" s="188"/>
      <c r="U108" s="188"/>
      <c r="V108" s="188"/>
      <c r="W108" s="188"/>
      <c r="X108" s="188"/>
      <c r="Y108" s="188"/>
      <c r="Z108" s="188"/>
      <c r="AA108" s="188"/>
      <c r="AB108" s="188"/>
      <c r="AC108" s="188"/>
      <c r="AD108" s="188"/>
      <c r="AE108" s="188"/>
      <c r="AF108" s="188"/>
      <c r="AG108" s="188"/>
      <c r="AV108" s="188"/>
      <c r="AW108" s="188"/>
      <c r="AX108" s="188"/>
      <c r="AY108" s="188"/>
    </row>
    <row r="109" spans="1:54" x14ac:dyDescent="0.35">
      <c r="A109" s="188"/>
      <c r="B109" s="188"/>
      <c r="C109" s="188"/>
      <c r="D109" s="188"/>
      <c r="E109" s="188"/>
      <c r="F109" s="188"/>
      <c r="G109" s="188"/>
      <c r="H109" s="188"/>
      <c r="I109" s="188"/>
      <c r="J109" s="188"/>
      <c r="K109" s="188"/>
      <c r="L109" s="188"/>
      <c r="M109" s="188"/>
      <c r="N109" s="188"/>
      <c r="O109" s="188"/>
      <c r="P109" s="188"/>
      <c r="Q109" s="188"/>
      <c r="R109" s="188"/>
      <c r="S109" s="188"/>
      <c r="T109" s="188"/>
      <c r="U109" s="188"/>
      <c r="V109" s="188"/>
      <c r="W109" s="188"/>
      <c r="X109" s="188"/>
      <c r="Y109" s="188"/>
      <c r="Z109" s="188"/>
      <c r="AA109" s="188"/>
      <c r="AB109" s="188"/>
      <c r="AC109" s="188"/>
      <c r="AD109" s="188"/>
      <c r="AE109" s="188"/>
      <c r="AF109" s="188"/>
      <c r="AG109" s="188"/>
    </row>
    <row r="110" spans="1:54" x14ac:dyDescent="0.35">
      <c r="A110" s="188"/>
      <c r="B110" s="188"/>
      <c r="C110" s="188"/>
      <c r="D110" s="188"/>
      <c r="E110" s="188"/>
      <c r="F110" s="188"/>
      <c r="G110" s="188"/>
      <c r="H110" s="188"/>
      <c r="I110" s="188"/>
      <c r="J110" s="188"/>
      <c r="K110" s="188"/>
      <c r="L110" s="188"/>
      <c r="M110" s="188"/>
      <c r="N110" s="188"/>
      <c r="O110" s="188"/>
      <c r="P110" s="188"/>
      <c r="Q110" s="188"/>
      <c r="R110" s="188"/>
      <c r="S110" s="188"/>
      <c r="T110" s="188"/>
      <c r="U110" s="188"/>
      <c r="V110" s="188"/>
      <c r="W110" s="188"/>
      <c r="X110" s="188"/>
      <c r="Y110" s="188"/>
      <c r="Z110" s="188"/>
      <c r="AA110" s="188"/>
      <c r="AB110" s="188"/>
      <c r="AC110" s="188"/>
      <c r="AD110" s="188"/>
      <c r="AE110" s="188"/>
      <c r="AF110" s="188"/>
      <c r="AG110" s="188"/>
    </row>
    <row r="111" spans="1:54" x14ac:dyDescent="0.35">
      <c r="A111" s="188"/>
      <c r="B111" s="188"/>
      <c r="C111" s="188"/>
      <c r="D111" s="188"/>
      <c r="E111" s="188"/>
      <c r="F111" s="188"/>
      <c r="G111" s="188"/>
      <c r="H111" s="188"/>
      <c r="I111" s="188"/>
      <c r="J111" s="188"/>
      <c r="K111" s="188"/>
      <c r="L111" s="188"/>
      <c r="M111" s="188"/>
      <c r="N111" s="188"/>
      <c r="O111" s="188"/>
      <c r="P111" s="188"/>
      <c r="Q111" s="188"/>
      <c r="R111" s="188"/>
      <c r="S111" s="188"/>
      <c r="T111" s="188"/>
      <c r="U111" s="188"/>
      <c r="V111" s="188"/>
      <c r="W111" s="188"/>
      <c r="X111" s="188"/>
      <c r="Y111" s="188"/>
      <c r="Z111" s="188"/>
      <c r="AA111" s="188"/>
      <c r="AB111" s="188"/>
      <c r="AC111" s="188"/>
      <c r="AD111" s="188"/>
      <c r="AE111" s="188"/>
      <c r="AF111" s="188"/>
      <c r="AG111" s="188"/>
    </row>
    <row r="112" spans="1:54" x14ac:dyDescent="0.35">
      <c r="A112" s="188"/>
      <c r="B112" s="188"/>
      <c r="C112" s="188"/>
      <c r="D112" s="188"/>
      <c r="E112" s="188"/>
      <c r="F112" s="188"/>
      <c r="G112" s="188"/>
      <c r="H112" s="188"/>
      <c r="I112" s="188"/>
      <c r="J112" s="188"/>
      <c r="K112" s="188"/>
      <c r="L112" s="188"/>
      <c r="M112" s="188"/>
      <c r="N112" s="188"/>
      <c r="O112" s="188"/>
      <c r="P112" s="188"/>
      <c r="Q112" s="188"/>
      <c r="R112" s="188"/>
      <c r="S112" s="188"/>
      <c r="T112" s="188"/>
      <c r="U112" s="188"/>
      <c r="V112" s="188"/>
      <c r="W112" s="188"/>
      <c r="X112" s="188"/>
      <c r="Y112" s="188"/>
      <c r="Z112" s="188"/>
      <c r="AA112" s="188"/>
      <c r="AB112" s="188"/>
      <c r="AC112" s="188"/>
      <c r="AD112" s="188"/>
      <c r="AE112" s="188"/>
      <c r="AF112" s="188"/>
      <c r="AG112" s="188"/>
    </row>
    <row r="113" spans="1:33" x14ac:dyDescent="0.35">
      <c r="A113" s="188"/>
      <c r="B113" s="188"/>
      <c r="C113" s="188"/>
      <c r="D113" s="188"/>
      <c r="E113" s="188"/>
      <c r="F113" s="188"/>
      <c r="G113" s="188"/>
      <c r="H113" s="188"/>
      <c r="I113" s="188"/>
      <c r="J113" s="188"/>
      <c r="K113" s="188"/>
      <c r="L113" s="188"/>
      <c r="M113" s="188"/>
      <c r="N113" s="188"/>
      <c r="O113" s="188"/>
      <c r="P113" s="188"/>
      <c r="Q113" s="188"/>
      <c r="R113" s="188"/>
      <c r="S113" s="188"/>
      <c r="T113" s="188"/>
      <c r="U113" s="188"/>
      <c r="V113" s="188"/>
      <c r="W113" s="188"/>
      <c r="X113" s="188"/>
      <c r="Y113" s="188"/>
      <c r="Z113" s="188"/>
      <c r="AA113" s="188"/>
      <c r="AB113" s="188"/>
      <c r="AC113" s="188"/>
      <c r="AD113" s="188"/>
      <c r="AE113" s="188"/>
      <c r="AF113" s="188"/>
      <c r="AG113" s="188"/>
    </row>
    <row r="114" spans="1:33" x14ac:dyDescent="0.35">
      <c r="A114" s="188"/>
      <c r="B114" s="188"/>
      <c r="C114" s="188"/>
      <c r="D114" s="188"/>
      <c r="E114" s="188"/>
      <c r="F114" s="188"/>
      <c r="G114" s="188"/>
      <c r="H114" s="188"/>
      <c r="I114" s="188"/>
      <c r="J114" s="188"/>
      <c r="K114" s="188"/>
      <c r="L114" s="188"/>
      <c r="M114" s="188"/>
      <c r="N114" s="188"/>
      <c r="O114" s="188"/>
      <c r="P114" s="188"/>
      <c r="Q114" s="188"/>
      <c r="R114" s="188"/>
      <c r="S114" s="188"/>
      <c r="T114" s="188"/>
      <c r="U114" s="188"/>
      <c r="V114" s="188"/>
      <c r="W114" s="188"/>
      <c r="X114" s="188"/>
      <c r="Y114" s="188"/>
      <c r="Z114" s="188"/>
      <c r="AA114" s="188"/>
      <c r="AB114" s="188"/>
      <c r="AC114" s="188"/>
      <c r="AD114" s="188"/>
      <c r="AE114" s="188"/>
      <c r="AF114" s="188"/>
      <c r="AG114" s="188"/>
    </row>
    <row r="115" spans="1:33" x14ac:dyDescent="0.35">
      <c r="A115" s="188"/>
      <c r="B115" s="188"/>
      <c r="C115" s="188"/>
      <c r="D115" s="188"/>
      <c r="E115" s="188"/>
      <c r="F115" s="188"/>
      <c r="G115" s="188"/>
      <c r="H115" s="188"/>
      <c r="I115" s="188"/>
      <c r="J115" s="188"/>
      <c r="K115" s="188"/>
      <c r="L115" s="188"/>
      <c r="M115" s="188"/>
      <c r="N115" s="188"/>
      <c r="O115" s="188"/>
      <c r="P115" s="188"/>
      <c r="Q115" s="188"/>
      <c r="R115" s="188"/>
      <c r="S115" s="188"/>
      <c r="T115" s="188"/>
      <c r="U115" s="188"/>
      <c r="V115" s="188"/>
      <c r="W115" s="188"/>
      <c r="X115" s="188"/>
      <c r="Y115" s="188"/>
      <c r="Z115" s="188"/>
      <c r="AA115" s="188"/>
      <c r="AB115" s="188"/>
      <c r="AC115" s="188"/>
      <c r="AD115" s="188"/>
      <c r="AE115" s="188"/>
      <c r="AF115" s="188"/>
      <c r="AG115" s="188"/>
    </row>
    <row r="116" spans="1:33" x14ac:dyDescent="0.35">
      <c r="A116" s="188"/>
      <c r="B116" s="188"/>
      <c r="C116" s="188"/>
      <c r="D116" s="188"/>
      <c r="E116" s="188"/>
      <c r="F116" s="188"/>
      <c r="G116" s="188"/>
      <c r="H116" s="188"/>
      <c r="I116" s="188"/>
      <c r="J116" s="188"/>
      <c r="K116" s="188"/>
      <c r="L116" s="188"/>
      <c r="M116" s="188"/>
      <c r="N116" s="188"/>
      <c r="O116" s="188"/>
      <c r="P116" s="188"/>
      <c r="Q116" s="188"/>
      <c r="R116" s="188"/>
      <c r="S116" s="188"/>
      <c r="T116" s="188"/>
      <c r="U116" s="188"/>
      <c r="V116" s="188"/>
      <c r="W116" s="188"/>
      <c r="X116" s="188"/>
      <c r="Y116" s="188"/>
      <c r="Z116" s="188"/>
      <c r="AA116" s="188"/>
      <c r="AB116" s="188"/>
      <c r="AC116" s="188"/>
      <c r="AD116" s="188"/>
      <c r="AE116" s="188"/>
      <c r="AF116" s="188"/>
      <c r="AG116" s="188"/>
    </row>
    <row r="117" spans="1:33" x14ac:dyDescent="0.35">
      <c r="A117" s="188"/>
      <c r="B117" s="188"/>
      <c r="C117" s="188"/>
      <c r="D117" s="188"/>
      <c r="E117" s="188"/>
      <c r="F117" s="188"/>
      <c r="G117" s="188"/>
      <c r="H117" s="188"/>
      <c r="I117" s="188"/>
      <c r="J117" s="188"/>
      <c r="K117" s="188"/>
      <c r="L117" s="188"/>
      <c r="M117" s="188"/>
      <c r="N117" s="188"/>
      <c r="O117" s="188"/>
      <c r="P117" s="188"/>
      <c r="Q117" s="188"/>
      <c r="R117" s="188"/>
      <c r="S117" s="188"/>
      <c r="T117" s="188"/>
      <c r="U117" s="188"/>
      <c r="V117" s="188"/>
      <c r="W117" s="188"/>
      <c r="X117" s="188"/>
      <c r="Y117" s="188"/>
      <c r="Z117" s="188"/>
      <c r="AA117" s="188"/>
      <c r="AB117" s="188"/>
      <c r="AC117" s="188"/>
      <c r="AD117" s="188"/>
      <c r="AE117" s="188"/>
      <c r="AF117" s="188"/>
      <c r="AG117" s="188"/>
    </row>
    <row r="118" spans="1:33" x14ac:dyDescent="0.35">
      <c r="A118" s="188"/>
      <c r="B118" s="188"/>
      <c r="C118" s="188"/>
      <c r="D118" s="188"/>
      <c r="E118" s="188"/>
      <c r="F118" s="188"/>
      <c r="G118" s="188"/>
      <c r="H118" s="188"/>
      <c r="I118" s="188"/>
      <c r="J118" s="188"/>
      <c r="K118" s="188"/>
      <c r="L118" s="188"/>
      <c r="M118" s="188"/>
      <c r="N118" s="188"/>
      <c r="O118" s="188"/>
      <c r="P118" s="188"/>
      <c r="Q118" s="188"/>
      <c r="R118" s="188"/>
      <c r="S118" s="188"/>
      <c r="T118" s="188"/>
      <c r="U118" s="188"/>
      <c r="V118" s="188"/>
      <c r="W118" s="188"/>
      <c r="X118" s="188"/>
      <c r="Y118" s="188"/>
      <c r="Z118" s="188"/>
      <c r="AA118" s="188"/>
      <c r="AB118" s="188"/>
      <c r="AC118" s="188"/>
      <c r="AD118" s="188"/>
      <c r="AE118" s="188"/>
      <c r="AF118" s="188"/>
      <c r="AG118" s="188"/>
    </row>
    <row r="119" spans="1:33" x14ac:dyDescent="0.35">
      <c r="A119" s="188"/>
      <c r="B119" s="188"/>
      <c r="C119" s="188"/>
      <c r="D119" s="188"/>
      <c r="E119" s="188"/>
      <c r="F119" s="188"/>
      <c r="G119" s="188"/>
      <c r="H119" s="188"/>
      <c r="I119" s="188"/>
      <c r="J119" s="188"/>
      <c r="K119" s="188"/>
      <c r="L119" s="188"/>
      <c r="M119" s="188"/>
      <c r="N119" s="188"/>
      <c r="O119" s="188"/>
      <c r="P119" s="188"/>
      <c r="Q119" s="188"/>
      <c r="R119" s="188"/>
      <c r="S119" s="188"/>
      <c r="T119" s="188"/>
      <c r="U119" s="188"/>
      <c r="V119" s="188"/>
      <c r="W119" s="188"/>
      <c r="X119" s="188"/>
      <c r="Y119" s="188"/>
      <c r="Z119" s="188"/>
      <c r="AA119" s="188"/>
      <c r="AB119" s="188"/>
      <c r="AC119" s="188"/>
      <c r="AD119" s="188"/>
      <c r="AE119" s="188"/>
      <c r="AF119" s="188"/>
      <c r="AG119" s="188"/>
    </row>
    <row r="120" spans="1:33" x14ac:dyDescent="0.35">
      <c r="A120" s="188"/>
      <c r="B120" s="188"/>
      <c r="C120" s="188"/>
      <c r="D120" s="188"/>
      <c r="E120" s="188"/>
      <c r="F120" s="188"/>
      <c r="G120" s="188"/>
      <c r="H120" s="188"/>
      <c r="I120" s="188"/>
      <c r="J120" s="188"/>
      <c r="K120" s="188"/>
      <c r="L120" s="188"/>
      <c r="M120" s="188"/>
      <c r="N120" s="188"/>
      <c r="O120" s="188"/>
      <c r="P120" s="188"/>
      <c r="Q120" s="188"/>
      <c r="R120" s="188"/>
      <c r="S120" s="188"/>
      <c r="T120" s="188"/>
      <c r="U120" s="188"/>
      <c r="V120" s="188"/>
      <c r="W120" s="188"/>
      <c r="X120" s="188"/>
      <c r="Y120" s="188"/>
      <c r="Z120" s="188"/>
      <c r="AA120" s="188"/>
      <c r="AB120" s="188"/>
      <c r="AC120" s="188"/>
      <c r="AD120" s="188"/>
      <c r="AE120" s="188"/>
      <c r="AF120" s="188"/>
      <c r="AG120" s="188"/>
    </row>
    <row r="121" spans="1:33" x14ac:dyDescent="0.35">
      <c r="A121" s="188"/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8"/>
      <c r="P121" s="188"/>
      <c r="Q121" s="188"/>
      <c r="R121" s="188"/>
      <c r="S121" s="188"/>
      <c r="T121" s="188"/>
      <c r="U121" s="188"/>
      <c r="V121" s="188"/>
      <c r="W121" s="188"/>
      <c r="X121" s="188"/>
      <c r="Y121" s="188"/>
      <c r="Z121" s="188"/>
      <c r="AA121" s="188"/>
      <c r="AB121" s="188"/>
      <c r="AC121" s="188"/>
      <c r="AD121" s="188"/>
      <c r="AE121" s="188"/>
      <c r="AF121" s="188"/>
      <c r="AG121" s="188"/>
    </row>
    <row r="122" spans="1:33" x14ac:dyDescent="0.35">
      <c r="A122" s="188"/>
      <c r="B122" s="188"/>
      <c r="C122" s="188"/>
      <c r="D122" s="188"/>
      <c r="E122" s="188"/>
      <c r="F122" s="188"/>
      <c r="G122" s="188"/>
      <c r="H122" s="188"/>
      <c r="I122" s="188"/>
      <c r="J122" s="188"/>
      <c r="K122" s="188"/>
      <c r="L122" s="188"/>
      <c r="M122" s="188"/>
      <c r="N122" s="188"/>
      <c r="O122" s="188"/>
      <c r="P122" s="188"/>
      <c r="Q122" s="188"/>
      <c r="R122" s="188"/>
      <c r="S122" s="188"/>
      <c r="T122" s="188"/>
      <c r="U122" s="188"/>
      <c r="V122" s="188"/>
      <c r="W122" s="188"/>
      <c r="X122" s="188"/>
      <c r="Y122" s="188"/>
      <c r="Z122" s="188"/>
      <c r="AA122" s="188"/>
      <c r="AB122" s="188"/>
      <c r="AC122" s="188"/>
      <c r="AD122" s="188"/>
      <c r="AE122" s="188"/>
      <c r="AF122" s="188"/>
      <c r="AG122" s="188"/>
    </row>
    <row r="123" spans="1:33" x14ac:dyDescent="0.35">
      <c r="A123" s="188"/>
      <c r="B123" s="188"/>
      <c r="C123" s="188"/>
      <c r="D123" s="188"/>
      <c r="E123" s="188"/>
      <c r="F123" s="188"/>
      <c r="G123" s="188"/>
      <c r="H123" s="188"/>
      <c r="I123" s="188"/>
      <c r="J123" s="188"/>
      <c r="K123" s="188"/>
      <c r="L123" s="188"/>
      <c r="M123" s="188"/>
      <c r="N123" s="188"/>
      <c r="O123" s="188"/>
      <c r="P123" s="188"/>
      <c r="Q123" s="188"/>
      <c r="R123" s="188"/>
      <c r="S123" s="188"/>
      <c r="T123" s="188"/>
      <c r="U123" s="188"/>
      <c r="V123" s="188"/>
      <c r="W123" s="188"/>
      <c r="X123" s="188"/>
      <c r="Y123" s="188"/>
      <c r="Z123" s="188"/>
      <c r="AA123" s="188"/>
      <c r="AB123" s="188"/>
      <c r="AC123" s="188"/>
      <c r="AD123" s="188"/>
      <c r="AE123" s="188"/>
      <c r="AF123" s="188"/>
      <c r="AG123" s="188"/>
    </row>
    <row r="124" spans="1:33" x14ac:dyDescent="0.35">
      <c r="A124" s="188"/>
      <c r="B124" s="188"/>
      <c r="C124" s="188"/>
      <c r="D124" s="188"/>
      <c r="E124" s="188"/>
      <c r="F124" s="188"/>
      <c r="G124" s="188"/>
      <c r="H124" s="188"/>
      <c r="I124" s="188"/>
      <c r="J124" s="188"/>
      <c r="K124" s="188"/>
      <c r="L124" s="188"/>
      <c r="M124" s="188"/>
      <c r="N124" s="188"/>
      <c r="O124" s="188"/>
      <c r="P124" s="188"/>
      <c r="Q124" s="188"/>
      <c r="R124" s="188"/>
      <c r="S124" s="188"/>
      <c r="T124" s="188"/>
      <c r="U124" s="188"/>
      <c r="V124" s="188"/>
      <c r="W124" s="188"/>
      <c r="X124" s="188"/>
      <c r="Y124" s="188"/>
      <c r="Z124" s="188"/>
      <c r="AA124" s="188"/>
      <c r="AB124" s="188"/>
      <c r="AC124" s="188"/>
      <c r="AD124" s="188"/>
      <c r="AE124" s="188"/>
      <c r="AF124" s="188"/>
      <c r="AG124" s="188"/>
    </row>
    <row r="125" spans="1:33" x14ac:dyDescent="0.35">
      <c r="A125" s="188"/>
      <c r="B125" s="188"/>
      <c r="C125" s="188"/>
      <c r="D125" s="188"/>
      <c r="E125" s="188"/>
      <c r="F125" s="188"/>
      <c r="G125" s="188"/>
      <c r="H125" s="188"/>
      <c r="I125" s="188"/>
      <c r="J125" s="188"/>
      <c r="K125" s="188"/>
      <c r="L125" s="188"/>
      <c r="M125" s="188"/>
      <c r="N125" s="188"/>
      <c r="O125" s="188"/>
      <c r="P125" s="188"/>
      <c r="Q125" s="188"/>
      <c r="R125" s="188"/>
      <c r="S125" s="188"/>
      <c r="T125" s="188"/>
      <c r="U125" s="188"/>
      <c r="V125" s="188"/>
      <c r="W125" s="188"/>
      <c r="X125" s="188"/>
      <c r="Y125" s="188"/>
      <c r="Z125" s="188"/>
      <c r="AA125" s="188"/>
      <c r="AB125" s="188"/>
      <c r="AC125" s="188"/>
      <c r="AD125" s="188"/>
      <c r="AE125" s="188"/>
      <c r="AF125" s="188"/>
      <c r="AG125" s="188"/>
    </row>
    <row r="126" spans="1:33" x14ac:dyDescent="0.35">
      <c r="A126" s="188"/>
      <c r="B126" s="188"/>
      <c r="C126" s="188"/>
      <c r="D126" s="188"/>
      <c r="E126" s="188"/>
      <c r="F126" s="188"/>
      <c r="G126" s="188"/>
      <c r="H126" s="188"/>
      <c r="I126" s="188"/>
      <c r="J126" s="188"/>
      <c r="K126" s="188"/>
      <c r="L126" s="188"/>
      <c r="M126" s="188"/>
      <c r="N126" s="188"/>
      <c r="O126" s="188"/>
      <c r="P126" s="188"/>
      <c r="Q126" s="188"/>
      <c r="R126" s="188"/>
      <c r="S126" s="188"/>
      <c r="T126" s="188"/>
      <c r="U126" s="188"/>
      <c r="V126" s="188"/>
      <c r="W126" s="188"/>
      <c r="X126" s="188"/>
      <c r="Y126" s="188"/>
      <c r="Z126" s="188"/>
      <c r="AA126" s="188"/>
      <c r="AB126" s="188"/>
      <c r="AC126" s="188"/>
      <c r="AD126" s="188"/>
      <c r="AE126" s="188"/>
      <c r="AF126" s="188"/>
      <c r="AG126" s="188"/>
    </row>
    <row r="127" spans="1:33" x14ac:dyDescent="0.35">
      <c r="A127" s="188"/>
      <c r="B127" s="188"/>
      <c r="C127" s="188"/>
      <c r="D127" s="188"/>
      <c r="E127" s="188"/>
      <c r="F127" s="188"/>
      <c r="G127" s="188"/>
      <c r="H127" s="188"/>
      <c r="I127" s="188"/>
      <c r="J127" s="188"/>
      <c r="K127" s="188"/>
      <c r="L127" s="188"/>
      <c r="M127" s="188"/>
      <c r="N127" s="188"/>
      <c r="O127" s="188"/>
      <c r="P127" s="188"/>
      <c r="Q127" s="188"/>
      <c r="R127" s="188"/>
      <c r="S127" s="188"/>
      <c r="T127" s="188"/>
      <c r="U127" s="188"/>
      <c r="V127" s="188"/>
      <c r="W127" s="188"/>
      <c r="X127" s="188"/>
      <c r="Y127" s="188"/>
      <c r="Z127" s="188"/>
      <c r="AA127" s="188"/>
      <c r="AB127" s="188"/>
      <c r="AC127" s="188"/>
      <c r="AD127" s="188"/>
      <c r="AE127" s="188"/>
      <c r="AF127" s="188"/>
      <c r="AG127" s="188"/>
    </row>
    <row r="128" spans="1:33" x14ac:dyDescent="0.35">
      <c r="A128" s="188"/>
      <c r="B128" s="188"/>
      <c r="C128" s="188"/>
      <c r="D128" s="188"/>
      <c r="E128" s="188"/>
      <c r="F128" s="188"/>
      <c r="G128" s="188"/>
      <c r="H128" s="188"/>
      <c r="I128" s="188"/>
      <c r="J128" s="188"/>
      <c r="K128" s="188"/>
      <c r="L128" s="188"/>
      <c r="M128" s="188"/>
      <c r="N128" s="188"/>
      <c r="O128" s="188"/>
      <c r="P128" s="188"/>
      <c r="Q128" s="188"/>
      <c r="R128" s="188"/>
      <c r="S128" s="188"/>
      <c r="T128" s="188"/>
      <c r="U128" s="188"/>
      <c r="V128" s="188"/>
      <c r="W128" s="188"/>
      <c r="X128" s="188"/>
      <c r="Y128" s="188"/>
      <c r="Z128" s="188"/>
      <c r="AA128" s="188"/>
      <c r="AB128" s="188"/>
      <c r="AC128" s="188"/>
      <c r="AD128" s="188"/>
      <c r="AE128" s="188"/>
      <c r="AF128" s="188"/>
      <c r="AG128" s="188"/>
    </row>
    <row r="129" spans="1:33" x14ac:dyDescent="0.35">
      <c r="A129" s="188"/>
      <c r="B129" s="188"/>
      <c r="C129" s="188"/>
      <c r="D129" s="188"/>
      <c r="E129" s="188"/>
      <c r="F129" s="188"/>
      <c r="G129" s="188"/>
      <c r="H129" s="188"/>
      <c r="I129" s="188"/>
      <c r="J129" s="188"/>
      <c r="K129" s="188"/>
      <c r="L129" s="188"/>
      <c r="M129" s="188"/>
      <c r="N129" s="188"/>
      <c r="O129" s="188"/>
      <c r="P129" s="188"/>
      <c r="Q129" s="188"/>
      <c r="R129" s="188"/>
      <c r="S129" s="188"/>
      <c r="T129" s="188"/>
      <c r="U129" s="188"/>
      <c r="V129" s="188"/>
      <c r="W129" s="188"/>
      <c r="X129" s="188"/>
      <c r="Y129" s="188"/>
      <c r="Z129" s="188"/>
      <c r="AA129" s="188"/>
      <c r="AB129" s="188"/>
      <c r="AC129" s="188"/>
      <c r="AD129" s="188"/>
      <c r="AE129" s="188"/>
      <c r="AF129" s="188"/>
      <c r="AG129" s="188"/>
    </row>
    <row r="130" spans="1:33" x14ac:dyDescent="0.35">
      <c r="A130" s="188"/>
      <c r="B130" s="188"/>
      <c r="C130" s="188"/>
      <c r="D130" s="188"/>
      <c r="E130" s="188"/>
      <c r="F130" s="188"/>
      <c r="G130" s="188"/>
      <c r="H130" s="188"/>
      <c r="I130" s="188"/>
      <c r="J130" s="188"/>
      <c r="K130" s="188"/>
      <c r="L130" s="188"/>
      <c r="M130" s="188"/>
      <c r="N130" s="188"/>
      <c r="O130" s="188"/>
      <c r="P130" s="188"/>
      <c r="Q130" s="188"/>
      <c r="R130" s="188"/>
      <c r="S130" s="188"/>
      <c r="T130" s="188"/>
      <c r="U130" s="188"/>
      <c r="V130" s="188"/>
      <c r="W130" s="188"/>
      <c r="X130" s="188"/>
      <c r="Y130" s="188"/>
      <c r="Z130" s="188"/>
      <c r="AA130" s="188"/>
      <c r="AB130" s="188"/>
      <c r="AC130" s="188"/>
      <c r="AD130" s="188"/>
      <c r="AE130" s="188"/>
      <c r="AF130" s="188"/>
      <c r="AG130" s="188"/>
    </row>
    <row r="131" spans="1:33" x14ac:dyDescent="0.35">
      <c r="A131" s="188"/>
      <c r="B131" s="188"/>
      <c r="C131" s="188"/>
      <c r="D131" s="188"/>
      <c r="E131" s="188"/>
      <c r="F131" s="188"/>
      <c r="G131" s="188"/>
      <c r="H131" s="188"/>
      <c r="I131" s="188"/>
      <c r="J131" s="188"/>
      <c r="K131" s="188"/>
      <c r="L131" s="188"/>
      <c r="M131" s="188"/>
      <c r="N131" s="188"/>
      <c r="O131" s="188"/>
      <c r="P131" s="188"/>
      <c r="Q131" s="188"/>
      <c r="R131" s="188"/>
      <c r="S131" s="188"/>
      <c r="T131" s="188"/>
      <c r="U131" s="188"/>
      <c r="V131" s="188"/>
      <c r="W131" s="188"/>
      <c r="X131" s="188"/>
      <c r="Y131" s="188"/>
      <c r="Z131" s="188"/>
      <c r="AA131" s="188"/>
      <c r="AB131" s="188"/>
      <c r="AC131" s="188"/>
      <c r="AD131" s="188"/>
      <c r="AE131" s="188"/>
      <c r="AF131" s="188"/>
      <c r="AG131" s="188"/>
    </row>
    <row r="132" spans="1:33" x14ac:dyDescent="0.35">
      <c r="A132" s="188"/>
      <c r="B132" s="188"/>
      <c r="C132" s="188"/>
      <c r="D132" s="188"/>
      <c r="E132" s="188"/>
      <c r="F132" s="188"/>
      <c r="G132" s="188"/>
      <c r="H132" s="188"/>
      <c r="I132" s="188"/>
      <c r="J132" s="188"/>
      <c r="K132" s="188"/>
      <c r="L132" s="188"/>
      <c r="M132" s="188"/>
      <c r="N132" s="188"/>
      <c r="O132" s="188"/>
      <c r="P132" s="188"/>
      <c r="Q132" s="188"/>
      <c r="R132" s="188"/>
      <c r="S132" s="188"/>
      <c r="T132" s="188"/>
      <c r="U132" s="188"/>
      <c r="V132" s="188"/>
      <c r="W132" s="188"/>
      <c r="X132" s="188"/>
      <c r="Y132" s="188"/>
      <c r="Z132" s="188"/>
      <c r="AA132" s="188"/>
      <c r="AB132" s="188"/>
      <c r="AC132" s="188"/>
      <c r="AD132" s="188"/>
      <c r="AE132" s="188"/>
      <c r="AF132" s="188"/>
      <c r="AG132" s="188"/>
    </row>
    <row r="133" spans="1:33" x14ac:dyDescent="0.35">
      <c r="A133" s="188"/>
      <c r="B133" s="188"/>
      <c r="C133" s="188"/>
      <c r="D133" s="188"/>
      <c r="E133" s="188"/>
      <c r="F133" s="188"/>
      <c r="G133" s="188"/>
      <c r="H133" s="188"/>
      <c r="I133" s="188"/>
      <c r="J133" s="188"/>
      <c r="K133" s="188"/>
      <c r="L133" s="188"/>
      <c r="M133" s="188"/>
      <c r="N133" s="188"/>
      <c r="O133" s="188"/>
      <c r="P133" s="188"/>
      <c r="Q133" s="188"/>
      <c r="R133" s="188"/>
      <c r="S133" s="188"/>
      <c r="T133" s="188"/>
      <c r="U133" s="188"/>
      <c r="V133" s="188"/>
      <c r="W133" s="188"/>
      <c r="X133" s="188"/>
      <c r="Y133" s="188"/>
      <c r="Z133" s="188"/>
      <c r="AA133" s="188"/>
      <c r="AB133" s="188"/>
      <c r="AC133" s="188"/>
      <c r="AD133" s="188"/>
      <c r="AE133" s="188"/>
      <c r="AF133" s="188"/>
      <c r="AG133" s="188"/>
    </row>
    <row r="134" spans="1:33" x14ac:dyDescent="0.35">
      <c r="A134" s="188"/>
      <c r="B134" s="188"/>
      <c r="C134" s="188"/>
      <c r="D134" s="188"/>
      <c r="E134" s="188"/>
      <c r="F134" s="188"/>
      <c r="G134" s="188"/>
      <c r="H134" s="188"/>
      <c r="I134" s="188"/>
      <c r="J134" s="188"/>
      <c r="K134" s="188"/>
      <c r="L134" s="188"/>
      <c r="M134" s="188"/>
      <c r="N134" s="188"/>
      <c r="O134" s="188"/>
      <c r="P134" s="188"/>
      <c r="Q134" s="188"/>
      <c r="R134" s="188"/>
      <c r="S134" s="188"/>
      <c r="T134" s="188"/>
      <c r="U134" s="188"/>
      <c r="V134" s="188"/>
      <c r="W134" s="188"/>
      <c r="X134" s="188"/>
      <c r="Y134" s="188"/>
      <c r="Z134" s="188"/>
      <c r="AA134" s="188"/>
      <c r="AB134" s="188"/>
      <c r="AC134" s="188"/>
      <c r="AD134" s="188"/>
      <c r="AE134" s="188"/>
      <c r="AF134" s="188"/>
      <c r="AG134" s="188"/>
    </row>
    <row r="135" spans="1:33" x14ac:dyDescent="0.35">
      <c r="A135" s="188"/>
      <c r="B135" s="188"/>
      <c r="C135" s="188"/>
      <c r="D135" s="188"/>
      <c r="E135" s="188"/>
      <c r="F135" s="188"/>
      <c r="G135" s="188"/>
      <c r="H135" s="188"/>
      <c r="I135" s="188"/>
      <c r="J135" s="188"/>
      <c r="K135" s="188"/>
      <c r="L135" s="188"/>
      <c r="M135" s="188"/>
      <c r="N135" s="188"/>
      <c r="O135" s="188"/>
      <c r="P135" s="188"/>
      <c r="Q135" s="188"/>
      <c r="R135" s="188"/>
      <c r="S135" s="188"/>
      <c r="T135" s="188"/>
      <c r="U135" s="188"/>
      <c r="V135" s="188"/>
      <c r="W135" s="188"/>
      <c r="X135" s="188"/>
      <c r="Y135" s="188"/>
      <c r="Z135" s="188"/>
      <c r="AA135" s="188"/>
      <c r="AB135" s="188"/>
      <c r="AC135" s="188"/>
      <c r="AD135" s="188"/>
      <c r="AE135" s="188"/>
      <c r="AF135" s="188"/>
      <c r="AG135" s="188"/>
    </row>
    <row r="136" spans="1:33" x14ac:dyDescent="0.35">
      <c r="A136" s="188"/>
      <c r="B136" s="188"/>
      <c r="C136" s="188"/>
      <c r="D136" s="188"/>
      <c r="E136" s="188"/>
      <c r="F136" s="188"/>
      <c r="G136" s="188"/>
      <c r="H136" s="188"/>
      <c r="I136" s="188"/>
      <c r="J136" s="188"/>
      <c r="K136" s="188"/>
      <c r="L136" s="188"/>
      <c r="M136" s="188"/>
      <c r="N136" s="188"/>
      <c r="O136" s="188"/>
      <c r="P136" s="188"/>
      <c r="Q136" s="188"/>
      <c r="R136" s="188"/>
      <c r="S136" s="188"/>
      <c r="T136" s="188"/>
      <c r="U136" s="188"/>
      <c r="V136" s="188"/>
      <c r="W136" s="188"/>
      <c r="X136" s="188"/>
      <c r="Y136" s="188"/>
      <c r="Z136" s="188"/>
      <c r="AA136" s="188"/>
      <c r="AB136" s="188"/>
      <c r="AC136" s="188"/>
      <c r="AD136" s="188"/>
      <c r="AE136" s="188"/>
      <c r="AF136" s="188"/>
      <c r="AG136" s="188"/>
    </row>
    <row r="137" spans="1:33" x14ac:dyDescent="0.35">
      <c r="A137" s="188"/>
      <c r="B137" s="188"/>
      <c r="C137" s="188"/>
      <c r="D137" s="188"/>
      <c r="E137" s="188"/>
      <c r="F137" s="188"/>
      <c r="G137" s="188"/>
      <c r="H137" s="188"/>
      <c r="I137" s="188"/>
      <c r="J137" s="188"/>
      <c r="K137" s="188"/>
      <c r="L137" s="188"/>
      <c r="M137" s="188"/>
      <c r="N137" s="188"/>
      <c r="O137" s="188"/>
      <c r="P137" s="188"/>
      <c r="Q137" s="188"/>
      <c r="R137" s="188"/>
      <c r="S137" s="188"/>
      <c r="T137" s="188"/>
      <c r="U137" s="188"/>
      <c r="V137" s="188"/>
      <c r="W137" s="188"/>
      <c r="X137" s="188"/>
      <c r="Y137" s="188"/>
      <c r="Z137" s="188"/>
      <c r="AA137" s="188"/>
      <c r="AB137" s="188"/>
      <c r="AC137" s="188"/>
      <c r="AD137" s="188"/>
      <c r="AE137" s="188"/>
      <c r="AF137" s="188"/>
      <c r="AG137" s="188"/>
    </row>
    <row r="138" spans="1:33" x14ac:dyDescent="0.35">
      <c r="A138" s="188"/>
      <c r="B138" s="188"/>
      <c r="C138" s="188"/>
      <c r="D138" s="188"/>
      <c r="E138" s="188"/>
      <c r="F138" s="188"/>
      <c r="G138" s="188"/>
      <c r="H138" s="188"/>
      <c r="I138" s="188"/>
      <c r="J138" s="188"/>
      <c r="K138" s="188"/>
      <c r="L138" s="188"/>
      <c r="M138" s="188"/>
      <c r="N138" s="188"/>
      <c r="O138" s="188"/>
      <c r="P138" s="188"/>
      <c r="Q138" s="188"/>
      <c r="R138" s="188"/>
      <c r="S138" s="188"/>
      <c r="T138" s="188"/>
      <c r="U138" s="188"/>
      <c r="V138" s="188"/>
      <c r="W138" s="188"/>
      <c r="X138" s="188"/>
      <c r="Y138" s="188"/>
      <c r="Z138" s="188"/>
      <c r="AA138" s="188"/>
      <c r="AB138" s="188"/>
      <c r="AC138" s="188"/>
      <c r="AD138" s="188"/>
      <c r="AE138" s="188"/>
      <c r="AF138" s="188"/>
      <c r="AG138" s="188"/>
    </row>
    <row r="139" spans="1:33" x14ac:dyDescent="0.35">
      <c r="A139" s="188"/>
      <c r="B139" s="188"/>
      <c r="C139" s="188"/>
      <c r="D139" s="188"/>
      <c r="E139" s="188"/>
      <c r="F139" s="188"/>
      <c r="G139" s="188"/>
      <c r="H139" s="188"/>
      <c r="I139" s="188"/>
      <c r="J139" s="188"/>
      <c r="K139" s="188"/>
      <c r="L139" s="188"/>
      <c r="M139" s="188"/>
      <c r="N139" s="188"/>
      <c r="O139" s="188"/>
      <c r="P139" s="188"/>
      <c r="Q139" s="188"/>
      <c r="R139" s="188"/>
      <c r="S139" s="188"/>
      <c r="T139" s="188"/>
      <c r="U139" s="188"/>
      <c r="V139" s="188"/>
      <c r="W139" s="188"/>
      <c r="X139" s="188"/>
      <c r="Y139" s="188"/>
      <c r="Z139" s="188"/>
      <c r="AA139" s="188"/>
      <c r="AB139" s="188"/>
      <c r="AC139" s="188"/>
      <c r="AD139" s="188"/>
      <c r="AE139" s="188"/>
      <c r="AF139" s="188"/>
      <c r="AG139" s="188"/>
    </row>
    <row r="140" spans="1:33" x14ac:dyDescent="0.35">
      <c r="A140" s="188"/>
      <c r="B140" s="188"/>
      <c r="C140" s="188"/>
      <c r="D140" s="188"/>
      <c r="E140" s="188"/>
      <c r="F140" s="188"/>
      <c r="G140" s="188"/>
      <c r="H140" s="188"/>
      <c r="I140" s="188"/>
      <c r="J140" s="188"/>
      <c r="K140" s="188"/>
      <c r="L140" s="188"/>
      <c r="M140" s="188"/>
      <c r="N140" s="188"/>
      <c r="O140" s="188"/>
      <c r="P140" s="188"/>
      <c r="Q140" s="188"/>
      <c r="R140" s="188"/>
      <c r="S140" s="188"/>
      <c r="T140" s="188"/>
      <c r="U140" s="188"/>
      <c r="V140" s="188"/>
      <c r="W140" s="188"/>
      <c r="X140" s="188"/>
      <c r="Y140" s="188"/>
      <c r="Z140" s="188"/>
      <c r="AA140" s="188"/>
      <c r="AB140" s="188"/>
      <c r="AC140" s="188"/>
      <c r="AD140" s="188"/>
      <c r="AE140" s="188"/>
      <c r="AF140" s="188"/>
      <c r="AG140" s="188"/>
    </row>
    <row r="141" spans="1:33" x14ac:dyDescent="0.35">
      <c r="A141" s="188"/>
      <c r="B141" s="188"/>
      <c r="C141" s="188"/>
      <c r="D141" s="188"/>
      <c r="E141" s="188"/>
      <c r="F141" s="188"/>
      <c r="G141" s="188"/>
      <c r="H141" s="188"/>
      <c r="I141" s="188"/>
      <c r="J141" s="188"/>
      <c r="K141" s="188"/>
      <c r="L141" s="188"/>
      <c r="M141" s="188"/>
      <c r="N141" s="188"/>
      <c r="O141" s="188"/>
      <c r="P141" s="188"/>
      <c r="Q141" s="188"/>
      <c r="R141" s="188"/>
      <c r="S141" s="188"/>
      <c r="T141" s="188"/>
      <c r="U141" s="188"/>
      <c r="V141" s="188"/>
      <c r="W141" s="188"/>
      <c r="X141" s="188"/>
      <c r="Y141" s="188"/>
      <c r="Z141" s="188"/>
      <c r="AA141" s="188"/>
      <c r="AB141" s="188"/>
      <c r="AC141" s="188"/>
      <c r="AD141" s="188"/>
      <c r="AE141" s="188"/>
      <c r="AF141" s="188"/>
      <c r="AG141" s="188"/>
    </row>
    <row r="142" spans="1:33" x14ac:dyDescent="0.35">
      <c r="A142" s="188"/>
      <c r="B142" s="188"/>
      <c r="C142" s="188"/>
      <c r="D142" s="188"/>
      <c r="E142" s="188"/>
      <c r="F142" s="188"/>
      <c r="G142" s="188"/>
      <c r="H142" s="188"/>
      <c r="I142" s="188"/>
      <c r="J142" s="188"/>
      <c r="K142" s="188"/>
      <c r="L142" s="188"/>
      <c r="M142" s="188"/>
      <c r="N142" s="188"/>
      <c r="O142" s="188"/>
      <c r="P142" s="188"/>
      <c r="Q142" s="188"/>
      <c r="R142" s="188"/>
      <c r="S142" s="188"/>
      <c r="T142" s="188"/>
      <c r="U142" s="188"/>
      <c r="V142" s="188"/>
      <c r="W142" s="188"/>
      <c r="X142" s="188"/>
      <c r="Y142" s="188"/>
      <c r="Z142" s="188"/>
      <c r="AA142" s="188"/>
      <c r="AB142" s="188"/>
      <c r="AC142" s="188"/>
      <c r="AD142" s="188"/>
      <c r="AE142" s="188"/>
      <c r="AF142" s="188"/>
      <c r="AG142" s="188"/>
    </row>
    <row r="143" spans="1:33" x14ac:dyDescent="0.35">
      <c r="A143" s="188"/>
      <c r="B143" s="188"/>
      <c r="C143" s="188"/>
      <c r="D143" s="188"/>
      <c r="E143" s="188"/>
      <c r="F143" s="188"/>
      <c r="G143" s="188"/>
      <c r="H143" s="188"/>
      <c r="I143" s="188"/>
      <c r="J143" s="188"/>
      <c r="K143" s="188"/>
      <c r="L143" s="188"/>
      <c r="M143" s="188"/>
      <c r="N143" s="188"/>
      <c r="O143" s="188"/>
      <c r="P143" s="188"/>
      <c r="Q143" s="188"/>
      <c r="R143" s="188"/>
      <c r="S143" s="188"/>
      <c r="T143" s="188"/>
      <c r="U143" s="188"/>
      <c r="V143" s="188"/>
      <c r="W143" s="188"/>
      <c r="X143" s="188"/>
      <c r="Y143" s="188"/>
      <c r="Z143" s="188"/>
      <c r="AA143" s="188"/>
      <c r="AB143" s="188"/>
      <c r="AC143" s="188"/>
      <c r="AD143" s="188"/>
      <c r="AE143" s="188"/>
      <c r="AF143" s="188"/>
      <c r="AG143" s="188"/>
    </row>
    <row r="144" spans="1:33" x14ac:dyDescent="0.35">
      <c r="A144" s="188"/>
      <c r="B144" s="188"/>
      <c r="C144" s="188"/>
      <c r="D144" s="188"/>
      <c r="E144" s="188"/>
      <c r="F144" s="188"/>
      <c r="G144" s="188"/>
      <c r="H144" s="188"/>
      <c r="I144" s="188"/>
      <c r="J144" s="188"/>
      <c r="K144" s="188"/>
      <c r="L144" s="188"/>
      <c r="M144" s="188"/>
      <c r="N144" s="188"/>
      <c r="O144" s="188"/>
      <c r="P144" s="188"/>
      <c r="Q144" s="188"/>
      <c r="R144" s="188"/>
      <c r="S144" s="188"/>
      <c r="T144" s="188"/>
      <c r="U144" s="188"/>
      <c r="V144" s="188"/>
      <c r="W144" s="188"/>
      <c r="X144" s="188"/>
      <c r="Y144" s="188"/>
      <c r="Z144" s="188"/>
      <c r="AA144" s="188"/>
      <c r="AB144" s="188"/>
      <c r="AC144" s="188"/>
      <c r="AD144" s="188"/>
      <c r="AE144" s="188"/>
      <c r="AF144" s="188"/>
      <c r="AG144" s="188"/>
    </row>
    <row r="145" spans="1:33" x14ac:dyDescent="0.35">
      <c r="A145" s="188"/>
      <c r="B145" s="188"/>
      <c r="C145" s="188"/>
      <c r="D145" s="188"/>
      <c r="E145" s="188"/>
      <c r="F145" s="188"/>
      <c r="G145" s="188"/>
      <c r="H145" s="188"/>
      <c r="I145" s="188"/>
      <c r="J145" s="188"/>
      <c r="K145" s="188"/>
      <c r="L145" s="188"/>
      <c r="M145" s="188"/>
      <c r="N145" s="188"/>
      <c r="O145" s="188"/>
      <c r="P145" s="188"/>
      <c r="Q145" s="188"/>
      <c r="R145" s="188"/>
      <c r="S145" s="188"/>
      <c r="T145" s="188"/>
      <c r="U145" s="188"/>
      <c r="V145" s="188"/>
      <c r="W145" s="188"/>
      <c r="X145" s="188"/>
      <c r="Y145" s="188"/>
      <c r="Z145" s="188"/>
      <c r="AA145" s="188"/>
      <c r="AB145" s="188"/>
      <c r="AC145" s="188"/>
      <c r="AD145" s="188"/>
      <c r="AE145" s="188"/>
      <c r="AF145" s="188"/>
      <c r="AG145" s="188"/>
    </row>
    <row r="146" spans="1:33" x14ac:dyDescent="0.35">
      <c r="A146" s="188"/>
      <c r="B146" s="188"/>
      <c r="C146" s="188"/>
      <c r="D146" s="188"/>
      <c r="E146" s="188"/>
      <c r="F146" s="188"/>
      <c r="G146" s="188"/>
      <c r="H146" s="188"/>
      <c r="I146" s="188"/>
      <c r="J146" s="188"/>
      <c r="K146" s="188"/>
      <c r="L146" s="188"/>
      <c r="M146" s="188"/>
      <c r="N146" s="188"/>
      <c r="O146" s="188"/>
      <c r="P146" s="188"/>
      <c r="Q146" s="188"/>
      <c r="R146" s="188"/>
      <c r="S146" s="188"/>
      <c r="T146" s="188"/>
      <c r="U146" s="188"/>
      <c r="V146" s="188"/>
      <c r="W146" s="188"/>
      <c r="X146" s="188"/>
      <c r="Y146" s="188"/>
      <c r="Z146" s="188"/>
      <c r="AA146" s="188"/>
      <c r="AB146" s="188"/>
      <c r="AC146" s="188"/>
      <c r="AD146" s="188"/>
      <c r="AE146" s="188"/>
      <c r="AF146" s="188"/>
      <c r="AG146" s="188"/>
    </row>
    <row r="147" spans="1:33" x14ac:dyDescent="0.35">
      <c r="A147" s="188"/>
      <c r="B147" s="188"/>
      <c r="C147" s="188"/>
      <c r="D147" s="188"/>
      <c r="E147" s="188"/>
      <c r="F147" s="188"/>
      <c r="G147" s="188"/>
      <c r="H147" s="188"/>
      <c r="I147" s="188"/>
      <c r="J147" s="188"/>
      <c r="K147" s="188"/>
      <c r="L147" s="188"/>
      <c r="M147" s="188"/>
      <c r="N147" s="188"/>
      <c r="O147" s="188"/>
      <c r="P147" s="188"/>
      <c r="Q147" s="188"/>
      <c r="R147" s="188"/>
      <c r="S147" s="188"/>
      <c r="T147" s="188"/>
      <c r="U147" s="188"/>
      <c r="V147" s="188"/>
      <c r="W147" s="188"/>
      <c r="X147" s="188"/>
      <c r="Y147" s="188"/>
      <c r="Z147" s="188"/>
      <c r="AA147" s="188"/>
      <c r="AB147" s="188"/>
      <c r="AC147" s="188"/>
      <c r="AD147" s="188"/>
      <c r="AE147" s="188"/>
      <c r="AF147" s="188"/>
      <c r="AG147" s="188"/>
    </row>
    <row r="148" spans="1:33" x14ac:dyDescent="0.35">
      <c r="A148" s="188"/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8"/>
      <c r="P148" s="188"/>
      <c r="Q148" s="188"/>
      <c r="R148" s="188"/>
      <c r="S148" s="188"/>
      <c r="T148" s="188"/>
      <c r="U148" s="188"/>
      <c r="V148" s="188"/>
      <c r="W148" s="188"/>
      <c r="X148" s="188"/>
      <c r="Y148" s="188"/>
      <c r="Z148" s="188"/>
      <c r="AA148" s="188"/>
      <c r="AB148" s="188"/>
      <c r="AC148" s="188"/>
      <c r="AD148" s="188"/>
      <c r="AE148" s="188"/>
      <c r="AF148" s="188"/>
      <c r="AG148" s="188"/>
    </row>
    <row r="149" spans="1:33" x14ac:dyDescent="0.35">
      <c r="A149" s="188"/>
      <c r="B149" s="188"/>
      <c r="C149" s="188"/>
      <c r="D149" s="188"/>
      <c r="E149" s="188"/>
      <c r="F149" s="188"/>
      <c r="G149" s="188"/>
      <c r="H149" s="188"/>
      <c r="I149" s="188"/>
      <c r="J149" s="188"/>
      <c r="K149" s="188"/>
      <c r="L149" s="188"/>
      <c r="M149" s="188"/>
      <c r="N149" s="188"/>
      <c r="O149" s="188"/>
      <c r="P149" s="188"/>
      <c r="Q149" s="188"/>
      <c r="R149" s="188"/>
      <c r="S149" s="188"/>
      <c r="T149" s="188"/>
      <c r="U149" s="188"/>
      <c r="V149" s="188"/>
      <c r="W149" s="188"/>
      <c r="X149" s="188"/>
      <c r="Y149" s="188"/>
      <c r="Z149" s="188"/>
      <c r="AA149" s="188"/>
      <c r="AB149" s="188"/>
      <c r="AC149" s="188"/>
      <c r="AD149" s="188"/>
      <c r="AE149" s="188"/>
      <c r="AF149" s="188"/>
      <c r="AG149" s="188"/>
    </row>
    <row r="150" spans="1:33" x14ac:dyDescent="0.35">
      <c r="A150" s="188"/>
      <c r="B150" s="188"/>
      <c r="C150" s="188"/>
      <c r="D150" s="188"/>
      <c r="E150" s="188"/>
      <c r="F150" s="188"/>
      <c r="G150" s="188"/>
      <c r="H150" s="188"/>
      <c r="I150" s="188"/>
      <c r="J150" s="188"/>
      <c r="K150" s="188"/>
      <c r="L150" s="188"/>
      <c r="M150" s="188"/>
      <c r="N150" s="188"/>
      <c r="O150" s="188"/>
      <c r="P150" s="188"/>
      <c r="Q150" s="188"/>
      <c r="R150" s="188"/>
      <c r="S150" s="188"/>
      <c r="T150" s="188"/>
      <c r="U150" s="188"/>
      <c r="V150" s="188"/>
      <c r="W150" s="188"/>
      <c r="X150" s="188"/>
      <c r="Y150" s="188"/>
      <c r="Z150" s="188"/>
      <c r="AA150" s="188"/>
      <c r="AB150" s="188"/>
      <c r="AC150" s="188"/>
      <c r="AD150" s="188"/>
      <c r="AE150" s="188"/>
      <c r="AF150" s="188"/>
      <c r="AG150" s="188"/>
    </row>
    <row r="151" spans="1:33" x14ac:dyDescent="0.35">
      <c r="A151" s="188"/>
      <c r="B151" s="188"/>
      <c r="C151" s="188"/>
      <c r="D151" s="188"/>
      <c r="E151" s="188"/>
      <c r="F151" s="188"/>
      <c r="G151" s="188"/>
      <c r="H151" s="188"/>
      <c r="I151" s="188"/>
      <c r="J151" s="188"/>
      <c r="K151" s="188"/>
      <c r="L151" s="188"/>
      <c r="M151" s="188"/>
      <c r="N151" s="188"/>
      <c r="O151" s="188"/>
      <c r="P151" s="188"/>
      <c r="Q151" s="188"/>
      <c r="R151" s="188"/>
      <c r="S151" s="188"/>
      <c r="T151" s="188"/>
      <c r="U151" s="188"/>
      <c r="V151" s="188"/>
      <c r="W151" s="188"/>
      <c r="X151" s="188"/>
      <c r="Y151" s="188"/>
      <c r="Z151" s="188"/>
      <c r="AA151" s="188"/>
      <c r="AB151" s="188"/>
      <c r="AC151" s="188"/>
      <c r="AD151" s="188"/>
      <c r="AE151" s="188"/>
      <c r="AF151" s="188"/>
      <c r="AG151" s="188"/>
    </row>
    <row r="152" spans="1:33" x14ac:dyDescent="0.35">
      <c r="A152" s="188"/>
      <c r="B152" s="188"/>
      <c r="C152" s="188"/>
      <c r="D152" s="188"/>
      <c r="E152" s="188"/>
      <c r="F152" s="188"/>
      <c r="G152" s="188"/>
      <c r="H152" s="188"/>
      <c r="I152" s="188"/>
      <c r="J152" s="188"/>
      <c r="K152" s="188"/>
      <c r="L152" s="188"/>
      <c r="M152" s="188"/>
      <c r="N152" s="188"/>
      <c r="O152" s="188"/>
      <c r="P152" s="188"/>
      <c r="Q152" s="188"/>
      <c r="R152" s="188"/>
      <c r="S152" s="188"/>
      <c r="T152" s="188"/>
      <c r="U152" s="188"/>
      <c r="V152" s="188"/>
      <c r="W152" s="188"/>
      <c r="X152" s="188"/>
      <c r="Y152" s="188"/>
      <c r="Z152" s="188"/>
      <c r="AA152" s="188"/>
      <c r="AB152" s="188"/>
      <c r="AC152" s="188"/>
      <c r="AD152" s="188"/>
      <c r="AE152" s="188"/>
      <c r="AF152" s="188"/>
      <c r="AG152" s="188"/>
    </row>
    <row r="153" spans="1:33" x14ac:dyDescent="0.35">
      <c r="A153" s="188"/>
      <c r="B153" s="188"/>
      <c r="C153" s="188"/>
      <c r="D153" s="188"/>
      <c r="E153" s="188"/>
      <c r="F153" s="188"/>
      <c r="G153" s="188"/>
      <c r="H153" s="188"/>
      <c r="I153" s="188"/>
      <c r="J153" s="188"/>
      <c r="K153" s="188"/>
      <c r="L153" s="188"/>
      <c r="M153" s="188"/>
      <c r="N153" s="188"/>
      <c r="O153" s="188"/>
      <c r="P153" s="188"/>
      <c r="Q153" s="188"/>
      <c r="R153" s="188"/>
      <c r="S153" s="188"/>
      <c r="T153" s="188"/>
      <c r="U153" s="188"/>
      <c r="V153" s="188"/>
      <c r="W153" s="188"/>
      <c r="X153" s="188"/>
      <c r="Y153" s="188"/>
      <c r="Z153" s="188"/>
      <c r="AA153" s="188"/>
      <c r="AB153" s="188"/>
      <c r="AC153" s="188"/>
      <c r="AD153" s="188"/>
      <c r="AE153" s="188"/>
      <c r="AF153" s="188"/>
      <c r="AG153" s="188"/>
    </row>
    <row r="154" spans="1:33" x14ac:dyDescent="0.35">
      <c r="A154" s="188"/>
      <c r="B154" s="188"/>
      <c r="C154" s="188"/>
      <c r="D154" s="188"/>
      <c r="E154" s="188"/>
      <c r="F154" s="188"/>
      <c r="G154" s="188"/>
      <c r="H154" s="188"/>
      <c r="I154" s="188"/>
      <c r="J154" s="188"/>
      <c r="K154" s="188"/>
      <c r="L154" s="188"/>
      <c r="M154" s="188"/>
      <c r="N154" s="188"/>
      <c r="O154" s="188"/>
      <c r="P154" s="188"/>
      <c r="Q154" s="188"/>
      <c r="R154" s="188"/>
      <c r="S154" s="188"/>
      <c r="T154" s="188"/>
      <c r="U154" s="188"/>
      <c r="V154" s="188"/>
      <c r="W154" s="188"/>
      <c r="X154" s="188"/>
      <c r="Y154" s="188"/>
      <c r="Z154" s="188"/>
      <c r="AA154" s="188"/>
      <c r="AB154" s="188"/>
      <c r="AC154" s="188"/>
      <c r="AD154" s="188"/>
      <c r="AE154" s="188"/>
      <c r="AF154" s="188"/>
      <c r="AG154" s="188"/>
    </row>
    <row r="155" spans="1:33" x14ac:dyDescent="0.35">
      <c r="A155" s="188"/>
      <c r="B155" s="188"/>
      <c r="C155" s="188"/>
      <c r="D155" s="188"/>
      <c r="E155" s="188"/>
      <c r="F155" s="188"/>
      <c r="G155" s="188"/>
      <c r="H155" s="188"/>
      <c r="I155" s="188"/>
      <c r="J155" s="188"/>
      <c r="K155" s="188"/>
      <c r="L155" s="188"/>
      <c r="M155" s="188"/>
      <c r="N155" s="188"/>
      <c r="O155" s="188"/>
      <c r="P155" s="188"/>
      <c r="Q155" s="188"/>
      <c r="R155" s="188"/>
      <c r="S155" s="188"/>
      <c r="T155" s="188"/>
      <c r="U155" s="188"/>
      <c r="V155" s="188"/>
      <c r="W155" s="188"/>
      <c r="X155" s="188"/>
      <c r="Y155" s="188"/>
      <c r="Z155" s="188"/>
      <c r="AA155" s="188"/>
      <c r="AB155" s="188"/>
      <c r="AC155" s="188"/>
      <c r="AD155" s="188"/>
      <c r="AE155" s="188"/>
      <c r="AF155" s="188"/>
      <c r="AG155" s="188"/>
    </row>
    <row r="156" spans="1:33" x14ac:dyDescent="0.35">
      <c r="A156" s="188"/>
      <c r="B156" s="188"/>
      <c r="C156" s="188"/>
      <c r="D156" s="188"/>
      <c r="E156" s="188"/>
      <c r="F156" s="188"/>
      <c r="G156" s="188"/>
      <c r="H156" s="188"/>
      <c r="I156" s="188"/>
      <c r="J156" s="188"/>
      <c r="K156" s="188"/>
      <c r="L156" s="188"/>
      <c r="M156" s="188"/>
      <c r="N156" s="188"/>
      <c r="O156" s="188"/>
      <c r="P156" s="188"/>
      <c r="Q156" s="188"/>
      <c r="R156" s="188"/>
      <c r="S156" s="188"/>
      <c r="T156" s="188"/>
      <c r="U156" s="188"/>
      <c r="V156" s="188"/>
      <c r="W156" s="188"/>
      <c r="X156" s="188"/>
      <c r="Y156" s="188"/>
      <c r="Z156" s="188"/>
      <c r="AA156" s="188"/>
      <c r="AB156" s="188"/>
      <c r="AC156" s="188"/>
      <c r="AD156" s="188"/>
      <c r="AE156" s="188"/>
      <c r="AF156" s="188"/>
      <c r="AG156" s="188"/>
    </row>
    <row r="157" spans="1:33" x14ac:dyDescent="0.35">
      <c r="A157" s="188"/>
      <c r="B157" s="188"/>
      <c r="C157" s="188"/>
      <c r="D157" s="188"/>
      <c r="E157" s="188"/>
      <c r="F157" s="188"/>
      <c r="G157" s="188"/>
      <c r="H157" s="188"/>
      <c r="I157" s="188"/>
      <c r="J157" s="188"/>
      <c r="K157" s="188"/>
      <c r="L157" s="188"/>
      <c r="M157" s="188"/>
      <c r="N157" s="188"/>
      <c r="O157" s="188"/>
      <c r="P157" s="188"/>
      <c r="Q157" s="188"/>
      <c r="R157" s="188"/>
      <c r="S157" s="188"/>
      <c r="T157" s="188"/>
      <c r="U157" s="188"/>
      <c r="V157" s="188"/>
      <c r="W157" s="188"/>
      <c r="X157" s="188"/>
      <c r="Y157" s="188"/>
      <c r="Z157" s="188"/>
      <c r="AA157" s="188"/>
      <c r="AB157" s="188"/>
      <c r="AC157" s="188"/>
      <c r="AD157" s="188"/>
      <c r="AE157" s="188"/>
      <c r="AF157" s="188"/>
      <c r="AG157" s="188"/>
    </row>
    <row r="158" spans="1:33" x14ac:dyDescent="0.35">
      <c r="A158" s="188"/>
      <c r="B158" s="188"/>
      <c r="C158" s="188"/>
      <c r="D158" s="188"/>
      <c r="E158" s="188"/>
      <c r="F158" s="188"/>
      <c r="G158" s="188"/>
      <c r="H158" s="188"/>
      <c r="I158" s="188"/>
      <c r="J158" s="188"/>
      <c r="K158" s="188"/>
      <c r="L158" s="188"/>
      <c r="M158" s="188"/>
      <c r="N158" s="188"/>
      <c r="O158" s="188"/>
      <c r="P158" s="188"/>
      <c r="Q158" s="188"/>
      <c r="R158" s="188"/>
      <c r="S158" s="188"/>
      <c r="T158" s="188"/>
      <c r="U158" s="188"/>
      <c r="V158" s="188"/>
      <c r="W158" s="188"/>
      <c r="X158" s="188"/>
      <c r="Y158" s="188"/>
      <c r="Z158" s="188"/>
      <c r="AA158" s="188"/>
      <c r="AB158" s="188"/>
      <c r="AC158" s="188"/>
      <c r="AD158" s="188"/>
      <c r="AE158" s="188"/>
      <c r="AF158" s="188"/>
      <c r="AG158" s="188"/>
    </row>
    <row r="159" spans="1:33" x14ac:dyDescent="0.35">
      <c r="A159" s="188"/>
      <c r="B159" s="188"/>
      <c r="C159" s="188"/>
      <c r="D159" s="188"/>
      <c r="E159" s="188"/>
      <c r="F159" s="188"/>
      <c r="G159" s="188"/>
      <c r="H159" s="188"/>
      <c r="I159" s="188"/>
      <c r="J159" s="188"/>
      <c r="K159" s="188"/>
      <c r="L159" s="188"/>
      <c r="M159" s="188"/>
      <c r="N159" s="188"/>
      <c r="O159" s="188"/>
      <c r="P159" s="188"/>
      <c r="Q159" s="188"/>
      <c r="R159" s="188"/>
      <c r="S159" s="188"/>
      <c r="T159" s="188"/>
      <c r="U159" s="188"/>
      <c r="V159" s="188"/>
      <c r="W159" s="188"/>
      <c r="X159" s="188"/>
      <c r="Y159" s="188"/>
      <c r="Z159" s="188"/>
      <c r="AA159" s="188"/>
      <c r="AB159" s="188"/>
      <c r="AC159" s="188"/>
      <c r="AD159" s="188"/>
      <c r="AE159" s="188"/>
      <c r="AF159" s="188"/>
      <c r="AG159" s="188"/>
    </row>
    <row r="160" spans="1:33" x14ac:dyDescent="0.35">
      <c r="A160" s="188"/>
      <c r="B160" s="188"/>
      <c r="C160" s="188"/>
      <c r="D160" s="188"/>
      <c r="E160" s="188"/>
      <c r="F160" s="188"/>
      <c r="G160" s="188"/>
      <c r="H160" s="188"/>
      <c r="I160" s="188"/>
      <c r="J160" s="188"/>
      <c r="K160" s="188"/>
      <c r="L160" s="188"/>
      <c r="M160" s="188"/>
      <c r="N160" s="188"/>
      <c r="O160" s="188"/>
      <c r="P160" s="188"/>
      <c r="Q160" s="188"/>
      <c r="R160" s="188"/>
      <c r="S160" s="188"/>
      <c r="T160" s="188"/>
      <c r="U160" s="188"/>
      <c r="V160" s="188"/>
      <c r="W160" s="188"/>
      <c r="X160" s="188"/>
      <c r="Y160" s="188"/>
      <c r="Z160" s="188"/>
      <c r="AA160" s="188"/>
      <c r="AB160" s="188"/>
      <c r="AC160" s="188"/>
      <c r="AD160" s="188"/>
      <c r="AE160" s="188"/>
      <c r="AF160" s="188"/>
      <c r="AG160" s="188"/>
    </row>
    <row r="161" spans="1:33" x14ac:dyDescent="0.35">
      <c r="A161" s="188"/>
      <c r="B161" s="188"/>
      <c r="C161" s="188"/>
      <c r="D161" s="188"/>
      <c r="E161" s="188"/>
      <c r="F161" s="188"/>
      <c r="G161" s="188"/>
      <c r="H161" s="188"/>
      <c r="I161" s="188"/>
      <c r="J161" s="188"/>
      <c r="K161" s="188"/>
      <c r="L161" s="188"/>
      <c r="M161" s="188"/>
      <c r="N161" s="188"/>
      <c r="O161" s="188"/>
      <c r="P161" s="188"/>
      <c r="Q161" s="188"/>
      <c r="R161" s="188"/>
      <c r="S161" s="188"/>
      <c r="T161" s="188"/>
      <c r="U161" s="188"/>
      <c r="V161" s="188"/>
      <c r="W161" s="188"/>
      <c r="X161" s="188"/>
      <c r="Y161" s="188"/>
      <c r="Z161" s="188"/>
      <c r="AA161" s="188"/>
      <c r="AB161" s="188"/>
      <c r="AC161" s="188"/>
      <c r="AD161" s="188"/>
      <c r="AE161" s="188"/>
      <c r="AF161" s="188"/>
      <c r="AG161" s="188"/>
    </row>
    <row r="162" spans="1:33" x14ac:dyDescent="0.35">
      <c r="A162" s="188"/>
      <c r="B162" s="188"/>
      <c r="C162" s="188"/>
      <c r="D162" s="188"/>
      <c r="E162" s="188"/>
      <c r="F162" s="188"/>
      <c r="G162" s="188"/>
      <c r="H162" s="188"/>
      <c r="I162" s="188"/>
      <c r="J162" s="188"/>
      <c r="K162" s="188"/>
      <c r="L162" s="188"/>
      <c r="M162" s="188"/>
      <c r="N162" s="188"/>
      <c r="O162" s="188"/>
      <c r="P162" s="188"/>
      <c r="Q162" s="188"/>
      <c r="R162" s="188"/>
      <c r="S162" s="188"/>
      <c r="T162" s="188"/>
      <c r="U162" s="188"/>
      <c r="V162" s="188"/>
      <c r="W162" s="188"/>
      <c r="X162" s="188"/>
      <c r="Y162" s="188"/>
      <c r="Z162" s="188"/>
      <c r="AA162" s="188"/>
      <c r="AB162" s="188"/>
      <c r="AC162" s="188"/>
      <c r="AD162" s="188"/>
      <c r="AE162" s="188"/>
      <c r="AF162" s="188"/>
      <c r="AG162" s="188"/>
    </row>
    <row r="163" spans="1:33" x14ac:dyDescent="0.35">
      <c r="A163" s="188"/>
      <c r="B163" s="188"/>
      <c r="C163" s="188"/>
      <c r="D163" s="188"/>
      <c r="E163" s="188"/>
      <c r="F163" s="188"/>
      <c r="G163" s="188"/>
      <c r="H163" s="188"/>
      <c r="I163" s="188"/>
      <c r="J163" s="188"/>
      <c r="K163" s="188"/>
      <c r="L163" s="188"/>
      <c r="M163" s="188"/>
      <c r="N163" s="188"/>
      <c r="O163" s="188"/>
      <c r="P163" s="188"/>
      <c r="Q163" s="188"/>
      <c r="R163" s="188"/>
      <c r="S163" s="188"/>
      <c r="T163" s="188"/>
      <c r="U163" s="188"/>
      <c r="V163" s="188"/>
      <c r="W163" s="188"/>
      <c r="X163" s="188"/>
      <c r="Y163" s="188"/>
      <c r="Z163" s="188"/>
      <c r="AA163" s="188"/>
      <c r="AB163" s="188"/>
      <c r="AC163" s="188"/>
      <c r="AD163" s="188"/>
      <c r="AE163" s="188"/>
      <c r="AF163" s="188"/>
      <c r="AG163" s="188"/>
    </row>
    <row r="164" spans="1:33" x14ac:dyDescent="0.35">
      <c r="A164" s="188"/>
      <c r="B164" s="188"/>
      <c r="C164" s="188"/>
      <c r="D164" s="188"/>
      <c r="E164" s="188"/>
      <c r="F164" s="188"/>
      <c r="G164" s="188"/>
      <c r="H164" s="188"/>
      <c r="I164" s="188"/>
      <c r="J164" s="188"/>
      <c r="K164" s="188"/>
      <c r="L164" s="188"/>
      <c r="M164" s="188"/>
      <c r="N164" s="188"/>
      <c r="O164" s="188"/>
      <c r="P164" s="188"/>
      <c r="Q164" s="188"/>
      <c r="R164" s="188"/>
      <c r="S164" s="188"/>
      <c r="T164" s="188"/>
      <c r="U164" s="188"/>
      <c r="V164" s="188"/>
      <c r="W164" s="188"/>
      <c r="X164" s="188"/>
      <c r="Y164" s="188"/>
      <c r="Z164" s="188"/>
      <c r="AA164" s="188"/>
      <c r="AB164" s="188"/>
      <c r="AC164" s="188"/>
      <c r="AD164" s="188"/>
      <c r="AE164" s="188"/>
      <c r="AF164" s="188"/>
      <c r="AG164" s="188"/>
    </row>
    <row r="165" spans="1:33" x14ac:dyDescent="0.35">
      <c r="A165" s="188"/>
      <c r="B165" s="188"/>
      <c r="C165" s="188"/>
      <c r="D165" s="188"/>
      <c r="E165" s="188"/>
      <c r="F165" s="188"/>
      <c r="G165" s="188"/>
      <c r="H165" s="188"/>
      <c r="I165" s="188"/>
      <c r="J165" s="188"/>
      <c r="K165" s="188"/>
      <c r="L165" s="188"/>
      <c r="M165" s="188"/>
      <c r="N165" s="188"/>
      <c r="O165" s="188"/>
      <c r="P165" s="188"/>
      <c r="Q165" s="188"/>
      <c r="R165" s="188"/>
      <c r="S165" s="188"/>
      <c r="T165" s="188"/>
      <c r="U165" s="188"/>
      <c r="V165" s="188"/>
      <c r="W165" s="188"/>
      <c r="X165" s="188"/>
      <c r="Y165" s="188"/>
      <c r="Z165" s="188"/>
      <c r="AA165" s="188"/>
      <c r="AB165" s="188"/>
      <c r="AC165" s="188"/>
      <c r="AD165" s="188"/>
      <c r="AE165" s="188"/>
      <c r="AF165" s="188"/>
      <c r="AG165" s="188"/>
    </row>
    <row r="166" spans="1:33" x14ac:dyDescent="0.35">
      <c r="A166" s="188"/>
      <c r="B166" s="188"/>
      <c r="C166" s="188"/>
      <c r="D166" s="188"/>
      <c r="E166" s="188"/>
      <c r="F166" s="188"/>
      <c r="G166" s="188"/>
      <c r="H166" s="188"/>
      <c r="I166" s="188"/>
      <c r="J166" s="188"/>
      <c r="K166" s="188"/>
      <c r="L166" s="188"/>
      <c r="M166" s="188"/>
      <c r="N166" s="188"/>
      <c r="O166" s="188"/>
      <c r="P166" s="188"/>
      <c r="Q166" s="188"/>
      <c r="R166" s="188"/>
      <c r="S166" s="188"/>
      <c r="T166" s="188"/>
      <c r="U166" s="188"/>
      <c r="V166" s="188"/>
      <c r="W166" s="188"/>
      <c r="X166" s="188"/>
      <c r="Y166" s="188"/>
      <c r="Z166" s="188"/>
      <c r="AA166" s="188"/>
      <c r="AB166" s="188"/>
      <c r="AC166" s="188"/>
      <c r="AD166" s="188"/>
      <c r="AE166" s="188"/>
      <c r="AF166" s="188"/>
      <c r="AG166" s="188"/>
    </row>
    <row r="167" spans="1:33" x14ac:dyDescent="0.35">
      <c r="A167" s="188"/>
      <c r="B167" s="188"/>
      <c r="C167" s="188"/>
      <c r="D167" s="188"/>
      <c r="E167" s="188"/>
      <c r="F167" s="188"/>
      <c r="G167" s="188"/>
      <c r="H167" s="188"/>
      <c r="I167" s="188"/>
      <c r="J167" s="188"/>
      <c r="K167" s="188"/>
      <c r="L167" s="188"/>
      <c r="M167" s="188"/>
      <c r="N167" s="188"/>
      <c r="O167" s="188"/>
      <c r="P167" s="188"/>
      <c r="Q167" s="188"/>
      <c r="R167" s="188"/>
      <c r="S167" s="188"/>
      <c r="T167" s="188"/>
      <c r="U167" s="188"/>
      <c r="V167" s="188"/>
      <c r="W167" s="188"/>
      <c r="X167" s="188"/>
      <c r="Y167" s="188"/>
      <c r="Z167" s="188"/>
      <c r="AA167" s="188"/>
      <c r="AB167" s="188"/>
      <c r="AC167" s="188"/>
      <c r="AD167" s="188"/>
      <c r="AE167" s="188"/>
      <c r="AF167" s="188"/>
      <c r="AG167" s="188"/>
    </row>
    <row r="168" spans="1:33" x14ac:dyDescent="0.35">
      <c r="A168" s="188"/>
      <c r="B168" s="188"/>
      <c r="C168" s="188"/>
      <c r="D168" s="188"/>
      <c r="E168" s="188"/>
      <c r="F168" s="188"/>
      <c r="G168" s="188"/>
      <c r="H168" s="188"/>
      <c r="I168" s="188"/>
      <c r="J168" s="188"/>
      <c r="K168" s="188"/>
      <c r="L168" s="188"/>
      <c r="M168" s="188"/>
      <c r="N168" s="188"/>
      <c r="O168" s="188"/>
      <c r="P168" s="188"/>
      <c r="Q168" s="188"/>
      <c r="R168" s="188"/>
      <c r="S168" s="188"/>
      <c r="T168" s="188"/>
      <c r="U168" s="188"/>
      <c r="V168" s="188"/>
      <c r="W168" s="188"/>
      <c r="X168" s="188"/>
      <c r="Y168" s="188"/>
      <c r="Z168" s="188"/>
      <c r="AA168" s="188"/>
      <c r="AB168" s="188"/>
      <c r="AC168" s="188"/>
      <c r="AD168" s="188"/>
      <c r="AE168" s="188"/>
      <c r="AF168" s="188"/>
      <c r="AG168" s="188"/>
    </row>
    <row r="169" spans="1:33" x14ac:dyDescent="0.35">
      <c r="A169" s="188"/>
      <c r="B169" s="188"/>
      <c r="C169" s="188"/>
      <c r="D169" s="188"/>
      <c r="E169" s="188"/>
      <c r="F169" s="188"/>
      <c r="G169" s="188"/>
      <c r="H169" s="188"/>
      <c r="I169" s="188"/>
      <c r="J169" s="188"/>
      <c r="K169" s="188"/>
      <c r="L169" s="188"/>
      <c r="M169" s="188"/>
      <c r="N169" s="188"/>
      <c r="O169" s="188"/>
      <c r="P169" s="188"/>
      <c r="Q169" s="188"/>
      <c r="R169" s="188"/>
      <c r="S169" s="188"/>
      <c r="T169" s="188"/>
      <c r="U169" s="188"/>
      <c r="V169" s="188"/>
      <c r="W169" s="188"/>
      <c r="X169" s="188"/>
      <c r="Y169" s="188"/>
      <c r="Z169" s="188"/>
      <c r="AA169" s="188"/>
      <c r="AB169" s="188"/>
      <c r="AC169" s="188"/>
      <c r="AD169" s="188"/>
      <c r="AE169" s="188"/>
      <c r="AF169" s="188"/>
      <c r="AG169" s="188"/>
    </row>
    <row r="170" spans="1:33" x14ac:dyDescent="0.35">
      <c r="A170" s="188"/>
      <c r="B170" s="188"/>
      <c r="C170" s="188"/>
      <c r="D170" s="188"/>
      <c r="E170" s="188"/>
      <c r="F170" s="188"/>
      <c r="G170" s="188"/>
      <c r="H170" s="188"/>
      <c r="I170" s="188"/>
      <c r="J170" s="188"/>
      <c r="K170" s="188"/>
      <c r="L170" s="188"/>
      <c r="M170" s="188"/>
      <c r="N170" s="188"/>
      <c r="O170" s="188"/>
      <c r="P170" s="188"/>
      <c r="Q170" s="188"/>
      <c r="R170" s="188"/>
      <c r="S170" s="188"/>
      <c r="T170" s="188"/>
      <c r="U170" s="188"/>
      <c r="V170" s="188"/>
      <c r="W170" s="188"/>
      <c r="X170" s="188"/>
      <c r="Y170" s="188"/>
      <c r="Z170" s="188"/>
      <c r="AA170" s="188"/>
      <c r="AB170" s="188"/>
      <c r="AC170" s="188"/>
      <c r="AD170" s="188"/>
      <c r="AE170" s="188"/>
      <c r="AF170" s="188"/>
      <c r="AG170" s="188"/>
    </row>
    <row r="171" spans="1:33" x14ac:dyDescent="0.35">
      <c r="A171" s="188"/>
      <c r="B171" s="188"/>
      <c r="C171" s="188"/>
      <c r="D171" s="188"/>
      <c r="E171" s="188"/>
      <c r="F171" s="188"/>
      <c r="G171" s="188"/>
      <c r="H171" s="188"/>
      <c r="I171" s="188"/>
      <c r="J171" s="188"/>
      <c r="K171" s="188"/>
      <c r="L171" s="188"/>
      <c r="M171" s="188"/>
      <c r="N171" s="188"/>
      <c r="O171" s="188"/>
      <c r="P171" s="188"/>
      <c r="Q171" s="188"/>
      <c r="R171" s="188"/>
      <c r="S171" s="188"/>
      <c r="T171" s="188"/>
      <c r="U171" s="188"/>
      <c r="V171" s="188"/>
      <c r="W171" s="188"/>
      <c r="X171" s="188"/>
      <c r="Y171" s="188"/>
      <c r="Z171" s="188"/>
      <c r="AA171" s="188"/>
      <c r="AB171" s="188"/>
      <c r="AC171" s="188"/>
      <c r="AD171" s="188"/>
      <c r="AE171" s="188"/>
      <c r="AF171" s="188"/>
      <c r="AG171" s="188"/>
    </row>
    <row r="172" spans="1:33" x14ac:dyDescent="0.35">
      <c r="A172" s="188"/>
      <c r="B172" s="188"/>
      <c r="C172" s="188"/>
      <c r="D172" s="188"/>
      <c r="E172" s="188"/>
      <c r="F172" s="188"/>
      <c r="G172" s="188"/>
      <c r="H172" s="188"/>
      <c r="I172" s="188"/>
      <c r="J172" s="188"/>
      <c r="K172" s="188"/>
      <c r="L172" s="188"/>
      <c r="M172" s="188"/>
      <c r="N172" s="188"/>
      <c r="O172" s="188"/>
      <c r="P172" s="188"/>
      <c r="Q172" s="188"/>
      <c r="R172" s="188"/>
      <c r="S172" s="188"/>
      <c r="T172" s="188"/>
      <c r="U172" s="188"/>
      <c r="V172" s="188"/>
      <c r="W172" s="188"/>
      <c r="X172" s="188"/>
      <c r="Y172" s="188"/>
      <c r="Z172" s="188"/>
      <c r="AA172" s="188"/>
      <c r="AB172" s="188"/>
      <c r="AC172" s="188"/>
      <c r="AD172" s="188"/>
      <c r="AE172" s="188"/>
      <c r="AF172" s="188"/>
      <c r="AG172" s="188"/>
    </row>
    <row r="173" spans="1:33" x14ac:dyDescent="0.35">
      <c r="A173" s="188"/>
      <c r="B173" s="188"/>
      <c r="C173" s="188"/>
      <c r="D173" s="188"/>
      <c r="E173" s="188"/>
      <c r="F173" s="188"/>
      <c r="G173" s="188"/>
      <c r="H173" s="188"/>
      <c r="I173" s="188"/>
      <c r="J173" s="188"/>
      <c r="K173" s="188"/>
      <c r="L173" s="188"/>
      <c r="M173" s="188"/>
      <c r="N173" s="188"/>
      <c r="O173" s="188"/>
      <c r="P173" s="188"/>
      <c r="Q173" s="188"/>
      <c r="R173" s="188"/>
      <c r="S173" s="188"/>
      <c r="T173" s="188"/>
      <c r="U173" s="188"/>
      <c r="V173" s="188"/>
      <c r="W173" s="188"/>
      <c r="X173" s="188"/>
      <c r="Y173" s="188"/>
      <c r="Z173" s="188"/>
      <c r="AA173" s="188"/>
      <c r="AB173" s="188"/>
      <c r="AC173" s="188"/>
      <c r="AD173" s="188"/>
      <c r="AE173" s="188"/>
      <c r="AF173" s="188"/>
      <c r="AG173" s="188"/>
    </row>
    <row r="174" spans="1:33" x14ac:dyDescent="0.35">
      <c r="A174" s="188"/>
      <c r="B174" s="188"/>
      <c r="C174" s="188"/>
      <c r="D174" s="188"/>
      <c r="E174" s="188"/>
      <c r="F174" s="188"/>
      <c r="G174" s="188"/>
      <c r="H174" s="188"/>
      <c r="I174" s="188"/>
      <c r="J174" s="188"/>
      <c r="K174" s="188"/>
      <c r="L174" s="188"/>
      <c r="M174" s="188"/>
      <c r="N174" s="188"/>
      <c r="O174" s="188"/>
      <c r="P174" s="188"/>
      <c r="Q174" s="188"/>
      <c r="R174" s="188"/>
      <c r="S174" s="188"/>
      <c r="T174" s="188"/>
      <c r="U174" s="188"/>
      <c r="V174" s="188"/>
      <c r="W174" s="188"/>
      <c r="X174" s="188"/>
      <c r="Y174" s="188"/>
      <c r="Z174" s="188"/>
      <c r="AA174" s="188"/>
      <c r="AB174" s="188"/>
      <c r="AC174" s="188"/>
      <c r="AD174" s="188"/>
      <c r="AE174" s="188"/>
      <c r="AF174" s="188"/>
      <c r="AG174" s="188"/>
    </row>
    <row r="175" spans="1:33" x14ac:dyDescent="0.35">
      <c r="A175" s="188"/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8"/>
      <c r="P175" s="188"/>
      <c r="Q175" s="188"/>
      <c r="R175" s="188"/>
      <c r="S175" s="188"/>
      <c r="T175" s="188"/>
      <c r="U175" s="188"/>
      <c r="V175" s="188"/>
      <c r="W175" s="188"/>
      <c r="X175" s="188"/>
      <c r="Y175" s="188"/>
      <c r="Z175" s="188"/>
      <c r="AA175" s="188"/>
      <c r="AB175" s="188"/>
      <c r="AC175" s="188"/>
      <c r="AD175" s="188"/>
      <c r="AE175" s="188"/>
      <c r="AF175" s="188"/>
      <c r="AG175" s="188"/>
    </row>
    <row r="176" spans="1:33" x14ac:dyDescent="0.35">
      <c r="A176" s="188"/>
      <c r="B176" s="188"/>
      <c r="C176" s="188"/>
      <c r="D176" s="188"/>
      <c r="E176" s="188"/>
      <c r="F176" s="188"/>
      <c r="G176" s="188"/>
      <c r="H176" s="188"/>
      <c r="I176" s="188"/>
      <c r="J176" s="188"/>
      <c r="K176" s="188"/>
      <c r="L176" s="188"/>
      <c r="M176" s="188"/>
      <c r="N176" s="188"/>
      <c r="O176" s="188"/>
      <c r="P176" s="188"/>
      <c r="Q176" s="188"/>
      <c r="R176" s="188"/>
      <c r="S176" s="188"/>
      <c r="T176" s="188"/>
      <c r="U176" s="188"/>
      <c r="V176" s="188"/>
      <c r="W176" s="188"/>
      <c r="X176" s="188"/>
      <c r="Y176" s="188"/>
      <c r="Z176" s="188"/>
      <c r="AA176" s="188"/>
      <c r="AB176" s="188"/>
      <c r="AC176" s="188"/>
      <c r="AD176" s="188"/>
      <c r="AE176" s="188"/>
      <c r="AF176" s="188"/>
      <c r="AG176" s="188"/>
    </row>
    <row r="177" spans="1:33" x14ac:dyDescent="0.35">
      <c r="A177" s="188"/>
      <c r="B177" s="188"/>
      <c r="C177" s="188"/>
      <c r="D177" s="188"/>
      <c r="E177" s="188"/>
      <c r="F177" s="188"/>
      <c r="G177" s="188"/>
      <c r="H177" s="188"/>
      <c r="I177" s="188"/>
      <c r="J177" s="188"/>
      <c r="K177" s="188"/>
      <c r="L177" s="188"/>
      <c r="M177" s="188"/>
      <c r="N177" s="188"/>
      <c r="O177" s="188"/>
      <c r="P177" s="188"/>
      <c r="Q177" s="188"/>
      <c r="R177" s="188"/>
      <c r="S177" s="188"/>
      <c r="T177" s="188"/>
      <c r="U177" s="188"/>
      <c r="V177" s="188"/>
      <c r="W177" s="188"/>
      <c r="X177" s="188"/>
      <c r="Y177" s="188"/>
      <c r="Z177" s="188"/>
      <c r="AA177" s="188"/>
      <c r="AB177" s="188"/>
      <c r="AC177" s="188"/>
      <c r="AD177" s="188"/>
      <c r="AE177" s="188"/>
      <c r="AF177" s="188"/>
      <c r="AG177" s="188"/>
    </row>
    <row r="178" spans="1:33" x14ac:dyDescent="0.35">
      <c r="A178" s="188"/>
      <c r="B178" s="188"/>
      <c r="C178" s="188"/>
      <c r="D178" s="188"/>
      <c r="E178" s="188"/>
      <c r="F178" s="188"/>
      <c r="G178" s="188"/>
      <c r="H178" s="188"/>
      <c r="I178" s="188"/>
      <c r="J178" s="188"/>
      <c r="K178" s="188"/>
      <c r="L178" s="188"/>
      <c r="M178" s="188"/>
      <c r="N178" s="188"/>
      <c r="O178" s="188"/>
      <c r="P178" s="188"/>
      <c r="Q178" s="188"/>
      <c r="R178" s="188"/>
      <c r="S178" s="188"/>
      <c r="T178" s="188"/>
      <c r="U178" s="188"/>
      <c r="V178" s="188"/>
      <c r="W178" s="188"/>
      <c r="X178" s="188"/>
      <c r="Y178" s="188"/>
      <c r="Z178" s="188"/>
      <c r="AA178" s="188"/>
      <c r="AB178" s="188"/>
      <c r="AC178" s="188"/>
      <c r="AD178" s="188"/>
      <c r="AE178" s="188"/>
      <c r="AF178" s="188"/>
      <c r="AG178" s="188"/>
    </row>
    <row r="179" spans="1:33" x14ac:dyDescent="0.35">
      <c r="A179" s="188"/>
      <c r="B179" s="188"/>
      <c r="C179" s="188"/>
      <c r="D179" s="188"/>
      <c r="E179" s="188"/>
      <c r="F179" s="188"/>
      <c r="G179" s="188"/>
      <c r="H179" s="188"/>
      <c r="I179" s="188"/>
      <c r="J179" s="188"/>
      <c r="K179" s="188"/>
      <c r="L179" s="188"/>
      <c r="M179" s="188"/>
      <c r="N179" s="188"/>
      <c r="O179" s="188"/>
      <c r="P179" s="188"/>
      <c r="Q179" s="188"/>
      <c r="R179" s="188"/>
      <c r="S179" s="188"/>
      <c r="T179" s="188"/>
      <c r="U179" s="188"/>
      <c r="V179" s="188"/>
      <c r="W179" s="188"/>
      <c r="X179" s="188"/>
      <c r="Y179" s="188"/>
      <c r="Z179" s="188"/>
      <c r="AA179" s="188"/>
      <c r="AB179" s="188"/>
      <c r="AC179" s="188"/>
      <c r="AD179" s="188"/>
      <c r="AE179" s="188"/>
      <c r="AF179" s="188"/>
      <c r="AG179" s="188"/>
    </row>
    <row r="180" spans="1:33" x14ac:dyDescent="0.35">
      <c r="A180" s="188"/>
      <c r="B180" s="188"/>
      <c r="C180" s="188"/>
      <c r="D180" s="188"/>
      <c r="E180" s="188"/>
      <c r="F180" s="188"/>
      <c r="G180" s="188"/>
      <c r="H180" s="188"/>
      <c r="I180" s="188"/>
      <c r="J180" s="188"/>
      <c r="K180" s="188"/>
      <c r="L180" s="188"/>
      <c r="M180" s="188"/>
      <c r="N180" s="188"/>
      <c r="O180" s="188"/>
      <c r="P180" s="188"/>
      <c r="Q180" s="188"/>
      <c r="R180" s="188"/>
      <c r="S180" s="188"/>
      <c r="T180" s="188"/>
      <c r="U180" s="188"/>
      <c r="V180" s="188"/>
      <c r="W180" s="188"/>
      <c r="X180" s="188"/>
      <c r="Y180" s="188"/>
      <c r="Z180" s="188"/>
      <c r="AA180" s="188"/>
      <c r="AB180" s="188"/>
      <c r="AC180" s="188"/>
      <c r="AD180" s="188"/>
      <c r="AE180" s="188"/>
      <c r="AF180" s="188"/>
      <c r="AG180" s="188"/>
    </row>
    <row r="181" spans="1:33" x14ac:dyDescent="0.35">
      <c r="A181" s="188"/>
      <c r="B181" s="188"/>
      <c r="C181" s="188"/>
      <c r="D181" s="188"/>
      <c r="E181" s="188"/>
      <c r="F181" s="188"/>
      <c r="G181" s="188"/>
      <c r="H181" s="188"/>
      <c r="I181" s="188"/>
      <c r="J181" s="188"/>
      <c r="K181" s="188"/>
      <c r="L181" s="188"/>
      <c r="M181" s="188"/>
      <c r="N181" s="188"/>
      <c r="O181" s="188"/>
      <c r="P181" s="188"/>
      <c r="Q181" s="188"/>
      <c r="R181" s="188"/>
      <c r="S181" s="188"/>
      <c r="T181" s="188"/>
      <c r="U181" s="188"/>
      <c r="V181" s="188"/>
      <c r="W181" s="188"/>
      <c r="X181" s="188"/>
      <c r="Y181" s="188"/>
      <c r="Z181" s="188"/>
      <c r="AA181" s="188"/>
      <c r="AB181" s="188"/>
      <c r="AC181" s="188"/>
      <c r="AD181" s="188"/>
      <c r="AE181" s="188"/>
      <c r="AF181" s="188"/>
      <c r="AG181" s="188"/>
    </row>
    <row r="182" spans="1:33" x14ac:dyDescent="0.35">
      <c r="A182" s="188"/>
      <c r="B182" s="188"/>
      <c r="C182" s="188"/>
      <c r="D182" s="188"/>
      <c r="E182" s="188"/>
      <c r="F182" s="188"/>
      <c r="G182" s="188"/>
      <c r="H182" s="188"/>
      <c r="I182" s="188"/>
      <c r="J182" s="188"/>
      <c r="K182" s="188"/>
      <c r="L182" s="188"/>
      <c r="M182" s="188"/>
      <c r="N182" s="188"/>
      <c r="O182" s="188"/>
      <c r="P182" s="188"/>
      <c r="Q182" s="188"/>
      <c r="R182" s="188"/>
      <c r="S182" s="188"/>
      <c r="T182" s="188"/>
      <c r="U182" s="188"/>
      <c r="V182" s="188"/>
      <c r="W182" s="188"/>
      <c r="X182" s="188"/>
      <c r="Y182" s="188"/>
      <c r="Z182" s="188"/>
      <c r="AA182" s="188"/>
      <c r="AB182" s="188"/>
      <c r="AC182" s="188"/>
      <c r="AD182" s="188"/>
      <c r="AE182" s="188"/>
      <c r="AF182" s="188"/>
      <c r="AG182" s="188"/>
    </row>
    <row r="183" spans="1:33" x14ac:dyDescent="0.35">
      <c r="A183" s="188"/>
      <c r="B183" s="188"/>
      <c r="C183" s="188"/>
      <c r="D183" s="188"/>
      <c r="E183" s="188"/>
      <c r="F183" s="188"/>
      <c r="G183" s="188"/>
      <c r="H183" s="188"/>
      <c r="I183" s="188"/>
      <c r="J183" s="188"/>
      <c r="K183" s="188"/>
      <c r="L183" s="188"/>
      <c r="M183" s="188"/>
      <c r="N183" s="188"/>
      <c r="O183" s="188"/>
      <c r="P183" s="188"/>
      <c r="Q183" s="188"/>
      <c r="R183" s="188"/>
      <c r="S183" s="188"/>
      <c r="T183" s="188"/>
      <c r="U183" s="188"/>
      <c r="V183" s="188"/>
      <c r="W183" s="188"/>
      <c r="X183" s="188"/>
      <c r="Y183" s="188"/>
      <c r="Z183" s="188"/>
      <c r="AA183" s="188"/>
      <c r="AB183" s="188"/>
      <c r="AC183" s="188"/>
      <c r="AD183" s="188"/>
      <c r="AE183" s="188"/>
      <c r="AF183" s="188"/>
      <c r="AG183" s="188"/>
    </row>
    <row r="184" spans="1:33" x14ac:dyDescent="0.35">
      <c r="A184" s="188"/>
      <c r="B184" s="188"/>
      <c r="C184" s="188"/>
      <c r="D184" s="188"/>
      <c r="E184" s="188"/>
      <c r="F184" s="188"/>
      <c r="G184" s="188"/>
      <c r="H184" s="188"/>
      <c r="I184" s="188"/>
      <c r="J184" s="188"/>
      <c r="K184" s="188"/>
      <c r="L184" s="188"/>
      <c r="M184" s="188"/>
      <c r="N184" s="188"/>
      <c r="O184" s="188"/>
      <c r="P184" s="188"/>
      <c r="Q184" s="188"/>
      <c r="R184" s="188"/>
      <c r="S184" s="188"/>
      <c r="T184" s="188"/>
      <c r="U184" s="188"/>
      <c r="V184" s="188"/>
      <c r="W184" s="188"/>
      <c r="X184" s="188"/>
      <c r="Y184" s="188"/>
      <c r="Z184" s="188"/>
      <c r="AA184" s="188"/>
      <c r="AB184" s="188"/>
      <c r="AC184" s="188"/>
      <c r="AD184" s="188"/>
      <c r="AE184" s="188"/>
      <c r="AF184" s="188"/>
      <c r="AG184" s="188"/>
    </row>
    <row r="185" spans="1:33" x14ac:dyDescent="0.35">
      <c r="A185" s="188"/>
      <c r="B185" s="188"/>
      <c r="C185" s="188"/>
      <c r="D185" s="188"/>
      <c r="E185" s="188"/>
      <c r="F185" s="188"/>
      <c r="G185" s="188"/>
      <c r="H185" s="188"/>
      <c r="I185" s="188"/>
      <c r="J185" s="188"/>
      <c r="K185" s="188"/>
      <c r="L185" s="188"/>
      <c r="M185" s="188"/>
      <c r="N185" s="188"/>
      <c r="O185" s="188"/>
      <c r="P185" s="188"/>
      <c r="Q185" s="188"/>
      <c r="R185" s="188"/>
      <c r="S185" s="188"/>
      <c r="T185" s="188"/>
      <c r="U185" s="188"/>
      <c r="V185" s="188"/>
      <c r="W185" s="188"/>
      <c r="X185" s="188"/>
      <c r="Y185" s="188"/>
      <c r="Z185" s="188"/>
      <c r="AA185" s="188"/>
      <c r="AB185" s="188"/>
      <c r="AC185" s="188"/>
      <c r="AD185" s="188"/>
      <c r="AE185" s="188"/>
      <c r="AF185" s="188"/>
      <c r="AG185" s="188"/>
    </row>
    <row r="186" spans="1:33" x14ac:dyDescent="0.35">
      <c r="A186" s="188"/>
      <c r="B186" s="188"/>
      <c r="C186" s="188"/>
      <c r="D186" s="188"/>
      <c r="E186" s="188"/>
      <c r="F186" s="188"/>
      <c r="G186" s="188"/>
      <c r="H186" s="188"/>
      <c r="I186" s="188"/>
      <c r="J186" s="188"/>
      <c r="K186" s="188"/>
      <c r="L186" s="188"/>
      <c r="M186" s="188"/>
      <c r="N186" s="188"/>
      <c r="O186" s="188"/>
      <c r="P186" s="188"/>
      <c r="Q186" s="188"/>
      <c r="R186" s="188"/>
      <c r="S186" s="188"/>
      <c r="T186" s="188"/>
      <c r="U186" s="188"/>
      <c r="V186" s="188"/>
      <c r="W186" s="188"/>
      <c r="X186" s="188"/>
      <c r="Y186" s="188"/>
      <c r="Z186" s="188"/>
      <c r="AA186" s="188"/>
      <c r="AB186" s="188"/>
      <c r="AC186" s="188"/>
      <c r="AD186" s="188"/>
      <c r="AE186" s="188"/>
      <c r="AF186" s="188"/>
      <c r="AG186" s="188"/>
    </row>
    <row r="187" spans="1:33" x14ac:dyDescent="0.35">
      <c r="A187" s="188"/>
      <c r="B187" s="188"/>
      <c r="C187" s="188"/>
      <c r="D187" s="188"/>
      <c r="E187" s="188"/>
      <c r="F187" s="188"/>
      <c r="G187" s="188"/>
      <c r="H187" s="188"/>
      <c r="I187" s="188"/>
      <c r="J187" s="188"/>
      <c r="K187" s="188"/>
      <c r="L187" s="188"/>
      <c r="M187" s="188"/>
      <c r="N187" s="188"/>
      <c r="O187" s="188"/>
      <c r="P187" s="188"/>
      <c r="Q187" s="188"/>
      <c r="R187" s="188"/>
      <c r="S187" s="188"/>
      <c r="T187" s="188"/>
      <c r="U187" s="188"/>
      <c r="V187" s="188"/>
      <c r="W187" s="188"/>
      <c r="X187" s="188"/>
      <c r="Y187" s="188"/>
      <c r="Z187" s="188"/>
      <c r="AA187" s="188"/>
      <c r="AB187" s="188"/>
      <c r="AC187" s="188"/>
      <c r="AD187" s="188"/>
      <c r="AE187" s="188"/>
      <c r="AF187" s="188"/>
      <c r="AG187" s="188"/>
    </row>
    <row r="188" spans="1:33" x14ac:dyDescent="0.35">
      <c r="A188" s="188"/>
      <c r="B188" s="188"/>
      <c r="C188" s="188"/>
      <c r="D188" s="188"/>
      <c r="E188" s="188"/>
      <c r="F188" s="188"/>
      <c r="G188" s="188"/>
      <c r="H188" s="188"/>
      <c r="I188" s="188"/>
      <c r="J188" s="188"/>
      <c r="K188" s="188"/>
      <c r="L188" s="188"/>
      <c r="M188" s="188"/>
      <c r="N188" s="188"/>
      <c r="O188" s="188"/>
      <c r="P188" s="188"/>
      <c r="Q188" s="188"/>
      <c r="R188" s="188"/>
      <c r="S188" s="188"/>
      <c r="T188" s="188"/>
      <c r="U188" s="188"/>
      <c r="V188" s="188"/>
      <c r="W188" s="188"/>
      <c r="X188" s="188"/>
      <c r="Y188" s="188"/>
      <c r="Z188" s="188"/>
      <c r="AA188" s="188"/>
      <c r="AB188" s="188"/>
      <c r="AC188" s="188"/>
      <c r="AD188" s="188"/>
      <c r="AE188" s="188"/>
      <c r="AF188" s="188"/>
      <c r="AG188" s="188"/>
    </row>
    <row r="189" spans="1:33" x14ac:dyDescent="0.35">
      <c r="A189" s="188"/>
      <c r="B189" s="188"/>
      <c r="C189" s="188"/>
      <c r="D189" s="188"/>
      <c r="E189" s="188"/>
      <c r="F189" s="188"/>
      <c r="G189" s="188"/>
      <c r="H189" s="188"/>
      <c r="I189" s="188"/>
      <c r="J189" s="188"/>
      <c r="K189" s="188"/>
      <c r="L189" s="188"/>
      <c r="M189" s="188"/>
      <c r="N189" s="188"/>
      <c r="O189" s="188"/>
      <c r="P189" s="188"/>
      <c r="Q189" s="188"/>
      <c r="R189" s="188"/>
      <c r="S189" s="188"/>
      <c r="T189" s="188"/>
      <c r="U189" s="188"/>
      <c r="V189" s="188"/>
      <c r="W189" s="188"/>
      <c r="X189" s="188"/>
      <c r="Y189" s="188"/>
      <c r="Z189" s="188"/>
      <c r="AA189" s="188"/>
      <c r="AB189" s="188"/>
      <c r="AC189" s="188"/>
      <c r="AD189" s="188"/>
      <c r="AE189" s="188"/>
      <c r="AF189" s="188"/>
      <c r="AG189" s="188"/>
    </row>
    <row r="190" spans="1:33" x14ac:dyDescent="0.35">
      <c r="A190" s="188"/>
      <c r="B190" s="188"/>
      <c r="C190" s="188"/>
      <c r="D190" s="188"/>
      <c r="E190" s="188"/>
      <c r="F190" s="188"/>
      <c r="G190" s="188"/>
      <c r="H190" s="188"/>
      <c r="I190" s="188"/>
      <c r="J190" s="188"/>
      <c r="K190" s="188"/>
      <c r="L190" s="188"/>
      <c r="M190" s="188"/>
      <c r="N190" s="188"/>
      <c r="O190" s="188"/>
      <c r="P190" s="188"/>
      <c r="Q190" s="188"/>
      <c r="R190" s="188"/>
      <c r="S190" s="188"/>
      <c r="T190" s="188"/>
      <c r="U190" s="188"/>
      <c r="V190" s="188"/>
      <c r="W190" s="188"/>
      <c r="X190" s="188"/>
      <c r="Y190" s="188"/>
      <c r="Z190" s="188"/>
      <c r="AA190" s="188"/>
      <c r="AB190" s="188"/>
      <c r="AC190" s="188"/>
      <c r="AD190" s="188"/>
      <c r="AE190" s="188"/>
      <c r="AF190" s="188"/>
      <c r="AG190" s="188"/>
    </row>
    <row r="191" spans="1:33" x14ac:dyDescent="0.35">
      <c r="A191" s="188"/>
      <c r="B191" s="188"/>
      <c r="C191" s="188"/>
      <c r="D191" s="188"/>
      <c r="E191" s="188"/>
      <c r="F191" s="188"/>
      <c r="G191" s="188"/>
      <c r="H191" s="188"/>
      <c r="I191" s="188"/>
      <c r="J191" s="188"/>
      <c r="K191" s="188"/>
      <c r="L191" s="188"/>
      <c r="M191" s="188"/>
      <c r="N191" s="188"/>
      <c r="O191" s="188"/>
      <c r="P191" s="188"/>
      <c r="Q191" s="188"/>
      <c r="R191" s="188"/>
      <c r="S191" s="188"/>
      <c r="T191" s="188"/>
      <c r="U191" s="188"/>
      <c r="V191" s="188"/>
      <c r="W191" s="188"/>
      <c r="X191" s="188"/>
      <c r="Y191" s="188"/>
      <c r="Z191" s="188"/>
      <c r="AA191" s="188"/>
      <c r="AB191" s="188"/>
      <c r="AC191" s="188"/>
      <c r="AD191" s="188"/>
      <c r="AE191" s="188"/>
      <c r="AF191" s="188"/>
      <c r="AG191" s="188"/>
    </row>
    <row r="192" spans="1:33" x14ac:dyDescent="0.35">
      <c r="A192" s="188"/>
      <c r="B192" s="188"/>
      <c r="C192" s="188"/>
      <c r="D192" s="188"/>
      <c r="E192" s="188"/>
      <c r="F192" s="188"/>
      <c r="G192" s="188"/>
      <c r="H192" s="188"/>
      <c r="I192" s="188"/>
      <c r="J192" s="188"/>
      <c r="K192" s="188"/>
      <c r="L192" s="188"/>
      <c r="M192" s="188"/>
      <c r="N192" s="188"/>
      <c r="O192" s="188"/>
      <c r="P192" s="188"/>
      <c r="Q192" s="188"/>
      <c r="R192" s="188"/>
      <c r="S192" s="188"/>
      <c r="T192" s="188"/>
      <c r="U192" s="188"/>
      <c r="V192" s="188"/>
      <c r="W192" s="188"/>
      <c r="X192" s="188"/>
      <c r="Y192" s="188"/>
      <c r="Z192" s="188"/>
      <c r="AA192" s="188"/>
      <c r="AB192" s="188"/>
      <c r="AC192" s="188"/>
      <c r="AD192" s="188"/>
      <c r="AE192" s="188"/>
      <c r="AF192" s="188"/>
      <c r="AG192" s="188"/>
    </row>
    <row r="193" spans="1:33" x14ac:dyDescent="0.35">
      <c r="A193" s="188"/>
      <c r="B193" s="188"/>
      <c r="C193" s="188"/>
      <c r="D193" s="188"/>
      <c r="E193" s="188"/>
      <c r="F193" s="188"/>
      <c r="G193" s="188"/>
      <c r="H193" s="188"/>
      <c r="I193" s="188"/>
      <c r="J193" s="188"/>
      <c r="K193" s="188"/>
      <c r="L193" s="188"/>
      <c r="M193" s="188"/>
      <c r="N193" s="188"/>
      <c r="O193" s="188"/>
      <c r="P193" s="188"/>
      <c r="Q193" s="188"/>
      <c r="R193" s="188"/>
      <c r="S193" s="188"/>
      <c r="T193" s="188"/>
      <c r="U193" s="188"/>
      <c r="V193" s="188"/>
      <c r="W193" s="188"/>
      <c r="X193" s="188"/>
      <c r="Y193" s="188"/>
      <c r="Z193" s="188"/>
      <c r="AA193" s="188"/>
      <c r="AB193" s="188"/>
      <c r="AC193" s="188"/>
      <c r="AD193" s="188"/>
      <c r="AE193" s="188"/>
      <c r="AF193" s="188"/>
      <c r="AG193" s="188"/>
    </row>
    <row r="194" spans="1:33" x14ac:dyDescent="0.35">
      <c r="A194" s="188"/>
      <c r="B194" s="188"/>
      <c r="C194" s="188"/>
      <c r="D194" s="188"/>
      <c r="E194" s="188"/>
      <c r="F194" s="188"/>
      <c r="G194" s="188"/>
      <c r="H194" s="188"/>
      <c r="I194" s="188"/>
      <c r="J194" s="188"/>
      <c r="K194" s="188"/>
      <c r="L194" s="188"/>
      <c r="M194" s="188"/>
      <c r="N194" s="188"/>
      <c r="O194" s="188"/>
      <c r="P194" s="188"/>
      <c r="Q194" s="188"/>
      <c r="R194" s="188"/>
      <c r="S194" s="188"/>
      <c r="T194" s="188"/>
      <c r="U194" s="188"/>
      <c r="V194" s="188"/>
      <c r="W194" s="188"/>
      <c r="X194" s="188"/>
      <c r="Y194" s="188"/>
      <c r="Z194" s="188"/>
      <c r="AA194" s="188"/>
      <c r="AB194" s="188"/>
      <c r="AC194" s="188"/>
      <c r="AD194" s="188"/>
      <c r="AE194" s="188"/>
      <c r="AF194" s="188"/>
      <c r="AG194" s="188"/>
    </row>
    <row r="195" spans="1:33" x14ac:dyDescent="0.35">
      <c r="A195" s="188"/>
      <c r="B195" s="188"/>
      <c r="C195" s="188"/>
      <c r="D195" s="188"/>
      <c r="E195" s="188"/>
      <c r="F195" s="188"/>
      <c r="G195" s="188"/>
      <c r="H195" s="188"/>
      <c r="I195" s="188"/>
      <c r="J195" s="188"/>
      <c r="K195" s="188"/>
      <c r="L195" s="188"/>
      <c r="M195" s="188"/>
      <c r="N195" s="188"/>
      <c r="O195" s="188"/>
      <c r="P195" s="188"/>
      <c r="Q195" s="188"/>
      <c r="R195" s="188"/>
      <c r="S195" s="188"/>
      <c r="T195" s="188"/>
      <c r="U195" s="188"/>
      <c r="V195" s="188"/>
      <c r="W195" s="188"/>
      <c r="X195" s="188"/>
      <c r="Y195" s="188"/>
      <c r="Z195" s="188"/>
      <c r="AA195" s="188"/>
      <c r="AB195" s="188"/>
      <c r="AC195" s="188"/>
      <c r="AD195" s="188"/>
      <c r="AE195" s="188"/>
      <c r="AF195" s="188"/>
      <c r="AG195" s="188"/>
    </row>
    <row r="196" spans="1:33" x14ac:dyDescent="0.35">
      <c r="A196" s="188"/>
      <c r="B196" s="188"/>
      <c r="C196" s="188"/>
      <c r="D196" s="188"/>
      <c r="E196" s="188"/>
      <c r="F196" s="188"/>
      <c r="G196" s="188"/>
      <c r="H196" s="188"/>
      <c r="I196" s="188"/>
      <c r="J196" s="188"/>
      <c r="K196" s="188"/>
      <c r="L196" s="188"/>
      <c r="M196" s="188"/>
      <c r="N196" s="188"/>
      <c r="O196" s="188"/>
      <c r="P196" s="188"/>
      <c r="Q196" s="188"/>
      <c r="R196" s="188"/>
      <c r="S196" s="188"/>
      <c r="T196" s="188"/>
      <c r="U196" s="188"/>
      <c r="V196" s="188"/>
      <c r="W196" s="188"/>
      <c r="X196" s="188"/>
      <c r="Y196" s="188"/>
      <c r="Z196" s="188"/>
      <c r="AA196" s="188"/>
      <c r="AB196" s="188"/>
      <c r="AC196" s="188"/>
      <c r="AD196" s="188"/>
      <c r="AE196" s="188"/>
      <c r="AF196" s="188"/>
      <c r="AG196" s="188"/>
    </row>
    <row r="197" spans="1:33" x14ac:dyDescent="0.35">
      <c r="A197" s="188"/>
      <c r="B197" s="188"/>
      <c r="C197" s="188"/>
      <c r="D197" s="188"/>
      <c r="E197" s="188"/>
      <c r="F197" s="188"/>
      <c r="G197" s="188"/>
      <c r="H197" s="188"/>
      <c r="I197" s="188"/>
      <c r="J197" s="188"/>
      <c r="K197" s="188"/>
      <c r="L197" s="188"/>
      <c r="M197" s="188"/>
      <c r="N197" s="188"/>
      <c r="O197" s="188"/>
      <c r="P197" s="188"/>
      <c r="Q197" s="188"/>
      <c r="R197" s="188"/>
      <c r="S197" s="188"/>
      <c r="T197" s="188"/>
      <c r="U197" s="188"/>
      <c r="V197" s="188"/>
      <c r="W197" s="188"/>
      <c r="X197" s="188"/>
      <c r="Y197" s="188"/>
      <c r="Z197" s="188"/>
      <c r="AA197" s="188"/>
      <c r="AB197" s="188"/>
      <c r="AC197" s="188"/>
      <c r="AD197" s="188"/>
      <c r="AE197" s="188"/>
      <c r="AF197" s="188"/>
      <c r="AG197" s="188"/>
    </row>
    <row r="198" spans="1:33" x14ac:dyDescent="0.35">
      <c r="A198" s="188"/>
      <c r="B198" s="188"/>
      <c r="C198" s="188"/>
      <c r="D198" s="188"/>
      <c r="E198" s="188"/>
      <c r="F198" s="188"/>
      <c r="G198" s="188"/>
      <c r="H198" s="188"/>
      <c r="I198" s="188"/>
      <c r="J198" s="188"/>
      <c r="K198" s="188"/>
      <c r="L198" s="188"/>
      <c r="M198" s="188"/>
      <c r="N198" s="188"/>
      <c r="O198" s="188"/>
      <c r="P198" s="188"/>
      <c r="Q198" s="188"/>
      <c r="R198" s="188"/>
      <c r="S198" s="188"/>
      <c r="T198" s="188"/>
      <c r="U198" s="188"/>
      <c r="V198" s="188"/>
      <c r="W198" s="188"/>
      <c r="X198" s="188"/>
      <c r="Y198" s="188"/>
      <c r="Z198" s="188"/>
      <c r="AA198" s="188"/>
      <c r="AB198" s="188"/>
      <c r="AC198" s="188"/>
      <c r="AD198" s="188"/>
      <c r="AE198" s="188"/>
      <c r="AF198" s="188"/>
      <c r="AG198" s="188"/>
    </row>
    <row r="199" spans="1:33" x14ac:dyDescent="0.35">
      <c r="A199" s="188"/>
      <c r="B199" s="188"/>
      <c r="C199" s="188"/>
      <c r="D199" s="188"/>
      <c r="E199" s="188"/>
      <c r="F199" s="188"/>
      <c r="G199" s="188"/>
      <c r="H199" s="188"/>
      <c r="I199" s="188"/>
      <c r="J199" s="188"/>
      <c r="K199" s="188"/>
      <c r="L199" s="188"/>
      <c r="M199" s="188"/>
      <c r="N199" s="188"/>
      <c r="O199" s="188"/>
      <c r="P199" s="188"/>
      <c r="Q199" s="188"/>
      <c r="R199" s="188"/>
      <c r="S199" s="188"/>
      <c r="T199" s="188"/>
      <c r="U199" s="188"/>
      <c r="V199" s="188"/>
      <c r="W199" s="188"/>
      <c r="X199" s="188"/>
      <c r="Y199" s="188"/>
      <c r="Z199" s="188"/>
      <c r="AA199" s="188"/>
      <c r="AB199" s="188"/>
      <c r="AC199" s="188"/>
      <c r="AD199" s="188"/>
      <c r="AE199" s="188"/>
      <c r="AF199" s="188"/>
      <c r="AG199" s="188"/>
    </row>
    <row r="200" spans="1:33" x14ac:dyDescent="0.35">
      <c r="A200" s="188"/>
      <c r="B200" s="188"/>
      <c r="C200" s="188"/>
      <c r="D200" s="188"/>
      <c r="E200" s="188"/>
      <c r="F200" s="188"/>
      <c r="G200" s="188"/>
      <c r="H200" s="188"/>
      <c r="I200" s="188"/>
      <c r="J200" s="188"/>
      <c r="K200" s="188"/>
      <c r="L200" s="188"/>
      <c r="M200" s="188"/>
      <c r="N200" s="188"/>
      <c r="O200" s="188"/>
      <c r="P200" s="188"/>
      <c r="Q200" s="188"/>
      <c r="R200" s="188"/>
      <c r="S200" s="188"/>
      <c r="T200" s="188"/>
      <c r="U200" s="188"/>
      <c r="V200" s="188"/>
      <c r="W200" s="188"/>
      <c r="X200" s="188"/>
      <c r="Y200" s="188"/>
      <c r="Z200" s="188"/>
      <c r="AA200" s="188"/>
      <c r="AB200" s="188"/>
      <c r="AC200" s="188"/>
      <c r="AD200" s="188"/>
      <c r="AE200" s="188"/>
      <c r="AF200" s="188"/>
      <c r="AG200" s="188"/>
    </row>
    <row r="201" spans="1:33" x14ac:dyDescent="0.35">
      <c r="A201" s="188"/>
      <c r="B201" s="188"/>
      <c r="C201" s="188"/>
      <c r="D201" s="188"/>
      <c r="E201" s="188"/>
      <c r="F201" s="188"/>
      <c r="G201" s="188"/>
      <c r="H201" s="188"/>
      <c r="I201" s="188"/>
      <c r="J201" s="188"/>
      <c r="K201" s="188"/>
      <c r="L201" s="188"/>
      <c r="M201" s="188"/>
      <c r="N201" s="188"/>
      <c r="O201" s="188"/>
      <c r="P201" s="188"/>
      <c r="Q201" s="188"/>
      <c r="R201" s="188"/>
      <c r="S201" s="188"/>
      <c r="T201" s="188"/>
      <c r="U201" s="188"/>
      <c r="V201" s="188"/>
      <c r="W201" s="188"/>
      <c r="X201" s="188"/>
      <c r="Y201" s="188"/>
      <c r="Z201" s="188"/>
      <c r="AA201" s="188"/>
      <c r="AB201" s="188"/>
      <c r="AC201" s="188"/>
      <c r="AD201" s="188"/>
      <c r="AE201" s="188"/>
      <c r="AF201" s="188"/>
      <c r="AG201" s="188"/>
    </row>
    <row r="202" spans="1:33" x14ac:dyDescent="0.35">
      <c r="A202" s="188"/>
      <c r="B202" s="188"/>
      <c r="C202" s="188"/>
      <c r="D202" s="188"/>
      <c r="E202" s="188"/>
      <c r="F202" s="188"/>
      <c r="G202" s="188"/>
      <c r="H202" s="188"/>
      <c r="I202" s="188"/>
      <c r="J202" s="188"/>
      <c r="K202" s="188"/>
      <c r="L202" s="188"/>
      <c r="M202" s="188"/>
      <c r="N202" s="188"/>
      <c r="O202" s="188"/>
      <c r="P202" s="188"/>
      <c r="Q202" s="188"/>
      <c r="R202" s="188"/>
      <c r="S202" s="188"/>
      <c r="T202" s="188"/>
      <c r="U202" s="188"/>
      <c r="V202" s="188"/>
      <c r="W202" s="188"/>
      <c r="X202" s="188"/>
      <c r="Y202" s="188"/>
      <c r="Z202" s="188"/>
      <c r="AA202" s="188"/>
      <c r="AB202" s="188"/>
      <c r="AC202" s="188"/>
      <c r="AD202" s="188"/>
      <c r="AE202" s="188"/>
      <c r="AF202" s="188"/>
      <c r="AG202" s="188"/>
    </row>
    <row r="203" spans="1:33" x14ac:dyDescent="0.35">
      <c r="A203" s="188"/>
      <c r="B203" s="188"/>
      <c r="C203" s="188"/>
      <c r="D203" s="188"/>
      <c r="E203" s="188"/>
      <c r="F203" s="188"/>
      <c r="G203" s="188"/>
      <c r="H203" s="188"/>
      <c r="I203" s="188"/>
      <c r="J203" s="188"/>
      <c r="K203" s="188"/>
      <c r="L203" s="188"/>
      <c r="M203" s="188"/>
      <c r="N203" s="188"/>
      <c r="O203" s="188"/>
      <c r="P203" s="188"/>
      <c r="Q203" s="188"/>
      <c r="R203" s="188"/>
      <c r="S203" s="188"/>
      <c r="T203" s="188"/>
      <c r="U203" s="188"/>
      <c r="V203" s="188"/>
      <c r="W203" s="188"/>
      <c r="X203" s="188"/>
      <c r="Y203" s="188"/>
      <c r="Z203" s="188"/>
      <c r="AA203" s="188"/>
      <c r="AB203" s="188"/>
      <c r="AC203" s="188"/>
      <c r="AD203" s="188"/>
      <c r="AE203" s="188"/>
      <c r="AF203" s="188"/>
      <c r="AG203" s="188"/>
    </row>
    <row r="204" spans="1:33" x14ac:dyDescent="0.35">
      <c r="A204" s="188"/>
      <c r="B204" s="188"/>
      <c r="C204" s="188"/>
      <c r="D204" s="188"/>
      <c r="E204" s="188"/>
      <c r="F204" s="188"/>
      <c r="G204" s="188"/>
      <c r="H204" s="188"/>
      <c r="I204" s="188"/>
      <c r="J204" s="188"/>
      <c r="K204" s="188"/>
      <c r="L204" s="188"/>
      <c r="M204" s="188"/>
      <c r="N204" s="188"/>
      <c r="O204" s="188"/>
      <c r="P204" s="188"/>
      <c r="Q204" s="188"/>
      <c r="R204" s="188"/>
      <c r="S204" s="188"/>
      <c r="T204" s="188"/>
      <c r="U204" s="188"/>
      <c r="V204" s="188"/>
      <c r="W204" s="188"/>
      <c r="X204" s="188"/>
      <c r="Y204" s="188"/>
      <c r="Z204" s="188"/>
      <c r="AA204" s="188"/>
      <c r="AB204" s="188"/>
      <c r="AC204" s="188"/>
      <c r="AD204" s="188"/>
      <c r="AE204" s="188"/>
      <c r="AF204" s="188"/>
      <c r="AG204" s="188"/>
    </row>
    <row r="205" spans="1:33" x14ac:dyDescent="0.35">
      <c r="A205" s="188"/>
      <c r="B205" s="188"/>
      <c r="C205" s="188"/>
      <c r="D205" s="188"/>
      <c r="E205" s="188"/>
      <c r="F205" s="188"/>
      <c r="G205" s="188"/>
      <c r="H205" s="188"/>
      <c r="I205" s="188"/>
      <c r="J205" s="188"/>
      <c r="K205" s="188"/>
      <c r="L205" s="188"/>
      <c r="M205" s="188"/>
      <c r="N205" s="188"/>
      <c r="O205" s="188"/>
      <c r="P205" s="188"/>
      <c r="Q205" s="188"/>
      <c r="R205" s="188"/>
      <c r="S205" s="188"/>
      <c r="T205" s="188"/>
      <c r="U205" s="188"/>
      <c r="V205" s="188"/>
      <c r="W205" s="188"/>
      <c r="X205" s="188"/>
      <c r="Y205" s="188"/>
      <c r="Z205" s="188"/>
      <c r="AA205" s="188"/>
      <c r="AB205" s="188"/>
      <c r="AC205" s="188"/>
      <c r="AD205" s="188"/>
      <c r="AE205" s="188"/>
      <c r="AF205" s="188"/>
      <c r="AG205" s="188"/>
    </row>
    <row r="206" spans="1:33" x14ac:dyDescent="0.35">
      <c r="A206" s="188"/>
      <c r="B206" s="188"/>
      <c r="C206" s="188"/>
      <c r="D206" s="188"/>
      <c r="E206" s="188"/>
      <c r="F206" s="188"/>
      <c r="G206" s="188"/>
      <c r="H206" s="188"/>
      <c r="I206" s="188"/>
      <c r="J206" s="188"/>
      <c r="K206" s="188"/>
      <c r="L206" s="188"/>
      <c r="M206" s="188"/>
      <c r="N206" s="188"/>
      <c r="O206" s="188"/>
      <c r="P206" s="188"/>
      <c r="Q206" s="188"/>
      <c r="R206" s="188"/>
      <c r="S206" s="188"/>
      <c r="T206" s="188"/>
      <c r="U206" s="188"/>
      <c r="V206" s="188"/>
      <c r="W206" s="188"/>
      <c r="X206" s="188"/>
      <c r="Y206" s="188"/>
      <c r="Z206" s="188"/>
      <c r="AA206" s="188"/>
      <c r="AB206" s="188"/>
      <c r="AC206" s="188"/>
      <c r="AD206" s="188"/>
      <c r="AE206" s="188"/>
      <c r="AF206" s="188"/>
      <c r="AG206" s="188"/>
    </row>
    <row r="207" spans="1:33" x14ac:dyDescent="0.35">
      <c r="A207" s="188"/>
      <c r="B207" s="188"/>
      <c r="C207" s="188"/>
      <c r="D207" s="188"/>
      <c r="E207" s="188"/>
      <c r="F207" s="188"/>
      <c r="G207" s="188"/>
      <c r="H207" s="188"/>
      <c r="I207" s="188"/>
      <c r="J207" s="188"/>
      <c r="K207" s="188"/>
      <c r="L207" s="188"/>
      <c r="M207" s="188"/>
      <c r="N207" s="188"/>
      <c r="O207" s="188"/>
      <c r="P207" s="188"/>
      <c r="Q207" s="188"/>
      <c r="R207" s="188"/>
      <c r="S207" s="188"/>
      <c r="T207" s="188"/>
      <c r="U207" s="188"/>
      <c r="V207" s="188"/>
      <c r="W207" s="188"/>
      <c r="X207" s="188"/>
      <c r="Y207" s="188"/>
      <c r="Z207" s="188"/>
      <c r="AA207" s="188"/>
      <c r="AB207" s="188"/>
      <c r="AC207" s="188"/>
      <c r="AD207" s="188"/>
      <c r="AE207" s="188"/>
      <c r="AF207" s="188"/>
      <c r="AG207" s="188"/>
    </row>
    <row r="208" spans="1:33" x14ac:dyDescent="0.35">
      <c r="A208" s="188"/>
      <c r="B208" s="188"/>
      <c r="C208" s="188"/>
      <c r="D208" s="188"/>
      <c r="E208" s="188"/>
      <c r="F208" s="188"/>
      <c r="G208" s="188"/>
      <c r="H208" s="188"/>
      <c r="I208" s="188"/>
      <c r="J208" s="188"/>
      <c r="K208" s="188"/>
      <c r="L208" s="188"/>
      <c r="M208" s="188"/>
      <c r="N208" s="188"/>
      <c r="O208" s="188"/>
      <c r="P208" s="188"/>
      <c r="Q208" s="188"/>
      <c r="R208" s="188"/>
      <c r="S208" s="188"/>
      <c r="T208" s="188"/>
      <c r="U208" s="188"/>
      <c r="V208" s="188"/>
      <c r="W208" s="188"/>
      <c r="X208" s="188"/>
      <c r="Y208" s="188"/>
      <c r="Z208" s="188"/>
      <c r="AA208" s="188"/>
      <c r="AB208" s="188"/>
      <c r="AC208" s="188"/>
      <c r="AD208" s="188"/>
      <c r="AE208" s="188"/>
      <c r="AF208" s="188"/>
      <c r="AG208" s="188"/>
    </row>
    <row r="209" spans="1:33" x14ac:dyDescent="0.35">
      <c r="A209" s="188"/>
      <c r="B209" s="188"/>
      <c r="C209" s="188"/>
      <c r="D209" s="188"/>
      <c r="E209" s="188"/>
      <c r="F209" s="188"/>
      <c r="G209" s="188"/>
      <c r="H209" s="188"/>
      <c r="I209" s="188"/>
      <c r="J209" s="188"/>
      <c r="K209" s="188"/>
      <c r="L209" s="188"/>
      <c r="M209" s="188"/>
      <c r="N209" s="188"/>
      <c r="O209" s="188"/>
      <c r="P209" s="188"/>
      <c r="Q209" s="188"/>
      <c r="R209" s="188"/>
      <c r="S209" s="188"/>
      <c r="T209" s="188"/>
      <c r="U209" s="188"/>
      <c r="V209" s="188"/>
      <c r="W209" s="188"/>
      <c r="X209" s="188"/>
      <c r="Y209" s="188"/>
      <c r="Z209" s="188"/>
      <c r="AA209" s="188"/>
      <c r="AB209" s="188"/>
      <c r="AC209" s="188"/>
      <c r="AD209" s="188"/>
      <c r="AE209" s="188"/>
      <c r="AF209" s="188"/>
      <c r="AG209" s="188"/>
    </row>
    <row r="210" spans="1:33" x14ac:dyDescent="0.35">
      <c r="A210" s="188"/>
      <c r="B210" s="188"/>
      <c r="C210" s="188"/>
      <c r="D210" s="188"/>
      <c r="E210" s="188"/>
      <c r="F210" s="188"/>
      <c r="G210" s="188"/>
      <c r="H210" s="188"/>
      <c r="I210" s="188"/>
      <c r="J210" s="188"/>
      <c r="K210" s="188"/>
      <c r="L210" s="188"/>
      <c r="M210" s="188"/>
      <c r="N210" s="188"/>
      <c r="O210" s="188"/>
      <c r="P210" s="188"/>
      <c r="Q210" s="188"/>
      <c r="R210" s="188"/>
      <c r="S210" s="188"/>
      <c r="T210" s="188"/>
      <c r="U210" s="188"/>
      <c r="V210" s="188"/>
      <c r="W210" s="188"/>
      <c r="X210" s="188"/>
      <c r="Y210" s="188"/>
      <c r="Z210" s="188"/>
      <c r="AA210" s="188"/>
      <c r="AB210" s="188"/>
      <c r="AC210" s="188"/>
      <c r="AD210" s="188"/>
      <c r="AE210" s="188"/>
      <c r="AF210" s="188"/>
      <c r="AG210" s="188"/>
    </row>
    <row r="211" spans="1:33" x14ac:dyDescent="0.35">
      <c r="A211" s="188"/>
      <c r="B211" s="188"/>
      <c r="C211" s="188"/>
      <c r="D211" s="188"/>
      <c r="E211" s="188"/>
      <c r="F211" s="188"/>
      <c r="G211" s="188"/>
      <c r="H211" s="188"/>
      <c r="I211" s="188"/>
      <c r="J211" s="188"/>
      <c r="K211" s="188"/>
      <c r="L211" s="188"/>
      <c r="M211" s="188"/>
      <c r="N211" s="188"/>
      <c r="O211" s="188"/>
      <c r="P211" s="188"/>
      <c r="Q211" s="188"/>
      <c r="R211" s="188"/>
      <c r="S211" s="188"/>
      <c r="T211" s="188"/>
      <c r="U211" s="188"/>
      <c r="V211" s="188"/>
      <c r="W211" s="188"/>
      <c r="X211" s="188"/>
      <c r="Y211" s="188"/>
      <c r="Z211" s="188"/>
      <c r="AA211" s="188"/>
      <c r="AB211" s="188"/>
      <c r="AC211" s="188"/>
      <c r="AD211" s="188"/>
      <c r="AE211" s="188"/>
      <c r="AF211" s="188"/>
      <c r="AG211" s="188"/>
    </row>
    <row r="212" spans="1:33" x14ac:dyDescent="0.35">
      <c r="A212" s="188"/>
      <c r="B212" s="188"/>
      <c r="C212" s="188"/>
      <c r="D212" s="188"/>
      <c r="E212" s="188"/>
      <c r="F212" s="188"/>
      <c r="G212" s="188"/>
      <c r="H212" s="188"/>
      <c r="I212" s="188"/>
      <c r="J212" s="188"/>
      <c r="K212" s="188"/>
      <c r="L212" s="188"/>
      <c r="M212" s="188"/>
      <c r="N212" s="188"/>
      <c r="O212" s="188"/>
      <c r="P212" s="188"/>
      <c r="Q212" s="188"/>
      <c r="R212" s="188"/>
      <c r="S212" s="188"/>
      <c r="T212" s="188"/>
      <c r="U212" s="188"/>
      <c r="V212" s="188"/>
      <c r="W212" s="188"/>
      <c r="X212" s="188"/>
      <c r="Y212" s="188"/>
      <c r="Z212" s="188"/>
      <c r="AA212" s="188"/>
      <c r="AB212" s="188"/>
      <c r="AC212" s="188"/>
      <c r="AD212" s="188"/>
      <c r="AE212" s="188"/>
      <c r="AF212" s="188"/>
      <c r="AG212" s="188"/>
    </row>
    <row r="213" spans="1:33" x14ac:dyDescent="0.35">
      <c r="A213" s="188"/>
      <c r="B213" s="188"/>
      <c r="C213" s="188"/>
      <c r="D213" s="188"/>
      <c r="E213" s="188"/>
      <c r="F213" s="188"/>
      <c r="G213" s="188"/>
      <c r="H213" s="188"/>
      <c r="I213" s="188"/>
      <c r="J213" s="188"/>
      <c r="K213" s="188"/>
      <c r="L213" s="188"/>
      <c r="M213" s="188"/>
      <c r="N213" s="188"/>
      <c r="O213" s="188"/>
      <c r="P213" s="188"/>
      <c r="Q213" s="188"/>
      <c r="R213" s="188"/>
      <c r="S213" s="188"/>
      <c r="T213" s="188"/>
      <c r="U213" s="188"/>
      <c r="V213" s="188"/>
      <c r="W213" s="188"/>
      <c r="X213" s="188"/>
      <c r="Y213" s="188"/>
      <c r="Z213" s="188"/>
      <c r="AA213" s="188"/>
      <c r="AB213" s="188"/>
      <c r="AC213" s="188"/>
      <c r="AD213" s="188"/>
      <c r="AE213" s="188"/>
      <c r="AF213" s="188"/>
      <c r="AG213" s="188"/>
    </row>
    <row r="214" spans="1:33" x14ac:dyDescent="0.35">
      <c r="A214" s="188"/>
      <c r="B214" s="188"/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188"/>
      <c r="AA214" s="188"/>
      <c r="AB214" s="188"/>
      <c r="AC214" s="188"/>
      <c r="AD214" s="188"/>
      <c r="AE214" s="188"/>
      <c r="AF214" s="188"/>
      <c r="AG214" s="188"/>
    </row>
    <row r="215" spans="1:33" x14ac:dyDescent="0.35">
      <c r="A215" s="188"/>
      <c r="B215" s="188"/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188"/>
      <c r="AA215" s="188"/>
      <c r="AB215" s="188"/>
      <c r="AC215" s="188"/>
      <c r="AD215" s="188"/>
      <c r="AE215" s="188"/>
      <c r="AF215" s="188"/>
      <c r="AG215" s="188"/>
    </row>
    <row r="216" spans="1:33" x14ac:dyDescent="0.35">
      <c r="A216" s="188"/>
      <c r="B216" s="188"/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188"/>
      <c r="AA216" s="188"/>
      <c r="AB216" s="188"/>
      <c r="AC216" s="188"/>
      <c r="AD216" s="188"/>
      <c r="AE216" s="188"/>
      <c r="AF216" s="188"/>
      <c r="AG216" s="188"/>
    </row>
    <row r="217" spans="1:33" x14ac:dyDescent="0.35">
      <c r="A217" s="188"/>
      <c r="B217" s="188"/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188"/>
      <c r="AA217" s="188"/>
      <c r="AB217" s="188"/>
      <c r="AC217" s="188"/>
      <c r="AD217" s="188"/>
      <c r="AE217" s="188"/>
      <c r="AF217" s="188"/>
      <c r="AG217" s="188"/>
    </row>
    <row r="218" spans="1:33" x14ac:dyDescent="0.35">
      <c r="A218" s="188"/>
      <c r="B218" s="188"/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188"/>
      <c r="AA218" s="188"/>
      <c r="AB218" s="188"/>
      <c r="AC218" s="188"/>
      <c r="AD218" s="188"/>
      <c r="AE218" s="188"/>
      <c r="AF218" s="188"/>
      <c r="AG218" s="188"/>
    </row>
    <row r="219" spans="1:33" x14ac:dyDescent="0.35">
      <c r="A219" s="188"/>
      <c r="B219" s="188"/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188"/>
      <c r="AA219" s="188"/>
      <c r="AB219" s="188"/>
      <c r="AC219" s="188"/>
      <c r="AD219" s="188"/>
      <c r="AE219" s="188"/>
      <c r="AF219" s="188"/>
      <c r="AG219" s="188"/>
    </row>
    <row r="220" spans="1:33" x14ac:dyDescent="0.35">
      <c r="A220" s="188"/>
      <c r="B220" s="188"/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188"/>
      <c r="AA220" s="188"/>
      <c r="AB220" s="188"/>
      <c r="AC220" s="188"/>
      <c r="AD220" s="188"/>
      <c r="AE220" s="188"/>
      <c r="AF220" s="188"/>
      <c r="AG220" s="188"/>
    </row>
    <row r="221" spans="1:33" x14ac:dyDescent="0.35">
      <c r="A221" s="188"/>
      <c r="B221" s="188"/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188"/>
      <c r="AA221" s="188"/>
      <c r="AB221" s="188"/>
      <c r="AC221" s="188"/>
      <c r="AD221" s="188"/>
      <c r="AE221" s="188"/>
      <c r="AF221" s="188"/>
      <c r="AG221" s="188"/>
    </row>
    <row r="222" spans="1:33" x14ac:dyDescent="0.35">
      <c r="A222" s="188"/>
      <c r="B222" s="188"/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188"/>
      <c r="AA222" s="188"/>
      <c r="AB222" s="188"/>
      <c r="AC222" s="188"/>
      <c r="AD222" s="188"/>
      <c r="AE222" s="188"/>
      <c r="AF222" s="188"/>
      <c r="AG222" s="188"/>
    </row>
    <row r="223" spans="1:33" x14ac:dyDescent="0.35">
      <c r="A223" s="188"/>
      <c r="B223" s="188"/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188"/>
      <c r="AA223" s="188"/>
      <c r="AB223" s="188"/>
      <c r="AC223" s="188"/>
      <c r="AD223" s="188"/>
      <c r="AE223" s="188"/>
      <c r="AF223" s="188"/>
      <c r="AG223" s="188"/>
    </row>
    <row r="224" spans="1:33" x14ac:dyDescent="0.35">
      <c r="A224" s="188"/>
      <c r="B224" s="188"/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188"/>
      <c r="AA224" s="188"/>
      <c r="AB224" s="188"/>
      <c r="AC224" s="188"/>
      <c r="AD224" s="188"/>
      <c r="AE224" s="188"/>
      <c r="AF224" s="188"/>
      <c r="AG224" s="188"/>
    </row>
    <row r="225" spans="1:33" x14ac:dyDescent="0.35">
      <c r="A225" s="188"/>
      <c r="B225" s="188"/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188"/>
      <c r="AA225" s="188"/>
      <c r="AB225" s="188"/>
      <c r="AC225" s="188"/>
      <c r="AD225" s="188"/>
      <c r="AE225" s="188"/>
      <c r="AF225" s="188"/>
      <c r="AG225" s="188"/>
    </row>
    <row r="226" spans="1:33" x14ac:dyDescent="0.35">
      <c r="A226" s="188"/>
      <c r="B226" s="188"/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188"/>
      <c r="AA226" s="188"/>
      <c r="AB226" s="188"/>
      <c r="AC226" s="188"/>
      <c r="AD226" s="188"/>
      <c r="AE226" s="188"/>
      <c r="AF226" s="188"/>
      <c r="AG226" s="188"/>
    </row>
    <row r="227" spans="1:33" x14ac:dyDescent="0.35">
      <c r="A227" s="188"/>
      <c r="B227" s="188"/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188"/>
      <c r="AA227" s="188"/>
      <c r="AB227" s="188"/>
      <c r="AC227" s="188"/>
      <c r="AD227" s="188"/>
      <c r="AE227" s="188"/>
      <c r="AF227" s="188"/>
      <c r="AG227" s="188"/>
    </row>
    <row r="228" spans="1:33" x14ac:dyDescent="0.35">
      <c r="A228" s="188"/>
      <c r="B228" s="188"/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188"/>
      <c r="AA228" s="188"/>
      <c r="AB228" s="188"/>
      <c r="AC228" s="188"/>
      <c r="AD228" s="188"/>
      <c r="AE228" s="188"/>
      <c r="AF228" s="188"/>
      <c r="AG228" s="188"/>
    </row>
    <row r="229" spans="1:33" x14ac:dyDescent="0.35">
      <c r="A229" s="188"/>
      <c r="B229" s="188"/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188"/>
      <c r="AA229" s="188"/>
      <c r="AB229" s="188"/>
      <c r="AC229" s="188"/>
      <c r="AD229" s="188"/>
      <c r="AE229" s="188"/>
      <c r="AF229" s="188"/>
      <c r="AG229" s="188"/>
    </row>
    <row r="230" spans="1:33" x14ac:dyDescent="0.35">
      <c r="A230" s="188"/>
      <c r="B230" s="188"/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188"/>
      <c r="AA230" s="188"/>
      <c r="AB230" s="188"/>
      <c r="AC230" s="188"/>
      <c r="AD230" s="188"/>
      <c r="AE230" s="188"/>
      <c r="AF230" s="188"/>
      <c r="AG230" s="188"/>
    </row>
    <row r="231" spans="1:33" x14ac:dyDescent="0.35">
      <c r="A231" s="188"/>
      <c r="B231" s="188"/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188"/>
      <c r="AA231" s="188"/>
      <c r="AB231" s="188"/>
      <c r="AC231" s="188"/>
      <c r="AD231" s="188"/>
      <c r="AE231" s="188"/>
      <c r="AF231" s="188"/>
      <c r="AG231" s="188"/>
    </row>
    <row r="232" spans="1:33" x14ac:dyDescent="0.35">
      <c r="A232" s="188"/>
      <c r="B232" s="188"/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188"/>
      <c r="AA232" s="188"/>
      <c r="AB232" s="188"/>
      <c r="AC232" s="188"/>
      <c r="AD232" s="188"/>
      <c r="AE232" s="188"/>
      <c r="AF232" s="188"/>
      <c r="AG232" s="188"/>
    </row>
    <row r="233" spans="1:33" x14ac:dyDescent="0.35">
      <c r="A233" s="188"/>
      <c r="B233" s="188"/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188"/>
      <c r="AA233" s="188"/>
      <c r="AB233" s="188"/>
      <c r="AC233" s="188"/>
      <c r="AD233" s="188"/>
      <c r="AE233" s="188"/>
      <c r="AF233" s="188"/>
      <c r="AG233" s="188"/>
    </row>
    <row r="234" spans="1:33" x14ac:dyDescent="0.35">
      <c r="A234" s="188"/>
      <c r="B234" s="188"/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188"/>
      <c r="AA234" s="188"/>
      <c r="AB234" s="188"/>
      <c r="AC234" s="188"/>
      <c r="AD234" s="188"/>
      <c r="AE234" s="188"/>
      <c r="AF234" s="188"/>
      <c r="AG234" s="188"/>
    </row>
    <row r="235" spans="1:33" x14ac:dyDescent="0.35">
      <c r="A235" s="188"/>
      <c r="B235" s="188"/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188"/>
      <c r="AA235" s="188"/>
      <c r="AB235" s="188"/>
      <c r="AC235" s="188"/>
      <c r="AD235" s="188"/>
      <c r="AE235" s="188"/>
      <c r="AF235" s="188"/>
      <c r="AG235" s="188"/>
    </row>
    <row r="236" spans="1:33" x14ac:dyDescent="0.35">
      <c r="A236" s="188"/>
      <c r="B236" s="188"/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188"/>
      <c r="AA236" s="188"/>
      <c r="AB236" s="188"/>
      <c r="AC236" s="188"/>
      <c r="AD236" s="188"/>
      <c r="AE236" s="188"/>
      <c r="AF236" s="188"/>
      <c r="AG236" s="188"/>
    </row>
    <row r="237" spans="1:33" x14ac:dyDescent="0.35">
      <c r="A237" s="188"/>
      <c r="B237" s="188"/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188"/>
      <c r="AA237" s="188"/>
      <c r="AB237" s="188"/>
      <c r="AC237" s="188"/>
      <c r="AD237" s="188"/>
      <c r="AE237" s="188"/>
      <c r="AF237" s="188"/>
      <c r="AG237" s="188"/>
    </row>
    <row r="238" spans="1:33" x14ac:dyDescent="0.35">
      <c r="A238" s="188"/>
      <c r="B238" s="188"/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188"/>
      <c r="AA238" s="188"/>
      <c r="AB238" s="188"/>
      <c r="AC238" s="188"/>
      <c r="AD238" s="188"/>
      <c r="AE238" s="188"/>
      <c r="AF238" s="188"/>
      <c r="AG238" s="188"/>
    </row>
    <row r="239" spans="1:33" x14ac:dyDescent="0.35">
      <c r="A239" s="188"/>
      <c r="B239" s="188"/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188"/>
      <c r="AA239" s="188"/>
      <c r="AB239" s="188"/>
      <c r="AC239" s="188"/>
      <c r="AD239" s="188"/>
      <c r="AE239" s="188"/>
      <c r="AF239" s="188"/>
      <c r="AG239" s="188"/>
    </row>
    <row r="240" spans="1:33" x14ac:dyDescent="0.35">
      <c r="A240" s="188"/>
      <c r="B240" s="188"/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188"/>
      <c r="AA240" s="188"/>
      <c r="AB240" s="188"/>
      <c r="AC240" s="188"/>
      <c r="AD240" s="188"/>
      <c r="AE240" s="188"/>
      <c r="AF240" s="188"/>
      <c r="AG240" s="188"/>
    </row>
    <row r="241" spans="1:33" x14ac:dyDescent="0.35">
      <c r="A241" s="188"/>
      <c r="B241" s="188"/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188"/>
      <c r="AA241" s="188"/>
      <c r="AB241" s="188"/>
      <c r="AC241" s="188"/>
      <c r="AD241" s="188"/>
      <c r="AE241" s="188"/>
      <c r="AF241" s="188"/>
      <c r="AG241" s="188"/>
    </row>
    <row r="242" spans="1:33" x14ac:dyDescent="0.35">
      <c r="A242" s="188"/>
      <c r="B242" s="188"/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188"/>
      <c r="AA242" s="188"/>
      <c r="AB242" s="188"/>
      <c r="AC242" s="188"/>
      <c r="AD242" s="188"/>
      <c r="AE242" s="188"/>
      <c r="AF242" s="188"/>
      <c r="AG242" s="188"/>
    </row>
    <row r="243" spans="1:33" x14ac:dyDescent="0.35">
      <c r="A243" s="188"/>
      <c r="B243" s="188"/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188"/>
      <c r="AA243" s="188"/>
      <c r="AB243" s="188"/>
      <c r="AC243" s="188"/>
      <c r="AD243" s="188"/>
      <c r="AE243" s="188"/>
      <c r="AF243" s="188"/>
      <c r="AG243" s="188"/>
    </row>
    <row r="244" spans="1:33" x14ac:dyDescent="0.35">
      <c r="A244" s="188"/>
      <c r="B244" s="188"/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188"/>
      <c r="AA244" s="188"/>
      <c r="AB244" s="188"/>
      <c r="AC244" s="188"/>
      <c r="AD244" s="188"/>
      <c r="AE244" s="188"/>
      <c r="AF244" s="188"/>
      <c r="AG244" s="188"/>
    </row>
    <row r="245" spans="1:33" x14ac:dyDescent="0.35">
      <c r="A245" s="188"/>
      <c r="B245" s="188"/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188"/>
      <c r="AA245" s="188"/>
      <c r="AB245" s="188"/>
      <c r="AC245" s="188"/>
      <c r="AD245" s="188"/>
      <c r="AE245" s="188"/>
      <c r="AF245" s="188"/>
      <c r="AG245" s="188"/>
    </row>
    <row r="246" spans="1:33" x14ac:dyDescent="0.35">
      <c r="A246" s="188"/>
      <c r="B246" s="188"/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188"/>
      <c r="AA246" s="188"/>
      <c r="AB246" s="188"/>
      <c r="AC246" s="188"/>
      <c r="AD246" s="188"/>
      <c r="AE246" s="188"/>
      <c r="AF246" s="188"/>
      <c r="AG246" s="188"/>
    </row>
    <row r="247" spans="1:33" x14ac:dyDescent="0.35">
      <c r="A247" s="188"/>
      <c r="B247" s="188"/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188"/>
      <c r="AA247" s="188"/>
      <c r="AB247" s="188"/>
      <c r="AC247" s="188"/>
      <c r="AD247" s="188"/>
      <c r="AE247" s="188"/>
      <c r="AF247" s="188"/>
      <c r="AG247" s="188"/>
    </row>
    <row r="248" spans="1:33" x14ac:dyDescent="0.35">
      <c r="A248" s="188"/>
      <c r="B248" s="188"/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188"/>
      <c r="AA248" s="188"/>
      <c r="AB248" s="188"/>
      <c r="AC248" s="188"/>
      <c r="AD248" s="188"/>
      <c r="AE248" s="188"/>
      <c r="AF248" s="188"/>
      <c r="AG248" s="188"/>
    </row>
    <row r="249" spans="1:33" x14ac:dyDescent="0.35">
      <c r="A249" s="188"/>
      <c r="B249" s="188"/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188"/>
      <c r="AA249" s="188"/>
      <c r="AB249" s="188"/>
      <c r="AC249" s="188"/>
      <c r="AD249" s="188"/>
      <c r="AE249" s="188"/>
      <c r="AF249" s="188"/>
      <c r="AG249" s="188"/>
    </row>
    <row r="250" spans="1:33" x14ac:dyDescent="0.35">
      <c r="A250" s="188"/>
      <c r="B250" s="188"/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188"/>
      <c r="AA250" s="188"/>
      <c r="AB250" s="188"/>
      <c r="AC250" s="188"/>
      <c r="AD250" s="188"/>
      <c r="AE250" s="188"/>
      <c r="AF250" s="188"/>
      <c r="AG250" s="188"/>
    </row>
    <row r="251" spans="1:33" x14ac:dyDescent="0.35">
      <c r="A251" s="188"/>
      <c r="B251" s="188"/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188"/>
      <c r="AA251" s="188"/>
      <c r="AB251" s="188"/>
      <c r="AC251" s="188"/>
      <c r="AD251" s="188"/>
      <c r="AE251" s="188"/>
      <c r="AF251" s="188"/>
      <c r="AG251" s="188"/>
    </row>
    <row r="252" spans="1:33" x14ac:dyDescent="0.35">
      <c r="A252" s="188"/>
      <c r="B252" s="188"/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188"/>
      <c r="AA252" s="188"/>
      <c r="AB252" s="188"/>
      <c r="AC252" s="188"/>
      <c r="AD252" s="188"/>
      <c r="AE252" s="188"/>
      <c r="AF252" s="188"/>
      <c r="AG252" s="188"/>
    </row>
    <row r="253" spans="1:33" x14ac:dyDescent="0.35">
      <c r="A253" s="188"/>
      <c r="B253" s="188"/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188"/>
      <c r="AA253" s="188"/>
      <c r="AB253" s="188"/>
      <c r="AC253" s="188"/>
      <c r="AD253" s="188"/>
      <c r="AE253" s="188"/>
      <c r="AF253" s="188"/>
      <c r="AG253" s="188"/>
    </row>
    <row r="254" spans="1:33" x14ac:dyDescent="0.35">
      <c r="A254" s="188"/>
      <c r="B254" s="188"/>
      <c r="C254" s="188"/>
      <c r="D254" s="188"/>
      <c r="E254" s="188"/>
      <c r="F254" s="188"/>
      <c r="G254" s="188"/>
      <c r="H254" s="188"/>
      <c r="I254" s="188"/>
      <c r="J254" s="188"/>
      <c r="K254" s="188"/>
      <c r="L254" s="188"/>
      <c r="M254" s="188"/>
      <c r="N254" s="188"/>
      <c r="O254" s="188"/>
      <c r="P254" s="188"/>
      <c r="Q254" s="188"/>
      <c r="R254" s="188"/>
      <c r="S254" s="188"/>
      <c r="T254" s="188"/>
      <c r="U254" s="188"/>
      <c r="V254" s="188"/>
      <c r="W254" s="188"/>
      <c r="X254" s="188"/>
      <c r="Y254" s="188"/>
      <c r="Z254" s="188"/>
      <c r="AA254" s="188"/>
      <c r="AB254" s="188"/>
      <c r="AC254" s="188"/>
      <c r="AD254" s="188"/>
      <c r="AE254" s="188"/>
      <c r="AF254" s="188"/>
      <c r="AG254" s="188"/>
    </row>
    <row r="255" spans="1:33" x14ac:dyDescent="0.35">
      <c r="A255" s="188"/>
      <c r="B255" s="188"/>
      <c r="C255" s="188"/>
      <c r="D255" s="188"/>
      <c r="E255" s="188"/>
      <c r="F255" s="188"/>
      <c r="G255" s="188"/>
      <c r="H255" s="188"/>
      <c r="I255" s="188"/>
      <c r="J255" s="188"/>
      <c r="K255" s="188"/>
      <c r="L255" s="188"/>
      <c r="M255" s="188"/>
      <c r="N255" s="188"/>
      <c r="O255" s="188"/>
      <c r="P255" s="188"/>
      <c r="Q255" s="188"/>
      <c r="R255" s="188"/>
      <c r="S255" s="188"/>
      <c r="T255" s="188"/>
      <c r="U255" s="188"/>
      <c r="V255" s="188"/>
      <c r="W255" s="188"/>
      <c r="X255" s="188"/>
      <c r="Y255" s="188"/>
      <c r="Z255" s="188"/>
      <c r="AA255" s="188"/>
      <c r="AB255" s="188"/>
      <c r="AC255" s="188"/>
      <c r="AD255" s="188"/>
      <c r="AE255" s="188"/>
      <c r="AF255" s="188"/>
      <c r="AG255" s="188"/>
    </row>
    <row r="256" spans="1:33" x14ac:dyDescent="0.35">
      <c r="A256" s="188"/>
      <c r="B256" s="188"/>
      <c r="C256" s="188"/>
      <c r="D256" s="188"/>
      <c r="E256" s="188"/>
      <c r="F256" s="188"/>
      <c r="G256" s="188"/>
      <c r="H256" s="188"/>
      <c r="I256" s="188"/>
      <c r="J256" s="188"/>
      <c r="K256" s="188"/>
      <c r="L256" s="188"/>
      <c r="M256" s="188"/>
      <c r="N256" s="188"/>
      <c r="O256" s="188"/>
      <c r="P256" s="188"/>
      <c r="Q256" s="188"/>
      <c r="R256" s="188"/>
      <c r="S256" s="188"/>
      <c r="T256" s="188"/>
      <c r="U256" s="188"/>
      <c r="V256" s="188"/>
      <c r="W256" s="188"/>
      <c r="X256" s="188"/>
      <c r="Y256" s="188"/>
      <c r="Z256" s="188"/>
      <c r="AA256" s="188"/>
      <c r="AB256" s="188"/>
      <c r="AC256" s="188"/>
      <c r="AD256" s="188"/>
      <c r="AE256" s="188"/>
      <c r="AF256" s="188"/>
      <c r="AG256" s="188"/>
    </row>
    <row r="257" spans="1:33" x14ac:dyDescent="0.35">
      <c r="A257" s="188"/>
      <c r="J257" s="188"/>
      <c r="K257" s="188"/>
      <c r="L257" s="188"/>
      <c r="M257" s="188"/>
      <c r="N257" s="188"/>
      <c r="O257" s="188"/>
      <c r="P257" s="188"/>
      <c r="Q257" s="188"/>
      <c r="R257" s="188"/>
      <c r="S257" s="188"/>
      <c r="T257" s="188"/>
      <c r="U257" s="188"/>
      <c r="V257" s="188"/>
      <c r="W257" s="188"/>
      <c r="X257" s="188"/>
      <c r="Y257" s="188"/>
      <c r="Z257" s="188"/>
      <c r="AA257" s="188"/>
      <c r="AB257" s="188"/>
      <c r="AC257" s="188"/>
      <c r="AD257" s="188"/>
      <c r="AE257" s="188"/>
      <c r="AF257" s="188"/>
      <c r="AG257" s="188"/>
    </row>
    <row r="258" spans="1:33" x14ac:dyDescent="0.35">
      <c r="A258" s="188"/>
      <c r="J258" s="188"/>
      <c r="K258" s="188"/>
      <c r="L258" s="188"/>
      <c r="M258" s="188"/>
      <c r="N258" s="188"/>
      <c r="O258" s="188"/>
      <c r="P258" s="188"/>
      <c r="Q258" s="188"/>
      <c r="R258" s="188"/>
      <c r="S258" s="188"/>
      <c r="T258" s="188"/>
      <c r="U258" s="188"/>
      <c r="V258" s="188"/>
      <c r="W258" s="188"/>
      <c r="X258" s="188"/>
      <c r="Y258" s="188"/>
      <c r="Z258" s="188"/>
      <c r="AA258" s="188"/>
      <c r="AB258" s="188"/>
      <c r="AC258" s="188"/>
      <c r="AD258" s="188"/>
      <c r="AE258" s="188"/>
      <c r="AF258" s="188"/>
      <c r="AG258" s="188"/>
    </row>
    <row r="259" spans="1:33" x14ac:dyDescent="0.35">
      <c r="A259" s="188"/>
      <c r="J259" s="188"/>
      <c r="K259" s="188"/>
      <c r="L259" s="188"/>
      <c r="M259" s="188"/>
      <c r="N259" s="188"/>
      <c r="O259" s="188"/>
      <c r="P259" s="188"/>
      <c r="Q259" s="188"/>
      <c r="R259" s="188"/>
      <c r="S259" s="188"/>
      <c r="T259" s="188"/>
      <c r="U259" s="188"/>
      <c r="V259" s="188"/>
      <c r="W259" s="188"/>
      <c r="X259" s="188"/>
      <c r="Y259" s="188"/>
      <c r="Z259" s="188"/>
      <c r="AA259" s="188"/>
      <c r="AB259" s="188"/>
      <c r="AC259" s="188"/>
      <c r="AD259" s="188"/>
      <c r="AE259" s="188"/>
      <c r="AF259" s="188"/>
      <c r="AG259" s="188"/>
    </row>
    <row r="260" spans="1:33" x14ac:dyDescent="0.35">
      <c r="A260" s="188"/>
      <c r="J260" s="188"/>
      <c r="K260" s="188"/>
      <c r="L260" s="188"/>
      <c r="M260" s="188"/>
      <c r="N260" s="188"/>
      <c r="O260" s="188"/>
      <c r="P260" s="188"/>
      <c r="Q260" s="188"/>
      <c r="R260" s="188"/>
      <c r="S260" s="188"/>
      <c r="T260" s="188"/>
      <c r="U260" s="188"/>
      <c r="V260" s="188"/>
      <c r="W260" s="188"/>
      <c r="X260" s="188"/>
      <c r="Y260" s="188"/>
      <c r="Z260" s="188"/>
      <c r="AA260" s="188"/>
      <c r="AB260" s="188"/>
      <c r="AC260" s="188"/>
      <c r="AD260" s="188"/>
      <c r="AE260" s="188"/>
      <c r="AF260" s="188"/>
      <c r="AG260" s="188"/>
    </row>
    <row r="261" spans="1:33" x14ac:dyDescent="0.35">
      <c r="K261" s="188"/>
      <c r="L261" s="188"/>
      <c r="M261" s="188"/>
      <c r="N261" s="188"/>
      <c r="O261" s="188"/>
      <c r="P261" s="188"/>
      <c r="Q261" s="188"/>
      <c r="R261" s="188"/>
      <c r="S261" s="188"/>
      <c r="Z261" s="188"/>
      <c r="AA261" s="188"/>
      <c r="AB261" s="188"/>
      <c r="AC261" s="188"/>
      <c r="AD261" s="188"/>
      <c r="AE261" s="188"/>
      <c r="AF261" s="188"/>
      <c r="AG261" s="188"/>
    </row>
  </sheetData>
  <sheetProtection algorithmName="SHA-512" hashValue="K/kzvFPK7DNMdPUzakkNGvL68w/78SEPg1ruZTPKDxDtb595hYgChIusDyJtSbk1kKsFnJn3uhDBzGceUcY0cg==" saltValue="c+RTPIfMGiiAR8Hf4b9pqA==" spinCount="100000" sheet="1" objects="1" scenarios="1" formatCells="0" formatColumns="0"/>
  <mergeCells count="131">
    <mergeCell ref="AV59:BA59"/>
    <mergeCell ref="B22:E23"/>
    <mergeCell ref="B6:C6"/>
    <mergeCell ref="AM6:AP6"/>
    <mergeCell ref="AQ6:AT6"/>
    <mergeCell ref="AW1:AW2"/>
    <mergeCell ref="AX1:AX2"/>
    <mergeCell ref="AY1:AY2"/>
    <mergeCell ref="X2:Y2"/>
    <mergeCell ref="Z7:Z8"/>
    <mergeCell ref="AA7:AA8"/>
    <mergeCell ref="AB7:AB8"/>
    <mergeCell ref="AC7:AC8"/>
    <mergeCell ref="AD7:AD8"/>
    <mergeCell ref="AM8:AN8"/>
    <mergeCell ref="AP8:AQ8"/>
    <mergeCell ref="AS8:AT8"/>
    <mergeCell ref="B9:C9"/>
    <mergeCell ref="Q9:R9"/>
    <mergeCell ref="AQ17:AT17"/>
    <mergeCell ref="B19:C19"/>
    <mergeCell ref="D19:E19"/>
    <mergeCell ref="AM19:AN19"/>
    <mergeCell ref="AP19:AQ19"/>
    <mergeCell ref="BF2:BH2"/>
    <mergeCell ref="B3:C3"/>
    <mergeCell ref="D3:F3"/>
    <mergeCell ref="X3:Y4"/>
    <mergeCell ref="AC1:AC2"/>
    <mergeCell ref="AO1:AO2"/>
    <mergeCell ref="AP1:AP2"/>
    <mergeCell ref="AQ1:AQ2"/>
    <mergeCell ref="AR1:AR2"/>
    <mergeCell ref="AV1:AV2"/>
    <mergeCell ref="B1:I1"/>
    <mergeCell ref="K1:T1"/>
    <mergeCell ref="W1:W2"/>
    <mergeCell ref="Z1:Z2"/>
    <mergeCell ref="AA1:AA2"/>
    <mergeCell ref="AB1:AB2"/>
    <mergeCell ref="BD11:BF11"/>
    <mergeCell ref="BH11:BJ11"/>
    <mergeCell ref="B12:C12"/>
    <mergeCell ref="AO12:AO13"/>
    <mergeCell ref="AP12:AP13"/>
    <mergeCell ref="AQ12:AQ13"/>
    <mergeCell ref="AR12:AR13"/>
    <mergeCell ref="AV12:AV13"/>
    <mergeCell ref="AW12:AW13"/>
    <mergeCell ref="AX12:AX13"/>
    <mergeCell ref="AY12:AY13"/>
    <mergeCell ref="K13:L13"/>
    <mergeCell ref="M13:N13"/>
    <mergeCell ref="AE13:AE14"/>
    <mergeCell ref="AF13:AF14"/>
    <mergeCell ref="AG13:AG14"/>
    <mergeCell ref="AH13:AH14"/>
    <mergeCell ref="AI13:AI14"/>
    <mergeCell ref="AJ13:AJ14"/>
    <mergeCell ref="AK13:AK14"/>
    <mergeCell ref="Q11:R11"/>
    <mergeCell ref="AS19:AT19"/>
    <mergeCell ref="AE16:AE17"/>
    <mergeCell ref="AF16:AF17"/>
    <mergeCell ref="AG16:AG17"/>
    <mergeCell ref="AH16:AH17"/>
    <mergeCell ref="AI16:AI17"/>
    <mergeCell ref="AJ16:AJ17"/>
    <mergeCell ref="B16:C17"/>
    <mergeCell ref="D16:E17"/>
    <mergeCell ref="Z16:Z17"/>
    <mergeCell ref="AA16:AA17"/>
    <mergeCell ref="AB16:AB17"/>
    <mergeCell ref="AC16:AC17"/>
    <mergeCell ref="AD16:AD17"/>
    <mergeCell ref="AK16:AK17"/>
    <mergeCell ref="AM17:AP17"/>
    <mergeCell ref="F19:G19"/>
    <mergeCell ref="AX23:AX24"/>
    <mergeCell ref="AY23:AY24"/>
    <mergeCell ref="AD25:AE26"/>
    <mergeCell ref="AF25:AF26"/>
    <mergeCell ref="AI25:AJ26"/>
    <mergeCell ref="AK25:AK26"/>
    <mergeCell ref="AO23:AO24"/>
    <mergeCell ref="AP23:AP24"/>
    <mergeCell ref="AQ23:AQ24"/>
    <mergeCell ref="AR23:AR24"/>
    <mergeCell ref="AV23:AV24"/>
    <mergeCell ref="AW23:AW24"/>
    <mergeCell ref="AO34:AO35"/>
    <mergeCell ref="AP34:AP35"/>
    <mergeCell ref="AQ34:AQ35"/>
    <mergeCell ref="AR34:AR35"/>
    <mergeCell ref="AV34:AV35"/>
    <mergeCell ref="AW34:AW35"/>
    <mergeCell ref="AM28:AP28"/>
    <mergeCell ref="AQ28:AT28"/>
    <mergeCell ref="AE29:AE30"/>
    <mergeCell ref="AG29:AG30"/>
    <mergeCell ref="AH29:AH30"/>
    <mergeCell ref="AI29:AI30"/>
    <mergeCell ref="AJ29:AJ30"/>
    <mergeCell ref="AM30:AN30"/>
    <mergeCell ref="AP30:AQ30"/>
    <mergeCell ref="AS30:AT30"/>
    <mergeCell ref="AD32:AG32"/>
    <mergeCell ref="AV58:BA58"/>
    <mergeCell ref="B21:C21"/>
    <mergeCell ref="F21:H22"/>
    <mergeCell ref="AV57:BA57"/>
    <mergeCell ref="AX45:AX46"/>
    <mergeCell ref="AY45:AY46"/>
    <mergeCell ref="AM50:AP50"/>
    <mergeCell ref="AQ50:AT50"/>
    <mergeCell ref="AM52:AN52"/>
    <mergeCell ref="AP52:AQ52"/>
    <mergeCell ref="AS52:AT52"/>
    <mergeCell ref="AO45:AO46"/>
    <mergeCell ref="AP45:AP46"/>
    <mergeCell ref="AQ45:AQ46"/>
    <mergeCell ref="AR45:AR46"/>
    <mergeCell ref="AV45:AV46"/>
    <mergeCell ref="AW45:AW46"/>
    <mergeCell ref="AX34:AX35"/>
    <mergeCell ref="AY34:AY35"/>
    <mergeCell ref="AM39:AP39"/>
    <mergeCell ref="AQ39:AT39"/>
    <mergeCell ref="AM41:AN41"/>
    <mergeCell ref="AP41:AQ41"/>
    <mergeCell ref="AS41:AT41"/>
  </mergeCells>
  <conditionalFormatting sqref="F21:H22">
    <cfRule type="expression" dxfId="7" priority="1">
      <formula>$F$21="Todo está ok"</formula>
    </cfRule>
    <cfRule type="expression" dxfId="6" priority="2">
      <formula>$F$21="Bajar % de cuotón"</formula>
    </cfRule>
  </conditionalFormatting>
  <dataValidations disablePrompts="1" count="1">
    <dataValidation type="list" allowBlank="1" showInputMessage="1" showErrorMessage="1" sqref="F19" xr:uid="{24866830-C68A-43C7-80FF-A8B3C7A4F10F}">
      <formula1>"Tasa Banco, Tasa Mutaria"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B0A3-E35A-4AA8-9F91-2C9A9FB8AF7C}">
  <sheetPr codeName="Hoja2">
    <tabColor rgb="FF0070C0"/>
  </sheetPr>
  <dimension ref="B1:J25"/>
  <sheetViews>
    <sheetView showGridLines="0" zoomScale="80" zoomScaleNormal="8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E15" sqref="E15"/>
    </sheetView>
  </sheetViews>
  <sheetFormatPr baseColWidth="10" defaultColWidth="11" defaultRowHeight="14.5" x14ac:dyDescent="0.35"/>
  <cols>
    <col min="1" max="1" width="11" style="41"/>
    <col min="2" max="2" width="18.6640625" style="41" customWidth="1"/>
    <col min="3" max="3" width="24.6640625" style="41" bestFit="1" customWidth="1"/>
    <col min="4" max="5" width="35.4140625" style="41" customWidth="1"/>
    <col min="6" max="6" width="4.4140625" style="41" customWidth="1"/>
    <col min="7" max="16384" width="11" style="41"/>
  </cols>
  <sheetData>
    <row r="1" spans="2:10" ht="24" thickBot="1" x14ac:dyDescent="0.4">
      <c r="B1" s="406"/>
      <c r="C1" s="407"/>
      <c r="D1" s="48" t="s">
        <v>158</v>
      </c>
      <c r="E1" s="48" t="s">
        <v>210</v>
      </c>
      <c r="F1" s="40"/>
    </row>
    <row r="2" spans="2:10" s="56" customFormat="1" ht="24" thickBot="1" x14ac:dyDescent="0.4">
      <c r="B2" s="408"/>
      <c r="C2" s="409"/>
      <c r="D2" s="71" t="s">
        <v>171</v>
      </c>
      <c r="E2" s="71" t="s">
        <v>171</v>
      </c>
      <c r="F2" s="57"/>
    </row>
    <row r="3" spans="2:10" s="56" customFormat="1" ht="15.5" x14ac:dyDescent="0.35">
      <c r="B3" s="410" t="s">
        <v>54</v>
      </c>
      <c r="C3" s="54" t="s">
        <v>55</v>
      </c>
      <c r="D3" s="60" t="s">
        <v>160</v>
      </c>
      <c r="E3" s="60" t="s">
        <v>213</v>
      </c>
    </row>
    <row r="4" spans="2:10" s="56" customFormat="1" ht="15.5" x14ac:dyDescent="0.35">
      <c r="B4" s="411"/>
      <c r="C4" s="50" t="s">
        <v>148</v>
      </c>
      <c r="D4" s="61"/>
      <c r="E4" s="122">
        <v>45621</v>
      </c>
    </row>
    <row r="5" spans="2:10" s="56" customFormat="1" ht="15.5" x14ac:dyDescent="0.35">
      <c r="B5" s="411"/>
      <c r="C5" s="50" t="s">
        <v>56</v>
      </c>
      <c r="D5" s="61">
        <v>31</v>
      </c>
      <c r="E5" s="61">
        <v>1</v>
      </c>
    </row>
    <row r="6" spans="2:10" s="56" customFormat="1" ht="15.5" x14ac:dyDescent="0.35">
      <c r="B6" s="411"/>
      <c r="C6" s="50" t="s">
        <v>57</v>
      </c>
      <c r="D6" s="61">
        <v>24</v>
      </c>
      <c r="E6" s="61">
        <v>36</v>
      </c>
    </row>
    <row r="7" spans="2:10" s="56" customFormat="1" ht="15.5" x14ac:dyDescent="0.35">
      <c r="B7" s="411"/>
      <c r="C7" s="50" t="s">
        <v>58</v>
      </c>
      <c r="D7" s="62">
        <v>250000</v>
      </c>
      <c r="E7" s="62">
        <v>250000</v>
      </c>
    </row>
    <row r="8" spans="2:10" s="56" customFormat="1" ht="15.5" x14ac:dyDescent="0.35">
      <c r="B8" s="411"/>
      <c r="C8" s="50" t="s">
        <v>59</v>
      </c>
      <c r="D8" s="61" t="s">
        <v>78</v>
      </c>
      <c r="E8" s="61" t="s">
        <v>78</v>
      </c>
    </row>
    <row r="9" spans="2:10" s="56" customFormat="1" ht="15.5" x14ac:dyDescent="0.35">
      <c r="B9" s="411"/>
      <c r="C9" s="50" t="s">
        <v>60</v>
      </c>
      <c r="D9" s="62">
        <v>1750000</v>
      </c>
      <c r="E9" s="62">
        <v>1000000</v>
      </c>
    </row>
    <row r="10" spans="2:10" s="56" customFormat="1" ht="15.5" x14ac:dyDescent="0.35">
      <c r="B10" s="411"/>
      <c r="C10" s="50" t="s">
        <v>61</v>
      </c>
      <c r="D10" s="61" t="s">
        <v>168</v>
      </c>
      <c r="E10" s="61" t="s">
        <v>168</v>
      </c>
    </row>
    <row r="11" spans="2:10" s="56" customFormat="1" ht="15.5" x14ac:dyDescent="0.35">
      <c r="B11" s="411"/>
      <c r="C11" s="50" t="s">
        <v>62</v>
      </c>
      <c r="D11" s="61" t="s">
        <v>168</v>
      </c>
      <c r="E11" s="61" t="s">
        <v>168</v>
      </c>
    </row>
    <row r="12" spans="2:10" s="56" customFormat="1" ht="15.5" x14ac:dyDescent="0.35">
      <c r="B12" s="411"/>
      <c r="C12" s="50" t="s">
        <v>63</v>
      </c>
      <c r="D12" s="61" t="s">
        <v>169</v>
      </c>
      <c r="E12" s="61" t="s">
        <v>212</v>
      </c>
    </row>
    <row r="13" spans="2:10" s="56" customFormat="1" ht="23.25" customHeight="1" x14ac:dyDescent="0.35">
      <c r="B13" s="411"/>
      <c r="C13" s="50" t="s">
        <v>164</v>
      </c>
      <c r="D13" s="61" t="s">
        <v>165</v>
      </c>
      <c r="E13" s="61" t="s">
        <v>212</v>
      </c>
    </row>
    <row r="14" spans="2:10" s="56" customFormat="1" ht="23.25" customHeight="1" x14ac:dyDescent="0.35">
      <c r="B14" s="411"/>
      <c r="C14" s="50" t="s">
        <v>64</v>
      </c>
      <c r="D14" s="61" t="s">
        <v>163</v>
      </c>
      <c r="E14" s="61" t="s">
        <v>163</v>
      </c>
    </row>
    <row r="15" spans="2:10" s="56" customFormat="1" ht="54.75" customHeight="1" thickBot="1" x14ac:dyDescent="0.4">
      <c r="B15" s="411"/>
      <c r="C15" s="50" t="s">
        <v>222</v>
      </c>
      <c r="D15" s="61"/>
      <c r="E15" s="123" t="s">
        <v>223</v>
      </c>
    </row>
    <row r="16" spans="2:10" s="56" customFormat="1" ht="31.5" customHeight="1" x14ac:dyDescent="0.35">
      <c r="B16" s="413" t="s">
        <v>65</v>
      </c>
      <c r="C16" s="55" t="s">
        <v>66</v>
      </c>
      <c r="D16" s="63" t="s">
        <v>172</v>
      </c>
      <c r="E16" s="63" t="s">
        <v>172</v>
      </c>
      <c r="J16" s="58"/>
    </row>
    <row r="17" spans="2:10" s="56" customFormat="1" ht="44.25" customHeight="1" x14ac:dyDescent="0.35">
      <c r="B17" s="414"/>
      <c r="C17" s="52" t="s">
        <v>67</v>
      </c>
      <c r="D17" s="64" t="s">
        <v>173</v>
      </c>
      <c r="E17" s="64" t="s">
        <v>173</v>
      </c>
      <c r="J17" s="58"/>
    </row>
    <row r="18" spans="2:10" s="56" customFormat="1" ht="31" x14ac:dyDescent="0.35">
      <c r="B18" s="414"/>
      <c r="C18" s="52" t="s">
        <v>68</v>
      </c>
      <c r="D18" s="64" t="s">
        <v>69</v>
      </c>
      <c r="E18" s="64" t="s">
        <v>69</v>
      </c>
      <c r="J18" s="58"/>
    </row>
    <row r="19" spans="2:10" s="56" customFormat="1" ht="16" thickBot="1" x14ac:dyDescent="0.4">
      <c r="B19" s="415"/>
      <c r="C19" s="53" t="s">
        <v>70</v>
      </c>
      <c r="D19" s="65" t="s">
        <v>71</v>
      </c>
      <c r="E19" s="65" t="s">
        <v>71</v>
      </c>
      <c r="J19" s="58"/>
    </row>
    <row r="20" spans="2:10" s="56" customFormat="1" ht="15.75" customHeight="1" x14ac:dyDescent="0.35">
      <c r="B20" s="410" t="s">
        <v>79</v>
      </c>
      <c r="C20" s="54" t="s">
        <v>72</v>
      </c>
      <c r="D20" s="66" t="s">
        <v>237</v>
      </c>
      <c r="E20" s="66" t="s">
        <v>217</v>
      </c>
    </row>
    <row r="21" spans="2:10" s="56" customFormat="1" ht="15.5" x14ac:dyDescent="0.35">
      <c r="B21" s="411"/>
      <c r="C21" s="50" t="s">
        <v>73</v>
      </c>
      <c r="D21" s="67" t="s">
        <v>161</v>
      </c>
      <c r="E21" s="67" t="s">
        <v>218</v>
      </c>
    </row>
    <row r="22" spans="2:10" s="56" customFormat="1" ht="15.5" x14ac:dyDescent="0.35">
      <c r="B22" s="411"/>
      <c r="C22" s="50" t="s">
        <v>74</v>
      </c>
      <c r="D22" s="67" t="s">
        <v>238</v>
      </c>
      <c r="E22" s="67" t="s">
        <v>219</v>
      </c>
    </row>
    <row r="23" spans="2:10" s="56" customFormat="1" ht="15.5" x14ac:dyDescent="0.35">
      <c r="B23" s="411"/>
      <c r="C23" s="50" t="s">
        <v>75</v>
      </c>
      <c r="D23" s="67" t="s">
        <v>76</v>
      </c>
      <c r="E23" s="67" t="s">
        <v>76</v>
      </c>
    </row>
    <row r="24" spans="2:10" s="56" customFormat="1" ht="16" thickBot="1" x14ac:dyDescent="0.4">
      <c r="B24" s="411"/>
      <c r="C24" s="51" t="s">
        <v>77</v>
      </c>
      <c r="D24" s="67">
        <v>4210034366</v>
      </c>
      <c r="E24" s="67">
        <v>30387451</v>
      </c>
    </row>
    <row r="25" spans="2:10" s="56" customFormat="1" ht="16" thickBot="1" x14ac:dyDescent="0.4">
      <c r="B25" s="412"/>
      <c r="C25" s="51" t="s">
        <v>221</v>
      </c>
      <c r="D25" s="68" t="s">
        <v>220</v>
      </c>
      <c r="E25" s="68" t="s">
        <v>220</v>
      </c>
    </row>
  </sheetData>
  <mergeCells count="5">
    <mergeCell ref="B1:C1"/>
    <mergeCell ref="B2:C2"/>
    <mergeCell ref="B20:B25"/>
    <mergeCell ref="B16:B19"/>
    <mergeCell ref="B3:B15"/>
  </mergeCells>
  <hyperlinks>
    <hyperlink ref="D2" r:id="rId1" xr:uid="{FC80441E-5E08-4E43-B2A6-D75FA0274260}"/>
    <hyperlink ref="E2" r:id="rId2" xr:uid="{748D0473-D0D9-463B-9697-B05965953041}"/>
  </hyperlinks>
  <pageMargins left="0.7" right="0.7" top="0.75" bottom="0.75" header="0.3" footer="0.3"/>
  <pageSetup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D32D7-FFE1-4E28-BFBE-5490CC18A7D1}">
  <sheetPr codeName="Hoja7">
    <tabColor rgb="FF92D050"/>
  </sheetPr>
  <dimension ref="B1:D6"/>
  <sheetViews>
    <sheetView showGridLines="0" zoomScale="80" zoomScaleNormal="80" workbookViewId="0">
      <selection activeCell="C8" sqref="C8"/>
    </sheetView>
  </sheetViews>
  <sheetFormatPr baseColWidth="10" defaultColWidth="11" defaultRowHeight="14.5" x14ac:dyDescent="0.35"/>
  <cols>
    <col min="1" max="1" width="6.9140625" style="126" customWidth="1"/>
    <col min="2" max="2" width="15.58203125" style="128" bestFit="1" customWidth="1"/>
    <col min="3" max="3" width="118.4140625" style="126" bestFit="1" customWidth="1"/>
    <col min="4" max="4" width="41.08203125" style="126" bestFit="1" customWidth="1"/>
    <col min="5" max="16384" width="11" style="126"/>
  </cols>
  <sheetData>
    <row r="1" spans="2:4" ht="23.25" customHeight="1" x14ac:dyDescent="0.35">
      <c r="B1" s="48" t="s">
        <v>78</v>
      </c>
      <c r="C1" s="48" t="s">
        <v>228</v>
      </c>
      <c r="D1" s="419" t="s">
        <v>234</v>
      </c>
    </row>
    <row r="2" spans="2:4" ht="59.25" customHeight="1" x14ac:dyDescent="0.35">
      <c r="B2" s="416" t="s">
        <v>210</v>
      </c>
      <c r="C2" s="127" t="s">
        <v>232</v>
      </c>
      <c r="D2" s="420"/>
    </row>
    <row r="3" spans="2:4" ht="23.25" customHeight="1" x14ac:dyDescent="0.35">
      <c r="B3" s="417"/>
      <c r="C3" s="48" t="s">
        <v>229</v>
      </c>
      <c r="D3" s="420"/>
    </row>
    <row r="4" spans="2:4" ht="59.25" customHeight="1" x14ac:dyDescent="0.35">
      <c r="B4" s="417"/>
      <c r="C4" s="127" t="s">
        <v>233</v>
      </c>
      <c r="D4" s="420"/>
    </row>
    <row r="5" spans="2:4" ht="23.5" x14ac:dyDescent="0.35">
      <c r="B5" s="417"/>
      <c r="C5" s="48" t="s">
        <v>230</v>
      </c>
      <c r="D5" s="420"/>
    </row>
    <row r="6" spans="2:4" ht="59.25" customHeight="1" x14ac:dyDescent="0.35">
      <c r="B6" s="418"/>
      <c r="C6" s="127" t="s">
        <v>231</v>
      </c>
      <c r="D6" s="421"/>
    </row>
  </sheetData>
  <mergeCells count="2">
    <mergeCell ref="B2:B6"/>
    <mergeCell ref="D1:D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95331-1BA9-48D9-BE5C-205C966A9F70}">
  <sheetPr codeName="Hoja15" filterMode="1">
    <tabColor rgb="FF002060"/>
  </sheetPr>
  <dimension ref="A1:AE309"/>
  <sheetViews>
    <sheetView showGridLines="0" zoomScale="80" zoomScaleNormal="80" zoomScalePageLayoutView="80" workbookViewId="0">
      <pane ySplit="1" topLeftCell="A122" activePane="bottomLeft" state="frozen"/>
      <selection activeCell="F1" sqref="F1"/>
      <selection pane="bottomLeft" activeCell="C170" sqref="C170"/>
    </sheetView>
  </sheetViews>
  <sheetFormatPr baseColWidth="10" defaultColWidth="11" defaultRowHeight="10.5" x14ac:dyDescent="0.35"/>
  <cols>
    <col min="1" max="1" width="10.6640625" style="141" bestFit="1" customWidth="1"/>
    <col min="2" max="2" width="11.9140625" style="141" bestFit="1" customWidth="1"/>
    <col min="3" max="3" width="13.1640625" style="141" bestFit="1" customWidth="1"/>
    <col min="4" max="4" width="12.08203125" style="141" customWidth="1"/>
    <col min="5" max="5" width="10.1640625" style="141" hidden="1" customWidth="1"/>
    <col min="6" max="7" width="9" style="141" hidden="1" customWidth="1"/>
    <col min="8" max="8" width="13.58203125" style="141" hidden="1" customWidth="1"/>
    <col min="9" max="9" width="13.58203125" style="141" customWidth="1"/>
    <col min="10" max="10" width="10.08203125" style="141" bestFit="1" customWidth="1"/>
    <col min="11" max="11" width="13.08203125" style="141" customWidth="1"/>
    <col min="12" max="12" width="14.5" style="141" customWidth="1"/>
    <col min="13" max="13" width="11.08203125" style="141" bestFit="1" customWidth="1"/>
    <col min="14" max="14" width="10.58203125" style="141" bestFit="1" customWidth="1"/>
    <col min="15" max="15" width="14.58203125" style="141" bestFit="1" customWidth="1"/>
    <col min="16" max="16" width="10.5" style="148" bestFit="1" customWidth="1"/>
    <col min="17" max="17" width="9.4140625" style="149" customWidth="1"/>
    <col min="18" max="18" width="9.9140625" style="149" customWidth="1"/>
    <col min="19" max="19" width="14.6640625" style="150" customWidth="1"/>
    <col min="20" max="20" width="19.58203125" style="150" bestFit="1" customWidth="1"/>
    <col min="21" max="21" width="10.58203125" style="149" bestFit="1" customWidth="1"/>
    <col min="22" max="22" width="10.58203125" style="149" hidden="1" customWidth="1"/>
    <col min="23" max="23" width="10.9140625" style="151" bestFit="1" customWidth="1"/>
    <col min="24" max="24" width="14.5" style="141" bestFit="1" customWidth="1"/>
    <col min="25" max="25" width="16.58203125" style="151" bestFit="1" customWidth="1"/>
    <col min="26" max="26" width="12.1640625" style="141" bestFit="1" customWidth="1"/>
    <col min="27" max="27" width="16.58203125" style="151" bestFit="1" customWidth="1"/>
    <col min="28" max="28" width="11.4140625" style="151" bestFit="1" customWidth="1"/>
    <col min="29" max="29" width="13" style="151" bestFit="1" customWidth="1"/>
    <col min="30" max="30" width="10.08203125" style="151" bestFit="1" customWidth="1"/>
    <col min="31" max="31" width="12" style="141" bestFit="1" customWidth="1"/>
    <col min="32" max="16384" width="11" style="141"/>
  </cols>
  <sheetData>
    <row r="1" spans="1:31" ht="22.25" customHeight="1" x14ac:dyDescent="0.35">
      <c r="A1" s="42" t="s">
        <v>80</v>
      </c>
      <c r="B1" s="42" t="s">
        <v>81</v>
      </c>
      <c r="C1" s="42" t="s">
        <v>82</v>
      </c>
      <c r="D1" s="42" t="s">
        <v>83</v>
      </c>
      <c r="E1" s="42" t="s">
        <v>84</v>
      </c>
      <c r="F1" s="14" t="s">
        <v>85</v>
      </c>
      <c r="G1" s="14" t="s">
        <v>86</v>
      </c>
      <c r="H1" s="14" t="s">
        <v>87</v>
      </c>
      <c r="I1" s="14" t="s">
        <v>88</v>
      </c>
      <c r="J1" s="14" t="s">
        <v>89</v>
      </c>
      <c r="K1" s="14" t="s">
        <v>90</v>
      </c>
      <c r="L1" s="14" t="s">
        <v>91</v>
      </c>
      <c r="M1" s="14" t="s">
        <v>92</v>
      </c>
      <c r="N1" s="14" t="s">
        <v>93</v>
      </c>
      <c r="O1" s="14" t="s">
        <v>94</v>
      </c>
      <c r="P1" s="44" t="s">
        <v>95</v>
      </c>
      <c r="Q1" s="15" t="s">
        <v>96</v>
      </c>
      <c r="R1" s="15" t="s">
        <v>97</v>
      </c>
      <c r="S1" s="15" t="s">
        <v>98</v>
      </c>
      <c r="T1" s="15" t="s">
        <v>99</v>
      </c>
      <c r="U1" s="15" t="s">
        <v>14</v>
      </c>
      <c r="V1" s="15" t="s">
        <v>100</v>
      </c>
      <c r="W1" s="16" t="s">
        <v>101</v>
      </c>
      <c r="X1" s="17" t="s">
        <v>102</v>
      </c>
      <c r="Y1" s="16" t="s">
        <v>103</v>
      </c>
      <c r="Z1" s="17" t="s">
        <v>57</v>
      </c>
      <c r="AA1" s="16" t="s">
        <v>103</v>
      </c>
      <c r="AB1" s="16" t="s">
        <v>37</v>
      </c>
      <c r="AC1" s="16" t="s">
        <v>38</v>
      </c>
      <c r="AD1" s="16" t="s">
        <v>39</v>
      </c>
      <c r="AE1" s="46" t="s">
        <v>104</v>
      </c>
    </row>
    <row r="2" spans="1:31" s="145" customFormat="1" ht="15.5" hidden="1" x14ac:dyDescent="0.35">
      <c r="A2" s="129" t="s">
        <v>170</v>
      </c>
      <c r="B2" s="130">
        <v>202</v>
      </c>
      <c r="C2" s="131" t="s">
        <v>151</v>
      </c>
      <c r="D2" s="131" t="s">
        <v>153</v>
      </c>
      <c r="E2" s="131"/>
      <c r="F2" s="131">
        <v>33.200000000000003</v>
      </c>
      <c r="G2" s="131">
        <v>3.17</v>
      </c>
      <c r="H2" s="132">
        <f t="shared" ref="H2:H65" si="0">F2+G2/2</f>
        <v>34.785000000000004</v>
      </c>
      <c r="I2" s="132">
        <f t="shared" ref="I2:I65" si="1">F2+G2</f>
        <v>36.370000000000005</v>
      </c>
      <c r="J2" s="133">
        <v>2688.8220000000001</v>
      </c>
      <c r="K2" s="134">
        <v>0</v>
      </c>
      <c r="L2" s="135">
        <v>0</v>
      </c>
      <c r="M2" s="135">
        <v>0</v>
      </c>
      <c r="N2" s="69">
        <f t="shared" ref="N2:N65" si="2">J2-(J2*K2)+L2+M2</f>
        <v>2688.8220000000001</v>
      </c>
      <c r="O2" s="39">
        <f t="shared" ref="O2:O65" si="3">N2/0.9</f>
        <v>2987.58</v>
      </c>
      <c r="P2" s="136">
        <f t="shared" ref="P2:P65" si="4">(N2-L2-M2)/H2</f>
        <v>77.298318240620958</v>
      </c>
      <c r="Q2" s="137">
        <f t="shared" ref="Q2:Q65" si="5">R2/O2</f>
        <v>9.9999999999999992E-2</v>
      </c>
      <c r="R2" s="138">
        <f t="shared" ref="R2:R65" si="6">O2*0.1</f>
        <v>298.75799999999998</v>
      </c>
      <c r="S2" s="139">
        <v>0.8</v>
      </c>
      <c r="T2" s="138">
        <f t="shared" ref="T2:T65" si="7">S2*O2</f>
        <v>2390.0639999999999</v>
      </c>
      <c r="U2" s="140">
        <f t="shared" ref="U2:U65" si="8">100%-Q2-S2</f>
        <v>9.9999999999999978E-2</v>
      </c>
      <c r="V2" s="138">
        <f t="shared" ref="V2:V65" si="9">O2*U2</f>
        <v>298.75799999999992</v>
      </c>
      <c r="W2" s="142">
        <f ca="1">V2*VLOOKUP(TODAY(),'UF HOY'!$A$2:$B$33,2,0)</f>
        <v>11870832.446519997</v>
      </c>
      <c r="X2" s="143">
        <f>Datos!$E$3</f>
        <v>31</v>
      </c>
      <c r="Y2" s="144">
        <f ca="1">IF((W2-1000000-Datos!$D$3)/X2&gt;0,(W2-1000000-Datos!$D$3)/X2,0)</f>
        <v>342607.49827483861</v>
      </c>
      <c r="Z2" s="143">
        <f>Datos!$F$3</f>
        <v>31</v>
      </c>
      <c r="AA2" s="144">
        <f ca="1">IF((W2-1750000-Datos!$D$3-3%*O2*VLOOKUP(TODAY(),'UF HOY'!$A$2:$B$33,2,0))/Z2&gt;0,(W2-1750000-Datos!$D$3-3%*O2*VLOOKUP(TODAY(),'UF HOY'!$A$2:$B$33,2,0))/Z2,0)</f>
        <v>203534.92621174184</v>
      </c>
      <c r="AB2" s="142">
        <f>IF(L2&gt;0,VLOOKUP(D2,Datos!$C$7:$E$11,3,0),VLOOKUP(D2,Datos!$C$7:$E$11,2,0))</f>
        <v>370000</v>
      </c>
      <c r="AC2" s="144">
        <f ca="1">(S2*PMT(Datos!$H$13,Datos!$H$12,-O2,,)*VLOOKUP(TODAY(),'UF HOY'!$A$2:$B$33,2,0)/12)+VLOOKUP(TODAY(),'UF HOY'!$A$2:$B$33,2,0)</f>
        <v>497394.88478755683</v>
      </c>
      <c r="AD2" s="144">
        <f t="shared" ref="AD2:AD65" ca="1" si="10">AB2-AC2</f>
        <v>-127394.88478755683</v>
      </c>
      <c r="AE2" s="47">
        <f t="shared" ref="AE2:AE65" ca="1" si="11">IF((AC2/0.25)&lt;=1600000,1600000,(AC2/0.25))</f>
        <v>1989579.5391502273</v>
      </c>
    </row>
    <row r="3" spans="1:31" s="145" customFormat="1" ht="15.5" hidden="1" x14ac:dyDescent="0.35">
      <c r="A3" s="129" t="s">
        <v>170</v>
      </c>
      <c r="B3" s="129">
        <v>203</v>
      </c>
      <c r="C3" s="131" t="s">
        <v>151</v>
      </c>
      <c r="D3" s="131" t="s">
        <v>153</v>
      </c>
      <c r="E3" s="131"/>
      <c r="F3" s="131">
        <v>33.200000000000003</v>
      </c>
      <c r="G3" s="131">
        <v>3.17</v>
      </c>
      <c r="H3" s="132">
        <f t="shared" si="0"/>
        <v>34.785000000000004</v>
      </c>
      <c r="I3" s="132">
        <f t="shared" si="1"/>
        <v>36.370000000000005</v>
      </c>
      <c r="J3" s="133">
        <v>2688.8220000000001</v>
      </c>
      <c r="K3" s="134">
        <v>0</v>
      </c>
      <c r="L3" s="135">
        <v>0</v>
      </c>
      <c r="M3" s="135">
        <v>0</v>
      </c>
      <c r="N3" s="69">
        <f t="shared" si="2"/>
        <v>2688.8220000000001</v>
      </c>
      <c r="O3" s="39">
        <f t="shared" si="3"/>
        <v>2987.58</v>
      </c>
      <c r="P3" s="136">
        <f t="shared" si="4"/>
        <v>77.298318240620958</v>
      </c>
      <c r="Q3" s="137">
        <f t="shared" si="5"/>
        <v>9.9999999999999992E-2</v>
      </c>
      <c r="R3" s="138">
        <f t="shared" si="6"/>
        <v>298.75799999999998</v>
      </c>
      <c r="S3" s="139">
        <v>0.8</v>
      </c>
      <c r="T3" s="138">
        <f t="shared" si="7"/>
        <v>2390.0639999999999</v>
      </c>
      <c r="U3" s="140">
        <f t="shared" si="8"/>
        <v>9.9999999999999978E-2</v>
      </c>
      <c r="V3" s="138">
        <f t="shared" si="9"/>
        <v>298.75799999999992</v>
      </c>
      <c r="W3" s="142">
        <f ca="1">V3*VLOOKUP(TODAY(),'UF HOY'!$A$2:$B$33,2,0)</f>
        <v>11870832.446519997</v>
      </c>
      <c r="X3" s="143">
        <f>Datos!$E$3</f>
        <v>31</v>
      </c>
      <c r="Y3" s="144">
        <f ca="1">IF((W3-1000000-Datos!$D$3)/X3&gt;0,(W3-1000000-Datos!$D$3)/X3,0)</f>
        <v>342607.49827483861</v>
      </c>
      <c r="Z3" s="143">
        <f>Datos!$F$3</f>
        <v>31</v>
      </c>
      <c r="AA3" s="144">
        <f ca="1">IF((W3-1750000-Datos!$D$3-3%*O3*VLOOKUP(TODAY(),'UF HOY'!$A$2:$B$33,2,0))/Z3&gt;0,(W3-1750000-Datos!$D$3-3%*O3*VLOOKUP(TODAY(),'UF HOY'!$A$2:$B$33,2,0))/Z3,0)</f>
        <v>203534.92621174184</v>
      </c>
      <c r="AB3" s="142">
        <f>IF(L3&gt;0,VLOOKUP(D3,Datos!$C$7:$E$11,3,0),VLOOKUP(D3,Datos!$C$7:$E$11,2,0))</f>
        <v>370000</v>
      </c>
      <c r="AC3" s="144">
        <f ca="1">(S3*PMT(Datos!$H$13,Datos!$H$12,-O3,,)*VLOOKUP(TODAY(),'UF HOY'!$A$2:$B$33,2,0)/12)+VLOOKUP(TODAY(),'UF HOY'!$A$2:$B$33,2,0)</f>
        <v>497394.88478755683</v>
      </c>
      <c r="AD3" s="144">
        <f t="shared" ca="1" si="10"/>
        <v>-127394.88478755683</v>
      </c>
      <c r="AE3" s="47">
        <f t="shared" ca="1" si="11"/>
        <v>1989579.5391502273</v>
      </c>
    </row>
    <row r="4" spans="1:31" s="145" customFormat="1" ht="15.5" hidden="1" x14ac:dyDescent="0.35">
      <c r="A4" s="129" t="s">
        <v>170</v>
      </c>
      <c r="B4" s="129">
        <v>204</v>
      </c>
      <c r="C4" s="131" t="s">
        <v>151</v>
      </c>
      <c r="D4" s="131" t="s">
        <v>153</v>
      </c>
      <c r="E4" s="131"/>
      <c r="F4" s="131">
        <v>31.63</v>
      </c>
      <c r="G4" s="131">
        <v>3.6</v>
      </c>
      <c r="H4" s="132">
        <f t="shared" si="0"/>
        <v>33.43</v>
      </c>
      <c r="I4" s="132">
        <f t="shared" si="1"/>
        <v>35.229999999999997</v>
      </c>
      <c r="J4" s="133">
        <v>2688.8220000000001</v>
      </c>
      <c r="K4" s="134">
        <v>0</v>
      </c>
      <c r="L4" s="135">
        <v>0</v>
      </c>
      <c r="M4" s="135">
        <v>0</v>
      </c>
      <c r="N4" s="69">
        <f t="shared" si="2"/>
        <v>2688.8220000000001</v>
      </c>
      <c r="O4" s="39">
        <f t="shared" si="3"/>
        <v>2987.58</v>
      </c>
      <c r="P4" s="136">
        <f t="shared" si="4"/>
        <v>80.431408914148975</v>
      </c>
      <c r="Q4" s="137">
        <f t="shared" si="5"/>
        <v>9.9999999999999992E-2</v>
      </c>
      <c r="R4" s="138">
        <f t="shared" si="6"/>
        <v>298.75799999999998</v>
      </c>
      <c r="S4" s="139">
        <v>0.8</v>
      </c>
      <c r="T4" s="138">
        <f t="shared" si="7"/>
        <v>2390.0639999999999</v>
      </c>
      <c r="U4" s="140">
        <f t="shared" si="8"/>
        <v>9.9999999999999978E-2</v>
      </c>
      <c r="V4" s="138">
        <f t="shared" si="9"/>
        <v>298.75799999999992</v>
      </c>
      <c r="W4" s="142">
        <f ca="1">V4*VLOOKUP(TODAY(),'UF HOY'!$A$2:$B$33,2,0)</f>
        <v>11870832.446519997</v>
      </c>
      <c r="X4" s="143">
        <f>Datos!$E$3</f>
        <v>31</v>
      </c>
      <c r="Y4" s="144">
        <f ca="1">IF((W4-1000000-Datos!$D$3)/X4&gt;0,(W4-1000000-Datos!$D$3)/X4,0)</f>
        <v>342607.49827483861</v>
      </c>
      <c r="Z4" s="143">
        <f>Datos!$F$3</f>
        <v>31</v>
      </c>
      <c r="AA4" s="144">
        <f ca="1">IF((W4-1750000-Datos!$D$3-3%*O4*VLOOKUP(TODAY(),'UF HOY'!$A$2:$B$33,2,0))/Z4&gt;0,(W4-1750000-Datos!$D$3-3%*O4*VLOOKUP(TODAY(),'UF HOY'!$A$2:$B$33,2,0))/Z4,0)</f>
        <v>203534.92621174184</v>
      </c>
      <c r="AB4" s="142">
        <f>IF(L4&gt;0,VLOOKUP(D4,Datos!$C$7:$E$11,3,0),VLOOKUP(D4,Datos!$C$7:$E$11,2,0))</f>
        <v>370000</v>
      </c>
      <c r="AC4" s="144">
        <f ca="1">(S4*PMT(Datos!$H$13,Datos!$H$12,-O4,,)*VLOOKUP(TODAY(),'UF HOY'!$A$2:$B$33,2,0)/12)+VLOOKUP(TODAY(),'UF HOY'!$A$2:$B$33,2,0)</f>
        <v>497394.88478755683</v>
      </c>
      <c r="AD4" s="144">
        <f t="shared" ca="1" si="10"/>
        <v>-127394.88478755683</v>
      </c>
      <c r="AE4" s="47">
        <f t="shared" ca="1" si="11"/>
        <v>1989579.5391502273</v>
      </c>
    </row>
    <row r="5" spans="1:31" s="145" customFormat="1" ht="15.5" hidden="1" x14ac:dyDescent="0.35">
      <c r="A5" s="129" t="s">
        <v>170</v>
      </c>
      <c r="B5" s="130">
        <v>216</v>
      </c>
      <c r="C5" s="131" t="s">
        <v>151</v>
      </c>
      <c r="D5" s="131" t="s">
        <v>153</v>
      </c>
      <c r="E5" s="131"/>
      <c r="F5" s="131">
        <v>33.479999999999997</v>
      </c>
      <c r="G5" s="131">
        <v>3.23</v>
      </c>
      <c r="H5" s="132">
        <f t="shared" si="0"/>
        <v>35.094999999999999</v>
      </c>
      <c r="I5" s="132">
        <f t="shared" si="1"/>
        <v>36.709999999999994</v>
      </c>
      <c r="J5" s="133">
        <v>2688.8220000000001</v>
      </c>
      <c r="K5" s="134">
        <v>0</v>
      </c>
      <c r="L5" s="135">
        <v>0</v>
      </c>
      <c r="M5" s="135">
        <v>0</v>
      </c>
      <c r="N5" s="69">
        <f t="shared" si="2"/>
        <v>2688.8220000000001</v>
      </c>
      <c r="O5" s="39">
        <f t="shared" si="3"/>
        <v>2987.58</v>
      </c>
      <c r="P5" s="136">
        <f t="shared" si="4"/>
        <v>76.615529277674895</v>
      </c>
      <c r="Q5" s="137">
        <f t="shared" si="5"/>
        <v>9.9999999999999992E-2</v>
      </c>
      <c r="R5" s="138">
        <f t="shared" si="6"/>
        <v>298.75799999999998</v>
      </c>
      <c r="S5" s="139">
        <v>0.8</v>
      </c>
      <c r="T5" s="138">
        <f t="shared" si="7"/>
        <v>2390.0639999999999</v>
      </c>
      <c r="U5" s="140">
        <f t="shared" si="8"/>
        <v>9.9999999999999978E-2</v>
      </c>
      <c r="V5" s="138">
        <f t="shared" si="9"/>
        <v>298.75799999999992</v>
      </c>
      <c r="W5" s="142">
        <f ca="1">V5*VLOOKUP(TODAY(),'UF HOY'!$A$2:$B$33,2,0)</f>
        <v>11870832.446519997</v>
      </c>
      <c r="X5" s="143">
        <f>Datos!$E$3</f>
        <v>31</v>
      </c>
      <c r="Y5" s="144">
        <f ca="1">IF((W5-1000000-Datos!$D$3)/X5&gt;0,(W5-1000000-Datos!$D$3)/X5,0)</f>
        <v>342607.49827483861</v>
      </c>
      <c r="Z5" s="143">
        <f>Datos!$F$3</f>
        <v>31</v>
      </c>
      <c r="AA5" s="144">
        <f ca="1">IF((W5-1750000-Datos!$D$3-3%*O5*VLOOKUP(TODAY(),'UF HOY'!$A$2:$B$33,2,0))/Z5&gt;0,(W5-1750000-Datos!$D$3-3%*O5*VLOOKUP(TODAY(),'UF HOY'!$A$2:$B$33,2,0))/Z5,0)</f>
        <v>203534.92621174184</v>
      </c>
      <c r="AB5" s="142">
        <f>IF(L5&gt;0,VLOOKUP(D5,Datos!$C$7:$E$11,3,0),VLOOKUP(D5,Datos!$C$7:$E$11,2,0))</f>
        <v>370000</v>
      </c>
      <c r="AC5" s="144">
        <f ca="1">(S5*PMT(Datos!$H$13,Datos!$H$12,-O5,,)*VLOOKUP(TODAY(),'UF HOY'!$A$2:$B$33,2,0)/12)+VLOOKUP(TODAY(),'UF HOY'!$A$2:$B$33,2,0)</f>
        <v>497394.88478755683</v>
      </c>
      <c r="AD5" s="144">
        <f t="shared" ca="1" si="10"/>
        <v>-127394.88478755683</v>
      </c>
      <c r="AE5" s="47">
        <f t="shared" ca="1" si="11"/>
        <v>1989579.5391502273</v>
      </c>
    </row>
    <row r="6" spans="1:31" s="145" customFormat="1" ht="15.5" hidden="1" x14ac:dyDescent="0.35">
      <c r="A6" s="129" t="s">
        <v>170</v>
      </c>
      <c r="B6" s="130">
        <v>217</v>
      </c>
      <c r="C6" s="131" t="s">
        <v>151</v>
      </c>
      <c r="D6" s="131" t="s">
        <v>153</v>
      </c>
      <c r="E6" s="131"/>
      <c r="F6" s="131">
        <v>33.47</v>
      </c>
      <c r="G6" s="131">
        <v>3.16</v>
      </c>
      <c r="H6" s="132">
        <f t="shared" si="0"/>
        <v>35.049999999999997</v>
      </c>
      <c r="I6" s="132">
        <f t="shared" si="1"/>
        <v>36.629999999999995</v>
      </c>
      <c r="J6" s="133">
        <v>2688.8220000000001</v>
      </c>
      <c r="K6" s="134">
        <v>0</v>
      </c>
      <c r="L6" s="135">
        <v>0</v>
      </c>
      <c r="M6" s="135">
        <v>0</v>
      </c>
      <c r="N6" s="69">
        <f t="shared" si="2"/>
        <v>2688.8220000000001</v>
      </c>
      <c r="O6" s="39">
        <f t="shared" si="3"/>
        <v>2987.58</v>
      </c>
      <c r="P6" s="136">
        <f t="shared" si="4"/>
        <v>76.713894436519269</v>
      </c>
      <c r="Q6" s="137">
        <f t="shared" si="5"/>
        <v>9.9999999999999992E-2</v>
      </c>
      <c r="R6" s="138">
        <f t="shared" si="6"/>
        <v>298.75799999999998</v>
      </c>
      <c r="S6" s="139">
        <v>0.8</v>
      </c>
      <c r="T6" s="138">
        <f t="shared" si="7"/>
        <v>2390.0639999999999</v>
      </c>
      <c r="U6" s="140">
        <f t="shared" si="8"/>
        <v>9.9999999999999978E-2</v>
      </c>
      <c r="V6" s="138">
        <f t="shared" si="9"/>
        <v>298.75799999999992</v>
      </c>
      <c r="W6" s="142">
        <f ca="1">V6*VLOOKUP(TODAY(),'UF HOY'!$A$2:$B$33,2,0)</f>
        <v>11870832.446519997</v>
      </c>
      <c r="X6" s="143">
        <f>Datos!$E$3</f>
        <v>31</v>
      </c>
      <c r="Y6" s="144">
        <f ca="1">IF((W6-1000000-Datos!$D$3)/X6&gt;0,(W6-1000000-Datos!$D$3)/X6,0)</f>
        <v>342607.49827483861</v>
      </c>
      <c r="Z6" s="143">
        <f>Datos!$F$3</f>
        <v>31</v>
      </c>
      <c r="AA6" s="144">
        <f ca="1">IF((W6-1750000-Datos!$D$3-3%*O6*VLOOKUP(TODAY(),'UF HOY'!$A$2:$B$33,2,0))/Z6&gt;0,(W6-1750000-Datos!$D$3-3%*O6*VLOOKUP(TODAY(),'UF HOY'!$A$2:$B$33,2,0))/Z6,0)</f>
        <v>203534.92621174184</v>
      </c>
      <c r="AB6" s="142">
        <f>IF(L6&gt;0,VLOOKUP(D6,Datos!$C$7:$E$11,3,0),VLOOKUP(D6,Datos!$C$7:$E$11,2,0))</f>
        <v>370000</v>
      </c>
      <c r="AC6" s="144">
        <f ca="1">(S6*PMT(Datos!$H$13,Datos!$H$12,-O6,,)*VLOOKUP(TODAY(),'UF HOY'!$A$2:$B$33,2,0)/12)+VLOOKUP(TODAY(),'UF HOY'!$A$2:$B$33,2,0)</f>
        <v>497394.88478755683</v>
      </c>
      <c r="AD6" s="144">
        <f t="shared" ca="1" si="10"/>
        <v>-127394.88478755683</v>
      </c>
      <c r="AE6" s="47">
        <f t="shared" ca="1" si="11"/>
        <v>1989579.5391502273</v>
      </c>
    </row>
    <row r="7" spans="1:31" s="145" customFormat="1" ht="15.5" hidden="1" x14ac:dyDescent="0.35">
      <c r="A7" s="129" t="s">
        <v>170</v>
      </c>
      <c r="B7" s="130">
        <v>916</v>
      </c>
      <c r="C7" s="131" t="s">
        <v>151</v>
      </c>
      <c r="D7" s="131" t="s">
        <v>153</v>
      </c>
      <c r="E7" s="131"/>
      <c r="F7" s="131">
        <v>33.369999999999997</v>
      </c>
      <c r="G7" s="131">
        <v>3.17</v>
      </c>
      <c r="H7" s="132">
        <f t="shared" si="0"/>
        <v>34.954999999999998</v>
      </c>
      <c r="I7" s="132">
        <f t="shared" si="1"/>
        <v>36.54</v>
      </c>
      <c r="J7" s="156">
        <v>2688.8220000000001</v>
      </c>
      <c r="K7" s="134">
        <v>0</v>
      </c>
      <c r="L7" s="135">
        <v>0</v>
      </c>
      <c r="M7" s="135">
        <v>0</v>
      </c>
      <c r="N7" s="69">
        <f t="shared" si="2"/>
        <v>2688.8220000000001</v>
      </c>
      <c r="O7" s="39">
        <f t="shared" si="3"/>
        <v>2987.58</v>
      </c>
      <c r="P7" s="136">
        <f t="shared" si="4"/>
        <v>76.92238592476042</v>
      </c>
      <c r="Q7" s="137">
        <f t="shared" si="5"/>
        <v>9.9999999999999992E-2</v>
      </c>
      <c r="R7" s="138">
        <f t="shared" si="6"/>
        <v>298.75799999999998</v>
      </c>
      <c r="S7" s="139">
        <v>0.8</v>
      </c>
      <c r="T7" s="138">
        <f t="shared" si="7"/>
        <v>2390.0639999999999</v>
      </c>
      <c r="U7" s="140">
        <f t="shared" si="8"/>
        <v>9.9999999999999978E-2</v>
      </c>
      <c r="V7" s="138">
        <f t="shared" si="9"/>
        <v>298.75799999999992</v>
      </c>
      <c r="W7" s="142">
        <f ca="1">V7*VLOOKUP(TODAY(),'UF HOY'!$A$2:$B$33,2,0)</f>
        <v>11870832.446519997</v>
      </c>
      <c r="X7" s="143">
        <f>Datos!$E$3</f>
        <v>31</v>
      </c>
      <c r="Y7" s="144">
        <f ca="1">IF((W7-1000000-Datos!$D$3)/X7&gt;0,(W7-1000000-Datos!$D$3)/X7,0)</f>
        <v>342607.49827483861</v>
      </c>
      <c r="Z7" s="143">
        <f>Datos!$F$3</f>
        <v>31</v>
      </c>
      <c r="AA7" s="144">
        <f ca="1">IF((W7-1750000-Datos!$D$3-3%*O7*VLOOKUP(TODAY(),'UF HOY'!$A$2:$B$33,2,0))/Z7&gt;0,(W7-1750000-Datos!$D$3-3%*O7*VLOOKUP(TODAY(),'UF HOY'!$A$2:$B$33,2,0))/Z7,0)</f>
        <v>203534.92621174184</v>
      </c>
      <c r="AB7" s="142">
        <f>IF(L7&gt;0,VLOOKUP(D7,Datos!$C$7:$E$11,3,0),VLOOKUP(D7,Datos!$C$7:$E$11,2,0))</f>
        <v>370000</v>
      </c>
      <c r="AC7" s="144">
        <f ca="1">(S7*PMT(Datos!$H$13,Datos!$H$12,-O7,,)*VLOOKUP(TODAY(),'UF HOY'!$A$2:$B$33,2,0)/12)+VLOOKUP(TODAY(),'UF HOY'!$A$2:$B$33,2,0)</f>
        <v>497394.88478755683</v>
      </c>
      <c r="AD7" s="144">
        <f t="shared" ca="1" si="10"/>
        <v>-127394.88478755683</v>
      </c>
      <c r="AE7" s="47">
        <f t="shared" ca="1" si="11"/>
        <v>1989579.5391502273</v>
      </c>
    </row>
    <row r="8" spans="1:31" s="145" customFormat="1" ht="15.5" hidden="1" x14ac:dyDescent="0.35">
      <c r="A8" s="129" t="s">
        <v>170</v>
      </c>
      <c r="B8" s="130">
        <v>301</v>
      </c>
      <c r="C8" s="131" t="s">
        <v>151</v>
      </c>
      <c r="D8" s="131" t="s">
        <v>153</v>
      </c>
      <c r="E8" s="131"/>
      <c r="F8" s="131">
        <v>31.63</v>
      </c>
      <c r="G8" s="131">
        <v>3.6</v>
      </c>
      <c r="H8" s="132">
        <f t="shared" si="0"/>
        <v>33.43</v>
      </c>
      <c r="I8" s="132">
        <f t="shared" si="1"/>
        <v>35.229999999999997</v>
      </c>
      <c r="J8" s="133">
        <v>2703.6105210000005</v>
      </c>
      <c r="K8" s="134">
        <v>0</v>
      </c>
      <c r="L8" s="135">
        <v>0</v>
      </c>
      <c r="M8" s="135">
        <v>0</v>
      </c>
      <c r="N8" s="69">
        <f t="shared" si="2"/>
        <v>2703.6105210000005</v>
      </c>
      <c r="O8" s="39">
        <f t="shared" si="3"/>
        <v>3004.0116900000007</v>
      </c>
      <c r="P8" s="136">
        <f t="shared" si="4"/>
        <v>80.8737816631768</v>
      </c>
      <c r="Q8" s="137">
        <f t="shared" si="5"/>
        <v>0.1</v>
      </c>
      <c r="R8" s="138">
        <f t="shared" si="6"/>
        <v>300.4011690000001</v>
      </c>
      <c r="S8" s="139">
        <v>0.8</v>
      </c>
      <c r="T8" s="138">
        <f t="shared" si="7"/>
        <v>2403.2093520000008</v>
      </c>
      <c r="U8" s="140">
        <f t="shared" si="8"/>
        <v>9.9999999999999978E-2</v>
      </c>
      <c r="V8" s="138">
        <f t="shared" si="9"/>
        <v>300.40116899999998</v>
      </c>
      <c r="W8" s="142">
        <f ca="1">V8*VLOOKUP(TODAY(),'UF HOY'!$A$2:$B$33,2,0)</f>
        <v>11936122.02497586</v>
      </c>
      <c r="X8" s="143">
        <f>Datos!$E$3</f>
        <v>31</v>
      </c>
      <c r="Y8" s="144">
        <f ca="1">IF((W8-1000000-Datos!$D$3)/X8&gt;0,(W8-1000000-Datos!$D$3)/X8,0)</f>
        <v>344713.61370889872</v>
      </c>
      <c r="Z8" s="143">
        <f>Datos!$F$3</f>
        <v>31</v>
      </c>
      <c r="AA8" s="144">
        <f ca="1">IF((W8-1750000-Datos!$D$3-3%*O8*VLOOKUP(TODAY(),'UF HOY'!$A$2:$B$33,2,0))/Z8&gt;0,(W8-1750000-Datos!$D$3-3%*O8*VLOOKUP(TODAY(),'UF HOY'!$A$2:$B$33,2,0))/Z8,0)</f>
        <v>205009.20701558393</v>
      </c>
      <c r="AB8" s="142">
        <f>IF(L8&gt;0,VLOOKUP(D8,Datos!$C$7:$E$11,3,0),VLOOKUP(D8,Datos!$C$7:$E$11,2,0))</f>
        <v>370000</v>
      </c>
      <c r="AC8" s="144">
        <f ca="1">(S8*PMT(Datos!$H$13,Datos!$H$12,-O8,,)*VLOOKUP(TODAY(),'UF HOY'!$A$2:$B$33,2,0)/12)+VLOOKUP(TODAY(),'UF HOY'!$A$2:$B$33,2,0)</f>
        <v>499912.0199838886</v>
      </c>
      <c r="AD8" s="144">
        <f t="shared" ca="1" si="10"/>
        <v>-129912.0199838886</v>
      </c>
      <c r="AE8" s="47">
        <f t="shared" ca="1" si="11"/>
        <v>1999648.0799355544</v>
      </c>
    </row>
    <row r="9" spans="1:31" s="145" customFormat="1" ht="15.5" hidden="1" x14ac:dyDescent="0.35">
      <c r="A9" s="129" t="s">
        <v>170</v>
      </c>
      <c r="B9" s="129">
        <v>302</v>
      </c>
      <c r="C9" s="131" t="s">
        <v>151</v>
      </c>
      <c r="D9" s="131" t="s">
        <v>153</v>
      </c>
      <c r="E9" s="131"/>
      <c r="F9" s="131">
        <v>33.200000000000003</v>
      </c>
      <c r="G9" s="131">
        <v>3.17</v>
      </c>
      <c r="H9" s="132">
        <f t="shared" si="0"/>
        <v>34.785000000000004</v>
      </c>
      <c r="I9" s="132">
        <f t="shared" si="1"/>
        <v>36.370000000000005</v>
      </c>
      <c r="J9" s="133">
        <v>2703.6105210000005</v>
      </c>
      <c r="K9" s="134">
        <v>0</v>
      </c>
      <c r="L9" s="135">
        <v>0</v>
      </c>
      <c r="M9" s="135">
        <v>0</v>
      </c>
      <c r="N9" s="69">
        <f t="shared" si="2"/>
        <v>2703.6105210000005</v>
      </c>
      <c r="O9" s="39">
        <f t="shared" si="3"/>
        <v>3004.0116900000007</v>
      </c>
      <c r="P9" s="136">
        <f t="shared" si="4"/>
        <v>77.72345899094438</v>
      </c>
      <c r="Q9" s="137">
        <f t="shared" si="5"/>
        <v>0.1</v>
      </c>
      <c r="R9" s="138">
        <f t="shared" si="6"/>
        <v>300.4011690000001</v>
      </c>
      <c r="S9" s="139">
        <v>0.8</v>
      </c>
      <c r="T9" s="138">
        <f t="shared" si="7"/>
        <v>2403.2093520000008</v>
      </c>
      <c r="U9" s="140">
        <f t="shared" si="8"/>
        <v>9.9999999999999978E-2</v>
      </c>
      <c r="V9" s="138">
        <f t="shared" si="9"/>
        <v>300.40116899999998</v>
      </c>
      <c r="W9" s="142">
        <f ca="1">V9*VLOOKUP(TODAY(),'UF HOY'!$A$2:$B$33,2,0)</f>
        <v>11936122.02497586</v>
      </c>
      <c r="X9" s="143">
        <f>Datos!$E$3</f>
        <v>31</v>
      </c>
      <c r="Y9" s="144">
        <f ca="1">IF((W9-1000000-Datos!$D$3)/X9&gt;0,(W9-1000000-Datos!$D$3)/X9,0)</f>
        <v>344713.61370889872</v>
      </c>
      <c r="Z9" s="143">
        <f>Datos!$F$3</f>
        <v>31</v>
      </c>
      <c r="AA9" s="144">
        <f ca="1">IF((W9-1750000-Datos!$D$3-3%*O9*VLOOKUP(TODAY(),'UF HOY'!$A$2:$B$33,2,0))/Z9&gt;0,(W9-1750000-Datos!$D$3-3%*O9*VLOOKUP(TODAY(),'UF HOY'!$A$2:$B$33,2,0))/Z9,0)</f>
        <v>205009.20701558393</v>
      </c>
      <c r="AB9" s="142">
        <f>IF(L9&gt;0,VLOOKUP(D9,Datos!$C$7:$E$11,3,0),VLOOKUP(D9,Datos!$C$7:$E$11,2,0))</f>
        <v>370000</v>
      </c>
      <c r="AC9" s="144">
        <f ca="1">(S9*PMT(Datos!$H$13,Datos!$H$12,-O9,,)*VLOOKUP(TODAY(),'UF HOY'!$A$2:$B$33,2,0)/12)+VLOOKUP(TODAY(),'UF HOY'!$A$2:$B$33,2,0)</f>
        <v>499912.0199838886</v>
      </c>
      <c r="AD9" s="144">
        <f t="shared" ca="1" si="10"/>
        <v>-129912.0199838886</v>
      </c>
      <c r="AE9" s="47">
        <f t="shared" ca="1" si="11"/>
        <v>1999648.0799355544</v>
      </c>
    </row>
    <row r="10" spans="1:31" s="145" customFormat="1" ht="15.5" hidden="1" x14ac:dyDescent="0.35">
      <c r="A10" s="129" t="s">
        <v>170</v>
      </c>
      <c r="B10" s="130">
        <v>303</v>
      </c>
      <c r="C10" s="131" t="s">
        <v>151</v>
      </c>
      <c r="D10" s="131" t="s">
        <v>153</v>
      </c>
      <c r="E10" s="131"/>
      <c r="F10" s="131">
        <v>33.200000000000003</v>
      </c>
      <c r="G10" s="131">
        <v>3.17</v>
      </c>
      <c r="H10" s="132">
        <f t="shared" si="0"/>
        <v>34.785000000000004</v>
      </c>
      <c r="I10" s="132">
        <f t="shared" si="1"/>
        <v>36.370000000000005</v>
      </c>
      <c r="J10" s="133">
        <v>2703.6105210000005</v>
      </c>
      <c r="K10" s="134">
        <v>0</v>
      </c>
      <c r="L10" s="135">
        <v>0</v>
      </c>
      <c r="M10" s="135">
        <v>0</v>
      </c>
      <c r="N10" s="69">
        <f t="shared" si="2"/>
        <v>2703.6105210000005</v>
      </c>
      <c r="O10" s="39">
        <f t="shared" si="3"/>
        <v>3004.0116900000007</v>
      </c>
      <c r="P10" s="136">
        <f t="shared" si="4"/>
        <v>77.72345899094438</v>
      </c>
      <c r="Q10" s="137">
        <f t="shared" si="5"/>
        <v>0.1</v>
      </c>
      <c r="R10" s="138">
        <f t="shared" si="6"/>
        <v>300.4011690000001</v>
      </c>
      <c r="S10" s="139">
        <v>0.8</v>
      </c>
      <c r="T10" s="138">
        <f t="shared" si="7"/>
        <v>2403.2093520000008</v>
      </c>
      <c r="U10" s="140">
        <f t="shared" si="8"/>
        <v>9.9999999999999978E-2</v>
      </c>
      <c r="V10" s="138">
        <f t="shared" si="9"/>
        <v>300.40116899999998</v>
      </c>
      <c r="W10" s="142">
        <f ca="1">V10*VLOOKUP(TODAY(),'UF HOY'!$A$2:$B$33,2,0)</f>
        <v>11936122.02497586</v>
      </c>
      <c r="X10" s="143">
        <f>Datos!$E$3</f>
        <v>31</v>
      </c>
      <c r="Y10" s="144">
        <f ca="1">IF((W10-1000000-Datos!$D$3)/X10&gt;0,(W10-1000000-Datos!$D$3)/X10,0)</f>
        <v>344713.61370889872</v>
      </c>
      <c r="Z10" s="143">
        <f>Datos!$F$3</f>
        <v>31</v>
      </c>
      <c r="AA10" s="144">
        <f ca="1">IF((W10-1750000-Datos!$D$3-3%*O10*VLOOKUP(TODAY(),'UF HOY'!$A$2:$B$33,2,0))/Z10&gt;0,(W10-1750000-Datos!$D$3-3%*O10*VLOOKUP(TODAY(),'UF HOY'!$A$2:$B$33,2,0))/Z10,0)</f>
        <v>205009.20701558393</v>
      </c>
      <c r="AB10" s="142">
        <f>IF(L10&gt;0,VLOOKUP(D10,Datos!$C$7:$E$11,3,0),VLOOKUP(D10,Datos!$C$7:$E$11,2,0))</f>
        <v>370000</v>
      </c>
      <c r="AC10" s="144">
        <f ca="1">(S10*PMT(Datos!$H$13,Datos!$H$12,-O10,,)*VLOOKUP(TODAY(),'UF HOY'!$A$2:$B$33,2,0)/12)+VLOOKUP(TODAY(),'UF HOY'!$A$2:$B$33,2,0)</f>
        <v>499912.0199838886</v>
      </c>
      <c r="AD10" s="144">
        <f t="shared" ca="1" si="10"/>
        <v>-129912.0199838886</v>
      </c>
      <c r="AE10" s="47">
        <f t="shared" ca="1" si="11"/>
        <v>1999648.0799355544</v>
      </c>
    </row>
    <row r="11" spans="1:31" s="145" customFormat="1" ht="15.5" hidden="1" x14ac:dyDescent="0.35">
      <c r="A11" s="129" t="s">
        <v>170</v>
      </c>
      <c r="B11" s="130">
        <v>304</v>
      </c>
      <c r="C11" s="131" t="s">
        <v>151</v>
      </c>
      <c r="D11" s="131" t="s">
        <v>153</v>
      </c>
      <c r="E11" s="131"/>
      <c r="F11" s="131">
        <v>31.63</v>
      </c>
      <c r="G11" s="131">
        <v>3.6</v>
      </c>
      <c r="H11" s="132">
        <f t="shared" si="0"/>
        <v>33.43</v>
      </c>
      <c r="I11" s="132">
        <f t="shared" si="1"/>
        <v>35.229999999999997</v>
      </c>
      <c r="J11" s="133">
        <v>2703.6105210000005</v>
      </c>
      <c r="K11" s="134">
        <v>0</v>
      </c>
      <c r="L11" s="135">
        <v>0</v>
      </c>
      <c r="M11" s="135">
        <v>0</v>
      </c>
      <c r="N11" s="69">
        <f t="shared" si="2"/>
        <v>2703.6105210000005</v>
      </c>
      <c r="O11" s="39">
        <f t="shared" si="3"/>
        <v>3004.0116900000007</v>
      </c>
      <c r="P11" s="136">
        <f t="shared" si="4"/>
        <v>80.8737816631768</v>
      </c>
      <c r="Q11" s="137">
        <f t="shared" si="5"/>
        <v>0.1</v>
      </c>
      <c r="R11" s="138">
        <f t="shared" si="6"/>
        <v>300.4011690000001</v>
      </c>
      <c r="S11" s="139">
        <v>0.8</v>
      </c>
      <c r="T11" s="138">
        <f t="shared" si="7"/>
        <v>2403.2093520000008</v>
      </c>
      <c r="U11" s="140">
        <f t="shared" si="8"/>
        <v>9.9999999999999978E-2</v>
      </c>
      <c r="V11" s="138">
        <f t="shared" si="9"/>
        <v>300.40116899999998</v>
      </c>
      <c r="W11" s="142">
        <f ca="1">V11*VLOOKUP(TODAY(),'UF HOY'!$A$2:$B$33,2,0)</f>
        <v>11936122.02497586</v>
      </c>
      <c r="X11" s="143">
        <f>Datos!$E$3</f>
        <v>31</v>
      </c>
      <c r="Y11" s="144">
        <f ca="1">IF((W11-1000000-Datos!$D$3)/X11&gt;0,(W11-1000000-Datos!$D$3)/X11,0)</f>
        <v>344713.61370889872</v>
      </c>
      <c r="Z11" s="143">
        <f>Datos!$F$3</f>
        <v>31</v>
      </c>
      <c r="AA11" s="144">
        <f ca="1">IF((W11-1750000-Datos!$D$3-3%*O11*VLOOKUP(TODAY(),'UF HOY'!$A$2:$B$33,2,0))/Z11&gt;0,(W11-1750000-Datos!$D$3-3%*O11*VLOOKUP(TODAY(),'UF HOY'!$A$2:$B$33,2,0))/Z11,0)</f>
        <v>205009.20701558393</v>
      </c>
      <c r="AB11" s="142">
        <f>IF(L11&gt;0,VLOOKUP(D11,Datos!$C$7:$E$11,3,0),VLOOKUP(D11,Datos!$C$7:$E$11,2,0))</f>
        <v>370000</v>
      </c>
      <c r="AC11" s="144">
        <f ca="1">(S11*PMT(Datos!$H$13,Datos!$H$12,-O11,,)*VLOOKUP(TODAY(),'UF HOY'!$A$2:$B$33,2,0)/12)+VLOOKUP(TODAY(),'UF HOY'!$A$2:$B$33,2,0)</f>
        <v>499912.0199838886</v>
      </c>
      <c r="AD11" s="144">
        <f t="shared" ca="1" si="10"/>
        <v>-129912.0199838886</v>
      </c>
      <c r="AE11" s="47">
        <f t="shared" ca="1" si="11"/>
        <v>1999648.0799355544</v>
      </c>
    </row>
    <row r="12" spans="1:31" s="145" customFormat="1" ht="15.5" hidden="1" x14ac:dyDescent="0.35">
      <c r="A12" s="129" t="s">
        <v>170</v>
      </c>
      <c r="B12" s="130">
        <v>316</v>
      </c>
      <c r="C12" s="131" t="s">
        <v>151</v>
      </c>
      <c r="D12" s="131" t="s">
        <v>153</v>
      </c>
      <c r="E12" s="131"/>
      <c r="F12" s="131">
        <v>33.479999999999997</v>
      </c>
      <c r="G12" s="131">
        <v>3.23</v>
      </c>
      <c r="H12" s="132">
        <f t="shared" si="0"/>
        <v>35.094999999999999</v>
      </c>
      <c r="I12" s="132">
        <f t="shared" si="1"/>
        <v>36.709999999999994</v>
      </c>
      <c r="J12" s="133">
        <v>2703.6105210000005</v>
      </c>
      <c r="K12" s="134">
        <v>0</v>
      </c>
      <c r="L12" s="135">
        <v>0</v>
      </c>
      <c r="M12" s="135">
        <v>0</v>
      </c>
      <c r="N12" s="69">
        <f t="shared" si="2"/>
        <v>2703.6105210000005</v>
      </c>
      <c r="O12" s="39">
        <f t="shared" si="3"/>
        <v>3004.0116900000007</v>
      </c>
      <c r="P12" s="136">
        <f t="shared" si="4"/>
        <v>77.036914688702112</v>
      </c>
      <c r="Q12" s="137">
        <f t="shared" si="5"/>
        <v>0.1</v>
      </c>
      <c r="R12" s="138">
        <f t="shared" si="6"/>
        <v>300.4011690000001</v>
      </c>
      <c r="S12" s="139">
        <v>0.8</v>
      </c>
      <c r="T12" s="138">
        <f t="shared" si="7"/>
        <v>2403.2093520000008</v>
      </c>
      <c r="U12" s="140">
        <f t="shared" si="8"/>
        <v>9.9999999999999978E-2</v>
      </c>
      <c r="V12" s="138">
        <f t="shared" si="9"/>
        <v>300.40116899999998</v>
      </c>
      <c r="W12" s="142">
        <f ca="1">V12*VLOOKUP(TODAY(),'UF HOY'!$A$2:$B$33,2,0)</f>
        <v>11936122.02497586</v>
      </c>
      <c r="X12" s="143">
        <f>Datos!$E$3</f>
        <v>31</v>
      </c>
      <c r="Y12" s="144">
        <f ca="1">IF((W12-1000000-Datos!$D$3)/X12&gt;0,(W12-1000000-Datos!$D$3)/X12,0)</f>
        <v>344713.61370889872</v>
      </c>
      <c r="Z12" s="143">
        <f>Datos!$F$3</f>
        <v>31</v>
      </c>
      <c r="AA12" s="144">
        <f ca="1">IF((W12-1750000-Datos!$D$3-3%*O12*VLOOKUP(TODAY(),'UF HOY'!$A$2:$B$33,2,0))/Z12&gt;0,(W12-1750000-Datos!$D$3-3%*O12*VLOOKUP(TODAY(),'UF HOY'!$A$2:$B$33,2,0))/Z12,0)</f>
        <v>205009.20701558393</v>
      </c>
      <c r="AB12" s="142">
        <f>IF(L12&gt;0,VLOOKUP(D12,Datos!$C$7:$E$11,3,0),VLOOKUP(D12,Datos!$C$7:$E$11,2,0))</f>
        <v>370000</v>
      </c>
      <c r="AC12" s="144">
        <f ca="1">(S12*PMT(Datos!$H$13,Datos!$H$12,-O12,,)*VLOOKUP(TODAY(),'UF HOY'!$A$2:$B$33,2,0)/12)+VLOOKUP(TODAY(),'UF HOY'!$A$2:$B$33,2,0)</f>
        <v>499912.0199838886</v>
      </c>
      <c r="AD12" s="144">
        <f t="shared" ca="1" si="10"/>
        <v>-129912.0199838886</v>
      </c>
      <c r="AE12" s="47">
        <f t="shared" ca="1" si="11"/>
        <v>1999648.0799355544</v>
      </c>
    </row>
    <row r="13" spans="1:31" s="145" customFormat="1" ht="15.5" hidden="1" x14ac:dyDescent="0.35">
      <c r="A13" s="129" t="s">
        <v>170</v>
      </c>
      <c r="B13" s="130">
        <v>317</v>
      </c>
      <c r="C13" s="131" t="s">
        <v>151</v>
      </c>
      <c r="D13" s="131" t="s">
        <v>153</v>
      </c>
      <c r="E13" s="131"/>
      <c r="F13" s="131">
        <v>33.47</v>
      </c>
      <c r="G13" s="131">
        <v>3.16</v>
      </c>
      <c r="H13" s="132">
        <f t="shared" si="0"/>
        <v>35.049999999999997</v>
      </c>
      <c r="I13" s="132">
        <f t="shared" si="1"/>
        <v>36.629999999999995</v>
      </c>
      <c r="J13" s="133">
        <v>2718.4803788655004</v>
      </c>
      <c r="K13" s="134">
        <v>0</v>
      </c>
      <c r="L13" s="135">
        <v>0</v>
      </c>
      <c r="M13" s="135">
        <v>0</v>
      </c>
      <c r="N13" s="69">
        <f t="shared" si="2"/>
        <v>2718.4803788655004</v>
      </c>
      <c r="O13" s="39">
        <f t="shared" si="3"/>
        <v>3020.5337542950006</v>
      </c>
      <c r="P13" s="136">
        <f t="shared" si="4"/>
        <v>77.560067870627691</v>
      </c>
      <c r="Q13" s="137">
        <f t="shared" si="5"/>
        <v>0.1</v>
      </c>
      <c r="R13" s="138">
        <f t="shared" si="6"/>
        <v>302.05337542950008</v>
      </c>
      <c r="S13" s="139">
        <v>0.8</v>
      </c>
      <c r="T13" s="138">
        <f t="shared" si="7"/>
        <v>2416.4270034360006</v>
      </c>
      <c r="U13" s="140">
        <f t="shared" si="8"/>
        <v>9.9999999999999978E-2</v>
      </c>
      <c r="V13" s="138">
        <f t="shared" si="9"/>
        <v>302.05337542949997</v>
      </c>
      <c r="W13" s="142">
        <f ca="1">V13*VLOOKUP(TODAY(),'UF HOY'!$A$2:$B$33,2,0)</f>
        <v>12001770.696113227</v>
      </c>
      <c r="X13" s="143">
        <f>Datos!$E$3</f>
        <v>31</v>
      </c>
      <c r="Y13" s="144">
        <f ca="1">IF((W13-1000000-Datos!$D$3)/X13&gt;0,(W13-1000000-Datos!$D$3)/X13,0)</f>
        <v>346831.312777846</v>
      </c>
      <c r="Z13" s="143">
        <f>Datos!$F$3</f>
        <v>31</v>
      </c>
      <c r="AA13" s="144">
        <f ca="1">IF((W13-1750000-Datos!$D$3-3%*O13*VLOOKUP(TODAY(),'UF HOY'!$A$2:$B$33,2,0))/Z13&gt;0,(W13-1750000-Datos!$D$3-3%*O13*VLOOKUP(TODAY(),'UF HOY'!$A$2:$B$33,2,0))/Z13,0)</f>
        <v>206491.59636384703</v>
      </c>
      <c r="AB13" s="142">
        <f>IF(L13&gt;0,VLOOKUP(D13,Datos!$C$7:$E$11,3,0),VLOOKUP(D13,Datos!$C$7:$E$11,2,0))</f>
        <v>370000</v>
      </c>
      <c r="AC13" s="144">
        <f ca="1">(S13*PMT(Datos!$H$13,Datos!$H$12,-O13,,)*VLOOKUP(TODAY(),'UF HOY'!$A$2:$B$33,2,0)/12)+VLOOKUP(TODAY(),'UF HOY'!$A$2:$B$33,2,0)</f>
        <v>502442.99942379986</v>
      </c>
      <c r="AD13" s="144">
        <f t="shared" ca="1" si="10"/>
        <v>-132442.99942379986</v>
      </c>
      <c r="AE13" s="47">
        <f t="shared" ca="1" si="11"/>
        <v>2009771.9976951994</v>
      </c>
    </row>
    <row r="14" spans="1:31" s="145" customFormat="1" ht="15.5" hidden="1" x14ac:dyDescent="0.35">
      <c r="A14" s="129" t="s">
        <v>170</v>
      </c>
      <c r="B14" s="130">
        <v>401</v>
      </c>
      <c r="C14" s="131" t="s">
        <v>151</v>
      </c>
      <c r="D14" s="131" t="s">
        <v>153</v>
      </c>
      <c r="E14" s="131"/>
      <c r="F14" s="131">
        <v>31.86</v>
      </c>
      <c r="G14" s="131">
        <v>3.6</v>
      </c>
      <c r="H14" s="132">
        <f t="shared" si="0"/>
        <v>33.659999999999997</v>
      </c>
      <c r="I14" s="132">
        <f t="shared" si="1"/>
        <v>35.46</v>
      </c>
      <c r="J14" s="133">
        <v>2718.4803788655004</v>
      </c>
      <c r="K14" s="134">
        <v>0</v>
      </c>
      <c r="L14" s="135">
        <v>0</v>
      </c>
      <c r="M14" s="135">
        <v>0</v>
      </c>
      <c r="N14" s="69">
        <f t="shared" si="2"/>
        <v>2718.4803788655004</v>
      </c>
      <c r="O14" s="39">
        <f t="shared" si="3"/>
        <v>3020.5337542950006</v>
      </c>
      <c r="P14" s="136">
        <f t="shared" si="4"/>
        <v>80.762934606818206</v>
      </c>
      <c r="Q14" s="137">
        <f t="shared" si="5"/>
        <v>0.1</v>
      </c>
      <c r="R14" s="138">
        <f t="shared" si="6"/>
        <v>302.05337542950008</v>
      </c>
      <c r="S14" s="139">
        <v>0.8</v>
      </c>
      <c r="T14" s="138">
        <f t="shared" si="7"/>
        <v>2416.4270034360006</v>
      </c>
      <c r="U14" s="140">
        <f t="shared" si="8"/>
        <v>9.9999999999999978E-2</v>
      </c>
      <c r="V14" s="138">
        <f t="shared" si="9"/>
        <v>302.05337542949997</v>
      </c>
      <c r="W14" s="142">
        <f ca="1">V14*VLOOKUP(TODAY(),'UF HOY'!$A$2:$B$33,2,0)</f>
        <v>12001770.696113227</v>
      </c>
      <c r="X14" s="143">
        <f>Datos!$E$3</f>
        <v>31</v>
      </c>
      <c r="Y14" s="144">
        <f ca="1">IF((W14-1000000-Datos!$D$3)/X14&gt;0,(W14-1000000-Datos!$D$3)/X14,0)</f>
        <v>346831.312777846</v>
      </c>
      <c r="Z14" s="143">
        <f>Datos!$F$3</f>
        <v>31</v>
      </c>
      <c r="AA14" s="144">
        <f ca="1">IF((W14-1750000-Datos!$D$3-3%*O14*VLOOKUP(TODAY(),'UF HOY'!$A$2:$B$33,2,0))/Z14&gt;0,(W14-1750000-Datos!$D$3-3%*O14*VLOOKUP(TODAY(),'UF HOY'!$A$2:$B$33,2,0))/Z14,0)</f>
        <v>206491.59636384703</v>
      </c>
      <c r="AB14" s="142">
        <f>IF(L14&gt;0,VLOOKUP(D14,Datos!$C$7:$E$11,3,0),VLOOKUP(D14,Datos!$C$7:$E$11,2,0))</f>
        <v>370000</v>
      </c>
      <c r="AC14" s="144">
        <f ca="1">(S14*PMT(Datos!$H$13,Datos!$H$12,-O14,,)*VLOOKUP(TODAY(),'UF HOY'!$A$2:$B$33,2,0)/12)+VLOOKUP(TODAY(),'UF HOY'!$A$2:$B$33,2,0)</f>
        <v>502442.99942379986</v>
      </c>
      <c r="AD14" s="144">
        <f t="shared" ca="1" si="10"/>
        <v>-132442.99942379986</v>
      </c>
      <c r="AE14" s="47">
        <f t="shared" ca="1" si="11"/>
        <v>2009771.9976951994</v>
      </c>
    </row>
    <row r="15" spans="1:31" s="145" customFormat="1" ht="15.5" hidden="1" x14ac:dyDescent="0.35">
      <c r="A15" s="129" t="s">
        <v>170</v>
      </c>
      <c r="B15" s="130">
        <v>402</v>
      </c>
      <c r="C15" s="131" t="s">
        <v>151</v>
      </c>
      <c r="D15" s="131" t="s">
        <v>153</v>
      </c>
      <c r="E15" s="131"/>
      <c r="F15" s="131">
        <v>33.369999999999997</v>
      </c>
      <c r="G15" s="131">
        <v>3.17</v>
      </c>
      <c r="H15" s="132">
        <f t="shared" si="0"/>
        <v>34.954999999999998</v>
      </c>
      <c r="I15" s="132">
        <f t="shared" si="1"/>
        <v>36.54</v>
      </c>
      <c r="J15" s="133">
        <v>2718.4803788655004</v>
      </c>
      <c r="K15" s="134">
        <v>0</v>
      </c>
      <c r="L15" s="135">
        <v>0</v>
      </c>
      <c r="M15" s="135">
        <v>0</v>
      </c>
      <c r="N15" s="69">
        <f t="shared" si="2"/>
        <v>2718.4803788655004</v>
      </c>
      <c r="O15" s="39">
        <f t="shared" si="3"/>
        <v>3020.5337542950006</v>
      </c>
      <c r="P15" s="136">
        <f t="shared" si="4"/>
        <v>77.770859072107015</v>
      </c>
      <c r="Q15" s="137">
        <f t="shared" si="5"/>
        <v>0.1</v>
      </c>
      <c r="R15" s="138">
        <f t="shared" si="6"/>
        <v>302.05337542950008</v>
      </c>
      <c r="S15" s="139">
        <v>0.8</v>
      </c>
      <c r="T15" s="138">
        <f t="shared" si="7"/>
        <v>2416.4270034360006</v>
      </c>
      <c r="U15" s="140">
        <f t="shared" si="8"/>
        <v>9.9999999999999978E-2</v>
      </c>
      <c r="V15" s="138">
        <f t="shared" si="9"/>
        <v>302.05337542949997</v>
      </c>
      <c r="W15" s="142">
        <f ca="1">V15*VLOOKUP(TODAY(),'UF HOY'!$A$2:$B$33,2,0)</f>
        <v>12001770.696113227</v>
      </c>
      <c r="X15" s="143">
        <f>Datos!$E$3</f>
        <v>31</v>
      </c>
      <c r="Y15" s="144">
        <f ca="1">IF((W15-1000000-Datos!$D$3)/X15&gt;0,(W15-1000000-Datos!$D$3)/X15,0)</f>
        <v>346831.312777846</v>
      </c>
      <c r="Z15" s="143">
        <f>Datos!$F$3</f>
        <v>31</v>
      </c>
      <c r="AA15" s="144">
        <f ca="1">IF((W15-1750000-Datos!$D$3-3%*O15*VLOOKUP(TODAY(),'UF HOY'!$A$2:$B$33,2,0))/Z15&gt;0,(W15-1750000-Datos!$D$3-3%*O15*VLOOKUP(TODAY(),'UF HOY'!$A$2:$B$33,2,0))/Z15,0)</f>
        <v>206491.59636384703</v>
      </c>
      <c r="AB15" s="142">
        <f>IF(L15&gt;0,VLOOKUP(D15,Datos!$C$7:$E$11,3,0),VLOOKUP(D15,Datos!$C$7:$E$11,2,0))</f>
        <v>370000</v>
      </c>
      <c r="AC15" s="144">
        <f ca="1">(S15*PMT(Datos!$H$13,Datos!$H$12,-O15,,)*VLOOKUP(TODAY(),'UF HOY'!$A$2:$B$33,2,0)/12)+VLOOKUP(TODAY(),'UF HOY'!$A$2:$B$33,2,0)</f>
        <v>502442.99942379986</v>
      </c>
      <c r="AD15" s="144">
        <f t="shared" ca="1" si="10"/>
        <v>-132442.99942379986</v>
      </c>
      <c r="AE15" s="47">
        <f t="shared" ca="1" si="11"/>
        <v>2009771.9976951994</v>
      </c>
    </row>
    <row r="16" spans="1:31" s="145" customFormat="1" ht="15.5" hidden="1" x14ac:dyDescent="0.35">
      <c r="A16" s="129" t="s">
        <v>170</v>
      </c>
      <c r="B16" s="130">
        <v>403</v>
      </c>
      <c r="C16" s="131" t="s">
        <v>151</v>
      </c>
      <c r="D16" s="131" t="s">
        <v>153</v>
      </c>
      <c r="E16" s="131"/>
      <c r="F16" s="131">
        <v>33.369999999999997</v>
      </c>
      <c r="G16" s="131">
        <v>3.17</v>
      </c>
      <c r="H16" s="132">
        <f t="shared" si="0"/>
        <v>34.954999999999998</v>
      </c>
      <c r="I16" s="132">
        <f t="shared" si="1"/>
        <v>36.54</v>
      </c>
      <c r="J16" s="133">
        <v>2718.4803788655004</v>
      </c>
      <c r="K16" s="134">
        <v>0</v>
      </c>
      <c r="L16" s="135">
        <v>0</v>
      </c>
      <c r="M16" s="135">
        <v>0</v>
      </c>
      <c r="N16" s="69">
        <f t="shared" si="2"/>
        <v>2718.4803788655004</v>
      </c>
      <c r="O16" s="39">
        <f t="shared" si="3"/>
        <v>3020.5337542950006</v>
      </c>
      <c r="P16" s="136">
        <f t="shared" si="4"/>
        <v>77.770859072107015</v>
      </c>
      <c r="Q16" s="137">
        <f t="shared" si="5"/>
        <v>0.1</v>
      </c>
      <c r="R16" s="138">
        <f t="shared" si="6"/>
        <v>302.05337542950008</v>
      </c>
      <c r="S16" s="139">
        <v>0.8</v>
      </c>
      <c r="T16" s="138">
        <f t="shared" si="7"/>
        <v>2416.4270034360006</v>
      </c>
      <c r="U16" s="140">
        <f t="shared" si="8"/>
        <v>9.9999999999999978E-2</v>
      </c>
      <c r="V16" s="138">
        <f t="shared" si="9"/>
        <v>302.05337542949997</v>
      </c>
      <c r="W16" s="142">
        <f ca="1">V16*VLOOKUP(TODAY(),'UF HOY'!$A$2:$B$33,2,0)</f>
        <v>12001770.696113227</v>
      </c>
      <c r="X16" s="143">
        <f>Datos!$E$3</f>
        <v>31</v>
      </c>
      <c r="Y16" s="144">
        <f ca="1">IF((W16-1000000-Datos!$D$3)/X16&gt;0,(W16-1000000-Datos!$D$3)/X16,0)</f>
        <v>346831.312777846</v>
      </c>
      <c r="Z16" s="143">
        <f>Datos!$F$3</f>
        <v>31</v>
      </c>
      <c r="AA16" s="144">
        <f ca="1">IF((W16-1750000-Datos!$D$3-3%*O16*VLOOKUP(TODAY(),'UF HOY'!$A$2:$B$33,2,0))/Z16&gt;0,(W16-1750000-Datos!$D$3-3%*O16*VLOOKUP(TODAY(),'UF HOY'!$A$2:$B$33,2,0))/Z16,0)</f>
        <v>206491.59636384703</v>
      </c>
      <c r="AB16" s="142">
        <f>IF(L16&gt;0,VLOOKUP(D16,Datos!$C$7:$E$11,3,0),VLOOKUP(D16,Datos!$C$7:$E$11,2,0))</f>
        <v>370000</v>
      </c>
      <c r="AC16" s="144">
        <f ca="1">(S16*PMT(Datos!$H$13,Datos!$H$12,-O16,,)*VLOOKUP(TODAY(),'UF HOY'!$A$2:$B$33,2,0)/12)+VLOOKUP(TODAY(),'UF HOY'!$A$2:$B$33,2,0)</f>
        <v>502442.99942379986</v>
      </c>
      <c r="AD16" s="144">
        <f t="shared" ca="1" si="10"/>
        <v>-132442.99942379986</v>
      </c>
      <c r="AE16" s="47">
        <f t="shared" ca="1" si="11"/>
        <v>2009771.9976951994</v>
      </c>
    </row>
    <row r="17" spans="1:31" s="145" customFormat="1" ht="15.5" hidden="1" x14ac:dyDescent="0.35">
      <c r="A17" s="129" t="s">
        <v>170</v>
      </c>
      <c r="B17" s="130">
        <v>416</v>
      </c>
      <c r="C17" s="131" t="s">
        <v>151</v>
      </c>
      <c r="D17" s="131" t="s">
        <v>153</v>
      </c>
      <c r="E17" s="131"/>
      <c r="F17" s="131">
        <v>33.369999999999997</v>
      </c>
      <c r="G17" s="131">
        <v>3.17</v>
      </c>
      <c r="H17" s="132">
        <f t="shared" si="0"/>
        <v>34.954999999999998</v>
      </c>
      <c r="I17" s="132">
        <f t="shared" si="1"/>
        <v>36.54</v>
      </c>
      <c r="J17" s="133">
        <v>2718.4803788655004</v>
      </c>
      <c r="K17" s="134">
        <v>0</v>
      </c>
      <c r="L17" s="135">
        <v>0</v>
      </c>
      <c r="M17" s="135">
        <v>0</v>
      </c>
      <c r="N17" s="69">
        <f t="shared" si="2"/>
        <v>2718.4803788655004</v>
      </c>
      <c r="O17" s="39">
        <f t="shared" si="3"/>
        <v>3020.5337542950006</v>
      </c>
      <c r="P17" s="136">
        <f t="shared" si="4"/>
        <v>77.770859072107015</v>
      </c>
      <c r="Q17" s="137">
        <f t="shared" si="5"/>
        <v>0.1</v>
      </c>
      <c r="R17" s="138">
        <f t="shared" si="6"/>
        <v>302.05337542950008</v>
      </c>
      <c r="S17" s="139">
        <v>0.8</v>
      </c>
      <c r="T17" s="138">
        <f t="shared" si="7"/>
        <v>2416.4270034360006</v>
      </c>
      <c r="U17" s="140">
        <f t="shared" si="8"/>
        <v>9.9999999999999978E-2</v>
      </c>
      <c r="V17" s="138">
        <f t="shared" si="9"/>
        <v>302.05337542949997</v>
      </c>
      <c r="W17" s="142">
        <f ca="1">V17*VLOOKUP(TODAY(),'UF HOY'!$A$2:$B$33,2,0)</f>
        <v>12001770.696113227</v>
      </c>
      <c r="X17" s="143">
        <f>Datos!$E$3</f>
        <v>31</v>
      </c>
      <c r="Y17" s="144">
        <f ca="1">IF((W17-1000000-Datos!$D$3)/X17&gt;0,(W17-1000000-Datos!$D$3)/X17,0)</f>
        <v>346831.312777846</v>
      </c>
      <c r="Z17" s="143">
        <f>Datos!$F$3</f>
        <v>31</v>
      </c>
      <c r="AA17" s="144">
        <f ca="1">IF((W17-1750000-Datos!$D$3-3%*O17*VLOOKUP(TODAY(),'UF HOY'!$A$2:$B$33,2,0))/Z17&gt;0,(W17-1750000-Datos!$D$3-3%*O17*VLOOKUP(TODAY(),'UF HOY'!$A$2:$B$33,2,0))/Z17,0)</f>
        <v>206491.59636384703</v>
      </c>
      <c r="AB17" s="142">
        <f>IF(L17&gt;0,VLOOKUP(D17,Datos!$C$7:$E$11,3,0),VLOOKUP(D17,Datos!$C$7:$E$11,2,0))</f>
        <v>370000</v>
      </c>
      <c r="AC17" s="144">
        <f ca="1">(S17*PMT(Datos!$H$13,Datos!$H$12,-O17,,)*VLOOKUP(TODAY(),'UF HOY'!$A$2:$B$33,2,0)/12)+VLOOKUP(TODAY(),'UF HOY'!$A$2:$B$33,2,0)</f>
        <v>502442.99942379986</v>
      </c>
      <c r="AD17" s="144">
        <f t="shared" ca="1" si="10"/>
        <v>-132442.99942379986</v>
      </c>
      <c r="AE17" s="47">
        <f t="shared" ca="1" si="11"/>
        <v>2009771.9976951994</v>
      </c>
    </row>
    <row r="18" spans="1:31" s="145" customFormat="1" ht="15.5" hidden="1" x14ac:dyDescent="0.35">
      <c r="A18" s="129" t="s">
        <v>170</v>
      </c>
      <c r="B18" s="130">
        <v>417</v>
      </c>
      <c r="C18" s="131" t="s">
        <v>151</v>
      </c>
      <c r="D18" s="131" t="s">
        <v>153</v>
      </c>
      <c r="E18" s="131"/>
      <c r="F18" s="131">
        <v>33.36</v>
      </c>
      <c r="G18" s="131">
        <v>3.1</v>
      </c>
      <c r="H18" s="132">
        <f t="shared" si="0"/>
        <v>34.909999999999997</v>
      </c>
      <c r="I18" s="132">
        <f t="shared" si="1"/>
        <v>36.46</v>
      </c>
      <c r="J18" s="133">
        <v>2733.4320209492603</v>
      </c>
      <c r="K18" s="134">
        <v>0</v>
      </c>
      <c r="L18" s="135">
        <v>0</v>
      </c>
      <c r="M18" s="135">
        <v>0</v>
      </c>
      <c r="N18" s="69">
        <f t="shared" si="2"/>
        <v>2733.4320209492603</v>
      </c>
      <c r="O18" s="39">
        <f t="shared" si="3"/>
        <v>3037.1466899436223</v>
      </c>
      <c r="P18" s="136">
        <f t="shared" si="4"/>
        <v>78.299399053258682</v>
      </c>
      <c r="Q18" s="137">
        <f t="shared" si="5"/>
        <v>0.1</v>
      </c>
      <c r="R18" s="138">
        <f t="shared" si="6"/>
        <v>303.71466899436223</v>
      </c>
      <c r="S18" s="139">
        <v>0.8</v>
      </c>
      <c r="T18" s="138">
        <f t="shared" si="7"/>
        <v>2429.7173519548978</v>
      </c>
      <c r="U18" s="140">
        <f t="shared" si="8"/>
        <v>9.9999999999999978E-2</v>
      </c>
      <c r="V18" s="138">
        <f t="shared" si="9"/>
        <v>303.71466899436217</v>
      </c>
      <c r="W18" s="142">
        <f ca="1">V18*VLOOKUP(TODAY(),'UF HOY'!$A$2:$B$33,2,0)</f>
        <v>12067780.434941847</v>
      </c>
      <c r="X18" s="143">
        <f>Datos!$E$3</f>
        <v>31</v>
      </c>
      <c r="Y18" s="144">
        <f ca="1">IF((W18-1000000-Datos!$D$3)/X18&gt;0,(W18-1000000-Datos!$D$3)/X18,0)</f>
        <v>348960.65919167246</v>
      </c>
      <c r="Z18" s="143">
        <f>Datos!$F$3</f>
        <v>31</v>
      </c>
      <c r="AA18" s="144">
        <f ca="1">IF((W18-1750000-Datos!$D$3-3%*O18*VLOOKUP(TODAY(),'UF HOY'!$A$2:$B$33,2,0))/Z18&gt;0,(W18-1750000-Datos!$D$3-3%*O18*VLOOKUP(TODAY(),'UF HOY'!$A$2:$B$33,2,0))/Z18,0)</f>
        <v>207982.13885352557</v>
      </c>
      <c r="AB18" s="142">
        <f>IF(L18&gt;0,VLOOKUP(D18,Datos!$C$7:$E$11,3,0),VLOOKUP(D18,Datos!$C$7:$E$11,2,0))</f>
        <v>370000</v>
      </c>
      <c r="AC18" s="144">
        <f ca="1">(S18*PMT(Datos!$H$13,Datos!$H$12,-O18,,)*VLOOKUP(TODAY(),'UF HOY'!$A$2:$B$33,2,0)/12)+VLOOKUP(TODAY(),'UF HOY'!$A$2:$B$33,2,0)</f>
        <v>504987.89925063064</v>
      </c>
      <c r="AD18" s="144">
        <f t="shared" ca="1" si="10"/>
        <v>-134987.89925063064</v>
      </c>
      <c r="AE18" s="47">
        <f t="shared" ca="1" si="11"/>
        <v>2019951.5970025226</v>
      </c>
    </row>
    <row r="19" spans="1:31" s="145" customFormat="1" ht="15.5" hidden="1" x14ac:dyDescent="0.35">
      <c r="A19" s="129" t="s">
        <v>170</v>
      </c>
      <c r="B19" s="129">
        <v>407</v>
      </c>
      <c r="C19" s="131" t="s">
        <v>152</v>
      </c>
      <c r="D19" s="131" t="s">
        <v>153</v>
      </c>
      <c r="E19" s="131"/>
      <c r="F19" s="131">
        <v>31.86</v>
      </c>
      <c r="G19" s="131">
        <v>3.6</v>
      </c>
      <c r="H19" s="132">
        <f t="shared" si="0"/>
        <v>33.659999999999997</v>
      </c>
      <c r="I19" s="132">
        <f t="shared" si="1"/>
        <v>35.46</v>
      </c>
      <c r="J19" s="156">
        <v>2748.2669009492606</v>
      </c>
      <c r="K19" s="134">
        <v>0</v>
      </c>
      <c r="L19" s="135">
        <v>0</v>
      </c>
      <c r="M19" s="135">
        <v>0</v>
      </c>
      <c r="N19" s="69">
        <f t="shared" si="2"/>
        <v>2748.2669009492606</v>
      </c>
      <c r="O19" s="39">
        <f t="shared" si="3"/>
        <v>3053.6298899436229</v>
      </c>
      <c r="P19" s="136">
        <f t="shared" si="4"/>
        <v>81.647858019882975</v>
      </c>
      <c r="Q19" s="137">
        <f t="shared" si="5"/>
        <v>0.1</v>
      </c>
      <c r="R19" s="138">
        <f t="shared" si="6"/>
        <v>305.3629889943623</v>
      </c>
      <c r="S19" s="139">
        <v>0.8</v>
      </c>
      <c r="T19" s="138">
        <f t="shared" si="7"/>
        <v>2442.9039119548984</v>
      </c>
      <c r="U19" s="140">
        <f t="shared" si="8"/>
        <v>9.9999999999999978E-2</v>
      </c>
      <c r="V19" s="138">
        <f t="shared" si="9"/>
        <v>305.36298899436224</v>
      </c>
      <c r="W19" s="142">
        <f ca="1">V19*VLOOKUP(TODAY(),'UF HOY'!$A$2:$B$33,2,0)</f>
        <v>12133274.68292265</v>
      </c>
      <c r="X19" s="143">
        <f>Datos!$E$3</f>
        <v>31</v>
      </c>
      <c r="Y19" s="144">
        <f ca="1">IF((W19-1000000-Datos!$D$3)/X19&gt;0,(W19-1000000-Datos!$D$3)/X19,0)</f>
        <v>351073.37686847261</v>
      </c>
      <c r="Z19" s="143">
        <f>Datos!$F$3</f>
        <v>31</v>
      </c>
      <c r="AA19" s="144">
        <f ca="1">IF((W19-1750000-Datos!$D$3-3%*O19*VLOOKUP(TODAY(),'UF HOY'!$A$2:$B$33,2,0))/Z19&gt;0,(W19-1750000-Datos!$D$3-3%*O19*VLOOKUP(TODAY(),'UF HOY'!$A$2:$B$33,2,0))/Z19,0)</f>
        <v>209461.04122728563</v>
      </c>
      <c r="AB19" s="142">
        <f>IF(L19&gt;0,VLOOKUP(D19,Datos!$C$7:$E$11,3,0),VLOOKUP(D19,Datos!$C$7:$E$11,2,0))</f>
        <v>370000</v>
      </c>
      <c r="AC19" s="144">
        <f ca="1">(S19*PMT(Datos!$H$13,Datos!$H$12,-O19,,)*VLOOKUP(TODAY(),'UF HOY'!$A$2:$B$33,2,0)/12)+VLOOKUP(TODAY(),'UF HOY'!$A$2:$B$33,2,0)</f>
        <v>507512.92515290692</v>
      </c>
      <c r="AD19" s="144">
        <f t="shared" ca="1" si="10"/>
        <v>-137512.92515290692</v>
      </c>
      <c r="AE19" s="47">
        <f t="shared" ca="1" si="11"/>
        <v>2030051.7006116277</v>
      </c>
    </row>
    <row r="20" spans="1:31" s="145" customFormat="1" ht="15.5" hidden="1" x14ac:dyDescent="0.35">
      <c r="A20" s="129" t="s">
        <v>170</v>
      </c>
      <c r="B20" s="130">
        <v>501</v>
      </c>
      <c r="C20" s="131" t="s">
        <v>151</v>
      </c>
      <c r="D20" s="131" t="s">
        <v>153</v>
      </c>
      <c r="E20" s="131"/>
      <c r="F20" s="131">
        <v>31.86</v>
      </c>
      <c r="G20" s="131">
        <v>3.6</v>
      </c>
      <c r="H20" s="132">
        <f t="shared" si="0"/>
        <v>33.659999999999997</v>
      </c>
      <c r="I20" s="132">
        <f t="shared" si="1"/>
        <v>35.46</v>
      </c>
      <c r="J20" s="133">
        <v>2748.2669009492606</v>
      </c>
      <c r="K20" s="134">
        <v>0</v>
      </c>
      <c r="L20" s="135">
        <v>0</v>
      </c>
      <c r="M20" s="135">
        <v>0</v>
      </c>
      <c r="N20" s="69">
        <f t="shared" si="2"/>
        <v>2748.2669009492606</v>
      </c>
      <c r="O20" s="39">
        <f t="shared" si="3"/>
        <v>3053.6298899436229</v>
      </c>
      <c r="P20" s="136">
        <f t="shared" si="4"/>
        <v>81.647858019882975</v>
      </c>
      <c r="Q20" s="137">
        <f t="shared" si="5"/>
        <v>0.1</v>
      </c>
      <c r="R20" s="138">
        <f t="shared" si="6"/>
        <v>305.3629889943623</v>
      </c>
      <c r="S20" s="139">
        <v>0.8</v>
      </c>
      <c r="T20" s="138">
        <f t="shared" si="7"/>
        <v>2442.9039119548984</v>
      </c>
      <c r="U20" s="140">
        <f t="shared" si="8"/>
        <v>9.9999999999999978E-2</v>
      </c>
      <c r="V20" s="138">
        <f t="shared" si="9"/>
        <v>305.36298899436224</v>
      </c>
      <c r="W20" s="142">
        <f ca="1">V20*VLOOKUP(TODAY(),'UF HOY'!$A$2:$B$33,2,0)</f>
        <v>12133274.68292265</v>
      </c>
      <c r="X20" s="143">
        <f>Datos!$E$3</f>
        <v>31</v>
      </c>
      <c r="Y20" s="144">
        <f ca="1">IF((W20-1000000-Datos!$D$3)/X20&gt;0,(W20-1000000-Datos!$D$3)/X20,0)</f>
        <v>351073.37686847261</v>
      </c>
      <c r="Z20" s="143">
        <f>Datos!$F$3</f>
        <v>31</v>
      </c>
      <c r="AA20" s="144">
        <f ca="1">IF((W20-1750000-Datos!$D$3-3%*O20*VLOOKUP(TODAY(),'UF HOY'!$A$2:$B$33,2,0))/Z20&gt;0,(W20-1750000-Datos!$D$3-3%*O20*VLOOKUP(TODAY(),'UF HOY'!$A$2:$B$33,2,0))/Z20,0)</f>
        <v>209461.04122728563</v>
      </c>
      <c r="AB20" s="142">
        <f>IF(L20&gt;0,VLOOKUP(D20,Datos!$C$7:$E$11,3,0),VLOOKUP(D20,Datos!$C$7:$E$11,2,0))</f>
        <v>370000</v>
      </c>
      <c r="AC20" s="144">
        <f ca="1">(S20*PMT(Datos!$H$13,Datos!$H$12,-O20,,)*VLOOKUP(TODAY(),'UF HOY'!$A$2:$B$33,2,0)/12)+VLOOKUP(TODAY(),'UF HOY'!$A$2:$B$33,2,0)</f>
        <v>507512.92515290692</v>
      </c>
      <c r="AD20" s="144">
        <f t="shared" ca="1" si="10"/>
        <v>-137512.92515290692</v>
      </c>
      <c r="AE20" s="47">
        <f t="shared" ca="1" si="11"/>
        <v>2030051.7006116277</v>
      </c>
    </row>
    <row r="21" spans="1:31" s="145" customFormat="1" ht="15.5" hidden="1" x14ac:dyDescent="0.35">
      <c r="A21" s="129" t="s">
        <v>170</v>
      </c>
      <c r="B21" s="130">
        <v>502</v>
      </c>
      <c r="C21" s="131" t="s">
        <v>151</v>
      </c>
      <c r="D21" s="131" t="s">
        <v>153</v>
      </c>
      <c r="E21" s="131"/>
      <c r="F21" s="131">
        <v>33.369999999999997</v>
      </c>
      <c r="G21" s="131">
        <v>3.17</v>
      </c>
      <c r="H21" s="132">
        <f t="shared" si="0"/>
        <v>34.954999999999998</v>
      </c>
      <c r="I21" s="132">
        <f t="shared" si="1"/>
        <v>36.54</v>
      </c>
      <c r="J21" s="133">
        <v>2748.2669009492606</v>
      </c>
      <c r="K21" s="134">
        <v>0</v>
      </c>
      <c r="L21" s="135">
        <v>0</v>
      </c>
      <c r="M21" s="135">
        <v>0</v>
      </c>
      <c r="N21" s="69">
        <f t="shared" si="2"/>
        <v>2748.2669009492606</v>
      </c>
      <c r="O21" s="39">
        <f t="shared" si="3"/>
        <v>3053.6298899436229</v>
      </c>
      <c r="P21" s="136">
        <f t="shared" si="4"/>
        <v>78.622998167622967</v>
      </c>
      <c r="Q21" s="137">
        <f t="shared" si="5"/>
        <v>0.1</v>
      </c>
      <c r="R21" s="138">
        <f t="shared" si="6"/>
        <v>305.3629889943623</v>
      </c>
      <c r="S21" s="139">
        <v>0.8</v>
      </c>
      <c r="T21" s="138">
        <f t="shared" si="7"/>
        <v>2442.9039119548984</v>
      </c>
      <c r="U21" s="140">
        <f t="shared" si="8"/>
        <v>9.9999999999999978E-2</v>
      </c>
      <c r="V21" s="138">
        <f t="shared" si="9"/>
        <v>305.36298899436224</v>
      </c>
      <c r="W21" s="142">
        <f ca="1">V21*VLOOKUP(TODAY(),'UF HOY'!$A$2:$B$33,2,0)</f>
        <v>12133274.68292265</v>
      </c>
      <c r="X21" s="143">
        <f>Datos!$E$3</f>
        <v>31</v>
      </c>
      <c r="Y21" s="144">
        <f ca="1">IF((W21-1000000-Datos!$D$3)/X21&gt;0,(W21-1000000-Datos!$D$3)/X21,0)</f>
        <v>351073.37686847261</v>
      </c>
      <c r="Z21" s="143">
        <f>Datos!$F$3</f>
        <v>31</v>
      </c>
      <c r="AA21" s="144">
        <f ca="1">IF((W21-1750000-Datos!$D$3-3%*O21*VLOOKUP(TODAY(),'UF HOY'!$A$2:$B$33,2,0))/Z21&gt;0,(W21-1750000-Datos!$D$3-3%*O21*VLOOKUP(TODAY(),'UF HOY'!$A$2:$B$33,2,0))/Z21,0)</f>
        <v>209461.04122728563</v>
      </c>
      <c r="AB21" s="142">
        <f>IF(L21&gt;0,VLOOKUP(D21,Datos!$C$7:$E$11,3,0),VLOOKUP(D21,Datos!$C$7:$E$11,2,0))</f>
        <v>370000</v>
      </c>
      <c r="AC21" s="144">
        <f ca="1">(S21*PMT(Datos!$H$13,Datos!$H$12,-O21,,)*VLOOKUP(TODAY(),'UF HOY'!$A$2:$B$33,2,0)/12)+VLOOKUP(TODAY(),'UF HOY'!$A$2:$B$33,2,0)</f>
        <v>507512.92515290692</v>
      </c>
      <c r="AD21" s="144">
        <f t="shared" ca="1" si="10"/>
        <v>-137512.92515290692</v>
      </c>
      <c r="AE21" s="47">
        <f t="shared" ca="1" si="11"/>
        <v>2030051.7006116277</v>
      </c>
    </row>
    <row r="22" spans="1:31" s="145" customFormat="1" ht="15.5" hidden="1" x14ac:dyDescent="0.35">
      <c r="A22" s="129" t="s">
        <v>170</v>
      </c>
      <c r="B22" s="130">
        <v>503</v>
      </c>
      <c r="C22" s="131" t="s">
        <v>151</v>
      </c>
      <c r="D22" s="131" t="s">
        <v>153</v>
      </c>
      <c r="E22" s="131"/>
      <c r="F22" s="131">
        <v>33.369999999999997</v>
      </c>
      <c r="G22" s="131">
        <v>3.17</v>
      </c>
      <c r="H22" s="132">
        <f t="shared" si="0"/>
        <v>34.954999999999998</v>
      </c>
      <c r="I22" s="132">
        <f t="shared" si="1"/>
        <v>36.54</v>
      </c>
      <c r="J22" s="133">
        <v>2748.2669009492606</v>
      </c>
      <c r="K22" s="134">
        <v>0</v>
      </c>
      <c r="L22" s="135">
        <v>0</v>
      </c>
      <c r="M22" s="135">
        <v>0</v>
      </c>
      <c r="N22" s="69">
        <f t="shared" si="2"/>
        <v>2748.2669009492606</v>
      </c>
      <c r="O22" s="39">
        <f t="shared" si="3"/>
        <v>3053.6298899436229</v>
      </c>
      <c r="P22" s="136">
        <f t="shared" si="4"/>
        <v>78.622998167622967</v>
      </c>
      <c r="Q22" s="137">
        <f t="shared" si="5"/>
        <v>0.1</v>
      </c>
      <c r="R22" s="138">
        <f t="shared" si="6"/>
        <v>305.3629889943623</v>
      </c>
      <c r="S22" s="139">
        <v>0.8</v>
      </c>
      <c r="T22" s="138">
        <f t="shared" si="7"/>
        <v>2442.9039119548984</v>
      </c>
      <c r="U22" s="140">
        <f t="shared" si="8"/>
        <v>9.9999999999999978E-2</v>
      </c>
      <c r="V22" s="138">
        <f t="shared" si="9"/>
        <v>305.36298899436224</v>
      </c>
      <c r="W22" s="142">
        <f ca="1">V22*VLOOKUP(TODAY(),'UF HOY'!$A$2:$B$33,2,0)</f>
        <v>12133274.68292265</v>
      </c>
      <c r="X22" s="143">
        <f>Datos!$E$3</f>
        <v>31</v>
      </c>
      <c r="Y22" s="144">
        <f ca="1">IF((W22-1000000-Datos!$D$3)/X22&gt;0,(W22-1000000-Datos!$D$3)/X22,0)</f>
        <v>351073.37686847261</v>
      </c>
      <c r="Z22" s="143">
        <f>Datos!$F$3</f>
        <v>31</v>
      </c>
      <c r="AA22" s="144">
        <f ca="1">IF((W22-1750000-Datos!$D$3-3%*O22*VLOOKUP(TODAY(),'UF HOY'!$A$2:$B$33,2,0))/Z22&gt;0,(W22-1750000-Datos!$D$3-3%*O22*VLOOKUP(TODAY(),'UF HOY'!$A$2:$B$33,2,0))/Z22,0)</f>
        <v>209461.04122728563</v>
      </c>
      <c r="AB22" s="142">
        <f>IF(L22&gt;0,VLOOKUP(D22,Datos!$C$7:$E$11,3,0),VLOOKUP(D22,Datos!$C$7:$E$11,2,0))</f>
        <v>370000</v>
      </c>
      <c r="AC22" s="144">
        <f ca="1">(S22*PMT(Datos!$H$13,Datos!$H$12,-O22,,)*VLOOKUP(TODAY(),'UF HOY'!$A$2:$B$33,2,0)/12)+VLOOKUP(TODAY(),'UF HOY'!$A$2:$B$33,2,0)</f>
        <v>507512.92515290692</v>
      </c>
      <c r="AD22" s="144">
        <f t="shared" ca="1" si="10"/>
        <v>-137512.92515290692</v>
      </c>
      <c r="AE22" s="47">
        <f t="shared" ca="1" si="11"/>
        <v>2030051.7006116277</v>
      </c>
    </row>
    <row r="23" spans="1:31" s="145" customFormat="1" ht="15.5" hidden="1" x14ac:dyDescent="0.35">
      <c r="A23" s="129" t="s">
        <v>170</v>
      </c>
      <c r="B23" s="130">
        <v>504</v>
      </c>
      <c r="C23" s="131" t="s">
        <v>151</v>
      </c>
      <c r="D23" s="131" t="s">
        <v>153</v>
      </c>
      <c r="E23" s="131"/>
      <c r="F23" s="131">
        <v>31.86</v>
      </c>
      <c r="G23" s="131">
        <v>3.6</v>
      </c>
      <c r="H23" s="132">
        <f t="shared" si="0"/>
        <v>33.659999999999997</v>
      </c>
      <c r="I23" s="132">
        <f t="shared" si="1"/>
        <v>35.46</v>
      </c>
      <c r="J23" s="133">
        <v>2748.2669009492606</v>
      </c>
      <c r="K23" s="134">
        <v>0</v>
      </c>
      <c r="L23" s="135">
        <v>0</v>
      </c>
      <c r="M23" s="135">
        <v>0</v>
      </c>
      <c r="N23" s="69">
        <f t="shared" si="2"/>
        <v>2748.2669009492606</v>
      </c>
      <c r="O23" s="39">
        <f t="shared" si="3"/>
        <v>3053.6298899436229</v>
      </c>
      <c r="P23" s="136">
        <f t="shared" si="4"/>
        <v>81.647858019882975</v>
      </c>
      <c r="Q23" s="137">
        <f t="shared" si="5"/>
        <v>0.1</v>
      </c>
      <c r="R23" s="138">
        <f t="shared" si="6"/>
        <v>305.3629889943623</v>
      </c>
      <c r="S23" s="139">
        <v>0.8</v>
      </c>
      <c r="T23" s="138">
        <f t="shared" si="7"/>
        <v>2442.9039119548984</v>
      </c>
      <c r="U23" s="140">
        <f t="shared" si="8"/>
        <v>9.9999999999999978E-2</v>
      </c>
      <c r="V23" s="138">
        <f t="shared" si="9"/>
        <v>305.36298899436224</v>
      </c>
      <c r="W23" s="142">
        <f ca="1">V23*VLOOKUP(TODAY(),'UF HOY'!$A$2:$B$33,2,0)</f>
        <v>12133274.68292265</v>
      </c>
      <c r="X23" s="143">
        <f>Datos!$E$3</f>
        <v>31</v>
      </c>
      <c r="Y23" s="144">
        <f ca="1">IF((W23-1000000-Datos!$D$3)/X23&gt;0,(W23-1000000-Datos!$D$3)/X23,0)</f>
        <v>351073.37686847261</v>
      </c>
      <c r="Z23" s="143">
        <f>Datos!$F$3</f>
        <v>31</v>
      </c>
      <c r="AA23" s="144">
        <f ca="1">IF((W23-1750000-Datos!$D$3-3%*O23*VLOOKUP(TODAY(),'UF HOY'!$A$2:$B$33,2,0))/Z23&gt;0,(W23-1750000-Datos!$D$3-3%*O23*VLOOKUP(TODAY(),'UF HOY'!$A$2:$B$33,2,0))/Z23,0)</f>
        <v>209461.04122728563</v>
      </c>
      <c r="AB23" s="142">
        <f>IF(L23&gt;0,VLOOKUP(D23,Datos!$C$7:$E$11,3,0),VLOOKUP(D23,Datos!$C$7:$E$11,2,0))</f>
        <v>370000</v>
      </c>
      <c r="AC23" s="144">
        <f ca="1">(S23*PMT(Datos!$H$13,Datos!$H$12,-O23,,)*VLOOKUP(TODAY(),'UF HOY'!$A$2:$B$33,2,0)/12)+VLOOKUP(TODAY(),'UF HOY'!$A$2:$B$33,2,0)</f>
        <v>507512.92515290692</v>
      </c>
      <c r="AD23" s="144">
        <f t="shared" ca="1" si="10"/>
        <v>-137512.92515290692</v>
      </c>
      <c r="AE23" s="47">
        <f t="shared" ca="1" si="11"/>
        <v>2030051.7006116277</v>
      </c>
    </row>
    <row r="24" spans="1:31" s="145" customFormat="1" ht="15.5" hidden="1" x14ac:dyDescent="0.35">
      <c r="A24" s="129" t="s">
        <v>170</v>
      </c>
      <c r="B24" s="130">
        <v>507</v>
      </c>
      <c r="C24" s="131" t="s">
        <v>152</v>
      </c>
      <c r="D24" s="131" t="s">
        <v>153</v>
      </c>
      <c r="E24" s="131"/>
      <c r="F24" s="131">
        <v>31.86</v>
      </c>
      <c r="G24" s="131">
        <v>3.6</v>
      </c>
      <c r="H24" s="132">
        <f t="shared" si="0"/>
        <v>33.659999999999997</v>
      </c>
      <c r="I24" s="132">
        <f t="shared" si="1"/>
        <v>35.46</v>
      </c>
      <c r="J24" s="156">
        <v>2763.3007770644822</v>
      </c>
      <c r="K24" s="134">
        <v>0</v>
      </c>
      <c r="L24" s="135">
        <v>0</v>
      </c>
      <c r="M24" s="135">
        <v>0</v>
      </c>
      <c r="N24" s="69">
        <f t="shared" si="2"/>
        <v>2763.3007770644822</v>
      </c>
      <c r="O24" s="39">
        <f t="shared" si="3"/>
        <v>3070.3341967383135</v>
      </c>
      <c r="P24" s="136">
        <f t="shared" si="4"/>
        <v>82.094497238992346</v>
      </c>
      <c r="Q24" s="137">
        <f t="shared" si="5"/>
        <v>0.1</v>
      </c>
      <c r="R24" s="138">
        <f t="shared" si="6"/>
        <v>307.03341967383136</v>
      </c>
      <c r="S24" s="139">
        <v>0.8</v>
      </c>
      <c r="T24" s="138">
        <f t="shared" si="7"/>
        <v>2456.2673573906509</v>
      </c>
      <c r="U24" s="140">
        <f t="shared" si="8"/>
        <v>9.9999999999999978E-2</v>
      </c>
      <c r="V24" s="138">
        <f t="shared" si="9"/>
        <v>307.0334196738313</v>
      </c>
      <c r="W24" s="142">
        <f ca="1">V24*VLOOKUP(TODAY(),'UF HOY'!$A$2:$B$33,2,0)</f>
        <v>12199647.475314833</v>
      </c>
      <c r="X24" s="143">
        <f>Datos!$E$3</f>
        <v>31</v>
      </c>
      <c r="Y24" s="144">
        <f ca="1">IF((W24-1000000-Datos!$D$3)/X24&gt;0,(W24-1000000-Datos!$D$3)/X24,0)</f>
        <v>353214.43468757527</v>
      </c>
      <c r="Z24" s="143">
        <f>Datos!$F$3</f>
        <v>31</v>
      </c>
      <c r="AA24" s="144">
        <f ca="1">IF((W24-1750000-Datos!$D$3-3%*O24*VLOOKUP(TODAY(),'UF HOY'!$A$2:$B$33,2,0))/Z24&gt;0,(W24-1750000-Datos!$D$3-3%*O24*VLOOKUP(TODAY(),'UF HOY'!$A$2:$B$33,2,0))/Z24,0)</f>
        <v>210959.78170065751</v>
      </c>
      <c r="AB24" s="142">
        <f>IF(L24&gt;0,VLOOKUP(D24,Datos!$C$7:$E$11,3,0),VLOOKUP(D24,Datos!$C$7:$E$11,2,0))</f>
        <v>370000</v>
      </c>
      <c r="AC24" s="144">
        <f ca="1">(S24*PMT(Datos!$H$13,Datos!$H$12,-O24,,)*VLOOKUP(TODAY(),'UF HOY'!$A$2:$B$33,2,0)/12)+VLOOKUP(TODAY(),'UF HOY'!$A$2:$B$33,2,0)</f>
        <v>510071.82192878547</v>
      </c>
      <c r="AD24" s="144">
        <f t="shared" ca="1" si="10"/>
        <v>-140071.82192878547</v>
      </c>
      <c r="AE24" s="47">
        <f t="shared" ca="1" si="11"/>
        <v>2040287.2877151419</v>
      </c>
    </row>
    <row r="25" spans="1:31" s="145" customFormat="1" ht="15.5" hidden="1" x14ac:dyDescent="0.35">
      <c r="A25" s="129" t="s">
        <v>170</v>
      </c>
      <c r="B25" s="129">
        <v>601</v>
      </c>
      <c r="C25" s="131" t="s">
        <v>151</v>
      </c>
      <c r="D25" s="131" t="s">
        <v>153</v>
      </c>
      <c r="E25" s="131"/>
      <c r="F25" s="131">
        <v>31.86</v>
      </c>
      <c r="G25" s="131">
        <v>3.6</v>
      </c>
      <c r="H25" s="132">
        <f t="shared" si="0"/>
        <v>33.659999999999997</v>
      </c>
      <c r="I25" s="132">
        <f t="shared" si="1"/>
        <v>35.46</v>
      </c>
      <c r="J25" s="133">
        <v>2763.3007770644822</v>
      </c>
      <c r="K25" s="134">
        <v>0</v>
      </c>
      <c r="L25" s="135">
        <v>0</v>
      </c>
      <c r="M25" s="135">
        <v>0</v>
      </c>
      <c r="N25" s="69">
        <f t="shared" si="2"/>
        <v>2763.3007770644822</v>
      </c>
      <c r="O25" s="39">
        <f t="shared" si="3"/>
        <v>3070.3341967383135</v>
      </c>
      <c r="P25" s="136">
        <f t="shared" si="4"/>
        <v>82.094497238992346</v>
      </c>
      <c r="Q25" s="137">
        <f t="shared" si="5"/>
        <v>0.1</v>
      </c>
      <c r="R25" s="138">
        <f t="shared" si="6"/>
        <v>307.03341967383136</v>
      </c>
      <c r="S25" s="139">
        <v>0.8</v>
      </c>
      <c r="T25" s="138">
        <f t="shared" si="7"/>
        <v>2456.2673573906509</v>
      </c>
      <c r="U25" s="140">
        <f t="shared" si="8"/>
        <v>9.9999999999999978E-2</v>
      </c>
      <c r="V25" s="138">
        <f t="shared" si="9"/>
        <v>307.0334196738313</v>
      </c>
      <c r="W25" s="142">
        <f ca="1">V25*VLOOKUP(TODAY(),'UF HOY'!$A$2:$B$33,2,0)</f>
        <v>12199647.475314833</v>
      </c>
      <c r="X25" s="143">
        <f>Datos!$E$3</f>
        <v>31</v>
      </c>
      <c r="Y25" s="144">
        <f ca="1">IF((W25-1000000-Datos!$D$3)/X25&gt;0,(W25-1000000-Datos!$D$3)/X25,0)</f>
        <v>353214.43468757527</v>
      </c>
      <c r="Z25" s="143">
        <f>Datos!$F$3</f>
        <v>31</v>
      </c>
      <c r="AA25" s="144">
        <f ca="1">IF((W25-1750000-Datos!$D$3-3%*O25*VLOOKUP(TODAY(),'UF HOY'!$A$2:$B$33,2,0))/Z25&gt;0,(W25-1750000-Datos!$D$3-3%*O25*VLOOKUP(TODAY(),'UF HOY'!$A$2:$B$33,2,0))/Z25,0)</f>
        <v>210959.78170065751</v>
      </c>
      <c r="AB25" s="142">
        <f>IF(L25&gt;0,VLOOKUP(D25,Datos!$C$7:$E$11,3,0),VLOOKUP(D25,Datos!$C$7:$E$11,2,0))</f>
        <v>370000</v>
      </c>
      <c r="AC25" s="144">
        <f ca="1">(S25*PMT(Datos!$H$13,Datos!$H$12,-O25,,)*VLOOKUP(TODAY(),'UF HOY'!$A$2:$B$33,2,0)/12)+VLOOKUP(TODAY(),'UF HOY'!$A$2:$B$33,2,0)</f>
        <v>510071.82192878547</v>
      </c>
      <c r="AD25" s="144">
        <f t="shared" ca="1" si="10"/>
        <v>-140071.82192878547</v>
      </c>
      <c r="AE25" s="47">
        <f t="shared" ca="1" si="11"/>
        <v>2040287.2877151419</v>
      </c>
    </row>
    <row r="26" spans="1:31" s="145" customFormat="1" ht="15.5" hidden="1" x14ac:dyDescent="0.35">
      <c r="A26" s="129" t="s">
        <v>170</v>
      </c>
      <c r="B26" s="130">
        <v>602</v>
      </c>
      <c r="C26" s="131" t="s">
        <v>151</v>
      </c>
      <c r="D26" s="131" t="s">
        <v>153</v>
      </c>
      <c r="E26" s="131"/>
      <c r="F26" s="131">
        <v>33.369999999999997</v>
      </c>
      <c r="G26" s="131">
        <v>3.17</v>
      </c>
      <c r="H26" s="132">
        <f t="shared" si="0"/>
        <v>34.954999999999998</v>
      </c>
      <c r="I26" s="132">
        <f t="shared" si="1"/>
        <v>36.54</v>
      </c>
      <c r="J26" s="133">
        <v>2763.3007770644822</v>
      </c>
      <c r="K26" s="134">
        <v>0</v>
      </c>
      <c r="L26" s="135">
        <v>0</v>
      </c>
      <c r="M26" s="135">
        <v>0</v>
      </c>
      <c r="N26" s="69">
        <f t="shared" si="2"/>
        <v>2763.3007770644822</v>
      </c>
      <c r="O26" s="39">
        <f t="shared" si="3"/>
        <v>3070.3341967383135</v>
      </c>
      <c r="P26" s="136">
        <f t="shared" si="4"/>
        <v>79.053090461006505</v>
      </c>
      <c r="Q26" s="137">
        <f t="shared" si="5"/>
        <v>0.1</v>
      </c>
      <c r="R26" s="138">
        <f t="shared" si="6"/>
        <v>307.03341967383136</v>
      </c>
      <c r="S26" s="139">
        <v>0.8</v>
      </c>
      <c r="T26" s="138">
        <f t="shared" si="7"/>
        <v>2456.2673573906509</v>
      </c>
      <c r="U26" s="140">
        <f t="shared" si="8"/>
        <v>9.9999999999999978E-2</v>
      </c>
      <c r="V26" s="138">
        <f t="shared" si="9"/>
        <v>307.0334196738313</v>
      </c>
      <c r="W26" s="142">
        <f ca="1">V26*VLOOKUP(TODAY(),'UF HOY'!$A$2:$B$33,2,0)</f>
        <v>12199647.475314833</v>
      </c>
      <c r="X26" s="143">
        <f>Datos!$E$3</f>
        <v>31</v>
      </c>
      <c r="Y26" s="144">
        <f ca="1">IF((W26-1000000-Datos!$D$3)/X26&gt;0,(W26-1000000-Datos!$D$3)/X26,0)</f>
        <v>353214.43468757527</v>
      </c>
      <c r="Z26" s="143">
        <f>Datos!$F$3</f>
        <v>31</v>
      </c>
      <c r="AA26" s="144">
        <f ca="1">IF((W26-1750000-Datos!$D$3-3%*O26*VLOOKUP(TODAY(),'UF HOY'!$A$2:$B$33,2,0))/Z26&gt;0,(W26-1750000-Datos!$D$3-3%*O26*VLOOKUP(TODAY(),'UF HOY'!$A$2:$B$33,2,0))/Z26,0)</f>
        <v>210959.78170065751</v>
      </c>
      <c r="AB26" s="142">
        <f>IF(L26&gt;0,VLOOKUP(D26,Datos!$C$7:$E$11,3,0),VLOOKUP(D26,Datos!$C$7:$E$11,2,0))</f>
        <v>370000</v>
      </c>
      <c r="AC26" s="144">
        <f ca="1">(S26*PMT(Datos!$H$13,Datos!$H$12,-O26,,)*VLOOKUP(TODAY(),'UF HOY'!$A$2:$B$33,2,0)/12)+VLOOKUP(TODAY(),'UF HOY'!$A$2:$B$33,2,0)</f>
        <v>510071.82192878547</v>
      </c>
      <c r="AD26" s="144">
        <f t="shared" ca="1" si="10"/>
        <v>-140071.82192878547</v>
      </c>
      <c r="AE26" s="47">
        <f t="shared" ca="1" si="11"/>
        <v>2040287.2877151419</v>
      </c>
    </row>
    <row r="27" spans="1:31" s="145" customFormat="1" ht="15.5" hidden="1" x14ac:dyDescent="0.35">
      <c r="A27" s="129" t="s">
        <v>170</v>
      </c>
      <c r="B27" s="130">
        <v>603</v>
      </c>
      <c r="C27" s="131" t="s">
        <v>151</v>
      </c>
      <c r="D27" s="131" t="s">
        <v>153</v>
      </c>
      <c r="E27" s="131"/>
      <c r="F27" s="131">
        <v>33.369999999999997</v>
      </c>
      <c r="G27" s="131">
        <v>3.17</v>
      </c>
      <c r="H27" s="132">
        <f t="shared" si="0"/>
        <v>34.954999999999998</v>
      </c>
      <c r="I27" s="132">
        <f t="shared" si="1"/>
        <v>36.54</v>
      </c>
      <c r="J27" s="133">
        <v>2763.3007770644822</v>
      </c>
      <c r="K27" s="134">
        <v>0</v>
      </c>
      <c r="L27" s="135">
        <v>0</v>
      </c>
      <c r="M27" s="135">
        <v>0</v>
      </c>
      <c r="N27" s="69">
        <f t="shared" si="2"/>
        <v>2763.3007770644822</v>
      </c>
      <c r="O27" s="39">
        <f t="shared" si="3"/>
        <v>3070.3341967383135</v>
      </c>
      <c r="P27" s="136">
        <f t="shared" si="4"/>
        <v>79.053090461006505</v>
      </c>
      <c r="Q27" s="137">
        <f t="shared" si="5"/>
        <v>0.1</v>
      </c>
      <c r="R27" s="138">
        <f t="shared" si="6"/>
        <v>307.03341967383136</v>
      </c>
      <c r="S27" s="139">
        <v>0.8</v>
      </c>
      <c r="T27" s="138">
        <f t="shared" si="7"/>
        <v>2456.2673573906509</v>
      </c>
      <c r="U27" s="140">
        <f t="shared" si="8"/>
        <v>9.9999999999999978E-2</v>
      </c>
      <c r="V27" s="138">
        <f t="shared" si="9"/>
        <v>307.0334196738313</v>
      </c>
      <c r="W27" s="142">
        <f ca="1">V27*VLOOKUP(TODAY(),'UF HOY'!$A$2:$B$33,2,0)</f>
        <v>12199647.475314833</v>
      </c>
      <c r="X27" s="143">
        <f>Datos!$E$3</f>
        <v>31</v>
      </c>
      <c r="Y27" s="144">
        <f ca="1">IF((W27-1000000-Datos!$D$3)/X27&gt;0,(W27-1000000-Datos!$D$3)/X27,0)</f>
        <v>353214.43468757527</v>
      </c>
      <c r="Z27" s="143">
        <f>Datos!$F$3</f>
        <v>31</v>
      </c>
      <c r="AA27" s="144">
        <f ca="1">IF((W27-1750000-Datos!$D$3-3%*O27*VLOOKUP(TODAY(),'UF HOY'!$A$2:$B$33,2,0))/Z27&gt;0,(W27-1750000-Datos!$D$3-3%*O27*VLOOKUP(TODAY(),'UF HOY'!$A$2:$B$33,2,0))/Z27,0)</f>
        <v>210959.78170065751</v>
      </c>
      <c r="AB27" s="142">
        <f>IF(L27&gt;0,VLOOKUP(D27,Datos!$C$7:$E$11,3,0),VLOOKUP(D27,Datos!$C$7:$E$11,2,0))</f>
        <v>370000</v>
      </c>
      <c r="AC27" s="144">
        <f ca="1">(S27*PMT(Datos!$H$13,Datos!$H$12,-O27,,)*VLOOKUP(TODAY(),'UF HOY'!$A$2:$B$33,2,0)/12)+VLOOKUP(TODAY(),'UF HOY'!$A$2:$B$33,2,0)</f>
        <v>510071.82192878547</v>
      </c>
      <c r="AD27" s="144">
        <f t="shared" ca="1" si="10"/>
        <v>-140071.82192878547</v>
      </c>
      <c r="AE27" s="47">
        <f t="shared" ca="1" si="11"/>
        <v>2040287.2877151419</v>
      </c>
    </row>
    <row r="28" spans="1:31" s="145" customFormat="1" ht="15.5" hidden="1" x14ac:dyDescent="0.35">
      <c r="A28" s="129" t="s">
        <v>170</v>
      </c>
      <c r="B28" s="130">
        <v>604</v>
      </c>
      <c r="C28" s="131" t="s">
        <v>151</v>
      </c>
      <c r="D28" s="131" t="s">
        <v>153</v>
      </c>
      <c r="E28" s="131"/>
      <c r="F28" s="131">
        <v>31.86</v>
      </c>
      <c r="G28" s="131">
        <v>3.6</v>
      </c>
      <c r="H28" s="132">
        <f t="shared" si="0"/>
        <v>33.659999999999997</v>
      </c>
      <c r="I28" s="132">
        <f t="shared" si="1"/>
        <v>35.46</v>
      </c>
      <c r="J28" s="133">
        <v>2763.3007770644822</v>
      </c>
      <c r="K28" s="134">
        <v>0</v>
      </c>
      <c r="L28" s="135">
        <v>0</v>
      </c>
      <c r="M28" s="135">
        <v>0</v>
      </c>
      <c r="N28" s="69">
        <f t="shared" si="2"/>
        <v>2763.3007770644822</v>
      </c>
      <c r="O28" s="39">
        <f t="shared" si="3"/>
        <v>3070.3341967383135</v>
      </c>
      <c r="P28" s="136">
        <f t="shared" si="4"/>
        <v>82.094497238992346</v>
      </c>
      <c r="Q28" s="137">
        <f t="shared" si="5"/>
        <v>0.1</v>
      </c>
      <c r="R28" s="138">
        <f t="shared" si="6"/>
        <v>307.03341967383136</v>
      </c>
      <c r="S28" s="139">
        <v>0.8</v>
      </c>
      <c r="T28" s="138">
        <f t="shared" si="7"/>
        <v>2456.2673573906509</v>
      </c>
      <c r="U28" s="140">
        <f t="shared" si="8"/>
        <v>9.9999999999999978E-2</v>
      </c>
      <c r="V28" s="138">
        <f t="shared" si="9"/>
        <v>307.0334196738313</v>
      </c>
      <c r="W28" s="142">
        <f ca="1">V28*VLOOKUP(TODAY(),'UF HOY'!$A$2:$B$33,2,0)</f>
        <v>12199647.475314833</v>
      </c>
      <c r="X28" s="143">
        <f>Datos!$E$3</f>
        <v>31</v>
      </c>
      <c r="Y28" s="144">
        <f ca="1">IF((W28-1000000-Datos!$D$3)/X28&gt;0,(W28-1000000-Datos!$D$3)/X28,0)</f>
        <v>353214.43468757527</v>
      </c>
      <c r="Z28" s="143">
        <f>Datos!$F$3</f>
        <v>31</v>
      </c>
      <c r="AA28" s="144">
        <f ca="1">IF((W28-1750000-Datos!$D$3-3%*O28*VLOOKUP(TODAY(),'UF HOY'!$A$2:$B$33,2,0))/Z28&gt;0,(W28-1750000-Datos!$D$3-3%*O28*VLOOKUP(TODAY(),'UF HOY'!$A$2:$B$33,2,0))/Z28,0)</f>
        <v>210959.78170065751</v>
      </c>
      <c r="AB28" s="142">
        <f>IF(L28&gt;0,VLOOKUP(D28,Datos!$C$7:$E$11,3,0),VLOOKUP(D28,Datos!$C$7:$E$11,2,0))</f>
        <v>370000</v>
      </c>
      <c r="AC28" s="144">
        <f ca="1">(S28*PMT(Datos!$H$13,Datos!$H$12,-O28,,)*VLOOKUP(TODAY(),'UF HOY'!$A$2:$B$33,2,0)/12)+VLOOKUP(TODAY(),'UF HOY'!$A$2:$B$33,2,0)</f>
        <v>510071.82192878547</v>
      </c>
      <c r="AD28" s="144">
        <f t="shared" ca="1" si="10"/>
        <v>-140071.82192878547</v>
      </c>
      <c r="AE28" s="47">
        <f t="shared" ca="1" si="11"/>
        <v>2040287.2877151419</v>
      </c>
    </row>
    <row r="29" spans="1:31" s="145" customFormat="1" ht="15.5" hidden="1" x14ac:dyDescent="0.35">
      <c r="A29" s="129" t="s">
        <v>170</v>
      </c>
      <c r="B29" s="129">
        <v>616</v>
      </c>
      <c r="C29" s="131" t="s">
        <v>151</v>
      </c>
      <c r="D29" s="131" t="s">
        <v>153</v>
      </c>
      <c r="E29" s="131"/>
      <c r="F29" s="131">
        <v>33.369999999999997</v>
      </c>
      <c r="G29" s="131">
        <v>3.17</v>
      </c>
      <c r="H29" s="132">
        <f t="shared" si="0"/>
        <v>34.954999999999998</v>
      </c>
      <c r="I29" s="132">
        <f t="shared" si="1"/>
        <v>36.54</v>
      </c>
      <c r="J29" s="133">
        <v>2763.3007770644822</v>
      </c>
      <c r="K29" s="134">
        <v>0</v>
      </c>
      <c r="L29" s="135">
        <v>0</v>
      </c>
      <c r="M29" s="135">
        <v>0</v>
      </c>
      <c r="N29" s="69">
        <f t="shared" si="2"/>
        <v>2763.3007770644822</v>
      </c>
      <c r="O29" s="39">
        <f t="shared" si="3"/>
        <v>3070.3341967383135</v>
      </c>
      <c r="P29" s="136">
        <f t="shared" si="4"/>
        <v>79.053090461006505</v>
      </c>
      <c r="Q29" s="137">
        <f t="shared" si="5"/>
        <v>0.1</v>
      </c>
      <c r="R29" s="138">
        <f t="shared" si="6"/>
        <v>307.03341967383136</v>
      </c>
      <c r="S29" s="139">
        <v>0.8</v>
      </c>
      <c r="T29" s="138">
        <f t="shared" si="7"/>
        <v>2456.2673573906509</v>
      </c>
      <c r="U29" s="140">
        <f t="shared" si="8"/>
        <v>9.9999999999999978E-2</v>
      </c>
      <c r="V29" s="138">
        <f t="shared" si="9"/>
        <v>307.0334196738313</v>
      </c>
      <c r="W29" s="142">
        <f ca="1">V29*VLOOKUP(TODAY(),'UF HOY'!$A$2:$B$33,2,0)</f>
        <v>12199647.475314833</v>
      </c>
      <c r="X29" s="143">
        <f>Datos!$E$3</f>
        <v>31</v>
      </c>
      <c r="Y29" s="144">
        <f ca="1">IF((W29-1000000-Datos!$D$3)/X29&gt;0,(W29-1000000-Datos!$D$3)/X29,0)</f>
        <v>353214.43468757527</v>
      </c>
      <c r="Z29" s="143">
        <f>Datos!$F$3</f>
        <v>31</v>
      </c>
      <c r="AA29" s="144">
        <f ca="1">IF((W29-1750000-Datos!$D$3-3%*O29*VLOOKUP(TODAY(),'UF HOY'!$A$2:$B$33,2,0))/Z29&gt;0,(W29-1750000-Datos!$D$3-3%*O29*VLOOKUP(TODAY(),'UF HOY'!$A$2:$B$33,2,0))/Z29,0)</f>
        <v>210959.78170065751</v>
      </c>
      <c r="AB29" s="142">
        <f>IF(L29&gt;0,VLOOKUP(D29,Datos!$C$7:$E$11,3,0),VLOOKUP(D29,Datos!$C$7:$E$11,2,0))</f>
        <v>370000</v>
      </c>
      <c r="AC29" s="144">
        <f ca="1">(S29*PMT(Datos!$H$13,Datos!$H$12,-O29,,)*VLOOKUP(TODAY(),'UF HOY'!$A$2:$B$33,2,0)/12)+VLOOKUP(TODAY(),'UF HOY'!$A$2:$B$33,2,0)</f>
        <v>510071.82192878547</v>
      </c>
      <c r="AD29" s="144">
        <f t="shared" ca="1" si="10"/>
        <v>-140071.82192878547</v>
      </c>
      <c r="AE29" s="47">
        <f t="shared" ca="1" si="11"/>
        <v>2040287.2877151419</v>
      </c>
    </row>
    <row r="30" spans="1:31" s="145" customFormat="1" ht="15.5" hidden="1" x14ac:dyDescent="0.35">
      <c r="A30" s="129" t="s">
        <v>170</v>
      </c>
      <c r="B30" s="130">
        <v>307</v>
      </c>
      <c r="C30" s="131" t="s">
        <v>152</v>
      </c>
      <c r="D30" s="131" t="s">
        <v>153</v>
      </c>
      <c r="E30" s="131"/>
      <c r="F30" s="131">
        <v>31.63</v>
      </c>
      <c r="G30" s="131">
        <v>3.6</v>
      </c>
      <c r="H30" s="132">
        <f t="shared" si="0"/>
        <v>33.43</v>
      </c>
      <c r="I30" s="132">
        <f t="shared" si="1"/>
        <v>35.229999999999997</v>
      </c>
      <c r="J30" s="69">
        <v>2769</v>
      </c>
      <c r="K30" s="134">
        <v>0</v>
      </c>
      <c r="L30" s="135">
        <v>0</v>
      </c>
      <c r="M30" s="135">
        <v>0</v>
      </c>
      <c r="N30" s="69">
        <f t="shared" si="2"/>
        <v>2769</v>
      </c>
      <c r="O30" s="39">
        <f t="shared" si="3"/>
        <v>3076.6666666666665</v>
      </c>
      <c r="P30" s="136">
        <f t="shared" si="4"/>
        <v>82.829793598564166</v>
      </c>
      <c r="Q30" s="137">
        <f t="shared" si="5"/>
        <v>0.1</v>
      </c>
      <c r="R30" s="138">
        <f t="shared" si="6"/>
        <v>307.66666666666669</v>
      </c>
      <c r="S30" s="139">
        <v>0.8</v>
      </c>
      <c r="T30" s="138">
        <f t="shared" si="7"/>
        <v>2461.3333333333335</v>
      </c>
      <c r="U30" s="140">
        <f t="shared" si="8"/>
        <v>9.9999999999999978E-2</v>
      </c>
      <c r="V30" s="138">
        <f t="shared" si="9"/>
        <v>307.66666666666657</v>
      </c>
      <c r="W30" s="142">
        <f ca="1">V30*VLOOKUP(TODAY(),'UF HOY'!$A$2:$B$33,2,0)</f>
        <v>12224808.873333331</v>
      </c>
      <c r="X30" s="143">
        <f>Datos!$E$3</f>
        <v>31</v>
      </c>
      <c r="Y30" s="144">
        <f ca="1">IF((W30-1000000-Datos!$D$3)/X30&gt;0,(W30-1000000-Datos!$D$3)/X30,0)</f>
        <v>354026.09268817195</v>
      </c>
      <c r="Z30" s="143">
        <f>Datos!$F$3</f>
        <v>31</v>
      </c>
      <c r="AA30" s="144">
        <f ca="1">IF((W30-1750000-Datos!$D$3-3%*O30*VLOOKUP(TODAY(),'UF HOY'!$A$2:$B$33,2,0))/Z30&gt;0,(W30-1750000-Datos!$D$3-3%*O30*VLOOKUP(TODAY(),'UF HOY'!$A$2:$B$33,2,0))/Z30,0)</f>
        <v>211527.94230107518</v>
      </c>
      <c r="AB30" s="142">
        <f>IF(L30&gt;0,VLOOKUP(D30,Datos!$C$7:$E$11,3,0),VLOOKUP(D30,Datos!$C$7:$E$11,2,0))</f>
        <v>370000</v>
      </c>
      <c r="AC30" s="144">
        <f ca="1">(S30*PMT(Datos!$H$13,Datos!$H$12,-O30,,)*VLOOKUP(TODAY(),'UF HOY'!$A$2:$B$33,2,0)/12)+VLOOKUP(TODAY(),'UF HOY'!$A$2:$B$33,2,0)</f>
        <v>511041.87935661955</v>
      </c>
      <c r="AD30" s="144">
        <f t="shared" ca="1" si="10"/>
        <v>-141041.87935661955</v>
      </c>
      <c r="AE30" s="47">
        <f t="shared" ca="1" si="11"/>
        <v>2044167.5174264782</v>
      </c>
    </row>
    <row r="31" spans="1:31" s="145" customFormat="1" ht="15.5" hidden="1" x14ac:dyDescent="0.35">
      <c r="A31" s="129" t="s">
        <v>170</v>
      </c>
      <c r="B31" s="130">
        <v>308</v>
      </c>
      <c r="C31" s="131" t="s">
        <v>152</v>
      </c>
      <c r="D31" s="131" t="s">
        <v>153</v>
      </c>
      <c r="E31" s="131"/>
      <c r="F31" s="131">
        <v>31.63</v>
      </c>
      <c r="G31" s="131">
        <v>3.6</v>
      </c>
      <c r="H31" s="132">
        <f t="shared" si="0"/>
        <v>33.43</v>
      </c>
      <c r="I31" s="132">
        <f t="shared" si="1"/>
        <v>35.229999999999997</v>
      </c>
      <c r="J31" s="69">
        <v>2769</v>
      </c>
      <c r="K31" s="134">
        <v>0</v>
      </c>
      <c r="L31" s="135">
        <v>0</v>
      </c>
      <c r="M31" s="135">
        <v>0</v>
      </c>
      <c r="N31" s="69">
        <f t="shared" si="2"/>
        <v>2769</v>
      </c>
      <c r="O31" s="39">
        <f t="shared" si="3"/>
        <v>3076.6666666666665</v>
      </c>
      <c r="P31" s="136">
        <f t="shared" si="4"/>
        <v>82.829793598564166</v>
      </c>
      <c r="Q31" s="137">
        <f t="shared" si="5"/>
        <v>0.1</v>
      </c>
      <c r="R31" s="138">
        <f t="shared" si="6"/>
        <v>307.66666666666669</v>
      </c>
      <c r="S31" s="139">
        <v>0.8</v>
      </c>
      <c r="T31" s="138">
        <f t="shared" si="7"/>
        <v>2461.3333333333335</v>
      </c>
      <c r="U31" s="140">
        <f t="shared" si="8"/>
        <v>9.9999999999999978E-2</v>
      </c>
      <c r="V31" s="138">
        <f t="shared" si="9"/>
        <v>307.66666666666657</v>
      </c>
      <c r="W31" s="142">
        <f ca="1">V31*VLOOKUP(TODAY(),'UF HOY'!$A$2:$B$33,2,0)</f>
        <v>12224808.873333331</v>
      </c>
      <c r="X31" s="143">
        <f>Datos!$E$3</f>
        <v>31</v>
      </c>
      <c r="Y31" s="144">
        <f ca="1">IF((W31-1000000-Datos!$D$3)/X31&gt;0,(W31-1000000-Datos!$D$3)/X31,0)</f>
        <v>354026.09268817195</v>
      </c>
      <c r="Z31" s="143">
        <f>Datos!$F$3</f>
        <v>31</v>
      </c>
      <c r="AA31" s="144">
        <f ca="1">IF((W31-1750000-Datos!$D$3-3%*O31*VLOOKUP(TODAY(),'UF HOY'!$A$2:$B$33,2,0))/Z31&gt;0,(W31-1750000-Datos!$D$3-3%*O31*VLOOKUP(TODAY(),'UF HOY'!$A$2:$B$33,2,0))/Z31,0)</f>
        <v>211527.94230107518</v>
      </c>
      <c r="AB31" s="142">
        <f>IF(L31&gt;0,VLOOKUP(D31,Datos!$C$7:$E$11,3,0),VLOOKUP(D31,Datos!$C$7:$E$11,2,0))</f>
        <v>370000</v>
      </c>
      <c r="AC31" s="144">
        <f ca="1">(S31*PMT(Datos!$H$13,Datos!$H$12,-O31,,)*VLOOKUP(TODAY(),'UF HOY'!$A$2:$B$33,2,0)/12)+VLOOKUP(TODAY(),'UF HOY'!$A$2:$B$33,2,0)</f>
        <v>511041.87935661955</v>
      </c>
      <c r="AD31" s="144">
        <f t="shared" ca="1" si="10"/>
        <v>-141041.87935661955</v>
      </c>
      <c r="AE31" s="47">
        <f t="shared" ca="1" si="11"/>
        <v>2044167.5174264782</v>
      </c>
    </row>
    <row r="32" spans="1:31" s="145" customFormat="1" ht="15.5" hidden="1" x14ac:dyDescent="0.35">
      <c r="A32" s="129" t="s">
        <v>170</v>
      </c>
      <c r="B32" s="130">
        <v>608</v>
      </c>
      <c r="C32" s="131" t="s">
        <v>152</v>
      </c>
      <c r="D32" s="131" t="s">
        <v>153</v>
      </c>
      <c r="E32" s="131"/>
      <c r="F32" s="131">
        <v>31.86</v>
      </c>
      <c r="G32" s="131">
        <v>3.6</v>
      </c>
      <c r="H32" s="132">
        <f t="shared" si="0"/>
        <v>33.659999999999997</v>
      </c>
      <c r="I32" s="132">
        <f t="shared" si="1"/>
        <v>35.46</v>
      </c>
      <c r="J32" s="156">
        <v>2778.4173394983363</v>
      </c>
      <c r="K32" s="134">
        <v>0</v>
      </c>
      <c r="L32" s="135">
        <v>0</v>
      </c>
      <c r="M32" s="135">
        <v>0</v>
      </c>
      <c r="N32" s="69">
        <f t="shared" si="2"/>
        <v>2778.4173394983363</v>
      </c>
      <c r="O32" s="39">
        <f t="shared" si="3"/>
        <v>3087.1303772203737</v>
      </c>
      <c r="P32" s="136">
        <f t="shared" si="4"/>
        <v>82.543592973806795</v>
      </c>
      <c r="Q32" s="137">
        <f t="shared" si="5"/>
        <v>0.1</v>
      </c>
      <c r="R32" s="138">
        <f t="shared" si="6"/>
        <v>308.71303772203737</v>
      </c>
      <c r="S32" s="139">
        <v>0.8</v>
      </c>
      <c r="T32" s="138">
        <f t="shared" si="7"/>
        <v>2469.704301776299</v>
      </c>
      <c r="U32" s="140">
        <f t="shared" si="8"/>
        <v>9.9999999999999978E-2</v>
      </c>
      <c r="V32" s="138">
        <f t="shared" si="9"/>
        <v>308.71303772203731</v>
      </c>
      <c r="W32" s="142">
        <f ca="1">V32*VLOOKUP(TODAY(),'UF HOY'!$A$2:$B$33,2,0)</f>
        <v>12266385.318065168</v>
      </c>
      <c r="X32" s="143">
        <f>Datos!$E$3</f>
        <v>31</v>
      </c>
      <c r="Y32" s="144">
        <f ca="1">IF((W32-1000000-Datos!$D$3)/X32&gt;0,(W32-1000000-Datos!$D$3)/X32,0)</f>
        <v>355367.26832468284</v>
      </c>
      <c r="Z32" s="143">
        <f>Datos!$F$3</f>
        <v>31</v>
      </c>
      <c r="AA32" s="144">
        <f ca="1">IF((W32-1750000-Datos!$D$3-3%*O32*VLOOKUP(TODAY(),'UF HOY'!$A$2:$B$33,2,0))/Z32&gt;0,(W32-1750000-Datos!$D$3-3%*O32*VLOOKUP(TODAY(),'UF HOY'!$A$2:$B$33,2,0))/Z32,0)</f>
        <v>212466.76524663283</v>
      </c>
      <c r="AB32" s="142">
        <f>IF(L32&gt;0,VLOOKUP(D32,Datos!$C$7:$E$11,3,0),VLOOKUP(D32,Datos!$C$7:$E$11,2,0))</f>
        <v>370000</v>
      </c>
      <c r="AC32" s="144">
        <f ca="1">(S32*PMT(Datos!$H$13,Datos!$H$12,-O32,,)*VLOOKUP(TODAY(),'UF HOY'!$A$2:$B$33,2,0)/12)+VLOOKUP(TODAY(),'UF HOY'!$A$2:$B$33,2,0)</f>
        <v>512644.79263693118</v>
      </c>
      <c r="AD32" s="144">
        <f t="shared" ca="1" si="10"/>
        <v>-142644.79263693118</v>
      </c>
      <c r="AE32" s="47">
        <f t="shared" ca="1" si="11"/>
        <v>2050579.1705477247</v>
      </c>
    </row>
    <row r="33" spans="1:31" s="145" customFormat="1" ht="15.5" hidden="1" x14ac:dyDescent="0.35">
      <c r="A33" s="129" t="s">
        <v>170</v>
      </c>
      <c r="B33" s="130">
        <v>702</v>
      </c>
      <c r="C33" s="131" t="s">
        <v>151</v>
      </c>
      <c r="D33" s="131" t="s">
        <v>153</v>
      </c>
      <c r="E33" s="131"/>
      <c r="F33" s="131">
        <v>33.369999999999997</v>
      </c>
      <c r="G33" s="131">
        <v>3.17</v>
      </c>
      <c r="H33" s="132">
        <f t="shared" si="0"/>
        <v>34.954999999999998</v>
      </c>
      <c r="I33" s="132">
        <f t="shared" si="1"/>
        <v>36.54</v>
      </c>
      <c r="J33" s="133">
        <v>2778.4173394983363</v>
      </c>
      <c r="K33" s="134">
        <v>0</v>
      </c>
      <c r="L33" s="135">
        <v>0</v>
      </c>
      <c r="M33" s="135">
        <v>0</v>
      </c>
      <c r="N33" s="69">
        <f t="shared" si="2"/>
        <v>2778.4173394983363</v>
      </c>
      <c r="O33" s="39">
        <f t="shared" si="3"/>
        <v>3087.1303772203737</v>
      </c>
      <c r="P33" s="136">
        <f t="shared" si="4"/>
        <v>79.485548262003618</v>
      </c>
      <c r="Q33" s="137">
        <f t="shared" si="5"/>
        <v>0.1</v>
      </c>
      <c r="R33" s="138">
        <f t="shared" si="6"/>
        <v>308.71303772203737</v>
      </c>
      <c r="S33" s="139">
        <v>0.8</v>
      </c>
      <c r="T33" s="138">
        <f t="shared" si="7"/>
        <v>2469.704301776299</v>
      </c>
      <c r="U33" s="140">
        <f t="shared" si="8"/>
        <v>9.9999999999999978E-2</v>
      </c>
      <c r="V33" s="138">
        <f t="shared" si="9"/>
        <v>308.71303772203731</v>
      </c>
      <c r="W33" s="142">
        <f ca="1">V33*VLOOKUP(TODAY(),'UF HOY'!$A$2:$B$33,2,0)</f>
        <v>12266385.318065168</v>
      </c>
      <c r="X33" s="143">
        <f>Datos!$E$3</f>
        <v>31</v>
      </c>
      <c r="Y33" s="144">
        <f ca="1">IF((W33-1000000-Datos!$D$3)/X33&gt;0,(W33-1000000-Datos!$D$3)/X33,0)</f>
        <v>355367.26832468284</v>
      </c>
      <c r="Z33" s="143">
        <f>Datos!$F$3</f>
        <v>31</v>
      </c>
      <c r="AA33" s="144">
        <f ca="1">IF((W33-1750000-Datos!$D$3-3%*O33*VLOOKUP(TODAY(),'UF HOY'!$A$2:$B$33,2,0))/Z33&gt;0,(W33-1750000-Datos!$D$3-3%*O33*VLOOKUP(TODAY(),'UF HOY'!$A$2:$B$33,2,0))/Z33,0)</f>
        <v>212466.76524663283</v>
      </c>
      <c r="AB33" s="142">
        <f>IF(L33&gt;0,VLOOKUP(D33,Datos!$C$7:$E$11,3,0),VLOOKUP(D33,Datos!$C$7:$E$11,2,0))</f>
        <v>370000</v>
      </c>
      <c r="AC33" s="144">
        <f ca="1">(S33*PMT(Datos!$H$13,Datos!$H$12,-O33,,)*VLOOKUP(TODAY(),'UF HOY'!$A$2:$B$33,2,0)/12)+VLOOKUP(TODAY(),'UF HOY'!$A$2:$B$33,2,0)</f>
        <v>512644.79263693118</v>
      </c>
      <c r="AD33" s="144">
        <f t="shared" ca="1" si="10"/>
        <v>-142644.79263693118</v>
      </c>
      <c r="AE33" s="47">
        <f t="shared" ca="1" si="11"/>
        <v>2050579.1705477247</v>
      </c>
    </row>
    <row r="34" spans="1:31" s="145" customFormat="1" ht="15.5" hidden="1" x14ac:dyDescent="0.35">
      <c r="A34" s="129" t="s">
        <v>170</v>
      </c>
      <c r="B34" s="129">
        <v>703</v>
      </c>
      <c r="C34" s="131" t="s">
        <v>151</v>
      </c>
      <c r="D34" s="131" t="s">
        <v>153</v>
      </c>
      <c r="E34" s="131"/>
      <c r="F34" s="131">
        <v>33.369999999999997</v>
      </c>
      <c r="G34" s="131">
        <v>3.17</v>
      </c>
      <c r="H34" s="132">
        <f t="shared" si="0"/>
        <v>34.954999999999998</v>
      </c>
      <c r="I34" s="132">
        <f t="shared" si="1"/>
        <v>36.54</v>
      </c>
      <c r="J34" s="133">
        <v>2778.4173394983363</v>
      </c>
      <c r="K34" s="134">
        <v>0</v>
      </c>
      <c r="L34" s="135">
        <v>0</v>
      </c>
      <c r="M34" s="135">
        <v>0</v>
      </c>
      <c r="N34" s="69">
        <f t="shared" si="2"/>
        <v>2778.4173394983363</v>
      </c>
      <c r="O34" s="39">
        <f t="shared" si="3"/>
        <v>3087.1303772203737</v>
      </c>
      <c r="P34" s="136">
        <f t="shared" si="4"/>
        <v>79.485548262003618</v>
      </c>
      <c r="Q34" s="137">
        <f t="shared" si="5"/>
        <v>0.1</v>
      </c>
      <c r="R34" s="138">
        <f t="shared" si="6"/>
        <v>308.71303772203737</v>
      </c>
      <c r="S34" s="139">
        <v>0.8</v>
      </c>
      <c r="T34" s="138">
        <f t="shared" si="7"/>
        <v>2469.704301776299</v>
      </c>
      <c r="U34" s="140">
        <f t="shared" si="8"/>
        <v>9.9999999999999978E-2</v>
      </c>
      <c r="V34" s="138">
        <f t="shared" si="9"/>
        <v>308.71303772203731</v>
      </c>
      <c r="W34" s="142">
        <f ca="1">V34*VLOOKUP(TODAY(),'UF HOY'!$A$2:$B$33,2,0)</f>
        <v>12266385.318065168</v>
      </c>
      <c r="X34" s="143">
        <f>Datos!$E$3</f>
        <v>31</v>
      </c>
      <c r="Y34" s="144">
        <f ca="1">IF((W34-1000000-Datos!$D$3)/X34&gt;0,(W34-1000000-Datos!$D$3)/X34,0)</f>
        <v>355367.26832468284</v>
      </c>
      <c r="Z34" s="143">
        <f>Datos!$F$3</f>
        <v>31</v>
      </c>
      <c r="AA34" s="144">
        <f ca="1">IF((W34-1750000-Datos!$D$3-3%*O34*VLOOKUP(TODAY(),'UF HOY'!$A$2:$B$33,2,0))/Z34&gt;0,(W34-1750000-Datos!$D$3-3%*O34*VLOOKUP(TODAY(),'UF HOY'!$A$2:$B$33,2,0))/Z34,0)</f>
        <v>212466.76524663283</v>
      </c>
      <c r="AB34" s="142">
        <f>IF(L34&gt;0,VLOOKUP(D34,Datos!$C$7:$E$11,3,0),VLOOKUP(D34,Datos!$C$7:$E$11,2,0))</f>
        <v>370000</v>
      </c>
      <c r="AC34" s="144">
        <f ca="1">(S34*PMT(Datos!$H$13,Datos!$H$12,-O34,,)*VLOOKUP(TODAY(),'UF HOY'!$A$2:$B$33,2,0)/12)+VLOOKUP(TODAY(),'UF HOY'!$A$2:$B$33,2,0)</f>
        <v>512644.79263693118</v>
      </c>
      <c r="AD34" s="144">
        <f t="shared" ca="1" si="10"/>
        <v>-142644.79263693118</v>
      </c>
      <c r="AE34" s="47">
        <f t="shared" ca="1" si="11"/>
        <v>2050579.1705477247</v>
      </c>
    </row>
    <row r="35" spans="1:31" s="145" customFormat="1" ht="15.5" hidden="1" x14ac:dyDescent="0.35">
      <c r="A35" s="129" t="s">
        <v>170</v>
      </c>
      <c r="B35" s="130">
        <v>704</v>
      </c>
      <c r="C35" s="131" t="s">
        <v>151</v>
      </c>
      <c r="D35" s="131" t="s">
        <v>153</v>
      </c>
      <c r="E35" s="131"/>
      <c r="F35" s="131">
        <v>31.86</v>
      </c>
      <c r="G35" s="131">
        <v>3.6</v>
      </c>
      <c r="H35" s="132">
        <f t="shared" si="0"/>
        <v>33.659999999999997</v>
      </c>
      <c r="I35" s="132">
        <f t="shared" si="1"/>
        <v>35.46</v>
      </c>
      <c r="J35" s="133">
        <v>2778.4173394983363</v>
      </c>
      <c r="K35" s="134">
        <v>0</v>
      </c>
      <c r="L35" s="135">
        <v>0</v>
      </c>
      <c r="M35" s="135">
        <v>0</v>
      </c>
      <c r="N35" s="69">
        <f t="shared" si="2"/>
        <v>2778.4173394983363</v>
      </c>
      <c r="O35" s="39">
        <f t="shared" si="3"/>
        <v>3087.1303772203737</v>
      </c>
      <c r="P35" s="136">
        <f t="shared" si="4"/>
        <v>82.543592973806795</v>
      </c>
      <c r="Q35" s="137">
        <f t="shared" si="5"/>
        <v>0.1</v>
      </c>
      <c r="R35" s="138">
        <f t="shared" si="6"/>
        <v>308.71303772203737</v>
      </c>
      <c r="S35" s="139">
        <v>0.8</v>
      </c>
      <c r="T35" s="138">
        <f t="shared" si="7"/>
        <v>2469.704301776299</v>
      </c>
      <c r="U35" s="140">
        <f t="shared" si="8"/>
        <v>9.9999999999999978E-2</v>
      </c>
      <c r="V35" s="138">
        <f t="shared" si="9"/>
        <v>308.71303772203731</v>
      </c>
      <c r="W35" s="142">
        <f ca="1">V35*VLOOKUP(TODAY(),'UF HOY'!$A$2:$B$33,2,0)</f>
        <v>12266385.318065168</v>
      </c>
      <c r="X35" s="143">
        <f>Datos!$E$3</f>
        <v>31</v>
      </c>
      <c r="Y35" s="144">
        <f ca="1">IF((W35-1000000-Datos!$D$3)/X35&gt;0,(W35-1000000-Datos!$D$3)/X35,0)</f>
        <v>355367.26832468284</v>
      </c>
      <c r="Z35" s="143">
        <f>Datos!$F$3</f>
        <v>31</v>
      </c>
      <c r="AA35" s="144">
        <f ca="1">IF((W35-1750000-Datos!$D$3-3%*O35*VLOOKUP(TODAY(),'UF HOY'!$A$2:$B$33,2,0))/Z35&gt;0,(W35-1750000-Datos!$D$3-3%*O35*VLOOKUP(TODAY(),'UF HOY'!$A$2:$B$33,2,0))/Z35,0)</f>
        <v>212466.76524663283</v>
      </c>
      <c r="AB35" s="142">
        <f>IF(L35&gt;0,VLOOKUP(D35,Datos!$C$7:$E$11,3,0),VLOOKUP(D35,Datos!$C$7:$E$11,2,0))</f>
        <v>370000</v>
      </c>
      <c r="AC35" s="144">
        <f ca="1">(S35*PMT(Datos!$H$13,Datos!$H$12,-O35,,)*VLOOKUP(TODAY(),'UF HOY'!$A$2:$B$33,2,0)/12)+VLOOKUP(TODAY(),'UF HOY'!$A$2:$B$33,2,0)</f>
        <v>512644.79263693118</v>
      </c>
      <c r="AD35" s="144">
        <f t="shared" ca="1" si="10"/>
        <v>-142644.79263693118</v>
      </c>
      <c r="AE35" s="47">
        <f t="shared" ca="1" si="11"/>
        <v>2050579.1705477247</v>
      </c>
    </row>
    <row r="36" spans="1:31" s="145" customFormat="1" ht="15.5" hidden="1" x14ac:dyDescent="0.35">
      <c r="A36" s="129" t="s">
        <v>170</v>
      </c>
      <c r="B36" s="130">
        <v>716</v>
      </c>
      <c r="C36" s="131" t="s">
        <v>151</v>
      </c>
      <c r="D36" s="131" t="s">
        <v>153</v>
      </c>
      <c r="E36" s="131"/>
      <c r="F36" s="131">
        <v>33.369999999999997</v>
      </c>
      <c r="G36" s="131">
        <v>3.17</v>
      </c>
      <c r="H36" s="132">
        <f t="shared" si="0"/>
        <v>34.954999999999998</v>
      </c>
      <c r="I36" s="132">
        <f t="shared" si="1"/>
        <v>36.54</v>
      </c>
      <c r="J36" s="133">
        <v>2778.4173394983363</v>
      </c>
      <c r="K36" s="134">
        <v>0</v>
      </c>
      <c r="L36" s="135">
        <v>0</v>
      </c>
      <c r="M36" s="135">
        <v>0</v>
      </c>
      <c r="N36" s="69">
        <f t="shared" si="2"/>
        <v>2778.4173394983363</v>
      </c>
      <c r="O36" s="39">
        <f t="shared" si="3"/>
        <v>3087.1303772203737</v>
      </c>
      <c r="P36" s="136">
        <f t="shared" si="4"/>
        <v>79.485548262003618</v>
      </c>
      <c r="Q36" s="137">
        <f t="shared" si="5"/>
        <v>0.1</v>
      </c>
      <c r="R36" s="138">
        <f t="shared" si="6"/>
        <v>308.71303772203737</v>
      </c>
      <c r="S36" s="139">
        <v>0.8</v>
      </c>
      <c r="T36" s="138">
        <f t="shared" si="7"/>
        <v>2469.704301776299</v>
      </c>
      <c r="U36" s="140">
        <f t="shared" si="8"/>
        <v>9.9999999999999978E-2</v>
      </c>
      <c r="V36" s="138">
        <f t="shared" si="9"/>
        <v>308.71303772203731</v>
      </c>
      <c r="W36" s="142">
        <f ca="1">V36*VLOOKUP(TODAY(),'UF HOY'!$A$2:$B$33,2,0)</f>
        <v>12266385.318065168</v>
      </c>
      <c r="X36" s="143">
        <f>Datos!$E$3</f>
        <v>31</v>
      </c>
      <c r="Y36" s="144">
        <f ca="1">IF((W36-1000000-Datos!$D$3)/X36&gt;0,(W36-1000000-Datos!$D$3)/X36,0)</f>
        <v>355367.26832468284</v>
      </c>
      <c r="Z36" s="143">
        <f>Datos!$F$3</f>
        <v>31</v>
      </c>
      <c r="AA36" s="144">
        <f ca="1">IF((W36-1750000-Datos!$D$3-3%*O36*VLOOKUP(TODAY(),'UF HOY'!$A$2:$B$33,2,0))/Z36&gt;0,(W36-1750000-Datos!$D$3-3%*O36*VLOOKUP(TODAY(),'UF HOY'!$A$2:$B$33,2,0))/Z36,0)</f>
        <v>212466.76524663283</v>
      </c>
      <c r="AB36" s="142">
        <f>IF(L36&gt;0,VLOOKUP(D36,Datos!$C$7:$E$11,3,0),VLOOKUP(D36,Datos!$C$7:$E$11,2,0))</f>
        <v>370000</v>
      </c>
      <c r="AC36" s="144">
        <f ca="1">(S36*PMT(Datos!$H$13,Datos!$H$12,-O36,,)*VLOOKUP(TODAY(),'UF HOY'!$A$2:$B$33,2,0)/12)+VLOOKUP(TODAY(),'UF HOY'!$A$2:$B$33,2,0)</f>
        <v>512644.79263693118</v>
      </c>
      <c r="AD36" s="144">
        <f t="shared" ca="1" si="10"/>
        <v>-142644.79263693118</v>
      </c>
      <c r="AE36" s="47">
        <f t="shared" ca="1" si="11"/>
        <v>2050579.1705477247</v>
      </c>
    </row>
    <row r="37" spans="1:31" s="145" customFormat="1" ht="15.5" hidden="1" x14ac:dyDescent="0.35">
      <c r="A37" s="129" t="s">
        <v>170</v>
      </c>
      <c r="B37" s="130">
        <v>207</v>
      </c>
      <c r="C37" s="131" t="s">
        <v>152</v>
      </c>
      <c r="D37" s="131" t="s">
        <v>153</v>
      </c>
      <c r="E37" s="131"/>
      <c r="F37" s="131">
        <v>31.63</v>
      </c>
      <c r="G37" s="131">
        <v>3.6</v>
      </c>
      <c r="H37" s="132">
        <f t="shared" si="0"/>
        <v>33.43</v>
      </c>
      <c r="I37" s="132">
        <f t="shared" si="1"/>
        <v>35.229999999999997</v>
      </c>
      <c r="J37" s="133">
        <v>2781.54</v>
      </c>
      <c r="K37" s="134">
        <v>0</v>
      </c>
      <c r="L37" s="135">
        <v>0</v>
      </c>
      <c r="M37" s="135">
        <v>0</v>
      </c>
      <c r="N37" s="69">
        <f t="shared" si="2"/>
        <v>2781.54</v>
      </c>
      <c r="O37" s="39">
        <f t="shared" si="3"/>
        <v>3090.6</v>
      </c>
      <c r="P37" s="136">
        <f t="shared" si="4"/>
        <v>83.204905773257551</v>
      </c>
      <c r="Q37" s="137">
        <f t="shared" si="5"/>
        <v>0.1</v>
      </c>
      <c r="R37" s="138">
        <f t="shared" si="6"/>
        <v>309.06</v>
      </c>
      <c r="S37" s="139">
        <v>0.8</v>
      </c>
      <c r="T37" s="138">
        <f t="shared" si="7"/>
        <v>2472.48</v>
      </c>
      <c r="U37" s="140">
        <f t="shared" si="8"/>
        <v>9.9999999999999978E-2</v>
      </c>
      <c r="V37" s="138">
        <f t="shared" si="9"/>
        <v>309.05999999999995</v>
      </c>
      <c r="W37" s="142">
        <f ca="1">V37*VLOOKUP(TODAY(),'UF HOY'!$A$2:$B$33,2,0)</f>
        <v>12280171.496399999</v>
      </c>
      <c r="X37" s="143">
        <f>Datos!$E$3</f>
        <v>31</v>
      </c>
      <c r="Y37" s="144">
        <f ca="1">IF((W37-1000000-Datos!$D$3)/X37&gt;0,(W37-1000000-Datos!$D$3)/X37,0)</f>
        <v>355811.98375483864</v>
      </c>
      <c r="Z37" s="143">
        <f>Datos!$F$3</f>
        <v>31</v>
      </c>
      <c r="AA37" s="144">
        <f ca="1">IF((W37-1750000-Datos!$D$3-3%*O37*VLOOKUP(TODAY(),'UF HOY'!$A$2:$B$33,2,0))/Z37&gt;0,(W37-1750000-Datos!$D$3-3%*O37*VLOOKUP(TODAY(),'UF HOY'!$A$2:$B$33,2,0))/Z37,0)</f>
        <v>212778.06604774189</v>
      </c>
      <c r="AB37" s="142">
        <f>IF(L37&gt;0,VLOOKUP(D37,Datos!$C$7:$E$11,3,0),VLOOKUP(D37,Datos!$C$7:$E$11,2,0))</f>
        <v>370000</v>
      </c>
      <c r="AC37" s="144">
        <f ca="1">(S37*PMT(Datos!$H$13,Datos!$H$12,-O37,,)*VLOOKUP(TODAY(),'UF HOY'!$A$2:$B$33,2,0)/12)+VLOOKUP(TODAY(),'UF HOY'!$A$2:$B$33,2,0)</f>
        <v>513176.29667678295</v>
      </c>
      <c r="AD37" s="144">
        <f t="shared" ca="1" si="10"/>
        <v>-143176.29667678295</v>
      </c>
      <c r="AE37" s="47">
        <f t="shared" ca="1" si="11"/>
        <v>2052705.1867071318</v>
      </c>
    </row>
    <row r="38" spans="1:31" s="145" customFormat="1" ht="15.5" hidden="1" x14ac:dyDescent="0.35">
      <c r="A38" s="129" t="s">
        <v>170</v>
      </c>
      <c r="B38" s="130">
        <v>208</v>
      </c>
      <c r="C38" s="131" t="s">
        <v>152</v>
      </c>
      <c r="D38" s="131" t="s">
        <v>153</v>
      </c>
      <c r="E38" s="131"/>
      <c r="F38" s="131">
        <v>31.63</v>
      </c>
      <c r="G38" s="131">
        <v>3.6</v>
      </c>
      <c r="H38" s="132">
        <f t="shared" si="0"/>
        <v>33.43</v>
      </c>
      <c r="I38" s="132">
        <f t="shared" si="1"/>
        <v>35.229999999999997</v>
      </c>
      <c r="J38" s="133">
        <v>2781.54</v>
      </c>
      <c r="K38" s="134">
        <v>0</v>
      </c>
      <c r="L38" s="135">
        <v>0</v>
      </c>
      <c r="M38" s="135">
        <v>0</v>
      </c>
      <c r="N38" s="69">
        <f t="shared" si="2"/>
        <v>2781.54</v>
      </c>
      <c r="O38" s="39">
        <f t="shared" si="3"/>
        <v>3090.6</v>
      </c>
      <c r="P38" s="136">
        <f t="shared" si="4"/>
        <v>83.204905773257551</v>
      </c>
      <c r="Q38" s="137">
        <f t="shared" si="5"/>
        <v>0.1</v>
      </c>
      <c r="R38" s="138">
        <f t="shared" si="6"/>
        <v>309.06</v>
      </c>
      <c r="S38" s="139">
        <v>0.8</v>
      </c>
      <c r="T38" s="138">
        <f t="shared" si="7"/>
        <v>2472.48</v>
      </c>
      <c r="U38" s="140">
        <f t="shared" si="8"/>
        <v>9.9999999999999978E-2</v>
      </c>
      <c r="V38" s="138">
        <f t="shared" si="9"/>
        <v>309.05999999999995</v>
      </c>
      <c r="W38" s="142">
        <f ca="1">V38*VLOOKUP(TODAY(),'UF HOY'!$A$2:$B$33,2,0)</f>
        <v>12280171.496399999</v>
      </c>
      <c r="X38" s="143">
        <f>Datos!$E$3</f>
        <v>31</v>
      </c>
      <c r="Y38" s="144">
        <f ca="1">IF((W38-1000000-Datos!$D$3)/X38&gt;0,(W38-1000000-Datos!$D$3)/X38,0)</f>
        <v>355811.98375483864</v>
      </c>
      <c r="Z38" s="143">
        <f>Datos!$F$3</f>
        <v>31</v>
      </c>
      <c r="AA38" s="144">
        <f ca="1">IF((W38-1750000-Datos!$D$3-3%*O38*VLOOKUP(TODAY(),'UF HOY'!$A$2:$B$33,2,0))/Z38&gt;0,(W38-1750000-Datos!$D$3-3%*O38*VLOOKUP(TODAY(),'UF HOY'!$A$2:$B$33,2,0))/Z38,0)</f>
        <v>212778.06604774189</v>
      </c>
      <c r="AB38" s="142">
        <f>IF(L38&gt;0,VLOOKUP(D38,Datos!$C$7:$E$11,3,0),VLOOKUP(D38,Datos!$C$7:$E$11,2,0))</f>
        <v>370000</v>
      </c>
      <c r="AC38" s="144">
        <f ca="1">(S38*PMT(Datos!$H$13,Datos!$H$12,-O38,,)*VLOOKUP(TODAY(),'UF HOY'!$A$2:$B$33,2,0)/12)+VLOOKUP(TODAY(),'UF HOY'!$A$2:$B$33,2,0)</f>
        <v>513176.29667678295</v>
      </c>
      <c r="AD38" s="144">
        <f t="shared" ca="1" si="10"/>
        <v>-143176.29667678295</v>
      </c>
      <c r="AE38" s="47">
        <f t="shared" ca="1" si="11"/>
        <v>2052705.1867071318</v>
      </c>
    </row>
    <row r="39" spans="1:31" s="145" customFormat="1" ht="15.5" hidden="1" x14ac:dyDescent="0.35">
      <c r="A39" s="129" t="s">
        <v>170</v>
      </c>
      <c r="B39" s="130">
        <v>209</v>
      </c>
      <c r="C39" s="131" t="s">
        <v>152</v>
      </c>
      <c r="D39" s="131" t="s">
        <v>153</v>
      </c>
      <c r="E39" s="131"/>
      <c r="F39" s="131">
        <v>31.63</v>
      </c>
      <c r="G39" s="131">
        <v>3.6</v>
      </c>
      <c r="H39" s="132">
        <f t="shared" si="0"/>
        <v>33.43</v>
      </c>
      <c r="I39" s="132">
        <f t="shared" si="1"/>
        <v>35.229999999999997</v>
      </c>
      <c r="J39" s="133">
        <v>2781.54</v>
      </c>
      <c r="K39" s="134">
        <v>0</v>
      </c>
      <c r="L39" s="135">
        <v>0</v>
      </c>
      <c r="M39" s="135">
        <v>0</v>
      </c>
      <c r="N39" s="69">
        <f t="shared" si="2"/>
        <v>2781.54</v>
      </c>
      <c r="O39" s="39">
        <f t="shared" si="3"/>
        <v>3090.6</v>
      </c>
      <c r="P39" s="136">
        <f t="shared" si="4"/>
        <v>83.204905773257551</v>
      </c>
      <c r="Q39" s="137">
        <f t="shared" si="5"/>
        <v>0.1</v>
      </c>
      <c r="R39" s="138">
        <f t="shared" si="6"/>
        <v>309.06</v>
      </c>
      <c r="S39" s="139">
        <v>0.8</v>
      </c>
      <c r="T39" s="138">
        <f t="shared" si="7"/>
        <v>2472.48</v>
      </c>
      <c r="U39" s="140">
        <f t="shared" si="8"/>
        <v>9.9999999999999978E-2</v>
      </c>
      <c r="V39" s="138">
        <f t="shared" si="9"/>
        <v>309.05999999999995</v>
      </c>
      <c r="W39" s="142">
        <f ca="1">V39*VLOOKUP(TODAY(),'UF HOY'!$A$2:$B$33,2,0)</f>
        <v>12280171.496399999</v>
      </c>
      <c r="X39" s="143">
        <f>Datos!$E$3</f>
        <v>31</v>
      </c>
      <c r="Y39" s="144">
        <f ca="1">IF((W39-1000000-Datos!$D$3)/X39&gt;0,(W39-1000000-Datos!$D$3)/X39,0)</f>
        <v>355811.98375483864</v>
      </c>
      <c r="Z39" s="143">
        <f>Datos!$F$3</f>
        <v>31</v>
      </c>
      <c r="AA39" s="144">
        <f ca="1">IF((W39-1750000-Datos!$D$3-3%*O39*VLOOKUP(TODAY(),'UF HOY'!$A$2:$B$33,2,0))/Z39&gt;0,(W39-1750000-Datos!$D$3-3%*O39*VLOOKUP(TODAY(),'UF HOY'!$A$2:$B$33,2,0))/Z39,0)</f>
        <v>212778.06604774189</v>
      </c>
      <c r="AB39" s="142">
        <f>IF(L39&gt;0,VLOOKUP(D39,Datos!$C$7:$E$11,3,0),VLOOKUP(D39,Datos!$C$7:$E$11,2,0))</f>
        <v>370000</v>
      </c>
      <c r="AC39" s="144">
        <f ca="1">(S39*PMT(Datos!$H$13,Datos!$H$12,-O39,,)*VLOOKUP(TODAY(),'UF HOY'!$A$2:$B$33,2,0)/12)+VLOOKUP(TODAY(),'UF HOY'!$A$2:$B$33,2,0)</f>
        <v>513176.29667678295</v>
      </c>
      <c r="AD39" s="144">
        <f t="shared" ca="1" si="10"/>
        <v>-143176.29667678295</v>
      </c>
      <c r="AE39" s="47">
        <f t="shared" ca="1" si="11"/>
        <v>2052705.1867071318</v>
      </c>
    </row>
    <row r="40" spans="1:31" s="145" customFormat="1" ht="15.5" hidden="1" x14ac:dyDescent="0.35">
      <c r="A40" s="129" t="s">
        <v>170</v>
      </c>
      <c r="B40" s="130">
        <v>210</v>
      </c>
      <c r="C40" s="131" t="s">
        <v>152</v>
      </c>
      <c r="D40" s="131" t="s">
        <v>153</v>
      </c>
      <c r="E40" s="131"/>
      <c r="F40" s="131">
        <v>31.63</v>
      </c>
      <c r="G40" s="131">
        <v>3.6</v>
      </c>
      <c r="H40" s="132">
        <f t="shared" si="0"/>
        <v>33.43</v>
      </c>
      <c r="I40" s="132">
        <f t="shared" si="1"/>
        <v>35.229999999999997</v>
      </c>
      <c r="J40" s="133">
        <v>2781.54</v>
      </c>
      <c r="K40" s="134">
        <v>0</v>
      </c>
      <c r="L40" s="135">
        <v>0</v>
      </c>
      <c r="M40" s="135">
        <v>0</v>
      </c>
      <c r="N40" s="69">
        <f t="shared" si="2"/>
        <v>2781.54</v>
      </c>
      <c r="O40" s="39">
        <f t="shared" si="3"/>
        <v>3090.6</v>
      </c>
      <c r="P40" s="136">
        <f t="shared" si="4"/>
        <v>83.204905773257551</v>
      </c>
      <c r="Q40" s="137">
        <f t="shared" si="5"/>
        <v>0.1</v>
      </c>
      <c r="R40" s="138">
        <f t="shared" si="6"/>
        <v>309.06</v>
      </c>
      <c r="S40" s="139">
        <v>0.8</v>
      </c>
      <c r="T40" s="138">
        <f t="shared" si="7"/>
        <v>2472.48</v>
      </c>
      <c r="U40" s="140">
        <f t="shared" si="8"/>
        <v>9.9999999999999978E-2</v>
      </c>
      <c r="V40" s="138">
        <f t="shared" si="9"/>
        <v>309.05999999999995</v>
      </c>
      <c r="W40" s="142">
        <f ca="1">V40*VLOOKUP(TODAY(),'UF HOY'!$A$2:$B$33,2,0)</f>
        <v>12280171.496399999</v>
      </c>
      <c r="X40" s="143">
        <f>Datos!$E$3</f>
        <v>31</v>
      </c>
      <c r="Y40" s="144">
        <f ca="1">IF((W40-1000000-Datos!$D$3)/X40&gt;0,(W40-1000000-Datos!$D$3)/X40,0)</f>
        <v>355811.98375483864</v>
      </c>
      <c r="Z40" s="143">
        <f>Datos!$F$3</f>
        <v>31</v>
      </c>
      <c r="AA40" s="144">
        <f ca="1">IF((W40-1750000-Datos!$D$3-3%*O40*VLOOKUP(TODAY(),'UF HOY'!$A$2:$B$33,2,0))/Z40&gt;0,(W40-1750000-Datos!$D$3-3%*O40*VLOOKUP(TODAY(),'UF HOY'!$A$2:$B$33,2,0))/Z40,0)</f>
        <v>212778.06604774189</v>
      </c>
      <c r="AB40" s="142">
        <f>IF(L40&gt;0,VLOOKUP(D40,Datos!$C$7:$E$11,3,0),VLOOKUP(D40,Datos!$C$7:$E$11,2,0))</f>
        <v>370000</v>
      </c>
      <c r="AC40" s="144">
        <f ca="1">(S40*PMT(Datos!$H$13,Datos!$H$12,-O40,,)*VLOOKUP(TODAY(),'UF HOY'!$A$2:$B$33,2,0)/12)+VLOOKUP(TODAY(),'UF HOY'!$A$2:$B$33,2,0)</f>
        <v>513176.29667678295</v>
      </c>
      <c r="AD40" s="144">
        <f t="shared" ca="1" si="10"/>
        <v>-143176.29667678295</v>
      </c>
      <c r="AE40" s="47">
        <f t="shared" ca="1" si="11"/>
        <v>2052705.1867071318</v>
      </c>
    </row>
    <row r="41" spans="1:31" s="145" customFormat="1" ht="15.5" hidden="1" x14ac:dyDescent="0.35">
      <c r="A41" s="129" t="s">
        <v>170</v>
      </c>
      <c r="B41" s="129">
        <v>213</v>
      </c>
      <c r="C41" s="131" t="s">
        <v>152</v>
      </c>
      <c r="D41" s="131" t="s">
        <v>153</v>
      </c>
      <c r="E41" s="131"/>
      <c r="F41" s="131">
        <v>31.92</v>
      </c>
      <c r="G41" s="131">
        <v>3.66</v>
      </c>
      <c r="H41" s="132">
        <f t="shared" si="0"/>
        <v>33.75</v>
      </c>
      <c r="I41" s="132">
        <f t="shared" si="1"/>
        <v>35.58</v>
      </c>
      <c r="J41" s="133">
        <v>2781.54</v>
      </c>
      <c r="K41" s="134">
        <v>0</v>
      </c>
      <c r="L41" s="135">
        <v>0</v>
      </c>
      <c r="M41" s="135">
        <v>0</v>
      </c>
      <c r="N41" s="69">
        <f t="shared" si="2"/>
        <v>2781.54</v>
      </c>
      <c r="O41" s="39">
        <f t="shared" si="3"/>
        <v>3090.6</v>
      </c>
      <c r="P41" s="136">
        <f t="shared" si="4"/>
        <v>82.415999999999997</v>
      </c>
      <c r="Q41" s="137">
        <f t="shared" si="5"/>
        <v>0.1</v>
      </c>
      <c r="R41" s="138">
        <f t="shared" si="6"/>
        <v>309.06</v>
      </c>
      <c r="S41" s="139">
        <v>0.8</v>
      </c>
      <c r="T41" s="138">
        <f t="shared" si="7"/>
        <v>2472.48</v>
      </c>
      <c r="U41" s="140">
        <f t="shared" si="8"/>
        <v>9.9999999999999978E-2</v>
      </c>
      <c r="V41" s="138">
        <f t="shared" si="9"/>
        <v>309.05999999999995</v>
      </c>
      <c r="W41" s="142">
        <f ca="1">V41*VLOOKUP(TODAY(),'UF HOY'!$A$2:$B$33,2,0)</f>
        <v>12280171.496399999</v>
      </c>
      <c r="X41" s="143">
        <f>Datos!$E$3</f>
        <v>31</v>
      </c>
      <c r="Y41" s="144">
        <f ca="1">IF((W41-1000000-Datos!$D$3)/X41&gt;0,(W41-1000000-Datos!$D$3)/X41,0)</f>
        <v>355811.98375483864</v>
      </c>
      <c r="Z41" s="143">
        <f>Datos!$F$3</f>
        <v>31</v>
      </c>
      <c r="AA41" s="144">
        <f ca="1">IF((W41-1750000-Datos!$D$3-3%*O41*VLOOKUP(TODAY(),'UF HOY'!$A$2:$B$33,2,0))/Z41&gt;0,(W41-1750000-Datos!$D$3-3%*O41*VLOOKUP(TODAY(),'UF HOY'!$A$2:$B$33,2,0))/Z41,0)</f>
        <v>212778.06604774189</v>
      </c>
      <c r="AB41" s="142">
        <f>IF(L41&gt;0,VLOOKUP(D41,Datos!$C$7:$E$11,3,0),VLOOKUP(D41,Datos!$C$7:$E$11,2,0))</f>
        <v>370000</v>
      </c>
      <c r="AC41" s="144">
        <f ca="1">(S41*PMT(Datos!$H$13,Datos!$H$12,-O41,,)*VLOOKUP(TODAY(),'UF HOY'!$A$2:$B$33,2,0)/12)+VLOOKUP(TODAY(),'UF HOY'!$A$2:$B$33,2,0)</f>
        <v>513176.29667678295</v>
      </c>
      <c r="AD41" s="144">
        <f t="shared" ca="1" si="10"/>
        <v>-143176.29667678295</v>
      </c>
      <c r="AE41" s="47">
        <f t="shared" ca="1" si="11"/>
        <v>2052705.1867071318</v>
      </c>
    </row>
    <row r="42" spans="1:31" s="145" customFormat="1" ht="15.5" hidden="1" x14ac:dyDescent="0.35">
      <c r="A42" s="129" t="s">
        <v>170</v>
      </c>
      <c r="B42" s="129">
        <v>801</v>
      </c>
      <c r="C42" s="131" t="s">
        <v>151</v>
      </c>
      <c r="D42" s="131" t="s">
        <v>153</v>
      </c>
      <c r="E42" s="131"/>
      <c r="F42" s="131">
        <v>31.86</v>
      </c>
      <c r="G42" s="131">
        <v>3.6</v>
      </c>
      <c r="H42" s="132">
        <f t="shared" si="0"/>
        <v>33.659999999999997</v>
      </c>
      <c r="I42" s="132">
        <f t="shared" si="1"/>
        <v>35.46</v>
      </c>
      <c r="J42" s="133">
        <v>2793.6170430255775</v>
      </c>
      <c r="K42" s="134">
        <v>0</v>
      </c>
      <c r="L42" s="135">
        <v>0</v>
      </c>
      <c r="M42" s="135">
        <v>0</v>
      </c>
      <c r="N42" s="69">
        <f t="shared" si="2"/>
        <v>2793.6170430255775</v>
      </c>
      <c r="O42" s="39">
        <f t="shared" si="3"/>
        <v>3104.0189366950858</v>
      </c>
      <c r="P42" s="136">
        <f t="shared" si="4"/>
        <v>82.995158735162732</v>
      </c>
      <c r="Q42" s="137">
        <f t="shared" si="5"/>
        <v>0.1</v>
      </c>
      <c r="R42" s="138">
        <f t="shared" si="6"/>
        <v>310.40189366950858</v>
      </c>
      <c r="S42" s="139">
        <v>0.8</v>
      </c>
      <c r="T42" s="138">
        <f t="shared" si="7"/>
        <v>2483.2151493560687</v>
      </c>
      <c r="U42" s="140">
        <f t="shared" si="8"/>
        <v>9.9999999999999978E-2</v>
      </c>
      <c r="V42" s="138">
        <f t="shared" si="9"/>
        <v>310.40189366950852</v>
      </c>
      <c r="W42" s="142">
        <f ca="1">V42*VLOOKUP(TODAY(),'UF HOY'!$A$2:$B$33,2,0)</f>
        <v>12333490.218950633</v>
      </c>
      <c r="X42" s="143">
        <f>Datos!$E$3</f>
        <v>31</v>
      </c>
      <c r="Y42" s="144">
        <f ca="1">IF((W42-1000000-Datos!$D$3)/X42&gt;0,(W42-1000000-Datos!$D$3)/X42,0)</f>
        <v>357531.9425467946</v>
      </c>
      <c r="Z42" s="143">
        <f>Datos!$F$3</f>
        <v>31</v>
      </c>
      <c r="AA42" s="144">
        <f ca="1">IF((W42-1750000-Datos!$D$3-3%*O42*VLOOKUP(TODAY(),'UF HOY'!$A$2:$B$33,2,0))/Z42&gt;0,(W42-1750000-Datos!$D$3-3%*O42*VLOOKUP(TODAY(),'UF HOY'!$A$2:$B$33,2,0))/Z42,0)</f>
        <v>213982.03720211107</v>
      </c>
      <c r="AB42" s="142">
        <f>IF(L42&gt;0,VLOOKUP(D42,Datos!$C$7:$E$11,3,0),VLOOKUP(D42,Datos!$C$7:$E$11,2,0))</f>
        <v>370000</v>
      </c>
      <c r="AC42" s="144">
        <f ca="1">(S42*PMT(Datos!$H$13,Datos!$H$12,-O42,,)*VLOOKUP(TODAY(),'UF HOY'!$A$2:$B$33,2,0)/12)+VLOOKUP(TODAY(),'UF HOY'!$A$2:$B$33,2,0)</f>
        <v>515231.91468397185</v>
      </c>
      <c r="AD42" s="144">
        <f t="shared" ca="1" si="10"/>
        <v>-145231.91468397185</v>
      </c>
      <c r="AE42" s="47">
        <f t="shared" ca="1" si="11"/>
        <v>2060927.6587358874</v>
      </c>
    </row>
    <row r="43" spans="1:31" s="145" customFormat="1" ht="15.5" hidden="1" x14ac:dyDescent="0.35">
      <c r="A43" s="129" t="s">
        <v>170</v>
      </c>
      <c r="B43" s="130">
        <v>802</v>
      </c>
      <c r="C43" s="131" t="s">
        <v>151</v>
      </c>
      <c r="D43" s="131" t="s">
        <v>153</v>
      </c>
      <c r="E43" s="131"/>
      <c r="F43" s="131">
        <v>33.369999999999997</v>
      </c>
      <c r="G43" s="131">
        <v>3.17</v>
      </c>
      <c r="H43" s="132">
        <f t="shared" si="0"/>
        <v>34.954999999999998</v>
      </c>
      <c r="I43" s="132">
        <f t="shared" si="1"/>
        <v>36.54</v>
      </c>
      <c r="J43" s="133">
        <v>2793.6170430255775</v>
      </c>
      <c r="K43" s="134">
        <v>0</v>
      </c>
      <c r="L43" s="135">
        <v>0</v>
      </c>
      <c r="M43" s="135">
        <v>0</v>
      </c>
      <c r="N43" s="69">
        <f t="shared" si="2"/>
        <v>2793.6170430255775</v>
      </c>
      <c r="O43" s="39">
        <f t="shared" si="3"/>
        <v>3104.0189366950858</v>
      </c>
      <c r="P43" s="136">
        <f t="shared" si="4"/>
        <v>79.920384580906244</v>
      </c>
      <c r="Q43" s="137">
        <f t="shared" si="5"/>
        <v>0.1</v>
      </c>
      <c r="R43" s="138">
        <f t="shared" si="6"/>
        <v>310.40189366950858</v>
      </c>
      <c r="S43" s="139">
        <v>0.8</v>
      </c>
      <c r="T43" s="138">
        <f t="shared" si="7"/>
        <v>2483.2151493560687</v>
      </c>
      <c r="U43" s="140">
        <f t="shared" si="8"/>
        <v>9.9999999999999978E-2</v>
      </c>
      <c r="V43" s="138">
        <f t="shared" si="9"/>
        <v>310.40189366950852</v>
      </c>
      <c r="W43" s="142">
        <f ca="1">V43*VLOOKUP(TODAY(),'UF HOY'!$A$2:$B$33,2,0)</f>
        <v>12333490.218950633</v>
      </c>
      <c r="X43" s="143">
        <f>Datos!$E$3</f>
        <v>31</v>
      </c>
      <c r="Y43" s="144">
        <f ca="1">IF((W43-1000000-Datos!$D$3)/X43&gt;0,(W43-1000000-Datos!$D$3)/X43,0)</f>
        <v>357531.9425467946</v>
      </c>
      <c r="Z43" s="143">
        <f>Datos!$F$3</f>
        <v>31</v>
      </c>
      <c r="AA43" s="144">
        <f ca="1">IF((W43-1750000-Datos!$D$3-3%*O43*VLOOKUP(TODAY(),'UF HOY'!$A$2:$B$33,2,0))/Z43&gt;0,(W43-1750000-Datos!$D$3-3%*O43*VLOOKUP(TODAY(),'UF HOY'!$A$2:$B$33,2,0))/Z43,0)</f>
        <v>213982.03720211107</v>
      </c>
      <c r="AB43" s="142">
        <f>IF(L43&gt;0,VLOOKUP(D43,Datos!$C$7:$E$11,3,0),VLOOKUP(D43,Datos!$C$7:$E$11,2,0))</f>
        <v>370000</v>
      </c>
      <c r="AC43" s="144">
        <f ca="1">(S43*PMT(Datos!$H$13,Datos!$H$12,-O43,,)*VLOOKUP(TODAY(),'UF HOY'!$A$2:$B$33,2,0)/12)+VLOOKUP(TODAY(),'UF HOY'!$A$2:$B$33,2,0)</f>
        <v>515231.91468397185</v>
      </c>
      <c r="AD43" s="144">
        <f t="shared" ca="1" si="10"/>
        <v>-145231.91468397185</v>
      </c>
      <c r="AE43" s="47">
        <f t="shared" ca="1" si="11"/>
        <v>2060927.6587358874</v>
      </c>
    </row>
    <row r="44" spans="1:31" s="145" customFormat="1" ht="15.5" hidden="1" x14ac:dyDescent="0.35">
      <c r="A44" s="129" t="s">
        <v>170</v>
      </c>
      <c r="B44" s="130">
        <v>803</v>
      </c>
      <c r="C44" s="131" t="s">
        <v>151</v>
      </c>
      <c r="D44" s="131" t="s">
        <v>153</v>
      </c>
      <c r="E44" s="131"/>
      <c r="F44" s="131">
        <v>33.369999999999997</v>
      </c>
      <c r="G44" s="131">
        <v>3.17</v>
      </c>
      <c r="H44" s="132">
        <f t="shared" si="0"/>
        <v>34.954999999999998</v>
      </c>
      <c r="I44" s="132">
        <f t="shared" si="1"/>
        <v>36.54</v>
      </c>
      <c r="J44" s="133">
        <v>2793.6170430255775</v>
      </c>
      <c r="K44" s="134">
        <v>0</v>
      </c>
      <c r="L44" s="135">
        <v>0</v>
      </c>
      <c r="M44" s="135">
        <v>0</v>
      </c>
      <c r="N44" s="69">
        <f t="shared" si="2"/>
        <v>2793.6170430255775</v>
      </c>
      <c r="O44" s="39">
        <f t="shared" si="3"/>
        <v>3104.0189366950858</v>
      </c>
      <c r="P44" s="136">
        <f t="shared" si="4"/>
        <v>79.920384580906244</v>
      </c>
      <c r="Q44" s="137">
        <f t="shared" si="5"/>
        <v>0.1</v>
      </c>
      <c r="R44" s="138">
        <f t="shared" si="6"/>
        <v>310.40189366950858</v>
      </c>
      <c r="S44" s="139">
        <v>0.8</v>
      </c>
      <c r="T44" s="138">
        <f t="shared" si="7"/>
        <v>2483.2151493560687</v>
      </c>
      <c r="U44" s="140">
        <f t="shared" si="8"/>
        <v>9.9999999999999978E-2</v>
      </c>
      <c r="V44" s="138">
        <f t="shared" si="9"/>
        <v>310.40189366950852</v>
      </c>
      <c r="W44" s="142">
        <f ca="1">V44*VLOOKUP(TODAY(),'UF HOY'!$A$2:$B$33,2,0)</f>
        <v>12333490.218950633</v>
      </c>
      <c r="X44" s="143">
        <f>Datos!$E$3</f>
        <v>31</v>
      </c>
      <c r="Y44" s="144">
        <f ca="1">IF((W44-1000000-Datos!$D$3)/X44&gt;0,(W44-1000000-Datos!$D$3)/X44,0)</f>
        <v>357531.9425467946</v>
      </c>
      <c r="Z44" s="143">
        <f>Datos!$F$3</f>
        <v>31</v>
      </c>
      <c r="AA44" s="144">
        <f ca="1">IF((W44-1750000-Datos!$D$3-3%*O44*VLOOKUP(TODAY(),'UF HOY'!$A$2:$B$33,2,0))/Z44&gt;0,(W44-1750000-Datos!$D$3-3%*O44*VLOOKUP(TODAY(),'UF HOY'!$A$2:$B$33,2,0))/Z44,0)</f>
        <v>213982.03720211107</v>
      </c>
      <c r="AB44" s="142">
        <f>IF(L44&gt;0,VLOOKUP(D44,Datos!$C$7:$E$11,3,0),VLOOKUP(D44,Datos!$C$7:$E$11,2,0))</f>
        <v>370000</v>
      </c>
      <c r="AC44" s="144">
        <f ca="1">(S44*PMT(Datos!$H$13,Datos!$H$12,-O44,,)*VLOOKUP(TODAY(),'UF HOY'!$A$2:$B$33,2,0)/12)+VLOOKUP(TODAY(),'UF HOY'!$A$2:$B$33,2,0)</f>
        <v>515231.91468397185</v>
      </c>
      <c r="AD44" s="144">
        <f t="shared" ca="1" si="10"/>
        <v>-145231.91468397185</v>
      </c>
      <c r="AE44" s="47">
        <f t="shared" ca="1" si="11"/>
        <v>2060927.6587358874</v>
      </c>
    </row>
    <row r="45" spans="1:31" s="145" customFormat="1" ht="15.5" hidden="1" x14ac:dyDescent="0.35">
      <c r="A45" s="129" t="s">
        <v>170</v>
      </c>
      <c r="B45" s="130">
        <v>804</v>
      </c>
      <c r="C45" s="131" t="s">
        <v>151</v>
      </c>
      <c r="D45" s="131" t="s">
        <v>153</v>
      </c>
      <c r="E45" s="131"/>
      <c r="F45" s="131">
        <v>31.86</v>
      </c>
      <c r="G45" s="131">
        <v>3.6</v>
      </c>
      <c r="H45" s="132">
        <f t="shared" si="0"/>
        <v>33.659999999999997</v>
      </c>
      <c r="I45" s="132">
        <f t="shared" si="1"/>
        <v>35.46</v>
      </c>
      <c r="J45" s="133">
        <v>2793.6170430255775</v>
      </c>
      <c r="K45" s="134">
        <v>0</v>
      </c>
      <c r="L45" s="135">
        <v>0</v>
      </c>
      <c r="M45" s="135">
        <v>0</v>
      </c>
      <c r="N45" s="69">
        <f t="shared" si="2"/>
        <v>2793.6170430255775</v>
      </c>
      <c r="O45" s="39">
        <f t="shared" si="3"/>
        <v>3104.0189366950858</v>
      </c>
      <c r="P45" s="136">
        <f t="shared" si="4"/>
        <v>82.995158735162732</v>
      </c>
      <c r="Q45" s="137">
        <f t="shared" si="5"/>
        <v>0.1</v>
      </c>
      <c r="R45" s="138">
        <f t="shared" si="6"/>
        <v>310.40189366950858</v>
      </c>
      <c r="S45" s="139">
        <v>0.8</v>
      </c>
      <c r="T45" s="138">
        <f t="shared" si="7"/>
        <v>2483.2151493560687</v>
      </c>
      <c r="U45" s="140">
        <f t="shared" si="8"/>
        <v>9.9999999999999978E-2</v>
      </c>
      <c r="V45" s="138">
        <f t="shared" si="9"/>
        <v>310.40189366950852</v>
      </c>
      <c r="W45" s="142">
        <f ca="1">V45*VLOOKUP(TODAY(),'UF HOY'!$A$2:$B$33,2,0)</f>
        <v>12333490.218950633</v>
      </c>
      <c r="X45" s="143">
        <f>Datos!$E$3</f>
        <v>31</v>
      </c>
      <c r="Y45" s="144">
        <f ca="1">IF((W45-1000000-Datos!$D$3)/X45&gt;0,(W45-1000000-Datos!$D$3)/X45,0)</f>
        <v>357531.9425467946</v>
      </c>
      <c r="Z45" s="143">
        <f>Datos!$F$3</f>
        <v>31</v>
      </c>
      <c r="AA45" s="144">
        <f ca="1">IF((W45-1750000-Datos!$D$3-3%*O45*VLOOKUP(TODAY(),'UF HOY'!$A$2:$B$33,2,0))/Z45&gt;0,(W45-1750000-Datos!$D$3-3%*O45*VLOOKUP(TODAY(),'UF HOY'!$A$2:$B$33,2,0))/Z45,0)</f>
        <v>213982.03720211107</v>
      </c>
      <c r="AB45" s="142">
        <f>IF(L45&gt;0,VLOOKUP(D45,Datos!$C$7:$E$11,3,0),VLOOKUP(D45,Datos!$C$7:$E$11,2,0))</f>
        <v>370000</v>
      </c>
      <c r="AC45" s="144">
        <f ca="1">(S45*PMT(Datos!$H$13,Datos!$H$12,-O45,,)*VLOOKUP(TODAY(),'UF HOY'!$A$2:$B$33,2,0)/12)+VLOOKUP(TODAY(),'UF HOY'!$A$2:$B$33,2,0)</f>
        <v>515231.91468397185</v>
      </c>
      <c r="AD45" s="144">
        <f t="shared" ca="1" si="10"/>
        <v>-145231.91468397185</v>
      </c>
      <c r="AE45" s="47">
        <f t="shared" ca="1" si="11"/>
        <v>2060927.6587358874</v>
      </c>
    </row>
    <row r="46" spans="1:31" s="145" customFormat="1" ht="15.5" hidden="1" x14ac:dyDescent="0.35">
      <c r="A46" s="129" t="s">
        <v>170</v>
      </c>
      <c r="B46" s="130">
        <v>816</v>
      </c>
      <c r="C46" s="131" t="s">
        <v>151</v>
      </c>
      <c r="D46" s="131" t="s">
        <v>153</v>
      </c>
      <c r="E46" s="131"/>
      <c r="F46" s="131">
        <v>33.369999999999997</v>
      </c>
      <c r="G46" s="131">
        <v>3.17</v>
      </c>
      <c r="H46" s="132">
        <f t="shared" si="0"/>
        <v>34.954999999999998</v>
      </c>
      <c r="I46" s="132">
        <f t="shared" si="1"/>
        <v>36.54</v>
      </c>
      <c r="J46" s="133">
        <v>2794</v>
      </c>
      <c r="K46" s="134">
        <v>0</v>
      </c>
      <c r="L46" s="135">
        <v>0</v>
      </c>
      <c r="M46" s="135">
        <v>0</v>
      </c>
      <c r="N46" s="69">
        <f t="shared" si="2"/>
        <v>2794</v>
      </c>
      <c r="O46" s="39">
        <f t="shared" si="3"/>
        <v>3104.4444444444443</v>
      </c>
      <c r="P46" s="136">
        <f t="shared" si="4"/>
        <v>79.931340294664579</v>
      </c>
      <c r="Q46" s="137">
        <f t="shared" si="5"/>
        <v>0.1</v>
      </c>
      <c r="R46" s="138">
        <f t="shared" si="6"/>
        <v>310.44444444444446</v>
      </c>
      <c r="S46" s="139">
        <v>0.8</v>
      </c>
      <c r="T46" s="138">
        <f t="shared" si="7"/>
        <v>2483.5555555555557</v>
      </c>
      <c r="U46" s="140">
        <f t="shared" si="8"/>
        <v>9.9999999999999978E-2</v>
      </c>
      <c r="V46" s="138">
        <f t="shared" si="9"/>
        <v>310.44444444444434</v>
      </c>
      <c r="W46" s="142">
        <f ca="1">V46*VLOOKUP(TODAY(),'UF HOY'!$A$2:$B$33,2,0)</f>
        <v>12335180.928888885</v>
      </c>
      <c r="X46" s="143">
        <f>Datos!$E$3</f>
        <v>31</v>
      </c>
      <c r="Y46" s="144">
        <f ca="1">IF((W46-1000000-Datos!$D$3)/X46&gt;0,(W46-1000000-Datos!$D$3)/X46,0)</f>
        <v>357586.48157706083</v>
      </c>
      <c r="Z46" s="143">
        <f>Datos!$F$3</f>
        <v>31</v>
      </c>
      <c r="AA46" s="144">
        <f ca="1">IF((W46-1750000-Datos!$D$3-3%*O46*VLOOKUP(TODAY(),'UF HOY'!$A$2:$B$33,2,0))/Z46&gt;0,(W46-1750000-Datos!$D$3-3%*O46*VLOOKUP(TODAY(),'UF HOY'!$A$2:$B$33,2,0))/Z46,0)</f>
        <v>214020.21452329739</v>
      </c>
      <c r="AB46" s="142">
        <f>IF(L46&gt;0,VLOOKUP(D46,Datos!$C$7:$E$11,3,0),VLOOKUP(D46,Datos!$C$7:$E$11,2,0))</f>
        <v>370000</v>
      </c>
      <c r="AC46" s="144">
        <f ca="1">(S46*PMT(Datos!$H$13,Datos!$H$12,-O46,,)*VLOOKUP(TODAY(),'UF HOY'!$A$2:$B$33,2,0)/12)+VLOOKUP(TODAY(),'UF HOY'!$A$2:$B$33,2,0)</f>
        <v>515297.09729952889</v>
      </c>
      <c r="AD46" s="144">
        <f t="shared" ca="1" si="10"/>
        <v>-145297.09729952889</v>
      </c>
      <c r="AE46" s="47">
        <f t="shared" ca="1" si="11"/>
        <v>2061188.3891981156</v>
      </c>
    </row>
    <row r="47" spans="1:31" s="145" customFormat="1" ht="15.5" hidden="1" x14ac:dyDescent="0.35">
      <c r="A47" s="129" t="s">
        <v>170</v>
      </c>
      <c r="B47" s="130">
        <v>710</v>
      </c>
      <c r="C47" s="131" t="s">
        <v>152</v>
      </c>
      <c r="D47" s="131" t="s">
        <v>153</v>
      </c>
      <c r="E47" s="131"/>
      <c r="F47" s="131">
        <v>31.86</v>
      </c>
      <c r="G47" s="131">
        <v>3.6</v>
      </c>
      <c r="H47" s="132">
        <f t="shared" si="0"/>
        <v>33.659999999999997</v>
      </c>
      <c r="I47" s="132">
        <f t="shared" si="1"/>
        <v>35.46</v>
      </c>
      <c r="J47" s="156">
        <v>2794</v>
      </c>
      <c r="K47" s="134">
        <v>0</v>
      </c>
      <c r="L47" s="135">
        <v>0</v>
      </c>
      <c r="M47" s="135">
        <v>0</v>
      </c>
      <c r="N47" s="69">
        <f t="shared" si="2"/>
        <v>2794</v>
      </c>
      <c r="O47" s="39">
        <f t="shared" si="3"/>
        <v>3104.4444444444443</v>
      </c>
      <c r="P47" s="136">
        <f t="shared" si="4"/>
        <v>83.006535947712422</v>
      </c>
      <c r="Q47" s="137">
        <f t="shared" si="5"/>
        <v>0.1</v>
      </c>
      <c r="R47" s="138">
        <f t="shared" si="6"/>
        <v>310.44444444444446</v>
      </c>
      <c r="S47" s="139">
        <v>0.8</v>
      </c>
      <c r="T47" s="138">
        <f t="shared" si="7"/>
        <v>2483.5555555555557</v>
      </c>
      <c r="U47" s="140">
        <f t="shared" si="8"/>
        <v>9.9999999999999978E-2</v>
      </c>
      <c r="V47" s="138">
        <f t="shared" si="9"/>
        <v>310.44444444444434</v>
      </c>
      <c r="W47" s="142">
        <f ca="1">V47*VLOOKUP(TODAY(),'UF HOY'!$A$2:$B$33,2,0)</f>
        <v>12335180.928888885</v>
      </c>
      <c r="X47" s="143">
        <f>Datos!$E$3</f>
        <v>31</v>
      </c>
      <c r="Y47" s="144">
        <f ca="1">IF((W47-1000000-Datos!$D$3)/X47&gt;0,(W47-1000000-Datos!$D$3)/X47,0)</f>
        <v>357586.48157706083</v>
      </c>
      <c r="Z47" s="143">
        <f>Datos!$F$3</f>
        <v>31</v>
      </c>
      <c r="AA47" s="144">
        <f ca="1">IF((W47-1750000-Datos!$D$3-3%*O47*VLOOKUP(TODAY(),'UF HOY'!$A$2:$B$33,2,0))/Z47&gt;0,(W47-1750000-Datos!$D$3-3%*O47*VLOOKUP(TODAY(),'UF HOY'!$A$2:$B$33,2,0))/Z47,0)</f>
        <v>214020.21452329739</v>
      </c>
      <c r="AB47" s="142">
        <f>IF(L47&gt;0,VLOOKUP(D47,Datos!$C$7:$E$11,3,0),VLOOKUP(D47,Datos!$C$7:$E$11,2,0))</f>
        <v>370000</v>
      </c>
      <c r="AC47" s="144">
        <f ca="1">(S47*PMT(Datos!$H$13,Datos!$H$12,-O47,,)*VLOOKUP(TODAY(),'UF HOY'!$A$2:$B$33,2,0)/12)+VLOOKUP(TODAY(),'UF HOY'!$A$2:$B$33,2,0)</f>
        <v>515297.09729952889</v>
      </c>
      <c r="AD47" s="144">
        <f t="shared" ca="1" si="10"/>
        <v>-145297.09729952889</v>
      </c>
      <c r="AE47" s="47">
        <f t="shared" ca="1" si="11"/>
        <v>2061188.3891981156</v>
      </c>
    </row>
    <row r="48" spans="1:31" s="145" customFormat="1" ht="15.5" hidden="1" x14ac:dyDescent="0.35">
      <c r="A48" s="129" t="s">
        <v>170</v>
      </c>
      <c r="B48" s="130">
        <v>310</v>
      </c>
      <c r="C48" s="131" t="s">
        <v>152</v>
      </c>
      <c r="D48" s="131" t="s">
        <v>153</v>
      </c>
      <c r="E48" s="131"/>
      <c r="F48" s="131">
        <v>31.63</v>
      </c>
      <c r="G48" s="131">
        <v>3.6</v>
      </c>
      <c r="H48" s="132">
        <f t="shared" si="0"/>
        <v>33.43</v>
      </c>
      <c r="I48" s="132">
        <f t="shared" si="1"/>
        <v>35.229999999999997</v>
      </c>
      <c r="J48" s="133">
        <v>2796.8384699999997</v>
      </c>
      <c r="K48" s="134">
        <v>0</v>
      </c>
      <c r="L48" s="135">
        <v>0</v>
      </c>
      <c r="M48" s="135">
        <v>0</v>
      </c>
      <c r="N48" s="69">
        <f t="shared" si="2"/>
        <v>2796.8384699999997</v>
      </c>
      <c r="O48" s="39">
        <f t="shared" si="3"/>
        <v>3107.5982999999997</v>
      </c>
      <c r="P48" s="136">
        <f t="shared" si="4"/>
        <v>83.66253275501046</v>
      </c>
      <c r="Q48" s="137">
        <f t="shared" si="5"/>
        <v>0.1</v>
      </c>
      <c r="R48" s="138">
        <f t="shared" si="6"/>
        <v>310.75982999999997</v>
      </c>
      <c r="S48" s="139">
        <v>0.8</v>
      </c>
      <c r="T48" s="138">
        <f t="shared" si="7"/>
        <v>2486.0786399999997</v>
      </c>
      <c r="U48" s="140">
        <f t="shared" si="8"/>
        <v>9.9999999999999978E-2</v>
      </c>
      <c r="V48" s="138">
        <f t="shared" si="9"/>
        <v>310.75982999999991</v>
      </c>
      <c r="W48" s="142">
        <f ca="1">V48*VLOOKUP(TODAY(),'UF HOY'!$A$2:$B$33,2,0)</f>
        <v>12347712.439630197</v>
      </c>
      <c r="X48" s="143">
        <f>Datos!$E$3</f>
        <v>31</v>
      </c>
      <c r="Y48" s="144">
        <f ca="1">IF((W48-1000000-Datos!$D$3)/X48&gt;0,(W48-1000000-Datos!$D$3)/X48,0)</f>
        <v>357990.72385903861</v>
      </c>
      <c r="Z48" s="143">
        <f>Datos!$F$3</f>
        <v>31</v>
      </c>
      <c r="AA48" s="144">
        <f ca="1">IF((W48-1750000-Datos!$D$3-3%*O48*VLOOKUP(TODAY(),'UF HOY'!$A$2:$B$33,2,0))/Z48&gt;0,(W48-1750000-Datos!$D$3-3%*O48*VLOOKUP(TODAY(),'UF HOY'!$A$2:$B$33,2,0))/Z48,0)</f>
        <v>214303.18412068186</v>
      </c>
      <c r="AB48" s="142">
        <f>IF(L48&gt;0,VLOOKUP(D48,Datos!$C$7:$E$11,3,0),VLOOKUP(D48,Datos!$C$7:$E$11,2,0))</f>
        <v>370000</v>
      </c>
      <c r="AC48" s="144">
        <f ca="1">(S48*PMT(Datos!$H$13,Datos!$H$12,-O48,,)*VLOOKUP(TODAY(),'UF HOY'!$A$2:$B$33,2,0)/12)+VLOOKUP(TODAY(),'UF HOY'!$A$2:$B$33,2,0)</f>
        <v>515780.22963850509</v>
      </c>
      <c r="AD48" s="144">
        <f t="shared" ca="1" si="10"/>
        <v>-145780.22963850509</v>
      </c>
      <c r="AE48" s="47">
        <f t="shared" ca="1" si="11"/>
        <v>2063120.9185540203</v>
      </c>
    </row>
    <row r="49" spans="1:31" s="145" customFormat="1" ht="15.5" hidden="1" x14ac:dyDescent="0.35">
      <c r="A49" s="129" t="s">
        <v>170</v>
      </c>
      <c r="B49" s="130">
        <v>312</v>
      </c>
      <c r="C49" s="131" t="s">
        <v>152</v>
      </c>
      <c r="D49" s="131" t="s">
        <v>153</v>
      </c>
      <c r="E49" s="131"/>
      <c r="F49" s="131">
        <v>31.63</v>
      </c>
      <c r="G49" s="131">
        <v>3.6</v>
      </c>
      <c r="H49" s="132">
        <f t="shared" si="0"/>
        <v>33.43</v>
      </c>
      <c r="I49" s="132">
        <f t="shared" si="1"/>
        <v>35.229999999999997</v>
      </c>
      <c r="J49" s="133">
        <v>2796.8384699999997</v>
      </c>
      <c r="K49" s="134">
        <v>0</v>
      </c>
      <c r="L49" s="135">
        <v>0</v>
      </c>
      <c r="M49" s="135">
        <v>0</v>
      </c>
      <c r="N49" s="69">
        <f t="shared" si="2"/>
        <v>2796.8384699999997</v>
      </c>
      <c r="O49" s="39">
        <f t="shared" si="3"/>
        <v>3107.5982999999997</v>
      </c>
      <c r="P49" s="136">
        <f t="shared" si="4"/>
        <v>83.66253275501046</v>
      </c>
      <c r="Q49" s="137">
        <f t="shared" si="5"/>
        <v>0.1</v>
      </c>
      <c r="R49" s="138">
        <f t="shared" si="6"/>
        <v>310.75982999999997</v>
      </c>
      <c r="S49" s="139">
        <v>0.8</v>
      </c>
      <c r="T49" s="138">
        <f t="shared" si="7"/>
        <v>2486.0786399999997</v>
      </c>
      <c r="U49" s="140">
        <f t="shared" si="8"/>
        <v>9.9999999999999978E-2</v>
      </c>
      <c r="V49" s="138">
        <f t="shared" si="9"/>
        <v>310.75982999999991</v>
      </c>
      <c r="W49" s="142">
        <f ca="1">V49*VLOOKUP(TODAY(),'UF HOY'!$A$2:$B$33,2,0)</f>
        <v>12347712.439630197</v>
      </c>
      <c r="X49" s="143">
        <f>Datos!$E$3</f>
        <v>31</v>
      </c>
      <c r="Y49" s="144">
        <f ca="1">IF((W49-1000000-Datos!$D$3)/X49&gt;0,(W49-1000000-Datos!$D$3)/X49,0)</f>
        <v>357990.72385903861</v>
      </c>
      <c r="Z49" s="143">
        <f>Datos!$F$3</f>
        <v>31</v>
      </c>
      <c r="AA49" s="144">
        <f ca="1">IF((W49-1750000-Datos!$D$3-3%*O49*VLOOKUP(TODAY(),'UF HOY'!$A$2:$B$33,2,0))/Z49&gt;0,(W49-1750000-Datos!$D$3-3%*O49*VLOOKUP(TODAY(),'UF HOY'!$A$2:$B$33,2,0))/Z49,0)</f>
        <v>214303.18412068186</v>
      </c>
      <c r="AB49" s="142">
        <f>IF(L49&gt;0,VLOOKUP(D49,Datos!$C$7:$E$11,3,0),VLOOKUP(D49,Datos!$C$7:$E$11,2,0))</f>
        <v>370000</v>
      </c>
      <c r="AC49" s="144">
        <f ca="1">(S49*PMT(Datos!$H$13,Datos!$H$12,-O49,,)*VLOOKUP(TODAY(),'UF HOY'!$A$2:$B$33,2,0)/12)+VLOOKUP(TODAY(),'UF HOY'!$A$2:$B$33,2,0)</f>
        <v>515780.22963850509</v>
      </c>
      <c r="AD49" s="144">
        <f t="shared" ca="1" si="10"/>
        <v>-145780.22963850509</v>
      </c>
      <c r="AE49" s="47">
        <f t="shared" ca="1" si="11"/>
        <v>2063120.9185540203</v>
      </c>
    </row>
    <row r="50" spans="1:31" s="145" customFormat="1" ht="15.5" hidden="1" x14ac:dyDescent="0.35">
      <c r="A50" s="129" t="s">
        <v>170</v>
      </c>
      <c r="B50" s="130">
        <v>817</v>
      </c>
      <c r="C50" s="131" t="s">
        <v>151</v>
      </c>
      <c r="D50" s="131" t="s">
        <v>153</v>
      </c>
      <c r="E50" s="131"/>
      <c r="F50" s="131">
        <v>33.36</v>
      </c>
      <c r="G50" s="131">
        <v>3.1</v>
      </c>
      <c r="H50" s="132">
        <f t="shared" si="0"/>
        <v>34.909999999999997</v>
      </c>
      <c r="I50" s="132">
        <f t="shared" si="1"/>
        <v>36.46</v>
      </c>
      <c r="J50" s="133">
        <v>2808.9003449222182</v>
      </c>
      <c r="K50" s="134">
        <v>0</v>
      </c>
      <c r="L50" s="135">
        <v>0</v>
      </c>
      <c r="M50" s="135">
        <v>0</v>
      </c>
      <c r="N50" s="69">
        <f t="shared" si="2"/>
        <v>2808.9003449222182</v>
      </c>
      <c r="O50" s="39">
        <f t="shared" si="3"/>
        <v>3121.0003832469092</v>
      </c>
      <c r="P50" s="136">
        <f t="shared" si="4"/>
        <v>80.461195786944103</v>
      </c>
      <c r="Q50" s="137">
        <f t="shared" si="5"/>
        <v>0.1</v>
      </c>
      <c r="R50" s="138">
        <f t="shared" si="6"/>
        <v>312.10003832469096</v>
      </c>
      <c r="S50" s="139">
        <v>0.8</v>
      </c>
      <c r="T50" s="138">
        <f t="shared" si="7"/>
        <v>2496.8003065975277</v>
      </c>
      <c r="U50" s="140">
        <f t="shared" si="8"/>
        <v>9.9999999999999978E-2</v>
      </c>
      <c r="V50" s="138">
        <f t="shared" si="9"/>
        <v>312.10003832469084</v>
      </c>
      <c r="W50" s="142">
        <f ca="1">V50*VLOOKUP(TODAY(),'UF HOY'!$A$2:$B$33,2,0)</f>
        <v>12400964.196790967</v>
      </c>
      <c r="X50" s="143">
        <f>Datos!$E$3</f>
        <v>31</v>
      </c>
      <c r="Y50" s="144">
        <f ca="1">IF((W50-1000000-Datos!$D$3)/X50&gt;0,(W50-1000000-Datos!$D$3)/X50,0)</f>
        <v>359708.52247712796</v>
      </c>
      <c r="Z50" s="143">
        <f>Datos!$F$3</f>
        <v>31</v>
      </c>
      <c r="AA50" s="144">
        <f ca="1">IF((W50-1750000-Datos!$D$3-3%*O50*VLOOKUP(TODAY(),'UF HOY'!$A$2:$B$33,2,0))/Z50&gt;0,(W50-1750000-Datos!$D$3-3%*O50*VLOOKUP(TODAY(),'UF HOY'!$A$2:$B$33,2,0))/Z50,0)</f>
        <v>215505.6431533444</v>
      </c>
      <c r="AB50" s="142">
        <f>IF(L50&gt;0,VLOOKUP(D50,Datos!$C$7:$E$11,3,0),VLOOKUP(D50,Datos!$C$7:$E$11,2,0))</f>
        <v>370000</v>
      </c>
      <c r="AC50" s="144">
        <f ca="1">(S50*PMT(Datos!$H$13,Datos!$H$12,-O50,,)*VLOOKUP(TODAY(),'UF HOY'!$A$2:$B$33,2,0)/12)+VLOOKUP(TODAY(),'UF HOY'!$A$2:$B$33,2,0)</f>
        <v>517833.26590227126</v>
      </c>
      <c r="AD50" s="144">
        <f t="shared" ca="1" si="10"/>
        <v>-147833.26590227126</v>
      </c>
      <c r="AE50" s="47">
        <f t="shared" ca="1" si="11"/>
        <v>2071333.063609085</v>
      </c>
    </row>
    <row r="51" spans="1:31" s="145" customFormat="1" ht="15.5" hidden="1" x14ac:dyDescent="0.35">
      <c r="A51" s="129" t="s">
        <v>170</v>
      </c>
      <c r="B51" s="130">
        <v>901</v>
      </c>
      <c r="C51" s="131" t="s">
        <v>151</v>
      </c>
      <c r="D51" s="131" t="s">
        <v>153</v>
      </c>
      <c r="E51" s="131"/>
      <c r="F51" s="131">
        <v>31.86</v>
      </c>
      <c r="G51" s="131">
        <v>3.6</v>
      </c>
      <c r="H51" s="132">
        <f t="shared" si="0"/>
        <v>33.659999999999997</v>
      </c>
      <c r="I51" s="132">
        <f t="shared" si="1"/>
        <v>35.46</v>
      </c>
      <c r="J51" s="133">
        <v>2808.9003449222182</v>
      </c>
      <c r="K51" s="134">
        <v>0</v>
      </c>
      <c r="L51" s="135">
        <v>0</v>
      </c>
      <c r="M51" s="135">
        <v>0</v>
      </c>
      <c r="N51" s="69">
        <f t="shared" si="2"/>
        <v>2808.9003449222182</v>
      </c>
      <c r="O51" s="39">
        <f t="shared" si="3"/>
        <v>3121.0003832469092</v>
      </c>
      <c r="P51" s="136">
        <f t="shared" si="4"/>
        <v>83.449208108206136</v>
      </c>
      <c r="Q51" s="137">
        <f t="shared" si="5"/>
        <v>0.1</v>
      </c>
      <c r="R51" s="138">
        <f t="shared" si="6"/>
        <v>312.10003832469096</v>
      </c>
      <c r="S51" s="139">
        <v>0.8</v>
      </c>
      <c r="T51" s="138">
        <f t="shared" si="7"/>
        <v>2496.8003065975277</v>
      </c>
      <c r="U51" s="140">
        <f t="shared" si="8"/>
        <v>9.9999999999999978E-2</v>
      </c>
      <c r="V51" s="138">
        <f t="shared" si="9"/>
        <v>312.10003832469084</v>
      </c>
      <c r="W51" s="142">
        <f ca="1">V51*VLOOKUP(TODAY(),'UF HOY'!$A$2:$B$33,2,0)</f>
        <v>12400964.196790967</v>
      </c>
      <c r="X51" s="143">
        <f>Datos!$E$3</f>
        <v>31</v>
      </c>
      <c r="Y51" s="144">
        <f ca="1">IF((W51-1000000-Datos!$D$3)/X51&gt;0,(W51-1000000-Datos!$D$3)/X51,0)</f>
        <v>359708.52247712796</v>
      </c>
      <c r="Z51" s="143">
        <f>Datos!$F$3</f>
        <v>31</v>
      </c>
      <c r="AA51" s="144">
        <f ca="1">IF((W51-1750000-Datos!$D$3-3%*O51*VLOOKUP(TODAY(),'UF HOY'!$A$2:$B$33,2,0))/Z51&gt;0,(W51-1750000-Datos!$D$3-3%*O51*VLOOKUP(TODAY(),'UF HOY'!$A$2:$B$33,2,0))/Z51,0)</f>
        <v>215505.6431533444</v>
      </c>
      <c r="AB51" s="142">
        <f>IF(L51&gt;0,VLOOKUP(D51,Datos!$C$7:$E$11,3,0),VLOOKUP(D51,Datos!$C$7:$E$11,2,0))</f>
        <v>370000</v>
      </c>
      <c r="AC51" s="144">
        <f ca="1">(S51*PMT(Datos!$H$13,Datos!$H$12,-O51,,)*VLOOKUP(TODAY(),'UF HOY'!$A$2:$B$33,2,0)/12)+VLOOKUP(TODAY(),'UF HOY'!$A$2:$B$33,2,0)</f>
        <v>517833.26590227126</v>
      </c>
      <c r="AD51" s="144">
        <f t="shared" ca="1" si="10"/>
        <v>-147833.26590227126</v>
      </c>
      <c r="AE51" s="47">
        <f t="shared" ca="1" si="11"/>
        <v>2071333.063609085</v>
      </c>
    </row>
    <row r="52" spans="1:31" s="145" customFormat="1" ht="15.5" hidden="1" x14ac:dyDescent="0.35">
      <c r="A52" s="129" t="s">
        <v>170</v>
      </c>
      <c r="B52" s="130">
        <v>903</v>
      </c>
      <c r="C52" s="131" t="s">
        <v>151</v>
      </c>
      <c r="D52" s="131" t="s">
        <v>153</v>
      </c>
      <c r="E52" s="131"/>
      <c r="F52" s="131">
        <v>33.369999999999997</v>
      </c>
      <c r="G52" s="131">
        <v>3.17</v>
      </c>
      <c r="H52" s="132">
        <f t="shared" si="0"/>
        <v>34.954999999999998</v>
      </c>
      <c r="I52" s="132">
        <f t="shared" si="1"/>
        <v>36.54</v>
      </c>
      <c r="J52" s="133">
        <v>2808.9003449222182</v>
      </c>
      <c r="K52" s="134">
        <v>0</v>
      </c>
      <c r="L52" s="135">
        <v>0</v>
      </c>
      <c r="M52" s="135">
        <v>0</v>
      </c>
      <c r="N52" s="69">
        <f t="shared" si="2"/>
        <v>2808.9003449222182</v>
      </c>
      <c r="O52" s="39">
        <f t="shared" si="3"/>
        <v>3121.0003832469092</v>
      </c>
      <c r="P52" s="136">
        <f t="shared" si="4"/>
        <v>80.357612499562819</v>
      </c>
      <c r="Q52" s="137">
        <f t="shared" si="5"/>
        <v>0.1</v>
      </c>
      <c r="R52" s="138">
        <f t="shared" si="6"/>
        <v>312.10003832469096</v>
      </c>
      <c r="S52" s="139">
        <v>0.8</v>
      </c>
      <c r="T52" s="138">
        <f t="shared" si="7"/>
        <v>2496.8003065975277</v>
      </c>
      <c r="U52" s="140">
        <f t="shared" si="8"/>
        <v>9.9999999999999978E-2</v>
      </c>
      <c r="V52" s="138">
        <f t="shared" si="9"/>
        <v>312.10003832469084</v>
      </c>
      <c r="W52" s="142">
        <f ca="1">V52*VLOOKUP(TODAY(),'UF HOY'!$A$2:$B$33,2,0)</f>
        <v>12400964.196790967</v>
      </c>
      <c r="X52" s="143">
        <f>Datos!$E$3</f>
        <v>31</v>
      </c>
      <c r="Y52" s="144">
        <f ca="1">IF((W52-1000000-Datos!$D$3)/X52&gt;0,(W52-1000000-Datos!$D$3)/X52,0)</f>
        <v>359708.52247712796</v>
      </c>
      <c r="Z52" s="143">
        <f>Datos!$F$3</f>
        <v>31</v>
      </c>
      <c r="AA52" s="144">
        <f ca="1">IF((W52-1750000-Datos!$D$3-3%*O52*VLOOKUP(TODAY(),'UF HOY'!$A$2:$B$33,2,0))/Z52&gt;0,(W52-1750000-Datos!$D$3-3%*O52*VLOOKUP(TODAY(),'UF HOY'!$A$2:$B$33,2,0))/Z52,0)</f>
        <v>215505.6431533444</v>
      </c>
      <c r="AB52" s="142">
        <f>IF(L52&gt;0,VLOOKUP(D52,Datos!$C$7:$E$11,3,0),VLOOKUP(D52,Datos!$C$7:$E$11,2,0))</f>
        <v>370000</v>
      </c>
      <c r="AC52" s="144">
        <f ca="1">(S52*PMT(Datos!$H$13,Datos!$H$12,-O52,,)*VLOOKUP(TODAY(),'UF HOY'!$A$2:$B$33,2,0)/12)+VLOOKUP(TODAY(),'UF HOY'!$A$2:$B$33,2,0)</f>
        <v>517833.26590227126</v>
      </c>
      <c r="AD52" s="144">
        <f t="shared" ca="1" si="10"/>
        <v>-147833.26590227126</v>
      </c>
      <c r="AE52" s="47">
        <f t="shared" ca="1" si="11"/>
        <v>2071333.063609085</v>
      </c>
    </row>
    <row r="53" spans="1:31" s="145" customFormat="1" ht="15.5" hidden="1" x14ac:dyDescent="0.35">
      <c r="A53" s="129" t="s">
        <v>170</v>
      </c>
      <c r="B53" s="129">
        <v>904</v>
      </c>
      <c r="C53" s="131" t="s">
        <v>151</v>
      </c>
      <c r="D53" s="131" t="s">
        <v>153</v>
      </c>
      <c r="E53" s="131"/>
      <c r="F53" s="131">
        <v>31.86</v>
      </c>
      <c r="G53" s="131">
        <v>3.6</v>
      </c>
      <c r="H53" s="132">
        <f t="shared" si="0"/>
        <v>33.659999999999997</v>
      </c>
      <c r="I53" s="132">
        <f t="shared" si="1"/>
        <v>35.46</v>
      </c>
      <c r="J53" s="133">
        <v>2808.9003449222182</v>
      </c>
      <c r="K53" s="134">
        <v>0</v>
      </c>
      <c r="L53" s="135">
        <v>0</v>
      </c>
      <c r="M53" s="135">
        <v>0</v>
      </c>
      <c r="N53" s="69">
        <f t="shared" si="2"/>
        <v>2808.9003449222182</v>
      </c>
      <c r="O53" s="39">
        <f t="shared" si="3"/>
        <v>3121.0003832469092</v>
      </c>
      <c r="P53" s="136">
        <f t="shared" si="4"/>
        <v>83.449208108206136</v>
      </c>
      <c r="Q53" s="137">
        <f t="shared" si="5"/>
        <v>0.1</v>
      </c>
      <c r="R53" s="138">
        <f t="shared" si="6"/>
        <v>312.10003832469096</v>
      </c>
      <c r="S53" s="139">
        <v>0.8</v>
      </c>
      <c r="T53" s="138">
        <f t="shared" si="7"/>
        <v>2496.8003065975277</v>
      </c>
      <c r="U53" s="140">
        <f t="shared" si="8"/>
        <v>9.9999999999999978E-2</v>
      </c>
      <c r="V53" s="138">
        <f t="shared" si="9"/>
        <v>312.10003832469084</v>
      </c>
      <c r="W53" s="142">
        <f ca="1">V53*VLOOKUP(TODAY(),'UF HOY'!$A$2:$B$33,2,0)</f>
        <v>12400964.196790967</v>
      </c>
      <c r="X53" s="143">
        <f>Datos!$E$3</f>
        <v>31</v>
      </c>
      <c r="Y53" s="144">
        <f ca="1">IF((W53-1000000-Datos!$D$3)/X53&gt;0,(W53-1000000-Datos!$D$3)/X53,0)</f>
        <v>359708.52247712796</v>
      </c>
      <c r="Z53" s="143">
        <f>Datos!$F$3</f>
        <v>31</v>
      </c>
      <c r="AA53" s="144">
        <f ca="1">IF((W53-1750000-Datos!$D$3-3%*O53*VLOOKUP(TODAY(),'UF HOY'!$A$2:$B$33,2,0))/Z53&gt;0,(W53-1750000-Datos!$D$3-3%*O53*VLOOKUP(TODAY(),'UF HOY'!$A$2:$B$33,2,0))/Z53,0)</f>
        <v>215505.6431533444</v>
      </c>
      <c r="AB53" s="142">
        <f>IF(L53&gt;0,VLOOKUP(D53,Datos!$C$7:$E$11,3,0),VLOOKUP(D53,Datos!$C$7:$E$11,2,0))</f>
        <v>370000</v>
      </c>
      <c r="AC53" s="144">
        <f ca="1">(S53*PMT(Datos!$H$13,Datos!$H$12,-O53,,)*VLOOKUP(TODAY(),'UF HOY'!$A$2:$B$33,2,0)/12)+VLOOKUP(TODAY(),'UF HOY'!$A$2:$B$33,2,0)</f>
        <v>517833.26590227126</v>
      </c>
      <c r="AD53" s="144">
        <f t="shared" ca="1" si="10"/>
        <v>-147833.26590227126</v>
      </c>
      <c r="AE53" s="47">
        <f t="shared" ca="1" si="11"/>
        <v>2071333.063609085</v>
      </c>
    </row>
    <row r="54" spans="1:31" s="145" customFormat="1" ht="15.5" hidden="1" x14ac:dyDescent="0.35">
      <c r="A54" s="129" t="s">
        <v>170</v>
      </c>
      <c r="B54" s="130">
        <v>902</v>
      </c>
      <c r="C54" s="131" t="s">
        <v>151</v>
      </c>
      <c r="D54" s="131" t="s">
        <v>153</v>
      </c>
      <c r="E54" s="131"/>
      <c r="F54" s="131">
        <v>33.369999999999997</v>
      </c>
      <c r="G54" s="131">
        <v>3.17</v>
      </c>
      <c r="H54" s="132">
        <f t="shared" si="0"/>
        <v>34.954999999999998</v>
      </c>
      <c r="I54" s="132">
        <f t="shared" si="1"/>
        <v>36.54</v>
      </c>
      <c r="J54" s="133">
        <v>2809</v>
      </c>
      <c r="K54" s="134">
        <v>0</v>
      </c>
      <c r="L54" s="135">
        <v>0</v>
      </c>
      <c r="M54" s="135">
        <v>0</v>
      </c>
      <c r="N54" s="69">
        <f t="shared" si="2"/>
        <v>2809</v>
      </c>
      <c r="O54" s="39">
        <f t="shared" si="3"/>
        <v>3121.1111111111109</v>
      </c>
      <c r="P54" s="136">
        <f t="shared" si="4"/>
        <v>80.360463453011022</v>
      </c>
      <c r="Q54" s="137">
        <f t="shared" si="5"/>
        <v>0.1</v>
      </c>
      <c r="R54" s="138">
        <f t="shared" si="6"/>
        <v>312.11111111111109</v>
      </c>
      <c r="S54" s="139">
        <v>0.8</v>
      </c>
      <c r="T54" s="138">
        <f t="shared" si="7"/>
        <v>2496.8888888888887</v>
      </c>
      <c r="U54" s="140">
        <f t="shared" si="8"/>
        <v>9.9999999999999978E-2</v>
      </c>
      <c r="V54" s="138">
        <f t="shared" si="9"/>
        <v>312.11111111111103</v>
      </c>
      <c r="W54" s="142">
        <f ca="1">V54*VLOOKUP(TODAY(),'UF HOY'!$A$2:$B$33,2,0)</f>
        <v>12401404.16222222</v>
      </c>
      <c r="X54" s="143">
        <f>Datos!$E$3</f>
        <v>31</v>
      </c>
      <c r="Y54" s="144">
        <f ca="1">IF((W54-1000000-Datos!$D$3)/X54&gt;0,(W54-1000000-Datos!$D$3)/X54,0)</f>
        <v>359722.71491039416</v>
      </c>
      <c r="Z54" s="143">
        <f>Datos!$F$3</f>
        <v>31</v>
      </c>
      <c r="AA54" s="144">
        <f ca="1">IF((W54-1750000-Datos!$D$3-3%*O54*VLOOKUP(TODAY(),'UF HOY'!$A$2:$B$33,2,0))/Z54&gt;0,(W54-1750000-Datos!$D$3-3%*O54*VLOOKUP(TODAY(),'UF HOY'!$A$2:$B$33,2,0))/Z54,0)</f>
        <v>215515.57785663076</v>
      </c>
      <c r="AB54" s="142">
        <f>IF(L54&gt;0,VLOOKUP(D54,Datos!$C$7:$E$11,3,0),VLOOKUP(D54,Datos!$C$7:$E$11,2,0))</f>
        <v>370000</v>
      </c>
      <c r="AC54" s="144">
        <f ca="1">(S54*PMT(Datos!$H$13,Datos!$H$12,-O54,,)*VLOOKUP(TODAY(),'UF HOY'!$A$2:$B$33,2,0)/12)+VLOOKUP(TODAY(),'UF HOY'!$A$2:$B$33,2,0)</f>
        <v>517850.22806527431</v>
      </c>
      <c r="AD54" s="144">
        <f t="shared" ca="1" si="10"/>
        <v>-147850.22806527431</v>
      </c>
      <c r="AE54" s="47">
        <f t="shared" ca="1" si="11"/>
        <v>2071400.9122610972</v>
      </c>
    </row>
    <row r="55" spans="1:31" s="145" customFormat="1" ht="15.5" hidden="1" x14ac:dyDescent="0.35">
      <c r="A55" s="129" t="s">
        <v>170</v>
      </c>
      <c r="B55" s="129">
        <v>412</v>
      </c>
      <c r="C55" s="131" t="s">
        <v>152</v>
      </c>
      <c r="D55" s="131" t="s">
        <v>153</v>
      </c>
      <c r="E55" s="131"/>
      <c r="F55" s="131">
        <v>31.86</v>
      </c>
      <c r="G55" s="131">
        <v>3.6</v>
      </c>
      <c r="H55" s="132">
        <f t="shared" si="0"/>
        <v>33.659999999999997</v>
      </c>
      <c r="I55" s="132">
        <f t="shared" si="1"/>
        <v>35.46</v>
      </c>
      <c r="J55" s="133">
        <v>2812</v>
      </c>
      <c r="K55" s="134">
        <v>0</v>
      </c>
      <c r="L55" s="135">
        <v>0</v>
      </c>
      <c r="M55" s="135">
        <v>0</v>
      </c>
      <c r="N55" s="69">
        <f t="shared" si="2"/>
        <v>2812</v>
      </c>
      <c r="O55" s="39">
        <f t="shared" si="3"/>
        <v>3124.4444444444443</v>
      </c>
      <c r="P55" s="136">
        <f t="shared" si="4"/>
        <v>83.541295306001203</v>
      </c>
      <c r="Q55" s="137">
        <f t="shared" si="5"/>
        <v>0.1</v>
      </c>
      <c r="R55" s="138">
        <f t="shared" si="6"/>
        <v>312.44444444444446</v>
      </c>
      <c r="S55" s="139">
        <v>0.8</v>
      </c>
      <c r="T55" s="138">
        <f t="shared" si="7"/>
        <v>2499.5555555555557</v>
      </c>
      <c r="U55" s="140">
        <f t="shared" si="8"/>
        <v>9.9999999999999978E-2</v>
      </c>
      <c r="V55" s="138">
        <f t="shared" si="9"/>
        <v>312.44444444444434</v>
      </c>
      <c r="W55" s="142">
        <f ca="1">V55*VLOOKUP(TODAY(),'UF HOY'!$A$2:$B$33,2,0)</f>
        <v>12414648.808888886</v>
      </c>
      <c r="X55" s="143">
        <f>Datos!$E$3</f>
        <v>31</v>
      </c>
      <c r="Y55" s="144">
        <f ca="1">IF((W55-1000000-Datos!$D$3)/X55&gt;0,(W55-1000000-Datos!$D$3)/X55,0)</f>
        <v>360149.96157706087</v>
      </c>
      <c r="Z55" s="143">
        <f>Datos!$F$3</f>
        <v>31</v>
      </c>
      <c r="AA55" s="144">
        <f ca="1">IF((W55-1750000-Datos!$D$3-3%*O55*VLOOKUP(TODAY(),'UF HOY'!$A$2:$B$33,2,0))/Z55&gt;0,(W55-1750000-Datos!$D$3-3%*O55*VLOOKUP(TODAY(),'UF HOY'!$A$2:$B$33,2,0))/Z55,0)</f>
        <v>215814.65052329743</v>
      </c>
      <c r="AB55" s="142">
        <f>IF(L55&gt;0,VLOOKUP(D55,Datos!$C$7:$E$11,3,0),VLOOKUP(D55,Datos!$C$7:$E$11,2,0))</f>
        <v>370000</v>
      </c>
      <c r="AC55" s="144">
        <f ca="1">(S55*PMT(Datos!$H$13,Datos!$H$12,-O55,,)*VLOOKUP(TODAY(),'UF HOY'!$A$2:$B$33,2,0)/12)+VLOOKUP(TODAY(),'UF HOY'!$A$2:$B$33,2,0)</f>
        <v>518360.85421842342</v>
      </c>
      <c r="AD55" s="144">
        <f t="shared" ca="1" si="10"/>
        <v>-148360.85421842342</v>
      </c>
      <c r="AE55" s="47">
        <f t="shared" ca="1" si="11"/>
        <v>2073443.4168736937</v>
      </c>
    </row>
    <row r="56" spans="1:31" s="145" customFormat="1" ht="15.5" hidden="1" x14ac:dyDescent="0.35">
      <c r="A56" s="129" t="s">
        <v>170</v>
      </c>
      <c r="B56" s="130">
        <v>408</v>
      </c>
      <c r="C56" s="131" t="s">
        <v>152</v>
      </c>
      <c r="D56" s="131" t="s">
        <v>153</v>
      </c>
      <c r="E56" s="131"/>
      <c r="F56" s="131">
        <v>31.86</v>
      </c>
      <c r="G56" s="131">
        <v>3.6</v>
      </c>
      <c r="H56" s="132">
        <f t="shared" si="0"/>
        <v>33.659999999999997</v>
      </c>
      <c r="I56" s="132">
        <f t="shared" si="1"/>
        <v>35.46</v>
      </c>
      <c r="J56" s="133">
        <v>2812.2210815850003</v>
      </c>
      <c r="K56" s="134">
        <v>0</v>
      </c>
      <c r="L56" s="135">
        <v>0</v>
      </c>
      <c r="M56" s="135">
        <v>0</v>
      </c>
      <c r="N56" s="69">
        <f t="shared" si="2"/>
        <v>2812.2210815850003</v>
      </c>
      <c r="O56" s="39">
        <f t="shared" si="3"/>
        <v>3124.6900906500005</v>
      </c>
      <c r="P56" s="136">
        <f t="shared" si="4"/>
        <v>83.547863386363659</v>
      </c>
      <c r="Q56" s="137">
        <f t="shared" si="5"/>
        <v>0.1</v>
      </c>
      <c r="R56" s="138">
        <f t="shared" si="6"/>
        <v>312.46900906500008</v>
      </c>
      <c r="S56" s="139">
        <v>0.8</v>
      </c>
      <c r="T56" s="138">
        <f t="shared" si="7"/>
        <v>2499.7520725200006</v>
      </c>
      <c r="U56" s="140">
        <f t="shared" si="8"/>
        <v>9.9999999999999978E-2</v>
      </c>
      <c r="V56" s="138">
        <f t="shared" si="9"/>
        <v>312.46900906499997</v>
      </c>
      <c r="W56" s="142">
        <f ca="1">V56*VLOOKUP(TODAY(),'UF HOY'!$A$2:$B$33,2,0)</f>
        <v>12415624.858048165</v>
      </c>
      <c r="X56" s="143">
        <f>Datos!$E$3</f>
        <v>31</v>
      </c>
      <c r="Y56" s="144">
        <f ca="1">IF((W56-1000000-Datos!$D$3)/X56&gt;0,(W56-1000000-Datos!$D$3)/X56,0)</f>
        <v>360181.44703381177</v>
      </c>
      <c r="Z56" s="143">
        <f>Datos!$F$3</f>
        <v>31</v>
      </c>
      <c r="AA56" s="144">
        <f ca="1">IF((W56-1750000-Datos!$D$3-3%*O56*VLOOKUP(TODAY(),'UF HOY'!$A$2:$B$33,2,0))/Z56&gt;0,(W56-1750000-Datos!$D$3-3%*O56*VLOOKUP(TODAY(),'UF HOY'!$A$2:$B$33,2,0))/Z56,0)</f>
        <v>215836.69034302307</v>
      </c>
      <c r="AB56" s="142">
        <f>IF(L56&gt;0,VLOOKUP(D56,Datos!$C$7:$E$11,3,0),VLOOKUP(D56,Datos!$C$7:$E$11,2,0))</f>
        <v>370000</v>
      </c>
      <c r="AC56" s="144">
        <f ca="1">(S56*PMT(Datos!$H$13,Datos!$H$12,-O56,,)*VLOOKUP(TODAY(),'UF HOY'!$A$2:$B$33,2,0)/12)+VLOOKUP(TODAY(),'UF HOY'!$A$2:$B$33,2,0)</f>
        <v>518398.48423151707</v>
      </c>
      <c r="AD56" s="144">
        <f t="shared" ca="1" si="10"/>
        <v>-148398.48423151707</v>
      </c>
      <c r="AE56" s="47">
        <f t="shared" ca="1" si="11"/>
        <v>2073593.9369260683</v>
      </c>
    </row>
    <row r="57" spans="1:31" s="145" customFormat="1" ht="15.5" hidden="1" x14ac:dyDescent="0.35">
      <c r="A57" s="129" t="s">
        <v>170</v>
      </c>
      <c r="B57" s="130">
        <v>409</v>
      </c>
      <c r="C57" s="131" t="s">
        <v>152</v>
      </c>
      <c r="D57" s="131" t="s">
        <v>153</v>
      </c>
      <c r="E57" s="131"/>
      <c r="F57" s="131">
        <v>31.86</v>
      </c>
      <c r="G57" s="131">
        <v>3.6</v>
      </c>
      <c r="H57" s="132">
        <f t="shared" si="0"/>
        <v>33.659999999999997</v>
      </c>
      <c r="I57" s="132">
        <f t="shared" si="1"/>
        <v>35.46</v>
      </c>
      <c r="J57" s="133">
        <v>2812.2210815850003</v>
      </c>
      <c r="K57" s="134">
        <v>0</v>
      </c>
      <c r="L57" s="135">
        <v>0</v>
      </c>
      <c r="M57" s="135">
        <v>0</v>
      </c>
      <c r="N57" s="69">
        <f t="shared" si="2"/>
        <v>2812.2210815850003</v>
      </c>
      <c r="O57" s="39">
        <f t="shared" si="3"/>
        <v>3124.6900906500005</v>
      </c>
      <c r="P57" s="136">
        <f t="shared" si="4"/>
        <v>83.547863386363659</v>
      </c>
      <c r="Q57" s="137">
        <f t="shared" si="5"/>
        <v>0.1</v>
      </c>
      <c r="R57" s="138">
        <f t="shared" si="6"/>
        <v>312.46900906500008</v>
      </c>
      <c r="S57" s="139">
        <v>0.8</v>
      </c>
      <c r="T57" s="138">
        <f t="shared" si="7"/>
        <v>2499.7520725200006</v>
      </c>
      <c r="U57" s="140">
        <f t="shared" si="8"/>
        <v>9.9999999999999978E-2</v>
      </c>
      <c r="V57" s="138">
        <f t="shared" si="9"/>
        <v>312.46900906499997</v>
      </c>
      <c r="W57" s="142">
        <f ca="1">V57*VLOOKUP(TODAY(),'UF HOY'!$A$2:$B$33,2,0)</f>
        <v>12415624.858048165</v>
      </c>
      <c r="X57" s="143">
        <f>Datos!$E$3</f>
        <v>31</v>
      </c>
      <c r="Y57" s="144">
        <f ca="1">IF((W57-1000000-Datos!$D$3)/X57&gt;0,(W57-1000000-Datos!$D$3)/X57,0)</f>
        <v>360181.44703381177</v>
      </c>
      <c r="Z57" s="143">
        <f>Datos!$F$3</f>
        <v>31</v>
      </c>
      <c r="AA57" s="144">
        <f ca="1">IF((W57-1750000-Datos!$D$3-3%*O57*VLOOKUP(TODAY(),'UF HOY'!$A$2:$B$33,2,0))/Z57&gt;0,(W57-1750000-Datos!$D$3-3%*O57*VLOOKUP(TODAY(),'UF HOY'!$A$2:$B$33,2,0))/Z57,0)</f>
        <v>215836.69034302307</v>
      </c>
      <c r="AB57" s="142">
        <f>IF(L57&gt;0,VLOOKUP(D57,Datos!$C$7:$E$11,3,0),VLOOKUP(D57,Datos!$C$7:$E$11,2,0))</f>
        <v>370000</v>
      </c>
      <c r="AC57" s="144">
        <f ca="1">(S57*PMT(Datos!$H$13,Datos!$H$12,-O57,,)*VLOOKUP(TODAY(),'UF HOY'!$A$2:$B$33,2,0)/12)+VLOOKUP(TODAY(),'UF HOY'!$A$2:$B$33,2,0)</f>
        <v>518398.48423151707</v>
      </c>
      <c r="AD57" s="144">
        <f t="shared" ca="1" si="10"/>
        <v>-148398.48423151707</v>
      </c>
      <c r="AE57" s="47">
        <f t="shared" ca="1" si="11"/>
        <v>2073593.9369260683</v>
      </c>
    </row>
    <row r="58" spans="1:31" s="145" customFormat="1" ht="15.5" hidden="1" x14ac:dyDescent="0.35">
      <c r="A58" s="129" t="s">
        <v>170</v>
      </c>
      <c r="B58" s="130">
        <v>410</v>
      </c>
      <c r="C58" s="131" t="s">
        <v>152</v>
      </c>
      <c r="D58" s="131" t="s">
        <v>153</v>
      </c>
      <c r="E58" s="131"/>
      <c r="F58" s="131">
        <v>31.86</v>
      </c>
      <c r="G58" s="131">
        <v>3.6</v>
      </c>
      <c r="H58" s="132">
        <f t="shared" si="0"/>
        <v>33.659999999999997</v>
      </c>
      <c r="I58" s="132">
        <f t="shared" si="1"/>
        <v>35.46</v>
      </c>
      <c r="J58" s="133">
        <v>2812.2210815850003</v>
      </c>
      <c r="K58" s="134">
        <v>0</v>
      </c>
      <c r="L58" s="135">
        <v>0</v>
      </c>
      <c r="M58" s="135">
        <v>0</v>
      </c>
      <c r="N58" s="69">
        <f t="shared" si="2"/>
        <v>2812.2210815850003</v>
      </c>
      <c r="O58" s="39">
        <f t="shared" si="3"/>
        <v>3124.6900906500005</v>
      </c>
      <c r="P58" s="136">
        <f t="shared" si="4"/>
        <v>83.547863386363659</v>
      </c>
      <c r="Q58" s="137">
        <f t="shared" si="5"/>
        <v>0.1</v>
      </c>
      <c r="R58" s="138">
        <f t="shared" si="6"/>
        <v>312.46900906500008</v>
      </c>
      <c r="S58" s="139">
        <v>0.8</v>
      </c>
      <c r="T58" s="138">
        <f t="shared" si="7"/>
        <v>2499.7520725200006</v>
      </c>
      <c r="U58" s="140">
        <f t="shared" si="8"/>
        <v>9.9999999999999978E-2</v>
      </c>
      <c r="V58" s="138">
        <f t="shared" si="9"/>
        <v>312.46900906499997</v>
      </c>
      <c r="W58" s="142">
        <f ca="1">V58*VLOOKUP(TODAY(),'UF HOY'!$A$2:$B$33,2,0)</f>
        <v>12415624.858048165</v>
      </c>
      <c r="X58" s="143">
        <f>Datos!$E$3</f>
        <v>31</v>
      </c>
      <c r="Y58" s="144">
        <f ca="1">IF((W58-1000000-Datos!$D$3)/X58&gt;0,(W58-1000000-Datos!$D$3)/X58,0)</f>
        <v>360181.44703381177</v>
      </c>
      <c r="Z58" s="143">
        <f>Datos!$F$3</f>
        <v>31</v>
      </c>
      <c r="AA58" s="144">
        <f ca="1">IF((W58-1750000-Datos!$D$3-3%*O58*VLOOKUP(TODAY(),'UF HOY'!$A$2:$B$33,2,0))/Z58&gt;0,(W58-1750000-Datos!$D$3-3%*O58*VLOOKUP(TODAY(),'UF HOY'!$A$2:$B$33,2,0))/Z58,0)</f>
        <v>215836.69034302307</v>
      </c>
      <c r="AB58" s="142">
        <f>IF(L58&gt;0,VLOOKUP(D58,Datos!$C$7:$E$11,3,0),VLOOKUP(D58,Datos!$C$7:$E$11,2,0))</f>
        <v>370000</v>
      </c>
      <c r="AC58" s="144">
        <f ca="1">(S58*PMT(Datos!$H$13,Datos!$H$12,-O58,,)*VLOOKUP(TODAY(),'UF HOY'!$A$2:$B$33,2,0)/12)+VLOOKUP(TODAY(),'UF HOY'!$A$2:$B$33,2,0)</f>
        <v>518398.48423151707</v>
      </c>
      <c r="AD58" s="144">
        <f t="shared" ca="1" si="10"/>
        <v>-148398.48423151707</v>
      </c>
      <c r="AE58" s="47">
        <f t="shared" ca="1" si="11"/>
        <v>2073593.9369260683</v>
      </c>
    </row>
    <row r="59" spans="1:31" s="145" customFormat="1" ht="15.5" hidden="1" x14ac:dyDescent="0.35">
      <c r="A59" s="129" t="s">
        <v>170</v>
      </c>
      <c r="B59" s="130">
        <v>413</v>
      </c>
      <c r="C59" s="131" t="s">
        <v>152</v>
      </c>
      <c r="D59" s="131" t="s">
        <v>153</v>
      </c>
      <c r="E59" s="131"/>
      <c r="F59" s="131">
        <v>31.86</v>
      </c>
      <c r="G59" s="131">
        <v>3.6</v>
      </c>
      <c r="H59" s="132">
        <f t="shared" si="0"/>
        <v>33.659999999999997</v>
      </c>
      <c r="I59" s="132">
        <f t="shared" si="1"/>
        <v>35.46</v>
      </c>
      <c r="J59" s="133">
        <v>2812.2210815850003</v>
      </c>
      <c r="K59" s="134">
        <v>0</v>
      </c>
      <c r="L59" s="135">
        <v>0</v>
      </c>
      <c r="M59" s="135">
        <v>0</v>
      </c>
      <c r="N59" s="69">
        <f t="shared" si="2"/>
        <v>2812.2210815850003</v>
      </c>
      <c r="O59" s="39">
        <f t="shared" si="3"/>
        <v>3124.6900906500005</v>
      </c>
      <c r="P59" s="136">
        <f t="shared" si="4"/>
        <v>83.547863386363659</v>
      </c>
      <c r="Q59" s="137">
        <f t="shared" si="5"/>
        <v>0.1</v>
      </c>
      <c r="R59" s="138">
        <f t="shared" si="6"/>
        <v>312.46900906500008</v>
      </c>
      <c r="S59" s="139">
        <v>0.8</v>
      </c>
      <c r="T59" s="138">
        <f t="shared" si="7"/>
        <v>2499.7520725200006</v>
      </c>
      <c r="U59" s="140">
        <f t="shared" si="8"/>
        <v>9.9999999999999978E-2</v>
      </c>
      <c r="V59" s="138">
        <f t="shared" si="9"/>
        <v>312.46900906499997</v>
      </c>
      <c r="W59" s="142">
        <f ca="1">V59*VLOOKUP(TODAY(),'UF HOY'!$A$2:$B$33,2,0)</f>
        <v>12415624.858048165</v>
      </c>
      <c r="X59" s="143">
        <f>Datos!$E$3</f>
        <v>31</v>
      </c>
      <c r="Y59" s="144">
        <f ca="1">IF((W59-1000000-Datos!$D$3)/X59&gt;0,(W59-1000000-Datos!$D$3)/X59,0)</f>
        <v>360181.44703381177</v>
      </c>
      <c r="Z59" s="143">
        <f>Datos!$F$3</f>
        <v>31</v>
      </c>
      <c r="AA59" s="144">
        <f ca="1">IF((W59-1750000-Datos!$D$3-3%*O59*VLOOKUP(TODAY(),'UF HOY'!$A$2:$B$33,2,0))/Z59&gt;0,(W59-1750000-Datos!$D$3-3%*O59*VLOOKUP(TODAY(),'UF HOY'!$A$2:$B$33,2,0))/Z59,0)</f>
        <v>215836.69034302307</v>
      </c>
      <c r="AB59" s="142">
        <f>IF(L59&gt;0,VLOOKUP(D59,Datos!$C$7:$E$11,3,0),VLOOKUP(D59,Datos!$C$7:$E$11,2,0))</f>
        <v>370000</v>
      </c>
      <c r="AC59" s="144">
        <f ca="1">(S59*PMT(Datos!$H$13,Datos!$H$12,-O59,,)*VLOOKUP(TODAY(),'UF HOY'!$A$2:$B$33,2,0)/12)+VLOOKUP(TODAY(),'UF HOY'!$A$2:$B$33,2,0)</f>
        <v>518398.48423151707</v>
      </c>
      <c r="AD59" s="144">
        <f t="shared" ca="1" si="10"/>
        <v>-148398.48423151707</v>
      </c>
      <c r="AE59" s="47">
        <f t="shared" ca="1" si="11"/>
        <v>2073593.9369260683</v>
      </c>
    </row>
    <row r="60" spans="1:31" s="145" customFormat="1" ht="15.5" hidden="1" x14ac:dyDescent="0.35">
      <c r="A60" s="129" t="s">
        <v>170</v>
      </c>
      <c r="B60" s="130">
        <v>516</v>
      </c>
      <c r="C60" s="131" t="s">
        <v>151</v>
      </c>
      <c r="D60" s="131" t="s">
        <v>153</v>
      </c>
      <c r="E60" s="131"/>
      <c r="F60" s="131">
        <v>33.369999999999997</v>
      </c>
      <c r="G60" s="131">
        <v>3.17</v>
      </c>
      <c r="H60" s="132">
        <f t="shared" si="0"/>
        <v>34.954999999999998</v>
      </c>
      <c r="I60" s="132">
        <f t="shared" si="1"/>
        <v>36.54</v>
      </c>
      <c r="J60" s="69">
        <v>2812.6872213299998</v>
      </c>
      <c r="K60" s="134">
        <v>0</v>
      </c>
      <c r="L60" s="135">
        <v>0</v>
      </c>
      <c r="M60" s="135">
        <v>0</v>
      </c>
      <c r="N60" s="69">
        <f t="shared" si="2"/>
        <v>2812.6872213299998</v>
      </c>
      <c r="O60" s="39">
        <f t="shared" si="3"/>
        <v>3125.2080236999996</v>
      </c>
      <c r="P60" s="136">
        <f t="shared" si="4"/>
        <v>80.465948257187819</v>
      </c>
      <c r="Q60" s="137">
        <f t="shared" si="5"/>
        <v>0.1</v>
      </c>
      <c r="R60" s="138">
        <f t="shared" si="6"/>
        <v>312.52080236999996</v>
      </c>
      <c r="S60" s="139">
        <v>0.8</v>
      </c>
      <c r="T60" s="138">
        <f t="shared" si="7"/>
        <v>2500.1664189599996</v>
      </c>
      <c r="U60" s="140">
        <f t="shared" si="8"/>
        <v>9.9999999999999978E-2</v>
      </c>
      <c r="V60" s="138">
        <f t="shared" si="9"/>
        <v>312.5208023699999</v>
      </c>
      <c r="W60" s="142">
        <f ca="1">V60*VLOOKUP(TODAY(),'UF HOY'!$A$2:$B$33,2,0)</f>
        <v>12417682.810121434</v>
      </c>
      <c r="X60" s="143">
        <f>Datos!$E$3</f>
        <v>31</v>
      </c>
      <c r="Y60" s="144">
        <f ca="1">IF((W60-1000000-Datos!$D$3)/X60&gt;0,(W60-1000000-Datos!$D$3)/X60,0)</f>
        <v>360247.83258456236</v>
      </c>
      <c r="Z60" s="143">
        <f>Datos!$F$3</f>
        <v>31</v>
      </c>
      <c r="AA60" s="144">
        <f ca="1">IF((W60-1750000-Datos!$D$3-3%*O60*VLOOKUP(TODAY(),'UF HOY'!$A$2:$B$33,2,0))/Z60&gt;0,(W60-1750000-Datos!$D$3-3%*O60*VLOOKUP(TODAY(),'UF HOY'!$A$2:$B$33,2,0))/Z60,0)</f>
        <v>215883.16022854846</v>
      </c>
      <c r="AB60" s="142">
        <f>IF(L60&gt;0,VLOOKUP(D60,Datos!$C$7:$E$11,3,0),VLOOKUP(D60,Datos!$C$7:$E$11,2,0))</f>
        <v>370000</v>
      </c>
      <c r="AC60" s="144">
        <f ca="1">(S60*PMT(Datos!$H$13,Datos!$H$12,-O60,,)*VLOOKUP(TODAY(),'UF HOY'!$A$2:$B$33,2,0)/12)+VLOOKUP(TODAY(),'UF HOY'!$A$2:$B$33,2,0)</f>
        <v>518477.82527978998</v>
      </c>
      <c r="AD60" s="144">
        <f t="shared" ca="1" si="10"/>
        <v>-148477.82527978998</v>
      </c>
      <c r="AE60" s="47">
        <f t="shared" ca="1" si="11"/>
        <v>2073911.3011191599</v>
      </c>
    </row>
    <row r="61" spans="1:31" s="145" customFormat="1" ht="15.5" hidden="1" x14ac:dyDescent="0.35">
      <c r="A61" s="129" t="s">
        <v>170</v>
      </c>
      <c r="B61" s="130">
        <v>910</v>
      </c>
      <c r="C61" s="131" t="s">
        <v>152</v>
      </c>
      <c r="D61" s="131" t="s">
        <v>153</v>
      </c>
      <c r="E61" s="131"/>
      <c r="F61" s="131">
        <v>31.86</v>
      </c>
      <c r="G61" s="131">
        <v>3.6</v>
      </c>
      <c r="H61" s="132">
        <f t="shared" si="0"/>
        <v>33.659999999999997</v>
      </c>
      <c r="I61" s="132">
        <f t="shared" si="1"/>
        <v>35.46</v>
      </c>
      <c r="J61" s="156">
        <v>2824</v>
      </c>
      <c r="K61" s="134">
        <v>0</v>
      </c>
      <c r="L61" s="135">
        <v>0</v>
      </c>
      <c r="M61" s="135">
        <v>0</v>
      </c>
      <c r="N61" s="69">
        <f t="shared" si="2"/>
        <v>2824</v>
      </c>
      <c r="O61" s="39">
        <f t="shared" si="3"/>
        <v>3137.7777777777778</v>
      </c>
      <c r="P61" s="136">
        <f t="shared" si="4"/>
        <v>83.897801544860371</v>
      </c>
      <c r="Q61" s="137">
        <f t="shared" si="5"/>
        <v>0.10000000000000002</v>
      </c>
      <c r="R61" s="138">
        <f t="shared" si="6"/>
        <v>313.77777777777783</v>
      </c>
      <c r="S61" s="139">
        <v>0.8</v>
      </c>
      <c r="T61" s="138">
        <f t="shared" si="7"/>
        <v>2510.2222222222226</v>
      </c>
      <c r="U61" s="140">
        <f t="shared" si="8"/>
        <v>9.9999999999999978E-2</v>
      </c>
      <c r="V61" s="138">
        <f t="shared" si="9"/>
        <v>313.77777777777771</v>
      </c>
      <c r="W61" s="142">
        <f ca="1">V61*VLOOKUP(TODAY(),'UF HOY'!$A$2:$B$33,2,0)</f>
        <v>12467627.395555554</v>
      </c>
      <c r="X61" s="143">
        <f>Datos!$E$3</f>
        <v>31</v>
      </c>
      <c r="Y61" s="144">
        <f ca="1">IF((W61-1000000-Datos!$D$3)/X61&gt;0,(W61-1000000-Datos!$D$3)/X61,0)</f>
        <v>361858.94824372756</v>
      </c>
      <c r="Z61" s="143">
        <f>Datos!$F$3</f>
        <v>31</v>
      </c>
      <c r="AA61" s="144">
        <f ca="1">IF((W61-1750000-Datos!$D$3-3%*O61*VLOOKUP(TODAY(),'UF HOY'!$A$2:$B$33,2,0))/Z61&gt;0,(W61-1750000-Datos!$D$3-3%*O61*VLOOKUP(TODAY(),'UF HOY'!$A$2:$B$33,2,0))/Z61,0)</f>
        <v>217010.9411899641</v>
      </c>
      <c r="AB61" s="142">
        <f>IF(L61&gt;0,VLOOKUP(D61,Datos!$C$7:$E$11,3,0),VLOOKUP(D61,Datos!$C$7:$E$11,2,0))</f>
        <v>370000</v>
      </c>
      <c r="AC61" s="144">
        <f ca="1">(S61*PMT(Datos!$H$13,Datos!$H$12,-O61,,)*VLOOKUP(TODAY(),'UF HOY'!$A$2:$B$33,2,0)/12)+VLOOKUP(TODAY(),'UF HOY'!$A$2:$B$33,2,0)</f>
        <v>520403.3588310199</v>
      </c>
      <c r="AD61" s="144">
        <f t="shared" ca="1" si="10"/>
        <v>-150403.3588310199</v>
      </c>
      <c r="AE61" s="47">
        <f t="shared" ca="1" si="11"/>
        <v>2081613.4353240796</v>
      </c>
    </row>
    <row r="62" spans="1:31" s="145" customFormat="1" ht="15.5" hidden="1" x14ac:dyDescent="0.35">
      <c r="A62" s="129" t="s">
        <v>170</v>
      </c>
      <c r="B62" s="130">
        <v>1001</v>
      </c>
      <c r="C62" s="131" t="s">
        <v>151</v>
      </c>
      <c r="D62" s="131" t="s">
        <v>153</v>
      </c>
      <c r="E62" s="131"/>
      <c r="F62" s="131">
        <v>31.86</v>
      </c>
      <c r="G62" s="131">
        <v>3.6</v>
      </c>
      <c r="H62" s="132">
        <f t="shared" si="0"/>
        <v>33.659999999999997</v>
      </c>
      <c r="I62" s="132">
        <f t="shared" si="1"/>
        <v>35.46</v>
      </c>
      <c r="J62" s="69">
        <v>2824.2677049792906</v>
      </c>
      <c r="K62" s="134">
        <v>0</v>
      </c>
      <c r="L62" s="135">
        <v>0</v>
      </c>
      <c r="M62" s="135">
        <v>0</v>
      </c>
      <c r="N62" s="69">
        <f t="shared" si="2"/>
        <v>2824.2677049792906</v>
      </c>
      <c r="O62" s="39">
        <f t="shared" si="3"/>
        <v>3138.0752277547672</v>
      </c>
      <c r="P62" s="136">
        <f t="shared" si="4"/>
        <v>83.905754752801272</v>
      </c>
      <c r="Q62" s="137">
        <f t="shared" si="5"/>
        <v>0.1</v>
      </c>
      <c r="R62" s="138">
        <f t="shared" si="6"/>
        <v>313.80752277547674</v>
      </c>
      <c r="S62" s="139">
        <v>0.8</v>
      </c>
      <c r="T62" s="138">
        <f t="shared" si="7"/>
        <v>2510.4601822038139</v>
      </c>
      <c r="U62" s="140">
        <f t="shared" si="8"/>
        <v>9.9999999999999978E-2</v>
      </c>
      <c r="V62" s="138">
        <f t="shared" si="9"/>
        <v>313.80752277547663</v>
      </c>
      <c r="W62" s="142">
        <f ca="1">V62*VLOOKUP(TODAY(),'UF HOY'!$A$2:$B$33,2,0)</f>
        <v>12468809.281509422</v>
      </c>
      <c r="X62" s="143">
        <f>Datos!$E$3</f>
        <v>31</v>
      </c>
      <c r="Y62" s="144">
        <f ca="1">IF((W62-1000000-Datos!$D$3)/X62&gt;0,(W62-1000000-Datos!$D$3)/X62,0)</f>
        <v>361897.0735970781</v>
      </c>
      <c r="Z62" s="143">
        <f>Datos!$F$3</f>
        <v>31</v>
      </c>
      <c r="AA62" s="144">
        <f ca="1">IF((W62-1750000-Datos!$D$3-3%*O62*VLOOKUP(TODAY(),'UF HOY'!$A$2:$B$33,2,0))/Z62&gt;0,(W62-1750000-Datos!$D$3-3%*O62*VLOOKUP(TODAY(),'UF HOY'!$A$2:$B$33,2,0))/Z62,0)</f>
        <v>217037.62893730949</v>
      </c>
      <c r="AB62" s="142">
        <f>IF(L62&gt;0,VLOOKUP(D62,Datos!$C$7:$E$11,3,0),VLOOKUP(D62,Datos!$C$7:$E$11,2,0))</f>
        <v>370000</v>
      </c>
      <c r="AC62" s="144">
        <f ca="1">(S62*PMT(Datos!$H$13,Datos!$H$12,-O62,,)*VLOOKUP(TODAY(),'UF HOY'!$A$2:$B$33,2,0)/12)+VLOOKUP(TODAY(),'UF HOY'!$A$2:$B$33,2,0)</f>
        <v>520448.92455227114</v>
      </c>
      <c r="AD62" s="144">
        <f t="shared" ca="1" si="10"/>
        <v>-150448.92455227114</v>
      </c>
      <c r="AE62" s="47">
        <f t="shared" ca="1" si="11"/>
        <v>2081795.6982090846</v>
      </c>
    </row>
    <row r="63" spans="1:31" s="145" customFormat="1" ht="15.5" hidden="1" x14ac:dyDescent="0.35">
      <c r="A63" s="129" t="s">
        <v>170</v>
      </c>
      <c r="B63" s="130">
        <v>1002</v>
      </c>
      <c r="C63" s="131" t="s">
        <v>151</v>
      </c>
      <c r="D63" s="131" t="s">
        <v>153</v>
      </c>
      <c r="E63" s="131"/>
      <c r="F63" s="131">
        <v>33.369999999999997</v>
      </c>
      <c r="G63" s="131">
        <v>3.17</v>
      </c>
      <c r="H63" s="132">
        <f t="shared" si="0"/>
        <v>34.954999999999998</v>
      </c>
      <c r="I63" s="132">
        <f t="shared" si="1"/>
        <v>36.54</v>
      </c>
      <c r="J63" s="69">
        <v>2824.2677049792906</v>
      </c>
      <c r="K63" s="134">
        <v>0</v>
      </c>
      <c r="L63" s="135">
        <v>0</v>
      </c>
      <c r="M63" s="135">
        <v>0</v>
      </c>
      <c r="N63" s="69">
        <f t="shared" si="2"/>
        <v>2824.2677049792906</v>
      </c>
      <c r="O63" s="39">
        <f t="shared" si="3"/>
        <v>3138.0752277547672</v>
      </c>
      <c r="P63" s="136">
        <f t="shared" si="4"/>
        <v>80.797245171772019</v>
      </c>
      <c r="Q63" s="137">
        <f t="shared" si="5"/>
        <v>0.1</v>
      </c>
      <c r="R63" s="138">
        <f t="shared" si="6"/>
        <v>313.80752277547674</v>
      </c>
      <c r="S63" s="139">
        <v>0.8</v>
      </c>
      <c r="T63" s="138">
        <f t="shared" si="7"/>
        <v>2510.4601822038139</v>
      </c>
      <c r="U63" s="140">
        <f t="shared" si="8"/>
        <v>9.9999999999999978E-2</v>
      </c>
      <c r="V63" s="138">
        <f t="shared" si="9"/>
        <v>313.80752277547663</v>
      </c>
      <c r="W63" s="142">
        <f ca="1">V63*VLOOKUP(TODAY(),'UF HOY'!$A$2:$B$33,2,0)</f>
        <v>12468809.281509422</v>
      </c>
      <c r="X63" s="143">
        <f>Datos!$E$3</f>
        <v>31</v>
      </c>
      <c r="Y63" s="144">
        <f ca="1">IF((W63-1000000-Datos!$D$3)/X63&gt;0,(W63-1000000-Datos!$D$3)/X63,0)</f>
        <v>361897.0735970781</v>
      </c>
      <c r="Z63" s="143">
        <f>Datos!$F$3</f>
        <v>31</v>
      </c>
      <c r="AA63" s="144">
        <f ca="1">IF((W63-1750000-Datos!$D$3-3%*O63*VLOOKUP(TODAY(),'UF HOY'!$A$2:$B$33,2,0))/Z63&gt;0,(W63-1750000-Datos!$D$3-3%*O63*VLOOKUP(TODAY(),'UF HOY'!$A$2:$B$33,2,0))/Z63,0)</f>
        <v>217037.62893730949</v>
      </c>
      <c r="AB63" s="142">
        <f>IF(L63&gt;0,VLOOKUP(D63,Datos!$C$7:$E$11,3,0),VLOOKUP(D63,Datos!$C$7:$E$11,2,0))</f>
        <v>370000</v>
      </c>
      <c r="AC63" s="144">
        <f ca="1">(S63*PMT(Datos!$H$13,Datos!$H$12,-O63,,)*VLOOKUP(TODAY(),'UF HOY'!$A$2:$B$33,2,0)/12)+VLOOKUP(TODAY(),'UF HOY'!$A$2:$B$33,2,0)</f>
        <v>520448.92455227114</v>
      </c>
      <c r="AD63" s="144">
        <f t="shared" ca="1" si="10"/>
        <v>-150448.92455227114</v>
      </c>
      <c r="AE63" s="47">
        <f t="shared" ca="1" si="11"/>
        <v>2081795.6982090846</v>
      </c>
    </row>
    <row r="64" spans="1:31" s="145" customFormat="1" ht="15.5" hidden="1" x14ac:dyDescent="0.35">
      <c r="A64" s="129" t="s">
        <v>170</v>
      </c>
      <c r="B64" s="130">
        <v>1003</v>
      </c>
      <c r="C64" s="131" t="s">
        <v>151</v>
      </c>
      <c r="D64" s="131" t="s">
        <v>153</v>
      </c>
      <c r="E64" s="131"/>
      <c r="F64" s="131">
        <v>33.369999999999997</v>
      </c>
      <c r="G64" s="131">
        <v>3.17</v>
      </c>
      <c r="H64" s="132">
        <f t="shared" si="0"/>
        <v>34.954999999999998</v>
      </c>
      <c r="I64" s="132">
        <f t="shared" si="1"/>
        <v>36.54</v>
      </c>
      <c r="J64" s="69">
        <v>2824.2677049792906</v>
      </c>
      <c r="K64" s="134">
        <v>0</v>
      </c>
      <c r="L64" s="135">
        <v>0</v>
      </c>
      <c r="M64" s="135">
        <v>0</v>
      </c>
      <c r="N64" s="69">
        <f t="shared" si="2"/>
        <v>2824.2677049792906</v>
      </c>
      <c r="O64" s="39">
        <f t="shared" si="3"/>
        <v>3138.0752277547672</v>
      </c>
      <c r="P64" s="136">
        <f t="shared" si="4"/>
        <v>80.797245171772019</v>
      </c>
      <c r="Q64" s="137">
        <f t="shared" si="5"/>
        <v>0.1</v>
      </c>
      <c r="R64" s="138">
        <f t="shared" si="6"/>
        <v>313.80752277547674</v>
      </c>
      <c r="S64" s="139">
        <v>0.8</v>
      </c>
      <c r="T64" s="138">
        <f t="shared" si="7"/>
        <v>2510.4601822038139</v>
      </c>
      <c r="U64" s="140">
        <f t="shared" si="8"/>
        <v>9.9999999999999978E-2</v>
      </c>
      <c r="V64" s="138">
        <f t="shared" si="9"/>
        <v>313.80752277547663</v>
      </c>
      <c r="W64" s="142">
        <f ca="1">V64*VLOOKUP(TODAY(),'UF HOY'!$A$2:$B$33,2,0)</f>
        <v>12468809.281509422</v>
      </c>
      <c r="X64" s="143">
        <f>Datos!$E$3</f>
        <v>31</v>
      </c>
      <c r="Y64" s="144">
        <f ca="1">IF((W64-1000000-Datos!$D$3)/X64&gt;0,(W64-1000000-Datos!$D$3)/X64,0)</f>
        <v>361897.0735970781</v>
      </c>
      <c r="Z64" s="143">
        <f>Datos!$F$3</f>
        <v>31</v>
      </c>
      <c r="AA64" s="144">
        <f ca="1">IF((W64-1750000-Datos!$D$3-3%*O64*VLOOKUP(TODAY(),'UF HOY'!$A$2:$B$33,2,0))/Z64&gt;0,(W64-1750000-Datos!$D$3-3%*O64*VLOOKUP(TODAY(),'UF HOY'!$A$2:$B$33,2,0))/Z64,0)</f>
        <v>217037.62893730949</v>
      </c>
      <c r="AB64" s="142">
        <f>IF(L64&gt;0,VLOOKUP(D64,Datos!$C$7:$E$11,3,0),VLOOKUP(D64,Datos!$C$7:$E$11,2,0))</f>
        <v>370000</v>
      </c>
      <c r="AC64" s="144">
        <f ca="1">(S64*PMT(Datos!$H$13,Datos!$H$12,-O64,,)*VLOOKUP(TODAY(),'UF HOY'!$A$2:$B$33,2,0)/12)+VLOOKUP(TODAY(),'UF HOY'!$A$2:$B$33,2,0)</f>
        <v>520448.92455227114</v>
      </c>
      <c r="AD64" s="144">
        <f t="shared" ca="1" si="10"/>
        <v>-150448.92455227114</v>
      </c>
      <c r="AE64" s="47">
        <f t="shared" ca="1" si="11"/>
        <v>2081795.6982090846</v>
      </c>
    </row>
    <row r="65" spans="1:31" s="145" customFormat="1" ht="15.5" hidden="1" x14ac:dyDescent="0.35">
      <c r="A65" s="129" t="s">
        <v>170</v>
      </c>
      <c r="B65" s="129">
        <v>1004</v>
      </c>
      <c r="C65" s="131" t="s">
        <v>151</v>
      </c>
      <c r="D65" s="131" t="s">
        <v>153</v>
      </c>
      <c r="E65" s="131"/>
      <c r="F65" s="131">
        <v>31.86</v>
      </c>
      <c r="G65" s="131">
        <v>3.6</v>
      </c>
      <c r="H65" s="132">
        <f t="shared" si="0"/>
        <v>33.659999999999997</v>
      </c>
      <c r="I65" s="132">
        <f t="shared" si="1"/>
        <v>35.46</v>
      </c>
      <c r="J65" s="69">
        <v>2824.2677049792906</v>
      </c>
      <c r="K65" s="134">
        <v>0</v>
      </c>
      <c r="L65" s="135">
        <v>0</v>
      </c>
      <c r="M65" s="135">
        <v>0</v>
      </c>
      <c r="N65" s="69">
        <f t="shared" si="2"/>
        <v>2824.2677049792906</v>
      </c>
      <c r="O65" s="39">
        <f t="shared" si="3"/>
        <v>3138.0752277547672</v>
      </c>
      <c r="P65" s="136">
        <f t="shared" si="4"/>
        <v>83.905754752801272</v>
      </c>
      <c r="Q65" s="137">
        <f t="shared" si="5"/>
        <v>0.1</v>
      </c>
      <c r="R65" s="138">
        <f t="shared" si="6"/>
        <v>313.80752277547674</v>
      </c>
      <c r="S65" s="139">
        <v>0.8</v>
      </c>
      <c r="T65" s="138">
        <f t="shared" si="7"/>
        <v>2510.4601822038139</v>
      </c>
      <c r="U65" s="140">
        <f t="shared" si="8"/>
        <v>9.9999999999999978E-2</v>
      </c>
      <c r="V65" s="138">
        <f t="shared" si="9"/>
        <v>313.80752277547663</v>
      </c>
      <c r="W65" s="142">
        <f ca="1">V65*VLOOKUP(TODAY(),'UF HOY'!$A$2:$B$33,2,0)</f>
        <v>12468809.281509422</v>
      </c>
      <c r="X65" s="143">
        <f>Datos!$E$3</f>
        <v>31</v>
      </c>
      <c r="Y65" s="144">
        <f ca="1">IF((W65-1000000-Datos!$D$3)/X65&gt;0,(W65-1000000-Datos!$D$3)/X65,0)</f>
        <v>361897.0735970781</v>
      </c>
      <c r="Z65" s="143">
        <f>Datos!$F$3</f>
        <v>31</v>
      </c>
      <c r="AA65" s="144">
        <f ca="1">IF((W65-1750000-Datos!$D$3-3%*O65*VLOOKUP(TODAY(),'UF HOY'!$A$2:$B$33,2,0))/Z65&gt;0,(W65-1750000-Datos!$D$3-3%*O65*VLOOKUP(TODAY(),'UF HOY'!$A$2:$B$33,2,0))/Z65,0)</f>
        <v>217037.62893730949</v>
      </c>
      <c r="AB65" s="142">
        <f>IF(L65&gt;0,VLOOKUP(D65,Datos!$C$7:$E$11,3,0),VLOOKUP(D65,Datos!$C$7:$E$11,2,0))</f>
        <v>370000</v>
      </c>
      <c r="AC65" s="144">
        <f ca="1">(S65*PMT(Datos!$H$13,Datos!$H$12,-O65,,)*VLOOKUP(TODAY(),'UF HOY'!$A$2:$B$33,2,0)/12)+VLOOKUP(TODAY(),'UF HOY'!$A$2:$B$33,2,0)</f>
        <v>520448.92455227114</v>
      </c>
      <c r="AD65" s="144">
        <f t="shared" ca="1" si="10"/>
        <v>-150448.92455227114</v>
      </c>
      <c r="AE65" s="47">
        <f t="shared" ca="1" si="11"/>
        <v>2081795.6982090846</v>
      </c>
    </row>
    <row r="66" spans="1:31" s="145" customFormat="1" ht="15.5" hidden="1" x14ac:dyDescent="0.35">
      <c r="A66" s="129" t="s">
        <v>170</v>
      </c>
      <c r="B66" s="130">
        <v>1016</v>
      </c>
      <c r="C66" s="131" t="s">
        <v>151</v>
      </c>
      <c r="D66" s="131" t="s">
        <v>153</v>
      </c>
      <c r="E66" s="131"/>
      <c r="F66" s="131">
        <v>33.369999999999997</v>
      </c>
      <c r="G66" s="131">
        <v>3.17</v>
      </c>
      <c r="H66" s="132">
        <f t="shared" ref="H66:H129" si="12">F66+G66/2</f>
        <v>34.954999999999998</v>
      </c>
      <c r="I66" s="132">
        <f t="shared" ref="I66:I129" si="13">F66+G66</f>
        <v>36.54</v>
      </c>
      <c r="J66" s="69">
        <v>2825.1948849792907</v>
      </c>
      <c r="K66" s="134">
        <v>0</v>
      </c>
      <c r="L66" s="135">
        <v>0</v>
      </c>
      <c r="M66" s="135">
        <v>0</v>
      </c>
      <c r="N66" s="69">
        <f t="shared" ref="N66:N129" si="14">J66-(J66*K66)+L66+M66</f>
        <v>2825.1948849792907</v>
      </c>
      <c r="O66" s="39">
        <f t="shared" ref="O66:O129" si="15">N66/0.9</f>
        <v>3139.1054277547673</v>
      </c>
      <c r="P66" s="136">
        <f t="shared" ref="P66:P129" si="16">(N66-L66-M66)/H66</f>
        <v>80.823770132435726</v>
      </c>
      <c r="Q66" s="137">
        <f t="shared" ref="Q66:Q129" si="17">R66/O66</f>
        <v>0.1</v>
      </c>
      <c r="R66" s="138">
        <f t="shared" ref="R66:R129" si="18">O66*0.1</f>
        <v>313.91054277547676</v>
      </c>
      <c r="S66" s="139">
        <v>0.8</v>
      </c>
      <c r="T66" s="138">
        <f t="shared" ref="T66:T129" si="19">S66*O66</f>
        <v>2511.284342203814</v>
      </c>
      <c r="U66" s="140">
        <f t="shared" ref="U66:U129" si="20">100%-Q66-S66</f>
        <v>9.9999999999999978E-2</v>
      </c>
      <c r="V66" s="138">
        <f t="shared" ref="V66:V129" si="21">O66*U66</f>
        <v>313.91054277547664</v>
      </c>
      <c r="W66" s="142">
        <f ca="1">V66*VLOOKUP(TODAY(),'UF HOY'!$A$2:$B$33,2,0)</f>
        <v>12472902.672008224</v>
      </c>
      <c r="X66" s="143">
        <f>Datos!$E$3</f>
        <v>31</v>
      </c>
      <c r="Y66" s="144">
        <f ca="1">IF((W66-1000000-Datos!$D$3)/X66&gt;0,(W66-1000000-Datos!$D$3)/X66,0)</f>
        <v>362029.1184518782</v>
      </c>
      <c r="Z66" s="143">
        <f>Datos!$F$3</f>
        <v>31</v>
      </c>
      <c r="AA66" s="144">
        <f ca="1">IF((W66-1750000-Datos!$D$3-3%*O66*VLOOKUP(TODAY(),'UF HOY'!$A$2:$B$33,2,0))/Z66&gt;0,(W66-1750000-Datos!$D$3-3%*O66*VLOOKUP(TODAY(),'UF HOY'!$A$2:$B$33,2,0))/Z66,0)</f>
        <v>217130.06033566955</v>
      </c>
      <c r="AB66" s="142">
        <f>IF(L66&gt;0,VLOOKUP(D66,Datos!$C$7:$E$11,3,0),VLOOKUP(D66,Datos!$C$7:$E$11,2,0))</f>
        <v>370000</v>
      </c>
      <c r="AC66" s="144">
        <f ca="1">(S66*PMT(Datos!$H$13,Datos!$H$12,-O66,,)*VLOOKUP(TODAY(),'UF HOY'!$A$2:$B$33,2,0)/12)+VLOOKUP(TODAY(),'UF HOY'!$A$2:$B$33,2,0)</f>
        <v>520606.73867116345</v>
      </c>
      <c r="AD66" s="144">
        <f t="shared" ref="AD66:AD129" ca="1" si="22">AB66-AC66</f>
        <v>-150606.73867116345</v>
      </c>
      <c r="AE66" s="47">
        <f t="shared" ref="AE66:AE129" ca="1" si="23">IF((AC66/0.25)&lt;=1600000,1600000,(AC66/0.25))</f>
        <v>2082426.9546846538</v>
      </c>
    </row>
    <row r="67" spans="1:31" s="145" customFormat="1" ht="15.5" hidden="1" x14ac:dyDescent="0.35">
      <c r="A67" s="129" t="s">
        <v>170</v>
      </c>
      <c r="B67" s="130">
        <v>1017</v>
      </c>
      <c r="C67" s="131" t="s">
        <v>151</v>
      </c>
      <c r="D67" s="131" t="s">
        <v>153</v>
      </c>
      <c r="E67" s="131"/>
      <c r="F67" s="131">
        <v>33.36</v>
      </c>
      <c r="G67" s="131">
        <v>3.1</v>
      </c>
      <c r="H67" s="132">
        <f t="shared" si="12"/>
        <v>34.909999999999997</v>
      </c>
      <c r="I67" s="132">
        <f t="shared" si="13"/>
        <v>36.46</v>
      </c>
      <c r="J67" s="133">
        <v>2840.6467655166771</v>
      </c>
      <c r="K67" s="134">
        <v>0</v>
      </c>
      <c r="L67" s="135">
        <v>0</v>
      </c>
      <c r="M67" s="135">
        <v>0</v>
      </c>
      <c r="N67" s="69">
        <f t="shared" si="14"/>
        <v>2840.6467655166771</v>
      </c>
      <c r="O67" s="39">
        <f t="shared" si="15"/>
        <v>3156.2741839074188</v>
      </c>
      <c r="P67" s="136">
        <f t="shared" si="16"/>
        <v>81.3705747784783</v>
      </c>
      <c r="Q67" s="137">
        <f t="shared" si="17"/>
        <v>0.10000000000000002</v>
      </c>
      <c r="R67" s="138">
        <f t="shared" si="18"/>
        <v>315.62741839074192</v>
      </c>
      <c r="S67" s="139">
        <v>0.8</v>
      </c>
      <c r="T67" s="138">
        <f t="shared" si="19"/>
        <v>2525.0193471259354</v>
      </c>
      <c r="U67" s="140">
        <f t="shared" si="20"/>
        <v>9.9999999999999978E-2</v>
      </c>
      <c r="V67" s="138">
        <f t="shared" si="21"/>
        <v>315.62741839074181</v>
      </c>
      <c r="W67" s="142">
        <f ca="1">V67*VLOOKUP(TODAY(),'UF HOY'!$A$2:$B$33,2,0)</f>
        <v>12541120.904692633</v>
      </c>
      <c r="X67" s="143">
        <f>Datos!$E$3</f>
        <v>31</v>
      </c>
      <c r="Y67" s="144">
        <f ca="1">IF((W67-1000000-Datos!$D$3)/X67&gt;0,(W67-1000000-Datos!$D$3)/X67,0)</f>
        <v>364229.70660298818</v>
      </c>
      <c r="Z67" s="143">
        <f>Datos!$F$3</f>
        <v>31</v>
      </c>
      <c r="AA67" s="144">
        <f ca="1">IF((W67-1750000-Datos!$D$3-3%*O67*VLOOKUP(TODAY(),'UF HOY'!$A$2:$B$33,2,0))/Z67&gt;0,(W67-1750000-Datos!$D$3-3%*O67*VLOOKUP(TODAY(),'UF HOY'!$A$2:$B$33,2,0))/Z67,0)</f>
        <v>218670.47204144654</v>
      </c>
      <c r="AB67" s="142">
        <f>IF(L67&gt;0,VLOOKUP(D67,Datos!$C$7:$E$11,3,0),VLOOKUP(D67,Datos!$C$7:$E$11,2,0))</f>
        <v>370000</v>
      </c>
      <c r="AC67" s="144">
        <f ca="1">(S67*PMT(Datos!$H$13,Datos!$H$12,-O67,,)*VLOOKUP(TODAY(),'UF HOY'!$A$2:$B$33,2,0)/12)+VLOOKUP(TODAY(),'UF HOY'!$A$2:$B$33,2,0)</f>
        <v>523236.78344373847</v>
      </c>
      <c r="AD67" s="144">
        <f t="shared" ca="1" si="22"/>
        <v>-153236.78344373847</v>
      </c>
      <c r="AE67" s="47">
        <f t="shared" ca="1" si="23"/>
        <v>2092947.1337749539</v>
      </c>
    </row>
    <row r="68" spans="1:31" s="145" customFormat="1" ht="15.5" hidden="1" x14ac:dyDescent="0.35">
      <c r="A68" s="129" t="s">
        <v>170</v>
      </c>
      <c r="B68" s="130">
        <v>1101</v>
      </c>
      <c r="C68" s="131" t="s">
        <v>151</v>
      </c>
      <c r="D68" s="131" t="s">
        <v>153</v>
      </c>
      <c r="E68" s="131"/>
      <c r="F68" s="131">
        <v>31.86</v>
      </c>
      <c r="G68" s="131">
        <v>3.6</v>
      </c>
      <c r="H68" s="132">
        <f t="shared" si="12"/>
        <v>33.659999999999997</v>
      </c>
      <c r="I68" s="132">
        <f t="shared" si="13"/>
        <v>35.46</v>
      </c>
      <c r="J68" s="69">
        <v>2840.6467655166771</v>
      </c>
      <c r="K68" s="134">
        <v>0</v>
      </c>
      <c r="L68" s="135">
        <v>0</v>
      </c>
      <c r="M68" s="135">
        <v>0</v>
      </c>
      <c r="N68" s="69">
        <f t="shared" si="14"/>
        <v>2840.6467655166771</v>
      </c>
      <c r="O68" s="39">
        <f t="shared" si="15"/>
        <v>3156.2741839074188</v>
      </c>
      <c r="P68" s="136">
        <f t="shared" si="16"/>
        <v>84.392357858487145</v>
      </c>
      <c r="Q68" s="137">
        <f t="shared" si="17"/>
        <v>0.10000000000000002</v>
      </c>
      <c r="R68" s="138">
        <f t="shared" si="18"/>
        <v>315.62741839074192</v>
      </c>
      <c r="S68" s="139">
        <v>0.8</v>
      </c>
      <c r="T68" s="138">
        <f t="shared" si="19"/>
        <v>2525.0193471259354</v>
      </c>
      <c r="U68" s="140">
        <f t="shared" si="20"/>
        <v>9.9999999999999978E-2</v>
      </c>
      <c r="V68" s="138">
        <f t="shared" si="21"/>
        <v>315.62741839074181</v>
      </c>
      <c r="W68" s="142">
        <f ca="1">V68*VLOOKUP(TODAY(),'UF HOY'!$A$2:$B$33,2,0)</f>
        <v>12541120.904692633</v>
      </c>
      <c r="X68" s="143">
        <f>Datos!$E$3</f>
        <v>31</v>
      </c>
      <c r="Y68" s="144">
        <f ca="1">IF((W68-1000000-Datos!$D$3)/X68&gt;0,(W68-1000000-Datos!$D$3)/X68,0)</f>
        <v>364229.70660298818</v>
      </c>
      <c r="Z68" s="143">
        <f>Datos!$F$3</f>
        <v>31</v>
      </c>
      <c r="AA68" s="144">
        <f ca="1">IF((W68-1750000-Datos!$D$3-3%*O68*VLOOKUP(TODAY(),'UF HOY'!$A$2:$B$33,2,0))/Z68&gt;0,(W68-1750000-Datos!$D$3-3%*O68*VLOOKUP(TODAY(),'UF HOY'!$A$2:$B$33,2,0))/Z68,0)</f>
        <v>218670.47204144654</v>
      </c>
      <c r="AB68" s="142">
        <f>IF(L68&gt;0,VLOOKUP(D68,Datos!$C$7:$E$11,3,0),VLOOKUP(D68,Datos!$C$7:$E$11,2,0))</f>
        <v>370000</v>
      </c>
      <c r="AC68" s="144">
        <f ca="1">(S68*PMT(Datos!$H$13,Datos!$H$12,-O68,,)*VLOOKUP(TODAY(),'UF HOY'!$A$2:$B$33,2,0)/12)+VLOOKUP(TODAY(),'UF HOY'!$A$2:$B$33,2,0)</f>
        <v>523236.78344373847</v>
      </c>
      <c r="AD68" s="144">
        <f t="shared" ca="1" si="22"/>
        <v>-153236.78344373847</v>
      </c>
      <c r="AE68" s="47">
        <f t="shared" ca="1" si="23"/>
        <v>2092947.1337749539</v>
      </c>
    </row>
    <row r="69" spans="1:31" s="145" customFormat="1" ht="15.5" hidden="1" x14ac:dyDescent="0.35">
      <c r="A69" s="129" t="s">
        <v>170</v>
      </c>
      <c r="B69" s="129">
        <v>1102</v>
      </c>
      <c r="C69" s="131" t="s">
        <v>151</v>
      </c>
      <c r="D69" s="131" t="s">
        <v>153</v>
      </c>
      <c r="E69" s="131"/>
      <c r="F69" s="131">
        <v>33.369999999999997</v>
      </c>
      <c r="G69" s="131">
        <v>3.17</v>
      </c>
      <c r="H69" s="132">
        <f t="shared" si="12"/>
        <v>34.954999999999998</v>
      </c>
      <c r="I69" s="132">
        <f t="shared" si="13"/>
        <v>36.54</v>
      </c>
      <c r="J69" s="69">
        <v>2840.6467655166771</v>
      </c>
      <c r="K69" s="134">
        <v>0</v>
      </c>
      <c r="L69" s="135">
        <v>0</v>
      </c>
      <c r="M69" s="135">
        <v>0</v>
      </c>
      <c r="N69" s="69">
        <f t="shared" si="14"/>
        <v>2840.6467655166771</v>
      </c>
      <c r="O69" s="39">
        <f t="shared" si="15"/>
        <v>3156.2741839074188</v>
      </c>
      <c r="P69" s="136">
        <f t="shared" si="16"/>
        <v>81.265820784342068</v>
      </c>
      <c r="Q69" s="137">
        <f t="shared" si="17"/>
        <v>0.10000000000000002</v>
      </c>
      <c r="R69" s="138">
        <f t="shared" si="18"/>
        <v>315.62741839074192</v>
      </c>
      <c r="S69" s="139">
        <v>0.8</v>
      </c>
      <c r="T69" s="138">
        <f t="shared" si="19"/>
        <v>2525.0193471259354</v>
      </c>
      <c r="U69" s="140">
        <f t="shared" si="20"/>
        <v>9.9999999999999978E-2</v>
      </c>
      <c r="V69" s="138">
        <f t="shared" si="21"/>
        <v>315.62741839074181</v>
      </c>
      <c r="W69" s="142">
        <f ca="1">V69*VLOOKUP(TODAY(),'UF HOY'!$A$2:$B$33,2,0)</f>
        <v>12541120.904692633</v>
      </c>
      <c r="X69" s="143">
        <f>Datos!$E$3</f>
        <v>31</v>
      </c>
      <c r="Y69" s="144">
        <f ca="1">IF((W69-1000000-Datos!$D$3)/X69&gt;0,(W69-1000000-Datos!$D$3)/X69,0)</f>
        <v>364229.70660298818</v>
      </c>
      <c r="Z69" s="143">
        <f>Datos!$F$3</f>
        <v>31</v>
      </c>
      <c r="AA69" s="144">
        <f ca="1">IF((W69-1750000-Datos!$D$3-3%*O69*VLOOKUP(TODAY(),'UF HOY'!$A$2:$B$33,2,0))/Z69&gt;0,(W69-1750000-Datos!$D$3-3%*O69*VLOOKUP(TODAY(),'UF HOY'!$A$2:$B$33,2,0))/Z69,0)</f>
        <v>218670.47204144654</v>
      </c>
      <c r="AB69" s="142">
        <f>IF(L69&gt;0,VLOOKUP(D69,Datos!$C$7:$E$11,3,0),VLOOKUP(D69,Datos!$C$7:$E$11,2,0))</f>
        <v>370000</v>
      </c>
      <c r="AC69" s="144">
        <f ca="1">(S69*PMT(Datos!$H$13,Datos!$H$12,-O69,,)*VLOOKUP(TODAY(),'UF HOY'!$A$2:$B$33,2,0)/12)+VLOOKUP(TODAY(),'UF HOY'!$A$2:$B$33,2,0)</f>
        <v>523236.78344373847</v>
      </c>
      <c r="AD69" s="144">
        <f t="shared" ca="1" si="22"/>
        <v>-153236.78344373847</v>
      </c>
      <c r="AE69" s="47">
        <f t="shared" ca="1" si="23"/>
        <v>2092947.1337749539</v>
      </c>
    </row>
    <row r="70" spans="1:31" s="145" customFormat="1" ht="15.5" hidden="1" x14ac:dyDescent="0.35">
      <c r="A70" s="129" t="s">
        <v>170</v>
      </c>
      <c r="B70" s="130">
        <v>1104</v>
      </c>
      <c r="C70" s="131" t="s">
        <v>151</v>
      </c>
      <c r="D70" s="131" t="s">
        <v>153</v>
      </c>
      <c r="E70" s="131"/>
      <c r="F70" s="131">
        <v>31.86</v>
      </c>
      <c r="G70" s="131">
        <v>3.6</v>
      </c>
      <c r="H70" s="132">
        <f t="shared" si="12"/>
        <v>33.659999999999997</v>
      </c>
      <c r="I70" s="132">
        <f t="shared" si="13"/>
        <v>35.46</v>
      </c>
      <c r="J70" s="69">
        <v>2840.6467655166771</v>
      </c>
      <c r="K70" s="134">
        <v>0</v>
      </c>
      <c r="L70" s="135">
        <v>0</v>
      </c>
      <c r="M70" s="135">
        <v>0</v>
      </c>
      <c r="N70" s="69">
        <f t="shared" si="14"/>
        <v>2840.6467655166771</v>
      </c>
      <c r="O70" s="39">
        <f t="shared" si="15"/>
        <v>3156.2741839074188</v>
      </c>
      <c r="P70" s="136">
        <f t="shared" si="16"/>
        <v>84.392357858487145</v>
      </c>
      <c r="Q70" s="137">
        <f t="shared" si="17"/>
        <v>0.10000000000000002</v>
      </c>
      <c r="R70" s="138">
        <f t="shared" si="18"/>
        <v>315.62741839074192</v>
      </c>
      <c r="S70" s="139">
        <v>0.8</v>
      </c>
      <c r="T70" s="138">
        <f t="shared" si="19"/>
        <v>2525.0193471259354</v>
      </c>
      <c r="U70" s="140">
        <f t="shared" si="20"/>
        <v>9.9999999999999978E-2</v>
      </c>
      <c r="V70" s="138">
        <f t="shared" si="21"/>
        <v>315.62741839074181</v>
      </c>
      <c r="W70" s="142">
        <f ca="1">V70*VLOOKUP(TODAY(),'UF HOY'!$A$2:$B$33,2,0)</f>
        <v>12541120.904692633</v>
      </c>
      <c r="X70" s="143">
        <f>Datos!$E$3</f>
        <v>31</v>
      </c>
      <c r="Y70" s="144">
        <f ca="1">IF((W70-1000000-Datos!$D$3)/X70&gt;0,(W70-1000000-Datos!$D$3)/X70,0)</f>
        <v>364229.70660298818</v>
      </c>
      <c r="Z70" s="143">
        <f>Datos!$F$3</f>
        <v>31</v>
      </c>
      <c r="AA70" s="144">
        <f ca="1">IF((W70-1750000-Datos!$D$3-3%*O70*VLOOKUP(TODAY(),'UF HOY'!$A$2:$B$33,2,0))/Z70&gt;0,(W70-1750000-Datos!$D$3-3%*O70*VLOOKUP(TODAY(),'UF HOY'!$A$2:$B$33,2,0))/Z70,0)</f>
        <v>218670.47204144654</v>
      </c>
      <c r="AB70" s="142">
        <f>IF(L70&gt;0,VLOOKUP(D70,Datos!$C$7:$E$11,3,0),VLOOKUP(D70,Datos!$C$7:$E$11,2,0))</f>
        <v>370000</v>
      </c>
      <c r="AC70" s="144">
        <f ca="1">(S70*PMT(Datos!$H$13,Datos!$H$12,-O70,,)*VLOOKUP(TODAY(),'UF HOY'!$A$2:$B$33,2,0)/12)+VLOOKUP(TODAY(),'UF HOY'!$A$2:$B$33,2,0)</f>
        <v>523236.78344373847</v>
      </c>
      <c r="AD70" s="144">
        <f t="shared" ca="1" si="22"/>
        <v>-153236.78344373847</v>
      </c>
      <c r="AE70" s="47">
        <f t="shared" ca="1" si="23"/>
        <v>2092947.1337749539</v>
      </c>
    </row>
    <row r="71" spans="1:31" s="145" customFormat="1" ht="15.5" hidden="1" x14ac:dyDescent="0.35">
      <c r="A71" s="129" t="s">
        <v>170</v>
      </c>
      <c r="B71" s="130">
        <v>1116</v>
      </c>
      <c r="C71" s="131" t="s">
        <v>151</v>
      </c>
      <c r="D71" s="131" t="s">
        <v>153</v>
      </c>
      <c r="E71" s="131"/>
      <c r="F71" s="131">
        <v>33.369999999999997</v>
      </c>
      <c r="G71" s="131">
        <v>3.17</v>
      </c>
      <c r="H71" s="132">
        <f t="shared" si="12"/>
        <v>34.954999999999998</v>
      </c>
      <c r="I71" s="132">
        <f t="shared" si="13"/>
        <v>36.54</v>
      </c>
      <c r="J71" s="69">
        <v>2840.6467655166771</v>
      </c>
      <c r="K71" s="134">
        <v>0</v>
      </c>
      <c r="L71" s="135">
        <v>0</v>
      </c>
      <c r="M71" s="135">
        <v>0</v>
      </c>
      <c r="N71" s="69">
        <f t="shared" si="14"/>
        <v>2840.6467655166771</v>
      </c>
      <c r="O71" s="39">
        <f t="shared" si="15"/>
        <v>3156.2741839074188</v>
      </c>
      <c r="P71" s="136">
        <f t="shared" si="16"/>
        <v>81.265820784342068</v>
      </c>
      <c r="Q71" s="137">
        <f t="shared" si="17"/>
        <v>0.10000000000000002</v>
      </c>
      <c r="R71" s="138">
        <f t="shared" si="18"/>
        <v>315.62741839074192</v>
      </c>
      <c r="S71" s="139">
        <v>0.8</v>
      </c>
      <c r="T71" s="138">
        <f t="shared" si="19"/>
        <v>2525.0193471259354</v>
      </c>
      <c r="U71" s="140">
        <f t="shared" si="20"/>
        <v>9.9999999999999978E-2</v>
      </c>
      <c r="V71" s="138">
        <f t="shared" si="21"/>
        <v>315.62741839074181</v>
      </c>
      <c r="W71" s="142">
        <f ca="1">V71*VLOOKUP(TODAY(),'UF HOY'!$A$2:$B$33,2,0)</f>
        <v>12541120.904692633</v>
      </c>
      <c r="X71" s="143">
        <f>Datos!$E$3</f>
        <v>31</v>
      </c>
      <c r="Y71" s="144">
        <f ca="1">IF((W71-1000000-Datos!$D$3)/X71&gt;0,(W71-1000000-Datos!$D$3)/X71,0)</f>
        <v>364229.70660298818</v>
      </c>
      <c r="Z71" s="143">
        <f>Datos!$F$3</f>
        <v>31</v>
      </c>
      <c r="AA71" s="144">
        <f ca="1">IF((W71-1750000-Datos!$D$3-3%*O71*VLOOKUP(TODAY(),'UF HOY'!$A$2:$B$33,2,0))/Z71&gt;0,(W71-1750000-Datos!$D$3-3%*O71*VLOOKUP(TODAY(),'UF HOY'!$A$2:$B$33,2,0))/Z71,0)</f>
        <v>218670.47204144654</v>
      </c>
      <c r="AB71" s="142">
        <f>IF(L71&gt;0,VLOOKUP(D71,Datos!$C$7:$E$11,3,0),VLOOKUP(D71,Datos!$C$7:$E$11,2,0))</f>
        <v>370000</v>
      </c>
      <c r="AC71" s="144">
        <f ca="1">(S71*PMT(Datos!$H$13,Datos!$H$12,-O71,,)*VLOOKUP(TODAY(),'UF HOY'!$A$2:$B$33,2,0)/12)+VLOOKUP(TODAY(),'UF HOY'!$A$2:$B$33,2,0)</f>
        <v>523236.78344373847</v>
      </c>
      <c r="AD71" s="144">
        <f t="shared" ca="1" si="22"/>
        <v>-153236.78344373847</v>
      </c>
      <c r="AE71" s="47">
        <f t="shared" ca="1" si="23"/>
        <v>2092947.1337749539</v>
      </c>
    </row>
    <row r="72" spans="1:31" s="145" customFormat="1" ht="15.5" hidden="1" x14ac:dyDescent="0.35">
      <c r="A72" s="129" t="s">
        <v>170</v>
      </c>
      <c r="B72" s="130">
        <v>1103</v>
      </c>
      <c r="C72" s="131" t="s">
        <v>151</v>
      </c>
      <c r="D72" s="131" t="s">
        <v>153</v>
      </c>
      <c r="E72" s="131"/>
      <c r="F72" s="131">
        <v>33.369999999999997</v>
      </c>
      <c r="G72" s="131">
        <v>3.17</v>
      </c>
      <c r="H72" s="132">
        <f t="shared" si="12"/>
        <v>34.954999999999998</v>
      </c>
      <c r="I72" s="132">
        <f t="shared" si="13"/>
        <v>36.54</v>
      </c>
      <c r="J72" s="69">
        <v>2841</v>
      </c>
      <c r="K72" s="134">
        <v>0</v>
      </c>
      <c r="L72" s="135">
        <v>0</v>
      </c>
      <c r="M72" s="135">
        <v>0</v>
      </c>
      <c r="N72" s="69">
        <f t="shared" si="14"/>
        <v>2841</v>
      </c>
      <c r="O72" s="39">
        <f t="shared" si="15"/>
        <v>3156.6666666666665</v>
      </c>
      <c r="P72" s="136">
        <f t="shared" si="16"/>
        <v>81.275926190816762</v>
      </c>
      <c r="Q72" s="137">
        <f t="shared" si="17"/>
        <v>0.1</v>
      </c>
      <c r="R72" s="138">
        <f t="shared" si="18"/>
        <v>315.66666666666669</v>
      </c>
      <c r="S72" s="139">
        <v>0.8</v>
      </c>
      <c r="T72" s="138">
        <f t="shared" si="19"/>
        <v>2525.3333333333335</v>
      </c>
      <c r="U72" s="140">
        <f t="shared" si="20"/>
        <v>9.9999999999999978E-2</v>
      </c>
      <c r="V72" s="138">
        <f t="shared" si="21"/>
        <v>315.66666666666657</v>
      </c>
      <c r="W72" s="142">
        <f ca="1">V72*VLOOKUP(TODAY(),'UF HOY'!$A$2:$B$33,2,0)</f>
        <v>12542680.393333331</v>
      </c>
      <c r="X72" s="143">
        <f>Datos!$E$3</f>
        <v>31</v>
      </c>
      <c r="Y72" s="144">
        <f ca="1">IF((W72-1000000-Datos!$D$3)/X72&gt;0,(W72-1000000-Datos!$D$3)/X72,0)</f>
        <v>364280.01268817193</v>
      </c>
      <c r="Z72" s="143">
        <f>Datos!$F$3</f>
        <v>31</v>
      </c>
      <c r="AA72" s="144">
        <f ca="1">IF((W72-1750000-Datos!$D$3-3%*O72*VLOOKUP(TODAY(),'UF HOY'!$A$2:$B$33,2,0))/Z72&gt;0,(W72-1750000-Datos!$D$3-3%*O72*VLOOKUP(TODAY(),'UF HOY'!$A$2:$B$33,2,0))/Z72,0)</f>
        <v>218705.68630107518</v>
      </c>
      <c r="AB72" s="142">
        <f>IF(L72&gt;0,VLOOKUP(D72,Datos!$C$7:$E$11,3,0),VLOOKUP(D72,Datos!$C$7:$E$11,2,0))</f>
        <v>370000</v>
      </c>
      <c r="AC72" s="144">
        <f ca="1">(S72*PMT(Datos!$H$13,Datos!$H$12,-O72,,)*VLOOKUP(TODAY(),'UF HOY'!$A$2:$B$33,2,0)/12)+VLOOKUP(TODAY(),'UF HOY'!$A$2:$B$33,2,0)</f>
        <v>523296.9070321981</v>
      </c>
      <c r="AD72" s="144">
        <f t="shared" ca="1" si="22"/>
        <v>-153296.9070321981</v>
      </c>
      <c r="AE72" s="47">
        <f t="shared" ca="1" si="23"/>
        <v>2093187.6281287924</v>
      </c>
    </row>
    <row r="73" spans="1:31" s="145" customFormat="1" ht="15.5" hidden="1" x14ac:dyDescent="0.35">
      <c r="A73" s="129" t="s">
        <v>170</v>
      </c>
      <c r="B73" s="130">
        <v>508</v>
      </c>
      <c r="C73" s="131" t="s">
        <v>152</v>
      </c>
      <c r="D73" s="131" t="s">
        <v>153</v>
      </c>
      <c r="E73" s="131"/>
      <c r="F73" s="131">
        <v>31.86</v>
      </c>
      <c r="G73" s="131">
        <v>3.6</v>
      </c>
      <c r="H73" s="132">
        <f t="shared" si="12"/>
        <v>33.659999999999997</v>
      </c>
      <c r="I73" s="132">
        <f t="shared" si="13"/>
        <v>35.46</v>
      </c>
      <c r="J73" s="133">
        <v>2842.5231775337184</v>
      </c>
      <c r="K73" s="134">
        <v>0</v>
      </c>
      <c r="L73" s="135">
        <v>0</v>
      </c>
      <c r="M73" s="135">
        <v>0</v>
      </c>
      <c r="N73" s="69">
        <f t="shared" si="14"/>
        <v>2842.5231775337184</v>
      </c>
      <c r="O73" s="39">
        <f t="shared" si="15"/>
        <v>3158.3590861485759</v>
      </c>
      <c r="P73" s="136">
        <f t="shared" si="16"/>
        <v>84.448103907715947</v>
      </c>
      <c r="Q73" s="137">
        <f t="shared" si="17"/>
        <v>0.1</v>
      </c>
      <c r="R73" s="138">
        <f t="shared" si="18"/>
        <v>315.8359086148576</v>
      </c>
      <c r="S73" s="139">
        <v>0.8</v>
      </c>
      <c r="T73" s="138">
        <f t="shared" si="19"/>
        <v>2526.6872689188608</v>
      </c>
      <c r="U73" s="140">
        <f t="shared" si="20"/>
        <v>9.9999999999999978E-2</v>
      </c>
      <c r="V73" s="138">
        <f t="shared" si="21"/>
        <v>315.83590861485754</v>
      </c>
      <c r="W73" s="142">
        <f ca="1">V73*VLOOKUP(TODAY(),'UF HOY'!$A$2:$B$33,2,0)</f>
        <v>12549405.042748233</v>
      </c>
      <c r="X73" s="143">
        <f>Datos!$E$3</f>
        <v>31</v>
      </c>
      <c r="Y73" s="144">
        <f ca="1">IF((W73-1000000-Datos!$D$3)/X73&gt;0,(W73-1000000-Datos!$D$3)/X73,0)</f>
        <v>364496.93686284625</v>
      </c>
      <c r="Z73" s="143">
        <f>Datos!$F$3</f>
        <v>31</v>
      </c>
      <c r="AA73" s="144">
        <f ca="1">IF((W73-1750000-Datos!$D$3-3%*O73*VLOOKUP(TODAY(),'UF HOY'!$A$2:$B$33,2,0))/Z73&gt;0,(W73-1750000-Datos!$D$3-3%*O73*VLOOKUP(TODAY(),'UF HOY'!$A$2:$B$33,2,0))/Z73,0)</f>
        <v>218857.53322334719</v>
      </c>
      <c r="AB73" s="142">
        <f>IF(L73&gt;0,VLOOKUP(D73,Datos!$C$7:$E$11,3,0),VLOOKUP(D73,Datos!$C$7:$E$11,2,0))</f>
        <v>370000</v>
      </c>
      <c r="AC73" s="144">
        <f ca="1">(S73*PMT(Datos!$H$13,Datos!$H$12,-O73,,)*VLOOKUP(TODAY(),'UF HOY'!$A$2:$B$33,2,0)/12)+VLOOKUP(TODAY(),'UF HOY'!$A$2:$B$33,2,0)</f>
        <v>523556.16512706666</v>
      </c>
      <c r="AD73" s="144">
        <f t="shared" ca="1" si="22"/>
        <v>-153556.16512706666</v>
      </c>
      <c r="AE73" s="47">
        <f t="shared" ca="1" si="23"/>
        <v>2094224.6605082667</v>
      </c>
    </row>
    <row r="74" spans="1:31" s="145" customFormat="1" ht="15.5" hidden="1" x14ac:dyDescent="0.35">
      <c r="A74" s="129" t="s">
        <v>170</v>
      </c>
      <c r="B74" s="129">
        <v>509</v>
      </c>
      <c r="C74" s="131" t="s">
        <v>152</v>
      </c>
      <c r="D74" s="131" t="s">
        <v>153</v>
      </c>
      <c r="E74" s="131"/>
      <c r="F74" s="131">
        <v>31.86</v>
      </c>
      <c r="G74" s="131">
        <v>3.6</v>
      </c>
      <c r="H74" s="132">
        <f t="shared" si="12"/>
        <v>33.659999999999997</v>
      </c>
      <c r="I74" s="132">
        <f t="shared" si="13"/>
        <v>35.46</v>
      </c>
      <c r="J74" s="133">
        <v>2842.5231775337184</v>
      </c>
      <c r="K74" s="134">
        <v>0</v>
      </c>
      <c r="L74" s="135">
        <v>0</v>
      </c>
      <c r="M74" s="135">
        <v>0</v>
      </c>
      <c r="N74" s="69">
        <f t="shared" si="14"/>
        <v>2842.5231775337184</v>
      </c>
      <c r="O74" s="39">
        <f t="shared" si="15"/>
        <v>3158.3590861485759</v>
      </c>
      <c r="P74" s="136">
        <f t="shared" si="16"/>
        <v>84.448103907715947</v>
      </c>
      <c r="Q74" s="137">
        <f t="shared" si="17"/>
        <v>0.1</v>
      </c>
      <c r="R74" s="138">
        <f t="shared" si="18"/>
        <v>315.8359086148576</v>
      </c>
      <c r="S74" s="139">
        <v>0.8</v>
      </c>
      <c r="T74" s="138">
        <f t="shared" si="19"/>
        <v>2526.6872689188608</v>
      </c>
      <c r="U74" s="140">
        <f t="shared" si="20"/>
        <v>9.9999999999999978E-2</v>
      </c>
      <c r="V74" s="138">
        <f t="shared" si="21"/>
        <v>315.83590861485754</v>
      </c>
      <c r="W74" s="142">
        <f ca="1">V74*VLOOKUP(TODAY(),'UF HOY'!$A$2:$B$33,2,0)</f>
        <v>12549405.042748233</v>
      </c>
      <c r="X74" s="143">
        <f>Datos!$E$3</f>
        <v>31</v>
      </c>
      <c r="Y74" s="144">
        <f ca="1">IF((W74-1000000-Datos!$D$3)/X74&gt;0,(W74-1000000-Datos!$D$3)/X74,0)</f>
        <v>364496.93686284625</v>
      </c>
      <c r="Z74" s="143">
        <f>Datos!$F$3</f>
        <v>31</v>
      </c>
      <c r="AA74" s="144">
        <f ca="1">IF((W74-1750000-Datos!$D$3-3%*O74*VLOOKUP(TODAY(),'UF HOY'!$A$2:$B$33,2,0))/Z74&gt;0,(W74-1750000-Datos!$D$3-3%*O74*VLOOKUP(TODAY(),'UF HOY'!$A$2:$B$33,2,0))/Z74,0)</f>
        <v>218857.53322334719</v>
      </c>
      <c r="AB74" s="142">
        <f>IF(L74&gt;0,VLOOKUP(D74,Datos!$C$7:$E$11,3,0),VLOOKUP(D74,Datos!$C$7:$E$11,2,0))</f>
        <v>370000</v>
      </c>
      <c r="AC74" s="144">
        <f ca="1">(S74*PMT(Datos!$H$13,Datos!$H$12,-O74,,)*VLOOKUP(TODAY(),'UF HOY'!$A$2:$B$33,2,0)/12)+VLOOKUP(TODAY(),'UF HOY'!$A$2:$B$33,2,0)</f>
        <v>523556.16512706666</v>
      </c>
      <c r="AD74" s="144">
        <f t="shared" ca="1" si="22"/>
        <v>-153556.16512706666</v>
      </c>
      <c r="AE74" s="47">
        <f t="shared" ca="1" si="23"/>
        <v>2094224.6605082667</v>
      </c>
    </row>
    <row r="75" spans="1:31" s="145" customFormat="1" ht="15.5" hidden="1" x14ac:dyDescent="0.35">
      <c r="A75" s="129" t="s">
        <v>170</v>
      </c>
      <c r="B75" s="130">
        <v>510</v>
      </c>
      <c r="C75" s="131" t="s">
        <v>152</v>
      </c>
      <c r="D75" s="131" t="s">
        <v>153</v>
      </c>
      <c r="E75" s="131"/>
      <c r="F75" s="131">
        <v>31.86</v>
      </c>
      <c r="G75" s="131">
        <v>3.6</v>
      </c>
      <c r="H75" s="132">
        <f t="shared" si="12"/>
        <v>33.659999999999997</v>
      </c>
      <c r="I75" s="132">
        <f t="shared" si="13"/>
        <v>35.46</v>
      </c>
      <c r="J75" s="133">
        <v>2842.5231775337184</v>
      </c>
      <c r="K75" s="134">
        <v>0</v>
      </c>
      <c r="L75" s="135">
        <v>0</v>
      </c>
      <c r="M75" s="135">
        <v>0</v>
      </c>
      <c r="N75" s="69">
        <f t="shared" si="14"/>
        <v>2842.5231775337184</v>
      </c>
      <c r="O75" s="39">
        <f t="shared" si="15"/>
        <v>3158.3590861485759</v>
      </c>
      <c r="P75" s="136">
        <f t="shared" si="16"/>
        <v>84.448103907715947</v>
      </c>
      <c r="Q75" s="137">
        <f t="shared" si="17"/>
        <v>0.1</v>
      </c>
      <c r="R75" s="138">
        <f t="shared" si="18"/>
        <v>315.8359086148576</v>
      </c>
      <c r="S75" s="139">
        <v>0.8</v>
      </c>
      <c r="T75" s="138">
        <f t="shared" si="19"/>
        <v>2526.6872689188608</v>
      </c>
      <c r="U75" s="140">
        <f t="shared" si="20"/>
        <v>9.9999999999999978E-2</v>
      </c>
      <c r="V75" s="138">
        <f t="shared" si="21"/>
        <v>315.83590861485754</v>
      </c>
      <c r="W75" s="142">
        <f ca="1">V75*VLOOKUP(TODAY(),'UF HOY'!$A$2:$B$33,2,0)</f>
        <v>12549405.042748233</v>
      </c>
      <c r="X75" s="143">
        <f>Datos!$E$3</f>
        <v>31</v>
      </c>
      <c r="Y75" s="144">
        <f ca="1">IF((W75-1000000-Datos!$D$3)/X75&gt;0,(W75-1000000-Datos!$D$3)/X75,0)</f>
        <v>364496.93686284625</v>
      </c>
      <c r="Z75" s="143">
        <f>Datos!$F$3</f>
        <v>31</v>
      </c>
      <c r="AA75" s="144">
        <f ca="1">IF((W75-1750000-Datos!$D$3-3%*O75*VLOOKUP(TODAY(),'UF HOY'!$A$2:$B$33,2,0))/Z75&gt;0,(W75-1750000-Datos!$D$3-3%*O75*VLOOKUP(TODAY(),'UF HOY'!$A$2:$B$33,2,0))/Z75,0)</f>
        <v>218857.53322334719</v>
      </c>
      <c r="AB75" s="142">
        <f>IF(L75&gt;0,VLOOKUP(D75,Datos!$C$7:$E$11,3,0),VLOOKUP(D75,Datos!$C$7:$E$11,2,0))</f>
        <v>370000</v>
      </c>
      <c r="AC75" s="144">
        <f ca="1">(S75*PMT(Datos!$H$13,Datos!$H$12,-O75,,)*VLOOKUP(TODAY(),'UF HOY'!$A$2:$B$33,2,0)/12)+VLOOKUP(TODAY(),'UF HOY'!$A$2:$B$33,2,0)</f>
        <v>523556.16512706666</v>
      </c>
      <c r="AD75" s="144">
        <f t="shared" ca="1" si="22"/>
        <v>-153556.16512706666</v>
      </c>
      <c r="AE75" s="47">
        <f t="shared" ca="1" si="23"/>
        <v>2094224.6605082667</v>
      </c>
    </row>
    <row r="76" spans="1:31" s="145" customFormat="1" ht="15.5" hidden="1" x14ac:dyDescent="0.35">
      <c r="A76" s="129" t="s">
        <v>170</v>
      </c>
      <c r="B76" s="130">
        <v>512</v>
      </c>
      <c r="C76" s="131" t="s">
        <v>152</v>
      </c>
      <c r="D76" s="131" t="s">
        <v>153</v>
      </c>
      <c r="E76" s="131"/>
      <c r="F76" s="131">
        <v>31.86</v>
      </c>
      <c r="G76" s="131">
        <v>3.6</v>
      </c>
      <c r="H76" s="132">
        <f t="shared" si="12"/>
        <v>33.659999999999997</v>
      </c>
      <c r="I76" s="132">
        <f t="shared" si="13"/>
        <v>35.46</v>
      </c>
      <c r="J76" s="133">
        <v>2842.5231775337184</v>
      </c>
      <c r="K76" s="134">
        <v>0</v>
      </c>
      <c r="L76" s="135">
        <v>0</v>
      </c>
      <c r="M76" s="135">
        <v>0</v>
      </c>
      <c r="N76" s="69">
        <f t="shared" si="14"/>
        <v>2842.5231775337184</v>
      </c>
      <c r="O76" s="39">
        <f t="shared" si="15"/>
        <v>3158.3590861485759</v>
      </c>
      <c r="P76" s="136">
        <f t="shared" si="16"/>
        <v>84.448103907715947</v>
      </c>
      <c r="Q76" s="137">
        <f t="shared" si="17"/>
        <v>0.1</v>
      </c>
      <c r="R76" s="138">
        <f t="shared" si="18"/>
        <v>315.8359086148576</v>
      </c>
      <c r="S76" s="139">
        <v>0.8</v>
      </c>
      <c r="T76" s="138">
        <f t="shared" si="19"/>
        <v>2526.6872689188608</v>
      </c>
      <c r="U76" s="140">
        <f t="shared" si="20"/>
        <v>9.9999999999999978E-2</v>
      </c>
      <c r="V76" s="138">
        <f t="shared" si="21"/>
        <v>315.83590861485754</v>
      </c>
      <c r="W76" s="142">
        <f ca="1">V76*VLOOKUP(TODAY(),'UF HOY'!$A$2:$B$33,2,0)</f>
        <v>12549405.042748233</v>
      </c>
      <c r="X76" s="143">
        <f>Datos!$E$3</f>
        <v>31</v>
      </c>
      <c r="Y76" s="144">
        <f ca="1">IF((W76-1000000-Datos!$D$3)/X76&gt;0,(W76-1000000-Datos!$D$3)/X76,0)</f>
        <v>364496.93686284625</v>
      </c>
      <c r="Z76" s="143">
        <f>Datos!$F$3</f>
        <v>31</v>
      </c>
      <c r="AA76" s="144">
        <f ca="1">IF((W76-1750000-Datos!$D$3-3%*O76*VLOOKUP(TODAY(),'UF HOY'!$A$2:$B$33,2,0))/Z76&gt;0,(W76-1750000-Datos!$D$3-3%*O76*VLOOKUP(TODAY(),'UF HOY'!$A$2:$B$33,2,0))/Z76,0)</f>
        <v>218857.53322334719</v>
      </c>
      <c r="AB76" s="142">
        <f>IF(L76&gt;0,VLOOKUP(D76,Datos!$C$7:$E$11,3,0),VLOOKUP(D76,Datos!$C$7:$E$11,2,0))</f>
        <v>370000</v>
      </c>
      <c r="AC76" s="144">
        <f ca="1">(S76*PMT(Datos!$H$13,Datos!$H$12,-O76,,)*VLOOKUP(TODAY(),'UF HOY'!$A$2:$B$33,2,0)/12)+VLOOKUP(TODAY(),'UF HOY'!$A$2:$B$33,2,0)</f>
        <v>523556.16512706666</v>
      </c>
      <c r="AD76" s="144">
        <f t="shared" ca="1" si="22"/>
        <v>-153556.16512706666</v>
      </c>
      <c r="AE76" s="47">
        <f t="shared" ca="1" si="23"/>
        <v>2094224.6605082667</v>
      </c>
    </row>
    <row r="77" spans="1:31" s="145" customFormat="1" ht="15.5" hidden="1" x14ac:dyDescent="0.35">
      <c r="A77" s="129" t="s">
        <v>170</v>
      </c>
      <c r="B77" s="130">
        <v>513</v>
      </c>
      <c r="C77" s="131" t="s">
        <v>152</v>
      </c>
      <c r="D77" s="131" t="s">
        <v>153</v>
      </c>
      <c r="E77" s="131"/>
      <c r="F77" s="131">
        <v>31.86</v>
      </c>
      <c r="G77" s="131">
        <v>3.6</v>
      </c>
      <c r="H77" s="132">
        <f t="shared" si="12"/>
        <v>33.659999999999997</v>
      </c>
      <c r="I77" s="132">
        <f t="shared" si="13"/>
        <v>35.46</v>
      </c>
      <c r="J77" s="133">
        <v>2842.5231775337184</v>
      </c>
      <c r="K77" s="134">
        <v>0</v>
      </c>
      <c r="L77" s="135">
        <v>0</v>
      </c>
      <c r="M77" s="135">
        <v>0</v>
      </c>
      <c r="N77" s="69">
        <f t="shared" si="14"/>
        <v>2842.5231775337184</v>
      </c>
      <c r="O77" s="39">
        <f t="shared" si="15"/>
        <v>3158.3590861485759</v>
      </c>
      <c r="P77" s="136">
        <f t="shared" si="16"/>
        <v>84.448103907715947</v>
      </c>
      <c r="Q77" s="137">
        <f t="shared" si="17"/>
        <v>0.1</v>
      </c>
      <c r="R77" s="138">
        <f t="shared" si="18"/>
        <v>315.8359086148576</v>
      </c>
      <c r="S77" s="139">
        <v>0.8</v>
      </c>
      <c r="T77" s="138">
        <f t="shared" si="19"/>
        <v>2526.6872689188608</v>
      </c>
      <c r="U77" s="140">
        <f t="shared" si="20"/>
        <v>9.9999999999999978E-2</v>
      </c>
      <c r="V77" s="138">
        <f t="shared" si="21"/>
        <v>315.83590861485754</v>
      </c>
      <c r="W77" s="142">
        <f ca="1">V77*VLOOKUP(TODAY(),'UF HOY'!$A$2:$B$33,2,0)</f>
        <v>12549405.042748233</v>
      </c>
      <c r="X77" s="143">
        <f>Datos!$E$3</f>
        <v>31</v>
      </c>
      <c r="Y77" s="144">
        <f ca="1">IF((W77-1000000-Datos!$D$3)/X77&gt;0,(W77-1000000-Datos!$D$3)/X77,0)</f>
        <v>364496.93686284625</v>
      </c>
      <c r="Z77" s="143">
        <f>Datos!$F$3</f>
        <v>31</v>
      </c>
      <c r="AA77" s="144">
        <f ca="1">IF((W77-1750000-Datos!$D$3-3%*O77*VLOOKUP(TODAY(),'UF HOY'!$A$2:$B$33,2,0))/Z77&gt;0,(W77-1750000-Datos!$D$3-3%*O77*VLOOKUP(TODAY(),'UF HOY'!$A$2:$B$33,2,0))/Z77,0)</f>
        <v>218857.53322334719</v>
      </c>
      <c r="AB77" s="142">
        <f>IF(L77&gt;0,VLOOKUP(D77,Datos!$C$7:$E$11,3,0),VLOOKUP(D77,Datos!$C$7:$E$11,2,0))</f>
        <v>370000</v>
      </c>
      <c r="AC77" s="144">
        <f ca="1">(S77*PMT(Datos!$H$13,Datos!$H$12,-O77,,)*VLOOKUP(TODAY(),'UF HOY'!$A$2:$B$33,2,0)/12)+VLOOKUP(TODAY(),'UF HOY'!$A$2:$B$33,2,0)</f>
        <v>523556.16512706666</v>
      </c>
      <c r="AD77" s="144">
        <f t="shared" ca="1" si="22"/>
        <v>-153556.16512706666</v>
      </c>
      <c r="AE77" s="47">
        <f t="shared" ca="1" si="23"/>
        <v>2094224.6605082667</v>
      </c>
    </row>
    <row r="78" spans="1:31" s="145" customFormat="1" ht="15.5" hidden="1" x14ac:dyDescent="0.35">
      <c r="A78" s="129" t="s">
        <v>170</v>
      </c>
      <c r="B78" s="129">
        <v>517</v>
      </c>
      <c r="C78" s="131" t="s">
        <v>151</v>
      </c>
      <c r="D78" s="131" t="s">
        <v>153</v>
      </c>
      <c r="E78" s="131"/>
      <c r="F78" s="131">
        <v>33.36</v>
      </c>
      <c r="G78" s="131">
        <v>3.1</v>
      </c>
      <c r="H78" s="132">
        <f t="shared" si="12"/>
        <v>34.909999999999997</v>
      </c>
      <c r="I78" s="132">
        <f t="shared" si="13"/>
        <v>36.46</v>
      </c>
      <c r="J78" s="69">
        <v>2842.9918810473155</v>
      </c>
      <c r="K78" s="134">
        <v>0</v>
      </c>
      <c r="L78" s="135">
        <v>0</v>
      </c>
      <c r="M78" s="135">
        <v>0</v>
      </c>
      <c r="N78" s="69">
        <f t="shared" si="14"/>
        <v>2842.9918810473155</v>
      </c>
      <c r="O78" s="39">
        <f t="shared" si="15"/>
        <v>3158.8798678303506</v>
      </c>
      <c r="P78" s="136">
        <f t="shared" si="16"/>
        <v>81.437750817740351</v>
      </c>
      <c r="Q78" s="137">
        <f t="shared" si="17"/>
        <v>0.10000000000000002</v>
      </c>
      <c r="R78" s="138">
        <f t="shared" si="18"/>
        <v>315.8879867830351</v>
      </c>
      <c r="S78" s="139">
        <v>0.8</v>
      </c>
      <c r="T78" s="138">
        <f t="shared" si="19"/>
        <v>2527.1038942642808</v>
      </c>
      <c r="U78" s="140">
        <f t="shared" si="20"/>
        <v>9.9999999999999978E-2</v>
      </c>
      <c r="V78" s="138">
        <f t="shared" si="21"/>
        <v>315.88798678303499</v>
      </c>
      <c r="W78" s="142">
        <f ca="1">V78*VLOOKUP(TODAY(),'UF HOY'!$A$2:$B$33,2,0)</f>
        <v>12551474.313557906</v>
      </c>
      <c r="X78" s="143">
        <f>Datos!$E$3</f>
        <v>31</v>
      </c>
      <c r="Y78" s="144">
        <f ca="1">IF((W78-1000000-Datos!$D$3)/X78&gt;0,(W78-1000000-Datos!$D$3)/X78,0)</f>
        <v>364563.68753412599</v>
      </c>
      <c r="Z78" s="143">
        <f>Datos!$F$3</f>
        <v>31</v>
      </c>
      <c r="AA78" s="144">
        <f ca="1">IF((W78-1750000-Datos!$D$3-3%*O78*VLOOKUP(TODAY(),'UF HOY'!$A$2:$B$33,2,0))/Z78&gt;0,(W78-1750000-Datos!$D$3-3%*O78*VLOOKUP(TODAY(),'UF HOY'!$A$2:$B$33,2,0))/Z78,0)</f>
        <v>218904.25869324303</v>
      </c>
      <c r="AB78" s="142">
        <f>IF(L78&gt;0,VLOOKUP(D78,Datos!$C$7:$E$11,3,0),VLOOKUP(D78,Datos!$C$7:$E$11,2,0))</f>
        <v>370000</v>
      </c>
      <c r="AC78" s="144">
        <f ca="1">(S78*PMT(Datos!$H$13,Datos!$H$12,-O78,,)*VLOOKUP(TODAY(),'UF HOY'!$A$2:$B$33,2,0)/12)+VLOOKUP(TODAY(),'UF HOY'!$A$2:$B$33,2,0)</f>
        <v>523635.94255110517</v>
      </c>
      <c r="AD78" s="144">
        <f t="shared" ca="1" si="22"/>
        <v>-153635.94255110517</v>
      </c>
      <c r="AE78" s="47">
        <f t="shared" ca="1" si="23"/>
        <v>2094543.7702044207</v>
      </c>
    </row>
    <row r="79" spans="1:31" s="145" customFormat="1" ht="15.5" hidden="1" x14ac:dyDescent="0.35">
      <c r="A79" s="129" t="s">
        <v>170</v>
      </c>
      <c r="B79" s="129">
        <v>1110</v>
      </c>
      <c r="C79" s="131" t="s">
        <v>152</v>
      </c>
      <c r="D79" s="131" t="s">
        <v>153</v>
      </c>
      <c r="E79" s="131"/>
      <c r="F79" s="131">
        <v>31.86</v>
      </c>
      <c r="G79" s="131">
        <v>3.6</v>
      </c>
      <c r="H79" s="132">
        <f t="shared" si="12"/>
        <v>33.659999999999997</v>
      </c>
      <c r="I79" s="132">
        <f t="shared" si="13"/>
        <v>35.46</v>
      </c>
      <c r="J79" s="69">
        <v>2856.1836313970193</v>
      </c>
      <c r="K79" s="134">
        <v>0</v>
      </c>
      <c r="L79" s="135">
        <v>0</v>
      </c>
      <c r="M79" s="135">
        <v>0</v>
      </c>
      <c r="N79" s="69">
        <f t="shared" si="14"/>
        <v>2856.1836313970193</v>
      </c>
      <c r="O79" s="39">
        <f t="shared" si="15"/>
        <v>3173.5373682189102</v>
      </c>
      <c r="P79" s="136">
        <f t="shared" si="16"/>
        <v>84.853940326708837</v>
      </c>
      <c r="Q79" s="137">
        <f t="shared" si="17"/>
        <v>0.10000000000000002</v>
      </c>
      <c r="R79" s="138">
        <f t="shared" si="18"/>
        <v>317.35373682189106</v>
      </c>
      <c r="S79" s="139">
        <v>0.8</v>
      </c>
      <c r="T79" s="138">
        <f t="shared" si="19"/>
        <v>2538.8298945751285</v>
      </c>
      <c r="U79" s="140">
        <f t="shared" si="20"/>
        <v>9.9999999999999978E-2</v>
      </c>
      <c r="V79" s="138">
        <f t="shared" si="21"/>
        <v>317.35373682189095</v>
      </c>
      <c r="W79" s="142">
        <f ca="1">V79*VLOOKUP(TODAY(),'UF HOY'!$A$2:$B$33,2,0)</f>
        <v>12609714.337656807</v>
      </c>
      <c r="X79" s="143">
        <f>Datos!$E$3</f>
        <v>31</v>
      </c>
      <c r="Y79" s="144">
        <f ca="1">IF((W79-1000000-Datos!$D$3)/X79&gt;0,(W79-1000000-Datos!$D$3)/X79,0)</f>
        <v>366442.39798892924</v>
      </c>
      <c r="Z79" s="143">
        <f>Datos!$F$3</f>
        <v>31</v>
      </c>
      <c r="AA79" s="144">
        <f ca="1">IF((W79-1750000-Datos!$D$3-3%*O79*VLOOKUP(TODAY(),'UF HOY'!$A$2:$B$33,2,0))/Z79&gt;0,(W79-1750000-Datos!$D$3-3%*O79*VLOOKUP(TODAY(),'UF HOY'!$A$2:$B$33,2,0))/Z79,0)</f>
        <v>220219.3560116053</v>
      </c>
      <c r="AB79" s="142">
        <f>IF(L79&gt;0,VLOOKUP(D79,Datos!$C$7:$E$11,3,0),VLOOKUP(D79,Datos!$C$7:$E$11,2,0))</f>
        <v>370000</v>
      </c>
      <c r="AC79" s="144">
        <f ca="1">(S79*PMT(Datos!$H$13,Datos!$H$12,-O79,,)*VLOOKUP(TODAY(),'UF HOY'!$A$2:$B$33,2,0)/12)+VLOOKUP(TODAY(),'UF HOY'!$A$2:$B$33,2,0)</f>
        <v>525881.29346256261</v>
      </c>
      <c r="AD79" s="144">
        <f t="shared" ca="1" si="22"/>
        <v>-155881.29346256261</v>
      </c>
      <c r="AE79" s="47">
        <f t="shared" ca="1" si="23"/>
        <v>2103525.1738502504</v>
      </c>
    </row>
    <row r="80" spans="1:31" s="145" customFormat="1" ht="15.5" hidden="1" x14ac:dyDescent="0.35">
      <c r="A80" s="129" t="s">
        <v>170</v>
      </c>
      <c r="B80" s="130">
        <v>1201</v>
      </c>
      <c r="C80" s="131" t="s">
        <v>151</v>
      </c>
      <c r="D80" s="131" t="s">
        <v>153</v>
      </c>
      <c r="E80" s="131"/>
      <c r="F80" s="131">
        <v>31.86</v>
      </c>
      <c r="G80" s="131">
        <v>3.6</v>
      </c>
      <c r="H80" s="132">
        <f t="shared" si="12"/>
        <v>33.659999999999997</v>
      </c>
      <c r="I80" s="132">
        <f t="shared" si="13"/>
        <v>35.46</v>
      </c>
      <c r="J80" s="69">
        <v>2856.1836313970193</v>
      </c>
      <c r="K80" s="134">
        <v>0</v>
      </c>
      <c r="L80" s="135">
        <v>0</v>
      </c>
      <c r="M80" s="135">
        <v>0</v>
      </c>
      <c r="N80" s="69">
        <f t="shared" si="14"/>
        <v>2856.1836313970193</v>
      </c>
      <c r="O80" s="39">
        <f t="shared" si="15"/>
        <v>3173.5373682189102</v>
      </c>
      <c r="P80" s="136">
        <f t="shared" si="16"/>
        <v>84.853940326708837</v>
      </c>
      <c r="Q80" s="137">
        <f t="shared" si="17"/>
        <v>0.10000000000000002</v>
      </c>
      <c r="R80" s="138">
        <f t="shared" si="18"/>
        <v>317.35373682189106</v>
      </c>
      <c r="S80" s="139">
        <v>0.8</v>
      </c>
      <c r="T80" s="138">
        <f t="shared" si="19"/>
        <v>2538.8298945751285</v>
      </c>
      <c r="U80" s="140">
        <f t="shared" si="20"/>
        <v>9.9999999999999978E-2</v>
      </c>
      <c r="V80" s="138">
        <f t="shared" si="21"/>
        <v>317.35373682189095</v>
      </c>
      <c r="W80" s="142">
        <f ca="1">V80*VLOOKUP(TODAY(),'UF HOY'!$A$2:$B$33,2,0)</f>
        <v>12609714.337656807</v>
      </c>
      <c r="X80" s="143">
        <f>Datos!$E$3</f>
        <v>31</v>
      </c>
      <c r="Y80" s="144">
        <f ca="1">IF((W80-1000000-Datos!$D$3)/X80&gt;0,(W80-1000000-Datos!$D$3)/X80,0)</f>
        <v>366442.39798892924</v>
      </c>
      <c r="Z80" s="143">
        <f>Datos!$F$3</f>
        <v>31</v>
      </c>
      <c r="AA80" s="144">
        <f ca="1">IF((W80-1750000-Datos!$D$3-3%*O80*VLOOKUP(TODAY(),'UF HOY'!$A$2:$B$33,2,0))/Z80&gt;0,(W80-1750000-Datos!$D$3-3%*O80*VLOOKUP(TODAY(),'UF HOY'!$A$2:$B$33,2,0))/Z80,0)</f>
        <v>220219.3560116053</v>
      </c>
      <c r="AB80" s="142">
        <f>IF(L80&gt;0,VLOOKUP(D80,Datos!$C$7:$E$11,3,0),VLOOKUP(D80,Datos!$C$7:$E$11,2,0))</f>
        <v>370000</v>
      </c>
      <c r="AC80" s="144">
        <f ca="1">(S80*PMT(Datos!$H$13,Datos!$H$12,-O80,,)*VLOOKUP(TODAY(),'UF HOY'!$A$2:$B$33,2,0)/12)+VLOOKUP(TODAY(),'UF HOY'!$A$2:$B$33,2,0)</f>
        <v>525881.29346256261</v>
      </c>
      <c r="AD80" s="144">
        <f t="shared" ca="1" si="22"/>
        <v>-155881.29346256261</v>
      </c>
      <c r="AE80" s="47">
        <f t="shared" ca="1" si="23"/>
        <v>2103525.1738502504</v>
      </c>
    </row>
    <row r="81" spans="1:31" s="145" customFormat="1" ht="15.5" hidden="1" x14ac:dyDescent="0.35">
      <c r="A81" s="129" t="s">
        <v>170</v>
      </c>
      <c r="B81" s="130">
        <v>1202</v>
      </c>
      <c r="C81" s="131" t="s">
        <v>151</v>
      </c>
      <c r="D81" s="131" t="s">
        <v>153</v>
      </c>
      <c r="E81" s="131"/>
      <c r="F81" s="131">
        <v>33.369999999999997</v>
      </c>
      <c r="G81" s="131">
        <v>3.17</v>
      </c>
      <c r="H81" s="132">
        <f t="shared" si="12"/>
        <v>34.954999999999998</v>
      </c>
      <c r="I81" s="132">
        <f t="shared" si="13"/>
        <v>36.54</v>
      </c>
      <c r="J81" s="69">
        <v>2856.1836313970193</v>
      </c>
      <c r="K81" s="134">
        <v>0</v>
      </c>
      <c r="L81" s="135">
        <v>0</v>
      </c>
      <c r="M81" s="135">
        <v>0</v>
      </c>
      <c r="N81" s="69">
        <f t="shared" si="14"/>
        <v>2856.1836313970193</v>
      </c>
      <c r="O81" s="39">
        <f t="shared" si="15"/>
        <v>3173.5373682189102</v>
      </c>
      <c r="P81" s="136">
        <f t="shared" si="16"/>
        <v>81.710302714833915</v>
      </c>
      <c r="Q81" s="137">
        <f t="shared" si="17"/>
        <v>0.10000000000000002</v>
      </c>
      <c r="R81" s="138">
        <f t="shared" si="18"/>
        <v>317.35373682189106</v>
      </c>
      <c r="S81" s="139">
        <v>0.8</v>
      </c>
      <c r="T81" s="138">
        <f t="shared" si="19"/>
        <v>2538.8298945751285</v>
      </c>
      <c r="U81" s="140">
        <f t="shared" si="20"/>
        <v>9.9999999999999978E-2</v>
      </c>
      <c r="V81" s="138">
        <f t="shared" si="21"/>
        <v>317.35373682189095</v>
      </c>
      <c r="W81" s="142">
        <f ca="1">V81*VLOOKUP(TODAY(),'UF HOY'!$A$2:$B$33,2,0)</f>
        <v>12609714.337656807</v>
      </c>
      <c r="X81" s="143">
        <f>Datos!$E$3</f>
        <v>31</v>
      </c>
      <c r="Y81" s="144">
        <f ca="1">IF((W81-1000000-Datos!$D$3)/X81&gt;0,(W81-1000000-Datos!$D$3)/X81,0)</f>
        <v>366442.39798892924</v>
      </c>
      <c r="Z81" s="143">
        <f>Datos!$F$3</f>
        <v>31</v>
      </c>
      <c r="AA81" s="144">
        <f ca="1">IF((W81-1750000-Datos!$D$3-3%*O81*VLOOKUP(TODAY(),'UF HOY'!$A$2:$B$33,2,0))/Z81&gt;0,(W81-1750000-Datos!$D$3-3%*O81*VLOOKUP(TODAY(),'UF HOY'!$A$2:$B$33,2,0))/Z81,0)</f>
        <v>220219.3560116053</v>
      </c>
      <c r="AB81" s="142">
        <f>IF(L81&gt;0,VLOOKUP(D81,Datos!$C$7:$E$11,3,0),VLOOKUP(D81,Datos!$C$7:$E$11,2,0))</f>
        <v>370000</v>
      </c>
      <c r="AC81" s="144">
        <f ca="1">(S81*PMT(Datos!$H$13,Datos!$H$12,-O81,,)*VLOOKUP(TODAY(),'UF HOY'!$A$2:$B$33,2,0)/12)+VLOOKUP(TODAY(),'UF HOY'!$A$2:$B$33,2,0)</f>
        <v>525881.29346256261</v>
      </c>
      <c r="AD81" s="144">
        <f t="shared" ca="1" si="22"/>
        <v>-155881.29346256261</v>
      </c>
      <c r="AE81" s="47">
        <f t="shared" ca="1" si="23"/>
        <v>2103525.1738502504</v>
      </c>
    </row>
    <row r="82" spans="1:31" s="145" customFormat="1" ht="15.5" hidden="1" x14ac:dyDescent="0.35">
      <c r="A82" s="129" t="s">
        <v>170</v>
      </c>
      <c r="B82" s="130">
        <v>1203</v>
      </c>
      <c r="C82" s="131" t="s">
        <v>151</v>
      </c>
      <c r="D82" s="131" t="s">
        <v>153</v>
      </c>
      <c r="E82" s="131"/>
      <c r="F82" s="131">
        <v>33.369999999999997</v>
      </c>
      <c r="G82" s="131">
        <v>3.17</v>
      </c>
      <c r="H82" s="132">
        <f t="shared" si="12"/>
        <v>34.954999999999998</v>
      </c>
      <c r="I82" s="132">
        <f t="shared" si="13"/>
        <v>36.54</v>
      </c>
      <c r="J82" s="69">
        <v>2856.1836313970193</v>
      </c>
      <c r="K82" s="134">
        <v>0</v>
      </c>
      <c r="L82" s="135">
        <v>0</v>
      </c>
      <c r="M82" s="135">
        <v>0</v>
      </c>
      <c r="N82" s="69">
        <f t="shared" si="14"/>
        <v>2856.1836313970193</v>
      </c>
      <c r="O82" s="39">
        <f t="shared" si="15"/>
        <v>3173.5373682189102</v>
      </c>
      <c r="P82" s="136">
        <f t="shared" si="16"/>
        <v>81.710302714833915</v>
      </c>
      <c r="Q82" s="137">
        <f t="shared" si="17"/>
        <v>0.10000000000000002</v>
      </c>
      <c r="R82" s="138">
        <f t="shared" si="18"/>
        <v>317.35373682189106</v>
      </c>
      <c r="S82" s="139">
        <v>0.8</v>
      </c>
      <c r="T82" s="138">
        <f t="shared" si="19"/>
        <v>2538.8298945751285</v>
      </c>
      <c r="U82" s="140">
        <f t="shared" si="20"/>
        <v>9.9999999999999978E-2</v>
      </c>
      <c r="V82" s="138">
        <f t="shared" si="21"/>
        <v>317.35373682189095</v>
      </c>
      <c r="W82" s="142">
        <f ca="1">V82*VLOOKUP(TODAY(),'UF HOY'!$A$2:$B$33,2,0)</f>
        <v>12609714.337656807</v>
      </c>
      <c r="X82" s="143">
        <f>Datos!$E$3</f>
        <v>31</v>
      </c>
      <c r="Y82" s="144">
        <f ca="1">IF((W82-1000000-Datos!$D$3)/X82&gt;0,(W82-1000000-Datos!$D$3)/X82,0)</f>
        <v>366442.39798892924</v>
      </c>
      <c r="Z82" s="143">
        <f>Datos!$F$3</f>
        <v>31</v>
      </c>
      <c r="AA82" s="144">
        <f ca="1">IF((W82-1750000-Datos!$D$3-3%*O82*VLOOKUP(TODAY(),'UF HOY'!$A$2:$B$33,2,0))/Z82&gt;0,(W82-1750000-Datos!$D$3-3%*O82*VLOOKUP(TODAY(),'UF HOY'!$A$2:$B$33,2,0))/Z82,0)</f>
        <v>220219.3560116053</v>
      </c>
      <c r="AB82" s="142">
        <f>IF(L82&gt;0,VLOOKUP(D82,Datos!$C$7:$E$11,3,0),VLOOKUP(D82,Datos!$C$7:$E$11,2,0))</f>
        <v>370000</v>
      </c>
      <c r="AC82" s="144">
        <f ca="1">(S82*PMT(Datos!$H$13,Datos!$H$12,-O82,,)*VLOOKUP(TODAY(),'UF HOY'!$A$2:$B$33,2,0)/12)+VLOOKUP(TODAY(),'UF HOY'!$A$2:$B$33,2,0)</f>
        <v>525881.29346256261</v>
      </c>
      <c r="AD82" s="144">
        <f t="shared" ca="1" si="22"/>
        <v>-155881.29346256261</v>
      </c>
      <c r="AE82" s="47">
        <f t="shared" ca="1" si="23"/>
        <v>2103525.1738502504</v>
      </c>
    </row>
    <row r="83" spans="1:31" s="145" customFormat="1" ht="15.5" hidden="1" x14ac:dyDescent="0.35">
      <c r="A83" s="129" t="s">
        <v>170</v>
      </c>
      <c r="B83" s="130">
        <v>1204</v>
      </c>
      <c r="C83" s="131" t="s">
        <v>151</v>
      </c>
      <c r="D83" s="131" t="s">
        <v>153</v>
      </c>
      <c r="E83" s="131"/>
      <c r="F83" s="131">
        <v>31.86</v>
      </c>
      <c r="G83" s="131">
        <v>3.6</v>
      </c>
      <c r="H83" s="132">
        <f t="shared" si="12"/>
        <v>33.659999999999997</v>
      </c>
      <c r="I83" s="132">
        <f t="shared" si="13"/>
        <v>35.46</v>
      </c>
      <c r="J83" s="69">
        <v>2856.1836313970193</v>
      </c>
      <c r="K83" s="134">
        <v>0</v>
      </c>
      <c r="L83" s="135">
        <v>0</v>
      </c>
      <c r="M83" s="135">
        <v>0</v>
      </c>
      <c r="N83" s="69">
        <f t="shared" si="14"/>
        <v>2856.1836313970193</v>
      </c>
      <c r="O83" s="39">
        <f t="shared" si="15"/>
        <v>3173.5373682189102</v>
      </c>
      <c r="P83" s="136">
        <f t="shared" si="16"/>
        <v>84.853940326708837</v>
      </c>
      <c r="Q83" s="137">
        <f t="shared" si="17"/>
        <v>0.10000000000000002</v>
      </c>
      <c r="R83" s="138">
        <f t="shared" si="18"/>
        <v>317.35373682189106</v>
      </c>
      <c r="S83" s="139">
        <v>0.8</v>
      </c>
      <c r="T83" s="138">
        <f t="shared" si="19"/>
        <v>2538.8298945751285</v>
      </c>
      <c r="U83" s="140">
        <f t="shared" si="20"/>
        <v>9.9999999999999978E-2</v>
      </c>
      <c r="V83" s="138">
        <f t="shared" si="21"/>
        <v>317.35373682189095</v>
      </c>
      <c r="W83" s="142">
        <f ca="1">V83*VLOOKUP(TODAY(),'UF HOY'!$A$2:$B$33,2,0)</f>
        <v>12609714.337656807</v>
      </c>
      <c r="X83" s="143">
        <f>Datos!$E$3</f>
        <v>31</v>
      </c>
      <c r="Y83" s="144">
        <f ca="1">IF((W83-1000000-Datos!$D$3)/X83&gt;0,(W83-1000000-Datos!$D$3)/X83,0)</f>
        <v>366442.39798892924</v>
      </c>
      <c r="Z83" s="143">
        <f>Datos!$F$3</f>
        <v>31</v>
      </c>
      <c r="AA83" s="144">
        <f ca="1">IF((W83-1750000-Datos!$D$3-3%*O83*VLOOKUP(TODAY(),'UF HOY'!$A$2:$B$33,2,0))/Z83&gt;0,(W83-1750000-Datos!$D$3-3%*O83*VLOOKUP(TODAY(),'UF HOY'!$A$2:$B$33,2,0))/Z83,0)</f>
        <v>220219.3560116053</v>
      </c>
      <c r="AB83" s="142">
        <f>IF(L83&gt;0,VLOOKUP(D83,Datos!$C$7:$E$11,3,0),VLOOKUP(D83,Datos!$C$7:$E$11,2,0))</f>
        <v>370000</v>
      </c>
      <c r="AC83" s="144">
        <f ca="1">(S83*PMT(Datos!$H$13,Datos!$H$12,-O83,,)*VLOOKUP(TODAY(),'UF HOY'!$A$2:$B$33,2,0)/12)+VLOOKUP(TODAY(),'UF HOY'!$A$2:$B$33,2,0)</f>
        <v>525881.29346256261</v>
      </c>
      <c r="AD83" s="144">
        <f t="shared" ca="1" si="22"/>
        <v>-155881.29346256261</v>
      </c>
      <c r="AE83" s="47">
        <f t="shared" ca="1" si="23"/>
        <v>2103525.1738502504</v>
      </c>
    </row>
    <row r="84" spans="1:31" s="145" customFormat="1" ht="15.5" hidden="1" x14ac:dyDescent="0.35">
      <c r="A84" s="129" t="s">
        <v>170</v>
      </c>
      <c r="B84" s="130">
        <v>1216</v>
      </c>
      <c r="C84" s="131" t="s">
        <v>151</v>
      </c>
      <c r="D84" s="131" t="s">
        <v>153</v>
      </c>
      <c r="E84" s="131"/>
      <c r="F84" s="131">
        <v>33.369999999999997</v>
      </c>
      <c r="G84" s="131">
        <v>3.17</v>
      </c>
      <c r="H84" s="132">
        <f t="shared" si="12"/>
        <v>34.954999999999998</v>
      </c>
      <c r="I84" s="132">
        <f t="shared" si="13"/>
        <v>36.54</v>
      </c>
      <c r="J84" s="69">
        <v>2856.1836313970193</v>
      </c>
      <c r="K84" s="134">
        <v>0</v>
      </c>
      <c r="L84" s="135">
        <v>0</v>
      </c>
      <c r="M84" s="135">
        <v>0</v>
      </c>
      <c r="N84" s="69">
        <f t="shared" si="14"/>
        <v>2856.1836313970193</v>
      </c>
      <c r="O84" s="39">
        <f t="shared" si="15"/>
        <v>3173.5373682189102</v>
      </c>
      <c r="P84" s="136">
        <f t="shared" si="16"/>
        <v>81.710302714833915</v>
      </c>
      <c r="Q84" s="137">
        <f t="shared" si="17"/>
        <v>0.10000000000000002</v>
      </c>
      <c r="R84" s="138">
        <f t="shared" si="18"/>
        <v>317.35373682189106</v>
      </c>
      <c r="S84" s="139">
        <v>0.8</v>
      </c>
      <c r="T84" s="138">
        <f t="shared" si="19"/>
        <v>2538.8298945751285</v>
      </c>
      <c r="U84" s="140">
        <f t="shared" si="20"/>
        <v>9.9999999999999978E-2</v>
      </c>
      <c r="V84" s="138">
        <f t="shared" si="21"/>
        <v>317.35373682189095</v>
      </c>
      <c r="W84" s="142">
        <f ca="1">V84*VLOOKUP(TODAY(),'UF HOY'!$A$2:$B$33,2,0)</f>
        <v>12609714.337656807</v>
      </c>
      <c r="X84" s="143">
        <f>Datos!$E$3</f>
        <v>31</v>
      </c>
      <c r="Y84" s="144">
        <f ca="1">IF((W84-1000000-Datos!$D$3)/X84&gt;0,(W84-1000000-Datos!$D$3)/X84,0)</f>
        <v>366442.39798892924</v>
      </c>
      <c r="Z84" s="143">
        <f>Datos!$F$3</f>
        <v>31</v>
      </c>
      <c r="AA84" s="144">
        <f ca="1">IF((W84-1750000-Datos!$D$3-3%*O84*VLOOKUP(TODAY(),'UF HOY'!$A$2:$B$33,2,0))/Z84&gt;0,(W84-1750000-Datos!$D$3-3%*O84*VLOOKUP(TODAY(),'UF HOY'!$A$2:$B$33,2,0))/Z84,0)</f>
        <v>220219.3560116053</v>
      </c>
      <c r="AB84" s="142">
        <f>IF(L84&gt;0,VLOOKUP(D84,Datos!$C$7:$E$11,3,0),VLOOKUP(D84,Datos!$C$7:$E$11,2,0))</f>
        <v>370000</v>
      </c>
      <c r="AC84" s="144">
        <f ca="1">(S84*PMT(Datos!$H$13,Datos!$H$12,-O84,,)*VLOOKUP(TODAY(),'UF HOY'!$A$2:$B$33,2,0)/12)+VLOOKUP(TODAY(),'UF HOY'!$A$2:$B$33,2,0)</f>
        <v>525881.29346256261</v>
      </c>
      <c r="AD84" s="144">
        <f t="shared" ca="1" si="22"/>
        <v>-155881.29346256261</v>
      </c>
      <c r="AE84" s="47">
        <f t="shared" ca="1" si="23"/>
        <v>2103525.1738502504</v>
      </c>
    </row>
    <row r="85" spans="1:31" s="145" customFormat="1" ht="15.5" hidden="1" x14ac:dyDescent="0.35">
      <c r="A85" s="129" t="s">
        <v>170</v>
      </c>
      <c r="B85" s="129">
        <v>609</v>
      </c>
      <c r="C85" s="131" t="s">
        <v>152</v>
      </c>
      <c r="D85" s="131" t="s">
        <v>153</v>
      </c>
      <c r="E85" s="131"/>
      <c r="F85" s="131">
        <v>31.86</v>
      </c>
      <c r="G85" s="131">
        <v>3.6</v>
      </c>
      <c r="H85" s="132">
        <f t="shared" si="12"/>
        <v>33.659999999999997</v>
      </c>
      <c r="I85" s="132">
        <f t="shared" si="13"/>
        <v>35.46</v>
      </c>
      <c r="J85" s="69">
        <v>2858.0754631701539</v>
      </c>
      <c r="K85" s="134">
        <v>0</v>
      </c>
      <c r="L85" s="135">
        <v>0</v>
      </c>
      <c r="M85" s="135">
        <v>80</v>
      </c>
      <c r="N85" s="69">
        <f t="shared" si="14"/>
        <v>2938.0754631701539</v>
      </c>
      <c r="O85" s="39">
        <f t="shared" si="15"/>
        <v>3264.5282924112821</v>
      </c>
      <c r="P85" s="136">
        <f t="shared" si="16"/>
        <v>84.910144479208384</v>
      </c>
      <c r="Q85" s="137">
        <f t="shared" si="17"/>
        <v>0.10000000000000002</v>
      </c>
      <c r="R85" s="138">
        <f t="shared" si="18"/>
        <v>326.45282924112826</v>
      </c>
      <c r="S85" s="139">
        <v>0.8</v>
      </c>
      <c r="T85" s="138">
        <f t="shared" si="19"/>
        <v>2611.6226339290261</v>
      </c>
      <c r="U85" s="140">
        <f t="shared" si="20"/>
        <v>9.9999999999999978E-2</v>
      </c>
      <c r="V85" s="138">
        <f t="shared" si="21"/>
        <v>326.45282924112814</v>
      </c>
      <c r="W85" s="142">
        <f ca="1">V85*VLOOKUP(TODAY(),'UF HOY'!$A$2:$B$33,2,0)</f>
        <v>12971257.129897231</v>
      </c>
      <c r="X85" s="143">
        <f>Datos!$E$3</f>
        <v>31</v>
      </c>
      <c r="Y85" s="144">
        <f ca="1">IF((W85-1000000-Datos!$D$3)/X85&gt;0,(W85-1000000-Datos!$D$3)/X85,0)</f>
        <v>378105.06870636228</v>
      </c>
      <c r="Z85" s="143">
        <f>Datos!$F$3</f>
        <v>31</v>
      </c>
      <c r="AA85" s="144">
        <f ca="1">IF((W85-1750000-Datos!$D$3-3%*O85*VLOOKUP(TODAY(),'UF HOY'!$A$2:$B$33,2,0))/Z85&gt;0,(W85-1750000-Datos!$D$3-3%*O85*VLOOKUP(TODAY(),'UF HOY'!$A$2:$B$33,2,0))/Z85,0)</f>
        <v>228383.22551380843</v>
      </c>
      <c r="AB85" s="142">
        <f>IF(L85&gt;0,VLOOKUP(D85,Datos!$C$7:$E$11,3,0),VLOOKUP(D85,Datos!$C$7:$E$11,2,0))</f>
        <v>370000</v>
      </c>
      <c r="AC85" s="144">
        <f ca="1">(S85*PMT(Datos!$H$13,Datos!$H$12,-O85,,)*VLOOKUP(TODAY(),'UF HOY'!$A$2:$B$33,2,0)/12)+VLOOKUP(TODAY(),'UF HOY'!$A$2:$B$33,2,0)</f>
        <v>539819.99714011233</v>
      </c>
      <c r="AD85" s="144">
        <f t="shared" ca="1" si="22"/>
        <v>-169819.99714011233</v>
      </c>
      <c r="AE85" s="47">
        <f t="shared" ca="1" si="23"/>
        <v>2159279.9885604493</v>
      </c>
    </row>
    <row r="86" spans="1:31" s="145" customFormat="1" ht="15.5" hidden="1" x14ac:dyDescent="0.35">
      <c r="A86" s="129" t="s">
        <v>170</v>
      </c>
      <c r="B86" s="130">
        <v>610</v>
      </c>
      <c r="C86" s="131" t="s">
        <v>152</v>
      </c>
      <c r="D86" s="131" t="s">
        <v>153</v>
      </c>
      <c r="E86" s="131"/>
      <c r="F86" s="131">
        <v>31.86</v>
      </c>
      <c r="G86" s="131">
        <v>3.6</v>
      </c>
      <c r="H86" s="132">
        <f t="shared" si="12"/>
        <v>33.659999999999997</v>
      </c>
      <c r="I86" s="132">
        <f t="shared" si="13"/>
        <v>35.46</v>
      </c>
      <c r="J86" s="69">
        <v>2858.0754631701539</v>
      </c>
      <c r="K86" s="134">
        <v>0</v>
      </c>
      <c r="L86" s="135">
        <v>0</v>
      </c>
      <c r="M86" s="135">
        <v>0</v>
      </c>
      <c r="N86" s="69">
        <f t="shared" si="14"/>
        <v>2858.0754631701539</v>
      </c>
      <c r="O86" s="39">
        <f t="shared" si="15"/>
        <v>3175.639403522393</v>
      </c>
      <c r="P86" s="136">
        <f t="shared" si="16"/>
        <v>84.910144479208384</v>
      </c>
      <c r="Q86" s="137">
        <f t="shared" si="17"/>
        <v>0.10000000000000002</v>
      </c>
      <c r="R86" s="138">
        <f t="shared" si="18"/>
        <v>317.56394035223934</v>
      </c>
      <c r="S86" s="139">
        <v>0.8</v>
      </c>
      <c r="T86" s="138">
        <f t="shared" si="19"/>
        <v>2540.5115228179147</v>
      </c>
      <c r="U86" s="140">
        <f t="shared" si="20"/>
        <v>9.9999999999999978E-2</v>
      </c>
      <c r="V86" s="138">
        <f t="shared" si="21"/>
        <v>317.56394035223923</v>
      </c>
      <c r="W86" s="142">
        <f ca="1">V86*VLOOKUP(TODAY(),'UF HOY'!$A$2:$B$33,2,0)</f>
        <v>12618066.552119453</v>
      </c>
      <c r="X86" s="143">
        <f>Datos!$E$3</f>
        <v>31</v>
      </c>
      <c r="Y86" s="144">
        <f ca="1">IF((W86-1000000-Datos!$D$3)/X86&gt;0,(W86-1000000-Datos!$D$3)/X86,0)</f>
        <v>366711.82426191785</v>
      </c>
      <c r="Z86" s="143">
        <f>Datos!$F$3</f>
        <v>31</v>
      </c>
      <c r="AA86" s="144">
        <f ca="1">IF((W86-1750000-Datos!$D$3-3%*O86*VLOOKUP(TODAY(),'UF HOY'!$A$2:$B$33,2,0))/Z86&gt;0,(W86-1750000-Datos!$D$3-3%*O86*VLOOKUP(TODAY(),'UF HOY'!$A$2:$B$33,2,0))/Z86,0)</f>
        <v>220407.9544026973</v>
      </c>
      <c r="AB86" s="142">
        <f>IF(L86&gt;0,VLOOKUP(D86,Datos!$C$7:$E$11,3,0),VLOOKUP(D86,Datos!$C$7:$E$11,2,0))</f>
        <v>370000</v>
      </c>
      <c r="AC86" s="144">
        <f ca="1">(S86*PMT(Datos!$H$13,Datos!$H$12,-O86,,)*VLOOKUP(TODAY(),'UF HOY'!$A$2:$B$33,2,0)/12)+VLOOKUP(TODAY(),'UF HOY'!$A$2:$B$33,2,0)</f>
        <v>526203.29972280294</v>
      </c>
      <c r="AD86" s="144">
        <f t="shared" ca="1" si="22"/>
        <v>-156203.29972280294</v>
      </c>
      <c r="AE86" s="47">
        <f t="shared" ca="1" si="23"/>
        <v>2104813.1988912118</v>
      </c>
    </row>
    <row r="87" spans="1:31" s="145" customFormat="1" ht="15.5" hidden="1" x14ac:dyDescent="0.35">
      <c r="A87" s="129" t="s">
        <v>170</v>
      </c>
      <c r="B87" s="130">
        <v>612</v>
      </c>
      <c r="C87" s="131" t="s">
        <v>152</v>
      </c>
      <c r="D87" s="131" t="s">
        <v>153</v>
      </c>
      <c r="E87" s="131"/>
      <c r="F87" s="131">
        <v>31.86</v>
      </c>
      <c r="G87" s="131">
        <v>3.6</v>
      </c>
      <c r="H87" s="132">
        <f t="shared" si="12"/>
        <v>33.659999999999997</v>
      </c>
      <c r="I87" s="132">
        <f t="shared" si="13"/>
        <v>35.46</v>
      </c>
      <c r="J87" s="69">
        <v>2858.0754631701539</v>
      </c>
      <c r="K87" s="134">
        <v>0</v>
      </c>
      <c r="L87" s="135">
        <v>0</v>
      </c>
      <c r="M87" s="135">
        <v>0</v>
      </c>
      <c r="N87" s="69">
        <f t="shared" si="14"/>
        <v>2858.0754631701539</v>
      </c>
      <c r="O87" s="39">
        <f t="shared" si="15"/>
        <v>3175.639403522393</v>
      </c>
      <c r="P87" s="136">
        <f t="shared" si="16"/>
        <v>84.910144479208384</v>
      </c>
      <c r="Q87" s="137">
        <f t="shared" si="17"/>
        <v>0.10000000000000002</v>
      </c>
      <c r="R87" s="138">
        <f t="shared" si="18"/>
        <v>317.56394035223934</v>
      </c>
      <c r="S87" s="139">
        <v>0.8</v>
      </c>
      <c r="T87" s="138">
        <f t="shared" si="19"/>
        <v>2540.5115228179147</v>
      </c>
      <c r="U87" s="140">
        <f t="shared" si="20"/>
        <v>9.9999999999999978E-2</v>
      </c>
      <c r="V87" s="138">
        <f t="shared" si="21"/>
        <v>317.56394035223923</v>
      </c>
      <c r="W87" s="142">
        <f ca="1">V87*VLOOKUP(TODAY(),'UF HOY'!$A$2:$B$33,2,0)</f>
        <v>12618066.552119453</v>
      </c>
      <c r="X87" s="143">
        <f>Datos!$E$3</f>
        <v>31</v>
      </c>
      <c r="Y87" s="144">
        <f ca="1">IF((W87-1000000-Datos!$D$3)/X87&gt;0,(W87-1000000-Datos!$D$3)/X87,0)</f>
        <v>366711.82426191785</v>
      </c>
      <c r="Z87" s="143">
        <f>Datos!$F$3</f>
        <v>31</v>
      </c>
      <c r="AA87" s="144">
        <f ca="1">IF((W87-1750000-Datos!$D$3-3%*O87*VLOOKUP(TODAY(),'UF HOY'!$A$2:$B$33,2,0))/Z87&gt;0,(W87-1750000-Datos!$D$3-3%*O87*VLOOKUP(TODAY(),'UF HOY'!$A$2:$B$33,2,0))/Z87,0)</f>
        <v>220407.9544026973</v>
      </c>
      <c r="AB87" s="142">
        <f>IF(L87&gt;0,VLOOKUP(D87,Datos!$C$7:$E$11,3,0),VLOOKUP(D87,Datos!$C$7:$E$11,2,0))</f>
        <v>370000</v>
      </c>
      <c r="AC87" s="144">
        <f ca="1">(S87*PMT(Datos!$H$13,Datos!$H$12,-O87,,)*VLOOKUP(TODAY(),'UF HOY'!$A$2:$B$33,2,0)/12)+VLOOKUP(TODAY(),'UF HOY'!$A$2:$B$33,2,0)</f>
        <v>526203.29972280294</v>
      </c>
      <c r="AD87" s="144">
        <f t="shared" ca="1" si="22"/>
        <v>-156203.29972280294</v>
      </c>
      <c r="AE87" s="47">
        <f t="shared" ca="1" si="23"/>
        <v>2104813.1988912118</v>
      </c>
    </row>
    <row r="88" spans="1:31" s="145" customFormat="1" ht="15.5" hidden="1" x14ac:dyDescent="0.35">
      <c r="A88" s="129" t="s">
        <v>170</v>
      </c>
      <c r="B88" s="130">
        <v>613</v>
      </c>
      <c r="C88" s="131" t="s">
        <v>152</v>
      </c>
      <c r="D88" s="131" t="s">
        <v>153</v>
      </c>
      <c r="E88" s="131"/>
      <c r="F88" s="131">
        <v>31.86</v>
      </c>
      <c r="G88" s="131">
        <v>3.6</v>
      </c>
      <c r="H88" s="132">
        <f t="shared" si="12"/>
        <v>33.659999999999997</v>
      </c>
      <c r="I88" s="132">
        <f t="shared" si="13"/>
        <v>35.46</v>
      </c>
      <c r="J88" s="69">
        <v>2858.0754631701539</v>
      </c>
      <c r="K88" s="134">
        <v>0</v>
      </c>
      <c r="L88" s="135">
        <v>0</v>
      </c>
      <c r="M88" s="135">
        <v>0</v>
      </c>
      <c r="N88" s="69">
        <f t="shared" si="14"/>
        <v>2858.0754631701539</v>
      </c>
      <c r="O88" s="39">
        <f t="shared" si="15"/>
        <v>3175.639403522393</v>
      </c>
      <c r="P88" s="136">
        <f t="shared" si="16"/>
        <v>84.910144479208384</v>
      </c>
      <c r="Q88" s="137">
        <f t="shared" si="17"/>
        <v>0.10000000000000002</v>
      </c>
      <c r="R88" s="138">
        <f t="shared" si="18"/>
        <v>317.56394035223934</v>
      </c>
      <c r="S88" s="139">
        <v>0.8</v>
      </c>
      <c r="T88" s="138">
        <f t="shared" si="19"/>
        <v>2540.5115228179147</v>
      </c>
      <c r="U88" s="140">
        <f t="shared" si="20"/>
        <v>9.9999999999999978E-2</v>
      </c>
      <c r="V88" s="138">
        <f t="shared" si="21"/>
        <v>317.56394035223923</v>
      </c>
      <c r="W88" s="142">
        <f ca="1">V88*VLOOKUP(TODAY(),'UF HOY'!$A$2:$B$33,2,0)</f>
        <v>12618066.552119453</v>
      </c>
      <c r="X88" s="143">
        <f>Datos!$E$3</f>
        <v>31</v>
      </c>
      <c r="Y88" s="144">
        <f ca="1">IF((W88-1000000-Datos!$D$3)/X88&gt;0,(W88-1000000-Datos!$D$3)/X88,0)</f>
        <v>366711.82426191785</v>
      </c>
      <c r="Z88" s="143">
        <f>Datos!$F$3</f>
        <v>31</v>
      </c>
      <c r="AA88" s="144">
        <f ca="1">IF((W88-1750000-Datos!$D$3-3%*O88*VLOOKUP(TODAY(),'UF HOY'!$A$2:$B$33,2,0))/Z88&gt;0,(W88-1750000-Datos!$D$3-3%*O88*VLOOKUP(TODAY(),'UF HOY'!$A$2:$B$33,2,0))/Z88,0)</f>
        <v>220407.9544026973</v>
      </c>
      <c r="AB88" s="142">
        <f>IF(L88&gt;0,VLOOKUP(D88,Datos!$C$7:$E$11,3,0),VLOOKUP(D88,Datos!$C$7:$E$11,2,0))</f>
        <v>370000</v>
      </c>
      <c r="AC88" s="144">
        <f ca="1">(S88*PMT(Datos!$H$13,Datos!$H$12,-O88,,)*VLOOKUP(TODAY(),'UF HOY'!$A$2:$B$33,2,0)/12)+VLOOKUP(TODAY(),'UF HOY'!$A$2:$B$33,2,0)</f>
        <v>526203.29972280294</v>
      </c>
      <c r="AD88" s="144">
        <f t="shared" ca="1" si="22"/>
        <v>-156203.29972280294</v>
      </c>
      <c r="AE88" s="47">
        <f t="shared" ca="1" si="23"/>
        <v>2104813.1988912118</v>
      </c>
    </row>
    <row r="89" spans="1:31" s="145" customFormat="1" ht="15.5" hidden="1" x14ac:dyDescent="0.35">
      <c r="A89" s="129" t="s">
        <v>170</v>
      </c>
      <c r="B89" s="130">
        <v>617</v>
      </c>
      <c r="C89" s="131" t="s">
        <v>151</v>
      </c>
      <c r="D89" s="131" t="s">
        <v>153</v>
      </c>
      <c r="E89" s="131"/>
      <c r="F89" s="131">
        <v>33.36</v>
      </c>
      <c r="G89" s="131">
        <v>3.1</v>
      </c>
      <c r="H89" s="132">
        <f t="shared" si="12"/>
        <v>34.909999999999997</v>
      </c>
      <c r="I89" s="132">
        <f t="shared" si="13"/>
        <v>36.46</v>
      </c>
      <c r="J89" s="69">
        <v>2858.0754631701539</v>
      </c>
      <c r="K89" s="134">
        <v>0</v>
      </c>
      <c r="L89" s="135">
        <v>0</v>
      </c>
      <c r="M89" s="135">
        <v>0</v>
      </c>
      <c r="N89" s="69">
        <f t="shared" si="14"/>
        <v>2858.0754631701539</v>
      </c>
      <c r="O89" s="39">
        <f t="shared" si="15"/>
        <v>3175.639403522393</v>
      </c>
      <c r="P89" s="136">
        <f t="shared" si="16"/>
        <v>81.869821345464175</v>
      </c>
      <c r="Q89" s="137">
        <f t="shared" si="17"/>
        <v>0.10000000000000002</v>
      </c>
      <c r="R89" s="138">
        <f t="shared" si="18"/>
        <v>317.56394035223934</v>
      </c>
      <c r="S89" s="139">
        <v>0.8</v>
      </c>
      <c r="T89" s="138">
        <f t="shared" si="19"/>
        <v>2540.5115228179147</v>
      </c>
      <c r="U89" s="140">
        <f t="shared" si="20"/>
        <v>9.9999999999999978E-2</v>
      </c>
      <c r="V89" s="138">
        <f t="shared" si="21"/>
        <v>317.56394035223923</v>
      </c>
      <c r="W89" s="142">
        <f ca="1">V89*VLOOKUP(TODAY(),'UF HOY'!$A$2:$B$33,2,0)</f>
        <v>12618066.552119453</v>
      </c>
      <c r="X89" s="143">
        <f>Datos!$E$3</f>
        <v>31</v>
      </c>
      <c r="Y89" s="144">
        <f ca="1">IF((W89-1000000-Datos!$D$3)/X89&gt;0,(W89-1000000-Datos!$D$3)/X89,0)</f>
        <v>366711.82426191785</v>
      </c>
      <c r="Z89" s="143">
        <f>Datos!$F$3</f>
        <v>31</v>
      </c>
      <c r="AA89" s="144">
        <f ca="1">IF((W89-1750000-Datos!$D$3-3%*O89*VLOOKUP(TODAY(),'UF HOY'!$A$2:$B$33,2,0))/Z89&gt;0,(W89-1750000-Datos!$D$3-3%*O89*VLOOKUP(TODAY(),'UF HOY'!$A$2:$B$33,2,0))/Z89,0)</f>
        <v>220407.9544026973</v>
      </c>
      <c r="AB89" s="142">
        <f>IF(L89&gt;0,VLOOKUP(D89,Datos!$C$7:$E$11,3,0),VLOOKUP(D89,Datos!$C$7:$E$11,2,0))</f>
        <v>370000</v>
      </c>
      <c r="AC89" s="144">
        <f ca="1">(S89*PMT(Datos!$H$13,Datos!$H$12,-O89,,)*VLOOKUP(TODAY(),'UF HOY'!$A$2:$B$33,2,0)/12)+VLOOKUP(TODAY(),'UF HOY'!$A$2:$B$33,2,0)</f>
        <v>526203.29972280294</v>
      </c>
      <c r="AD89" s="144">
        <f t="shared" ca="1" si="22"/>
        <v>-156203.29972280294</v>
      </c>
      <c r="AE89" s="47">
        <f t="shared" ca="1" si="23"/>
        <v>2104813.1988912118</v>
      </c>
    </row>
    <row r="90" spans="1:31" s="145" customFormat="1" ht="15.5" hidden="1" x14ac:dyDescent="0.35">
      <c r="A90" s="129" t="s">
        <v>170</v>
      </c>
      <c r="B90" s="130">
        <v>607</v>
      </c>
      <c r="C90" s="131" t="s">
        <v>152</v>
      </c>
      <c r="D90" s="131" t="s">
        <v>153</v>
      </c>
      <c r="E90" s="131"/>
      <c r="F90" s="131">
        <v>31.86</v>
      </c>
      <c r="G90" s="131">
        <v>3.6</v>
      </c>
      <c r="H90" s="132">
        <f t="shared" si="12"/>
        <v>33.659999999999997</v>
      </c>
      <c r="I90" s="132">
        <f t="shared" si="13"/>
        <v>35.46</v>
      </c>
      <c r="J90" s="69">
        <v>2858.5467445530758</v>
      </c>
      <c r="K90" s="134">
        <v>0</v>
      </c>
      <c r="L90" s="135">
        <v>0</v>
      </c>
      <c r="M90" s="135">
        <v>0</v>
      </c>
      <c r="N90" s="69">
        <f t="shared" si="14"/>
        <v>2858.5467445530758</v>
      </c>
      <c r="O90" s="39">
        <f t="shared" si="15"/>
        <v>3176.1630495034174</v>
      </c>
      <c r="P90" s="136">
        <f t="shared" si="16"/>
        <v>84.924145708647529</v>
      </c>
      <c r="Q90" s="137">
        <f t="shared" si="17"/>
        <v>0.1</v>
      </c>
      <c r="R90" s="138">
        <f t="shared" si="18"/>
        <v>317.61630495034177</v>
      </c>
      <c r="S90" s="139">
        <v>0.8</v>
      </c>
      <c r="T90" s="138">
        <f t="shared" si="19"/>
        <v>2540.9304396027342</v>
      </c>
      <c r="U90" s="140">
        <f t="shared" si="20"/>
        <v>9.9999999999999978E-2</v>
      </c>
      <c r="V90" s="138">
        <f t="shared" si="21"/>
        <v>317.61630495034166</v>
      </c>
      <c r="W90" s="142">
        <f ca="1">V90*VLOOKUP(TODAY(),'UF HOY'!$A$2:$B$33,2,0)</f>
        <v>12620147.20391858</v>
      </c>
      <c r="X90" s="143">
        <f>Datos!$E$3</f>
        <v>31</v>
      </c>
      <c r="Y90" s="144">
        <f ca="1">IF((W90-1000000-Datos!$D$3)/X90&gt;0,(W90-1000000-Datos!$D$3)/X90,0)</f>
        <v>366778.94206188968</v>
      </c>
      <c r="Z90" s="143">
        <f>Datos!$F$3</f>
        <v>31</v>
      </c>
      <c r="AA90" s="144">
        <f ca="1">IF((W90-1750000-Datos!$D$3-3%*O90*VLOOKUP(TODAY(),'UF HOY'!$A$2:$B$33,2,0))/Z90&gt;0,(W90-1750000-Datos!$D$3-3%*O90*VLOOKUP(TODAY(),'UF HOY'!$A$2:$B$33,2,0))/Z90,0)</f>
        <v>220454.93686267757</v>
      </c>
      <c r="AB90" s="142">
        <f>IF(L90&gt;0,VLOOKUP(D90,Datos!$C$7:$E$11,3,0),VLOOKUP(D90,Datos!$C$7:$E$11,2,0))</f>
        <v>370000</v>
      </c>
      <c r="AC90" s="144">
        <f ca="1">(S90*PMT(Datos!$H$13,Datos!$H$12,-O90,,)*VLOOKUP(TODAY(),'UF HOY'!$A$2:$B$33,2,0)/12)+VLOOKUP(TODAY(),'UF HOY'!$A$2:$B$33,2,0)</f>
        <v>526283.51592267375</v>
      </c>
      <c r="AD90" s="144">
        <f t="shared" ca="1" si="22"/>
        <v>-156283.51592267375</v>
      </c>
      <c r="AE90" s="47">
        <f t="shared" ca="1" si="23"/>
        <v>2105134.063690695</v>
      </c>
    </row>
    <row r="91" spans="1:31" s="145" customFormat="1" ht="15.5" hidden="1" x14ac:dyDescent="0.35">
      <c r="A91" s="129" t="s">
        <v>170</v>
      </c>
      <c r="B91" s="130">
        <v>1217</v>
      </c>
      <c r="C91" s="131" t="s">
        <v>151</v>
      </c>
      <c r="D91" s="131" t="s">
        <v>153</v>
      </c>
      <c r="E91" s="131"/>
      <c r="F91" s="131">
        <v>33.36</v>
      </c>
      <c r="G91" s="131">
        <v>3.1</v>
      </c>
      <c r="H91" s="132">
        <f t="shared" si="12"/>
        <v>34.909999999999997</v>
      </c>
      <c r="I91" s="132">
        <f t="shared" si="13"/>
        <v>36.46</v>
      </c>
      <c r="J91" s="69">
        <v>2871.805950039703</v>
      </c>
      <c r="K91" s="134">
        <v>0</v>
      </c>
      <c r="L91" s="135">
        <v>0</v>
      </c>
      <c r="M91" s="135">
        <v>0</v>
      </c>
      <c r="N91" s="69">
        <f t="shared" si="14"/>
        <v>2871.805950039703</v>
      </c>
      <c r="O91" s="39">
        <f t="shared" si="15"/>
        <v>3190.8955000441142</v>
      </c>
      <c r="P91" s="136">
        <f t="shared" si="16"/>
        <v>82.263132341440937</v>
      </c>
      <c r="Q91" s="137">
        <f t="shared" si="17"/>
        <v>0.1</v>
      </c>
      <c r="R91" s="138">
        <f t="shared" si="18"/>
        <v>319.08955000441142</v>
      </c>
      <c r="S91" s="139">
        <v>0.8</v>
      </c>
      <c r="T91" s="138">
        <f t="shared" si="19"/>
        <v>2552.7164000352914</v>
      </c>
      <c r="U91" s="140">
        <f t="shared" si="20"/>
        <v>9.9999999999999978E-2</v>
      </c>
      <c r="V91" s="138">
        <f t="shared" si="21"/>
        <v>319.08955000441136</v>
      </c>
      <c r="W91" s="142">
        <f ca="1">V91*VLOOKUP(TODAY(),'UF HOY'!$A$2:$B$33,2,0)</f>
        <v>12678685.034502281</v>
      </c>
      <c r="X91" s="143">
        <f>Datos!$E$3</f>
        <v>31</v>
      </c>
      <c r="Y91" s="144">
        <f ca="1">IF((W91-1000000-Datos!$D$3)/X91&gt;0,(W91-1000000-Datos!$D$3)/X91,0)</f>
        <v>368667.25917749293</v>
      </c>
      <c r="Z91" s="143">
        <f>Datos!$F$3</f>
        <v>31</v>
      </c>
      <c r="AA91" s="144">
        <f ca="1">IF((W91-1750000-Datos!$D$3-3%*O91*VLOOKUP(TODAY(),'UF HOY'!$A$2:$B$33,2,0))/Z91&gt;0,(W91-1750000-Datos!$D$3-3%*O91*VLOOKUP(TODAY(),'UF HOY'!$A$2:$B$33,2,0))/Z91,0)</f>
        <v>221776.75884359988</v>
      </c>
      <c r="AB91" s="142">
        <f>IF(L91&gt;0,VLOOKUP(D91,Datos!$C$7:$E$11,3,0),VLOOKUP(D91,Datos!$C$7:$E$11,2,0))</f>
        <v>370000</v>
      </c>
      <c r="AC91" s="144">
        <f ca="1">(S91*PMT(Datos!$H$13,Datos!$H$12,-O91,,)*VLOOKUP(TODAY(),'UF HOY'!$A$2:$B$33,2,0)/12)+VLOOKUP(TODAY(),'UF HOY'!$A$2:$B$33,2,0)</f>
        <v>528540.34828649042</v>
      </c>
      <c r="AD91" s="144">
        <f t="shared" ca="1" si="22"/>
        <v>-158540.34828649042</v>
      </c>
      <c r="AE91" s="47">
        <f t="shared" ca="1" si="23"/>
        <v>2114161.3931459617</v>
      </c>
    </row>
    <row r="92" spans="1:31" s="145" customFormat="1" ht="15.5" hidden="1" x14ac:dyDescent="0.35">
      <c r="A92" s="129" t="s">
        <v>170</v>
      </c>
      <c r="B92" s="130">
        <v>1301</v>
      </c>
      <c r="C92" s="131" t="s">
        <v>151</v>
      </c>
      <c r="D92" s="131" t="s">
        <v>153</v>
      </c>
      <c r="E92" s="131"/>
      <c r="F92" s="131">
        <v>31.86</v>
      </c>
      <c r="G92" s="131">
        <v>3.6</v>
      </c>
      <c r="H92" s="132">
        <f t="shared" si="12"/>
        <v>33.659999999999997</v>
      </c>
      <c r="I92" s="132">
        <f t="shared" si="13"/>
        <v>35.46</v>
      </c>
      <c r="J92" s="69">
        <v>2871.805950039703</v>
      </c>
      <c r="K92" s="134">
        <v>0</v>
      </c>
      <c r="L92" s="135">
        <v>0</v>
      </c>
      <c r="M92" s="135">
        <v>0</v>
      </c>
      <c r="N92" s="69">
        <f t="shared" si="14"/>
        <v>2871.805950039703</v>
      </c>
      <c r="O92" s="39">
        <f t="shared" si="15"/>
        <v>3190.8955000441142</v>
      </c>
      <c r="P92" s="136">
        <f t="shared" si="16"/>
        <v>85.318061498505742</v>
      </c>
      <c r="Q92" s="137">
        <f t="shared" si="17"/>
        <v>0.1</v>
      </c>
      <c r="R92" s="138">
        <f t="shared" si="18"/>
        <v>319.08955000441142</v>
      </c>
      <c r="S92" s="139">
        <v>0.8</v>
      </c>
      <c r="T92" s="138">
        <f t="shared" si="19"/>
        <v>2552.7164000352914</v>
      </c>
      <c r="U92" s="140">
        <f t="shared" si="20"/>
        <v>9.9999999999999978E-2</v>
      </c>
      <c r="V92" s="138">
        <f t="shared" si="21"/>
        <v>319.08955000441136</v>
      </c>
      <c r="W92" s="142">
        <f ca="1">V92*VLOOKUP(TODAY(),'UF HOY'!$A$2:$B$33,2,0)</f>
        <v>12678685.034502281</v>
      </c>
      <c r="X92" s="143">
        <f>Datos!$E$3</f>
        <v>31</v>
      </c>
      <c r="Y92" s="144">
        <f ca="1">IF((W92-1000000-Datos!$D$3)/X92&gt;0,(W92-1000000-Datos!$D$3)/X92,0)</f>
        <v>368667.25917749293</v>
      </c>
      <c r="Z92" s="143">
        <f>Datos!$F$3</f>
        <v>31</v>
      </c>
      <c r="AA92" s="144">
        <f ca="1">IF((W92-1750000-Datos!$D$3-3%*O92*VLOOKUP(TODAY(),'UF HOY'!$A$2:$B$33,2,0))/Z92&gt;0,(W92-1750000-Datos!$D$3-3%*O92*VLOOKUP(TODAY(),'UF HOY'!$A$2:$B$33,2,0))/Z92,0)</f>
        <v>221776.75884359988</v>
      </c>
      <c r="AB92" s="142">
        <f>IF(L92&gt;0,VLOOKUP(D92,Datos!$C$7:$E$11,3,0),VLOOKUP(D92,Datos!$C$7:$E$11,2,0))</f>
        <v>370000</v>
      </c>
      <c r="AC92" s="144">
        <f ca="1">(S92*PMT(Datos!$H$13,Datos!$H$12,-O92,,)*VLOOKUP(TODAY(),'UF HOY'!$A$2:$B$33,2,0)/12)+VLOOKUP(TODAY(),'UF HOY'!$A$2:$B$33,2,0)</f>
        <v>528540.34828649042</v>
      </c>
      <c r="AD92" s="144">
        <f t="shared" ca="1" si="22"/>
        <v>-158540.34828649042</v>
      </c>
      <c r="AE92" s="47">
        <f t="shared" ca="1" si="23"/>
        <v>2114161.3931459617</v>
      </c>
    </row>
    <row r="93" spans="1:31" s="145" customFormat="1" ht="15.5" hidden="1" x14ac:dyDescent="0.35">
      <c r="A93" s="129" t="s">
        <v>170</v>
      </c>
      <c r="B93" s="129">
        <v>1302</v>
      </c>
      <c r="C93" s="131" t="s">
        <v>151</v>
      </c>
      <c r="D93" s="131" t="s">
        <v>153</v>
      </c>
      <c r="E93" s="131"/>
      <c r="F93" s="131">
        <v>33.369999999999997</v>
      </c>
      <c r="G93" s="131">
        <v>3.17</v>
      </c>
      <c r="H93" s="132">
        <f t="shared" si="12"/>
        <v>34.954999999999998</v>
      </c>
      <c r="I93" s="132">
        <f t="shared" si="13"/>
        <v>36.54</v>
      </c>
      <c r="J93" s="69">
        <v>2871.805950039703</v>
      </c>
      <c r="K93" s="134">
        <v>0</v>
      </c>
      <c r="L93" s="135">
        <v>0</v>
      </c>
      <c r="M93" s="135">
        <v>0</v>
      </c>
      <c r="N93" s="69">
        <f t="shared" si="14"/>
        <v>2871.805950039703</v>
      </c>
      <c r="O93" s="39">
        <f t="shared" si="15"/>
        <v>3190.8955000441142</v>
      </c>
      <c r="P93" s="136">
        <f t="shared" si="16"/>
        <v>82.157229295943452</v>
      </c>
      <c r="Q93" s="137">
        <f t="shared" si="17"/>
        <v>0.1</v>
      </c>
      <c r="R93" s="138">
        <f t="shared" si="18"/>
        <v>319.08955000441142</v>
      </c>
      <c r="S93" s="139">
        <v>0.8</v>
      </c>
      <c r="T93" s="138">
        <f t="shared" si="19"/>
        <v>2552.7164000352914</v>
      </c>
      <c r="U93" s="140">
        <f t="shared" si="20"/>
        <v>9.9999999999999978E-2</v>
      </c>
      <c r="V93" s="138">
        <f t="shared" si="21"/>
        <v>319.08955000441136</v>
      </c>
      <c r="W93" s="142">
        <f ca="1">V93*VLOOKUP(TODAY(),'UF HOY'!$A$2:$B$33,2,0)</f>
        <v>12678685.034502281</v>
      </c>
      <c r="X93" s="143">
        <f>Datos!$E$3</f>
        <v>31</v>
      </c>
      <c r="Y93" s="144">
        <f ca="1">IF((W93-1000000-Datos!$D$3)/X93&gt;0,(W93-1000000-Datos!$D$3)/X93,0)</f>
        <v>368667.25917749293</v>
      </c>
      <c r="Z93" s="143">
        <f>Datos!$F$3</f>
        <v>31</v>
      </c>
      <c r="AA93" s="144">
        <f ca="1">IF((W93-1750000-Datos!$D$3-3%*O93*VLOOKUP(TODAY(),'UF HOY'!$A$2:$B$33,2,0))/Z93&gt;0,(W93-1750000-Datos!$D$3-3%*O93*VLOOKUP(TODAY(),'UF HOY'!$A$2:$B$33,2,0))/Z93,0)</f>
        <v>221776.75884359988</v>
      </c>
      <c r="AB93" s="142">
        <f>IF(L93&gt;0,VLOOKUP(D93,Datos!$C$7:$E$11,3,0),VLOOKUP(D93,Datos!$C$7:$E$11,2,0))</f>
        <v>370000</v>
      </c>
      <c r="AC93" s="144">
        <f ca="1">(S93*PMT(Datos!$H$13,Datos!$H$12,-O93,,)*VLOOKUP(TODAY(),'UF HOY'!$A$2:$B$33,2,0)/12)+VLOOKUP(TODAY(),'UF HOY'!$A$2:$B$33,2,0)</f>
        <v>528540.34828649042</v>
      </c>
      <c r="AD93" s="144">
        <f t="shared" ca="1" si="22"/>
        <v>-158540.34828649042</v>
      </c>
      <c r="AE93" s="47">
        <f t="shared" ca="1" si="23"/>
        <v>2114161.3931459617</v>
      </c>
    </row>
    <row r="94" spans="1:31" s="145" customFormat="1" ht="15.5" hidden="1" x14ac:dyDescent="0.35">
      <c r="A94" s="129" t="s">
        <v>170</v>
      </c>
      <c r="B94" s="130">
        <v>1304</v>
      </c>
      <c r="C94" s="131" t="s">
        <v>151</v>
      </c>
      <c r="D94" s="131" t="s">
        <v>153</v>
      </c>
      <c r="E94" s="131"/>
      <c r="F94" s="131">
        <v>31.86</v>
      </c>
      <c r="G94" s="131">
        <v>3.6</v>
      </c>
      <c r="H94" s="132">
        <f t="shared" si="12"/>
        <v>33.659999999999997</v>
      </c>
      <c r="I94" s="132">
        <f t="shared" si="13"/>
        <v>35.46</v>
      </c>
      <c r="J94" s="69">
        <v>2871.805950039703</v>
      </c>
      <c r="K94" s="134">
        <v>0</v>
      </c>
      <c r="L94" s="135">
        <v>0</v>
      </c>
      <c r="M94" s="135">
        <v>0</v>
      </c>
      <c r="N94" s="69">
        <f t="shared" si="14"/>
        <v>2871.805950039703</v>
      </c>
      <c r="O94" s="39">
        <f t="shared" si="15"/>
        <v>3190.8955000441142</v>
      </c>
      <c r="P94" s="136">
        <f t="shared" si="16"/>
        <v>85.318061498505742</v>
      </c>
      <c r="Q94" s="137">
        <f t="shared" si="17"/>
        <v>0.1</v>
      </c>
      <c r="R94" s="138">
        <f t="shared" si="18"/>
        <v>319.08955000441142</v>
      </c>
      <c r="S94" s="139">
        <v>0.8</v>
      </c>
      <c r="T94" s="138">
        <f t="shared" si="19"/>
        <v>2552.7164000352914</v>
      </c>
      <c r="U94" s="140">
        <f t="shared" si="20"/>
        <v>9.9999999999999978E-2</v>
      </c>
      <c r="V94" s="138">
        <f t="shared" si="21"/>
        <v>319.08955000441136</v>
      </c>
      <c r="W94" s="142">
        <f ca="1">V94*VLOOKUP(TODAY(),'UF HOY'!$A$2:$B$33,2,0)</f>
        <v>12678685.034502281</v>
      </c>
      <c r="X94" s="143">
        <f>Datos!$E$3</f>
        <v>31</v>
      </c>
      <c r="Y94" s="144">
        <f ca="1">IF((W94-1000000-Datos!$D$3)/X94&gt;0,(W94-1000000-Datos!$D$3)/X94,0)</f>
        <v>368667.25917749293</v>
      </c>
      <c r="Z94" s="143">
        <f>Datos!$F$3</f>
        <v>31</v>
      </c>
      <c r="AA94" s="144">
        <f ca="1">IF((W94-1750000-Datos!$D$3-3%*O94*VLOOKUP(TODAY(),'UF HOY'!$A$2:$B$33,2,0))/Z94&gt;0,(W94-1750000-Datos!$D$3-3%*O94*VLOOKUP(TODAY(),'UF HOY'!$A$2:$B$33,2,0))/Z94,0)</f>
        <v>221776.75884359988</v>
      </c>
      <c r="AB94" s="142">
        <f>IF(L94&gt;0,VLOOKUP(D94,Datos!$C$7:$E$11,3,0),VLOOKUP(D94,Datos!$C$7:$E$11,2,0))</f>
        <v>370000</v>
      </c>
      <c r="AC94" s="144">
        <f ca="1">(S94*PMT(Datos!$H$13,Datos!$H$12,-O94,,)*VLOOKUP(TODAY(),'UF HOY'!$A$2:$B$33,2,0)/12)+VLOOKUP(TODAY(),'UF HOY'!$A$2:$B$33,2,0)</f>
        <v>528540.34828649042</v>
      </c>
      <c r="AD94" s="144">
        <f t="shared" ca="1" si="22"/>
        <v>-158540.34828649042</v>
      </c>
      <c r="AE94" s="47">
        <f t="shared" ca="1" si="23"/>
        <v>2114161.3931459617</v>
      </c>
    </row>
    <row r="95" spans="1:31" s="145" customFormat="1" ht="15.5" hidden="1" x14ac:dyDescent="0.35">
      <c r="A95" s="129" t="s">
        <v>170</v>
      </c>
      <c r="B95" s="130">
        <v>1316</v>
      </c>
      <c r="C95" s="131" t="s">
        <v>151</v>
      </c>
      <c r="D95" s="131" t="s">
        <v>153</v>
      </c>
      <c r="E95" s="131"/>
      <c r="F95" s="131">
        <v>33.369999999999997</v>
      </c>
      <c r="G95" s="131">
        <v>3.17</v>
      </c>
      <c r="H95" s="132">
        <f t="shared" si="12"/>
        <v>34.954999999999998</v>
      </c>
      <c r="I95" s="132">
        <f t="shared" si="13"/>
        <v>36.54</v>
      </c>
      <c r="J95" s="69">
        <v>2871.805950039703</v>
      </c>
      <c r="K95" s="134">
        <v>0</v>
      </c>
      <c r="L95" s="135">
        <v>0</v>
      </c>
      <c r="M95" s="135">
        <v>0</v>
      </c>
      <c r="N95" s="69">
        <f t="shared" si="14"/>
        <v>2871.805950039703</v>
      </c>
      <c r="O95" s="39">
        <f t="shared" si="15"/>
        <v>3190.8955000441142</v>
      </c>
      <c r="P95" s="136">
        <f t="shared" si="16"/>
        <v>82.157229295943452</v>
      </c>
      <c r="Q95" s="137">
        <f t="shared" si="17"/>
        <v>0.1</v>
      </c>
      <c r="R95" s="138">
        <f t="shared" si="18"/>
        <v>319.08955000441142</v>
      </c>
      <c r="S95" s="139">
        <v>0.8</v>
      </c>
      <c r="T95" s="138">
        <f t="shared" si="19"/>
        <v>2552.7164000352914</v>
      </c>
      <c r="U95" s="140">
        <f t="shared" si="20"/>
        <v>9.9999999999999978E-2</v>
      </c>
      <c r="V95" s="138">
        <f t="shared" si="21"/>
        <v>319.08955000441136</v>
      </c>
      <c r="W95" s="142">
        <f ca="1">V95*VLOOKUP(TODAY(),'UF HOY'!$A$2:$B$33,2,0)</f>
        <v>12678685.034502281</v>
      </c>
      <c r="X95" s="143">
        <f>Datos!$E$3</f>
        <v>31</v>
      </c>
      <c r="Y95" s="144">
        <f ca="1">IF((W95-1000000-Datos!$D$3)/X95&gt;0,(W95-1000000-Datos!$D$3)/X95,0)</f>
        <v>368667.25917749293</v>
      </c>
      <c r="Z95" s="143">
        <f>Datos!$F$3</f>
        <v>31</v>
      </c>
      <c r="AA95" s="144">
        <f ca="1">IF((W95-1750000-Datos!$D$3-3%*O95*VLOOKUP(TODAY(),'UF HOY'!$A$2:$B$33,2,0))/Z95&gt;0,(W95-1750000-Datos!$D$3-3%*O95*VLOOKUP(TODAY(),'UF HOY'!$A$2:$B$33,2,0))/Z95,0)</f>
        <v>221776.75884359988</v>
      </c>
      <c r="AB95" s="142">
        <f>IF(L95&gt;0,VLOOKUP(D95,Datos!$C$7:$E$11,3,0),VLOOKUP(D95,Datos!$C$7:$E$11,2,0))</f>
        <v>370000</v>
      </c>
      <c r="AC95" s="144">
        <f ca="1">(S95*PMT(Datos!$H$13,Datos!$H$12,-O95,,)*VLOOKUP(TODAY(),'UF HOY'!$A$2:$B$33,2,0)/12)+VLOOKUP(TODAY(),'UF HOY'!$A$2:$B$33,2,0)</f>
        <v>528540.34828649042</v>
      </c>
      <c r="AD95" s="144">
        <f t="shared" ca="1" si="22"/>
        <v>-158540.34828649042</v>
      </c>
      <c r="AE95" s="47">
        <f t="shared" ca="1" si="23"/>
        <v>2114161.3931459617</v>
      </c>
    </row>
    <row r="96" spans="1:31" s="145" customFormat="1" ht="15.5" hidden="1" x14ac:dyDescent="0.35">
      <c r="A96" s="129" t="s">
        <v>170</v>
      </c>
      <c r="B96" s="129">
        <v>1303</v>
      </c>
      <c r="C96" s="131" t="s">
        <v>151</v>
      </c>
      <c r="D96" s="131" t="s">
        <v>153</v>
      </c>
      <c r="E96" s="131"/>
      <c r="F96" s="131">
        <v>33.369999999999997</v>
      </c>
      <c r="G96" s="131">
        <v>3.17</v>
      </c>
      <c r="H96" s="132">
        <f t="shared" si="12"/>
        <v>34.954999999999998</v>
      </c>
      <c r="I96" s="132">
        <f t="shared" si="13"/>
        <v>36.54</v>
      </c>
      <c r="J96" s="69">
        <v>2872</v>
      </c>
      <c r="K96" s="134">
        <v>0</v>
      </c>
      <c r="L96" s="135">
        <v>0</v>
      </c>
      <c r="M96" s="135">
        <v>0</v>
      </c>
      <c r="N96" s="69">
        <f t="shared" si="14"/>
        <v>2872</v>
      </c>
      <c r="O96" s="39">
        <f t="shared" si="15"/>
        <v>3191.1111111111109</v>
      </c>
      <c r="P96" s="136">
        <f t="shared" si="16"/>
        <v>82.162780718066088</v>
      </c>
      <c r="Q96" s="137">
        <f t="shared" si="17"/>
        <v>0.1</v>
      </c>
      <c r="R96" s="138">
        <f t="shared" si="18"/>
        <v>319.11111111111109</v>
      </c>
      <c r="S96" s="139">
        <v>0.8</v>
      </c>
      <c r="T96" s="138">
        <f t="shared" si="19"/>
        <v>2552.8888888888887</v>
      </c>
      <c r="U96" s="140">
        <f t="shared" si="20"/>
        <v>9.9999999999999978E-2</v>
      </c>
      <c r="V96" s="138">
        <f t="shared" si="21"/>
        <v>319.11111111111103</v>
      </c>
      <c r="W96" s="142">
        <f ca="1">V96*VLOOKUP(TODAY(),'UF HOY'!$A$2:$B$33,2,0)</f>
        <v>12679541.74222222</v>
      </c>
      <c r="X96" s="143">
        <f>Datos!$E$3</f>
        <v>31</v>
      </c>
      <c r="Y96" s="144">
        <f ca="1">IF((W96-1000000-Datos!$D$3)/X96&gt;0,(W96-1000000-Datos!$D$3)/X96,0)</f>
        <v>368694.89491039416</v>
      </c>
      <c r="Z96" s="143">
        <f>Datos!$F$3</f>
        <v>31</v>
      </c>
      <c r="AA96" s="144">
        <f ca="1">IF((W96-1750000-Datos!$D$3-3%*O96*VLOOKUP(TODAY(),'UF HOY'!$A$2:$B$33,2,0))/Z96&gt;0,(W96-1750000-Datos!$D$3-3%*O96*VLOOKUP(TODAY(),'UF HOY'!$A$2:$B$33,2,0))/Z96,0)</f>
        <v>221796.10385663074</v>
      </c>
      <c r="AB96" s="142">
        <f>IF(L96&gt;0,VLOOKUP(D96,Datos!$C$7:$E$11,3,0),VLOOKUP(D96,Datos!$C$7:$E$11,2,0))</f>
        <v>370000</v>
      </c>
      <c r="AC96" s="144">
        <f ca="1">(S96*PMT(Datos!$H$13,Datos!$H$12,-O96,,)*VLOOKUP(TODAY(),'UF HOY'!$A$2:$B$33,2,0)/12)+VLOOKUP(TODAY(),'UF HOY'!$A$2:$B$33,2,0)</f>
        <v>528573.3772814055</v>
      </c>
      <c r="AD96" s="144">
        <f t="shared" ca="1" si="22"/>
        <v>-158573.3772814055</v>
      </c>
      <c r="AE96" s="47">
        <f t="shared" ca="1" si="23"/>
        <v>2114293.509125622</v>
      </c>
    </row>
    <row r="97" spans="1:31" s="145" customFormat="1" ht="15.5" hidden="1" x14ac:dyDescent="0.35">
      <c r="A97" s="129" t="s">
        <v>170</v>
      </c>
      <c r="B97" s="130">
        <v>708</v>
      </c>
      <c r="C97" s="131" t="s">
        <v>152</v>
      </c>
      <c r="D97" s="131" t="s">
        <v>153</v>
      </c>
      <c r="E97" s="131"/>
      <c r="F97" s="131">
        <v>31.86</v>
      </c>
      <c r="G97" s="131">
        <v>3.6</v>
      </c>
      <c r="H97" s="132">
        <f t="shared" si="12"/>
        <v>33.659999999999997</v>
      </c>
      <c r="I97" s="132">
        <f t="shared" si="13"/>
        <v>35.46</v>
      </c>
      <c r="J97" s="69">
        <v>2873.7132863775901</v>
      </c>
      <c r="K97" s="134">
        <v>0</v>
      </c>
      <c r="L97" s="135">
        <v>0</v>
      </c>
      <c r="M97" s="135">
        <v>0</v>
      </c>
      <c r="N97" s="69">
        <f t="shared" si="14"/>
        <v>2873.7132863775901</v>
      </c>
      <c r="O97" s="39">
        <f t="shared" si="15"/>
        <v>3193.0147626417665</v>
      </c>
      <c r="P97" s="136">
        <f t="shared" si="16"/>
        <v>85.374726273844033</v>
      </c>
      <c r="Q97" s="137">
        <f t="shared" si="17"/>
        <v>0.10000000000000002</v>
      </c>
      <c r="R97" s="138">
        <f t="shared" si="18"/>
        <v>319.3014762641767</v>
      </c>
      <c r="S97" s="139">
        <v>0.8</v>
      </c>
      <c r="T97" s="138">
        <f t="shared" si="19"/>
        <v>2554.4118101134136</v>
      </c>
      <c r="U97" s="140">
        <f t="shared" si="20"/>
        <v>9.9999999999999978E-2</v>
      </c>
      <c r="V97" s="138">
        <f t="shared" si="21"/>
        <v>319.30147626417659</v>
      </c>
      <c r="W97" s="142">
        <f ca="1">V97*VLOOKUP(TODAY(),'UF HOY'!$A$2:$B$33,2,0)</f>
        <v>12687105.699792217</v>
      </c>
      <c r="X97" s="143">
        <f>Datos!$E$3</f>
        <v>31</v>
      </c>
      <c r="Y97" s="144">
        <f ca="1">IF((W97-1000000-Datos!$D$3)/X97&gt;0,(W97-1000000-Datos!$D$3)/X97,0)</f>
        <v>368938.89354168443</v>
      </c>
      <c r="Z97" s="143">
        <f>Datos!$F$3</f>
        <v>31</v>
      </c>
      <c r="AA97" s="144">
        <f ca="1">IF((W97-1750000-Datos!$D$3-3%*O97*VLOOKUP(TODAY(),'UF HOY'!$A$2:$B$33,2,0))/Z97&gt;0,(W97-1750000-Datos!$D$3-3%*O97*VLOOKUP(TODAY(),'UF HOY'!$A$2:$B$33,2,0))/Z97,0)</f>
        <v>221966.90289853394</v>
      </c>
      <c r="AB97" s="142">
        <f>IF(L97&gt;0,VLOOKUP(D97,Datos!$C$7:$E$11,3,0),VLOOKUP(D97,Datos!$C$7:$E$11,2,0))</f>
        <v>370000</v>
      </c>
      <c r="AC97" s="144">
        <f ca="1">(S97*PMT(Datos!$H$13,Datos!$H$12,-O97,,)*VLOOKUP(TODAY(),'UF HOY'!$A$2:$B$33,2,0)/12)+VLOOKUP(TODAY(),'UF HOY'!$A$2:$B$33,2,0)</f>
        <v>528864.99355881591</v>
      </c>
      <c r="AD97" s="144">
        <f t="shared" ca="1" si="22"/>
        <v>-158864.99355881591</v>
      </c>
      <c r="AE97" s="47">
        <f t="shared" ca="1" si="23"/>
        <v>2115459.9742352637</v>
      </c>
    </row>
    <row r="98" spans="1:31" s="145" customFormat="1" ht="15.5" hidden="1" x14ac:dyDescent="0.35">
      <c r="A98" s="129" t="s">
        <v>170</v>
      </c>
      <c r="B98" s="130">
        <v>713</v>
      </c>
      <c r="C98" s="131" t="s">
        <v>152</v>
      </c>
      <c r="D98" s="131" t="s">
        <v>153</v>
      </c>
      <c r="E98" s="131"/>
      <c r="F98" s="131">
        <v>31.86</v>
      </c>
      <c r="G98" s="131">
        <v>3.6</v>
      </c>
      <c r="H98" s="132">
        <f t="shared" si="12"/>
        <v>33.659999999999997</v>
      </c>
      <c r="I98" s="132">
        <f t="shared" si="13"/>
        <v>35.46</v>
      </c>
      <c r="J98" s="133">
        <v>2873.7132863775901</v>
      </c>
      <c r="K98" s="134">
        <v>0</v>
      </c>
      <c r="L98" s="135">
        <v>0</v>
      </c>
      <c r="M98" s="135">
        <v>0</v>
      </c>
      <c r="N98" s="69">
        <f t="shared" si="14"/>
        <v>2873.7132863775901</v>
      </c>
      <c r="O98" s="39">
        <f t="shared" si="15"/>
        <v>3193.0147626417665</v>
      </c>
      <c r="P98" s="136">
        <f t="shared" si="16"/>
        <v>85.374726273844033</v>
      </c>
      <c r="Q98" s="137">
        <f t="shared" si="17"/>
        <v>0.10000000000000002</v>
      </c>
      <c r="R98" s="138">
        <f t="shared" si="18"/>
        <v>319.3014762641767</v>
      </c>
      <c r="S98" s="139">
        <v>0.8</v>
      </c>
      <c r="T98" s="138">
        <f t="shared" si="19"/>
        <v>2554.4118101134136</v>
      </c>
      <c r="U98" s="140">
        <f t="shared" si="20"/>
        <v>9.9999999999999978E-2</v>
      </c>
      <c r="V98" s="138">
        <f t="shared" si="21"/>
        <v>319.30147626417659</v>
      </c>
      <c r="W98" s="142">
        <f ca="1">V98*VLOOKUP(TODAY(),'UF HOY'!$A$2:$B$33,2,0)</f>
        <v>12687105.699792217</v>
      </c>
      <c r="X98" s="143">
        <f>Datos!$E$3</f>
        <v>31</v>
      </c>
      <c r="Y98" s="144">
        <f ca="1">IF((W98-1000000-Datos!$D$3)/X98&gt;0,(W98-1000000-Datos!$D$3)/X98,0)</f>
        <v>368938.89354168443</v>
      </c>
      <c r="Z98" s="143">
        <f>Datos!$F$3</f>
        <v>31</v>
      </c>
      <c r="AA98" s="144">
        <f ca="1">IF((W98-1750000-Datos!$D$3-3%*O98*VLOOKUP(TODAY(),'UF HOY'!$A$2:$B$33,2,0))/Z98&gt;0,(W98-1750000-Datos!$D$3-3%*O98*VLOOKUP(TODAY(),'UF HOY'!$A$2:$B$33,2,0))/Z98,0)</f>
        <v>221966.90289853394</v>
      </c>
      <c r="AB98" s="142">
        <f>IF(L98&gt;0,VLOOKUP(D98,Datos!$C$7:$E$11,3,0),VLOOKUP(D98,Datos!$C$7:$E$11,2,0))</f>
        <v>370000</v>
      </c>
      <c r="AC98" s="144">
        <f ca="1">(S98*PMT(Datos!$H$13,Datos!$H$12,-O98,,)*VLOOKUP(TODAY(),'UF HOY'!$A$2:$B$33,2,0)/12)+VLOOKUP(TODAY(),'UF HOY'!$A$2:$B$33,2,0)</f>
        <v>528864.99355881591</v>
      </c>
      <c r="AD98" s="144">
        <f t="shared" ca="1" si="22"/>
        <v>-158864.99355881591</v>
      </c>
      <c r="AE98" s="47">
        <f t="shared" ca="1" si="23"/>
        <v>2115459.9742352637</v>
      </c>
    </row>
    <row r="99" spans="1:31" s="145" customFormat="1" ht="15.5" hidden="1" x14ac:dyDescent="0.35">
      <c r="A99" s="129" t="s">
        <v>170</v>
      </c>
      <c r="B99" s="129">
        <v>709</v>
      </c>
      <c r="C99" s="131" t="s">
        <v>152</v>
      </c>
      <c r="D99" s="131" t="s">
        <v>153</v>
      </c>
      <c r="E99" s="131"/>
      <c r="F99" s="131">
        <v>31.86</v>
      </c>
      <c r="G99" s="131">
        <v>3.6</v>
      </c>
      <c r="H99" s="132">
        <f t="shared" si="12"/>
        <v>33.659999999999997</v>
      </c>
      <c r="I99" s="132">
        <f t="shared" si="13"/>
        <v>35.46</v>
      </c>
      <c r="J99" s="69">
        <v>2874</v>
      </c>
      <c r="K99" s="134">
        <v>0</v>
      </c>
      <c r="L99" s="135">
        <v>0</v>
      </c>
      <c r="M99" s="135">
        <v>0</v>
      </c>
      <c r="N99" s="69">
        <f t="shared" si="14"/>
        <v>2874</v>
      </c>
      <c r="O99" s="39">
        <f t="shared" si="15"/>
        <v>3193.333333333333</v>
      </c>
      <c r="P99" s="136">
        <f t="shared" si="16"/>
        <v>85.383244206773625</v>
      </c>
      <c r="Q99" s="137">
        <f t="shared" si="17"/>
        <v>0.1</v>
      </c>
      <c r="R99" s="138">
        <f t="shared" si="18"/>
        <v>319.33333333333331</v>
      </c>
      <c r="S99" s="139">
        <v>0.8</v>
      </c>
      <c r="T99" s="138">
        <f t="shared" si="19"/>
        <v>2554.6666666666665</v>
      </c>
      <c r="U99" s="140">
        <f t="shared" si="20"/>
        <v>9.9999999999999978E-2</v>
      </c>
      <c r="V99" s="138">
        <f t="shared" si="21"/>
        <v>319.33333333333326</v>
      </c>
      <c r="W99" s="142">
        <f ca="1">V99*VLOOKUP(TODAY(),'UF HOY'!$A$2:$B$33,2,0)</f>
        <v>12688371.506666664</v>
      </c>
      <c r="X99" s="143">
        <f>Datos!$E$3</f>
        <v>31</v>
      </c>
      <c r="Y99" s="144">
        <f ca="1">IF((W99-1000000-Datos!$D$3)/X99&gt;0,(W99-1000000-Datos!$D$3)/X99,0)</f>
        <v>368979.72602150531</v>
      </c>
      <c r="Z99" s="143">
        <f>Datos!$F$3</f>
        <v>31</v>
      </c>
      <c r="AA99" s="144">
        <f ca="1">IF((W99-1750000-Datos!$D$3-3%*O99*VLOOKUP(TODAY(),'UF HOY'!$A$2:$B$33,2,0))/Z99&gt;0,(W99-1750000-Datos!$D$3-3%*O99*VLOOKUP(TODAY(),'UF HOY'!$A$2:$B$33,2,0))/Z99,0)</f>
        <v>221995.48563440854</v>
      </c>
      <c r="AB99" s="142">
        <f>IF(L99&gt;0,VLOOKUP(D99,Datos!$C$7:$E$11,3,0),VLOOKUP(D99,Datos!$C$7:$E$11,2,0))</f>
        <v>370000</v>
      </c>
      <c r="AC99" s="144">
        <f ca="1">(S99*PMT(Datos!$H$13,Datos!$H$12,-O99,,)*VLOOKUP(TODAY(),'UF HOY'!$A$2:$B$33,2,0)/12)+VLOOKUP(TODAY(),'UF HOY'!$A$2:$B$33,2,0)</f>
        <v>528913.79471683805</v>
      </c>
      <c r="AD99" s="144">
        <f t="shared" ca="1" si="22"/>
        <v>-158913.79471683805</v>
      </c>
      <c r="AE99" s="47">
        <f t="shared" ca="1" si="23"/>
        <v>2115655.1788673522</v>
      </c>
    </row>
    <row r="100" spans="1:31" s="145" customFormat="1" ht="15.5" hidden="1" x14ac:dyDescent="0.35">
      <c r="A100" s="129" t="s">
        <v>170</v>
      </c>
      <c r="B100" s="130">
        <v>712</v>
      </c>
      <c r="C100" s="131" t="s">
        <v>152</v>
      </c>
      <c r="D100" s="131" t="s">
        <v>153</v>
      </c>
      <c r="E100" s="131"/>
      <c r="F100" s="131">
        <v>31.86</v>
      </c>
      <c r="G100" s="131">
        <v>3.6</v>
      </c>
      <c r="H100" s="132">
        <f t="shared" si="12"/>
        <v>33.659999999999997</v>
      </c>
      <c r="I100" s="132">
        <f t="shared" si="13"/>
        <v>35.46</v>
      </c>
      <c r="J100" s="69">
        <v>2874</v>
      </c>
      <c r="K100" s="134">
        <v>0</v>
      </c>
      <c r="L100" s="135">
        <v>0</v>
      </c>
      <c r="M100" s="135">
        <v>0</v>
      </c>
      <c r="N100" s="69">
        <f t="shared" si="14"/>
        <v>2874</v>
      </c>
      <c r="O100" s="39">
        <f t="shared" si="15"/>
        <v>3193.333333333333</v>
      </c>
      <c r="P100" s="136">
        <f t="shared" si="16"/>
        <v>85.383244206773625</v>
      </c>
      <c r="Q100" s="137">
        <f t="shared" si="17"/>
        <v>0.1</v>
      </c>
      <c r="R100" s="138">
        <f t="shared" si="18"/>
        <v>319.33333333333331</v>
      </c>
      <c r="S100" s="139">
        <v>0.8</v>
      </c>
      <c r="T100" s="138">
        <f t="shared" si="19"/>
        <v>2554.6666666666665</v>
      </c>
      <c r="U100" s="140">
        <f t="shared" si="20"/>
        <v>9.9999999999999978E-2</v>
      </c>
      <c r="V100" s="138">
        <f t="shared" si="21"/>
        <v>319.33333333333326</v>
      </c>
      <c r="W100" s="142">
        <f ca="1">V100*VLOOKUP(TODAY(),'UF HOY'!$A$2:$B$33,2,0)</f>
        <v>12688371.506666664</v>
      </c>
      <c r="X100" s="143">
        <f>Datos!$E$3</f>
        <v>31</v>
      </c>
      <c r="Y100" s="144">
        <f ca="1">IF((W100-1000000-Datos!$D$3)/X100&gt;0,(W100-1000000-Datos!$D$3)/X100,0)</f>
        <v>368979.72602150531</v>
      </c>
      <c r="Z100" s="143">
        <f>Datos!$F$3</f>
        <v>31</v>
      </c>
      <c r="AA100" s="144">
        <f ca="1">IF((W100-1750000-Datos!$D$3-3%*O100*VLOOKUP(TODAY(),'UF HOY'!$A$2:$B$33,2,0))/Z100&gt;0,(W100-1750000-Datos!$D$3-3%*O100*VLOOKUP(TODAY(),'UF HOY'!$A$2:$B$33,2,0))/Z100,0)</f>
        <v>221995.48563440854</v>
      </c>
      <c r="AB100" s="142">
        <f>IF(L100&gt;0,VLOOKUP(D100,Datos!$C$7:$E$11,3,0),VLOOKUP(D100,Datos!$C$7:$E$11,2,0))</f>
        <v>370000</v>
      </c>
      <c r="AC100" s="144">
        <f ca="1">(S100*PMT(Datos!$H$13,Datos!$H$12,-O100,,)*VLOOKUP(TODAY(),'UF HOY'!$A$2:$B$33,2,0)/12)+VLOOKUP(TODAY(),'UF HOY'!$A$2:$B$33,2,0)</f>
        <v>528913.79471683805</v>
      </c>
      <c r="AD100" s="144">
        <f t="shared" ca="1" si="22"/>
        <v>-158913.79471683805</v>
      </c>
      <c r="AE100" s="47">
        <f t="shared" ca="1" si="23"/>
        <v>2115655.1788673522</v>
      </c>
    </row>
    <row r="101" spans="1:31" s="145" customFormat="1" ht="15.5" hidden="1" x14ac:dyDescent="0.35">
      <c r="A101" s="129" t="s">
        <v>170</v>
      </c>
      <c r="B101" s="130">
        <v>717</v>
      </c>
      <c r="C101" s="131" t="s">
        <v>151</v>
      </c>
      <c r="D101" s="131" t="s">
        <v>153</v>
      </c>
      <c r="E101" s="131"/>
      <c r="F101" s="131">
        <v>33.36</v>
      </c>
      <c r="G101" s="131">
        <v>3.1</v>
      </c>
      <c r="H101" s="132">
        <f t="shared" si="12"/>
        <v>34.909999999999997</v>
      </c>
      <c r="I101" s="132">
        <f t="shared" si="13"/>
        <v>36.46</v>
      </c>
      <c r="J101" s="69">
        <v>2874</v>
      </c>
      <c r="K101" s="134">
        <v>0</v>
      </c>
      <c r="L101" s="135">
        <v>0</v>
      </c>
      <c r="M101" s="135">
        <v>0</v>
      </c>
      <c r="N101" s="69">
        <f t="shared" si="14"/>
        <v>2874</v>
      </c>
      <c r="O101" s="39">
        <f t="shared" si="15"/>
        <v>3193.333333333333</v>
      </c>
      <c r="P101" s="136">
        <f t="shared" si="16"/>
        <v>82.325981094242351</v>
      </c>
      <c r="Q101" s="137">
        <f t="shared" si="17"/>
        <v>0.1</v>
      </c>
      <c r="R101" s="138">
        <f t="shared" si="18"/>
        <v>319.33333333333331</v>
      </c>
      <c r="S101" s="139">
        <v>0.8</v>
      </c>
      <c r="T101" s="138">
        <f t="shared" si="19"/>
        <v>2554.6666666666665</v>
      </c>
      <c r="U101" s="140">
        <f t="shared" si="20"/>
        <v>9.9999999999999978E-2</v>
      </c>
      <c r="V101" s="138">
        <f t="shared" si="21"/>
        <v>319.33333333333326</v>
      </c>
      <c r="W101" s="142">
        <f ca="1">V101*VLOOKUP(TODAY(),'UF HOY'!$A$2:$B$33,2,0)</f>
        <v>12688371.506666664</v>
      </c>
      <c r="X101" s="143">
        <f>Datos!$E$3</f>
        <v>31</v>
      </c>
      <c r="Y101" s="144">
        <f ca="1">IF((W101-1000000-Datos!$D$3)/X101&gt;0,(W101-1000000-Datos!$D$3)/X101,0)</f>
        <v>368979.72602150531</v>
      </c>
      <c r="Z101" s="143">
        <f>Datos!$F$3</f>
        <v>31</v>
      </c>
      <c r="AA101" s="144">
        <f ca="1">IF((W101-1750000-Datos!$D$3-3%*O101*VLOOKUP(TODAY(),'UF HOY'!$A$2:$B$33,2,0))/Z101&gt;0,(W101-1750000-Datos!$D$3-3%*O101*VLOOKUP(TODAY(),'UF HOY'!$A$2:$B$33,2,0))/Z101,0)</f>
        <v>221995.48563440854</v>
      </c>
      <c r="AB101" s="142">
        <f>IF(L101&gt;0,VLOOKUP(D101,Datos!$C$7:$E$11,3,0),VLOOKUP(D101,Datos!$C$7:$E$11,2,0))</f>
        <v>370000</v>
      </c>
      <c r="AC101" s="144">
        <f ca="1">(S101*PMT(Datos!$H$13,Datos!$H$12,-O101,,)*VLOOKUP(TODAY(),'UF HOY'!$A$2:$B$33,2,0)/12)+VLOOKUP(TODAY(),'UF HOY'!$A$2:$B$33,2,0)</f>
        <v>528913.79471683805</v>
      </c>
      <c r="AD101" s="144">
        <f t="shared" ca="1" si="22"/>
        <v>-158913.79471683805</v>
      </c>
      <c r="AE101" s="47">
        <f t="shared" ca="1" si="23"/>
        <v>2115655.1788673522</v>
      </c>
    </row>
    <row r="102" spans="1:31" s="145" customFormat="1" ht="15.5" hidden="1" x14ac:dyDescent="0.35">
      <c r="A102" s="129" t="s">
        <v>170</v>
      </c>
      <c r="B102" s="130">
        <v>707</v>
      </c>
      <c r="C102" s="131" t="s">
        <v>152</v>
      </c>
      <c r="D102" s="131" t="s">
        <v>153</v>
      </c>
      <c r="E102" s="131"/>
      <c r="F102" s="131">
        <v>31.86</v>
      </c>
      <c r="G102" s="131">
        <v>3.6</v>
      </c>
      <c r="H102" s="132">
        <f t="shared" si="12"/>
        <v>33.659999999999997</v>
      </c>
      <c r="I102" s="132">
        <f t="shared" si="13"/>
        <v>35.46</v>
      </c>
      <c r="J102" s="133">
        <v>2874.1871598081179</v>
      </c>
      <c r="K102" s="134">
        <v>0</v>
      </c>
      <c r="L102" s="135">
        <v>0</v>
      </c>
      <c r="M102" s="135">
        <v>0</v>
      </c>
      <c r="N102" s="69">
        <f t="shared" si="14"/>
        <v>2874.1871598081179</v>
      </c>
      <c r="O102" s="39">
        <f t="shared" si="15"/>
        <v>3193.5412886756867</v>
      </c>
      <c r="P102" s="136">
        <f t="shared" si="16"/>
        <v>85.388804510045105</v>
      </c>
      <c r="Q102" s="137">
        <f t="shared" si="17"/>
        <v>0.1</v>
      </c>
      <c r="R102" s="138">
        <f t="shared" si="18"/>
        <v>319.3541288675687</v>
      </c>
      <c r="S102" s="139">
        <v>0.8</v>
      </c>
      <c r="T102" s="138">
        <f t="shared" si="19"/>
        <v>2554.8330309405496</v>
      </c>
      <c r="U102" s="140">
        <f t="shared" si="20"/>
        <v>9.9999999999999978E-2</v>
      </c>
      <c r="V102" s="138">
        <f t="shared" si="21"/>
        <v>319.35412886756859</v>
      </c>
      <c r="W102" s="142">
        <f ca="1">V102*VLOOKUP(TODAY(),'UF HOY'!$A$2:$B$33,2,0)</f>
        <v>12689197.79517624</v>
      </c>
      <c r="X102" s="143">
        <f>Datos!$E$3</f>
        <v>31</v>
      </c>
      <c r="Y102" s="144">
        <f ca="1">IF((W102-1000000-Datos!$D$3)/X102&gt;0,(W102-1000000-Datos!$D$3)/X102,0)</f>
        <v>369006.38048955612</v>
      </c>
      <c r="Z102" s="143">
        <f>Datos!$F$3</f>
        <v>31</v>
      </c>
      <c r="AA102" s="144">
        <f ca="1">IF((W102-1750000-Datos!$D$3-3%*O102*VLOOKUP(TODAY(),'UF HOY'!$A$2:$B$33,2,0))/Z102&gt;0,(W102-1750000-Datos!$D$3-3%*O102*VLOOKUP(TODAY(),'UF HOY'!$A$2:$B$33,2,0))/Z102,0)</f>
        <v>222014.14376204411</v>
      </c>
      <c r="AB102" s="142">
        <f>IF(L102&gt;0,VLOOKUP(D102,Datos!$C$7:$E$11,3,0),VLOOKUP(D102,Datos!$C$7:$E$11,2,0))</f>
        <v>370000</v>
      </c>
      <c r="AC102" s="144">
        <f ca="1">(S102*PMT(Datos!$H$13,Datos!$H$12,-O102,,)*VLOOKUP(TODAY(),'UF HOY'!$A$2:$B$33,2,0)/12)+VLOOKUP(TODAY(),'UF HOY'!$A$2:$B$33,2,0)</f>
        <v>528945.65094778594</v>
      </c>
      <c r="AD102" s="144">
        <f t="shared" ca="1" si="22"/>
        <v>-158945.65094778594</v>
      </c>
      <c r="AE102" s="47">
        <f t="shared" ca="1" si="23"/>
        <v>2115782.6037911437</v>
      </c>
    </row>
    <row r="103" spans="1:31" s="145" customFormat="1" ht="15.5" hidden="1" x14ac:dyDescent="0.35">
      <c r="A103" s="129" t="s">
        <v>170</v>
      </c>
      <c r="B103" s="129">
        <v>1317</v>
      </c>
      <c r="C103" s="131" t="s">
        <v>151</v>
      </c>
      <c r="D103" s="131" t="s">
        <v>153</v>
      </c>
      <c r="E103" s="131"/>
      <c r="F103" s="131">
        <v>33.36</v>
      </c>
      <c r="G103" s="131">
        <v>3.1</v>
      </c>
      <c r="H103" s="132">
        <f t="shared" si="12"/>
        <v>34.909999999999997</v>
      </c>
      <c r="I103" s="132">
        <f t="shared" si="13"/>
        <v>36.46</v>
      </c>
      <c r="J103" s="69">
        <v>2887.514191434921</v>
      </c>
      <c r="K103" s="134">
        <v>0</v>
      </c>
      <c r="L103" s="135">
        <v>0</v>
      </c>
      <c r="M103" s="135">
        <v>0</v>
      </c>
      <c r="N103" s="69">
        <f t="shared" si="14"/>
        <v>2887.514191434921</v>
      </c>
      <c r="O103" s="39">
        <f t="shared" si="15"/>
        <v>3208.3491015943564</v>
      </c>
      <c r="P103" s="136">
        <f t="shared" si="16"/>
        <v>82.713096288597001</v>
      </c>
      <c r="Q103" s="137">
        <f t="shared" si="17"/>
        <v>0.1</v>
      </c>
      <c r="R103" s="138">
        <f t="shared" si="18"/>
        <v>320.83491015943565</v>
      </c>
      <c r="S103" s="139">
        <v>0.8</v>
      </c>
      <c r="T103" s="138">
        <f t="shared" si="19"/>
        <v>2566.6792812754852</v>
      </c>
      <c r="U103" s="140">
        <f t="shared" si="20"/>
        <v>9.9999999999999978E-2</v>
      </c>
      <c r="V103" s="138">
        <f t="shared" si="21"/>
        <v>320.83491015943559</v>
      </c>
      <c r="W103" s="142">
        <f ca="1">V103*VLOOKUP(TODAY(),'UF HOY'!$A$2:$B$33,2,0)</f>
        <v>12748035.070180405</v>
      </c>
      <c r="X103" s="143">
        <f>Datos!$E$3</f>
        <v>31</v>
      </c>
      <c r="Y103" s="144">
        <f ca="1">IF((W103-1000000-Datos!$D$3)/X103&gt;0,(W103-1000000-Datos!$D$3)/X103,0)</f>
        <v>370904.3571025937</v>
      </c>
      <c r="Z103" s="143">
        <f>Datos!$F$3</f>
        <v>31</v>
      </c>
      <c r="AA103" s="144">
        <f ca="1">IF((W103-1750000-Datos!$D$3-3%*O103*VLOOKUP(TODAY(),'UF HOY'!$A$2:$B$33,2,0))/Z103&gt;0,(W103-1750000-Datos!$D$3-3%*O103*VLOOKUP(TODAY(),'UF HOY'!$A$2:$B$33,2,0))/Z103,0)</f>
        <v>223342.7273911704</v>
      </c>
      <c r="AB103" s="142">
        <f>IF(L103&gt;0,VLOOKUP(D103,Datos!$C$7:$E$11,3,0),VLOOKUP(D103,Datos!$C$7:$E$11,2,0))</f>
        <v>370000</v>
      </c>
      <c r="AC103" s="144">
        <f ca="1">(S103*PMT(Datos!$H$13,Datos!$H$12,-O103,,)*VLOOKUP(TODAY(),'UF HOY'!$A$2:$B$33,2,0)/12)+VLOOKUP(TODAY(),'UF HOY'!$A$2:$B$33,2,0)</f>
        <v>531214.02791194955</v>
      </c>
      <c r="AD103" s="144">
        <f t="shared" ca="1" si="22"/>
        <v>-161214.02791194955</v>
      </c>
      <c r="AE103" s="47">
        <f t="shared" ca="1" si="23"/>
        <v>2124856.1116477982</v>
      </c>
    </row>
    <row r="104" spans="1:31" s="145" customFormat="1" ht="15.5" hidden="1" x14ac:dyDescent="0.35">
      <c r="A104" s="129" t="s">
        <v>170</v>
      </c>
      <c r="B104" s="130">
        <v>1401</v>
      </c>
      <c r="C104" s="131" t="s">
        <v>151</v>
      </c>
      <c r="D104" s="131" t="s">
        <v>153</v>
      </c>
      <c r="E104" s="131"/>
      <c r="F104" s="131">
        <v>31.86</v>
      </c>
      <c r="G104" s="131">
        <v>3.6</v>
      </c>
      <c r="H104" s="132">
        <f t="shared" si="12"/>
        <v>33.659999999999997</v>
      </c>
      <c r="I104" s="132">
        <f t="shared" si="13"/>
        <v>35.46</v>
      </c>
      <c r="J104" s="69">
        <v>2887.514191434921</v>
      </c>
      <c r="K104" s="134">
        <v>0</v>
      </c>
      <c r="L104" s="135">
        <v>0</v>
      </c>
      <c r="M104" s="135">
        <v>0</v>
      </c>
      <c r="N104" s="69">
        <f t="shared" si="14"/>
        <v>2887.514191434921</v>
      </c>
      <c r="O104" s="39">
        <f t="shared" si="15"/>
        <v>3208.3491015943564</v>
      </c>
      <c r="P104" s="136">
        <f t="shared" si="16"/>
        <v>85.784735336747516</v>
      </c>
      <c r="Q104" s="137">
        <f t="shared" si="17"/>
        <v>0.1</v>
      </c>
      <c r="R104" s="138">
        <f t="shared" si="18"/>
        <v>320.83491015943565</v>
      </c>
      <c r="S104" s="139">
        <v>0.8</v>
      </c>
      <c r="T104" s="138">
        <f t="shared" si="19"/>
        <v>2566.6792812754852</v>
      </c>
      <c r="U104" s="140">
        <f t="shared" si="20"/>
        <v>9.9999999999999978E-2</v>
      </c>
      <c r="V104" s="138">
        <f t="shared" si="21"/>
        <v>320.83491015943559</v>
      </c>
      <c r="W104" s="142">
        <f ca="1">V104*VLOOKUP(TODAY(),'UF HOY'!$A$2:$B$33,2,0)</f>
        <v>12748035.070180405</v>
      </c>
      <c r="X104" s="143">
        <f>Datos!$E$3</f>
        <v>31</v>
      </c>
      <c r="Y104" s="144">
        <f ca="1">IF((W104-1000000-Datos!$D$3)/X104&gt;0,(W104-1000000-Datos!$D$3)/X104,0)</f>
        <v>370904.3571025937</v>
      </c>
      <c r="Z104" s="143">
        <f>Datos!$F$3</f>
        <v>31</v>
      </c>
      <c r="AA104" s="144">
        <f ca="1">IF((W104-1750000-Datos!$D$3-3%*O104*VLOOKUP(TODAY(),'UF HOY'!$A$2:$B$33,2,0))/Z104&gt;0,(W104-1750000-Datos!$D$3-3%*O104*VLOOKUP(TODAY(),'UF HOY'!$A$2:$B$33,2,0))/Z104,0)</f>
        <v>223342.7273911704</v>
      </c>
      <c r="AB104" s="142">
        <f>IF(L104&gt;0,VLOOKUP(D104,Datos!$C$7:$E$11,3,0),VLOOKUP(D104,Datos!$C$7:$E$11,2,0))</f>
        <v>370000</v>
      </c>
      <c r="AC104" s="144">
        <f ca="1">(S104*PMT(Datos!$H$13,Datos!$H$12,-O104,,)*VLOOKUP(TODAY(),'UF HOY'!$A$2:$B$33,2,0)/12)+VLOOKUP(TODAY(),'UF HOY'!$A$2:$B$33,2,0)</f>
        <v>531214.02791194955</v>
      </c>
      <c r="AD104" s="144">
        <f t="shared" ca="1" si="22"/>
        <v>-161214.02791194955</v>
      </c>
      <c r="AE104" s="47">
        <f t="shared" ca="1" si="23"/>
        <v>2124856.1116477982</v>
      </c>
    </row>
    <row r="105" spans="1:31" s="145" customFormat="1" ht="15.5" hidden="1" x14ac:dyDescent="0.35">
      <c r="A105" s="129" t="s">
        <v>170</v>
      </c>
      <c r="B105" s="130">
        <v>1402</v>
      </c>
      <c r="C105" s="131" t="s">
        <v>151</v>
      </c>
      <c r="D105" s="131" t="s">
        <v>153</v>
      </c>
      <c r="E105" s="131"/>
      <c r="F105" s="131">
        <v>33.369999999999997</v>
      </c>
      <c r="G105" s="131">
        <v>3.17</v>
      </c>
      <c r="H105" s="132">
        <f t="shared" si="12"/>
        <v>34.954999999999998</v>
      </c>
      <c r="I105" s="132">
        <f t="shared" si="13"/>
        <v>36.54</v>
      </c>
      <c r="J105" s="69">
        <v>2888</v>
      </c>
      <c r="K105" s="134">
        <v>0</v>
      </c>
      <c r="L105" s="135">
        <v>0</v>
      </c>
      <c r="M105" s="135">
        <v>0</v>
      </c>
      <c r="N105" s="69">
        <f t="shared" si="14"/>
        <v>2888</v>
      </c>
      <c r="O105" s="39">
        <f t="shared" si="15"/>
        <v>3208.8888888888887</v>
      </c>
      <c r="P105" s="136">
        <f t="shared" si="16"/>
        <v>82.620512086968958</v>
      </c>
      <c r="Q105" s="137">
        <f t="shared" si="17"/>
        <v>0.10000000000000002</v>
      </c>
      <c r="R105" s="138">
        <f t="shared" si="18"/>
        <v>320.88888888888891</v>
      </c>
      <c r="S105" s="139">
        <v>0.8</v>
      </c>
      <c r="T105" s="138">
        <f t="shared" si="19"/>
        <v>2567.1111111111113</v>
      </c>
      <c r="U105" s="140">
        <f t="shared" si="20"/>
        <v>9.9999999999999978E-2</v>
      </c>
      <c r="V105" s="138">
        <f t="shared" si="21"/>
        <v>320.8888888888888</v>
      </c>
      <c r="W105" s="142">
        <f ca="1">V105*VLOOKUP(TODAY(),'UF HOY'!$A$2:$B$33,2,0)</f>
        <v>12750179.857777774</v>
      </c>
      <c r="X105" s="143">
        <f>Datos!$E$3</f>
        <v>31</v>
      </c>
      <c r="Y105" s="144">
        <f ca="1">IF((W105-1000000-Datos!$D$3)/X105&gt;0,(W105-1000000-Datos!$D$3)/X105,0)</f>
        <v>370973.54379928304</v>
      </c>
      <c r="Z105" s="143">
        <f>Datos!$F$3</f>
        <v>31</v>
      </c>
      <c r="AA105" s="144">
        <f ca="1">IF((W105-1750000-Datos!$D$3-3%*O105*VLOOKUP(TODAY(),'UF HOY'!$A$2:$B$33,2,0))/Z105&gt;0,(W105-1750000-Datos!$D$3-3%*O105*VLOOKUP(TODAY(),'UF HOY'!$A$2:$B$33,2,0))/Z105,0)</f>
        <v>223391.15807885295</v>
      </c>
      <c r="AB105" s="142">
        <f>IF(L105&gt;0,VLOOKUP(D105,Datos!$C$7:$E$11,3,0),VLOOKUP(D105,Datos!$C$7:$E$11,2,0))</f>
        <v>370000</v>
      </c>
      <c r="AC105" s="144">
        <f ca="1">(S105*PMT(Datos!$H$13,Datos!$H$12,-O105,,)*VLOOKUP(TODAY(),'UF HOY'!$A$2:$B$33,2,0)/12)+VLOOKUP(TODAY(),'UF HOY'!$A$2:$B$33,2,0)</f>
        <v>531296.71676486731</v>
      </c>
      <c r="AD105" s="144">
        <f t="shared" ca="1" si="22"/>
        <v>-161296.71676486731</v>
      </c>
      <c r="AE105" s="47">
        <f t="shared" ca="1" si="23"/>
        <v>2125186.8670594692</v>
      </c>
    </row>
    <row r="106" spans="1:31" s="145" customFormat="1" ht="15.5" hidden="1" x14ac:dyDescent="0.35">
      <c r="A106" s="129" t="s">
        <v>170</v>
      </c>
      <c r="B106" s="129">
        <v>1403</v>
      </c>
      <c r="C106" s="131" t="s">
        <v>151</v>
      </c>
      <c r="D106" s="131" t="s">
        <v>153</v>
      </c>
      <c r="E106" s="131"/>
      <c r="F106" s="131">
        <v>33.369999999999997</v>
      </c>
      <c r="G106" s="131">
        <v>3.17</v>
      </c>
      <c r="H106" s="132">
        <f t="shared" si="12"/>
        <v>34.954999999999998</v>
      </c>
      <c r="I106" s="132">
        <f t="shared" si="13"/>
        <v>36.54</v>
      </c>
      <c r="J106" s="69">
        <v>2888</v>
      </c>
      <c r="K106" s="134">
        <v>0</v>
      </c>
      <c r="L106" s="135">
        <v>0</v>
      </c>
      <c r="M106" s="135">
        <v>0</v>
      </c>
      <c r="N106" s="69">
        <f t="shared" si="14"/>
        <v>2888</v>
      </c>
      <c r="O106" s="39">
        <f t="shared" si="15"/>
        <v>3208.8888888888887</v>
      </c>
      <c r="P106" s="136">
        <f t="shared" si="16"/>
        <v>82.620512086968958</v>
      </c>
      <c r="Q106" s="137">
        <f t="shared" si="17"/>
        <v>0.10000000000000002</v>
      </c>
      <c r="R106" s="138">
        <f t="shared" si="18"/>
        <v>320.88888888888891</v>
      </c>
      <c r="S106" s="139">
        <v>0.8</v>
      </c>
      <c r="T106" s="138">
        <f t="shared" si="19"/>
        <v>2567.1111111111113</v>
      </c>
      <c r="U106" s="140">
        <f t="shared" si="20"/>
        <v>9.9999999999999978E-2</v>
      </c>
      <c r="V106" s="138">
        <f t="shared" si="21"/>
        <v>320.8888888888888</v>
      </c>
      <c r="W106" s="142">
        <f ca="1">V106*VLOOKUP(TODAY(),'UF HOY'!$A$2:$B$33,2,0)</f>
        <v>12750179.857777774</v>
      </c>
      <c r="X106" s="143">
        <f>Datos!$E$3</f>
        <v>31</v>
      </c>
      <c r="Y106" s="144">
        <f ca="1">IF((W106-1000000-Datos!$D$3)/X106&gt;0,(W106-1000000-Datos!$D$3)/X106,0)</f>
        <v>370973.54379928304</v>
      </c>
      <c r="Z106" s="143">
        <f>Datos!$F$3</f>
        <v>31</v>
      </c>
      <c r="AA106" s="144">
        <f ca="1">IF((W106-1750000-Datos!$D$3-3%*O106*VLOOKUP(TODAY(),'UF HOY'!$A$2:$B$33,2,0))/Z106&gt;0,(W106-1750000-Datos!$D$3-3%*O106*VLOOKUP(TODAY(),'UF HOY'!$A$2:$B$33,2,0))/Z106,0)</f>
        <v>223391.15807885295</v>
      </c>
      <c r="AB106" s="142">
        <f>IF(L106&gt;0,VLOOKUP(D106,Datos!$C$7:$E$11,3,0),VLOOKUP(D106,Datos!$C$7:$E$11,2,0))</f>
        <v>370000</v>
      </c>
      <c r="AC106" s="144">
        <f ca="1">(S106*PMT(Datos!$H$13,Datos!$H$12,-O106,,)*VLOOKUP(TODAY(),'UF HOY'!$A$2:$B$33,2,0)/12)+VLOOKUP(TODAY(),'UF HOY'!$A$2:$B$33,2,0)</f>
        <v>531296.71676486731</v>
      </c>
      <c r="AD106" s="144">
        <f t="shared" ca="1" si="22"/>
        <v>-161296.71676486731</v>
      </c>
      <c r="AE106" s="47">
        <f t="shared" ca="1" si="23"/>
        <v>2125186.8670594692</v>
      </c>
    </row>
    <row r="107" spans="1:31" s="145" customFormat="1" ht="15.5" hidden="1" x14ac:dyDescent="0.35">
      <c r="A107" s="129" t="s">
        <v>170</v>
      </c>
      <c r="B107" s="130">
        <v>1404</v>
      </c>
      <c r="C107" s="131" t="s">
        <v>151</v>
      </c>
      <c r="D107" s="131" t="s">
        <v>153</v>
      </c>
      <c r="E107" s="131"/>
      <c r="F107" s="131">
        <v>31.86</v>
      </c>
      <c r="G107" s="131">
        <v>3.6</v>
      </c>
      <c r="H107" s="132">
        <f t="shared" si="12"/>
        <v>33.659999999999997</v>
      </c>
      <c r="I107" s="132">
        <f t="shared" si="13"/>
        <v>35.46</v>
      </c>
      <c r="J107" s="69">
        <v>2888</v>
      </c>
      <c r="K107" s="134">
        <v>0</v>
      </c>
      <c r="L107" s="135">
        <v>0</v>
      </c>
      <c r="M107" s="135">
        <v>0</v>
      </c>
      <c r="N107" s="69">
        <f t="shared" si="14"/>
        <v>2888</v>
      </c>
      <c r="O107" s="39">
        <f t="shared" si="15"/>
        <v>3208.8888888888887</v>
      </c>
      <c r="P107" s="136">
        <f t="shared" si="16"/>
        <v>85.799168152109331</v>
      </c>
      <c r="Q107" s="137">
        <f t="shared" si="17"/>
        <v>0.10000000000000002</v>
      </c>
      <c r="R107" s="138">
        <f t="shared" si="18"/>
        <v>320.88888888888891</v>
      </c>
      <c r="S107" s="139">
        <v>0.8</v>
      </c>
      <c r="T107" s="138">
        <f t="shared" si="19"/>
        <v>2567.1111111111113</v>
      </c>
      <c r="U107" s="140">
        <f t="shared" si="20"/>
        <v>9.9999999999999978E-2</v>
      </c>
      <c r="V107" s="138">
        <f t="shared" si="21"/>
        <v>320.8888888888888</v>
      </c>
      <c r="W107" s="142">
        <f ca="1">V107*VLOOKUP(TODAY(),'UF HOY'!$A$2:$B$33,2,0)</f>
        <v>12750179.857777774</v>
      </c>
      <c r="X107" s="143">
        <f>Datos!$E$3</f>
        <v>31</v>
      </c>
      <c r="Y107" s="144">
        <f ca="1">IF((W107-1000000-Datos!$D$3)/X107&gt;0,(W107-1000000-Datos!$D$3)/X107,0)</f>
        <v>370973.54379928304</v>
      </c>
      <c r="Z107" s="143">
        <f>Datos!$F$3</f>
        <v>31</v>
      </c>
      <c r="AA107" s="144">
        <f ca="1">IF((W107-1750000-Datos!$D$3-3%*O107*VLOOKUP(TODAY(),'UF HOY'!$A$2:$B$33,2,0))/Z107&gt;0,(W107-1750000-Datos!$D$3-3%*O107*VLOOKUP(TODAY(),'UF HOY'!$A$2:$B$33,2,0))/Z107,0)</f>
        <v>223391.15807885295</v>
      </c>
      <c r="AB107" s="142">
        <f>IF(L107&gt;0,VLOOKUP(D107,Datos!$C$7:$E$11,3,0),VLOOKUP(D107,Datos!$C$7:$E$11,2,0))</f>
        <v>370000</v>
      </c>
      <c r="AC107" s="144">
        <f ca="1">(S107*PMT(Datos!$H$13,Datos!$H$12,-O107,,)*VLOOKUP(TODAY(),'UF HOY'!$A$2:$B$33,2,0)/12)+VLOOKUP(TODAY(),'UF HOY'!$A$2:$B$33,2,0)</f>
        <v>531296.71676486731</v>
      </c>
      <c r="AD107" s="144">
        <f t="shared" ca="1" si="22"/>
        <v>-161296.71676486731</v>
      </c>
      <c r="AE107" s="47">
        <f t="shared" ca="1" si="23"/>
        <v>2125186.8670594692</v>
      </c>
    </row>
    <row r="108" spans="1:31" s="145" customFormat="1" ht="15.5" hidden="1" x14ac:dyDescent="0.35">
      <c r="A108" s="129" t="s">
        <v>170</v>
      </c>
      <c r="B108" s="130">
        <v>1416</v>
      </c>
      <c r="C108" s="131" t="s">
        <v>151</v>
      </c>
      <c r="D108" s="131" t="s">
        <v>153</v>
      </c>
      <c r="E108" s="131"/>
      <c r="F108" s="131">
        <v>33.369999999999997</v>
      </c>
      <c r="G108" s="131">
        <v>3.17</v>
      </c>
      <c r="H108" s="132">
        <f t="shared" si="12"/>
        <v>34.954999999999998</v>
      </c>
      <c r="I108" s="132">
        <f t="shared" si="13"/>
        <v>36.54</v>
      </c>
      <c r="J108" s="69">
        <v>2888</v>
      </c>
      <c r="K108" s="134">
        <v>0</v>
      </c>
      <c r="L108" s="135">
        <v>0</v>
      </c>
      <c r="M108" s="135">
        <v>0</v>
      </c>
      <c r="N108" s="69">
        <f t="shared" si="14"/>
        <v>2888</v>
      </c>
      <c r="O108" s="39">
        <f t="shared" si="15"/>
        <v>3208.8888888888887</v>
      </c>
      <c r="P108" s="136">
        <f t="shared" si="16"/>
        <v>82.620512086968958</v>
      </c>
      <c r="Q108" s="137">
        <f t="shared" si="17"/>
        <v>0.10000000000000002</v>
      </c>
      <c r="R108" s="138">
        <f t="shared" si="18"/>
        <v>320.88888888888891</v>
      </c>
      <c r="S108" s="139">
        <v>0.8</v>
      </c>
      <c r="T108" s="138">
        <f t="shared" si="19"/>
        <v>2567.1111111111113</v>
      </c>
      <c r="U108" s="140">
        <f t="shared" si="20"/>
        <v>9.9999999999999978E-2</v>
      </c>
      <c r="V108" s="138">
        <f t="shared" si="21"/>
        <v>320.8888888888888</v>
      </c>
      <c r="W108" s="142">
        <f ca="1">V108*VLOOKUP(TODAY(),'UF HOY'!$A$2:$B$33,2,0)</f>
        <v>12750179.857777774</v>
      </c>
      <c r="X108" s="143">
        <f>Datos!$E$3</f>
        <v>31</v>
      </c>
      <c r="Y108" s="144">
        <f ca="1">IF((W108-1000000-Datos!$D$3)/X108&gt;0,(W108-1000000-Datos!$D$3)/X108,0)</f>
        <v>370973.54379928304</v>
      </c>
      <c r="Z108" s="143">
        <f>Datos!$F$3</f>
        <v>31</v>
      </c>
      <c r="AA108" s="144">
        <f ca="1">IF((W108-1750000-Datos!$D$3-3%*O108*VLOOKUP(TODAY(),'UF HOY'!$A$2:$B$33,2,0))/Z108&gt;0,(W108-1750000-Datos!$D$3-3%*O108*VLOOKUP(TODAY(),'UF HOY'!$A$2:$B$33,2,0))/Z108,0)</f>
        <v>223391.15807885295</v>
      </c>
      <c r="AB108" s="142">
        <f>IF(L108&gt;0,VLOOKUP(D108,Datos!$C$7:$E$11,3,0),VLOOKUP(D108,Datos!$C$7:$E$11,2,0))</f>
        <v>370000</v>
      </c>
      <c r="AC108" s="144">
        <f ca="1">(S108*PMT(Datos!$H$13,Datos!$H$12,-O108,,)*VLOOKUP(TODAY(),'UF HOY'!$A$2:$B$33,2,0)/12)+VLOOKUP(TODAY(),'UF HOY'!$A$2:$B$33,2,0)</f>
        <v>531296.71676486731</v>
      </c>
      <c r="AD108" s="144">
        <f t="shared" ca="1" si="22"/>
        <v>-161296.71676486731</v>
      </c>
      <c r="AE108" s="47">
        <f t="shared" ca="1" si="23"/>
        <v>2125186.8670594692</v>
      </c>
    </row>
    <row r="109" spans="1:31" s="145" customFormat="1" ht="15.5" hidden="1" x14ac:dyDescent="0.35">
      <c r="A109" s="129" t="s">
        <v>170</v>
      </c>
      <c r="B109" s="130">
        <v>809</v>
      </c>
      <c r="C109" s="131" t="s">
        <v>152</v>
      </c>
      <c r="D109" s="131" t="s">
        <v>153</v>
      </c>
      <c r="E109" s="131"/>
      <c r="F109" s="131">
        <v>31.86</v>
      </c>
      <c r="G109" s="131">
        <v>3.6</v>
      </c>
      <c r="H109" s="132">
        <f t="shared" si="12"/>
        <v>33.659999999999997</v>
      </c>
      <c r="I109" s="132">
        <f t="shared" si="13"/>
        <v>35.46</v>
      </c>
      <c r="J109" s="69">
        <v>2889</v>
      </c>
      <c r="K109" s="134">
        <v>0</v>
      </c>
      <c r="L109" s="135">
        <v>0</v>
      </c>
      <c r="M109" s="135">
        <v>0</v>
      </c>
      <c r="N109" s="69">
        <f t="shared" si="14"/>
        <v>2889</v>
      </c>
      <c r="O109" s="39">
        <f t="shared" si="15"/>
        <v>3210</v>
      </c>
      <c r="P109" s="136">
        <f t="shared" si="16"/>
        <v>85.828877005347607</v>
      </c>
      <c r="Q109" s="137">
        <f t="shared" si="17"/>
        <v>0.1</v>
      </c>
      <c r="R109" s="138">
        <f t="shared" si="18"/>
        <v>321</v>
      </c>
      <c r="S109" s="139">
        <v>0.8</v>
      </c>
      <c r="T109" s="138">
        <f t="shared" si="19"/>
        <v>2568</v>
      </c>
      <c r="U109" s="140">
        <f t="shared" si="20"/>
        <v>9.9999999999999978E-2</v>
      </c>
      <c r="V109" s="138">
        <f t="shared" si="21"/>
        <v>320.99999999999994</v>
      </c>
      <c r="W109" s="142">
        <f ca="1">V109*VLOOKUP(TODAY(),'UF HOY'!$A$2:$B$33,2,0)</f>
        <v>12754594.739999998</v>
      </c>
      <c r="X109" s="143">
        <f>Datos!$E$3</f>
        <v>31</v>
      </c>
      <c r="Y109" s="144">
        <f ca="1">IF((W109-1000000-Datos!$D$3)/X109&gt;0,(W109-1000000-Datos!$D$3)/X109,0)</f>
        <v>371115.95935483865</v>
      </c>
      <c r="Z109" s="143">
        <f>Datos!$F$3</f>
        <v>31</v>
      </c>
      <c r="AA109" s="144">
        <f ca="1">IF((W109-1750000-Datos!$D$3-3%*O109*VLOOKUP(TODAY(),'UF HOY'!$A$2:$B$33,2,0))/Z109&gt;0,(W109-1750000-Datos!$D$3-3%*O109*VLOOKUP(TODAY(),'UF HOY'!$A$2:$B$33,2,0))/Z109,0)</f>
        <v>223490.84896774188</v>
      </c>
      <c r="AB109" s="142">
        <f>IF(L109&gt;0,VLOOKUP(D109,Datos!$C$7:$E$11,3,0),VLOOKUP(D109,Datos!$C$7:$E$11,2,0))</f>
        <v>370000</v>
      </c>
      <c r="AC109" s="144">
        <f ca="1">(S109*PMT(Datos!$H$13,Datos!$H$12,-O109,,)*VLOOKUP(TODAY(),'UF HOY'!$A$2:$B$33,2,0)/12)+VLOOKUP(TODAY(),'UF HOY'!$A$2:$B$33,2,0)</f>
        <v>531466.9254825837</v>
      </c>
      <c r="AD109" s="144">
        <f t="shared" ca="1" si="22"/>
        <v>-161466.9254825837</v>
      </c>
      <c r="AE109" s="47">
        <f t="shared" ca="1" si="23"/>
        <v>2125867.7019303348</v>
      </c>
    </row>
    <row r="110" spans="1:31" s="145" customFormat="1" ht="15.5" hidden="1" x14ac:dyDescent="0.35">
      <c r="A110" s="129" t="s">
        <v>170</v>
      </c>
      <c r="B110" s="130">
        <v>810</v>
      </c>
      <c r="C110" s="131" t="s">
        <v>152</v>
      </c>
      <c r="D110" s="131" t="s">
        <v>153</v>
      </c>
      <c r="E110" s="131"/>
      <c r="F110" s="131">
        <v>31.86</v>
      </c>
      <c r="G110" s="131">
        <v>3.6</v>
      </c>
      <c r="H110" s="132">
        <f t="shared" si="12"/>
        <v>33.659999999999997</v>
      </c>
      <c r="I110" s="132">
        <f t="shared" si="13"/>
        <v>35.46</v>
      </c>
      <c r="J110" s="69">
        <v>2889</v>
      </c>
      <c r="K110" s="134">
        <v>0</v>
      </c>
      <c r="L110" s="135">
        <v>0</v>
      </c>
      <c r="M110" s="135">
        <v>0</v>
      </c>
      <c r="N110" s="69">
        <f t="shared" si="14"/>
        <v>2889</v>
      </c>
      <c r="O110" s="39">
        <f t="shared" si="15"/>
        <v>3210</v>
      </c>
      <c r="P110" s="136">
        <f t="shared" si="16"/>
        <v>85.828877005347607</v>
      </c>
      <c r="Q110" s="137">
        <f t="shared" si="17"/>
        <v>0.1</v>
      </c>
      <c r="R110" s="138">
        <f t="shared" si="18"/>
        <v>321</v>
      </c>
      <c r="S110" s="139">
        <v>0.8</v>
      </c>
      <c r="T110" s="138">
        <f t="shared" si="19"/>
        <v>2568</v>
      </c>
      <c r="U110" s="140">
        <f t="shared" si="20"/>
        <v>9.9999999999999978E-2</v>
      </c>
      <c r="V110" s="138">
        <f t="shared" si="21"/>
        <v>320.99999999999994</v>
      </c>
      <c r="W110" s="142">
        <f ca="1">V110*VLOOKUP(TODAY(),'UF HOY'!$A$2:$B$33,2,0)</f>
        <v>12754594.739999998</v>
      </c>
      <c r="X110" s="143">
        <f>Datos!$E$3</f>
        <v>31</v>
      </c>
      <c r="Y110" s="144">
        <f ca="1">IF((W110-1000000-Datos!$D$3)/X110&gt;0,(W110-1000000-Datos!$D$3)/X110,0)</f>
        <v>371115.95935483865</v>
      </c>
      <c r="Z110" s="143">
        <f>Datos!$F$3</f>
        <v>31</v>
      </c>
      <c r="AA110" s="144">
        <f ca="1">IF((W110-1750000-Datos!$D$3-3%*O110*VLOOKUP(TODAY(),'UF HOY'!$A$2:$B$33,2,0))/Z110&gt;0,(W110-1750000-Datos!$D$3-3%*O110*VLOOKUP(TODAY(),'UF HOY'!$A$2:$B$33,2,0))/Z110,0)</f>
        <v>223490.84896774188</v>
      </c>
      <c r="AB110" s="142">
        <f>IF(L110&gt;0,VLOOKUP(D110,Datos!$C$7:$E$11,3,0),VLOOKUP(D110,Datos!$C$7:$E$11,2,0))</f>
        <v>370000</v>
      </c>
      <c r="AC110" s="144">
        <f ca="1">(S110*PMT(Datos!$H$13,Datos!$H$12,-O110,,)*VLOOKUP(TODAY(),'UF HOY'!$A$2:$B$33,2,0)/12)+VLOOKUP(TODAY(),'UF HOY'!$A$2:$B$33,2,0)</f>
        <v>531466.9254825837</v>
      </c>
      <c r="AD110" s="144">
        <f t="shared" ca="1" si="22"/>
        <v>-161466.9254825837</v>
      </c>
      <c r="AE110" s="47">
        <f t="shared" ca="1" si="23"/>
        <v>2125867.7019303348</v>
      </c>
    </row>
    <row r="111" spans="1:31" s="145" customFormat="1" ht="15.5" hidden="1" x14ac:dyDescent="0.35">
      <c r="A111" s="129" t="s">
        <v>170</v>
      </c>
      <c r="B111" s="130">
        <v>812</v>
      </c>
      <c r="C111" s="131" t="s">
        <v>152</v>
      </c>
      <c r="D111" s="131" t="s">
        <v>153</v>
      </c>
      <c r="E111" s="131"/>
      <c r="F111" s="131">
        <v>31.86</v>
      </c>
      <c r="G111" s="131">
        <v>3.6</v>
      </c>
      <c r="H111" s="132">
        <f t="shared" si="12"/>
        <v>33.659999999999997</v>
      </c>
      <c r="I111" s="132">
        <f t="shared" si="13"/>
        <v>35.46</v>
      </c>
      <c r="J111" s="69">
        <v>2889</v>
      </c>
      <c r="K111" s="134">
        <v>0</v>
      </c>
      <c r="L111" s="135">
        <v>0</v>
      </c>
      <c r="M111" s="135">
        <v>0</v>
      </c>
      <c r="N111" s="69">
        <f t="shared" si="14"/>
        <v>2889</v>
      </c>
      <c r="O111" s="39">
        <f t="shared" si="15"/>
        <v>3210</v>
      </c>
      <c r="P111" s="136">
        <f t="shared" si="16"/>
        <v>85.828877005347607</v>
      </c>
      <c r="Q111" s="137">
        <f t="shared" si="17"/>
        <v>0.1</v>
      </c>
      <c r="R111" s="138">
        <f t="shared" si="18"/>
        <v>321</v>
      </c>
      <c r="S111" s="139">
        <v>0.8</v>
      </c>
      <c r="T111" s="138">
        <f t="shared" si="19"/>
        <v>2568</v>
      </c>
      <c r="U111" s="140">
        <f t="shared" si="20"/>
        <v>9.9999999999999978E-2</v>
      </c>
      <c r="V111" s="138">
        <f t="shared" si="21"/>
        <v>320.99999999999994</v>
      </c>
      <c r="W111" s="142">
        <f ca="1">V111*VLOOKUP(TODAY(),'UF HOY'!$A$2:$B$33,2,0)</f>
        <v>12754594.739999998</v>
      </c>
      <c r="X111" s="143">
        <f>Datos!$E$3</f>
        <v>31</v>
      </c>
      <c r="Y111" s="144">
        <f ca="1">IF((W111-1000000-Datos!$D$3)/X111&gt;0,(W111-1000000-Datos!$D$3)/X111,0)</f>
        <v>371115.95935483865</v>
      </c>
      <c r="Z111" s="143">
        <f>Datos!$F$3</f>
        <v>31</v>
      </c>
      <c r="AA111" s="144">
        <f ca="1">IF((W111-1750000-Datos!$D$3-3%*O111*VLOOKUP(TODAY(),'UF HOY'!$A$2:$B$33,2,0))/Z111&gt;0,(W111-1750000-Datos!$D$3-3%*O111*VLOOKUP(TODAY(),'UF HOY'!$A$2:$B$33,2,0))/Z111,0)</f>
        <v>223490.84896774188</v>
      </c>
      <c r="AB111" s="142">
        <f>IF(L111&gt;0,VLOOKUP(D111,Datos!$C$7:$E$11,3,0),VLOOKUP(D111,Datos!$C$7:$E$11,2,0))</f>
        <v>370000</v>
      </c>
      <c r="AC111" s="144">
        <f ca="1">(S111*PMT(Datos!$H$13,Datos!$H$12,-O111,,)*VLOOKUP(TODAY(),'UF HOY'!$A$2:$B$33,2,0)/12)+VLOOKUP(TODAY(),'UF HOY'!$A$2:$B$33,2,0)</f>
        <v>531466.9254825837</v>
      </c>
      <c r="AD111" s="144">
        <f t="shared" ca="1" si="22"/>
        <v>-161466.9254825837</v>
      </c>
      <c r="AE111" s="47">
        <f t="shared" ca="1" si="23"/>
        <v>2125867.7019303348</v>
      </c>
    </row>
    <row r="112" spans="1:31" s="145" customFormat="1" ht="15.5" hidden="1" x14ac:dyDescent="0.35">
      <c r="A112" s="129" t="s">
        <v>170</v>
      </c>
      <c r="B112" s="130">
        <v>813</v>
      </c>
      <c r="C112" s="131" t="s">
        <v>152</v>
      </c>
      <c r="D112" s="131" t="s">
        <v>153</v>
      </c>
      <c r="E112" s="131"/>
      <c r="F112" s="131">
        <v>31.86</v>
      </c>
      <c r="G112" s="131">
        <v>3.6</v>
      </c>
      <c r="H112" s="132">
        <f t="shared" si="12"/>
        <v>33.659999999999997</v>
      </c>
      <c r="I112" s="132">
        <f t="shared" si="13"/>
        <v>35.46</v>
      </c>
      <c r="J112" s="69">
        <v>2889</v>
      </c>
      <c r="K112" s="134">
        <v>0</v>
      </c>
      <c r="L112" s="135">
        <v>0</v>
      </c>
      <c r="M112" s="135">
        <v>0</v>
      </c>
      <c r="N112" s="69">
        <f t="shared" si="14"/>
        <v>2889</v>
      </c>
      <c r="O112" s="39">
        <f t="shared" si="15"/>
        <v>3210</v>
      </c>
      <c r="P112" s="136">
        <f t="shared" si="16"/>
        <v>85.828877005347607</v>
      </c>
      <c r="Q112" s="137">
        <f t="shared" si="17"/>
        <v>0.1</v>
      </c>
      <c r="R112" s="138">
        <f t="shared" si="18"/>
        <v>321</v>
      </c>
      <c r="S112" s="139">
        <v>0.8</v>
      </c>
      <c r="T112" s="138">
        <f t="shared" si="19"/>
        <v>2568</v>
      </c>
      <c r="U112" s="140">
        <f t="shared" si="20"/>
        <v>9.9999999999999978E-2</v>
      </c>
      <c r="V112" s="138">
        <f t="shared" si="21"/>
        <v>320.99999999999994</v>
      </c>
      <c r="W112" s="142">
        <f ca="1">V112*VLOOKUP(TODAY(),'UF HOY'!$A$2:$B$33,2,0)</f>
        <v>12754594.739999998</v>
      </c>
      <c r="X112" s="143">
        <f>Datos!$E$3</f>
        <v>31</v>
      </c>
      <c r="Y112" s="144">
        <f ca="1">IF((W112-1000000-Datos!$D$3)/X112&gt;0,(W112-1000000-Datos!$D$3)/X112,0)</f>
        <v>371115.95935483865</v>
      </c>
      <c r="Z112" s="143">
        <f>Datos!$F$3</f>
        <v>31</v>
      </c>
      <c r="AA112" s="144">
        <f ca="1">IF((W112-1750000-Datos!$D$3-3%*O112*VLOOKUP(TODAY(),'UF HOY'!$A$2:$B$33,2,0))/Z112&gt;0,(W112-1750000-Datos!$D$3-3%*O112*VLOOKUP(TODAY(),'UF HOY'!$A$2:$B$33,2,0))/Z112,0)</f>
        <v>223490.84896774188</v>
      </c>
      <c r="AB112" s="142">
        <f>IF(L112&gt;0,VLOOKUP(D112,Datos!$C$7:$E$11,3,0),VLOOKUP(D112,Datos!$C$7:$E$11,2,0))</f>
        <v>370000</v>
      </c>
      <c r="AC112" s="144">
        <f ca="1">(S112*PMT(Datos!$H$13,Datos!$H$12,-O112,,)*VLOOKUP(TODAY(),'UF HOY'!$A$2:$B$33,2,0)/12)+VLOOKUP(TODAY(),'UF HOY'!$A$2:$B$33,2,0)</f>
        <v>531466.9254825837</v>
      </c>
      <c r="AD112" s="144">
        <f t="shared" ca="1" si="22"/>
        <v>-161466.9254825837</v>
      </c>
      <c r="AE112" s="47">
        <f t="shared" ca="1" si="23"/>
        <v>2125867.7019303348</v>
      </c>
    </row>
    <row r="113" spans="1:31" s="145" customFormat="1" ht="15.5" hidden="1" x14ac:dyDescent="0.35">
      <c r="A113" s="129" t="s">
        <v>170</v>
      </c>
      <c r="B113" s="130">
        <v>807</v>
      </c>
      <c r="C113" s="131" t="s">
        <v>152</v>
      </c>
      <c r="D113" s="131" t="s">
        <v>153</v>
      </c>
      <c r="E113" s="131"/>
      <c r="F113" s="131">
        <v>31.86</v>
      </c>
      <c r="G113" s="131">
        <v>3.6</v>
      </c>
      <c r="H113" s="132">
        <f t="shared" si="12"/>
        <v>33.659999999999997</v>
      </c>
      <c r="I113" s="132">
        <f t="shared" si="13"/>
        <v>35.46</v>
      </c>
      <c r="J113" s="69">
        <v>2890</v>
      </c>
      <c r="K113" s="134">
        <v>0</v>
      </c>
      <c r="L113" s="135">
        <v>0</v>
      </c>
      <c r="M113" s="135">
        <v>0</v>
      </c>
      <c r="N113" s="69">
        <f t="shared" si="14"/>
        <v>2890</v>
      </c>
      <c r="O113" s="39">
        <f t="shared" si="15"/>
        <v>3211.1111111111109</v>
      </c>
      <c r="P113" s="136">
        <f t="shared" si="16"/>
        <v>85.858585858585869</v>
      </c>
      <c r="Q113" s="137">
        <f t="shared" si="17"/>
        <v>0.1</v>
      </c>
      <c r="R113" s="138">
        <f t="shared" si="18"/>
        <v>321.11111111111109</v>
      </c>
      <c r="S113" s="139">
        <v>0.8</v>
      </c>
      <c r="T113" s="138">
        <f t="shared" si="19"/>
        <v>2568.8888888888887</v>
      </c>
      <c r="U113" s="140">
        <f t="shared" si="20"/>
        <v>9.9999999999999978E-2</v>
      </c>
      <c r="V113" s="138">
        <f t="shared" si="21"/>
        <v>321.11111111111103</v>
      </c>
      <c r="W113" s="142">
        <f ca="1">V113*VLOOKUP(TODAY(),'UF HOY'!$A$2:$B$33,2,0)</f>
        <v>12759009.622222221</v>
      </c>
      <c r="X113" s="143">
        <f>Datos!$E$3</f>
        <v>31</v>
      </c>
      <c r="Y113" s="144">
        <f ca="1">IF((W113-1000000-Datos!$D$3)/X113&gt;0,(W113-1000000-Datos!$D$3)/X113,0)</f>
        <v>371258.3749103942</v>
      </c>
      <c r="Z113" s="143">
        <f>Datos!$F$3</f>
        <v>31</v>
      </c>
      <c r="AA113" s="144">
        <f ca="1">IF((W113-1750000-Datos!$D$3-3%*O113*VLOOKUP(TODAY(),'UF HOY'!$A$2:$B$33,2,0))/Z113&gt;0,(W113-1750000-Datos!$D$3-3%*O113*VLOOKUP(TODAY(),'UF HOY'!$A$2:$B$33,2,0))/Z113,0)</f>
        <v>223590.53985663076</v>
      </c>
      <c r="AB113" s="142">
        <f>IF(L113&gt;0,VLOOKUP(D113,Datos!$C$7:$E$11,3,0),VLOOKUP(D113,Datos!$C$7:$E$11,2,0))</f>
        <v>370000</v>
      </c>
      <c r="AC113" s="144">
        <f ca="1">(S113*PMT(Datos!$H$13,Datos!$H$12,-O113,,)*VLOOKUP(TODAY(),'UF HOY'!$A$2:$B$33,2,0)/12)+VLOOKUP(TODAY(),'UF HOY'!$A$2:$B$33,2,0)</f>
        <v>531637.13420029997</v>
      </c>
      <c r="AD113" s="144">
        <f t="shared" ca="1" si="22"/>
        <v>-161637.13420029997</v>
      </c>
      <c r="AE113" s="47">
        <f t="shared" ca="1" si="23"/>
        <v>2126548.5368011999</v>
      </c>
    </row>
    <row r="114" spans="1:31" s="145" customFormat="1" ht="15.5" hidden="1" x14ac:dyDescent="0.35">
      <c r="A114" s="129" t="s">
        <v>170</v>
      </c>
      <c r="B114" s="129">
        <v>1417</v>
      </c>
      <c r="C114" s="131" t="s">
        <v>151</v>
      </c>
      <c r="D114" s="131" t="s">
        <v>153</v>
      </c>
      <c r="E114" s="131"/>
      <c r="F114" s="131">
        <v>33.36</v>
      </c>
      <c r="G114" s="131">
        <v>3.1</v>
      </c>
      <c r="H114" s="132">
        <f t="shared" si="12"/>
        <v>34.909999999999997</v>
      </c>
      <c r="I114" s="132">
        <f t="shared" si="13"/>
        <v>36.46</v>
      </c>
      <c r="J114" s="69">
        <v>2903</v>
      </c>
      <c r="K114" s="134">
        <v>0</v>
      </c>
      <c r="L114" s="135">
        <v>0</v>
      </c>
      <c r="M114" s="135">
        <v>0</v>
      </c>
      <c r="N114" s="69">
        <f t="shared" si="14"/>
        <v>2903</v>
      </c>
      <c r="O114" s="39">
        <f t="shared" si="15"/>
        <v>3225.5555555555557</v>
      </c>
      <c r="P114" s="136">
        <f t="shared" si="16"/>
        <v>83.156688627900323</v>
      </c>
      <c r="Q114" s="137">
        <f t="shared" si="17"/>
        <v>0.1</v>
      </c>
      <c r="R114" s="138">
        <f t="shared" si="18"/>
        <v>322.5555555555556</v>
      </c>
      <c r="S114" s="139">
        <v>0.8</v>
      </c>
      <c r="T114" s="138">
        <f t="shared" si="19"/>
        <v>2580.4444444444448</v>
      </c>
      <c r="U114" s="140">
        <f t="shared" si="20"/>
        <v>9.9999999999999978E-2</v>
      </c>
      <c r="V114" s="138">
        <f t="shared" si="21"/>
        <v>322.55555555555549</v>
      </c>
      <c r="W114" s="142">
        <f ca="1">V114*VLOOKUP(TODAY(),'UF HOY'!$A$2:$B$33,2,0)</f>
        <v>12816403.091111109</v>
      </c>
      <c r="X114" s="143">
        <f>Datos!$E$3</f>
        <v>31</v>
      </c>
      <c r="Y114" s="144">
        <f ca="1">IF((W114-1000000-Datos!$D$3)/X114&gt;0,(W114-1000000-Datos!$D$3)/X114,0)</f>
        <v>373109.77713261644</v>
      </c>
      <c r="Z114" s="143">
        <f>Datos!$F$3</f>
        <v>31</v>
      </c>
      <c r="AA114" s="144">
        <f ca="1">IF((W114-1750000-Datos!$D$3-3%*O114*VLOOKUP(TODAY(),'UF HOY'!$A$2:$B$33,2,0))/Z114&gt;0,(W114-1750000-Datos!$D$3-3%*O114*VLOOKUP(TODAY(),'UF HOY'!$A$2:$B$33,2,0))/Z114,0)</f>
        <v>224886.5214121863</v>
      </c>
      <c r="AB114" s="142">
        <f>IF(L114&gt;0,VLOOKUP(D114,Datos!$C$7:$E$11,3,0),VLOOKUP(D114,Datos!$C$7:$E$11,2,0))</f>
        <v>370000</v>
      </c>
      <c r="AC114" s="144">
        <f ca="1">(S114*PMT(Datos!$H$13,Datos!$H$12,-O114,,)*VLOOKUP(TODAY(),'UF HOY'!$A$2:$B$33,2,0)/12)+VLOOKUP(TODAY(),'UF HOY'!$A$2:$B$33,2,0)</f>
        <v>533849.84753061284</v>
      </c>
      <c r="AD114" s="144">
        <f t="shared" ca="1" si="22"/>
        <v>-163849.84753061284</v>
      </c>
      <c r="AE114" s="47">
        <f t="shared" ca="1" si="23"/>
        <v>2135399.3901224514</v>
      </c>
    </row>
    <row r="115" spans="1:31" s="145" customFormat="1" ht="15.5" hidden="1" x14ac:dyDescent="0.35">
      <c r="A115" s="129" t="s">
        <v>170</v>
      </c>
      <c r="B115" s="129">
        <v>1501</v>
      </c>
      <c r="C115" s="131" t="s">
        <v>151</v>
      </c>
      <c r="D115" s="131" t="s">
        <v>153</v>
      </c>
      <c r="E115" s="131"/>
      <c r="F115" s="131">
        <v>31.86</v>
      </c>
      <c r="G115" s="131">
        <v>3.6</v>
      </c>
      <c r="H115" s="132">
        <f t="shared" si="12"/>
        <v>33.659999999999997</v>
      </c>
      <c r="I115" s="132">
        <f t="shared" si="13"/>
        <v>35.46</v>
      </c>
      <c r="J115" s="69">
        <v>2903</v>
      </c>
      <c r="K115" s="134">
        <v>0</v>
      </c>
      <c r="L115" s="135">
        <v>0</v>
      </c>
      <c r="M115" s="135">
        <v>0</v>
      </c>
      <c r="N115" s="69">
        <f t="shared" si="14"/>
        <v>2903</v>
      </c>
      <c r="O115" s="39">
        <f t="shared" si="15"/>
        <v>3225.5555555555557</v>
      </c>
      <c r="P115" s="136">
        <f t="shared" si="16"/>
        <v>86.244800950683313</v>
      </c>
      <c r="Q115" s="137">
        <f t="shared" si="17"/>
        <v>0.1</v>
      </c>
      <c r="R115" s="138">
        <f t="shared" si="18"/>
        <v>322.5555555555556</v>
      </c>
      <c r="S115" s="139">
        <v>0.8</v>
      </c>
      <c r="T115" s="138">
        <f t="shared" si="19"/>
        <v>2580.4444444444448</v>
      </c>
      <c r="U115" s="140">
        <f t="shared" si="20"/>
        <v>9.9999999999999978E-2</v>
      </c>
      <c r="V115" s="138">
        <f t="shared" si="21"/>
        <v>322.55555555555549</v>
      </c>
      <c r="W115" s="142">
        <f ca="1">V115*VLOOKUP(TODAY(),'UF HOY'!$A$2:$B$33,2,0)</f>
        <v>12816403.091111109</v>
      </c>
      <c r="X115" s="143">
        <f>Datos!$E$3</f>
        <v>31</v>
      </c>
      <c r="Y115" s="144">
        <f ca="1">IF((W115-1000000-Datos!$D$3)/X115&gt;0,(W115-1000000-Datos!$D$3)/X115,0)</f>
        <v>373109.77713261644</v>
      </c>
      <c r="Z115" s="143">
        <f>Datos!$F$3</f>
        <v>31</v>
      </c>
      <c r="AA115" s="144">
        <f ca="1">IF((W115-1750000-Datos!$D$3-3%*O115*VLOOKUP(TODAY(),'UF HOY'!$A$2:$B$33,2,0))/Z115&gt;0,(W115-1750000-Datos!$D$3-3%*O115*VLOOKUP(TODAY(),'UF HOY'!$A$2:$B$33,2,0))/Z115,0)</f>
        <v>224886.5214121863</v>
      </c>
      <c r="AB115" s="142">
        <f>IF(L115&gt;0,VLOOKUP(D115,Datos!$C$7:$E$11,3,0),VLOOKUP(D115,Datos!$C$7:$E$11,2,0))</f>
        <v>370000</v>
      </c>
      <c r="AC115" s="144">
        <f ca="1">(S115*PMT(Datos!$H$13,Datos!$H$12,-O115,,)*VLOOKUP(TODAY(),'UF HOY'!$A$2:$B$33,2,0)/12)+VLOOKUP(TODAY(),'UF HOY'!$A$2:$B$33,2,0)</f>
        <v>533849.84753061284</v>
      </c>
      <c r="AD115" s="144">
        <f t="shared" ca="1" si="22"/>
        <v>-163849.84753061284</v>
      </c>
      <c r="AE115" s="47">
        <f t="shared" ca="1" si="23"/>
        <v>2135399.3901224514</v>
      </c>
    </row>
    <row r="116" spans="1:31" s="145" customFormat="1" ht="15.5" hidden="1" x14ac:dyDescent="0.35">
      <c r="A116" s="129" t="s">
        <v>170</v>
      </c>
      <c r="B116" s="130">
        <v>1502</v>
      </c>
      <c r="C116" s="131" t="s">
        <v>151</v>
      </c>
      <c r="D116" s="131" t="s">
        <v>153</v>
      </c>
      <c r="E116" s="131"/>
      <c r="F116" s="131">
        <v>33.369999999999997</v>
      </c>
      <c r="G116" s="131">
        <v>3.17</v>
      </c>
      <c r="H116" s="132">
        <f t="shared" si="12"/>
        <v>34.954999999999998</v>
      </c>
      <c r="I116" s="132">
        <f t="shared" si="13"/>
        <v>36.54</v>
      </c>
      <c r="J116" s="69">
        <v>2903</v>
      </c>
      <c r="K116" s="134">
        <v>0</v>
      </c>
      <c r="L116" s="135">
        <v>0</v>
      </c>
      <c r="M116" s="135">
        <v>0</v>
      </c>
      <c r="N116" s="69">
        <f t="shared" si="14"/>
        <v>2903</v>
      </c>
      <c r="O116" s="39">
        <f t="shared" si="15"/>
        <v>3225.5555555555557</v>
      </c>
      <c r="P116" s="136">
        <f t="shared" si="16"/>
        <v>83.049635245315415</v>
      </c>
      <c r="Q116" s="137">
        <f t="shared" si="17"/>
        <v>0.1</v>
      </c>
      <c r="R116" s="138">
        <f t="shared" si="18"/>
        <v>322.5555555555556</v>
      </c>
      <c r="S116" s="139">
        <v>0.8</v>
      </c>
      <c r="T116" s="138">
        <f t="shared" si="19"/>
        <v>2580.4444444444448</v>
      </c>
      <c r="U116" s="140">
        <f t="shared" si="20"/>
        <v>9.9999999999999978E-2</v>
      </c>
      <c r="V116" s="138">
        <f t="shared" si="21"/>
        <v>322.55555555555549</v>
      </c>
      <c r="W116" s="142">
        <f ca="1">V116*VLOOKUP(TODAY(),'UF HOY'!$A$2:$B$33,2,0)</f>
        <v>12816403.091111109</v>
      </c>
      <c r="X116" s="143">
        <f>Datos!$E$3</f>
        <v>31</v>
      </c>
      <c r="Y116" s="144">
        <f ca="1">IF((W116-1000000-Datos!$D$3)/X116&gt;0,(W116-1000000-Datos!$D$3)/X116,0)</f>
        <v>373109.77713261644</v>
      </c>
      <c r="Z116" s="143">
        <f>Datos!$F$3</f>
        <v>31</v>
      </c>
      <c r="AA116" s="144">
        <f ca="1">IF((W116-1750000-Datos!$D$3-3%*O116*VLOOKUP(TODAY(),'UF HOY'!$A$2:$B$33,2,0))/Z116&gt;0,(W116-1750000-Datos!$D$3-3%*O116*VLOOKUP(TODAY(),'UF HOY'!$A$2:$B$33,2,0))/Z116,0)</f>
        <v>224886.5214121863</v>
      </c>
      <c r="AB116" s="142">
        <f>IF(L116&gt;0,VLOOKUP(D116,Datos!$C$7:$E$11,3,0),VLOOKUP(D116,Datos!$C$7:$E$11,2,0))</f>
        <v>370000</v>
      </c>
      <c r="AC116" s="144">
        <f ca="1">(S116*PMT(Datos!$H$13,Datos!$H$12,-O116,,)*VLOOKUP(TODAY(),'UF HOY'!$A$2:$B$33,2,0)/12)+VLOOKUP(TODAY(),'UF HOY'!$A$2:$B$33,2,0)</f>
        <v>533849.84753061284</v>
      </c>
      <c r="AD116" s="144">
        <f t="shared" ca="1" si="22"/>
        <v>-163849.84753061284</v>
      </c>
      <c r="AE116" s="47">
        <f t="shared" ca="1" si="23"/>
        <v>2135399.3901224514</v>
      </c>
    </row>
    <row r="117" spans="1:31" s="145" customFormat="1" ht="15.5" hidden="1" x14ac:dyDescent="0.35">
      <c r="A117" s="129" t="s">
        <v>170</v>
      </c>
      <c r="B117" s="130">
        <v>1503</v>
      </c>
      <c r="C117" s="131" t="s">
        <v>151</v>
      </c>
      <c r="D117" s="131" t="s">
        <v>153</v>
      </c>
      <c r="E117" s="131"/>
      <c r="F117" s="131">
        <v>33.369999999999997</v>
      </c>
      <c r="G117" s="131">
        <v>3.17</v>
      </c>
      <c r="H117" s="132">
        <f t="shared" si="12"/>
        <v>34.954999999999998</v>
      </c>
      <c r="I117" s="132">
        <f t="shared" si="13"/>
        <v>36.54</v>
      </c>
      <c r="J117" s="69">
        <v>2903</v>
      </c>
      <c r="K117" s="134">
        <v>0</v>
      </c>
      <c r="L117" s="135">
        <v>0</v>
      </c>
      <c r="M117" s="135">
        <v>0</v>
      </c>
      <c r="N117" s="69">
        <f t="shared" si="14"/>
        <v>2903</v>
      </c>
      <c r="O117" s="39">
        <f t="shared" si="15"/>
        <v>3225.5555555555557</v>
      </c>
      <c r="P117" s="136">
        <f t="shared" si="16"/>
        <v>83.049635245315415</v>
      </c>
      <c r="Q117" s="137">
        <f t="shared" si="17"/>
        <v>0.1</v>
      </c>
      <c r="R117" s="138">
        <f t="shared" si="18"/>
        <v>322.5555555555556</v>
      </c>
      <c r="S117" s="139">
        <v>0.8</v>
      </c>
      <c r="T117" s="138">
        <f t="shared" si="19"/>
        <v>2580.4444444444448</v>
      </c>
      <c r="U117" s="140">
        <f t="shared" si="20"/>
        <v>9.9999999999999978E-2</v>
      </c>
      <c r="V117" s="138">
        <f t="shared" si="21"/>
        <v>322.55555555555549</v>
      </c>
      <c r="W117" s="142">
        <f ca="1">V117*VLOOKUP(TODAY(),'UF HOY'!$A$2:$B$33,2,0)</f>
        <v>12816403.091111109</v>
      </c>
      <c r="X117" s="143">
        <f>Datos!$E$3</f>
        <v>31</v>
      </c>
      <c r="Y117" s="144">
        <f ca="1">IF((W117-1000000-Datos!$D$3)/X117&gt;0,(W117-1000000-Datos!$D$3)/X117,0)</f>
        <v>373109.77713261644</v>
      </c>
      <c r="Z117" s="143">
        <f>Datos!$F$3</f>
        <v>31</v>
      </c>
      <c r="AA117" s="144">
        <f ca="1">IF((W117-1750000-Datos!$D$3-3%*O117*VLOOKUP(TODAY(),'UF HOY'!$A$2:$B$33,2,0))/Z117&gt;0,(W117-1750000-Datos!$D$3-3%*O117*VLOOKUP(TODAY(),'UF HOY'!$A$2:$B$33,2,0))/Z117,0)</f>
        <v>224886.5214121863</v>
      </c>
      <c r="AB117" s="142">
        <f>IF(L117&gt;0,VLOOKUP(D117,Datos!$C$7:$E$11,3,0),VLOOKUP(D117,Datos!$C$7:$E$11,2,0))</f>
        <v>370000</v>
      </c>
      <c r="AC117" s="144">
        <f ca="1">(S117*PMT(Datos!$H$13,Datos!$H$12,-O117,,)*VLOOKUP(TODAY(),'UF HOY'!$A$2:$B$33,2,0)/12)+VLOOKUP(TODAY(),'UF HOY'!$A$2:$B$33,2,0)</f>
        <v>533849.84753061284</v>
      </c>
      <c r="AD117" s="144">
        <f t="shared" ca="1" si="22"/>
        <v>-163849.84753061284</v>
      </c>
      <c r="AE117" s="47">
        <f t="shared" ca="1" si="23"/>
        <v>2135399.3901224514</v>
      </c>
    </row>
    <row r="118" spans="1:31" s="145" customFormat="1" ht="15.5" hidden="1" x14ac:dyDescent="0.35">
      <c r="A118" s="129" t="s">
        <v>170</v>
      </c>
      <c r="B118" s="130">
        <v>1504</v>
      </c>
      <c r="C118" s="131" t="s">
        <v>151</v>
      </c>
      <c r="D118" s="131" t="s">
        <v>153</v>
      </c>
      <c r="E118" s="131"/>
      <c r="F118" s="131">
        <v>31.86</v>
      </c>
      <c r="G118" s="131">
        <v>3.6</v>
      </c>
      <c r="H118" s="132">
        <f t="shared" si="12"/>
        <v>33.659999999999997</v>
      </c>
      <c r="I118" s="132">
        <f t="shared" si="13"/>
        <v>35.46</v>
      </c>
      <c r="J118" s="69">
        <v>2903</v>
      </c>
      <c r="K118" s="134">
        <v>0</v>
      </c>
      <c r="L118" s="135">
        <v>0</v>
      </c>
      <c r="M118" s="135">
        <v>0</v>
      </c>
      <c r="N118" s="69">
        <f t="shared" si="14"/>
        <v>2903</v>
      </c>
      <c r="O118" s="39">
        <f t="shared" si="15"/>
        <v>3225.5555555555557</v>
      </c>
      <c r="P118" s="136">
        <f t="shared" si="16"/>
        <v>86.244800950683313</v>
      </c>
      <c r="Q118" s="137">
        <f t="shared" si="17"/>
        <v>0.1</v>
      </c>
      <c r="R118" s="138">
        <f t="shared" si="18"/>
        <v>322.5555555555556</v>
      </c>
      <c r="S118" s="139">
        <v>0.8</v>
      </c>
      <c r="T118" s="138">
        <f t="shared" si="19"/>
        <v>2580.4444444444448</v>
      </c>
      <c r="U118" s="140">
        <f t="shared" si="20"/>
        <v>9.9999999999999978E-2</v>
      </c>
      <c r="V118" s="138">
        <f t="shared" si="21"/>
        <v>322.55555555555549</v>
      </c>
      <c r="W118" s="142">
        <f ca="1">V118*VLOOKUP(TODAY(),'UF HOY'!$A$2:$B$33,2,0)</f>
        <v>12816403.091111109</v>
      </c>
      <c r="X118" s="143">
        <f>Datos!$E$3</f>
        <v>31</v>
      </c>
      <c r="Y118" s="144">
        <f ca="1">IF((W118-1000000-Datos!$D$3)/X118&gt;0,(W118-1000000-Datos!$D$3)/X118,0)</f>
        <v>373109.77713261644</v>
      </c>
      <c r="Z118" s="143">
        <f>Datos!$F$3</f>
        <v>31</v>
      </c>
      <c r="AA118" s="144">
        <f ca="1">IF((W118-1750000-Datos!$D$3-3%*O118*VLOOKUP(TODAY(),'UF HOY'!$A$2:$B$33,2,0))/Z118&gt;0,(W118-1750000-Datos!$D$3-3%*O118*VLOOKUP(TODAY(),'UF HOY'!$A$2:$B$33,2,0))/Z118,0)</f>
        <v>224886.5214121863</v>
      </c>
      <c r="AB118" s="142">
        <f>IF(L118&gt;0,VLOOKUP(D118,Datos!$C$7:$E$11,3,0),VLOOKUP(D118,Datos!$C$7:$E$11,2,0))</f>
        <v>370000</v>
      </c>
      <c r="AC118" s="144">
        <f ca="1">(S118*PMT(Datos!$H$13,Datos!$H$12,-O118,,)*VLOOKUP(TODAY(),'UF HOY'!$A$2:$B$33,2,0)/12)+VLOOKUP(TODAY(),'UF HOY'!$A$2:$B$33,2,0)</f>
        <v>533849.84753061284</v>
      </c>
      <c r="AD118" s="144">
        <f t="shared" ca="1" si="22"/>
        <v>-163849.84753061284</v>
      </c>
      <c r="AE118" s="47">
        <f t="shared" ca="1" si="23"/>
        <v>2135399.3901224514</v>
      </c>
    </row>
    <row r="119" spans="1:31" s="145" customFormat="1" ht="15.5" hidden="1" x14ac:dyDescent="0.35">
      <c r="A119" s="129" t="s">
        <v>170</v>
      </c>
      <c r="B119" s="130">
        <v>1516</v>
      </c>
      <c r="C119" s="131" t="s">
        <v>151</v>
      </c>
      <c r="D119" s="131" t="s">
        <v>153</v>
      </c>
      <c r="E119" s="131"/>
      <c r="F119" s="131">
        <v>33.369999999999997</v>
      </c>
      <c r="G119" s="131">
        <v>3.17</v>
      </c>
      <c r="H119" s="132">
        <f t="shared" si="12"/>
        <v>34.954999999999998</v>
      </c>
      <c r="I119" s="132">
        <f t="shared" si="13"/>
        <v>36.54</v>
      </c>
      <c r="J119" s="69">
        <v>2903</v>
      </c>
      <c r="K119" s="134">
        <v>0</v>
      </c>
      <c r="L119" s="135">
        <v>0</v>
      </c>
      <c r="M119" s="135">
        <v>0</v>
      </c>
      <c r="N119" s="69">
        <f t="shared" si="14"/>
        <v>2903</v>
      </c>
      <c r="O119" s="39">
        <f t="shared" si="15"/>
        <v>3225.5555555555557</v>
      </c>
      <c r="P119" s="136">
        <f t="shared" si="16"/>
        <v>83.049635245315415</v>
      </c>
      <c r="Q119" s="137">
        <f t="shared" si="17"/>
        <v>0.1</v>
      </c>
      <c r="R119" s="138">
        <f t="shared" si="18"/>
        <v>322.5555555555556</v>
      </c>
      <c r="S119" s="139">
        <v>0.8</v>
      </c>
      <c r="T119" s="138">
        <f t="shared" si="19"/>
        <v>2580.4444444444448</v>
      </c>
      <c r="U119" s="140">
        <f t="shared" si="20"/>
        <v>9.9999999999999978E-2</v>
      </c>
      <c r="V119" s="138">
        <f t="shared" si="21"/>
        <v>322.55555555555549</v>
      </c>
      <c r="W119" s="142">
        <f ca="1">V119*VLOOKUP(TODAY(),'UF HOY'!$A$2:$B$33,2,0)</f>
        <v>12816403.091111109</v>
      </c>
      <c r="X119" s="143">
        <f>Datos!$E$3</f>
        <v>31</v>
      </c>
      <c r="Y119" s="144">
        <f ca="1">IF((W119-1000000-Datos!$D$3)/X119&gt;0,(W119-1000000-Datos!$D$3)/X119,0)</f>
        <v>373109.77713261644</v>
      </c>
      <c r="Z119" s="143">
        <f>Datos!$F$3</f>
        <v>31</v>
      </c>
      <c r="AA119" s="144">
        <f ca="1">IF((W119-1750000-Datos!$D$3-3%*O119*VLOOKUP(TODAY(),'UF HOY'!$A$2:$B$33,2,0))/Z119&gt;0,(W119-1750000-Datos!$D$3-3%*O119*VLOOKUP(TODAY(),'UF HOY'!$A$2:$B$33,2,0))/Z119,0)</f>
        <v>224886.5214121863</v>
      </c>
      <c r="AB119" s="142">
        <f>IF(L119&gt;0,VLOOKUP(D119,Datos!$C$7:$E$11,3,0),VLOOKUP(D119,Datos!$C$7:$E$11,2,0))</f>
        <v>370000</v>
      </c>
      <c r="AC119" s="144">
        <f ca="1">(S119*PMT(Datos!$H$13,Datos!$H$12,-O119,,)*VLOOKUP(TODAY(),'UF HOY'!$A$2:$B$33,2,0)/12)+VLOOKUP(TODAY(),'UF HOY'!$A$2:$B$33,2,0)</f>
        <v>533849.84753061284</v>
      </c>
      <c r="AD119" s="144">
        <f t="shared" ca="1" si="22"/>
        <v>-163849.84753061284</v>
      </c>
      <c r="AE119" s="47">
        <f t="shared" ca="1" si="23"/>
        <v>2135399.3901224514</v>
      </c>
    </row>
    <row r="120" spans="1:31" s="145" customFormat="1" ht="15.5" hidden="1" x14ac:dyDescent="0.35">
      <c r="A120" s="129" t="s">
        <v>170</v>
      </c>
      <c r="B120" s="130">
        <v>908</v>
      </c>
      <c r="C120" s="131" t="s">
        <v>152</v>
      </c>
      <c r="D120" s="131" t="s">
        <v>153</v>
      </c>
      <c r="E120" s="131"/>
      <c r="F120" s="131">
        <v>31.86</v>
      </c>
      <c r="G120" s="131">
        <v>3.6</v>
      </c>
      <c r="H120" s="132">
        <f t="shared" si="12"/>
        <v>33.659999999999997</v>
      </c>
      <c r="I120" s="132">
        <f t="shared" si="13"/>
        <v>35.46</v>
      </c>
      <c r="J120" s="69">
        <v>2905</v>
      </c>
      <c r="K120" s="134">
        <v>0</v>
      </c>
      <c r="L120" s="135">
        <v>0</v>
      </c>
      <c r="M120" s="135">
        <v>0</v>
      </c>
      <c r="N120" s="69">
        <f t="shared" si="14"/>
        <v>2905</v>
      </c>
      <c r="O120" s="39">
        <f t="shared" si="15"/>
        <v>3227.7777777777778</v>
      </c>
      <c r="P120" s="136">
        <f t="shared" si="16"/>
        <v>86.304218657159836</v>
      </c>
      <c r="Q120" s="137">
        <f t="shared" si="17"/>
        <v>0.10000000000000002</v>
      </c>
      <c r="R120" s="138">
        <f t="shared" si="18"/>
        <v>322.77777777777783</v>
      </c>
      <c r="S120" s="139">
        <v>0.8</v>
      </c>
      <c r="T120" s="138">
        <f t="shared" si="19"/>
        <v>2582.2222222222226</v>
      </c>
      <c r="U120" s="140">
        <f t="shared" si="20"/>
        <v>9.9999999999999978E-2</v>
      </c>
      <c r="V120" s="138">
        <f t="shared" si="21"/>
        <v>322.77777777777771</v>
      </c>
      <c r="W120" s="142">
        <f ca="1">V120*VLOOKUP(TODAY(),'UF HOY'!$A$2:$B$33,2,0)</f>
        <v>12825232.855555553</v>
      </c>
      <c r="X120" s="143">
        <f>Datos!$E$3</f>
        <v>31</v>
      </c>
      <c r="Y120" s="144">
        <f ca="1">IF((W120-1000000-Datos!$D$3)/X120&gt;0,(W120-1000000-Datos!$D$3)/X120,0)</f>
        <v>373394.60824372753</v>
      </c>
      <c r="Z120" s="143">
        <f>Datos!$F$3</f>
        <v>31</v>
      </c>
      <c r="AA120" s="144">
        <f ca="1">IF((W120-1750000-Datos!$D$3-3%*O120*VLOOKUP(TODAY(),'UF HOY'!$A$2:$B$33,2,0))/Z120&gt;0,(W120-1750000-Datos!$D$3-3%*O120*VLOOKUP(TODAY(),'UF HOY'!$A$2:$B$33,2,0))/Z120,0)</f>
        <v>225085.90318996404</v>
      </c>
      <c r="AB120" s="142">
        <f>IF(L120&gt;0,VLOOKUP(D120,Datos!$C$7:$E$11,3,0),VLOOKUP(D120,Datos!$C$7:$E$11,2,0))</f>
        <v>370000</v>
      </c>
      <c r="AC120" s="144">
        <f ca="1">(S120*PMT(Datos!$H$13,Datos!$H$12,-O120,,)*VLOOKUP(TODAY(),'UF HOY'!$A$2:$B$33,2,0)/12)+VLOOKUP(TODAY(),'UF HOY'!$A$2:$B$33,2,0)</f>
        <v>534190.26496604551</v>
      </c>
      <c r="AD120" s="144">
        <f t="shared" ca="1" si="22"/>
        <v>-164190.26496604551</v>
      </c>
      <c r="AE120" s="47">
        <f t="shared" ca="1" si="23"/>
        <v>2136761.059864182</v>
      </c>
    </row>
    <row r="121" spans="1:31" s="145" customFormat="1" ht="15.5" hidden="1" x14ac:dyDescent="0.35">
      <c r="A121" s="129" t="s">
        <v>170</v>
      </c>
      <c r="B121" s="130">
        <v>909</v>
      </c>
      <c r="C121" s="131" t="s">
        <v>152</v>
      </c>
      <c r="D121" s="131" t="s">
        <v>153</v>
      </c>
      <c r="E121" s="131"/>
      <c r="F121" s="131">
        <v>31.86</v>
      </c>
      <c r="G121" s="131">
        <v>3.6</v>
      </c>
      <c r="H121" s="132">
        <f t="shared" si="12"/>
        <v>33.659999999999997</v>
      </c>
      <c r="I121" s="132">
        <f t="shared" si="13"/>
        <v>35.46</v>
      </c>
      <c r="J121" s="69">
        <v>2905</v>
      </c>
      <c r="K121" s="134">
        <v>0</v>
      </c>
      <c r="L121" s="135">
        <v>0</v>
      </c>
      <c r="M121" s="135">
        <v>0</v>
      </c>
      <c r="N121" s="69">
        <f t="shared" si="14"/>
        <v>2905</v>
      </c>
      <c r="O121" s="39">
        <f t="shared" si="15"/>
        <v>3227.7777777777778</v>
      </c>
      <c r="P121" s="136">
        <f t="shared" si="16"/>
        <v>86.304218657159836</v>
      </c>
      <c r="Q121" s="137">
        <f t="shared" si="17"/>
        <v>0.10000000000000002</v>
      </c>
      <c r="R121" s="138">
        <f t="shared" si="18"/>
        <v>322.77777777777783</v>
      </c>
      <c r="S121" s="139">
        <v>0.8</v>
      </c>
      <c r="T121" s="138">
        <f t="shared" si="19"/>
        <v>2582.2222222222226</v>
      </c>
      <c r="U121" s="140">
        <f t="shared" si="20"/>
        <v>9.9999999999999978E-2</v>
      </c>
      <c r="V121" s="138">
        <f t="shared" si="21"/>
        <v>322.77777777777771</v>
      </c>
      <c r="W121" s="142">
        <f ca="1">V121*VLOOKUP(TODAY(),'UF HOY'!$A$2:$B$33,2,0)</f>
        <v>12825232.855555553</v>
      </c>
      <c r="X121" s="143">
        <f>Datos!$E$3</f>
        <v>31</v>
      </c>
      <c r="Y121" s="144">
        <f ca="1">IF((W121-1000000-Datos!$D$3)/X121&gt;0,(W121-1000000-Datos!$D$3)/X121,0)</f>
        <v>373394.60824372753</v>
      </c>
      <c r="Z121" s="143">
        <f>Datos!$F$3</f>
        <v>31</v>
      </c>
      <c r="AA121" s="144">
        <f ca="1">IF((W121-1750000-Datos!$D$3-3%*O121*VLOOKUP(TODAY(),'UF HOY'!$A$2:$B$33,2,0))/Z121&gt;0,(W121-1750000-Datos!$D$3-3%*O121*VLOOKUP(TODAY(),'UF HOY'!$A$2:$B$33,2,0))/Z121,0)</f>
        <v>225085.90318996404</v>
      </c>
      <c r="AB121" s="142">
        <f>IF(L121&gt;0,VLOOKUP(D121,Datos!$C$7:$E$11,3,0),VLOOKUP(D121,Datos!$C$7:$E$11,2,0))</f>
        <v>370000</v>
      </c>
      <c r="AC121" s="144">
        <f ca="1">(S121*PMT(Datos!$H$13,Datos!$H$12,-O121,,)*VLOOKUP(TODAY(),'UF HOY'!$A$2:$B$33,2,0)/12)+VLOOKUP(TODAY(),'UF HOY'!$A$2:$B$33,2,0)</f>
        <v>534190.26496604551</v>
      </c>
      <c r="AD121" s="144">
        <f t="shared" ca="1" si="22"/>
        <v>-164190.26496604551</v>
      </c>
      <c r="AE121" s="47">
        <f t="shared" ca="1" si="23"/>
        <v>2136761.059864182</v>
      </c>
    </row>
    <row r="122" spans="1:31" s="145" customFormat="1" ht="15.5" x14ac:dyDescent="0.35">
      <c r="A122" s="129" t="s">
        <v>105</v>
      </c>
      <c r="B122" s="129">
        <v>912</v>
      </c>
      <c r="C122" s="131" t="s">
        <v>152</v>
      </c>
      <c r="D122" s="131" t="s">
        <v>153</v>
      </c>
      <c r="E122" s="131"/>
      <c r="F122" s="131">
        <v>31.86</v>
      </c>
      <c r="G122" s="131">
        <v>3.6</v>
      </c>
      <c r="H122" s="132">
        <f t="shared" si="12"/>
        <v>33.659999999999997</v>
      </c>
      <c r="I122" s="132">
        <f t="shared" si="13"/>
        <v>35.46</v>
      </c>
      <c r="J122" s="69">
        <v>2905</v>
      </c>
      <c r="K122" s="134">
        <v>0</v>
      </c>
      <c r="L122" s="135">
        <v>0</v>
      </c>
      <c r="M122" s="135">
        <v>0</v>
      </c>
      <c r="N122" s="69">
        <f t="shared" si="14"/>
        <v>2905</v>
      </c>
      <c r="O122" s="39">
        <f t="shared" si="15"/>
        <v>3227.7777777777778</v>
      </c>
      <c r="P122" s="136">
        <f t="shared" si="16"/>
        <v>86.304218657159836</v>
      </c>
      <c r="Q122" s="137">
        <f t="shared" si="17"/>
        <v>0.10000000000000002</v>
      </c>
      <c r="R122" s="138">
        <f t="shared" si="18"/>
        <v>322.77777777777783</v>
      </c>
      <c r="S122" s="139">
        <v>0.8</v>
      </c>
      <c r="T122" s="138">
        <f t="shared" si="19"/>
        <v>2582.2222222222226</v>
      </c>
      <c r="U122" s="140">
        <f t="shared" si="20"/>
        <v>9.9999999999999978E-2</v>
      </c>
      <c r="V122" s="138">
        <f t="shared" si="21"/>
        <v>322.77777777777771</v>
      </c>
      <c r="W122" s="142">
        <f ca="1">V122*VLOOKUP(TODAY(),'UF HOY'!$A$2:$B$33,2,0)</f>
        <v>12825232.855555553</v>
      </c>
      <c r="X122" s="143">
        <f>Datos!$E$3</f>
        <v>31</v>
      </c>
      <c r="Y122" s="144">
        <f ca="1">IF((W122-1000000-Datos!$D$3)/X122&gt;0,(W122-1000000-Datos!$D$3)/X122,0)</f>
        <v>373394.60824372753</v>
      </c>
      <c r="Z122" s="143">
        <f>Datos!$F$3</f>
        <v>31</v>
      </c>
      <c r="AA122" s="144">
        <f ca="1">IF((W122-1750000-Datos!$D$3-3%*O122*VLOOKUP(TODAY(),'UF HOY'!$A$2:$B$33,2,0))/Z122&gt;0,(W122-1750000-Datos!$D$3-3%*O122*VLOOKUP(TODAY(),'UF HOY'!$A$2:$B$33,2,0))/Z122,0)</f>
        <v>225085.90318996404</v>
      </c>
      <c r="AB122" s="142">
        <f>IF(L122&gt;0,VLOOKUP(D122,Datos!$C$7:$E$11,3,0),VLOOKUP(D122,Datos!$C$7:$E$11,2,0))</f>
        <v>370000</v>
      </c>
      <c r="AC122" s="144">
        <f ca="1">(S122*PMT(Datos!$H$13,Datos!$H$12,-O122,,)*VLOOKUP(TODAY(),'UF HOY'!$A$2:$B$33,2,0)/12)+VLOOKUP(TODAY(),'UF HOY'!$A$2:$B$33,2,0)</f>
        <v>534190.26496604551</v>
      </c>
      <c r="AD122" s="144">
        <f t="shared" ca="1" si="22"/>
        <v>-164190.26496604551</v>
      </c>
      <c r="AE122" s="47">
        <f t="shared" ca="1" si="23"/>
        <v>2136761.059864182</v>
      </c>
    </row>
    <row r="123" spans="1:31" s="145" customFormat="1" ht="15.5" x14ac:dyDescent="0.35">
      <c r="A123" s="129" t="s">
        <v>105</v>
      </c>
      <c r="B123" s="129">
        <v>913</v>
      </c>
      <c r="C123" s="131" t="s">
        <v>152</v>
      </c>
      <c r="D123" s="131" t="s">
        <v>153</v>
      </c>
      <c r="E123" s="131"/>
      <c r="F123" s="131">
        <v>31.86</v>
      </c>
      <c r="G123" s="131">
        <v>3.6</v>
      </c>
      <c r="H123" s="132">
        <f t="shared" si="12"/>
        <v>33.659999999999997</v>
      </c>
      <c r="I123" s="132">
        <f t="shared" si="13"/>
        <v>35.46</v>
      </c>
      <c r="J123" s="69">
        <v>2905</v>
      </c>
      <c r="K123" s="134">
        <v>0</v>
      </c>
      <c r="L123" s="135">
        <v>0</v>
      </c>
      <c r="M123" s="135">
        <v>0</v>
      </c>
      <c r="N123" s="69">
        <f t="shared" si="14"/>
        <v>2905</v>
      </c>
      <c r="O123" s="39">
        <f t="shared" si="15"/>
        <v>3227.7777777777778</v>
      </c>
      <c r="P123" s="136">
        <f t="shared" si="16"/>
        <v>86.304218657159836</v>
      </c>
      <c r="Q123" s="137">
        <f t="shared" si="17"/>
        <v>0.10000000000000002</v>
      </c>
      <c r="R123" s="138">
        <f t="shared" si="18"/>
        <v>322.77777777777783</v>
      </c>
      <c r="S123" s="139">
        <v>0.8</v>
      </c>
      <c r="T123" s="138">
        <f t="shared" si="19"/>
        <v>2582.2222222222226</v>
      </c>
      <c r="U123" s="140">
        <f t="shared" si="20"/>
        <v>9.9999999999999978E-2</v>
      </c>
      <c r="V123" s="138">
        <f t="shared" si="21"/>
        <v>322.77777777777771</v>
      </c>
      <c r="W123" s="142">
        <f ca="1">V123*VLOOKUP(TODAY(),'UF HOY'!$A$2:$B$33,2,0)</f>
        <v>12825232.855555553</v>
      </c>
      <c r="X123" s="143">
        <f>Datos!$E$3</f>
        <v>31</v>
      </c>
      <c r="Y123" s="144">
        <f ca="1">IF((W123-1000000-Datos!$D$3)/X123&gt;0,(W123-1000000-Datos!$D$3)/X123,0)</f>
        <v>373394.60824372753</v>
      </c>
      <c r="Z123" s="143">
        <f>Datos!$F$3</f>
        <v>31</v>
      </c>
      <c r="AA123" s="144">
        <f ca="1">IF((W123-1750000-Datos!$D$3-3%*O123*VLOOKUP(TODAY(),'UF HOY'!$A$2:$B$33,2,0))/Z123&gt;0,(W123-1750000-Datos!$D$3-3%*O123*VLOOKUP(TODAY(),'UF HOY'!$A$2:$B$33,2,0))/Z123,0)</f>
        <v>225085.90318996404</v>
      </c>
      <c r="AB123" s="142">
        <f>IF(L123&gt;0,VLOOKUP(D123,Datos!$C$7:$E$11,3,0),VLOOKUP(D123,Datos!$C$7:$E$11,2,0))</f>
        <v>370000</v>
      </c>
      <c r="AC123" s="144">
        <f ca="1">(S123*PMT(Datos!$H$13,Datos!$H$12,-O123,,)*VLOOKUP(TODAY(),'UF HOY'!$A$2:$B$33,2,0)/12)+VLOOKUP(TODAY(),'UF HOY'!$A$2:$B$33,2,0)</f>
        <v>534190.26496604551</v>
      </c>
      <c r="AD123" s="144">
        <f t="shared" ca="1" si="22"/>
        <v>-164190.26496604551</v>
      </c>
      <c r="AE123" s="47">
        <f t="shared" ca="1" si="23"/>
        <v>2136761.059864182</v>
      </c>
    </row>
    <row r="124" spans="1:31" s="145" customFormat="1" ht="15.5" hidden="1" x14ac:dyDescent="0.35">
      <c r="A124" s="129" t="s">
        <v>170</v>
      </c>
      <c r="B124" s="130">
        <v>917</v>
      </c>
      <c r="C124" s="131" t="s">
        <v>151</v>
      </c>
      <c r="D124" s="131" t="s">
        <v>153</v>
      </c>
      <c r="E124" s="131"/>
      <c r="F124" s="131">
        <v>33.36</v>
      </c>
      <c r="G124" s="131">
        <v>3.1</v>
      </c>
      <c r="H124" s="132">
        <f t="shared" si="12"/>
        <v>34.909999999999997</v>
      </c>
      <c r="I124" s="132">
        <f t="shared" si="13"/>
        <v>36.46</v>
      </c>
      <c r="J124" s="69">
        <v>2905</v>
      </c>
      <c r="K124" s="134">
        <v>0</v>
      </c>
      <c r="L124" s="135">
        <v>0</v>
      </c>
      <c r="M124" s="135">
        <v>0</v>
      </c>
      <c r="N124" s="69">
        <f t="shared" si="14"/>
        <v>2905</v>
      </c>
      <c r="O124" s="39">
        <f t="shared" si="15"/>
        <v>3227.7777777777778</v>
      </c>
      <c r="P124" s="136">
        <f t="shared" si="16"/>
        <v>83.213978802635353</v>
      </c>
      <c r="Q124" s="137">
        <f t="shared" si="17"/>
        <v>0.10000000000000002</v>
      </c>
      <c r="R124" s="138">
        <f t="shared" si="18"/>
        <v>322.77777777777783</v>
      </c>
      <c r="S124" s="139">
        <v>0.8</v>
      </c>
      <c r="T124" s="138">
        <f t="shared" si="19"/>
        <v>2582.2222222222226</v>
      </c>
      <c r="U124" s="140">
        <f t="shared" si="20"/>
        <v>9.9999999999999978E-2</v>
      </c>
      <c r="V124" s="138">
        <f t="shared" si="21"/>
        <v>322.77777777777771</v>
      </c>
      <c r="W124" s="142">
        <f ca="1">V124*VLOOKUP(TODAY(),'UF HOY'!$A$2:$B$33,2,0)</f>
        <v>12825232.855555553</v>
      </c>
      <c r="X124" s="143">
        <f>Datos!$E$3</f>
        <v>31</v>
      </c>
      <c r="Y124" s="144">
        <f ca="1">IF((W124-1000000-Datos!$D$3)/X124&gt;0,(W124-1000000-Datos!$D$3)/X124,0)</f>
        <v>373394.60824372753</v>
      </c>
      <c r="Z124" s="143">
        <f>Datos!$F$3</f>
        <v>31</v>
      </c>
      <c r="AA124" s="144">
        <f ca="1">IF((W124-1750000-Datos!$D$3-3%*O124*VLOOKUP(TODAY(),'UF HOY'!$A$2:$B$33,2,0))/Z124&gt;0,(W124-1750000-Datos!$D$3-3%*O124*VLOOKUP(TODAY(),'UF HOY'!$A$2:$B$33,2,0))/Z124,0)</f>
        <v>225085.90318996404</v>
      </c>
      <c r="AB124" s="142">
        <f>IF(L124&gt;0,VLOOKUP(D124,Datos!$C$7:$E$11,3,0),VLOOKUP(D124,Datos!$C$7:$E$11,2,0))</f>
        <v>370000</v>
      </c>
      <c r="AC124" s="144">
        <f ca="1">(S124*PMT(Datos!$H$13,Datos!$H$12,-O124,,)*VLOOKUP(TODAY(),'UF HOY'!$A$2:$B$33,2,0)/12)+VLOOKUP(TODAY(),'UF HOY'!$A$2:$B$33,2,0)</f>
        <v>534190.26496604551</v>
      </c>
      <c r="AD124" s="144">
        <f t="shared" ca="1" si="22"/>
        <v>-164190.26496604551</v>
      </c>
      <c r="AE124" s="47">
        <f t="shared" ca="1" si="23"/>
        <v>2136761.059864182</v>
      </c>
    </row>
    <row r="125" spans="1:31" s="145" customFormat="1" ht="15.5" x14ac:dyDescent="0.35">
      <c r="A125" s="129" t="s">
        <v>105</v>
      </c>
      <c r="B125" s="130">
        <v>907</v>
      </c>
      <c r="C125" s="131" t="s">
        <v>152</v>
      </c>
      <c r="D125" s="131" t="s">
        <v>153</v>
      </c>
      <c r="E125" s="131"/>
      <c r="F125" s="131">
        <v>31.86</v>
      </c>
      <c r="G125" s="131">
        <v>3.6</v>
      </c>
      <c r="H125" s="132">
        <f t="shared" si="12"/>
        <v>33.659999999999997</v>
      </c>
      <c r="I125" s="132">
        <f t="shared" si="13"/>
        <v>35.46</v>
      </c>
      <c r="J125" s="69">
        <v>2906</v>
      </c>
      <c r="K125" s="134">
        <v>0</v>
      </c>
      <c r="L125" s="135">
        <v>0</v>
      </c>
      <c r="M125" s="135">
        <v>0</v>
      </c>
      <c r="N125" s="69">
        <f t="shared" si="14"/>
        <v>2906</v>
      </c>
      <c r="O125" s="39">
        <f t="shared" si="15"/>
        <v>3228.8888888888887</v>
      </c>
      <c r="P125" s="136">
        <f t="shared" si="16"/>
        <v>86.333927510398112</v>
      </c>
      <c r="Q125" s="137">
        <f t="shared" si="17"/>
        <v>0.10000000000000002</v>
      </c>
      <c r="R125" s="138">
        <f t="shared" si="18"/>
        <v>322.88888888888891</v>
      </c>
      <c r="S125" s="139">
        <v>0.8</v>
      </c>
      <c r="T125" s="138">
        <f t="shared" si="19"/>
        <v>2583.1111111111113</v>
      </c>
      <c r="U125" s="140">
        <f t="shared" si="20"/>
        <v>9.9999999999999978E-2</v>
      </c>
      <c r="V125" s="138">
        <f t="shared" si="21"/>
        <v>322.8888888888888</v>
      </c>
      <c r="W125" s="142">
        <f ca="1">V125*VLOOKUP(TODAY(),'UF HOY'!$A$2:$B$33,2,0)</f>
        <v>12829647.737777775</v>
      </c>
      <c r="X125" s="143">
        <f>Datos!$E$3</f>
        <v>31</v>
      </c>
      <c r="Y125" s="144">
        <f ca="1">IF((W125-1000000-Datos!$D$3)/X125&gt;0,(W125-1000000-Datos!$D$3)/X125,0)</f>
        <v>373537.02379928308</v>
      </c>
      <c r="Z125" s="143">
        <f>Datos!$F$3</f>
        <v>31</v>
      </c>
      <c r="AA125" s="144">
        <f ca="1">IF((W125-1750000-Datos!$D$3-3%*O125*VLOOKUP(TODAY(),'UF HOY'!$A$2:$B$33,2,0))/Z125&gt;0,(W125-1750000-Datos!$D$3-3%*O125*VLOOKUP(TODAY(),'UF HOY'!$A$2:$B$33,2,0))/Z125,0)</f>
        <v>225185.59407885294</v>
      </c>
      <c r="AB125" s="142">
        <f>IF(L125&gt;0,VLOOKUP(D125,Datos!$C$7:$E$11,3,0),VLOOKUP(D125,Datos!$C$7:$E$11,2,0))</f>
        <v>370000</v>
      </c>
      <c r="AC125" s="144">
        <f ca="1">(S125*PMT(Datos!$H$13,Datos!$H$12,-O125,,)*VLOOKUP(TODAY(),'UF HOY'!$A$2:$B$33,2,0)/12)+VLOOKUP(TODAY(),'UF HOY'!$A$2:$B$33,2,0)</f>
        <v>534360.4736837619</v>
      </c>
      <c r="AD125" s="144">
        <f t="shared" ca="1" si="22"/>
        <v>-164360.4736837619</v>
      </c>
      <c r="AE125" s="47">
        <f t="shared" ca="1" si="23"/>
        <v>2137441.8947350476</v>
      </c>
    </row>
    <row r="126" spans="1:31" s="145" customFormat="1" ht="15.5" hidden="1" x14ac:dyDescent="0.35">
      <c r="A126" s="129" t="s">
        <v>170</v>
      </c>
      <c r="B126" s="130">
        <v>1517</v>
      </c>
      <c r="C126" s="131" t="s">
        <v>151</v>
      </c>
      <c r="D126" s="131" t="s">
        <v>153</v>
      </c>
      <c r="E126" s="131"/>
      <c r="F126" s="131">
        <v>33.36</v>
      </c>
      <c r="G126" s="131">
        <v>3.1</v>
      </c>
      <c r="H126" s="132">
        <f t="shared" si="12"/>
        <v>34.909999999999997</v>
      </c>
      <c r="I126" s="132">
        <f t="shared" si="13"/>
        <v>36.46</v>
      </c>
      <c r="J126" s="69">
        <v>2919</v>
      </c>
      <c r="K126" s="134">
        <v>0</v>
      </c>
      <c r="L126" s="135">
        <v>0</v>
      </c>
      <c r="M126" s="135">
        <v>0</v>
      </c>
      <c r="N126" s="69">
        <f t="shared" si="14"/>
        <v>2919</v>
      </c>
      <c r="O126" s="39">
        <f t="shared" si="15"/>
        <v>3243.333333333333</v>
      </c>
      <c r="P126" s="136">
        <f t="shared" si="16"/>
        <v>83.615010025780592</v>
      </c>
      <c r="Q126" s="137">
        <f t="shared" si="17"/>
        <v>0.1</v>
      </c>
      <c r="R126" s="138">
        <f t="shared" si="18"/>
        <v>324.33333333333331</v>
      </c>
      <c r="S126" s="139">
        <v>0.8</v>
      </c>
      <c r="T126" s="138">
        <f t="shared" si="19"/>
        <v>2594.6666666666665</v>
      </c>
      <c r="U126" s="140">
        <f t="shared" si="20"/>
        <v>9.9999999999999978E-2</v>
      </c>
      <c r="V126" s="138">
        <f t="shared" si="21"/>
        <v>324.33333333333326</v>
      </c>
      <c r="W126" s="142">
        <f ca="1">V126*VLOOKUP(TODAY(),'UF HOY'!$A$2:$B$33,2,0)</f>
        <v>12887041.206666665</v>
      </c>
      <c r="X126" s="143">
        <f>Datos!$E$3</f>
        <v>31</v>
      </c>
      <c r="Y126" s="144">
        <f ca="1">IF((W126-1000000-Datos!$D$3)/X126&gt;0,(W126-1000000-Datos!$D$3)/X126,0)</f>
        <v>375388.42602150532</v>
      </c>
      <c r="Z126" s="143">
        <f>Datos!$F$3</f>
        <v>31</v>
      </c>
      <c r="AA126" s="144">
        <f ca="1">IF((W126-1750000-Datos!$D$3-3%*O126*VLOOKUP(TODAY(),'UF HOY'!$A$2:$B$33,2,0))/Z126&gt;0,(W126-1750000-Datos!$D$3-3%*O126*VLOOKUP(TODAY(),'UF HOY'!$A$2:$B$33,2,0))/Z126,0)</f>
        <v>226481.57563440857</v>
      </c>
      <c r="AB126" s="142">
        <f>IF(L126&gt;0,VLOOKUP(D126,Datos!$C$7:$E$11,3,0),VLOOKUP(D126,Datos!$C$7:$E$11,2,0))</f>
        <v>370000</v>
      </c>
      <c r="AC126" s="144">
        <f ca="1">(S126*PMT(Datos!$H$13,Datos!$H$12,-O126,,)*VLOOKUP(TODAY(),'UF HOY'!$A$2:$B$33,2,0)/12)+VLOOKUP(TODAY(),'UF HOY'!$A$2:$B$33,2,0)</f>
        <v>536573.18701407453</v>
      </c>
      <c r="AD126" s="144">
        <f t="shared" ca="1" si="22"/>
        <v>-166573.18701407453</v>
      </c>
      <c r="AE126" s="47">
        <f t="shared" ca="1" si="23"/>
        <v>2146292.7480562981</v>
      </c>
    </row>
    <row r="127" spans="1:31" s="145" customFormat="1" ht="15.5" hidden="1" x14ac:dyDescent="0.35">
      <c r="A127" s="129" t="s">
        <v>170</v>
      </c>
      <c r="B127" s="130">
        <v>1601</v>
      </c>
      <c r="C127" s="131" t="s">
        <v>151</v>
      </c>
      <c r="D127" s="131" t="s">
        <v>153</v>
      </c>
      <c r="E127" s="131"/>
      <c r="F127" s="131">
        <v>31.86</v>
      </c>
      <c r="G127" s="131">
        <v>3.6</v>
      </c>
      <c r="H127" s="132">
        <f t="shared" si="12"/>
        <v>33.659999999999997</v>
      </c>
      <c r="I127" s="132">
        <f t="shared" si="13"/>
        <v>35.46</v>
      </c>
      <c r="J127" s="69">
        <v>2919</v>
      </c>
      <c r="K127" s="134">
        <v>0</v>
      </c>
      <c r="L127" s="135">
        <v>0</v>
      </c>
      <c r="M127" s="135">
        <v>0</v>
      </c>
      <c r="N127" s="69">
        <f t="shared" si="14"/>
        <v>2919</v>
      </c>
      <c r="O127" s="39">
        <f t="shared" si="15"/>
        <v>3243.333333333333</v>
      </c>
      <c r="P127" s="136">
        <f t="shared" si="16"/>
        <v>86.720142602495557</v>
      </c>
      <c r="Q127" s="137">
        <f t="shared" si="17"/>
        <v>0.1</v>
      </c>
      <c r="R127" s="138">
        <f t="shared" si="18"/>
        <v>324.33333333333331</v>
      </c>
      <c r="S127" s="139">
        <v>0.8</v>
      </c>
      <c r="T127" s="138">
        <f t="shared" si="19"/>
        <v>2594.6666666666665</v>
      </c>
      <c r="U127" s="140">
        <f t="shared" si="20"/>
        <v>9.9999999999999978E-2</v>
      </c>
      <c r="V127" s="138">
        <f t="shared" si="21"/>
        <v>324.33333333333326</v>
      </c>
      <c r="W127" s="142">
        <f ca="1">V127*VLOOKUP(TODAY(),'UF HOY'!$A$2:$B$33,2,0)</f>
        <v>12887041.206666665</v>
      </c>
      <c r="X127" s="143">
        <f>Datos!$E$3</f>
        <v>31</v>
      </c>
      <c r="Y127" s="144">
        <f ca="1">IF((W127-1000000-Datos!$D$3)/X127&gt;0,(W127-1000000-Datos!$D$3)/X127,0)</f>
        <v>375388.42602150532</v>
      </c>
      <c r="Z127" s="143">
        <f>Datos!$F$3</f>
        <v>31</v>
      </c>
      <c r="AA127" s="144">
        <f ca="1">IF((W127-1750000-Datos!$D$3-3%*O127*VLOOKUP(TODAY(),'UF HOY'!$A$2:$B$33,2,0))/Z127&gt;0,(W127-1750000-Datos!$D$3-3%*O127*VLOOKUP(TODAY(),'UF HOY'!$A$2:$B$33,2,0))/Z127,0)</f>
        <v>226481.57563440857</v>
      </c>
      <c r="AB127" s="142">
        <f>IF(L127&gt;0,VLOOKUP(D127,Datos!$C$7:$E$11,3,0),VLOOKUP(D127,Datos!$C$7:$E$11,2,0))</f>
        <v>370000</v>
      </c>
      <c r="AC127" s="144">
        <f ca="1">(S127*PMT(Datos!$H$13,Datos!$H$12,-O127,,)*VLOOKUP(TODAY(),'UF HOY'!$A$2:$B$33,2,0)/12)+VLOOKUP(TODAY(),'UF HOY'!$A$2:$B$33,2,0)</f>
        <v>536573.18701407453</v>
      </c>
      <c r="AD127" s="144">
        <f t="shared" ca="1" si="22"/>
        <v>-166573.18701407453</v>
      </c>
      <c r="AE127" s="47">
        <f t="shared" ca="1" si="23"/>
        <v>2146292.7480562981</v>
      </c>
    </row>
    <row r="128" spans="1:31" s="145" customFormat="1" ht="15.5" hidden="1" x14ac:dyDescent="0.35">
      <c r="A128" s="129" t="s">
        <v>170</v>
      </c>
      <c r="B128" s="130">
        <v>1603</v>
      </c>
      <c r="C128" s="131" t="s">
        <v>151</v>
      </c>
      <c r="D128" s="131" t="s">
        <v>153</v>
      </c>
      <c r="E128" s="131"/>
      <c r="F128" s="131">
        <v>33.369999999999997</v>
      </c>
      <c r="G128" s="131">
        <v>3.17</v>
      </c>
      <c r="H128" s="132">
        <f t="shared" si="12"/>
        <v>34.954999999999998</v>
      </c>
      <c r="I128" s="132">
        <f t="shared" si="13"/>
        <v>36.54</v>
      </c>
      <c r="J128" s="69">
        <v>2919</v>
      </c>
      <c r="K128" s="134">
        <v>0</v>
      </c>
      <c r="L128" s="135">
        <v>0</v>
      </c>
      <c r="M128" s="135">
        <v>0</v>
      </c>
      <c r="N128" s="69">
        <f t="shared" si="14"/>
        <v>2919</v>
      </c>
      <c r="O128" s="39">
        <f t="shared" si="15"/>
        <v>3243.333333333333</v>
      </c>
      <c r="P128" s="136">
        <f t="shared" si="16"/>
        <v>83.507366614218284</v>
      </c>
      <c r="Q128" s="137">
        <f t="shared" si="17"/>
        <v>0.1</v>
      </c>
      <c r="R128" s="138">
        <f t="shared" si="18"/>
        <v>324.33333333333331</v>
      </c>
      <c r="S128" s="139">
        <v>0.8</v>
      </c>
      <c r="T128" s="138">
        <f t="shared" si="19"/>
        <v>2594.6666666666665</v>
      </c>
      <c r="U128" s="140">
        <f t="shared" si="20"/>
        <v>9.9999999999999978E-2</v>
      </c>
      <c r="V128" s="138">
        <f t="shared" si="21"/>
        <v>324.33333333333326</v>
      </c>
      <c r="W128" s="142">
        <f ca="1">V128*VLOOKUP(TODAY(),'UF HOY'!$A$2:$B$33,2,0)</f>
        <v>12887041.206666665</v>
      </c>
      <c r="X128" s="143">
        <f>Datos!$E$3</f>
        <v>31</v>
      </c>
      <c r="Y128" s="144">
        <f ca="1">IF((W128-1000000-Datos!$D$3)/X128&gt;0,(W128-1000000-Datos!$D$3)/X128,0)</f>
        <v>375388.42602150532</v>
      </c>
      <c r="Z128" s="143">
        <f>Datos!$F$3</f>
        <v>31</v>
      </c>
      <c r="AA128" s="144">
        <f ca="1">IF((W128-1750000-Datos!$D$3-3%*O128*VLOOKUP(TODAY(),'UF HOY'!$A$2:$B$33,2,0))/Z128&gt;0,(W128-1750000-Datos!$D$3-3%*O128*VLOOKUP(TODAY(),'UF HOY'!$A$2:$B$33,2,0))/Z128,0)</f>
        <v>226481.57563440857</v>
      </c>
      <c r="AB128" s="142">
        <f>IF(L128&gt;0,VLOOKUP(D128,Datos!$C$7:$E$11,3,0),VLOOKUP(D128,Datos!$C$7:$E$11,2,0))</f>
        <v>370000</v>
      </c>
      <c r="AC128" s="144">
        <f ca="1">(S128*PMT(Datos!$H$13,Datos!$H$12,-O128,,)*VLOOKUP(TODAY(),'UF HOY'!$A$2:$B$33,2,0)/12)+VLOOKUP(TODAY(),'UF HOY'!$A$2:$B$33,2,0)</f>
        <v>536573.18701407453</v>
      </c>
      <c r="AD128" s="144">
        <f t="shared" ca="1" si="22"/>
        <v>-166573.18701407453</v>
      </c>
      <c r="AE128" s="47">
        <f t="shared" ca="1" si="23"/>
        <v>2146292.7480562981</v>
      </c>
    </row>
    <row r="129" spans="1:31" s="145" customFormat="1" ht="15.5" x14ac:dyDescent="0.35">
      <c r="A129" s="129" t="s">
        <v>105</v>
      </c>
      <c r="B129" s="130">
        <v>1602</v>
      </c>
      <c r="C129" s="131" t="s">
        <v>151</v>
      </c>
      <c r="D129" s="131" t="s">
        <v>153</v>
      </c>
      <c r="E129" s="131"/>
      <c r="F129" s="131">
        <v>33.369999999999997</v>
      </c>
      <c r="G129" s="131">
        <v>3.17</v>
      </c>
      <c r="H129" s="132">
        <f t="shared" si="12"/>
        <v>34.954999999999998</v>
      </c>
      <c r="I129" s="132">
        <f t="shared" si="13"/>
        <v>36.54</v>
      </c>
      <c r="J129" s="69">
        <v>2919</v>
      </c>
      <c r="K129" s="134">
        <v>0</v>
      </c>
      <c r="L129" s="135">
        <v>0</v>
      </c>
      <c r="M129" s="135">
        <v>0</v>
      </c>
      <c r="N129" s="69">
        <f t="shared" si="14"/>
        <v>2919</v>
      </c>
      <c r="O129" s="39">
        <f t="shared" si="15"/>
        <v>3243.333333333333</v>
      </c>
      <c r="P129" s="136">
        <f t="shared" si="16"/>
        <v>83.507366614218284</v>
      </c>
      <c r="Q129" s="137">
        <f t="shared" si="17"/>
        <v>0.1</v>
      </c>
      <c r="R129" s="138">
        <f t="shared" si="18"/>
        <v>324.33333333333331</v>
      </c>
      <c r="S129" s="139">
        <v>0.8</v>
      </c>
      <c r="T129" s="138">
        <f t="shared" si="19"/>
        <v>2594.6666666666665</v>
      </c>
      <c r="U129" s="140">
        <f t="shared" si="20"/>
        <v>9.9999999999999978E-2</v>
      </c>
      <c r="V129" s="138">
        <f t="shared" si="21"/>
        <v>324.33333333333326</v>
      </c>
      <c r="W129" s="142">
        <f ca="1">V129*VLOOKUP(TODAY(),'UF HOY'!$A$2:$B$33,2,0)</f>
        <v>12887041.206666665</v>
      </c>
      <c r="X129" s="143">
        <f>Datos!$E$3</f>
        <v>31</v>
      </c>
      <c r="Y129" s="144">
        <f ca="1">IF((W129-1000000-Datos!$D$3)/X129&gt;0,(W129-1000000-Datos!$D$3)/X129,0)</f>
        <v>375388.42602150532</v>
      </c>
      <c r="Z129" s="143">
        <f>Datos!$F$3</f>
        <v>31</v>
      </c>
      <c r="AA129" s="144">
        <f ca="1">IF((W129-1750000-Datos!$D$3-3%*O129*VLOOKUP(TODAY(),'UF HOY'!$A$2:$B$33,2,0))/Z129&gt;0,(W129-1750000-Datos!$D$3-3%*O129*VLOOKUP(TODAY(),'UF HOY'!$A$2:$B$33,2,0))/Z129,0)</f>
        <v>226481.57563440857</v>
      </c>
      <c r="AB129" s="142">
        <f>IF(L129&gt;0,VLOOKUP(D129,Datos!$C$7:$E$11,3,0),VLOOKUP(D129,Datos!$C$7:$E$11,2,0))</f>
        <v>370000</v>
      </c>
      <c r="AC129" s="144">
        <f ca="1">(S129*PMT(Datos!$H$13,Datos!$H$12,-O129,,)*VLOOKUP(TODAY(),'UF HOY'!$A$2:$B$33,2,0)/12)+VLOOKUP(TODAY(),'UF HOY'!$A$2:$B$33,2,0)</f>
        <v>536573.18701407453</v>
      </c>
      <c r="AD129" s="144">
        <f t="shared" ca="1" si="22"/>
        <v>-166573.18701407453</v>
      </c>
      <c r="AE129" s="47">
        <f t="shared" ca="1" si="23"/>
        <v>2146292.7480562981</v>
      </c>
    </row>
    <row r="130" spans="1:31" s="145" customFormat="1" ht="15.5" hidden="1" x14ac:dyDescent="0.35">
      <c r="A130" s="129" t="s">
        <v>170</v>
      </c>
      <c r="B130" s="130">
        <v>1604</v>
      </c>
      <c r="C130" s="131" t="s">
        <v>151</v>
      </c>
      <c r="D130" s="131" t="s">
        <v>153</v>
      </c>
      <c r="E130" s="131"/>
      <c r="F130" s="131">
        <v>31.86</v>
      </c>
      <c r="G130" s="131">
        <v>3.6</v>
      </c>
      <c r="H130" s="132">
        <f t="shared" ref="H130:H193" si="24">F130+G130/2</f>
        <v>33.659999999999997</v>
      </c>
      <c r="I130" s="132">
        <f t="shared" ref="I130:I193" si="25">F130+G130</f>
        <v>35.46</v>
      </c>
      <c r="J130" s="350">
        <v>2919</v>
      </c>
      <c r="K130" s="134">
        <v>0</v>
      </c>
      <c r="L130" s="135">
        <v>0</v>
      </c>
      <c r="M130" s="135">
        <v>0</v>
      </c>
      <c r="N130" s="69">
        <f t="shared" ref="N130:N193" si="26">J130-(J130*K130)+L130+M130</f>
        <v>2919</v>
      </c>
      <c r="O130" s="39">
        <f t="shared" ref="O130:O193" si="27">N130/0.9</f>
        <v>3243.333333333333</v>
      </c>
      <c r="P130" s="136">
        <f t="shared" ref="P130:P193" si="28">(N130-L130-M130)/H130</f>
        <v>86.720142602495557</v>
      </c>
      <c r="Q130" s="137">
        <f t="shared" ref="Q130:Q193" si="29">R130/O130</f>
        <v>0.1</v>
      </c>
      <c r="R130" s="138">
        <f t="shared" ref="R130:R193" si="30">O130*0.1</f>
        <v>324.33333333333331</v>
      </c>
      <c r="S130" s="139">
        <v>0.8</v>
      </c>
      <c r="T130" s="138">
        <f t="shared" ref="T130:T193" si="31">S130*O130</f>
        <v>2594.6666666666665</v>
      </c>
      <c r="U130" s="140">
        <f t="shared" ref="U130:U193" si="32">100%-Q130-S130</f>
        <v>9.9999999999999978E-2</v>
      </c>
      <c r="V130" s="138">
        <f t="shared" ref="V130:V193" si="33">O130*U130</f>
        <v>324.33333333333326</v>
      </c>
      <c r="W130" s="142">
        <f ca="1">V130*VLOOKUP(TODAY(),'UF HOY'!$A$2:$B$33,2,0)</f>
        <v>12887041.206666665</v>
      </c>
      <c r="X130" s="143">
        <f>Datos!$E$3</f>
        <v>31</v>
      </c>
      <c r="Y130" s="144">
        <f ca="1">IF((W130-1000000-Datos!$D$3)/X130&gt;0,(W130-1000000-Datos!$D$3)/X130,0)</f>
        <v>375388.42602150532</v>
      </c>
      <c r="Z130" s="143">
        <f>Datos!$F$3</f>
        <v>31</v>
      </c>
      <c r="AA130" s="144">
        <f ca="1">IF((W130-1750000-Datos!$D$3-3%*O130*VLOOKUP(TODAY(),'UF HOY'!$A$2:$B$33,2,0))/Z130&gt;0,(W130-1750000-Datos!$D$3-3%*O130*VLOOKUP(TODAY(),'UF HOY'!$A$2:$B$33,2,0))/Z130,0)</f>
        <v>226481.57563440857</v>
      </c>
      <c r="AB130" s="142">
        <f>IF(L130&gt;0,VLOOKUP(D130,Datos!$C$7:$E$11,3,0),VLOOKUP(D130,Datos!$C$7:$E$11,2,0))</f>
        <v>370000</v>
      </c>
      <c r="AC130" s="144">
        <f ca="1">(S130*PMT(Datos!$H$13,Datos!$H$12,-O130,,)*VLOOKUP(TODAY(),'UF HOY'!$A$2:$B$33,2,0)/12)+VLOOKUP(TODAY(),'UF HOY'!$A$2:$B$33,2,0)</f>
        <v>536573.18701407453</v>
      </c>
      <c r="AD130" s="144">
        <f t="shared" ref="AD130:AD193" ca="1" si="34">AB130-AC130</f>
        <v>-166573.18701407453</v>
      </c>
      <c r="AE130" s="47">
        <f t="shared" ref="AE130:AE193" ca="1" si="35">IF((AC130/0.25)&lt;=1600000,1600000,(AC130/0.25))</f>
        <v>2146292.7480562981</v>
      </c>
    </row>
    <row r="131" spans="1:31" s="145" customFormat="1" ht="15.5" hidden="1" x14ac:dyDescent="0.35">
      <c r="A131" s="129" t="s">
        <v>170</v>
      </c>
      <c r="B131" s="130">
        <v>1616</v>
      </c>
      <c r="C131" s="131" t="s">
        <v>151</v>
      </c>
      <c r="D131" s="131" t="s">
        <v>153</v>
      </c>
      <c r="E131" s="131"/>
      <c r="F131" s="131">
        <v>33.369999999999997</v>
      </c>
      <c r="G131" s="131">
        <v>3.17</v>
      </c>
      <c r="H131" s="132">
        <f t="shared" si="24"/>
        <v>34.954999999999998</v>
      </c>
      <c r="I131" s="132">
        <f t="shared" si="25"/>
        <v>36.54</v>
      </c>
      <c r="J131" s="69">
        <v>2919</v>
      </c>
      <c r="K131" s="134">
        <v>0</v>
      </c>
      <c r="L131" s="135">
        <v>0</v>
      </c>
      <c r="M131" s="135">
        <v>0</v>
      </c>
      <c r="N131" s="69">
        <f t="shared" si="26"/>
        <v>2919</v>
      </c>
      <c r="O131" s="39">
        <f t="shared" si="27"/>
        <v>3243.333333333333</v>
      </c>
      <c r="P131" s="136">
        <f t="shared" si="28"/>
        <v>83.507366614218284</v>
      </c>
      <c r="Q131" s="137">
        <f t="shared" si="29"/>
        <v>0.1</v>
      </c>
      <c r="R131" s="138">
        <f t="shared" si="30"/>
        <v>324.33333333333331</v>
      </c>
      <c r="S131" s="139">
        <v>0.8</v>
      </c>
      <c r="T131" s="138">
        <f t="shared" si="31"/>
        <v>2594.6666666666665</v>
      </c>
      <c r="U131" s="140">
        <f t="shared" si="32"/>
        <v>9.9999999999999978E-2</v>
      </c>
      <c r="V131" s="138">
        <f t="shared" si="33"/>
        <v>324.33333333333326</v>
      </c>
      <c r="W131" s="142">
        <f ca="1">V131*VLOOKUP(TODAY(),'UF HOY'!$A$2:$B$33,2,0)</f>
        <v>12887041.206666665</v>
      </c>
      <c r="X131" s="143">
        <f>Datos!$E$3</f>
        <v>31</v>
      </c>
      <c r="Y131" s="144">
        <f ca="1">IF((W131-1000000-Datos!$D$3)/X131&gt;0,(W131-1000000-Datos!$D$3)/X131,0)</f>
        <v>375388.42602150532</v>
      </c>
      <c r="Z131" s="143">
        <f>Datos!$F$3</f>
        <v>31</v>
      </c>
      <c r="AA131" s="144">
        <f ca="1">IF((W131-1750000-Datos!$D$3-3%*O131*VLOOKUP(TODAY(),'UF HOY'!$A$2:$B$33,2,0))/Z131&gt;0,(W131-1750000-Datos!$D$3-3%*O131*VLOOKUP(TODAY(),'UF HOY'!$A$2:$B$33,2,0))/Z131,0)</f>
        <v>226481.57563440857</v>
      </c>
      <c r="AB131" s="142">
        <f>IF(L131&gt;0,VLOOKUP(D131,Datos!$C$7:$E$11,3,0),VLOOKUP(D131,Datos!$C$7:$E$11,2,0))</f>
        <v>370000</v>
      </c>
      <c r="AC131" s="144">
        <f ca="1">(S131*PMT(Datos!$H$13,Datos!$H$12,-O131,,)*VLOOKUP(TODAY(),'UF HOY'!$A$2:$B$33,2,0)/12)+VLOOKUP(TODAY(),'UF HOY'!$A$2:$B$33,2,0)</f>
        <v>536573.18701407453</v>
      </c>
      <c r="AD131" s="144">
        <f t="shared" ca="1" si="34"/>
        <v>-166573.18701407453</v>
      </c>
      <c r="AE131" s="47">
        <f t="shared" ca="1" si="35"/>
        <v>2146292.7480562981</v>
      </c>
    </row>
    <row r="132" spans="1:31" s="145" customFormat="1" ht="15.5" hidden="1" x14ac:dyDescent="0.35">
      <c r="A132" s="129" t="s">
        <v>170</v>
      </c>
      <c r="B132" s="130">
        <v>1008</v>
      </c>
      <c r="C132" s="131" t="s">
        <v>152</v>
      </c>
      <c r="D132" s="131" t="s">
        <v>153</v>
      </c>
      <c r="E132" s="131"/>
      <c r="F132" s="131">
        <v>31.86</v>
      </c>
      <c r="G132" s="131">
        <v>3.6</v>
      </c>
      <c r="H132" s="132">
        <f t="shared" si="24"/>
        <v>33.659999999999997</v>
      </c>
      <c r="I132" s="132">
        <f t="shared" si="25"/>
        <v>35.46</v>
      </c>
      <c r="J132" s="69">
        <v>2921</v>
      </c>
      <c r="K132" s="134">
        <v>0</v>
      </c>
      <c r="L132" s="135">
        <v>0</v>
      </c>
      <c r="M132" s="135">
        <v>0</v>
      </c>
      <c r="N132" s="69">
        <f t="shared" si="26"/>
        <v>2921</v>
      </c>
      <c r="O132" s="39">
        <f t="shared" si="27"/>
        <v>3245.5555555555557</v>
      </c>
      <c r="P132" s="136">
        <f t="shared" si="28"/>
        <v>86.77956030897208</v>
      </c>
      <c r="Q132" s="137">
        <f t="shared" si="29"/>
        <v>0.1</v>
      </c>
      <c r="R132" s="138">
        <f t="shared" si="30"/>
        <v>324.5555555555556</v>
      </c>
      <c r="S132" s="139">
        <v>0.8</v>
      </c>
      <c r="T132" s="138">
        <f t="shared" si="31"/>
        <v>2596.4444444444448</v>
      </c>
      <c r="U132" s="140">
        <f t="shared" si="32"/>
        <v>9.9999999999999978E-2</v>
      </c>
      <c r="V132" s="138">
        <f t="shared" si="33"/>
        <v>324.55555555555549</v>
      </c>
      <c r="W132" s="142">
        <f ca="1">V132*VLOOKUP(TODAY(),'UF HOY'!$A$2:$B$33,2,0)</f>
        <v>12895870.971111109</v>
      </c>
      <c r="X132" s="143">
        <f>Datos!$E$3</f>
        <v>31</v>
      </c>
      <c r="Y132" s="144">
        <f ca="1">IF((W132-1000000-Datos!$D$3)/X132&gt;0,(W132-1000000-Datos!$D$3)/X132,0)</f>
        <v>375673.25713261642</v>
      </c>
      <c r="Z132" s="143">
        <f>Datos!$F$3</f>
        <v>31</v>
      </c>
      <c r="AA132" s="144">
        <f ca="1">IF((W132-1750000-Datos!$D$3-3%*O132*VLOOKUP(TODAY(),'UF HOY'!$A$2:$B$33,2,0))/Z132&gt;0,(W132-1750000-Datos!$D$3-3%*O132*VLOOKUP(TODAY(),'UF HOY'!$A$2:$B$33,2,0))/Z132,0)</f>
        <v>226680.95741218634</v>
      </c>
      <c r="AB132" s="142">
        <f>IF(L132&gt;0,VLOOKUP(D132,Datos!$C$7:$E$11,3,0),VLOOKUP(D132,Datos!$C$7:$E$11,2,0))</f>
        <v>370000</v>
      </c>
      <c r="AC132" s="144">
        <f ca="1">(S132*PMT(Datos!$H$13,Datos!$H$12,-O132,,)*VLOOKUP(TODAY(),'UF HOY'!$A$2:$B$33,2,0)/12)+VLOOKUP(TODAY(),'UF HOY'!$A$2:$B$33,2,0)</f>
        <v>536913.60444950731</v>
      </c>
      <c r="AD132" s="144">
        <f t="shared" ca="1" si="34"/>
        <v>-166913.60444950731</v>
      </c>
      <c r="AE132" s="47">
        <f t="shared" ca="1" si="35"/>
        <v>2147654.4177980293</v>
      </c>
    </row>
    <row r="133" spans="1:31" s="145" customFormat="1" ht="15.5" hidden="1" x14ac:dyDescent="0.35">
      <c r="A133" s="129" t="s">
        <v>170</v>
      </c>
      <c r="B133" s="130">
        <v>1009</v>
      </c>
      <c r="C133" s="131" t="s">
        <v>152</v>
      </c>
      <c r="D133" s="131" t="s">
        <v>153</v>
      </c>
      <c r="E133" s="131"/>
      <c r="F133" s="131">
        <v>31.86</v>
      </c>
      <c r="G133" s="131">
        <v>3.6</v>
      </c>
      <c r="H133" s="132">
        <f t="shared" si="24"/>
        <v>33.659999999999997</v>
      </c>
      <c r="I133" s="132">
        <f t="shared" si="25"/>
        <v>35.46</v>
      </c>
      <c r="J133" s="69">
        <v>2921</v>
      </c>
      <c r="K133" s="134">
        <v>0</v>
      </c>
      <c r="L133" s="135">
        <v>0</v>
      </c>
      <c r="M133" s="135">
        <v>0</v>
      </c>
      <c r="N133" s="69">
        <f t="shared" si="26"/>
        <v>2921</v>
      </c>
      <c r="O133" s="39">
        <f t="shared" si="27"/>
        <v>3245.5555555555557</v>
      </c>
      <c r="P133" s="136">
        <f t="shared" si="28"/>
        <v>86.77956030897208</v>
      </c>
      <c r="Q133" s="137">
        <f t="shared" si="29"/>
        <v>0.1</v>
      </c>
      <c r="R133" s="138">
        <f t="shared" si="30"/>
        <v>324.5555555555556</v>
      </c>
      <c r="S133" s="139">
        <v>0.8</v>
      </c>
      <c r="T133" s="138">
        <f t="shared" si="31"/>
        <v>2596.4444444444448</v>
      </c>
      <c r="U133" s="140">
        <f t="shared" si="32"/>
        <v>9.9999999999999978E-2</v>
      </c>
      <c r="V133" s="138">
        <f t="shared" si="33"/>
        <v>324.55555555555549</v>
      </c>
      <c r="W133" s="142">
        <f ca="1">V133*VLOOKUP(TODAY(),'UF HOY'!$A$2:$B$33,2,0)</f>
        <v>12895870.971111109</v>
      </c>
      <c r="X133" s="143">
        <f>Datos!$E$3</f>
        <v>31</v>
      </c>
      <c r="Y133" s="144">
        <f ca="1">IF((W133-1000000-Datos!$D$3)/X133&gt;0,(W133-1000000-Datos!$D$3)/X133,0)</f>
        <v>375673.25713261642</v>
      </c>
      <c r="Z133" s="143">
        <f>Datos!$F$3</f>
        <v>31</v>
      </c>
      <c r="AA133" s="144">
        <f ca="1">IF((W133-1750000-Datos!$D$3-3%*O133*VLOOKUP(TODAY(),'UF HOY'!$A$2:$B$33,2,0))/Z133&gt;0,(W133-1750000-Datos!$D$3-3%*O133*VLOOKUP(TODAY(),'UF HOY'!$A$2:$B$33,2,0))/Z133,0)</f>
        <v>226680.95741218634</v>
      </c>
      <c r="AB133" s="142">
        <f>IF(L133&gt;0,VLOOKUP(D133,Datos!$C$7:$E$11,3,0),VLOOKUP(D133,Datos!$C$7:$E$11,2,0))</f>
        <v>370000</v>
      </c>
      <c r="AC133" s="144">
        <f ca="1">(S133*PMT(Datos!$H$13,Datos!$H$12,-O133,,)*VLOOKUP(TODAY(),'UF HOY'!$A$2:$B$33,2,0)/12)+VLOOKUP(TODAY(),'UF HOY'!$A$2:$B$33,2,0)</f>
        <v>536913.60444950731</v>
      </c>
      <c r="AD133" s="144">
        <f t="shared" ca="1" si="34"/>
        <v>-166913.60444950731</v>
      </c>
      <c r="AE133" s="47">
        <f t="shared" ca="1" si="35"/>
        <v>2147654.4177980293</v>
      </c>
    </row>
    <row r="134" spans="1:31" s="145" customFormat="1" ht="15.5" hidden="1" x14ac:dyDescent="0.35">
      <c r="A134" s="129" t="s">
        <v>170</v>
      </c>
      <c r="B134" s="129">
        <v>1010</v>
      </c>
      <c r="C134" s="131" t="s">
        <v>152</v>
      </c>
      <c r="D134" s="131" t="s">
        <v>153</v>
      </c>
      <c r="E134" s="131"/>
      <c r="F134" s="131">
        <v>31.86</v>
      </c>
      <c r="G134" s="131">
        <v>3.6</v>
      </c>
      <c r="H134" s="132">
        <f t="shared" si="24"/>
        <v>33.659999999999997</v>
      </c>
      <c r="I134" s="132">
        <f t="shared" si="25"/>
        <v>35.46</v>
      </c>
      <c r="J134" s="69">
        <v>2921.1446989440942</v>
      </c>
      <c r="K134" s="134">
        <v>0</v>
      </c>
      <c r="L134" s="135">
        <v>0</v>
      </c>
      <c r="M134" s="135">
        <v>0</v>
      </c>
      <c r="N134" s="69">
        <f t="shared" si="26"/>
        <v>2921.1446989440942</v>
      </c>
      <c r="O134" s="39">
        <f t="shared" si="27"/>
        <v>3245.7163321601047</v>
      </c>
      <c r="P134" s="136">
        <f t="shared" si="28"/>
        <v>86.783859148665911</v>
      </c>
      <c r="Q134" s="137">
        <f t="shared" si="29"/>
        <v>0.1</v>
      </c>
      <c r="R134" s="138">
        <f t="shared" si="30"/>
        <v>324.57163321601047</v>
      </c>
      <c r="S134" s="139">
        <v>0.8</v>
      </c>
      <c r="T134" s="138">
        <f t="shared" si="31"/>
        <v>2596.5730657280837</v>
      </c>
      <c r="U134" s="140">
        <f t="shared" si="32"/>
        <v>9.9999999999999978E-2</v>
      </c>
      <c r="V134" s="138">
        <f t="shared" si="33"/>
        <v>324.57163321601041</v>
      </c>
      <c r="W134" s="142">
        <f ca="1">V134*VLOOKUP(TODAY(),'UF HOY'!$A$2:$B$33,2,0)</f>
        <v>12896509.799906965</v>
      </c>
      <c r="X134" s="143">
        <f>Datos!$E$3</f>
        <v>31</v>
      </c>
      <c r="Y134" s="144">
        <f ca="1">IF((W134-1000000-Datos!$D$3)/X134&gt;0,(W134-1000000-Datos!$D$3)/X134,0)</f>
        <v>375693.86451312789</v>
      </c>
      <c r="Z134" s="143">
        <f>Datos!$F$3</f>
        <v>31</v>
      </c>
      <c r="AA134" s="144">
        <f ca="1">IF((W134-1750000-Datos!$D$3-3%*O134*VLOOKUP(TODAY(),'UF HOY'!$A$2:$B$33,2,0))/Z134&gt;0,(W134-1750000-Datos!$D$3-3%*O134*VLOOKUP(TODAY(),'UF HOY'!$A$2:$B$33,2,0))/Z134,0)</f>
        <v>226695.38257854438</v>
      </c>
      <c r="AB134" s="142">
        <f>IF(L134&gt;0,VLOOKUP(D134,Datos!$C$7:$E$11,3,0),VLOOKUP(D134,Datos!$C$7:$E$11,2,0))</f>
        <v>370000</v>
      </c>
      <c r="AC134" s="144">
        <f ca="1">(S134*PMT(Datos!$H$13,Datos!$H$12,-O134,,)*VLOOKUP(TODAY(),'UF HOY'!$A$2:$B$33,2,0)/12)+VLOOKUP(TODAY(),'UF HOY'!$A$2:$B$33,2,0)</f>
        <v>536938.23347123654</v>
      </c>
      <c r="AD134" s="144">
        <f t="shared" ca="1" si="34"/>
        <v>-166938.23347123654</v>
      </c>
      <c r="AE134" s="47">
        <f t="shared" ca="1" si="35"/>
        <v>2147752.9338849462</v>
      </c>
    </row>
    <row r="135" spans="1:31" s="145" customFormat="1" ht="15.5" hidden="1" x14ac:dyDescent="0.35">
      <c r="A135" s="129" t="s">
        <v>170</v>
      </c>
      <c r="B135" s="130">
        <v>1007</v>
      </c>
      <c r="C135" s="131" t="s">
        <v>152</v>
      </c>
      <c r="D135" s="131" t="s">
        <v>153</v>
      </c>
      <c r="E135" s="131"/>
      <c r="F135" s="131">
        <v>31.86</v>
      </c>
      <c r="G135" s="131">
        <v>3.6</v>
      </c>
      <c r="H135" s="132">
        <f t="shared" si="24"/>
        <v>33.659999999999997</v>
      </c>
      <c r="I135" s="132">
        <f t="shared" si="25"/>
        <v>35.46</v>
      </c>
      <c r="J135" s="69">
        <v>2922</v>
      </c>
      <c r="K135" s="134">
        <v>0</v>
      </c>
      <c r="L135" s="135">
        <v>0</v>
      </c>
      <c r="M135" s="135">
        <v>0</v>
      </c>
      <c r="N135" s="69">
        <f t="shared" si="26"/>
        <v>2922</v>
      </c>
      <c r="O135" s="39">
        <f t="shared" si="27"/>
        <v>3246.6666666666665</v>
      </c>
      <c r="P135" s="136">
        <f t="shared" si="28"/>
        <v>86.809269162210342</v>
      </c>
      <c r="Q135" s="137">
        <f t="shared" si="29"/>
        <v>0.1</v>
      </c>
      <c r="R135" s="138">
        <f t="shared" si="30"/>
        <v>324.66666666666669</v>
      </c>
      <c r="S135" s="139">
        <v>0.8</v>
      </c>
      <c r="T135" s="138">
        <f t="shared" si="31"/>
        <v>2597.3333333333335</v>
      </c>
      <c r="U135" s="140">
        <f t="shared" si="32"/>
        <v>9.9999999999999978E-2</v>
      </c>
      <c r="V135" s="138">
        <f t="shared" si="33"/>
        <v>324.66666666666657</v>
      </c>
      <c r="W135" s="142">
        <f ca="1">V135*VLOOKUP(TODAY(),'UF HOY'!$A$2:$B$33,2,0)</f>
        <v>12900285.85333333</v>
      </c>
      <c r="X135" s="143">
        <f>Datos!$E$3</f>
        <v>31</v>
      </c>
      <c r="Y135" s="144">
        <f ca="1">IF((W135-1000000-Datos!$D$3)/X135&gt;0,(W135-1000000-Datos!$D$3)/X135,0)</f>
        <v>375815.67268817191</v>
      </c>
      <c r="Z135" s="143">
        <f>Datos!$F$3</f>
        <v>31</v>
      </c>
      <c r="AA135" s="144">
        <f ca="1">IF((W135-1750000-Datos!$D$3-3%*O135*VLOOKUP(TODAY(),'UF HOY'!$A$2:$B$33,2,0))/Z135&gt;0,(W135-1750000-Datos!$D$3-3%*O135*VLOOKUP(TODAY(),'UF HOY'!$A$2:$B$33,2,0))/Z135,0)</f>
        <v>226780.64830107515</v>
      </c>
      <c r="AB135" s="142">
        <f>IF(L135&gt;0,VLOOKUP(D135,Datos!$C$7:$E$11,3,0),VLOOKUP(D135,Datos!$C$7:$E$11,2,0))</f>
        <v>370000</v>
      </c>
      <c r="AC135" s="144">
        <f ca="1">(S135*PMT(Datos!$H$13,Datos!$H$12,-O135,,)*VLOOKUP(TODAY(),'UF HOY'!$A$2:$B$33,2,0)/12)+VLOOKUP(TODAY(),'UF HOY'!$A$2:$B$33,2,0)</f>
        <v>537083.81316722382</v>
      </c>
      <c r="AD135" s="144">
        <f t="shared" ca="1" si="34"/>
        <v>-167083.81316722382</v>
      </c>
      <c r="AE135" s="47">
        <f t="shared" ca="1" si="35"/>
        <v>2148335.2526688953</v>
      </c>
    </row>
    <row r="136" spans="1:31" s="145" customFormat="1" ht="15.5" hidden="1" x14ac:dyDescent="0.35">
      <c r="A136" s="129" t="s">
        <v>170</v>
      </c>
      <c r="B136" s="129">
        <v>1013</v>
      </c>
      <c r="C136" s="131" t="s">
        <v>152</v>
      </c>
      <c r="D136" s="131" t="s">
        <v>153</v>
      </c>
      <c r="E136" s="131"/>
      <c r="F136" s="131">
        <v>31.86</v>
      </c>
      <c r="G136" s="131">
        <v>3.6</v>
      </c>
      <c r="H136" s="132">
        <f t="shared" si="24"/>
        <v>33.659999999999997</v>
      </c>
      <c r="I136" s="132">
        <f t="shared" si="25"/>
        <v>35.46</v>
      </c>
      <c r="J136" s="69">
        <v>2922</v>
      </c>
      <c r="K136" s="134">
        <v>0</v>
      </c>
      <c r="L136" s="135">
        <v>0</v>
      </c>
      <c r="M136" s="135">
        <v>0</v>
      </c>
      <c r="N136" s="69">
        <f t="shared" si="26"/>
        <v>2922</v>
      </c>
      <c r="O136" s="39">
        <f t="shared" si="27"/>
        <v>3246.6666666666665</v>
      </c>
      <c r="P136" s="136">
        <f t="shared" si="28"/>
        <v>86.809269162210342</v>
      </c>
      <c r="Q136" s="137">
        <f t="shared" si="29"/>
        <v>0.1</v>
      </c>
      <c r="R136" s="138">
        <f t="shared" si="30"/>
        <v>324.66666666666669</v>
      </c>
      <c r="S136" s="139">
        <v>0.8</v>
      </c>
      <c r="T136" s="138">
        <f t="shared" si="31"/>
        <v>2597.3333333333335</v>
      </c>
      <c r="U136" s="140">
        <f t="shared" si="32"/>
        <v>9.9999999999999978E-2</v>
      </c>
      <c r="V136" s="138">
        <f t="shared" si="33"/>
        <v>324.66666666666657</v>
      </c>
      <c r="W136" s="142">
        <f ca="1">V136*VLOOKUP(TODAY(),'UF HOY'!$A$2:$B$33,2,0)</f>
        <v>12900285.85333333</v>
      </c>
      <c r="X136" s="143">
        <f>Datos!$E$3</f>
        <v>31</v>
      </c>
      <c r="Y136" s="144">
        <f ca="1">IF((W136-1000000-Datos!$D$3)/X136&gt;0,(W136-1000000-Datos!$D$3)/X136,0)</f>
        <v>375815.67268817191</v>
      </c>
      <c r="Z136" s="143">
        <f>Datos!$F$3</f>
        <v>31</v>
      </c>
      <c r="AA136" s="144">
        <f ca="1">IF((W136-1750000-Datos!$D$3-3%*O136*VLOOKUP(TODAY(),'UF HOY'!$A$2:$B$33,2,0))/Z136&gt;0,(W136-1750000-Datos!$D$3-3%*O136*VLOOKUP(TODAY(),'UF HOY'!$A$2:$B$33,2,0))/Z136,0)</f>
        <v>226780.64830107515</v>
      </c>
      <c r="AB136" s="142">
        <f>IF(L136&gt;0,VLOOKUP(D136,Datos!$C$7:$E$11,3,0),VLOOKUP(D136,Datos!$C$7:$E$11,2,0))</f>
        <v>370000</v>
      </c>
      <c r="AC136" s="144">
        <f ca="1">(S136*PMT(Datos!$H$13,Datos!$H$12,-O136,,)*VLOOKUP(TODAY(),'UF HOY'!$A$2:$B$33,2,0)/12)+VLOOKUP(TODAY(),'UF HOY'!$A$2:$B$33,2,0)</f>
        <v>537083.81316722382</v>
      </c>
      <c r="AD136" s="144">
        <f t="shared" ca="1" si="34"/>
        <v>-167083.81316722382</v>
      </c>
      <c r="AE136" s="47">
        <f t="shared" ca="1" si="35"/>
        <v>2148335.2526688953</v>
      </c>
    </row>
    <row r="137" spans="1:31" s="145" customFormat="1" ht="15.5" hidden="1" x14ac:dyDescent="0.35">
      <c r="A137" s="129" t="s">
        <v>170</v>
      </c>
      <c r="B137" s="130">
        <v>1012</v>
      </c>
      <c r="C137" s="131" t="s">
        <v>152</v>
      </c>
      <c r="D137" s="131" t="s">
        <v>153</v>
      </c>
      <c r="E137" s="131"/>
      <c r="F137" s="131">
        <v>31.86</v>
      </c>
      <c r="G137" s="131">
        <v>3.6</v>
      </c>
      <c r="H137" s="132">
        <f t="shared" si="24"/>
        <v>33.659999999999997</v>
      </c>
      <c r="I137" s="132">
        <f t="shared" si="25"/>
        <v>35.46</v>
      </c>
      <c r="J137" s="133">
        <v>2922.0718789440944</v>
      </c>
      <c r="K137" s="134">
        <v>0</v>
      </c>
      <c r="L137" s="135">
        <v>0</v>
      </c>
      <c r="M137" s="135">
        <v>0</v>
      </c>
      <c r="N137" s="69">
        <f t="shared" si="26"/>
        <v>2922.0718789440944</v>
      </c>
      <c r="O137" s="39">
        <f t="shared" si="27"/>
        <v>3246.7465321601048</v>
      </c>
      <c r="P137" s="136">
        <f t="shared" si="28"/>
        <v>86.811404603211372</v>
      </c>
      <c r="Q137" s="137">
        <f t="shared" si="29"/>
        <v>0.1</v>
      </c>
      <c r="R137" s="138">
        <f t="shared" si="30"/>
        <v>324.67465321601048</v>
      </c>
      <c r="S137" s="139">
        <v>0.8</v>
      </c>
      <c r="T137" s="138">
        <f t="shared" si="31"/>
        <v>2597.3972257280839</v>
      </c>
      <c r="U137" s="140">
        <f t="shared" si="32"/>
        <v>9.9999999999999978E-2</v>
      </c>
      <c r="V137" s="138">
        <f t="shared" si="33"/>
        <v>324.67465321601043</v>
      </c>
      <c r="W137" s="142">
        <f ca="1">V137*VLOOKUP(TODAY(),'UF HOY'!$A$2:$B$33,2,0)</f>
        <v>12900603.190405766</v>
      </c>
      <c r="X137" s="143">
        <f>Datos!$E$3</f>
        <v>31</v>
      </c>
      <c r="Y137" s="144">
        <f ca="1">IF((W137-1000000-Datos!$D$3)/X137&gt;0,(W137-1000000-Datos!$D$3)/X137,0)</f>
        <v>375825.90936792793</v>
      </c>
      <c r="Z137" s="143">
        <f>Datos!$F$3</f>
        <v>31</v>
      </c>
      <c r="AA137" s="144">
        <f ca="1">IF((W137-1750000-Datos!$D$3-3%*O137*VLOOKUP(TODAY(),'UF HOY'!$A$2:$B$33,2,0))/Z137&gt;0,(W137-1750000-Datos!$D$3-3%*O137*VLOOKUP(TODAY(),'UF HOY'!$A$2:$B$33,2,0))/Z137,0)</f>
        <v>226787.81397690435</v>
      </c>
      <c r="AB137" s="142">
        <f>IF(L137&gt;0,VLOOKUP(D137,Datos!$C$7:$E$11,3,0),VLOOKUP(D137,Datos!$C$7:$E$11,2,0))</f>
        <v>370000</v>
      </c>
      <c r="AC137" s="144">
        <f ca="1">(S137*PMT(Datos!$H$13,Datos!$H$12,-O137,,)*VLOOKUP(TODAY(),'UF HOY'!$A$2:$B$33,2,0)/12)+VLOOKUP(TODAY(),'UF HOY'!$A$2:$B$33,2,0)</f>
        <v>537096.04759012884</v>
      </c>
      <c r="AD137" s="144">
        <f t="shared" ca="1" si="34"/>
        <v>-167096.04759012884</v>
      </c>
      <c r="AE137" s="47">
        <f t="shared" ca="1" si="35"/>
        <v>2148384.1903605154</v>
      </c>
    </row>
    <row r="138" spans="1:31" s="145" customFormat="1" ht="15.5" hidden="1" x14ac:dyDescent="0.35">
      <c r="A138" s="129" t="s">
        <v>170</v>
      </c>
      <c r="B138" s="130">
        <v>1617</v>
      </c>
      <c r="C138" s="131" t="s">
        <v>151</v>
      </c>
      <c r="D138" s="131" t="s">
        <v>153</v>
      </c>
      <c r="E138" s="131"/>
      <c r="F138" s="131">
        <v>33.36</v>
      </c>
      <c r="G138" s="131">
        <v>3.1</v>
      </c>
      <c r="H138" s="132">
        <f t="shared" si="24"/>
        <v>34.909999999999997</v>
      </c>
      <c r="I138" s="132">
        <f t="shared" si="25"/>
        <v>36.46</v>
      </c>
      <c r="J138" s="350">
        <v>2935</v>
      </c>
      <c r="K138" s="134">
        <v>0</v>
      </c>
      <c r="L138" s="135">
        <v>0</v>
      </c>
      <c r="M138" s="135">
        <v>0</v>
      </c>
      <c r="N138" s="69">
        <f t="shared" si="26"/>
        <v>2935</v>
      </c>
      <c r="O138" s="39">
        <f t="shared" si="27"/>
        <v>3261.1111111111109</v>
      </c>
      <c r="P138" s="136">
        <f t="shared" si="28"/>
        <v>84.073331423660846</v>
      </c>
      <c r="Q138" s="137">
        <f t="shared" si="29"/>
        <v>0.1</v>
      </c>
      <c r="R138" s="138">
        <f t="shared" si="30"/>
        <v>326.11111111111109</v>
      </c>
      <c r="S138" s="139">
        <v>0.8</v>
      </c>
      <c r="T138" s="138">
        <f t="shared" si="31"/>
        <v>2608.8888888888887</v>
      </c>
      <c r="U138" s="140">
        <f t="shared" si="32"/>
        <v>9.9999999999999978E-2</v>
      </c>
      <c r="V138" s="138">
        <f t="shared" si="33"/>
        <v>326.11111111111103</v>
      </c>
      <c r="W138" s="142">
        <f ca="1">V138*VLOOKUP(TODAY(),'UF HOY'!$A$2:$B$33,2,0)</f>
        <v>12957679.32222222</v>
      </c>
      <c r="X138" s="143">
        <f>Datos!$E$3</f>
        <v>31</v>
      </c>
      <c r="Y138" s="144">
        <f ca="1">IF((W138-1000000-Datos!$D$3)/X138&gt;0,(W138-1000000-Datos!$D$3)/X138,0)</f>
        <v>377667.07491039421</v>
      </c>
      <c r="Z138" s="143">
        <f>Datos!$F$3</f>
        <v>31</v>
      </c>
      <c r="AA138" s="144">
        <f ca="1">IF((W138-1750000-Datos!$D$3-3%*O138*VLOOKUP(TODAY(),'UF HOY'!$A$2:$B$33,2,0))/Z138&gt;0,(W138-1750000-Datos!$D$3-3%*O138*VLOOKUP(TODAY(),'UF HOY'!$A$2:$B$33,2,0))/Z138,0)</f>
        <v>228076.62985663075</v>
      </c>
      <c r="AB138" s="142">
        <f>IF(L138&gt;0,VLOOKUP(D138,Datos!$C$7:$E$11,3,0),VLOOKUP(D138,Datos!$C$7:$E$11,2,0))</f>
        <v>370000</v>
      </c>
      <c r="AC138" s="144">
        <f ca="1">(S138*PMT(Datos!$H$13,Datos!$H$12,-O138,,)*VLOOKUP(TODAY(),'UF HOY'!$A$2:$B$33,2,0)/12)+VLOOKUP(TODAY(),'UF HOY'!$A$2:$B$33,2,0)</f>
        <v>539296.52649753657</v>
      </c>
      <c r="AD138" s="144">
        <f t="shared" ca="1" si="34"/>
        <v>-169296.52649753657</v>
      </c>
      <c r="AE138" s="47">
        <f t="shared" ca="1" si="35"/>
        <v>2157186.1059901463</v>
      </c>
    </row>
    <row r="139" spans="1:31" s="145" customFormat="1" ht="15.5" hidden="1" x14ac:dyDescent="0.35">
      <c r="A139" s="129" t="s">
        <v>170</v>
      </c>
      <c r="B139" s="130">
        <v>1113</v>
      </c>
      <c r="C139" s="131" t="s">
        <v>152</v>
      </c>
      <c r="D139" s="131" t="s">
        <v>153</v>
      </c>
      <c r="E139" s="131"/>
      <c r="F139" s="131">
        <v>31.86</v>
      </c>
      <c r="G139" s="131">
        <v>3.6</v>
      </c>
      <c r="H139" s="132">
        <f t="shared" si="24"/>
        <v>33.659999999999997</v>
      </c>
      <c r="I139" s="132">
        <f t="shared" si="25"/>
        <v>35.46</v>
      </c>
      <c r="J139" s="69">
        <v>2938</v>
      </c>
      <c r="K139" s="134">
        <v>0</v>
      </c>
      <c r="L139" s="135">
        <v>0</v>
      </c>
      <c r="M139" s="135">
        <v>0</v>
      </c>
      <c r="N139" s="69">
        <f t="shared" si="26"/>
        <v>2938</v>
      </c>
      <c r="O139" s="39">
        <f t="shared" si="27"/>
        <v>3264.4444444444443</v>
      </c>
      <c r="P139" s="136">
        <f t="shared" si="28"/>
        <v>87.284610814022585</v>
      </c>
      <c r="Q139" s="137">
        <f t="shared" si="29"/>
        <v>0.1</v>
      </c>
      <c r="R139" s="138">
        <f t="shared" si="30"/>
        <v>326.44444444444446</v>
      </c>
      <c r="S139" s="139">
        <v>0.8</v>
      </c>
      <c r="T139" s="138">
        <f t="shared" si="31"/>
        <v>2611.5555555555557</v>
      </c>
      <c r="U139" s="140">
        <f t="shared" si="32"/>
        <v>9.9999999999999978E-2</v>
      </c>
      <c r="V139" s="138">
        <f t="shared" si="33"/>
        <v>326.44444444444434</v>
      </c>
      <c r="W139" s="142">
        <f ca="1">V139*VLOOKUP(TODAY(),'UF HOY'!$A$2:$B$33,2,0)</f>
        <v>12970923.968888886</v>
      </c>
      <c r="X139" s="143">
        <f>Datos!$E$3</f>
        <v>31</v>
      </c>
      <c r="Y139" s="144">
        <f ca="1">IF((W139-1000000-Datos!$D$3)/X139&gt;0,(W139-1000000-Datos!$D$3)/X139,0)</f>
        <v>378094.32157706085</v>
      </c>
      <c r="Z139" s="143">
        <f>Datos!$F$3</f>
        <v>31</v>
      </c>
      <c r="AA139" s="144">
        <f ca="1">IF((W139-1750000-Datos!$D$3-3%*O139*VLOOKUP(TODAY(),'UF HOY'!$A$2:$B$33,2,0))/Z139&gt;0,(W139-1750000-Datos!$D$3-3%*O139*VLOOKUP(TODAY(),'UF HOY'!$A$2:$B$33,2,0))/Z139,0)</f>
        <v>228375.70252329743</v>
      </c>
      <c r="AB139" s="142">
        <f>IF(L139&gt;0,VLOOKUP(D139,Datos!$C$7:$E$11,3,0),VLOOKUP(D139,Datos!$C$7:$E$11,2,0))</f>
        <v>370000</v>
      </c>
      <c r="AC139" s="144">
        <f ca="1">(S139*PMT(Datos!$H$13,Datos!$H$12,-O139,,)*VLOOKUP(TODAY(),'UF HOY'!$A$2:$B$33,2,0)/12)+VLOOKUP(TODAY(),'UF HOY'!$A$2:$B$33,2,0)</f>
        <v>539807.15265068563</v>
      </c>
      <c r="AD139" s="144">
        <f t="shared" ca="1" si="34"/>
        <v>-169807.15265068563</v>
      </c>
      <c r="AE139" s="47">
        <f t="shared" ca="1" si="35"/>
        <v>2159228.6106027425</v>
      </c>
    </row>
    <row r="140" spans="1:31" s="145" customFormat="1" ht="15.5" hidden="1" x14ac:dyDescent="0.35">
      <c r="A140" s="129" t="s">
        <v>170</v>
      </c>
      <c r="B140" s="130">
        <v>1108</v>
      </c>
      <c r="C140" s="131" t="s">
        <v>152</v>
      </c>
      <c r="D140" s="131" t="s">
        <v>153</v>
      </c>
      <c r="E140" s="131"/>
      <c r="F140" s="131">
        <v>31.86</v>
      </c>
      <c r="G140" s="131">
        <v>3.6</v>
      </c>
      <c r="H140" s="132">
        <f t="shared" si="24"/>
        <v>33.659999999999997</v>
      </c>
      <c r="I140" s="132">
        <f t="shared" si="25"/>
        <v>35.46</v>
      </c>
      <c r="J140" s="69">
        <v>2938</v>
      </c>
      <c r="K140" s="134">
        <v>0</v>
      </c>
      <c r="L140" s="135">
        <v>0</v>
      </c>
      <c r="M140" s="135">
        <v>0</v>
      </c>
      <c r="N140" s="69">
        <f t="shared" si="26"/>
        <v>2938</v>
      </c>
      <c r="O140" s="39">
        <f t="shared" si="27"/>
        <v>3264.4444444444443</v>
      </c>
      <c r="P140" s="136">
        <f t="shared" si="28"/>
        <v>87.284610814022585</v>
      </c>
      <c r="Q140" s="137">
        <f t="shared" si="29"/>
        <v>0.1</v>
      </c>
      <c r="R140" s="138">
        <f t="shared" si="30"/>
        <v>326.44444444444446</v>
      </c>
      <c r="S140" s="139">
        <v>0.8</v>
      </c>
      <c r="T140" s="138">
        <f t="shared" si="31"/>
        <v>2611.5555555555557</v>
      </c>
      <c r="U140" s="140">
        <f t="shared" si="32"/>
        <v>9.9999999999999978E-2</v>
      </c>
      <c r="V140" s="138">
        <f t="shared" si="33"/>
        <v>326.44444444444434</v>
      </c>
      <c r="W140" s="142">
        <f ca="1">V140*VLOOKUP(TODAY(),'UF HOY'!$A$2:$B$33,2,0)</f>
        <v>12970923.968888886</v>
      </c>
      <c r="X140" s="143">
        <f>Datos!$E$3</f>
        <v>31</v>
      </c>
      <c r="Y140" s="144">
        <f ca="1">IF((W140-1000000-Datos!$D$3)/X140&gt;0,(W140-1000000-Datos!$D$3)/X140,0)</f>
        <v>378094.32157706085</v>
      </c>
      <c r="Z140" s="143">
        <f>Datos!$F$3</f>
        <v>31</v>
      </c>
      <c r="AA140" s="144">
        <f ca="1">IF((W140-1750000-Datos!$D$3-3%*O140*VLOOKUP(TODAY(),'UF HOY'!$A$2:$B$33,2,0))/Z140&gt;0,(W140-1750000-Datos!$D$3-3%*O140*VLOOKUP(TODAY(),'UF HOY'!$A$2:$B$33,2,0))/Z140,0)</f>
        <v>228375.70252329743</v>
      </c>
      <c r="AB140" s="142">
        <f>IF(L140&gt;0,VLOOKUP(D140,Datos!$C$7:$E$11,3,0),VLOOKUP(D140,Datos!$C$7:$E$11,2,0))</f>
        <v>370000</v>
      </c>
      <c r="AC140" s="144">
        <f ca="1">(S140*PMT(Datos!$H$13,Datos!$H$12,-O140,,)*VLOOKUP(TODAY(),'UF HOY'!$A$2:$B$33,2,0)/12)+VLOOKUP(TODAY(),'UF HOY'!$A$2:$B$33,2,0)</f>
        <v>539807.15265068563</v>
      </c>
      <c r="AD140" s="144">
        <f t="shared" ca="1" si="34"/>
        <v>-169807.15265068563</v>
      </c>
      <c r="AE140" s="47">
        <f t="shared" ca="1" si="35"/>
        <v>2159228.6106027425</v>
      </c>
    </row>
    <row r="141" spans="1:31" s="145" customFormat="1" ht="15.5" hidden="1" x14ac:dyDescent="0.35">
      <c r="A141" s="129" t="s">
        <v>170</v>
      </c>
      <c r="B141" s="130">
        <v>1109</v>
      </c>
      <c r="C141" s="131" t="s">
        <v>152</v>
      </c>
      <c r="D141" s="131" t="s">
        <v>153</v>
      </c>
      <c r="E141" s="131"/>
      <c r="F141" s="131">
        <v>31.86</v>
      </c>
      <c r="G141" s="131">
        <v>3.6</v>
      </c>
      <c r="H141" s="132">
        <f t="shared" si="24"/>
        <v>33.659999999999997</v>
      </c>
      <c r="I141" s="132">
        <f t="shared" si="25"/>
        <v>35.46</v>
      </c>
      <c r="J141" s="69">
        <v>2938</v>
      </c>
      <c r="K141" s="134">
        <v>0</v>
      </c>
      <c r="L141" s="135">
        <v>0</v>
      </c>
      <c r="M141" s="135">
        <v>0</v>
      </c>
      <c r="N141" s="69">
        <f t="shared" si="26"/>
        <v>2938</v>
      </c>
      <c r="O141" s="39">
        <f t="shared" si="27"/>
        <v>3264.4444444444443</v>
      </c>
      <c r="P141" s="136">
        <f t="shared" si="28"/>
        <v>87.284610814022585</v>
      </c>
      <c r="Q141" s="137">
        <f t="shared" si="29"/>
        <v>0.1</v>
      </c>
      <c r="R141" s="138">
        <f t="shared" si="30"/>
        <v>326.44444444444446</v>
      </c>
      <c r="S141" s="139">
        <v>0.8</v>
      </c>
      <c r="T141" s="138">
        <f t="shared" si="31"/>
        <v>2611.5555555555557</v>
      </c>
      <c r="U141" s="140">
        <f t="shared" si="32"/>
        <v>9.9999999999999978E-2</v>
      </c>
      <c r="V141" s="138">
        <f t="shared" si="33"/>
        <v>326.44444444444434</v>
      </c>
      <c r="W141" s="142">
        <f ca="1">V141*VLOOKUP(TODAY(),'UF HOY'!$A$2:$B$33,2,0)</f>
        <v>12970923.968888886</v>
      </c>
      <c r="X141" s="143">
        <f>Datos!$E$3</f>
        <v>31</v>
      </c>
      <c r="Y141" s="144">
        <f ca="1">IF((W141-1000000-Datos!$D$3)/X141&gt;0,(W141-1000000-Datos!$D$3)/X141,0)</f>
        <v>378094.32157706085</v>
      </c>
      <c r="Z141" s="143">
        <f>Datos!$F$3</f>
        <v>31</v>
      </c>
      <c r="AA141" s="144">
        <f ca="1">IF((W141-1750000-Datos!$D$3-3%*O141*VLOOKUP(TODAY(),'UF HOY'!$A$2:$B$33,2,0))/Z141&gt;0,(W141-1750000-Datos!$D$3-3%*O141*VLOOKUP(TODAY(),'UF HOY'!$A$2:$B$33,2,0))/Z141,0)</f>
        <v>228375.70252329743</v>
      </c>
      <c r="AB141" s="142">
        <f>IF(L141&gt;0,VLOOKUP(D141,Datos!$C$7:$E$11,3,0),VLOOKUP(D141,Datos!$C$7:$E$11,2,0))</f>
        <v>370000</v>
      </c>
      <c r="AC141" s="144">
        <f ca="1">(S141*PMT(Datos!$H$13,Datos!$H$12,-O141,,)*VLOOKUP(TODAY(),'UF HOY'!$A$2:$B$33,2,0)/12)+VLOOKUP(TODAY(),'UF HOY'!$A$2:$B$33,2,0)</f>
        <v>539807.15265068563</v>
      </c>
      <c r="AD141" s="144">
        <f t="shared" ca="1" si="34"/>
        <v>-169807.15265068563</v>
      </c>
      <c r="AE141" s="47">
        <f t="shared" ca="1" si="35"/>
        <v>2159228.6106027425</v>
      </c>
    </row>
    <row r="142" spans="1:31" s="145" customFormat="1" ht="15.5" hidden="1" x14ac:dyDescent="0.35">
      <c r="A142" s="129" t="s">
        <v>170</v>
      </c>
      <c r="B142" s="130">
        <v>1112</v>
      </c>
      <c r="C142" s="131" t="s">
        <v>152</v>
      </c>
      <c r="D142" s="131" t="s">
        <v>153</v>
      </c>
      <c r="E142" s="131"/>
      <c r="F142" s="131">
        <v>31.86</v>
      </c>
      <c r="G142" s="131">
        <v>3.6</v>
      </c>
      <c r="H142" s="132">
        <f t="shared" si="24"/>
        <v>33.659999999999997</v>
      </c>
      <c r="I142" s="132">
        <f t="shared" si="25"/>
        <v>35.46</v>
      </c>
      <c r="J142" s="69">
        <v>2938</v>
      </c>
      <c r="K142" s="134">
        <v>0</v>
      </c>
      <c r="L142" s="135">
        <v>0</v>
      </c>
      <c r="M142" s="135">
        <v>0</v>
      </c>
      <c r="N142" s="69">
        <f t="shared" si="26"/>
        <v>2938</v>
      </c>
      <c r="O142" s="39">
        <f t="shared" si="27"/>
        <v>3264.4444444444443</v>
      </c>
      <c r="P142" s="136">
        <f t="shared" si="28"/>
        <v>87.284610814022585</v>
      </c>
      <c r="Q142" s="137">
        <f t="shared" si="29"/>
        <v>0.1</v>
      </c>
      <c r="R142" s="138">
        <f t="shared" si="30"/>
        <v>326.44444444444446</v>
      </c>
      <c r="S142" s="139">
        <v>0.8</v>
      </c>
      <c r="T142" s="138">
        <f t="shared" si="31"/>
        <v>2611.5555555555557</v>
      </c>
      <c r="U142" s="140">
        <f t="shared" si="32"/>
        <v>9.9999999999999978E-2</v>
      </c>
      <c r="V142" s="138">
        <f t="shared" si="33"/>
        <v>326.44444444444434</v>
      </c>
      <c r="W142" s="142">
        <f ca="1">V142*VLOOKUP(TODAY(),'UF HOY'!$A$2:$B$33,2,0)</f>
        <v>12970923.968888886</v>
      </c>
      <c r="X142" s="143">
        <f>Datos!$E$3</f>
        <v>31</v>
      </c>
      <c r="Y142" s="144">
        <f ca="1">IF((W142-1000000-Datos!$D$3)/X142&gt;0,(W142-1000000-Datos!$D$3)/X142,0)</f>
        <v>378094.32157706085</v>
      </c>
      <c r="Z142" s="143">
        <f>Datos!$F$3</f>
        <v>31</v>
      </c>
      <c r="AA142" s="144">
        <f ca="1">IF((W142-1750000-Datos!$D$3-3%*O142*VLOOKUP(TODAY(),'UF HOY'!$A$2:$B$33,2,0))/Z142&gt;0,(W142-1750000-Datos!$D$3-3%*O142*VLOOKUP(TODAY(),'UF HOY'!$A$2:$B$33,2,0))/Z142,0)</f>
        <v>228375.70252329743</v>
      </c>
      <c r="AB142" s="142">
        <f>IF(L142&gt;0,VLOOKUP(D142,Datos!$C$7:$E$11,3,0),VLOOKUP(D142,Datos!$C$7:$E$11,2,0))</f>
        <v>370000</v>
      </c>
      <c r="AC142" s="144">
        <f ca="1">(S142*PMT(Datos!$H$13,Datos!$H$12,-O142,,)*VLOOKUP(TODAY(),'UF HOY'!$A$2:$B$33,2,0)/12)+VLOOKUP(TODAY(),'UF HOY'!$A$2:$B$33,2,0)</f>
        <v>539807.15265068563</v>
      </c>
      <c r="AD142" s="144">
        <f t="shared" ca="1" si="34"/>
        <v>-169807.15265068563</v>
      </c>
      <c r="AE142" s="47">
        <f t="shared" ca="1" si="35"/>
        <v>2159228.6106027425</v>
      </c>
    </row>
    <row r="143" spans="1:31" s="145" customFormat="1" ht="15.5" hidden="1" x14ac:dyDescent="0.35">
      <c r="A143" s="129" t="s">
        <v>170</v>
      </c>
      <c r="B143" s="185">
        <v>1117</v>
      </c>
      <c r="C143" s="129" t="s">
        <v>151</v>
      </c>
      <c r="D143" s="129" t="s">
        <v>153</v>
      </c>
      <c r="E143" s="131"/>
      <c r="F143" s="131">
        <v>33.36</v>
      </c>
      <c r="G143" s="131">
        <v>3.1</v>
      </c>
      <c r="H143" s="132">
        <f t="shared" si="24"/>
        <v>34.909999999999997</v>
      </c>
      <c r="I143" s="184">
        <f t="shared" si="25"/>
        <v>36.46</v>
      </c>
      <c r="J143" s="69">
        <v>2938.0565829482871</v>
      </c>
      <c r="K143" s="134">
        <v>0</v>
      </c>
      <c r="L143" s="135">
        <v>0</v>
      </c>
      <c r="M143" s="135">
        <v>0</v>
      </c>
      <c r="N143" s="69">
        <f t="shared" si="26"/>
        <v>2938.0565829482871</v>
      </c>
      <c r="O143" s="39">
        <f t="shared" si="27"/>
        <v>3264.5073143869854</v>
      </c>
      <c r="P143" s="136">
        <f t="shared" si="28"/>
        <v>84.16088750926059</v>
      </c>
      <c r="Q143" s="137">
        <f t="shared" si="29"/>
        <v>0.1</v>
      </c>
      <c r="R143" s="138">
        <f t="shared" si="30"/>
        <v>326.45073143869854</v>
      </c>
      <c r="S143" s="139">
        <v>0.8</v>
      </c>
      <c r="T143" s="138">
        <f t="shared" si="31"/>
        <v>2611.6058515095883</v>
      </c>
      <c r="U143" s="140">
        <f t="shared" si="32"/>
        <v>9.9999999999999978E-2</v>
      </c>
      <c r="V143" s="138">
        <f t="shared" si="33"/>
        <v>326.45073143869848</v>
      </c>
      <c r="W143" s="142">
        <f ca="1">V143*VLOOKUP(TODAY(),'UF HOY'!$A$2:$B$33,2,0)</f>
        <v>12971173.775941361</v>
      </c>
      <c r="X143" s="143">
        <f>Datos!$E$3</f>
        <v>31</v>
      </c>
      <c r="Y143" s="144">
        <f ca="1">IF((W143-1000000-Datos!$D$3)/X143&gt;0,(W143-1000000-Datos!$D$3)/X143,0)</f>
        <v>378102.37986907613</v>
      </c>
      <c r="Z143" s="143">
        <f>Datos!$F$3</f>
        <v>31</v>
      </c>
      <c r="AA143" s="144">
        <f ca="1">IF((W143-1750000-Datos!$D$3-3%*O143*VLOOKUP(TODAY(),'UF HOY'!$A$2:$B$33,2,0))/Z143&gt;0,(W143-1750000-Datos!$D$3-3%*O143*VLOOKUP(TODAY(),'UF HOY'!$A$2:$B$33,2,0))/Z143,0)</f>
        <v>228381.34332770813</v>
      </c>
      <c r="AB143" s="142">
        <f>IF(L143&gt;0,VLOOKUP(D143,Datos!$C$7:$E$11,3,0),VLOOKUP(D143,Datos!$C$7:$E$11,2,0))</f>
        <v>370000</v>
      </c>
      <c r="AC143" s="144">
        <f ca="1">(S143*PMT(Datos!$H$13,Datos!$H$12,-O143,,)*VLOOKUP(TODAY(),'UF HOY'!$A$2:$B$33,2,0)/12)+VLOOKUP(TODAY(),'UF HOY'!$A$2:$B$33,2,0)</f>
        <v>539816.78356175823</v>
      </c>
      <c r="AD143" s="144">
        <f t="shared" ca="1" si="34"/>
        <v>-169816.78356175823</v>
      </c>
      <c r="AE143" s="47">
        <f t="shared" ca="1" si="35"/>
        <v>2159267.1342470329</v>
      </c>
    </row>
    <row r="144" spans="1:31" s="145" customFormat="1" ht="15.5" hidden="1" x14ac:dyDescent="0.35">
      <c r="A144" s="129" t="s">
        <v>170</v>
      </c>
      <c r="B144" s="130">
        <v>1107</v>
      </c>
      <c r="C144" s="131" t="s">
        <v>152</v>
      </c>
      <c r="D144" s="131" t="s">
        <v>153</v>
      </c>
      <c r="E144" s="131"/>
      <c r="F144" s="131">
        <v>31.86</v>
      </c>
      <c r="G144" s="131">
        <v>3.6</v>
      </c>
      <c r="H144" s="132">
        <f t="shared" si="24"/>
        <v>33.659999999999997</v>
      </c>
      <c r="I144" s="132">
        <f t="shared" si="25"/>
        <v>35.46</v>
      </c>
      <c r="J144" s="69">
        <v>2939</v>
      </c>
      <c r="K144" s="134">
        <v>0</v>
      </c>
      <c r="L144" s="135">
        <v>0</v>
      </c>
      <c r="M144" s="135">
        <v>0</v>
      </c>
      <c r="N144" s="69">
        <f t="shared" si="26"/>
        <v>2939</v>
      </c>
      <c r="O144" s="39">
        <f t="shared" si="27"/>
        <v>3265.5555555555557</v>
      </c>
      <c r="P144" s="136">
        <f t="shared" si="28"/>
        <v>87.314319667260847</v>
      </c>
      <c r="Q144" s="137">
        <f t="shared" si="29"/>
        <v>0.1</v>
      </c>
      <c r="R144" s="138">
        <f t="shared" si="30"/>
        <v>326.5555555555556</v>
      </c>
      <c r="S144" s="139">
        <v>0.8</v>
      </c>
      <c r="T144" s="138">
        <f t="shared" si="31"/>
        <v>2612.4444444444448</v>
      </c>
      <c r="U144" s="140">
        <f t="shared" si="32"/>
        <v>9.9999999999999978E-2</v>
      </c>
      <c r="V144" s="138">
        <f t="shared" si="33"/>
        <v>326.55555555555549</v>
      </c>
      <c r="W144" s="142">
        <f ca="1">V144*VLOOKUP(TODAY(),'UF HOY'!$A$2:$B$33,2,0)</f>
        <v>12975338.851111108</v>
      </c>
      <c r="X144" s="143">
        <f>Datos!$E$3</f>
        <v>31</v>
      </c>
      <c r="Y144" s="144">
        <f ca="1">IF((W144-1000000-Datos!$D$3)/X144&gt;0,(W144-1000000-Datos!$D$3)/X144,0)</f>
        <v>378236.7371326164</v>
      </c>
      <c r="Z144" s="143">
        <f>Datos!$F$3</f>
        <v>31</v>
      </c>
      <c r="AA144" s="144">
        <f ca="1">IF((W144-1750000-Datos!$D$3-3%*O144*VLOOKUP(TODAY(),'UF HOY'!$A$2:$B$33,2,0))/Z144&gt;0,(W144-1750000-Datos!$D$3-3%*O144*VLOOKUP(TODAY(),'UF HOY'!$A$2:$B$33,2,0))/Z144,0)</f>
        <v>228475.39341218627</v>
      </c>
      <c r="AB144" s="142">
        <f>IF(L144&gt;0,VLOOKUP(D144,Datos!$C$7:$E$11,3,0),VLOOKUP(D144,Datos!$C$7:$E$11,2,0))</f>
        <v>370000</v>
      </c>
      <c r="AC144" s="144">
        <f ca="1">(S144*PMT(Datos!$H$13,Datos!$H$12,-O144,,)*VLOOKUP(TODAY(),'UF HOY'!$A$2:$B$33,2,0)/12)+VLOOKUP(TODAY(),'UF HOY'!$A$2:$B$33,2,0)</f>
        <v>539977.36136840202</v>
      </c>
      <c r="AD144" s="144">
        <f t="shared" ca="1" si="34"/>
        <v>-169977.36136840202</v>
      </c>
      <c r="AE144" s="47">
        <f t="shared" ca="1" si="35"/>
        <v>2159909.4454736081</v>
      </c>
    </row>
    <row r="145" spans="1:31" s="145" customFormat="1" ht="15.5" hidden="1" x14ac:dyDescent="0.35">
      <c r="A145" s="129" t="s">
        <v>170</v>
      </c>
      <c r="B145" s="130">
        <v>1701</v>
      </c>
      <c r="C145" s="131" t="s">
        <v>151</v>
      </c>
      <c r="D145" s="131" t="s">
        <v>153</v>
      </c>
      <c r="E145" s="131"/>
      <c r="F145" s="131">
        <v>31.86</v>
      </c>
      <c r="G145" s="131">
        <v>3.6</v>
      </c>
      <c r="H145" s="132">
        <f t="shared" si="24"/>
        <v>33.659999999999997</v>
      </c>
      <c r="I145" s="132">
        <f t="shared" si="25"/>
        <v>35.46</v>
      </c>
      <c r="J145" s="69">
        <v>2944</v>
      </c>
      <c r="K145" s="134">
        <v>0</v>
      </c>
      <c r="L145" s="135">
        <v>0</v>
      </c>
      <c r="M145" s="135">
        <v>0</v>
      </c>
      <c r="N145" s="69">
        <f t="shared" si="26"/>
        <v>2944</v>
      </c>
      <c r="O145" s="39">
        <f t="shared" si="27"/>
        <v>3271.1111111111109</v>
      </c>
      <c r="P145" s="136">
        <f t="shared" si="28"/>
        <v>87.462863933452184</v>
      </c>
      <c r="Q145" s="137">
        <f t="shared" si="29"/>
        <v>0.1</v>
      </c>
      <c r="R145" s="138">
        <f t="shared" si="30"/>
        <v>327.11111111111109</v>
      </c>
      <c r="S145" s="139">
        <v>0.8</v>
      </c>
      <c r="T145" s="138">
        <f t="shared" si="31"/>
        <v>2616.8888888888887</v>
      </c>
      <c r="U145" s="140">
        <f t="shared" si="32"/>
        <v>9.9999999999999978E-2</v>
      </c>
      <c r="V145" s="138">
        <f t="shared" si="33"/>
        <v>327.11111111111103</v>
      </c>
      <c r="W145" s="142">
        <f ca="1">V145*VLOOKUP(TODAY(),'UF HOY'!$A$2:$B$33,2,0)</f>
        <v>12997413.262222219</v>
      </c>
      <c r="X145" s="143">
        <f>Datos!$E$3</f>
        <v>31</v>
      </c>
      <c r="Y145" s="144">
        <f ca="1">IF((W145-1000000-Datos!$D$3)/X145&gt;0,(W145-1000000-Datos!$D$3)/X145,0)</f>
        <v>378948.8149103942</v>
      </c>
      <c r="Z145" s="143">
        <f>Datos!$F$3</f>
        <v>31</v>
      </c>
      <c r="AA145" s="144">
        <f ca="1">IF((W145-1750000-Datos!$D$3-3%*O145*VLOOKUP(TODAY(),'UF HOY'!$A$2:$B$33,2,0))/Z145&gt;0,(W145-1750000-Datos!$D$3-3%*O145*VLOOKUP(TODAY(),'UF HOY'!$A$2:$B$33,2,0))/Z145,0)</f>
        <v>228973.84785663072</v>
      </c>
      <c r="AB145" s="142">
        <f>IF(L145&gt;0,VLOOKUP(D145,Datos!$C$7:$E$11,3,0),VLOOKUP(D145,Datos!$C$7:$E$11,2,0))</f>
        <v>370000</v>
      </c>
      <c r="AC145" s="144">
        <f ca="1">(S145*PMT(Datos!$H$13,Datos!$H$12,-O145,,)*VLOOKUP(TODAY(),'UF HOY'!$A$2:$B$33,2,0)/12)+VLOOKUP(TODAY(),'UF HOY'!$A$2:$B$33,2,0)</f>
        <v>540828.40495698387</v>
      </c>
      <c r="AD145" s="144">
        <f t="shared" ca="1" si="34"/>
        <v>-170828.40495698387</v>
      </c>
      <c r="AE145" s="47">
        <f t="shared" ca="1" si="35"/>
        <v>2163313.6198279355</v>
      </c>
    </row>
    <row r="146" spans="1:31" s="145" customFormat="1" ht="15.5" hidden="1" x14ac:dyDescent="0.35">
      <c r="A146" s="129" t="s">
        <v>170</v>
      </c>
      <c r="B146" s="130">
        <v>1702</v>
      </c>
      <c r="C146" s="131" t="s">
        <v>151</v>
      </c>
      <c r="D146" s="131" t="s">
        <v>153</v>
      </c>
      <c r="E146" s="131"/>
      <c r="F146" s="131">
        <v>33.369999999999997</v>
      </c>
      <c r="G146" s="131">
        <v>3.17</v>
      </c>
      <c r="H146" s="132">
        <f t="shared" si="24"/>
        <v>34.954999999999998</v>
      </c>
      <c r="I146" s="132">
        <f t="shared" si="25"/>
        <v>36.54</v>
      </c>
      <c r="J146" s="69">
        <v>2944</v>
      </c>
      <c r="K146" s="134">
        <v>0</v>
      </c>
      <c r="L146" s="135">
        <v>0</v>
      </c>
      <c r="M146" s="135">
        <v>0</v>
      </c>
      <c r="N146" s="69">
        <f t="shared" si="26"/>
        <v>2944</v>
      </c>
      <c r="O146" s="39">
        <f t="shared" si="27"/>
        <v>3271.1111111111109</v>
      </c>
      <c r="P146" s="136">
        <f t="shared" si="28"/>
        <v>84.222571878129031</v>
      </c>
      <c r="Q146" s="137">
        <f t="shared" si="29"/>
        <v>0.1</v>
      </c>
      <c r="R146" s="138">
        <f t="shared" si="30"/>
        <v>327.11111111111109</v>
      </c>
      <c r="S146" s="139">
        <v>0.8</v>
      </c>
      <c r="T146" s="138">
        <f t="shared" si="31"/>
        <v>2616.8888888888887</v>
      </c>
      <c r="U146" s="140">
        <f t="shared" si="32"/>
        <v>9.9999999999999978E-2</v>
      </c>
      <c r="V146" s="138">
        <f t="shared" si="33"/>
        <v>327.11111111111103</v>
      </c>
      <c r="W146" s="142">
        <f ca="1">V146*VLOOKUP(TODAY(),'UF HOY'!$A$2:$B$33,2,0)</f>
        <v>12997413.262222219</v>
      </c>
      <c r="X146" s="143">
        <f>Datos!$E$3</f>
        <v>31</v>
      </c>
      <c r="Y146" s="144">
        <f ca="1">IF((W146-1000000-Datos!$D$3)/X146&gt;0,(W146-1000000-Datos!$D$3)/X146,0)</f>
        <v>378948.8149103942</v>
      </c>
      <c r="Z146" s="143">
        <f>Datos!$F$3</f>
        <v>31</v>
      </c>
      <c r="AA146" s="144">
        <f ca="1">IF((W146-1750000-Datos!$D$3-3%*O146*VLOOKUP(TODAY(),'UF HOY'!$A$2:$B$33,2,0))/Z146&gt;0,(W146-1750000-Datos!$D$3-3%*O146*VLOOKUP(TODAY(),'UF HOY'!$A$2:$B$33,2,0))/Z146,0)</f>
        <v>228973.84785663072</v>
      </c>
      <c r="AB146" s="142">
        <f>IF(L146&gt;0,VLOOKUP(D146,Datos!$C$7:$E$11,3,0),VLOOKUP(D146,Datos!$C$7:$E$11,2,0))</f>
        <v>370000</v>
      </c>
      <c r="AC146" s="144">
        <f ca="1">(S146*PMT(Datos!$H$13,Datos!$H$12,-O146,,)*VLOOKUP(TODAY(),'UF HOY'!$A$2:$B$33,2,0)/12)+VLOOKUP(TODAY(),'UF HOY'!$A$2:$B$33,2,0)</f>
        <v>540828.40495698387</v>
      </c>
      <c r="AD146" s="144">
        <f t="shared" ca="1" si="34"/>
        <v>-170828.40495698387</v>
      </c>
      <c r="AE146" s="47">
        <f t="shared" ca="1" si="35"/>
        <v>2163313.6198279355</v>
      </c>
    </row>
    <row r="147" spans="1:31" s="145" customFormat="1" ht="15.5" hidden="1" x14ac:dyDescent="0.35">
      <c r="A147" s="129" t="s">
        <v>170</v>
      </c>
      <c r="B147" s="130">
        <v>1703</v>
      </c>
      <c r="C147" s="131" t="s">
        <v>151</v>
      </c>
      <c r="D147" s="131" t="s">
        <v>153</v>
      </c>
      <c r="E147" s="131"/>
      <c r="F147" s="131">
        <v>33.369999999999997</v>
      </c>
      <c r="G147" s="131">
        <v>3.17</v>
      </c>
      <c r="H147" s="132">
        <f t="shared" si="24"/>
        <v>34.954999999999998</v>
      </c>
      <c r="I147" s="132">
        <f t="shared" si="25"/>
        <v>36.54</v>
      </c>
      <c r="J147" s="69">
        <v>2944</v>
      </c>
      <c r="K147" s="134">
        <v>0</v>
      </c>
      <c r="L147" s="135">
        <v>0</v>
      </c>
      <c r="M147" s="135">
        <v>0</v>
      </c>
      <c r="N147" s="69">
        <f t="shared" si="26"/>
        <v>2944</v>
      </c>
      <c r="O147" s="39">
        <f t="shared" si="27"/>
        <v>3271.1111111111109</v>
      </c>
      <c r="P147" s="136">
        <f t="shared" si="28"/>
        <v>84.222571878129031</v>
      </c>
      <c r="Q147" s="137">
        <f t="shared" si="29"/>
        <v>0.1</v>
      </c>
      <c r="R147" s="138">
        <f t="shared" si="30"/>
        <v>327.11111111111109</v>
      </c>
      <c r="S147" s="139">
        <v>0.8</v>
      </c>
      <c r="T147" s="138">
        <f t="shared" si="31"/>
        <v>2616.8888888888887</v>
      </c>
      <c r="U147" s="140">
        <f t="shared" si="32"/>
        <v>9.9999999999999978E-2</v>
      </c>
      <c r="V147" s="138">
        <f t="shared" si="33"/>
        <v>327.11111111111103</v>
      </c>
      <c r="W147" s="142">
        <f ca="1">V147*VLOOKUP(TODAY(),'UF HOY'!$A$2:$B$33,2,0)</f>
        <v>12997413.262222219</v>
      </c>
      <c r="X147" s="143">
        <f>Datos!$E$3</f>
        <v>31</v>
      </c>
      <c r="Y147" s="144">
        <f ca="1">IF((W147-1000000-Datos!$D$3)/X147&gt;0,(W147-1000000-Datos!$D$3)/X147,0)</f>
        <v>378948.8149103942</v>
      </c>
      <c r="Z147" s="143">
        <f>Datos!$F$3</f>
        <v>31</v>
      </c>
      <c r="AA147" s="144">
        <f ca="1">IF((W147-1750000-Datos!$D$3-3%*O147*VLOOKUP(TODAY(),'UF HOY'!$A$2:$B$33,2,0))/Z147&gt;0,(W147-1750000-Datos!$D$3-3%*O147*VLOOKUP(TODAY(),'UF HOY'!$A$2:$B$33,2,0))/Z147,0)</f>
        <v>228973.84785663072</v>
      </c>
      <c r="AB147" s="142">
        <f>IF(L147&gt;0,VLOOKUP(D147,Datos!$C$7:$E$11,3,0),VLOOKUP(D147,Datos!$C$7:$E$11,2,0))</f>
        <v>370000</v>
      </c>
      <c r="AC147" s="144">
        <f ca="1">(S147*PMT(Datos!$H$13,Datos!$H$12,-O147,,)*VLOOKUP(TODAY(),'UF HOY'!$A$2:$B$33,2,0)/12)+VLOOKUP(TODAY(),'UF HOY'!$A$2:$B$33,2,0)</f>
        <v>540828.40495698387</v>
      </c>
      <c r="AD147" s="144">
        <f t="shared" ca="1" si="34"/>
        <v>-170828.40495698387</v>
      </c>
      <c r="AE147" s="47">
        <f t="shared" ca="1" si="35"/>
        <v>2163313.6198279355</v>
      </c>
    </row>
    <row r="148" spans="1:31" s="145" customFormat="1" ht="15.5" hidden="1" x14ac:dyDescent="0.35">
      <c r="A148" s="129" t="s">
        <v>170</v>
      </c>
      <c r="B148" s="129">
        <v>1716</v>
      </c>
      <c r="C148" s="131" t="s">
        <v>151</v>
      </c>
      <c r="D148" s="131" t="s">
        <v>153</v>
      </c>
      <c r="E148" s="131"/>
      <c r="F148" s="131">
        <v>33.369999999999997</v>
      </c>
      <c r="G148" s="131">
        <v>3.17</v>
      </c>
      <c r="H148" s="132">
        <f t="shared" si="24"/>
        <v>34.954999999999998</v>
      </c>
      <c r="I148" s="132">
        <f t="shared" si="25"/>
        <v>36.54</v>
      </c>
      <c r="J148" s="69">
        <v>2944</v>
      </c>
      <c r="K148" s="134">
        <v>0</v>
      </c>
      <c r="L148" s="135">
        <v>0</v>
      </c>
      <c r="M148" s="135">
        <v>0</v>
      </c>
      <c r="N148" s="69">
        <f t="shared" si="26"/>
        <v>2944</v>
      </c>
      <c r="O148" s="39">
        <f t="shared" si="27"/>
        <v>3271.1111111111109</v>
      </c>
      <c r="P148" s="136">
        <f t="shared" si="28"/>
        <v>84.222571878129031</v>
      </c>
      <c r="Q148" s="137">
        <f t="shared" si="29"/>
        <v>0.1</v>
      </c>
      <c r="R148" s="138">
        <f t="shared" si="30"/>
        <v>327.11111111111109</v>
      </c>
      <c r="S148" s="139">
        <v>0.8</v>
      </c>
      <c r="T148" s="138">
        <f t="shared" si="31"/>
        <v>2616.8888888888887</v>
      </c>
      <c r="U148" s="140">
        <f t="shared" si="32"/>
        <v>9.9999999999999978E-2</v>
      </c>
      <c r="V148" s="138">
        <f t="shared" si="33"/>
        <v>327.11111111111103</v>
      </c>
      <c r="W148" s="142">
        <f ca="1">V148*VLOOKUP(TODAY(),'UF HOY'!$A$2:$B$33,2,0)</f>
        <v>12997413.262222219</v>
      </c>
      <c r="X148" s="143">
        <f>Datos!$E$3</f>
        <v>31</v>
      </c>
      <c r="Y148" s="144">
        <f ca="1">IF((W148-1000000-Datos!$D$3)/X148&gt;0,(W148-1000000-Datos!$D$3)/X148,0)</f>
        <v>378948.8149103942</v>
      </c>
      <c r="Z148" s="143">
        <f>Datos!$F$3</f>
        <v>31</v>
      </c>
      <c r="AA148" s="144">
        <f ca="1">IF((W148-1750000-Datos!$D$3-3%*O148*VLOOKUP(TODAY(),'UF HOY'!$A$2:$B$33,2,0))/Z148&gt;0,(W148-1750000-Datos!$D$3-3%*O148*VLOOKUP(TODAY(),'UF HOY'!$A$2:$B$33,2,0))/Z148,0)</f>
        <v>228973.84785663072</v>
      </c>
      <c r="AB148" s="142">
        <f>IF(L148&gt;0,VLOOKUP(D148,Datos!$C$7:$E$11,3,0),VLOOKUP(D148,Datos!$C$7:$E$11,2,0))</f>
        <v>370000</v>
      </c>
      <c r="AC148" s="144">
        <f ca="1">(S148*PMT(Datos!$H$13,Datos!$H$12,-O148,,)*VLOOKUP(TODAY(),'UF HOY'!$A$2:$B$33,2,0)/12)+VLOOKUP(TODAY(),'UF HOY'!$A$2:$B$33,2,0)</f>
        <v>540828.40495698387</v>
      </c>
      <c r="AD148" s="144">
        <f t="shared" ca="1" si="34"/>
        <v>-170828.40495698387</v>
      </c>
      <c r="AE148" s="47">
        <f t="shared" ca="1" si="35"/>
        <v>2163313.6198279355</v>
      </c>
    </row>
    <row r="149" spans="1:31" s="145" customFormat="1" ht="15.5" hidden="1" x14ac:dyDescent="0.35">
      <c r="A149" s="129" t="s">
        <v>170</v>
      </c>
      <c r="B149" s="130">
        <v>1717</v>
      </c>
      <c r="C149" s="131" t="s">
        <v>151</v>
      </c>
      <c r="D149" s="131" t="s">
        <v>153</v>
      </c>
      <c r="E149" s="131"/>
      <c r="F149" s="131">
        <v>33.36</v>
      </c>
      <c r="G149" s="131">
        <v>3.1</v>
      </c>
      <c r="H149" s="132">
        <f t="shared" si="24"/>
        <v>34.909999999999997</v>
      </c>
      <c r="I149" s="132">
        <f t="shared" si="25"/>
        <v>36.46</v>
      </c>
      <c r="J149" s="69">
        <v>2944</v>
      </c>
      <c r="K149" s="134">
        <v>0</v>
      </c>
      <c r="L149" s="135">
        <v>0</v>
      </c>
      <c r="M149" s="135">
        <v>0</v>
      </c>
      <c r="N149" s="69">
        <f t="shared" si="26"/>
        <v>2944</v>
      </c>
      <c r="O149" s="39">
        <f t="shared" si="27"/>
        <v>3271.1111111111109</v>
      </c>
      <c r="P149" s="136">
        <f t="shared" si="28"/>
        <v>84.331137209968503</v>
      </c>
      <c r="Q149" s="137">
        <f t="shared" si="29"/>
        <v>0.1</v>
      </c>
      <c r="R149" s="138">
        <f t="shared" si="30"/>
        <v>327.11111111111109</v>
      </c>
      <c r="S149" s="139">
        <v>0.8</v>
      </c>
      <c r="T149" s="138">
        <f t="shared" si="31"/>
        <v>2616.8888888888887</v>
      </c>
      <c r="U149" s="140">
        <f t="shared" si="32"/>
        <v>9.9999999999999978E-2</v>
      </c>
      <c r="V149" s="138">
        <f t="shared" si="33"/>
        <v>327.11111111111103</v>
      </c>
      <c r="W149" s="142">
        <f ca="1">V149*VLOOKUP(TODAY(),'UF HOY'!$A$2:$B$33,2,0)</f>
        <v>12997413.262222219</v>
      </c>
      <c r="X149" s="143">
        <f>Datos!$E$3</f>
        <v>31</v>
      </c>
      <c r="Y149" s="144">
        <f ca="1">IF((W149-1000000-Datos!$D$3)/X149&gt;0,(W149-1000000-Datos!$D$3)/X149,0)</f>
        <v>378948.8149103942</v>
      </c>
      <c r="Z149" s="143">
        <f>Datos!$F$3</f>
        <v>31</v>
      </c>
      <c r="AA149" s="144">
        <f ca="1">IF((W149-1750000-Datos!$D$3-3%*O149*VLOOKUP(TODAY(),'UF HOY'!$A$2:$B$33,2,0))/Z149&gt;0,(W149-1750000-Datos!$D$3-3%*O149*VLOOKUP(TODAY(),'UF HOY'!$A$2:$B$33,2,0))/Z149,0)</f>
        <v>228973.84785663072</v>
      </c>
      <c r="AB149" s="142">
        <f>IF(L149&gt;0,VLOOKUP(D149,Datos!$C$7:$E$11,3,0),VLOOKUP(D149,Datos!$C$7:$E$11,2,0))</f>
        <v>370000</v>
      </c>
      <c r="AC149" s="144">
        <f ca="1">(S149*PMT(Datos!$H$13,Datos!$H$12,-O149,,)*VLOOKUP(TODAY(),'UF HOY'!$A$2:$B$33,2,0)/12)+VLOOKUP(TODAY(),'UF HOY'!$A$2:$B$33,2,0)</f>
        <v>540828.40495698387</v>
      </c>
      <c r="AD149" s="144">
        <f t="shared" ca="1" si="34"/>
        <v>-170828.40495698387</v>
      </c>
      <c r="AE149" s="47">
        <f t="shared" ca="1" si="35"/>
        <v>2163313.6198279355</v>
      </c>
    </row>
    <row r="150" spans="1:31" s="145" customFormat="1" ht="15.5" hidden="1" x14ac:dyDescent="0.35">
      <c r="A150" s="129" t="s">
        <v>170</v>
      </c>
      <c r="B150" s="130">
        <v>1704</v>
      </c>
      <c r="C150" s="131" t="s">
        <v>151</v>
      </c>
      <c r="D150" s="131" t="s">
        <v>153</v>
      </c>
      <c r="E150" s="131"/>
      <c r="F150" s="131">
        <v>31.86</v>
      </c>
      <c r="G150" s="131">
        <v>3.6</v>
      </c>
      <c r="H150" s="132">
        <f t="shared" si="24"/>
        <v>33.659999999999997</v>
      </c>
      <c r="I150" s="132">
        <f t="shared" si="25"/>
        <v>35.46</v>
      </c>
      <c r="J150" s="69">
        <v>2944</v>
      </c>
      <c r="K150" s="134">
        <v>0</v>
      </c>
      <c r="L150" s="135">
        <v>0</v>
      </c>
      <c r="M150" s="135">
        <v>0</v>
      </c>
      <c r="N150" s="69">
        <f t="shared" si="26"/>
        <v>2944</v>
      </c>
      <c r="O150" s="351">
        <f t="shared" si="27"/>
        <v>3271.1111111111109</v>
      </c>
      <c r="P150" s="136">
        <f t="shared" si="28"/>
        <v>87.462863933452184</v>
      </c>
      <c r="Q150" s="137">
        <f t="shared" si="29"/>
        <v>0.1</v>
      </c>
      <c r="R150" s="138">
        <f t="shared" si="30"/>
        <v>327.11111111111109</v>
      </c>
      <c r="S150" s="139">
        <v>0.8</v>
      </c>
      <c r="T150" s="138">
        <f t="shared" si="31"/>
        <v>2616.8888888888887</v>
      </c>
      <c r="U150" s="140">
        <f t="shared" si="32"/>
        <v>9.9999999999999978E-2</v>
      </c>
      <c r="V150" s="138">
        <f t="shared" si="33"/>
        <v>327.11111111111103</v>
      </c>
      <c r="W150" s="142">
        <f ca="1">V150*VLOOKUP(TODAY(),'UF HOY'!$A$2:$B$33,2,0)</f>
        <v>12997413.262222219</v>
      </c>
      <c r="X150" s="143">
        <f>Datos!$E$3</f>
        <v>31</v>
      </c>
      <c r="Y150" s="144">
        <f ca="1">IF((W150-1000000-Datos!$D$3)/X150&gt;0,(W150-1000000-Datos!$D$3)/X150,0)</f>
        <v>378948.8149103942</v>
      </c>
      <c r="Z150" s="143">
        <f>Datos!$F$3</f>
        <v>31</v>
      </c>
      <c r="AA150" s="144">
        <f ca="1">IF((W150-1750000-Datos!$D$3-3%*O150*VLOOKUP(TODAY(),'UF HOY'!$A$2:$B$33,2,0))/Z150&gt;0,(W150-1750000-Datos!$D$3-3%*O150*VLOOKUP(TODAY(),'UF HOY'!$A$2:$B$33,2,0))/Z150,0)</f>
        <v>228973.84785663072</v>
      </c>
      <c r="AB150" s="142">
        <f>IF(L150&gt;0,VLOOKUP(D150,Datos!$C$7:$E$11,3,0),VLOOKUP(D150,Datos!$C$7:$E$11,2,0))</f>
        <v>370000</v>
      </c>
      <c r="AC150" s="144">
        <f ca="1">(S150*PMT(Datos!$H$13,Datos!$H$12,-O150,,)*VLOOKUP(TODAY(),'UF HOY'!$A$2:$B$33,2,0)/12)+VLOOKUP(TODAY(),'UF HOY'!$A$2:$B$33,2,0)</f>
        <v>540828.40495698387</v>
      </c>
      <c r="AD150" s="144">
        <f t="shared" ca="1" si="34"/>
        <v>-170828.40495698387</v>
      </c>
      <c r="AE150" s="47">
        <f t="shared" ca="1" si="35"/>
        <v>2163313.6198279355</v>
      </c>
    </row>
    <row r="151" spans="1:31" s="145" customFormat="1" ht="15.5" hidden="1" x14ac:dyDescent="0.35">
      <c r="A151" s="129" t="s">
        <v>170</v>
      </c>
      <c r="B151" s="130">
        <v>1208</v>
      </c>
      <c r="C151" s="131" t="s">
        <v>152</v>
      </c>
      <c r="D151" s="131" t="s">
        <v>153</v>
      </c>
      <c r="E151" s="131"/>
      <c r="F151" s="131">
        <v>31.86</v>
      </c>
      <c r="G151" s="131">
        <v>3.6</v>
      </c>
      <c r="H151" s="132">
        <f t="shared" si="24"/>
        <v>33.659999999999997</v>
      </c>
      <c r="I151" s="132">
        <f t="shared" si="25"/>
        <v>35.46</v>
      </c>
      <c r="J151" s="69">
        <v>2954</v>
      </c>
      <c r="K151" s="134">
        <v>0</v>
      </c>
      <c r="L151" s="135">
        <v>0</v>
      </c>
      <c r="M151" s="135">
        <v>0</v>
      </c>
      <c r="N151" s="69">
        <f t="shared" si="26"/>
        <v>2954</v>
      </c>
      <c r="O151" s="39">
        <f t="shared" si="27"/>
        <v>3282.2222222222222</v>
      </c>
      <c r="P151" s="136">
        <f t="shared" si="28"/>
        <v>87.759952465834829</v>
      </c>
      <c r="Q151" s="137">
        <f t="shared" si="29"/>
        <v>0.1</v>
      </c>
      <c r="R151" s="138">
        <f t="shared" si="30"/>
        <v>328.22222222222223</v>
      </c>
      <c r="S151" s="139">
        <v>0.8</v>
      </c>
      <c r="T151" s="138">
        <f t="shared" si="31"/>
        <v>2625.7777777777778</v>
      </c>
      <c r="U151" s="140">
        <f t="shared" si="32"/>
        <v>9.9999999999999978E-2</v>
      </c>
      <c r="V151" s="138">
        <f t="shared" si="33"/>
        <v>328.22222222222217</v>
      </c>
      <c r="W151" s="142">
        <f ca="1">V151*VLOOKUP(TODAY(),'UF HOY'!$A$2:$B$33,2,0)</f>
        <v>13041562.084444443</v>
      </c>
      <c r="X151" s="143">
        <f>Datos!$E$3</f>
        <v>31</v>
      </c>
      <c r="Y151" s="144">
        <f ca="1">IF((W151-1000000-Datos!$D$3)/X151&gt;0,(W151-1000000-Datos!$D$3)/X151,0)</f>
        <v>380372.97046594979</v>
      </c>
      <c r="Z151" s="143">
        <f>Datos!$F$3</f>
        <v>31</v>
      </c>
      <c r="AA151" s="144">
        <f ca="1">IF((W151-1750000-Datos!$D$3-3%*O151*VLOOKUP(TODAY(),'UF HOY'!$A$2:$B$33,2,0))/Z151&gt;0,(W151-1750000-Datos!$D$3-3%*O151*VLOOKUP(TODAY(),'UF HOY'!$A$2:$B$33,2,0))/Z151,0)</f>
        <v>229970.75674551967</v>
      </c>
      <c r="AB151" s="142">
        <f>IF(L151&gt;0,VLOOKUP(D151,Datos!$C$7:$E$11,3,0),VLOOKUP(D151,Datos!$C$7:$E$11,2,0))</f>
        <v>370000</v>
      </c>
      <c r="AC151" s="144">
        <f ca="1">(S151*PMT(Datos!$H$13,Datos!$H$12,-O151,,)*VLOOKUP(TODAY(),'UF HOY'!$A$2:$B$33,2,0)/12)+VLOOKUP(TODAY(),'UF HOY'!$A$2:$B$33,2,0)</f>
        <v>542530.49213414756</v>
      </c>
      <c r="AD151" s="144">
        <f t="shared" ca="1" si="34"/>
        <v>-172530.49213414756</v>
      </c>
      <c r="AE151" s="47">
        <f t="shared" ca="1" si="35"/>
        <v>2170121.9685365902</v>
      </c>
    </row>
    <row r="152" spans="1:31" s="145" customFormat="1" ht="15.5" hidden="1" x14ac:dyDescent="0.35">
      <c r="A152" s="129" t="s">
        <v>170</v>
      </c>
      <c r="B152" s="130">
        <v>1209</v>
      </c>
      <c r="C152" s="131" t="s">
        <v>152</v>
      </c>
      <c r="D152" s="131" t="s">
        <v>153</v>
      </c>
      <c r="E152" s="131"/>
      <c r="F152" s="131">
        <v>31.86</v>
      </c>
      <c r="G152" s="131">
        <v>3.6</v>
      </c>
      <c r="H152" s="132">
        <f t="shared" si="24"/>
        <v>33.659999999999997</v>
      </c>
      <c r="I152" s="132">
        <f t="shared" si="25"/>
        <v>35.46</v>
      </c>
      <c r="J152" s="69">
        <v>2954</v>
      </c>
      <c r="K152" s="134">
        <v>0</v>
      </c>
      <c r="L152" s="135">
        <v>0</v>
      </c>
      <c r="M152" s="135">
        <v>0</v>
      </c>
      <c r="N152" s="69">
        <f t="shared" si="26"/>
        <v>2954</v>
      </c>
      <c r="O152" s="39">
        <f t="shared" si="27"/>
        <v>3282.2222222222222</v>
      </c>
      <c r="P152" s="136">
        <f t="shared" si="28"/>
        <v>87.759952465834829</v>
      </c>
      <c r="Q152" s="137">
        <f t="shared" si="29"/>
        <v>0.1</v>
      </c>
      <c r="R152" s="138">
        <f t="shared" si="30"/>
        <v>328.22222222222223</v>
      </c>
      <c r="S152" s="139">
        <v>0.8</v>
      </c>
      <c r="T152" s="138">
        <f t="shared" si="31"/>
        <v>2625.7777777777778</v>
      </c>
      <c r="U152" s="140">
        <f t="shared" si="32"/>
        <v>9.9999999999999978E-2</v>
      </c>
      <c r="V152" s="138">
        <f t="shared" si="33"/>
        <v>328.22222222222217</v>
      </c>
      <c r="W152" s="142">
        <f ca="1">V152*VLOOKUP(TODAY(),'UF HOY'!$A$2:$B$33,2,0)</f>
        <v>13041562.084444443</v>
      </c>
      <c r="X152" s="143">
        <f>Datos!$E$3</f>
        <v>31</v>
      </c>
      <c r="Y152" s="144">
        <f ca="1">IF((W152-1000000-Datos!$D$3)/X152&gt;0,(W152-1000000-Datos!$D$3)/X152,0)</f>
        <v>380372.97046594979</v>
      </c>
      <c r="Z152" s="143">
        <f>Datos!$F$3</f>
        <v>31</v>
      </c>
      <c r="AA152" s="144">
        <f ca="1">IF((W152-1750000-Datos!$D$3-3%*O152*VLOOKUP(TODAY(),'UF HOY'!$A$2:$B$33,2,0))/Z152&gt;0,(W152-1750000-Datos!$D$3-3%*O152*VLOOKUP(TODAY(),'UF HOY'!$A$2:$B$33,2,0))/Z152,0)</f>
        <v>229970.75674551967</v>
      </c>
      <c r="AB152" s="142">
        <f>IF(L152&gt;0,VLOOKUP(D152,Datos!$C$7:$E$11,3,0),VLOOKUP(D152,Datos!$C$7:$E$11,2,0))</f>
        <v>370000</v>
      </c>
      <c r="AC152" s="144">
        <f ca="1">(S152*PMT(Datos!$H$13,Datos!$H$12,-O152,,)*VLOOKUP(TODAY(),'UF HOY'!$A$2:$B$33,2,0)/12)+VLOOKUP(TODAY(),'UF HOY'!$A$2:$B$33,2,0)</f>
        <v>542530.49213414756</v>
      </c>
      <c r="AD152" s="144">
        <f t="shared" ca="1" si="34"/>
        <v>-172530.49213414756</v>
      </c>
      <c r="AE152" s="47">
        <f t="shared" ca="1" si="35"/>
        <v>2170121.9685365902</v>
      </c>
    </row>
    <row r="153" spans="1:31" s="145" customFormat="1" ht="15.5" hidden="1" x14ac:dyDescent="0.35">
      <c r="A153" s="129" t="s">
        <v>170</v>
      </c>
      <c r="B153" s="130">
        <v>1210</v>
      </c>
      <c r="C153" s="131" t="s">
        <v>152</v>
      </c>
      <c r="D153" s="131" t="s">
        <v>153</v>
      </c>
      <c r="E153" s="131"/>
      <c r="F153" s="131">
        <v>31.86</v>
      </c>
      <c r="G153" s="131">
        <v>3.6</v>
      </c>
      <c r="H153" s="132">
        <f t="shared" si="24"/>
        <v>33.659999999999997</v>
      </c>
      <c r="I153" s="132">
        <f t="shared" si="25"/>
        <v>35.46</v>
      </c>
      <c r="J153" s="69">
        <v>2954</v>
      </c>
      <c r="K153" s="134">
        <v>0</v>
      </c>
      <c r="L153" s="135">
        <v>0</v>
      </c>
      <c r="M153" s="135">
        <v>0</v>
      </c>
      <c r="N153" s="69">
        <f t="shared" si="26"/>
        <v>2954</v>
      </c>
      <c r="O153" s="39">
        <f t="shared" si="27"/>
        <v>3282.2222222222222</v>
      </c>
      <c r="P153" s="136">
        <f t="shared" si="28"/>
        <v>87.759952465834829</v>
      </c>
      <c r="Q153" s="137">
        <f t="shared" si="29"/>
        <v>0.1</v>
      </c>
      <c r="R153" s="138">
        <f t="shared" si="30"/>
        <v>328.22222222222223</v>
      </c>
      <c r="S153" s="139">
        <v>0.8</v>
      </c>
      <c r="T153" s="138">
        <f t="shared" si="31"/>
        <v>2625.7777777777778</v>
      </c>
      <c r="U153" s="140">
        <f t="shared" si="32"/>
        <v>9.9999999999999978E-2</v>
      </c>
      <c r="V153" s="138">
        <f t="shared" si="33"/>
        <v>328.22222222222217</v>
      </c>
      <c r="W153" s="142">
        <f ca="1">V153*VLOOKUP(TODAY(),'UF HOY'!$A$2:$B$33,2,0)</f>
        <v>13041562.084444443</v>
      </c>
      <c r="X153" s="143">
        <f>Datos!$E$3</f>
        <v>31</v>
      </c>
      <c r="Y153" s="144">
        <f ca="1">IF((W153-1000000-Datos!$D$3)/X153&gt;0,(W153-1000000-Datos!$D$3)/X153,0)</f>
        <v>380372.97046594979</v>
      </c>
      <c r="Z153" s="143">
        <f>Datos!$F$3</f>
        <v>31</v>
      </c>
      <c r="AA153" s="144">
        <f ca="1">IF((W153-1750000-Datos!$D$3-3%*O153*VLOOKUP(TODAY(),'UF HOY'!$A$2:$B$33,2,0))/Z153&gt;0,(W153-1750000-Datos!$D$3-3%*O153*VLOOKUP(TODAY(),'UF HOY'!$A$2:$B$33,2,0))/Z153,0)</f>
        <v>229970.75674551967</v>
      </c>
      <c r="AB153" s="142">
        <f>IF(L153&gt;0,VLOOKUP(D153,Datos!$C$7:$E$11,3,0),VLOOKUP(D153,Datos!$C$7:$E$11,2,0))</f>
        <v>370000</v>
      </c>
      <c r="AC153" s="144">
        <f ca="1">(S153*PMT(Datos!$H$13,Datos!$H$12,-O153,,)*VLOOKUP(TODAY(),'UF HOY'!$A$2:$B$33,2,0)/12)+VLOOKUP(TODAY(),'UF HOY'!$A$2:$B$33,2,0)</f>
        <v>542530.49213414756</v>
      </c>
      <c r="AD153" s="144">
        <f t="shared" ca="1" si="34"/>
        <v>-172530.49213414756</v>
      </c>
      <c r="AE153" s="47">
        <f t="shared" ca="1" si="35"/>
        <v>2170121.9685365902</v>
      </c>
    </row>
    <row r="154" spans="1:31" s="145" customFormat="1" ht="15.5" hidden="1" x14ac:dyDescent="0.35">
      <c r="A154" s="129" t="s">
        <v>170</v>
      </c>
      <c r="B154" s="130">
        <v>1212</v>
      </c>
      <c r="C154" s="131" t="s">
        <v>152</v>
      </c>
      <c r="D154" s="131" t="s">
        <v>153</v>
      </c>
      <c r="E154" s="131"/>
      <c r="F154" s="131">
        <v>31.86</v>
      </c>
      <c r="G154" s="131">
        <v>3.6</v>
      </c>
      <c r="H154" s="132">
        <f t="shared" si="24"/>
        <v>33.659999999999997</v>
      </c>
      <c r="I154" s="132">
        <f t="shared" si="25"/>
        <v>35.46</v>
      </c>
      <c r="J154" s="69">
        <v>2954</v>
      </c>
      <c r="K154" s="134">
        <v>0</v>
      </c>
      <c r="L154" s="135">
        <v>0</v>
      </c>
      <c r="M154" s="135">
        <v>0</v>
      </c>
      <c r="N154" s="69">
        <f t="shared" si="26"/>
        <v>2954</v>
      </c>
      <c r="O154" s="39">
        <f t="shared" si="27"/>
        <v>3282.2222222222222</v>
      </c>
      <c r="P154" s="136">
        <f t="shared" si="28"/>
        <v>87.759952465834829</v>
      </c>
      <c r="Q154" s="137">
        <f t="shared" si="29"/>
        <v>0.1</v>
      </c>
      <c r="R154" s="138">
        <f t="shared" si="30"/>
        <v>328.22222222222223</v>
      </c>
      <c r="S154" s="139">
        <v>0.8</v>
      </c>
      <c r="T154" s="138">
        <f t="shared" si="31"/>
        <v>2625.7777777777778</v>
      </c>
      <c r="U154" s="140">
        <f t="shared" si="32"/>
        <v>9.9999999999999978E-2</v>
      </c>
      <c r="V154" s="138">
        <f t="shared" si="33"/>
        <v>328.22222222222217</v>
      </c>
      <c r="W154" s="142">
        <f ca="1">V154*VLOOKUP(TODAY(),'UF HOY'!$A$2:$B$33,2,0)</f>
        <v>13041562.084444443</v>
      </c>
      <c r="X154" s="143">
        <f>Datos!$E$3</f>
        <v>31</v>
      </c>
      <c r="Y154" s="144">
        <f ca="1">IF((W154-1000000-Datos!$D$3)/X154&gt;0,(W154-1000000-Datos!$D$3)/X154,0)</f>
        <v>380372.97046594979</v>
      </c>
      <c r="Z154" s="143">
        <f>Datos!$F$3</f>
        <v>31</v>
      </c>
      <c r="AA154" s="144">
        <f ca="1">IF((W154-1750000-Datos!$D$3-3%*O154*VLOOKUP(TODAY(),'UF HOY'!$A$2:$B$33,2,0))/Z154&gt;0,(W154-1750000-Datos!$D$3-3%*O154*VLOOKUP(TODAY(),'UF HOY'!$A$2:$B$33,2,0))/Z154,0)</f>
        <v>229970.75674551967</v>
      </c>
      <c r="AB154" s="142">
        <f>IF(L154&gt;0,VLOOKUP(D154,Datos!$C$7:$E$11,3,0),VLOOKUP(D154,Datos!$C$7:$E$11,2,0))</f>
        <v>370000</v>
      </c>
      <c r="AC154" s="144">
        <f ca="1">(S154*PMT(Datos!$H$13,Datos!$H$12,-O154,,)*VLOOKUP(TODAY(),'UF HOY'!$A$2:$B$33,2,0)/12)+VLOOKUP(TODAY(),'UF HOY'!$A$2:$B$33,2,0)</f>
        <v>542530.49213414756</v>
      </c>
      <c r="AD154" s="144">
        <f t="shared" ca="1" si="34"/>
        <v>-172530.49213414756</v>
      </c>
      <c r="AE154" s="47">
        <f t="shared" ca="1" si="35"/>
        <v>2170121.9685365902</v>
      </c>
    </row>
    <row r="155" spans="1:31" s="145" customFormat="1" ht="15.5" hidden="1" x14ac:dyDescent="0.35">
      <c r="A155" s="129" t="s">
        <v>170</v>
      </c>
      <c r="B155" s="130">
        <v>1213</v>
      </c>
      <c r="C155" s="131" t="s">
        <v>152</v>
      </c>
      <c r="D155" s="131" t="s">
        <v>153</v>
      </c>
      <c r="E155" s="131"/>
      <c r="F155" s="131">
        <v>31.86</v>
      </c>
      <c r="G155" s="131">
        <v>3.6</v>
      </c>
      <c r="H155" s="132">
        <f t="shared" si="24"/>
        <v>33.659999999999997</v>
      </c>
      <c r="I155" s="132">
        <f t="shared" si="25"/>
        <v>35.46</v>
      </c>
      <c r="J155" s="69">
        <v>2954</v>
      </c>
      <c r="K155" s="134">
        <v>0</v>
      </c>
      <c r="L155" s="135">
        <v>0</v>
      </c>
      <c r="M155" s="135">
        <v>0</v>
      </c>
      <c r="N155" s="69">
        <f t="shared" si="26"/>
        <v>2954</v>
      </c>
      <c r="O155" s="39">
        <f t="shared" si="27"/>
        <v>3282.2222222222222</v>
      </c>
      <c r="P155" s="136">
        <f t="shared" si="28"/>
        <v>87.759952465834829</v>
      </c>
      <c r="Q155" s="137">
        <f t="shared" si="29"/>
        <v>0.1</v>
      </c>
      <c r="R155" s="138">
        <f t="shared" si="30"/>
        <v>328.22222222222223</v>
      </c>
      <c r="S155" s="139">
        <v>0.8</v>
      </c>
      <c r="T155" s="138">
        <f t="shared" si="31"/>
        <v>2625.7777777777778</v>
      </c>
      <c r="U155" s="140">
        <f t="shared" si="32"/>
        <v>9.9999999999999978E-2</v>
      </c>
      <c r="V155" s="138">
        <f t="shared" si="33"/>
        <v>328.22222222222217</v>
      </c>
      <c r="W155" s="142">
        <f ca="1">V155*VLOOKUP(TODAY(),'UF HOY'!$A$2:$B$33,2,0)</f>
        <v>13041562.084444443</v>
      </c>
      <c r="X155" s="143">
        <f>Datos!$E$3</f>
        <v>31</v>
      </c>
      <c r="Y155" s="144">
        <f ca="1">IF((W155-1000000-Datos!$D$3)/X155&gt;0,(W155-1000000-Datos!$D$3)/X155,0)</f>
        <v>380372.97046594979</v>
      </c>
      <c r="Z155" s="143">
        <f>Datos!$F$3</f>
        <v>31</v>
      </c>
      <c r="AA155" s="144">
        <f ca="1">IF((W155-1750000-Datos!$D$3-3%*O155*VLOOKUP(TODAY(),'UF HOY'!$A$2:$B$33,2,0))/Z155&gt;0,(W155-1750000-Datos!$D$3-3%*O155*VLOOKUP(TODAY(),'UF HOY'!$A$2:$B$33,2,0))/Z155,0)</f>
        <v>229970.75674551967</v>
      </c>
      <c r="AB155" s="142">
        <f>IF(L155&gt;0,VLOOKUP(D155,Datos!$C$7:$E$11,3,0),VLOOKUP(D155,Datos!$C$7:$E$11,2,0))</f>
        <v>370000</v>
      </c>
      <c r="AC155" s="144">
        <f ca="1">(S155*PMT(Datos!$H$13,Datos!$H$12,-O155,,)*VLOOKUP(TODAY(),'UF HOY'!$A$2:$B$33,2,0)/12)+VLOOKUP(TODAY(),'UF HOY'!$A$2:$B$33,2,0)</f>
        <v>542530.49213414756</v>
      </c>
      <c r="AD155" s="144">
        <f t="shared" ca="1" si="34"/>
        <v>-172530.49213414756</v>
      </c>
      <c r="AE155" s="47">
        <f t="shared" ca="1" si="35"/>
        <v>2170121.9685365902</v>
      </c>
    </row>
    <row r="156" spans="1:31" s="145" customFormat="1" ht="15.5" hidden="1" x14ac:dyDescent="0.35">
      <c r="A156" s="129" t="s">
        <v>170</v>
      </c>
      <c r="B156" s="130">
        <v>1207</v>
      </c>
      <c r="C156" s="131" t="s">
        <v>152</v>
      </c>
      <c r="D156" s="131" t="s">
        <v>153</v>
      </c>
      <c r="E156" s="131"/>
      <c r="F156" s="131">
        <v>31.86</v>
      </c>
      <c r="G156" s="131">
        <v>3.6</v>
      </c>
      <c r="H156" s="132">
        <f t="shared" si="24"/>
        <v>33.659999999999997</v>
      </c>
      <c r="I156" s="132">
        <f t="shared" si="25"/>
        <v>35.46</v>
      </c>
      <c r="J156" s="69">
        <v>2955</v>
      </c>
      <c r="K156" s="134">
        <v>0</v>
      </c>
      <c r="L156" s="135">
        <v>0</v>
      </c>
      <c r="M156" s="135">
        <v>0</v>
      </c>
      <c r="N156" s="69">
        <f t="shared" si="26"/>
        <v>2955</v>
      </c>
      <c r="O156" s="39">
        <f t="shared" si="27"/>
        <v>3283.333333333333</v>
      </c>
      <c r="P156" s="136">
        <f t="shared" si="28"/>
        <v>87.78966131907309</v>
      </c>
      <c r="Q156" s="137">
        <f t="shared" si="29"/>
        <v>0.1</v>
      </c>
      <c r="R156" s="138">
        <f t="shared" si="30"/>
        <v>328.33333333333331</v>
      </c>
      <c r="S156" s="139">
        <v>0.8</v>
      </c>
      <c r="T156" s="138">
        <f t="shared" si="31"/>
        <v>2626.6666666666665</v>
      </c>
      <c r="U156" s="140">
        <f t="shared" si="32"/>
        <v>9.9999999999999978E-2</v>
      </c>
      <c r="V156" s="138">
        <f t="shared" si="33"/>
        <v>328.33333333333326</v>
      </c>
      <c r="W156" s="142">
        <f ca="1">V156*VLOOKUP(TODAY(),'UF HOY'!$A$2:$B$33,2,0)</f>
        <v>13045976.966666665</v>
      </c>
      <c r="X156" s="143">
        <f>Datos!$E$3</f>
        <v>31</v>
      </c>
      <c r="Y156" s="144">
        <f ca="1">IF((W156-1000000-Datos!$D$3)/X156&gt;0,(W156-1000000-Datos!$D$3)/X156,0)</f>
        <v>380515.38602150534</v>
      </c>
      <c r="Z156" s="143">
        <f>Datos!$F$3</f>
        <v>31</v>
      </c>
      <c r="AA156" s="144">
        <f ca="1">IF((W156-1750000-Datos!$D$3-3%*O156*VLOOKUP(TODAY(),'UF HOY'!$A$2:$B$33,2,0))/Z156&gt;0,(W156-1750000-Datos!$D$3-3%*O156*VLOOKUP(TODAY(),'UF HOY'!$A$2:$B$33,2,0))/Z156,0)</f>
        <v>230070.44763440854</v>
      </c>
      <c r="AB156" s="142">
        <f>IF(L156&gt;0,VLOOKUP(D156,Datos!$C$7:$E$11,3,0),VLOOKUP(D156,Datos!$C$7:$E$11,2,0))</f>
        <v>370000</v>
      </c>
      <c r="AC156" s="144">
        <f ca="1">(S156*PMT(Datos!$H$13,Datos!$H$12,-O156,,)*VLOOKUP(TODAY(),'UF HOY'!$A$2:$B$33,2,0)/12)+VLOOKUP(TODAY(),'UF HOY'!$A$2:$B$33,2,0)</f>
        <v>542700.70085186383</v>
      </c>
      <c r="AD156" s="144">
        <f t="shared" ca="1" si="34"/>
        <v>-172700.70085186383</v>
      </c>
      <c r="AE156" s="47">
        <f t="shared" ca="1" si="35"/>
        <v>2170802.8034074553</v>
      </c>
    </row>
    <row r="157" spans="1:31" s="145" customFormat="1" ht="15.5" hidden="1" x14ac:dyDescent="0.35">
      <c r="A157" s="129" t="s">
        <v>170</v>
      </c>
      <c r="B157" s="130">
        <v>1309</v>
      </c>
      <c r="C157" s="131" t="s">
        <v>152</v>
      </c>
      <c r="D157" s="131" t="s">
        <v>153</v>
      </c>
      <c r="E157" s="131"/>
      <c r="F157" s="131">
        <v>31.86</v>
      </c>
      <c r="G157" s="131">
        <v>3.6</v>
      </c>
      <c r="H157" s="132">
        <f t="shared" si="24"/>
        <v>33.659999999999997</v>
      </c>
      <c r="I157" s="132">
        <f t="shared" si="25"/>
        <v>35.46</v>
      </c>
      <c r="J157" s="69">
        <v>2970</v>
      </c>
      <c r="K157" s="134">
        <v>0</v>
      </c>
      <c r="L157" s="135">
        <v>0</v>
      </c>
      <c r="M157" s="135">
        <v>0</v>
      </c>
      <c r="N157" s="69">
        <f t="shared" si="26"/>
        <v>2970</v>
      </c>
      <c r="O157" s="39">
        <f t="shared" si="27"/>
        <v>3300</v>
      </c>
      <c r="P157" s="136">
        <f t="shared" si="28"/>
        <v>88.235294117647072</v>
      </c>
      <c r="Q157" s="137">
        <f t="shared" si="29"/>
        <v>0.1</v>
      </c>
      <c r="R157" s="138">
        <f t="shared" si="30"/>
        <v>330</v>
      </c>
      <c r="S157" s="139">
        <v>0.8</v>
      </c>
      <c r="T157" s="138">
        <f t="shared" si="31"/>
        <v>2640</v>
      </c>
      <c r="U157" s="140">
        <f t="shared" si="32"/>
        <v>9.9999999999999978E-2</v>
      </c>
      <c r="V157" s="138">
        <f t="shared" si="33"/>
        <v>329.99999999999994</v>
      </c>
      <c r="W157" s="142">
        <f ca="1">V157*VLOOKUP(TODAY(),'UF HOY'!$A$2:$B$33,2,0)</f>
        <v>13112200.199999999</v>
      </c>
      <c r="X157" s="143">
        <f>Datos!$E$3</f>
        <v>31</v>
      </c>
      <c r="Y157" s="144">
        <f ca="1">IF((W157-1000000-Datos!$D$3)/X157&gt;0,(W157-1000000-Datos!$D$3)/X157,0)</f>
        <v>382651.61935483868</v>
      </c>
      <c r="Z157" s="143">
        <f>Datos!$F$3</f>
        <v>31</v>
      </c>
      <c r="AA157" s="144">
        <f ca="1">IF((W157-1750000-Datos!$D$3-3%*O157*VLOOKUP(TODAY(),'UF HOY'!$A$2:$B$33,2,0))/Z157&gt;0,(W157-1750000-Datos!$D$3-3%*O157*VLOOKUP(TODAY(),'UF HOY'!$A$2:$B$33,2,0))/Z157,0)</f>
        <v>231565.81096774188</v>
      </c>
      <c r="AB157" s="142">
        <f>IF(L157&gt;0,VLOOKUP(D157,Datos!$C$7:$E$11,3,0),VLOOKUP(D157,Datos!$C$7:$E$11,2,0))</f>
        <v>370000</v>
      </c>
      <c r="AC157" s="144">
        <f ca="1">(S157*PMT(Datos!$H$13,Datos!$H$12,-O157,,)*VLOOKUP(TODAY(),'UF HOY'!$A$2:$B$33,2,0)/12)+VLOOKUP(TODAY(),'UF HOY'!$A$2:$B$33,2,0)</f>
        <v>545253.83161760936</v>
      </c>
      <c r="AD157" s="144">
        <f t="shared" ca="1" si="34"/>
        <v>-175253.83161760936</v>
      </c>
      <c r="AE157" s="47">
        <f t="shared" ca="1" si="35"/>
        <v>2181015.3264704375</v>
      </c>
    </row>
    <row r="158" spans="1:31" s="145" customFormat="1" ht="15.5" hidden="1" x14ac:dyDescent="0.35">
      <c r="A158" s="129" t="s">
        <v>170</v>
      </c>
      <c r="B158" s="130">
        <v>1310</v>
      </c>
      <c r="C158" s="131" t="s">
        <v>152</v>
      </c>
      <c r="D158" s="131" t="s">
        <v>153</v>
      </c>
      <c r="E158" s="131"/>
      <c r="F158" s="131">
        <v>31.86</v>
      </c>
      <c r="G158" s="131">
        <v>3.6</v>
      </c>
      <c r="H158" s="132">
        <f t="shared" si="24"/>
        <v>33.659999999999997</v>
      </c>
      <c r="I158" s="132">
        <f t="shared" si="25"/>
        <v>35.46</v>
      </c>
      <c r="J158" s="69">
        <v>2970</v>
      </c>
      <c r="K158" s="134">
        <v>0</v>
      </c>
      <c r="L158" s="135">
        <v>0</v>
      </c>
      <c r="M158" s="135">
        <v>0</v>
      </c>
      <c r="N158" s="69">
        <f t="shared" si="26"/>
        <v>2970</v>
      </c>
      <c r="O158" s="39">
        <f t="shared" si="27"/>
        <v>3300</v>
      </c>
      <c r="P158" s="136">
        <f t="shared" si="28"/>
        <v>88.235294117647072</v>
      </c>
      <c r="Q158" s="137">
        <f t="shared" si="29"/>
        <v>0.1</v>
      </c>
      <c r="R158" s="138">
        <f t="shared" si="30"/>
        <v>330</v>
      </c>
      <c r="S158" s="139">
        <v>0.8</v>
      </c>
      <c r="T158" s="138">
        <f t="shared" si="31"/>
        <v>2640</v>
      </c>
      <c r="U158" s="140">
        <f t="shared" si="32"/>
        <v>9.9999999999999978E-2</v>
      </c>
      <c r="V158" s="138">
        <f t="shared" si="33"/>
        <v>329.99999999999994</v>
      </c>
      <c r="W158" s="142">
        <f ca="1">V158*VLOOKUP(TODAY(),'UF HOY'!$A$2:$B$33,2,0)</f>
        <v>13112200.199999999</v>
      </c>
      <c r="X158" s="143">
        <f>Datos!$E$3</f>
        <v>31</v>
      </c>
      <c r="Y158" s="144">
        <f ca="1">IF((W158-1000000-Datos!$D$3)/X158&gt;0,(W158-1000000-Datos!$D$3)/X158,0)</f>
        <v>382651.61935483868</v>
      </c>
      <c r="Z158" s="143">
        <f>Datos!$F$3</f>
        <v>31</v>
      </c>
      <c r="AA158" s="144">
        <f ca="1">IF((W158-1750000-Datos!$D$3-3%*O158*VLOOKUP(TODAY(),'UF HOY'!$A$2:$B$33,2,0))/Z158&gt;0,(W158-1750000-Datos!$D$3-3%*O158*VLOOKUP(TODAY(),'UF HOY'!$A$2:$B$33,2,0))/Z158,0)</f>
        <v>231565.81096774188</v>
      </c>
      <c r="AB158" s="142">
        <f>IF(L158&gt;0,VLOOKUP(D158,Datos!$C$7:$E$11,3,0),VLOOKUP(D158,Datos!$C$7:$E$11,2,0))</f>
        <v>370000</v>
      </c>
      <c r="AC158" s="144">
        <f ca="1">(S158*PMT(Datos!$H$13,Datos!$H$12,-O158,,)*VLOOKUP(TODAY(),'UF HOY'!$A$2:$B$33,2,0)/12)+VLOOKUP(TODAY(),'UF HOY'!$A$2:$B$33,2,0)</f>
        <v>545253.83161760936</v>
      </c>
      <c r="AD158" s="144">
        <f t="shared" ca="1" si="34"/>
        <v>-175253.83161760936</v>
      </c>
      <c r="AE158" s="47">
        <f t="shared" ca="1" si="35"/>
        <v>2181015.3264704375</v>
      </c>
    </row>
    <row r="159" spans="1:31" s="145" customFormat="1" ht="15.5" x14ac:dyDescent="0.35">
      <c r="A159" s="129" t="s">
        <v>105</v>
      </c>
      <c r="B159" s="130">
        <v>1312</v>
      </c>
      <c r="C159" s="131" t="s">
        <v>152</v>
      </c>
      <c r="D159" s="131" t="s">
        <v>153</v>
      </c>
      <c r="E159" s="131"/>
      <c r="F159" s="131">
        <v>31.86</v>
      </c>
      <c r="G159" s="131">
        <v>3.6</v>
      </c>
      <c r="H159" s="132">
        <f t="shared" si="24"/>
        <v>33.659999999999997</v>
      </c>
      <c r="I159" s="132">
        <f t="shared" si="25"/>
        <v>35.46</v>
      </c>
      <c r="J159" s="69">
        <v>2970</v>
      </c>
      <c r="K159" s="134">
        <v>0</v>
      </c>
      <c r="L159" s="135">
        <v>0</v>
      </c>
      <c r="M159" s="135">
        <v>0</v>
      </c>
      <c r="N159" s="69">
        <f t="shared" si="26"/>
        <v>2970</v>
      </c>
      <c r="O159" s="39">
        <f t="shared" si="27"/>
        <v>3300</v>
      </c>
      <c r="P159" s="136">
        <f t="shared" si="28"/>
        <v>88.235294117647072</v>
      </c>
      <c r="Q159" s="137">
        <f t="shared" si="29"/>
        <v>0.1</v>
      </c>
      <c r="R159" s="138">
        <f t="shared" si="30"/>
        <v>330</v>
      </c>
      <c r="S159" s="139">
        <v>0.8</v>
      </c>
      <c r="T159" s="138">
        <f t="shared" si="31"/>
        <v>2640</v>
      </c>
      <c r="U159" s="140">
        <f t="shared" si="32"/>
        <v>9.9999999999999978E-2</v>
      </c>
      <c r="V159" s="138">
        <f t="shared" si="33"/>
        <v>329.99999999999994</v>
      </c>
      <c r="W159" s="142">
        <f ca="1">V159*VLOOKUP(TODAY(),'UF HOY'!$A$2:$B$33,2,0)</f>
        <v>13112200.199999999</v>
      </c>
      <c r="X159" s="143">
        <f>Datos!$E$3</f>
        <v>31</v>
      </c>
      <c r="Y159" s="144">
        <f ca="1">IF((W159-1000000-Datos!$D$3)/X159&gt;0,(W159-1000000-Datos!$D$3)/X159,0)</f>
        <v>382651.61935483868</v>
      </c>
      <c r="Z159" s="143">
        <f>Datos!$F$3</f>
        <v>31</v>
      </c>
      <c r="AA159" s="144">
        <f ca="1">IF((W159-1750000-Datos!$D$3-3%*O159*VLOOKUP(TODAY(),'UF HOY'!$A$2:$B$33,2,0))/Z159&gt;0,(W159-1750000-Datos!$D$3-3%*O159*VLOOKUP(TODAY(),'UF HOY'!$A$2:$B$33,2,0))/Z159,0)</f>
        <v>231565.81096774188</v>
      </c>
      <c r="AB159" s="142">
        <f>IF(L159&gt;0,VLOOKUP(D159,Datos!$C$7:$E$11,3,0),VLOOKUP(D159,Datos!$C$7:$E$11,2,0))</f>
        <v>370000</v>
      </c>
      <c r="AC159" s="144">
        <f ca="1">(S159*PMT(Datos!$H$13,Datos!$H$12,-O159,,)*VLOOKUP(TODAY(),'UF HOY'!$A$2:$B$33,2,0)/12)+VLOOKUP(TODAY(),'UF HOY'!$A$2:$B$33,2,0)</f>
        <v>545253.83161760936</v>
      </c>
      <c r="AD159" s="144">
        <f t="shared" ca="1" si="34"/>
        <v>-175253.83161760936</v>
      </c>
      <c r="AE159" s="47">
        <f t="shared" ca="1" si="35"/>
        <v>2181015.3264704375</v>
      </c>
    </row>
    <row r="160" spans="1:31" s="145" customFormat="1" ht="15.5" x14ac:dyDescent="0.35">
      <c r="A160" s="129" t="s">
        <v>105</v>
      </c>
      <c r="B160" s="130">
        <v>1313</v>
      </c>
      <c r="C160" s="131" t="s">
        <v>152</v>
      </c>
      <c r="D160" s="131" t="s">
        <v>153</v>
      </c>
      <c r="E160" s="131"/>
      <c r="F160" s="131">
        <v>31.86</v>
      </c>
      <c r="G160" s="131">
        <v>3.6</v>
      </c>
      <c r="H160" s="132">
        <f t="shared" si="24"/>
        <v>33.659999999999997</v>
      </c>
      <c r="I160" s="132">
        <f t="shared" si="25"/>
        <v>35.46</v>
      </c>
      <c r="J160" s="69">
        <v>2970</v>
      </c>
      <c r="K160" s="134">
        <v>0</v>
      </c>
      <c r="L160" s="135">
        <v>0</v>
      </c>
      <c r="M160" s="135">
        <v>0</v>
      </c>
      <c r="N160" s="69">
        <f t="shared" si="26"/>
        <v>2970</v>
      </c>
      <c r="O160" s="39">
        <f t="shared" si="27"/>
        <v>3300</v>
      </c>
      <c r="P160" s="136">
        <f t="shared" si="28"/>
        <v>88.235294117647072</v>
      </c>
      <c r="Q160" s="137">
        <f t="shared" si="29"/>
        <v>0.1</v>
      </c>
      <c r="R160" s="138">
        <f t="shared" si="30"/>
        <v>330</v>
      </c>
      <c r="S160" s="139">
        <v>0.8</v>
      </c>
      <c r="T160" s="138">
        <f t="shared" si="31"/>
        <v>2640</v>
      </c>
      <c r="U160" s="140">
        <f t="shared" si="32"/>
        <v>9.9999999999999978E-2</v>
      </c>
      <c r="V160" s="138">
        <f t="shared" si="33"/>
        <v>329.99999999999994</v>
      </c>
      <c r="W160" s="142">
        <f ca="1">V160*VLOOKUP(TODAY(),'UF HOY'!$A$2:$B$33,2,0)</f>
        <v>13112200.199999999</v>
      </c>
      <c r="X160" s="143">
        <f>Datos!$E$3</f>
        <v>31</v>
      </c>
      <c r="Y160" s="144">
        <f ca="1">IF((W160-1000000-Datos!$D$3)/X160&gt;0,(W160-1000000-Datos!$D$3)/X160,0)</f>
        <v>382651.61935483868</v>
      </c>
      <c r="Z160" s="143">
        <f>Datos!$F$3</f>
        <v>31</v>
      </c>
      <c r="AA160" s="144">
        <f ca="1">IF((W160-1750000-Datos!$D$3-3%*O160*VLOOKUP(TODAY(),'UF HOY'!$A$2:$B$33,2,0))/Z160&gt;0,(W160-1750000-Datos!$D$3-3%*O160*VLOOKUP(TODAY(),'UF HOY'!$A$2:$B$33,2,0))/Z160,0)</f>
        <v>231565.81096774188</v>
      </c>
      <c r="AB160" s="142">
        <f>IF(L160&gt;0,VLOOKUP(D160,Datos!$C$7:$E$11,3,0),VLOOKUP(D160,Datos!$C$7:$E$11,2,0))</f>
        <v>370000</v>
      </c>
      <c r="AC160" s="144">
        <f ca="1">(S160*PMT(Datos!$H$13,Datos!$H$12,-O160,,)*VLOOKUP(TODAY(),'UF HOY'!$A$2:$B$33,2,0)/12)+VLOOKUP(TODAY(),'UF HOY'!$A$2:$B$33,2,0)</f>
        <v>545253.83161760936</v>
      </c>
      <c r="AD160" s="144">
        <f t="shared" ca="1" si="34"/>
        <v>-175253.83161760936</v>
      </c>
      <c r="AE160" s="47">
        <f t="shared" ca="1" si="35"/>
        <v>2181015.3264704375</v>
      </c>
    </row>
    <row r="161" spans="1:31" s="145" customFormat="1" ht="15.5" hidden="1" x14ac:dyDescent="0.35">
      <c r="A161" s="129" t="s">
        <v>170</v>
      </c>
      <c r="B161" s="130">
        <v>1308</v>
      </c>
      <c r="C161" s="131" t="s">
        <v>152</v>
      </c>
      <c r="D161" s="131" t="s">
        <v>153</v>
      </c>
      <c r="E161" s="131"/>
      <c r="F161" s="131">
        <v>31.86</v>
      </c>
      <c r="G161" s="131">
        <v>3.6</v>
      </c>
      <c r="H161" s="132">
        <f t="shared" si="24"/>
        <v>33.659999999999997</v>
      </c>
      <c r="I161" s="132">
        <f t="shared" si="25"/>
        <v>35.46</v>
      </c>
      <c r="J161" s="69">
        <v>2970</v>
      </c>
      <c r="K161" s="134">
        <v>0</v>
      </c>
      <c r="L161" s="135">
        <v>0</v>
      </c>
      <c r="M161" s="135">
        <v>0</v>
      </c>
      <c r="N161" s="69">
        <f t="shared" si="26"/>
        <v>2970</v>
      </c>
      <c r="O161" s="39">
        <f t="shared" si="27"/>
        <v>3300</v>
      </c>
      <c r="P161" s="136">
        <f t="shared" si="28"/>
        <v>88.235294117647072</v>
      </c>
      <c r="Q161" s="137">
        <f t="shared" si="29"/>
        <v>0.1</v>
      </c>
      <c r="R161" s="138">
        <f t="shared" si="30"/>
        <v>330</v>
      </c>
      <c r="S161" s="139">
        <v>0.8</v>
      </c>
      <c r="T161" s="138">
        <f t="shared" si="31"/>
        <v>2640</v>
      </c>
      <c r="U161" s="140">
        <f t="shared" si="32"/>
        <v>9.9999999999999978E-2</v>
      </c>
      <c r="V161" s="138">
        <f t="shared" si="33"/>
        <v>329.99999999999994</v>
      </c>
      <c r="W161" s="142">
        <f ca="1">V161*VLOOKUP(TODAY(),'UF HOY'!$A$2:$B$33,2,0)</f>
        <v>13112200.199999999</v>
      </c>
      <c r="X161" s="143">
        <f>Datos!$E$3</f>
        <v>31</v>
      </c>
      <c r="Y161" s="144">
        <f ca="1">IF((W161-1000000-Datos!$D$3)/X161&gt;0,(W161-1000000-Datos!$D$3)/X161,0)</f>
        <v>382651.61935483868</v>
      </c>
      <c r="Z161" s="143">
        <f>Datos!$F$3</f>
        <v>31</v>
      </c>
      <c r="AA161" s="144">
        <f ca="1">IF((W161-1750000-Datos!$D$3-3%*O161*VLOOKUP(TODAY(),'UF HOY'!$A$2:$B$33,2,0))/Z161&gt;0,(W161-1750000-Datos!$D$3-3%*O161*VLOOKUP(TODAY(),'UF HOY'!$A$2:$B$33,2,0))/Z161,0)</f>
        <v>231565.81096774188</v>
      </c>
      <c r="AB161" s="142">
        <f>IF(L161&gt;0,VLOOKUP(D161,Datos!$C$7:$E$11,3,0),VLOOKUP(D161,Datos!$C$7:$E$11,2,0))</f>
        <v>370000</v>
      </c>
      <c r="AC161" s="144">
        <f ca="1">(S161*PMT(Datos!$H$13,Datos!$H$12,-O161,,)*VLOOKUP(TODAY(),'UF HOY'!$A$2:$B$33,2,0)/12)+VLOOKUP(TODAY(),'UF HOY'!$A$2:$B$33,2,0)</f>
        <v>545253.83161760936</v>
      </c>
      <c r="AD161" s="144">
        <f t="shared" ca="1" si="34"/>
        <v>-175253.83161760936</v>
      </c>
      <c r="AE161" s="47">
        <f t="shared" ca="1" si="35"/>
        <v>2181015.3264704375</v>
      </c>
    </row>
    <row r="162" spans="1:31" s="145" customFormat="1" ht="15.5" x14ac:dyDescent="0.35">
      <c r="A162" s="129" t="s">
        <v>105</v>
      </c>
      <c r="B162" s="130">
        <v>1307</v>
      </c>
      <c r="C162" s="131" t="s">
        <v>152</v>
      </c>
      <c r="D162" s="131" t="s">
        <v>153</v>
      </c>
      <c r="E162" s="131"/>
      <c r="F162" s="131">
        <v>31.86</v>
      </c>
      <c r="G162" s="131">
        <v>3.6</v>
      </c>
      <c r="H162" s="132">
        <f t="shared" si="24"/>
        <v>33.659999999999997</v>
      </c>
      <c r="I162" s="132">
        <f t="shared" si="25"/>
        <v>35.46</v>
      </c>
      <c r="J162" s="69">
        <v>2971</v>
      </c>
      <c r="K162" s="134">
        <v>0</v>
      </c>
      <c r="L162" s="135">
        <v>0</v>
      </c>
      <c r="M162" s="135">
        <v>0</v>
      </c>
      <c r="N162" s="69">
        <f t="shared" si="26"/>
        <v>2971</v>
      </c>
      <c r="O162" s="39">
        <f t="shared" si="27"/>
        <v>3301.1111111111109</v>
      </c>
      <c r="P162" s="136">
        <f t="shared" si="28"/>
        <v>88.265002970885334</v>
      </c>
      <c r="Q162" s="137">
        <f t="shared" si="29"/>
        <v>0.1</v>
      </c>
      <c r="R162" s="138">
        <f t="shared" si="30"/>
        <v>330.11111111111109</v>
      </c>
      <c r="S162" s="139">
        <v>0.8</v>
      </c>
      <c r="T162" s="138">
        <f t="shared" si="31"/>
        <v>2640.8888888888887</v>
      </c>
      <c r="U162" s="140">
        <f t="shared" si="32"/>
        <v>9.9999999999999978E-2</v>
      </c>
      <c r="V162" s="138">
        <f t="shared" si="33"/>
        <v>330.11111111111103</v>
      </c>
      <c r="W162" s="142">
        <f ca="1">V162*VLOOKUP(TODAY(),'UF HOY'!$A$2:$B$33,2,0)</f>
        <v>13116615.08222222</v>
      </c>
      <c r="X162" s="143">
        <f>Datos!$E$3</f>
        <v>31</v>
      </c>
      <c r="Y162" s="144">
        <f ca="1">IF((W162-1000000-Datos!$D$3)/X162&gt;0,(W162-1000000-Datos!$D$3)/X162,0)</f>
        <v>382794.03491039417</v>
      </c>
      <c r="Z162" s="143">
        <f>Datos!$F$3</f>
        <v>31</v>
      </c>
      <c r="AA162" s="144">
        <f ca="1">IF((W162-1750000-Datos!$D$3-3%*O162*VLOOKUP(TODAY(),'UF HOY'!$A$2:$B$33,2,0))/Z162&gt;0,(W162-1750000-Datos!$D$3-3%*O162*VLOOKUP(TODAY(),'UF HOY'!$A$2:$B$33,2,0))/Z162,0)</f>
        <v>231665.50185663076</v>
      </c>
      <c r="AB162" s="142">
        <f>IF(L162&gt;0,VLOOKUP(D162,Datos!$C$7:$E$11,3,0),VLOOKUP(D162,Datos!$C$7:$E$11,2,0))</f>
        <v>370000</v>
      </c>
      <c r="AC162" s="144">
        <f ca="1">(S162*PMT(Datos!$H$13,Datos!$H$12,-O162,,)*VLOOKUP(TODAY(),'UF HOY'!$A$2:$B$33,2,0)/12)+VLOOKUP(TODAY(),'UF HOY'!$A$2:$B$33,2,0)</f>
        <v>545424.04033532576</v>
      </c>
      <c r="AD162" s="144">
        <f t="shared" ca="1" si="34"/>
        <v>-175424.04033532576</v>
      </c>
      <c r="AE162" s="47">
        <f t="shared" ca="1" si="35"/>
        <v>2181696.161341303</v>
      </c>
    </row>
    <row r="163" spans="1:31" s="145" customFormat="1" ht="15.5" hidden="1" x14ac:dyDescent="0.35">
      <c r="A163" s="129" t="s">
        <v>170</v>
      </c>
      <c r="B163" s="130">
        <v>1407</v>
      </c>
      <c r="C163" s="131" t="s">
        <v>152</v>
      </c>
      <c r="D163" s="131" t="s">
        <v>153</v>
      </c>
      <c r="E163" s="131"/>
      <c r="F163" s="131">
        <v>31.86</v>
      </c>
      <c r="G163" s="131">
        <v>3.6</v>
      </c>
      <c r="H163" s="132">
        <f t="shared" si="24"/>
        <v>33.659999999999997</v>
      </c>
      <c r="I163" s="132">
        <f t="shared" si="25"/>
        <v>35.46</v>
      </c>
      <c r="J163" s="69">
        <v>2987</v>
      </c>
      <c r="K163" s="134">
        <v>0</v>
      </c>
      <c r="L163" s="135">
        <v>0</v>
      </c>
      <c r="M163" s="135">
        <v>0</v>
      </c>
      <c r="N163" s="69">
        <f t="shared" si="26"/>
        <v>2987</v>
      </c>
      <c r="O163" s="39">
        <f t="shared" si="27"/>
        <v>3318.8888888888887</v>
      </c>
      <c r="P163" s="136">
        <f t="shared" si="28"/>
        <v>88.740344622697577</v>
      </c>
      <c r="Q163" s="137">
        <f t="shared" si="29"/>
        <v>0.10000000000000002</v>
      </c>
      <c r="R163" s="138">
        <f t="shared" si="30"/>
        <v>331.88888888888891</v>
      </c>
      <c r="S163" s="139">
        <v>0.8</v>
      </c>
      <c r="T163" s="138">
        <f t="shared" si="31"/>
        <v>2655.1111111111113</v>
      </c>
      <c r="U163" s="140">
        <f t="shared" si="32"/>
        <v>9.9999999999999978E-2</v>
      </c>
      <c r="V163" s="138">
        <f t="shared" si="33"/>
        <v>331.8888888888888</v>
      </c>
      <c r="W163" s="142">
        <f ca="1">V163*VLOOKUP(TODAY(),'UF HOY'!$A$2:$B$33,2,0)</f>
        <v>13187253.197777774</v>
      </c>
      <c r="X163" s="143">
        <f>Datos!$E$3</f>
        <v>31</v>
      </c>
      <c r="Y163" s="144">
        <f ca="1">IF((W163-1000000-Datos!$D$3)/X163&gt;0,(W163-1000000-Datos!$D$3)/X163,0)</f>
        <v>385072.68379928306</v>
      </c>
      <c r="Z163" s="143">
        <f>Datos!$F$3</f>
        <v>31</v>
      </c>
      <c r="AA163" s="144">
        <f ca="1">IF((W163-1750000-Datos!$D$3-3%*O163*VLOOKUP(TODAY(),'UF HOY'!$A$2:$B$33,2,0))/Z163&gt;0,(W163-1750000-Datos!$D$3-3%*O163*VLOOKUP(TODAY(),'UF HOY'!$A$2:$B$33,2,0))/Z163,0)</f>
        <v>233260.55607885294</v>
      </c>
      <c r="AB163" s="142">
        <f>IF(L163&gt;0,VLOOKUP(D163,Datos!$C$7:$E$11,3,0),VLOOKUP(D163,Datos!$C$7:$E$11,2,0))</f>
        <v>370000</v>
      </c>
      <c r="AC163" s="144">
        <f ca="1">(S163*PMT(Datos!$H$13,Datos!$H$12,-O163,,)*VLOOKUP(TODAY(),'UF HOY'!$A$2:$B$33,2,0)/12)+VLOOKUP(TODAY(),'UF HOY'!$A$2:$B$33,2,0)</f>
        <v>548147.37981878757</v>
      </c>
      <c r="AD163" s="144">
        <f t="shared" ca="1" si="34"/>
        <v>-178147.37981878757</v>
      </c>
      <c r="AE163" s="47">
        <f t="shared" ca="1" si="35"/>
        <v>2192589.5192751503</v>
      </c>
    </row>
    <row r="164" spans="1:31" s="145" customFormat="1" ht="15.5" hidden="1" x14ac:dyDescent="0.35">
      <c r="A164" s="129" t="s">
        <v>170</v>
      </c>
      <c r="B164" s="130">
        <v>1408</v>
      </c>
      <c r="C164" s="131" t="s">
        <v>152</v>
      </c>
      <c r="D164" s="131" t="s">
        <v>153</v>
      </c>
      <c r="E164" s="131"/>
      <c r="F164" s="131">
        <v>31.86</v>
      </c>
      <c r="G164" s="131">
        <v>3.6</v>
      </c>
      <c r="H164" s="132">
        <f t="shared" si="24"/>
        <v>33.659999999999997</v>
      </c>
      <c r="I164" s="132">
        <f t="shared" si="25"/>
        <v>35.46</v>
      </c>
      <c r="J164" s="69">
        <v>2987</v>
      </c>
      <c r="K164" s="134">
        <v>0</v>
      </c>
      <c r="L164" s="135">
        <v>0</v>
      </c>
      <c r="M164" s="135">
        <v>0</v>
      </c>
      <c r="N164" s="69">
        <f t="shared" si="26"/>
        <v>2987</v>
      </c>
      <c r="O164" s="39">
        <f t="shared" si="27"/>
        <v>3318.8888888888887</v>
      </c>
      <c r="P164" s="136">
        <f t="shared" si="28"/>
        <v>88.740344622697577</v>
      </c>
      <c r="Q164" s="137">
        <f t="shared" si="29"/>
        <v>0.10000000000000002</v>
      </c>
      <c r="R164" s="138">
        <f t="shared" si="30"/>
        <v>331.88888888888891</v>
      </c>
      <c r="S164" s="139">
        <v>0.8</v>
      </c>
      <c r="T164" s="138">
        <f t="shared" si="31"/>
        <v>2655.1111111111113</v>
      </c>
      <c r="U164" s="140">
        <f t="shared" si="32"/>
        <v>9.9999999999999978E-2</v>
      </c>
      <c r="V164" s="138">
        <f t="shared" si="33"/>
        <v>331.8888888888888</v>
      </c>
      <c r="W164" s="142">
        <f ca="1">V164*VLOOKUP(TODAY(),'UF HOY'!$A$2:$B$33,2,0)</f>
        <v>13187253.197777774</v>
      </c>
      <c r="X164" s="143">
        <f>Datos!$E$3</f>
        <v>31</v>
      </c>
      <c r="Y164" s="144">
        <f ca="1">IF((W164-1000000-Datos!$D$3)/X164&gt;0,(W164-1000000-Datos!$D$3)/X164,0)</f>
        <v>385072.68379928306</v>
      </c>
      <c r="Z164" s="143">
        <f>Datos!$F$3</f>
        <v>31</v>
      </c>
      <c r="AA164" s="144">
        <f ca="1">IF((W164-1750000-Datos!$D$3-3%*O164*VLOOKUP(TODAY(),'UF HOY'!$A$2:$B$33,2,0))/Z164&gt;0,(W164-1750000-Datos!$D$3-3%*O164*VLOOKUP(TODAY(),'UF HOY'!$A$2:$B$33,2,0))/Z164,0)</f>
        <v>233260.55607885294</v>
      </c>
      <c r="AB164" s="142">
        <f>IF(L164&gt;0,VLOOKUP(D164,Datos!$C$7:$E$11,3,0),VLOOKUP(D164,Datos!$C$7:$E$11,2,0))</f>
        <v>370000</v>
      </c>
      <c r="AC164" s="144">
        <f ca="1">(S164*PMT(Datos!$H$13,Datos!$H$12,-O164,,)*VLOOKUP(TODAY(),'UF HOY'!$A$2:$B$33,2,0)/12)+VLOOKUP(TODAY(),'UF HOY'!$A$2:$B$33,2,0)</f>
        <v>548147.37981878757</v>
      </c>
      <c r="AD164" s="144">
        <f t="shared" ca="1" si="34"/>
        <v>-178147.37981878757</v>
      </c>
      <c r="AE164" s="47">
        <f t="shared" ca="1" si="35"/>
        <v>2192589.5192751503</v>
      </c>
    </row>
    <row r="165" spans="1:31" s="145" customFormat="1" ht="15.5" x14ac:dyDescent="0.35">
      <c r="A165" s="129" t="s">
        <v>105</v>
      </c>
      <c r="B165" s="129">
        <v>1409</v>
      </c>
      <c r="C165" s="131" t="s">
        <v>152</v>
      </c>
      <c r="D165" s="131" t="s">
        <v>153</v>
      </c>
      <c r="E165" s="131"/>
      <c r="F165" s="131">
        <v>31.86</v>
      </c>
      <c r="G165" s="131">
        <v>3.6</v>
      </c>
      <c r="H165" s="132">
        <f t="shared" si="24"/>
        <v>33.659999999999997</v>
      </c>
      <c r="I165" s="132">
        <f t="shared" si="25"/>
        <v>35.46</v>
      </c>
      <c r="J165" s="69">
        <v>2987</v>
      </c>
      <c r="K165" s="134">
        <v>0</v>
      </c>
      <c r="L165" s="135">
        <v>0</v>
      </c>
      <c r="M165" s="135">
        <v>0</v>
      </c>
      <c r="N165" s="69">
        <f t="shared" si="26"/>
        <v>2987</v>
      </c>
      <c r="O165" s="39">
        <f t="shared" si="27"/>
        <v>3318.8888888888887</v>
      </c>
      <c r="P165" s="136">
        <f t="shared" si="28"/>
        <v>88.740344622697577</v>
      </c>
      <c r="Q165" s="137">
        <f t="shared" si="29"/>
        <v>0.10000000000000002</v>
      </c>
      <c r="R165" s="138">
        <f t="shared" si="30"/>
        <v>331.88888888888891</v>
      </c>
      <c r="S165" s="139">
        <v>0.8</v>
      </c>
      <c r="T165" s="138">
        <f t="shared" si="31"/>
        <v>2655.1111111111113</v>
      </c>
      <c r="U165" s="140">
        <f t="shared" si="32"/>
        <v>9.9999999999999978E-2</v>
      </c>
      <c r="V165" s="138">
        <f t="shared" si="33"/>
        <v>331.8888888888888</v>
      </c>
      <c r="W165" s="142">
        <f ca="1">V165*VLOOKUP(TODAY(),'UF HOY'!$A$2:$B$33,2,0)</f>
        <v>13187253.197777774</v>
      </c>
      <c r="X165" s="143">
        <f>Datos!$E$3</f>
        <v>31</v>
      </c>
      <c r="Y165" s="144">
        <f ca="1">IF((W165-1000000-Datos!$D$3)/X165&gt;0,(W165-1000000-Datos!$D$3)/X165,0)</f>
        <v>385072.68379928306</v>
      </c>
      <c r="Z165" s="143">
        <f>Datos!$F$3</f>
        <v>31</v>
      </c>
      <c r="AA165" s="144">
        <f ca="1">IF((W165-1750000-Datos!$D$3-3%*O165*VLOOKUP(TODAY(),'UF HOY'!$A$2:$B$33,2,0))/Z165&gt;0,(W165-1750000-Datos!$D$3-3%*O165*VLOOKUP(TODAY(),'UF HOY'!$A$2:$B$33,2,0))/Z165,0)</f>
        <v>233260.55607885294</v>
      </c>
      <c r="AB165" s="142">
        <f>IF(L165&gt;0,VLOOKUP(D165,Datos!$C$7:$E$11,3,0),VLOOKUP(D165,Datos!$C$7:$E$11,2,0))</f>
        <v>370000</v>
      </c>
      <c r="AC165" s="144">
        <f ca="1">(S165*PMT(Datos!$H$13,Datos!$H$12,-O165,,)*VLOOKUP(TODAY(),'UF HOY'!$A$2:$B$33,2,0)/12)+VLOOKUP(TODAY(),'UF HOY'!$A$2:$B$33,2,0)</f>
        <v>548147.37981878757</v>
      </c>
      <c r="AD165" s="144">
        <f t="shared" ca="1" si="34"/>
        <v>-178147.37981878757</v>
      </c>
      <c r="AE165" s="47">
        <f t="shared" ca="1" si="35"/>
        <v>2192589.5192751503</v>
      </c>
    </row>
    <row r="166" spans="1:31" s="145" customFormat="1" ht="15.5" x14ac:dyDescent="0.35">
      <c r="A166" s="129" t="s">
        <v>105</v>
      </c>
      <c r="B166" s="130">
        <v>1410</v>
      </c>
      <c r="C166" s="131" t="s">
        <v>152</v>
      </c>
      <c r="D166" s="131" t="s">
        <v>153</v>
      </c>
      <c r="E166" s="131"/>
      <c r="F166" s="131">
        <v>31.86</v>
      </c>
      <c r="G166" s="131">
        <v>3.6</v>
      </c>
      <c r="H166" s="132">
        <f t="shared" si="24"/>
        <v>33.659999999999997</v>
      </c>
      <c r="I166" s="132">
        <f t="shared" si="25"/>
        <v>35.46</v>
      </c>
      <c r="J166" s="69">
        <v>2987</v>
      </c>
      <c r="K166" s="134">
        <v>0</v>
      </c>
      <c r="L166" s="135">
        <v>0</v>
      </c>
      <c r="M166" s="135">
        <v>0</v>
      </c>
      <c r="N166" s="69">
        <f t="shared" si="26"/>
        <v>2987</v>
      </c>
      <c r="O166" s="39">
        <f t="shared" si="27"/>
        <v>3318.8888888888887</v>
      </c>
      <c r="P166" s="136">
        <f t="shared" si="28"/>
        <v>88.740344622697577</v>
      </c>
      <c r="Q166" s="137">
        <f t="shared" si="29"/>
        <v>0.10000000000000002</v>
      </c>
      <c r="R166" s="138">
        <f t="shared" si="30"/>
        <v>331.88888888888891</v>
      </c>
      <c r="S166" s="139">
        <v>0.8</v>
      </c>
      <c r="T166" s="138">
        <f t="shared" si="31"/>
        <v>2655.1111111111113</v>
      </c>
      <c r="U166" s="140">
        <f t="shared" si="32"/>
        <v>9.9999999999999978E-2</v>
      </c>
      <c r="V166" s="138">
        <f t="shared" si="33"/>
        <v>331.8888888888888</v>
      </c>
      <c r="W166" s="142">
        <f ca="1">V166*VLOOKUP(TODAY(),'UF HOY'!$A$2:$B$33,2,0)</f>
        <v>13187253.197777774</v>
      </c>
      <c r="X166" s="143">
        <f>Datos!$E$3</f>
        <v>31</v>
      </c>
      <c r="Y166" s="144">
        <f ca="1">IF((W166-1000000-Datos!$D$3)/X166&gt;0,(W166-1000000-Datos!$D$3)/X166,0)</f>
        <v>385072.68379928306</v>
      </c>
      <c r="Z166" s="143">
        <f>Datos!$F$3</f>
        <v>31</v>
      </c>
      <c r="AA166" s="144">
        <f ca="1">IF((W166-1750000-Datos!$D$3-3%*O166*VLOOKUP(TODAY(),'UF HOY'!$A$2:$B$33,2,0))/Z166&gt;0,(W166-1750000-Datos!$D$3-3%*O166*VLOOKUP(TODAY(),'UF HOY'!$A$2:$B$33,2,0))/Z166,0)</f>
        <v>233260.55607885294</v>
      </c>
      <c r="AB166" s="142">
        <f>IF(L166&gt;0,VLOOKUP(D166,Datos!$C$7:$E$11,3,0),VLOOKUP(D166,Datos!$C$7:$E$11,2,0))</f>
        <v>370000</v>
      </c>
      <c r="AC166" s="144">
        <f ca="1">(S166*PMT(Datos!$H$13,Datos!$H$12,-O166,,)*VLOOKUP(TODAY(),'UF HOY'!$A$2:$B$33,2,0)/12)+VLOOKUP(TODAY(),'UF HOY'!$A$2:$B$33,2,0)</f>
        <v>548147.37981878757</v>
      </c>
      <c r="AD166" s="144">
        <f t="shared" ca="1" si="34"/>
        <v>-178147.37981878757</v>
      </c>
      <c r="AE166" s="47">
        <f t="shared" ca="1" si="35"/>
        <v>2192589.5192751503</v>
      </c>
    </row>
    <row r="167" spans="1:31" s="145" customFormat="1" ht="15.5" x14ac:dyDescent="0.35">
      <c r="A167" s="129" t="s">
        <v>105</v>
      </c>
      <c r="B167" s="130">
        <v>1412</v>
      </c>
      <c r="C167" s="131" t="s">
        <v>152</v>
      </c>
      <c r="D167" s="131" t="s">
        <v>153</v>
      </c>
      <c r="E167" s="131"/>
      <c r="F167" s="131">
        <v>31.86</v>
      </c>
      <c r="G167" s="131">
        <v>3.6</v>
      </c>
      <c r="H167" s="132">
        <f t="shared" si="24"/>
        <v>33.659999999999997</v>
      </c>
      <c r="I167" s="132">
        <f t="shared" si="25"/>
        <v>35.46</v>
      </c>
      <c r="J167" s="69">
        <v>2987</v>
      </c>
      <c r="K167" s="134">
        <v>0</v>
      </c>
      <c r="L167" s="135">
        <v>0</v>
      </c>
      <c r="M167" s="135">
        <v>0</v>
      </c>
      <c r="N167" s="69">
        <f t="shared" si="26"/>
        <v>2987</v>
      </c>
      <c r="O167" s="39">
        <f t="shared" si="27"/>
        <v>3318.8888888888887</v>
      </c>
      <c r="P167" s="136">
        <f t="shared" si="28"/>
        <v>88.740344622697577</v>
      </c>
      <c r="Q167" s="137">
        <f t="shared" si="29"/>
        <v>0.10000000000000002</v>
      </c>
      <c r="R167" s="138">
        <f t="shared" si="30"/>
        <v>331.88888888888891</v>
      </c>
      <c r="S167" s="139">
        <v>0.8</v>
      </c>
      <c r="T167" s="138">
        <f t="shared" si="31"/>
        <v>2655.1111111111113</v>
      </c>
      <c r="U167" s="140">
        <f t="shared" si="32"/>
        <v>9.9999999999999978E-2</v>
      </c>
      <c r="V167" s="138">
        <f t="shared" si="33"/>
        <v>331.8888888888888</v>
      </c>
      <c r="W167" s="142">
        <f ca="1">V167*VLOOKUP(TODAY(),'UF HOY'!$A$2:$B$33,2,0)</f>
        <v>13187253.197777774</v>
      </c>
      <c r="X167" s="143">
        <f>Datos!$E$3</f>
        <v>31</v>
      </c>
      <c r="Y167" s="144">
        <f ca="1">IF((W167-1000000-Datos!$D$3)/X167&gt;0,(W167-1000000-Datos!$D$3)/X167,0)</f>
        <v>385072.68379928306</v>
      </c>
      <c r="Z167" s="143">
        <f>Datos!$F$3</f>
        <v>31</v>
      </c>
      <c r="AA167" s="144">
        <f ca="1">IF((W167-1750000-Datos!$D$3-3%*O167*VLOOKUP(TODAY(),'UF HOY'!$A$2:$B$33,2,0))/Z167&gt;0,(W167-1750000-Datos!$D$3-3%*O167*VLOOKUP(TODAY(),'UF HOY'!$A$2:$B$33,2,0))/Z167,0)</f>
        <v>233260.55607885294</v>
      </c>
      <c r="AB167" s="142">
        <f>IF(L167&gt;0,VLOOKUP(D167,Datos!$C$7:$E$11,3,0),VLOOKUP(D167,Datos!$C$7:$E$11,2,0))</f>
        <v>370000</v>
      </c>
      <c r="AC167" s="144">
        <f ca="1">(S167*PMT(Datos!$H$13,Datos!$H$12,-O167,,)*VLOOKUP(TODAY(),'UF HOY'!$A$2:$B$33,2,0)/12)+VLOOKUP(TODAY(),'UF HOY'!$A$2:$B$33,2,0)</f>
        <v>548147.37981878757</v>
      </c>
      <c r="AD167" s="144">
        <f t="shared" ca="1" si="34"/>
        <v>-178147.37981878757</v>
      </c>
      <c r="AE167" s="47">
        <f t="shared" ca="1" si="35"/>
        <v>2192589.5192751503</v>
      </c>
    </row>
    <row r="168" spans="1:31" s="145" customFormat="1" ht="15.5" x14ac:dyDescent="0.35">
      <c r="A168" s="129" t="s">
        <v>105</v>
      </c>
      <c r="B168" s="130">
        <v>1413</v>
      </c>
      <c r="C168" s="131" t="s">
        <v>152</v>
      </c>
      <c r="D168" s="131" t="s">
        <v>153</v>
      </c>
      <c r="E168" s="131"/>
      <c r="F168" s="131">
        <v>31.86</v>
      </c>
      <c r="G168" s="131">
        <v>3.6</v>
      </c>
      <c r="H168" s="132">
        <f t="shared" si="24"/>
        <v>33.659999999999997</v>
      </c>
      <c r="I168" s="132">
        <f t="shared" si="25"/>
        <v>35.46</v>
      </c>
      <c r="J168" s="69">
        <v>2987</v>
      </c>
      <c r="K168" s="134">
        <v>0</v>
      </c>
      <c r="L168" s="135">
        <v>0</v>
      </c>
      <c r="M168" s="135">
        <v>0</v>
      </c>
      <c r="N168" s="69">
        <f t="shared" si="26"/>
        <v>2987</v>
      </c>
      <c r="O168" s="39">
        <f t="shared" si="27"/>
        <v>3318.8888888888887</v>
      </c>
      <c r="P168" s="136">
        <f t="shared" si="28"/>
        <v>88.740344622697577</v>
      </c>
      <c r="Q168" s="137">
        <f t="shared" si="29"/>
        <v>0.10000000000000002</v>
      </c>
      <c r="R168" s="138">
        <f t="shared" si="30"/>
        <v>331.88888888888891</v>
      </c>
      <c r="S168" s="139">
        <v>0.8</v>
      </c>
      <c r="T168" s="138">
        <f t="shared" si="31"/>
        <v>2655.1111111111113</v>
      </c>
      <c r="U168" s="140">
        <f t="shared" si="32"/>
        <v>9.9999999999999978E-2</v>
      </c>
      <c r="V168" s="138">
        <f t="shared" si="33"/>
        <v>331.8888888888888</v>
      </c>
      <c r="W168" s="142">
        <f ca="1">V168*VLOOKUP(TODAY(),'UF HOY'!$A$2:$B$33,2,0)</f>
        <v>13187253.197777774</v>
      </c>
      <c r="X168" s="143">
        <f>Datos!$E$3</f>
        <v>31</v>
      </c>
      <c r="Y168" s="144">
        <f ca="1">IF((W168-1000000-Datos!$D$3)/X168&gt;0,(W168-1000000-Datos!$D$3)/X168,0)</f>
        <v>385072.68379928306</v>
      </c>
      <c r="Z168" s="143">
        <f>Datos!$F$3</f>
        <v>31</v>
      </c>
      <c r="AA168" s="144">
        <f ca="1">IF((W168-1750000-Datos!$D$3-3%*O168*VLOOKUP(TODAY(),'UF HOY'!$A$2:$B$33,2,0))/Z168&gt;0,(W168-1750000-Datos!$D$3-3%*O168*VLOOKUP(TODAY(),'UF HOY'!$A$2:$B$33,2,0))/Z168,0)</f>
        <v>233260.55607885294</v>
      </c>
      <c r="AB168" s="142">
        <f>IF(L168&gt;0,VLOOKUP(D168,Datos!$C$7:$E$11,3,0),VLOOKUP(D168,Datos!$C$7:$E$11,2,0))</f>
        <v>370000</v>
      </c>
      <c r="AC168" s="144">
        <f ca="1">(S168*PMT(Datos!$H$13,Datos!$H$12,-O168,,)*VLOOKUP(TODAY(),'UF HOY'!$A$2:$B$33,2,0)/12)+VLOOKUP(TODAY(),'UF HOY'!$A$2:$B$33,2,0)</f>
        <v>548147.37981878757</v>
      </c>
      <c r="AD168" s="144">
        <f t="shared" ca="1" si="34"/>
        <v>-178147.37981878757</v>
      </c>
      <c r="AE168" s="47">
        <f t="shared" ca="1" si="35"/>
        <v>2192589.5192751503</v>
      </c>
    </row>
    <row r="169" spans="1:31" s="145" customFormat="1" ht="15.5" x14ac:dyDescent="0.35">
      <c r="A169" s="129" t="s">
        <v>105</v>
      </c>
      <c r="B169" s="129">
        <v>1507</v>
      </c>
      <c r="C169" s="131" t="s">
        <v>152</v>
      </c>
      <c r="D169" s="131" t="s">
        <v>153</v>
      </c>
      <c r="E169" s="131"/>
      <c r="F169" s="131">
        <v>31.86</v>
      </c>
      <c r="G169" s="131">
        <v>3.6</v>
      </c>
      <c r="H169" s="132">
        <f t="shared" si="24"/>
        <v>33.659999999999997</v>
      </c>
      <c r="I169" s="132">
        <f t="shared" si="25"/>
        <v>35.46</v>
      </c>
      <c r="J169" s="69">
        <v>3003</v>
      </c>
      <c r="K169" s="134">
        <v>0</v>
      </c>
      <c r="L169" s="135">
        <v>0</v>
      </c>
      <c r="M169" s="135">
        <v>0</v>
      </c>
      <c r="N169" s="69">
        <f t="shared" si="26"/>
        <v>3003</v>
      </c>
      <c r="O169" s="39">
        <f t="shared" si="27"/>
        <v>3336.6666666666665</v>
      </c>
      <c r="P169" s="136">
        <f t="shared" si="28"/>
        <v>89.215686274509807</v>
      </c>
      <c r="Q169" s="137">
        <f t="shared" si="29"/>
        <v>0.1</v>
      </c>
      <c r="R169" s="138">
        <f t="shared" si="30"/>
        <v>333.66666666666669</v>
      </c>
      <c r="S169" s="139">
        <v>0.8</v>
      </c>
      <c r="T169" s="138">
        <f t="shared" si="31"/>
        <v>2669.3333333333335</v>
      </c>
      <c r="U169" s="140">
        <f t="shared" si="32"/>
        <v>9.9999999999999978E-2</v>
      </c>
      <c r="V169" s="138">
        <f t="shared" si="33"/>
        <v>333.66666666666657</v>
      </c>
      <c r="W169" s="142">
        <f ca="1">V169*VLOOKUP(TODAY(),'UF HOY'!$A$2:$B$33,2,0)</f>
        <v>13257891.313333331</v>
      </c>
      <c r="X169" s="143">
        <f>Datos!$E$3</f>
        <v>31</v>
      </c>
      <c r="Y169" s="144">
        <f ca="1">IF((W169-1000000-Datos!$D$3)/X169&gt;0,(W169-1000000-Datos!$D$3)/X169,0)</f>
        <v>387351.33268817194</v>
      </c>
      <c r="Z169" s="143">
        <f>Datos!$F$3</f>
        <v>31</v>
      </c>
      <c r="AA169" s="144">
        <f ca="1">IF((W169-1750000-Datos!$D$3-3%*O169*VLOOKUP(TODAY(),'UF HOY'!$A$2:$B$33,2,0))/Z169&gt;0,(W169-1750000-Datos!$D$3-3%*O169*VLOOKUP(TODAY(),'UF HOY'!$A$2:$B$33,2,0))/Z169,0)</f>
        <v>234855.61030107521</v>
      </c>
      <c r="AB169" s="142">
        <f>IF(L169&gt;0,VLOOKUP(D169,Datos!$C$7:$E$11,3,0),VLOOKUP(D169,Datos!$C$7:$E$11,2,0))</f>
        <v>370000</v>
      </c>
      <c r="AC169" s="144">
        <f ca="1">(S169*PMT(Datos!$H$13,Datos!$H$12,-O169,,)*VLOOKUP(TODAY(),'UF HOY'!$A$2:$B$33,2,0)/12)+VLOOKUP(TODAY(),'UF HOY'!$A$2:$B$33,2,0)</f>
        <v>550870.71930224949</v>
      </c>
      <c r="AD169" s="144">
        <f t="shared" ca="1" si="34"/>
        <v>-180870.71930224949</v>
      </c>
      <c r="AE169" s="47">
        <f t="shared" ca="1" si="35"/>
        <v>2203482.877208998</v>
      </c>
    </row>
    <row r="170" spans="1:31" s="145" customFormat="1" ht="15.5" x14ac:dyDescent="0.35">
      <c r="A170" s="129" t="s">
        <v>105</v>
      </c>
      <c r="B170" s="130">
        <v>1508</v>
      </c>
      <c r="C170" s="131" t="s">
        <v>152</v>
      </c>
      <c r="D170" s="131" t="s">
        <v>153</v>
      </c>
      <c r="E170" s="131"/>
      <c r="F170" s="131">
        <v>31.86</v>
      </c>
      <c r="G170" s="131">
        <v>3.6</v>
      </c>
      <c r="H170" s="132">
        <f t="shared" si="24"/>
        <v>33.659999999999997</v>
      </c>
      <c r="I170" s="132">
        <f t="shared" si="25"/>
        <v>35.46</v>
      </c>
      <c r="J170" s="69">
        <v>3003</v>
      </c>
      <c r="K170" s="134">
        <v>0</v>
      </c>
      <c r="L170" s="135">
        <v>0</v>
      </c>
      <c r="M170" s="135">
        <v>0</v>
      </c>
      <c r="N170" s="69">
        <f t="shared" si="26"/>
        <v>3003</v>
      </c>
      <c r="O170" s="39">
        <f t="shared" si="27"/>
        <v>3336.6666666666665</v>
      </c>
      <c r="P170" s="136">
        <f t="shared" si="28"/>
        <v>89.215686274509807</v>
      </c>
      <c r="Q170" s="137">
        <f t="shared" si="29"/>
        <v>0.1</v>
      </c>
      <c r="R170" s="138">
        <f t="shared" si="30"/>
        <v>333.66666666666669</v>
      </c>
      <c r="S170" s="139">
        <v>0.8</v>
      </c>
      <c r="T170" s="138">
        <f t="shared" si="31"/>
        <v>2669.3333333333335</v>
      </c>
      <c r="U170" s="140">
        <f t="shared" si="32"/>
        <v>9.9999999999999978E-2</v>
      </c>
      <c r="V170" s="138">
        <f t="shared" si="33"/>
        <v>333.66666666666657</v>
      </c>
      <c r="W170" s="142">
        <f ca="1">V170*VLOOKUP(TODAY(),'UF HOY'!$A$2:$B$33,2,0)</f>
        <v>13257891.313333331</v>
      </c>
      <c r="X170" s="143">
        <f>Datos!$E$3</f>
        <v>31</v>
      </c>
      <c r="Y170" s="144">
        <f ca="1">IF((W170-1000000-Datos!$D$3)/X170&gt;0,(W170-1000000-Datos!$D$3)/X170,0)</f>
        <v>387351.33268817194</v>
      </c>
      <c r="Z170" s="143">
        <f>Datos!$F$3</f>
        <v>31</v>
      </c>
      <c r="AA170" s="144">
        <f ca="1">IF((W170-1750000-Datos!$D$3-3%*O170*VLOOKUP(TODAY(),'UF HOY'!$A$2:$B$33,2,0))/Z170&gt;0,(W170-1750000-Datos!$D$3-3%*O170*VLOOKUP(TODAY(),'UF HOY'!$A$2:$B$33,2,0))/Z170,0)</f>
        <v>234855.61030107521</v>
      </c>
      <c r="AB170" s="142">
        <f>IF(L170&gt;0,VLOOKUP(D170,Datos!$C$7:$E$11,3,0),VLOOKUP(D170,Datos!$C$7:$E$11,2,0))</f>
        <v>370000</v>
      </c>
      <c r="AC170" s="144">
        <f ca="1">(S170*PMT(Datos!$H$13,Datos!$H$12,-O170,,)*VLOOKUP(TODAY(),'UF HOY'!$A$2:$B$33,2,0)/12)+VLOOKUP(TODAY(),'UF HOY'!$A$2:$B$33,2,0)</f>
        <v>550870.71930224949</v>
      </c>
      <c r="AD170" s="144">
        <f t="shared" ca="1" si="34"/>
        <v>-180870.71930224949</v>
      </c>
      <c r="AE170" s="47">
        <f t="shared" ca="1" si="35"/>
        <v>2203482.877208998</v>
      </c>
    </row>
    <row r="171" spans="1:31" s="145" customFormat="1" ht="15.5" x14ac:dyDescent="0.35">
      <c r="A171" s="129" t="s">
        <v>105</v>
      </c>
      <c r="B171" s="130">
        <v>1509</v>
      </c>
      <c r="C171" s="131" t="s">
        <v>152</v>
      </c>
      <c r="D171" s="131" t="s">
        <v>153</v>
      </c>
      <c r="E171" s="131"/>
      <c r="F171" s="131">
        <v>31.86</v>
      </c>
      <c r="G171" s="131">
        <v>3.6</v>
      </c>
      <c r="H171" s="132">
        <f t="shared" si="24"/>
        <v>33.659999999999997</v>
      </c>
      <c r="I171" s="132">
        <f t="shared" si="25"/>
        <v>35.46</v>
      </c>
      <c r="J171" s="69">
        <v>3003</v>
      </c>
      <c r="K171" s="134">
        <v>0</v>
      </c>
      <c r="L171" s="135">
        <v>0</v>
      </c>
      <c r="M171" s="135">
        <v>0</v>
      </c>
      <c r="N171" s="69">
        <f t="shared" si="26"/>
        <v>3003</v>
      </c>
      <c r="O171" s="39">
        <f t="shared" si="27"/>
        <v>3336.6666666666665</v>
      </c>
      <c r="P171" s="136">
        <f t="shared" si="28"/>
        <v>89.215686274509807</v>
      </c>
      <c r="Q171" s="137">
        <f t="shared" si="29"/>
        <v>0.1</v>
      </c>
      <c r="R171" s="138">
        <f t="shared" si="30"/>
        <v>333.66666666666669</v>
      </c>
      <c r="S171" s="139">
        <v>0.8</v>
      </c>
      <c r="T171" s="138">
        <f t="shared" si="31"/>
        <v>2669.3333333333335</v>
      </c>
      <c r="U171" s="140">
        <f t="shared" si="32"/>
        <v>9.9999999999999978E-2</v>
      </c>
      <c r="V171" s="138">
        <f t="shared" si="33"/>
        <v>333.66666666666657</v>
      </c>
      <c r="W171" s="142">
        <f ca="1">V171*VLOOKUP(TODAY(),'UF HOY'!$A$2:$B$33,2,0)</f>
        <v>13257891.313333331</v>
      </c>
      <c r="X171" s="143">
        <f>Datos!$E$3</f>
        <v>31</v>
      </c>
      <c r="Y171" s="144">
        <f ca="1">IF((W171-1000000-Datos!$D$3)/X171&gt;0,(W171-1000000-Datos!$D$3)/X171,0)</f>
        <v>387351.33268817194</v>
      </c>
      <c r="Z171" s="143">
        <f>Datos!$F$3</f>
        <v>31</v>
      </c>
      <c r="AA171" s="144">
        <f ca="1">IF((W171-1750000-Datos!$D$3-3%*O171*VLOOKUP(TODAY(),'UF HOY'!$A$2:$B$33,2,0))/Z171&gt;0,(W171-1750000-Datos!$D$3-3%*O171*VLOOKUP(TODAY(),'UF HOY'!$A$2:$B$33,2,0))/Z171,0)</f>
        <v>234855.61030107521</v>
      </c>
      <c r="AB171" s="142">
        <f>IF(L171&gt;0,VLOOKUP(D171,Datos!$C$7:$E$11,3,0),VLOOKUP(D171,Datos!$C$7:$E$11,2,0))</f>
        <v>370000</v>
      </c>
      <c r="AC171" s="144">
        <f ca="1">(S171*PMT(Datos!$H$13,Datos!$H$12,-O171,,)*VLOOKUP(TODAY(),'UF HOY'!$A$2:$B$33,2,0)/12)+VLOOKUP(TODAY(),'UF HOY'!$A$2:$B$33,2,0)</f>
        <v>550870.71930224949</v>
      </c>
      <c r="AD171" s="144">
        <f t="shared" ca="1" si="34"/>
        <v>-180870.71930224949</v>
      </c>
      <c r="AE171" s="47">
        <f t="shared" ca="1" si="35"/>
        <v>2203482.877208998</v>
      </c>
    </row>
    <row r="172" spans="1:31" s="145" customFormat="1" ht="15.5" x14ac:dyDescent="0.35">
      <c r="A172" s="129" t="s">
        <v>105</v>
      </c>
      <c r="B172" s="129">
        <v>1510</v>
      </c>
      <c r="C172" s="131" t="s">
        <v>152</v>
      </c>
      <c r="D172" s="131" t="s">
        <v>153</v>
      </c>
      <c r="E172" s="131"/>
      <c r="F172" s="131">
        <v>31.86</v>
      </c>
      <c r="G172" s="131">
        <v>3.6</v>
      </c>
      <c r="H172" s="132">
        <f t="shared" si="24"/>
        <v>33.659999999999997</v>
      </c>
      <c r="I172" s="132">
        <f t="shared" si="25"/>
        <v>35.46</v>
      </c>
      <c r="J172" s="69">
        <v>3003</v>
      </c>
      <c r="K172" s="134">
        <v>0</v>
      </c>
      <c r="L172" s="135">
        <v>0</v>
      </c>
      <c r="M172" s="135">
        <v>0</v>
      </c>
      <c r="N172" s="69">
        <f t="shared" si="26"/>
        <v>3003</v>
      </c>
      <c r="O172" s="39">
        <f t="shared" si="27"/>
        <v>3336.6666666666665</v>
      </c>
      <c r="P172" s="136">
        <f t="shared" si="28"/>
        <v>89.215686274509807</v>
      </c>
      <c r="Q172" s="137">
        <f t="shared" si="29"/>
        <v>0.1</v>
      </c>
      <c r="R172" s="138">
        <f t="shared" si="30"/>
        <v>333.66666666666669</v>
      </c>
      <c r="S172" s="139">
        <v>0.8</v>
      </c>
      <c r="T172" s="138">
        <f t="shared" si="31"/>
        <v>2669.3333333333335</v>
      </c>
      <c r="U172" s="140">
        <f t="shared" si="32"/>
        <v>9.9999999999999978E-2</v>
      </c>
      <c r="V172" s="138">
        <f t="shared" si="33"/>
        <v>333.66666666666657</v>
      </c>
      <c r="W172" s="142">
        <f ca="1">V172*VLOOKUP(TODAY(),'UF HOY'!$A$2:$B$33,2,0)</f>
        <v>13257891.313333331</v>
      </c>
      <c r="X172" s="143">
        <f>Datos!$E$3</f>
        <v>31</v>
      </c>
      <c r="Y172" s="144">
        <f ca="1">IF((W172-1000000-Datos!$D$3)/X172&gt;0,(W172-1000000-Datos!$D$3)/X172,0)</f>
        <v>387351.33268817194</v>
      </c>
      <c r="Z172" s="143">
        <f>Datos!$F$3</f>
        <v>31</v>
      </c>
      <c r="AA172" s="144">
        <f ca="1">IF((W172-1750000-Datos!$D$3-3%*O172*VLOOKUP(TODAY(),'UF HOY'!$A$2:$B$33,2,0))/Z172&gt;0,(W172-1750000-Datos!$D$3-3%*O172*VLOOKUP(TODAY(),'UF HOY'!$A$2:$B$33,2,0))/Z172,0)</f>
        <v>234855.61030107521</v>
      </c>
      <c r="AB172" s="142">
        <f>IF(L172&gt;0,VLOOKUP(D172,Datos!$C$7:$E$11,3,0),VLOOKUP(D172,Datos!$C$7:$E$11,2,0))</f>
        <v>370000</v>
      </c>
      <c r="AC172" s="144">
        <f ca="1">(S172*PMT(Datos!$H$13,Datos!$H$12,-O172,,)*VLOOKUP(TODAY(),'UF HOY'!$A$2:$B$33,2,0)/12)+VLOOKUP(TODAY(),'UF HOY'!$A$2:$B$33,2,0)</f>
        <v>550870.71930224949</v>
      </c>
      <c r="AD172" s="144">
        <f t="shared" ca="1" si="34"/>
        <v>-180870.71930224949</v>
      </c>
      <c r="AE172" s="47">
        <f t="shared" ca="1" si="35"/>
        <v>2203482.877208998</v>
      </c>
    </row>
    <row r="173" spans="1:31" s="145" customFormat="1" ht="15.5" x14ac:dyDescent="0.35">
      <c r="A173" s="129" t="s">
        <v>105</v>
      </c>
      <c r="B173" s="130">
        <v>1512</v>
      </c>
      <c r="C173" s="131" t="s">
        <v>152</v>
      </c>
      <c r="D173" s="131" t="s">
        <v>153</v>
      </c>
      <c r="E173" s="131"/>
      <c r="F173" s="131">
        <v>31.86</v>
      </c>
      <c r="G173" s="131">
        <v>3.6</v>
      </c>
      <c r="H173" s="132">
        <f t="shared" si="24"/>
        <v>33.659999999999997</v>
      </c>
      <c r="I173" s="132">
        <f t="shared" si="25"/>
        <v>35.46</v>
      </c>
      <c r="J173" s="69">
        <v>3003</v>
      </c>
      <c r="K173" s="134">
        <v>0</v>
      </c>
      <c r="L173" s="135">
        <v>0</v>
      </c>
      <c r="M173" s="135">
        <v>0</v>
      </c>
      <c r="N173" s="69">
        <f t="shared" si="26"/>
        <v>3003</v>
      </c>
      <c r="O173" s="39">
        <f t="shared" si="27"/>
        <v>3336.6666666666665</v>
      </c>
      <c r="P173" s="136">
        <f t="shared" si="28"/>
        <v>89.215686274509807</v>
      </c>
      <c r="Q173" s="137">
        <f t="shared" si="29"/>
        <v>0.1</v>
      </c>
      <c r="R173" s="138">
        <f t="shared" si="30"/>
        <v>333.66666666666669</v>
      </c>
      <c r="S173" s="139">
        <v>0.8</v>
      </c>
      <c r="T173" s="138">
        <f t="shared" si="31"/>
        <v>2669.3333333333335</v>
      </c>
      <c r="U173" s="140">
        <f t="shared" si="32"/>
        <v>9.9999999999999978E-2</v>
      </c>
      <c r="V173" s="138">
        <f t="shared" si="33"/>
        <v>333.66666666666657</v>
      </c>
      <c r="W173" s="142">
        <f ca="1">V173*VLOOKUP(TODAY(),'UF HOY'!$A$2:$B$33,2,0)</f>
        <v>13257891.313333331</v>
      </c>
      <c r="X173" s="143">
        <f>Datos!$E$3</f>
        <v>31</v>
      </c>
      <c r="Y173" s="144">
        <f ca="1">IF((W173-1000000-Datos!$D$3)/X173&gt;0,(W173-1000000-Datos!$D$3)/X173,0)</f>
        <v>387351.33268817194</v>
      </c>
      <c r="Z173" s="143">
        <f>Datos!$F$3</f>
        <v>31</v>
      </c>
      <c r="AA173" s="144">
        <f ca="1">IF((W173-1750000-Datos!$D$3-3%*O173*VLOOKUP(TODAY(),'UF HOY'!$A$2:$B$33,2,0))/Z173&gt;0,(W173-1750000-Datos!$D$3-3%*O173*VLOOKUP(TODAY(),'UF HOY'!$A$2:$B$33,2,0))/Z173,0)</f>
        <v>234855.61030107521</v>
      </c>
      <c r="AB173" s="142">
        <f>IF(L173&gt;0,VLOOKUP(D173,Datos!$C$7:$E$11,3,0),VLOOKUP(D173,Datos!$C$7:$E$11,2,0))</f>
        <v>370000</v>
      </c>
      <c r="AC173" s="144">
        <f ca="1">(S173*PMT(Datos!$H$13,Datos!$H$12,-O173,,)*VLOOKUP(TODAY(),'UF HOY'!$A$2:$B$33,2,0)/12)+VLOOKUP(TODAY(),'UF HOY'!$A$2:$B$33,2,0)</f>
        <v>550870.71930224949</v>
      </c>
      <c r="AD173" s="144">
        <f t="shared" ca="1" si="34"/>
        <v>-180870.71930224949</v>
      </c>
      <c r="AE173" s="47">
        <f t="shared" ca="1" si="35"/>
        <v>2203482.877208998</v>
      </c>
    </row>
    <row r="174" spans="1:31" s="145" customFormat="1" ht="15.5" x14ac:dyDescent="0.35">
      <c r="A174" s="129" t="s">
        <v>105</v>
      </c>
      <c r="B174" s="130">
        <v>1513</v>
      </c>
      <c r="C174" s="131" t="s">
        <v>152</v>
      </c>
      <c r="D174" s="131" t="s">
        <v>153</v>
      </c>
      <c r="E174" s="131"/>
      <c r="F174" s="131">
        <v>31.86</v>
      </c>
      <c r="G174" s="131">
        <v>3.6</v>
      </c>
      <c r="H174" s="132">
        <f t="shared" si="24"/>
        <v>33.659999999999997</v>
      </c>
      <c r="I174" s="132">
        <f t="shared" si="25"/>
        <v>35.46</v>
      </c>
      <c r="J174" s="69">
        <v>3003</v>
      </c>
      <c r="K174" s="134">
        <v>0</v>
      </c>
      <c r="L174" s="135">
        <v>0</v>
      </c>
      <c r="M174" s="135">
        <v>0</v>
      </c>
      <c r="N174" s="69">
        <f t="shared" si="26"/>
        <v>3003</v>
      </c>
      <c r="O174" s="39">
        <f t="shared" si="27"/>
        <v>3336.6666666666665</v>
      </c>
      <c r="P174" s="136">
        <f t="shared" si="28"/>
        <v>89.215686274509807</v>
      </c>
      <c r="Q174" s="137">
        <f t="shared" si="29"/>
        <v>0.1</v>
      </c>
      <c r="R174" s="138">
        <f t="shared" si="30"/>
        <v>333.66666666666669</v>
      </c>
      <c r="S174" s="139">
        <v>0.8</v>
      </c>
      <c r="T174" s="138">
        <f t="shared" si="31"/>
        <v>2669.3333333333335</v>
      </c>
      <c r="U174" s="140">
        <f t="shared" si="32"/>
        <v>9.9999999999999978E-2</v>
      </c>
      <c r="V174" s="138">
        <f t="shared" si="33"/>
        <v>333.66666666666657</v>
      </c>
      <c r="W174" s="142">
        <f ca="1">V174*VLOOKUP(TODAY(),'UF HOY'!$A$2:$B$33,2,0)</f>
        <v>13257891.313333331</v>
      </c>
      <c r="X174" s="143">
        <f>Datos!$E$3</f>
        <v>31</v>
      </c>
      <c r="Y174" s="144">
        <f ca="1">IF((W174-1000000-Datos!$D$3)/X174&gt;0,(W174-1000000-Datos!$D$3)/X174,0)</f>
        <v>387351.33268817194</v>
      </c>
      <c r="Z174" s="143">
        <f>Datos!$F$3</f>
        <v>31</v>
      </c>
      <c r="AA174" s="144">
        <f ca="1">IF((W174-1750000-Datos!$D$3-3%*O174*VLOOKUP(TODAY(),'UF HOY'!$A$2:$B$33,2,0))/Z174&gt;0,(W174-1750000-Datos!$D$3-3%*O174*VLOOKUP(TODAY(),'UF HOY'!$A$2:$B$33,2,0))/Z174,0)</f>
        <v>234855.61030107521</v>
      </c>
      <c r="AB174" s="142">
        <f>IF(L174&gt;0,VLOOKUP(D174,Datos!$C$7:$E$11,3,0),VLOOKUP(D174,Datos!$C$7:$E$11,2,0))</f>
        <v>370000</v>
      </c>
      <c r="AC174" s="144">
        <f ca="1">(S174*PMT(Datos!$H$13,Datos!$H$12,-O174,,)*VLOOKUP(TODAY(),'UF HOY'!$A$2:$B$33,2,0)/12)+VLOOKUP(TODAY(),'UF HOY'!$A$2:$B$33,2,0)</f>
        <v>550870.71930224949</v>
      </c>
      <c r="AD174" s="144">
        <f t="shared" ca="1" si="34"/>
        <v>-180870.71930224949</v>
      </c>
      <c r="AE174" s="47">
        <f t="shared" ca="1" si="35"/>
        <v>2203482.877208998</v>
      </c>
    </row>
    <row r="175" spans="1:31" s="145" customFormat="1" ht="15.5" x14ac:dyDescent="0.35">
      <c r="A175" s="129" t="s">
        <v>105</v>
      </c>
      <c r="B175" s="130">
        <v>1608</v>
      </c>
      <c r="C175" s="131" t="s">
        <v>152</v>
      </c>
      <c r="D175" s="131" t="s">
        <v>153</v>
      </c>
      <c r="E175" s="131"/>
      <c r="F175" s="131">
        <v>31.86</v>
      </c>
      <c r="G175" s="131">
        <v>3.6</v>
      </c>
      <c r="H175" s="132">
        <f t="shared" si="24"/>
        <v>33.659999999999997</v>
      </c>
      <c r="I175" s="132">
        <f t="shared" si="25"/>
        <v>35.46</v>
      </c>
      <c r="J175" s="69">
        <v>3019</v>
      </c>
      <c r="K175" s="134">
        <v>0</v>
      </c>
      <c r="L175" s="135">
        <v>0</v>
      </c>
      <c r="M175" s="135">
        <v>0</v>
      </c>
      <c r="N175" s="69">
        <f t="shared" si="26"/>
        <v>3019</v>
      </c>
      <c r="O175" s="39">
        <f t="shared" si="27"/>
        <v>3354.4444444444443</v>
      </c>
      <c r="P175" s="136">
        <f t="shared" si="28"/>
        <v>89.69102792632205</v>
      </c>
      <c r="Q175" s="137">
        <f t="shared" si="29"/>
        <v>0.1</v>
      </c>
      <c r="R175" s="138">
        <f t="shared" si="30"/>
        <v>335.44444444444446</v>
      </c>
      <c r="S175" s="139">
        <v>0.8</v>
      </c>
      <c r="T175" s="138">
        <f t="shared" si="31"/>
        <v>2683.5555555555557</v>
      </c>
      <c r="U175" s="140">
        <f t="shared" si="32"/>
        <v>9.9999999999999978E-2</v>
      </c>
      <c r="V175" s="138">
        <f t="shared" si="33"/>
        <v>335.44444444444434</v>
      </c>
      <c r="W175" s="142">
        <f ca="1">V175*VLOOKUP(TODAY(),'UF HOY'!$A$2:$B$33,2,0)</f>
        <v>13328529.428888885</v>
      </c>
      <c r="X175" s="143">
        <f>Datos!$E$3</f>
        <v>31</v>
      </c>
      <c r="Y175" s="144">
        <f ca="1">IF((W175-1000000-Datos!$D$3)/X175&gt;0,(W175-1000000-Datos!$D$3)/X175,0)</f>
        <v>389629.98157706083</v>
      </c>
      <c r="Z175" s="143">
        <f>Datos!$F$3</f>
        <v>31</v>
      </c>
      <c r="AA175" s="144">
        <f ca="1">IF((W175-1750000-Datos!$D$3-3%*O175*VLOOKUP(TODAY(),'UF HOY'!$A$2:$B$33,2,0))/Z175&gt;0,(W175-1750000-Datos!$D$3-3%*O175*VLOOKUP(TODAY(),'UF HOY'!$A$2:$B$33,2,0))/Z175,0)</f>
        <v>236450.66452329737</v>
      </c>
      <c r="AB175" s="142">
        <f>IF(L175&gt;0,VLOOKUP(D175,Datos!$C$7:$E$11,3,0),VLOOKUP(D175,Datos!$C$7:$E$11,2,0))</f>
        <v>370000</v>
      </c>
      <c r="AC175" s="144">
        <f ca="1">(S175*PMT(Datos!$H$13,Datos!$H$12,-O175,,)*VLOOKUP(TODAY(),'UF HOY'!$A$2:$B$33,2,0)/12)+VLOOKUP(TODAY(),'UF HOY'!$A$2:$B$33,2,0)</f>
        <v>553594.05878571142</v>
      </c>
      <c r="AD175" s="144">
        <f t="shared" ca="1" si="34"/>
        <v>-183594.05878571142</v>
      </c>
      <c r="AE175" s="47">
        <f t="shared" ca="1" si="35"/>
        <v>2214376.2351428457</v>
      </c>
    </row>
    <row r="176" spans="1:31" s="145" customFormat="1" ht="15.5" x14ac:dyDescent="0.35">
      <c r="A176" s="129" t="s">
        <v>105</v>
      </c>
      <c r="B176" s="130">
        <v>1609</v>
      </c>
      <c r="C176" s="131" t="s">
        <v>152</v>
      </c>
      <c r="D176" s="131" t="s">
        <v>153</v>
      </c>
      <c r="E176" s="131"/>
      <c r="F176" s="131">
        <v>31.86</v>
      </c>
      <c r="G176" s="131">
        <v>3.6</v>
      </c>
      <c r="H176" s="132">
        <f t="shared" si="24"/>
        <v>33.659999999999997</v>
      </c>
      <c r="I176" s="132">
        <f t="shared" si="25"/>
        <v>35.46</v>
      </c>
      <c r="J176" s="69">
        <v>3019</v>
      </c>
      <c r="K176" s="134">
        <v>0</v>
      </c>
      <c r="L176" s="135">
        <v>0</v>
      </c>
      <c r="M176" s="135">
        <v>0</v>
      </c>
      <c r="N176" s="69">
        <f t="shared" si="26"/>
        <v>3019</v>
      </c>
      <c r="O176" s="39">
        <f t="shared" si="27"/>
        <v>3354.4444444444443</v>
      </c>
      <c r="P176" s="136">
        <f t="shared" si="28"/>
        <v>89.69102792632205</v>
      </c>
      <c r="Q176" s="137">
        <f t="shared" si="29"/>
        <v>0.1</v>
      </c>
      <c r="R176" s="138">
        <f t="shared" si="30"/>
        <v>335.44444444444446</v>
      </c>
      <c r="S176" s="139">
        <v>0.8</v>
      </c>
      <c r="T176" s="138">
        <f t="shared" si="31"/>
        <v>2683.5555555555557</v>
      </c>
      <c r="U176" s="140">
        <f t="shared" si="32"/>
        <v>9.9999999999999978E-2</v>
      </c>
      <c r="V176" s="138">
        <f t="shared" si="33"/>
        <v>335.44444444444434</v>
      </c>
      <c r="W176" s="142">
        <f ca="1">V176*VLOOKUP(TODAY(),'UF HOY'!$A$2:$B$33,2,0)</f>
        <v>13328529.428888885</v>
      </c>
      <c r="X176" s="143">
        <f>Datos!$E$3</f>
        <v>31</v>
      </c>
      <c r="Y176" s="144">
        <f ca="1">IF((W176-1000000-Datos!$D$3)/X176&gt;0,(W176-1000000-Datos!$D$3)/X176,0)</f>
        <v>389629.98157706083</v>
      </c>
      <c r="Z176" s="143">
        <f>Datos!$F$3</f>
        <v>31</v>
      </c>
      <c r="AA176" s="144">
        <f ca="1">IF((W176-1750000-Datos!$D$3-3%*O176*VLOOKUP(TODAY(),'UF HOY'!$A$2:$B$33,2,0))/Z176&gt;0,(W176-1750000-Datos!$D$3-3%*O176*VLOOKUP(TODAY(),'UF HOY'!$A$2:$B$33,2,0))/Z176,0)</f>
        <v>236450.66452329737</v>
      </c>
      <c r="AB176" s="142">
        <f>IF(L176&gt;0,VLOOKUP(D176,Datos!$C$7:$E$11,3,0),VLOOKUP(D176,Datos!$C$7:$E$11,2,0))</f>
        <v>370000</v>
      </c>
      <c r="AC176" s="144">
        <f ca="1">(S176*PMT(Datos!$H$13,Datos!$H$12,-O176,,)*VLOOKUP(TODAY(),'UF HOY'!$A$2:$B$33,2,0)/12)+VLOOKUP(TODAY(),'UF HOY'!$A$2:$B$33,2,0)</f>
        <v>553594.05878571142</v>
      </c>
      <c r="AD176" s="144">
        <f t="shared" ca="1" si="34"/>
        <v>-183594.05878571142</v>
      </c>
      <c r="AE176" s="47">
        <f t="shared" ca="1" si="35"/>
        <v>2214376.2351428457</v>
      </c>
    </row>
    <row r="177" spans="1:31" s="145" customFormat="1" ht="15.5" x14ac:dyDescent="0.35">
      <c r="A177" s="129" t="s">
        <v>105</v>
      </c>
      <c r="B177" s="129">
        <v>1610</v>
      </c>
      <c r="C177" s="131" t="s">
        <v>152</v>
      </c>
      <c r="D177" s="131" t="s">
        <v>153</v>
      </c>
      <c r="E177" s="131"/>
      <c r="F177" s="131">
        <v>31.86</v>
      </c>
      <c r="G177" s="131">
        <v>3.6</v>
      </c>
      <c r="H177" s="132">
        <f t="shared" si="24"/>
        <v>33.659999999999997</v>
      </c>
      <c r="I177" s="132">
        <f t="shared" si="25"/>
        <v>35.46</v>
      </c>
      <c r="J177" s="69">
        <v>3019</v>
      </c>
      <c r="K177" s="134">
        <v>0</v>
      </c>
      <c r="L177" s="135">
        <v>0</v>
      </c>
      <c r="M177" s="135">
        <v>0</v>
      </c>
      <c r="N177" s="69">
        <f t="shared" si="26"/>
        <v>3019</v>
      </c>
      <c r="O177" s="39">
        <f t="shared" si="27"/>
        <v>3354.4444444444443</v>
      </c>
      <c r="P177" s="136">
        <f t="shared" si="28"/>
        <v>89.69102792632205</v>
      </c>
      <c r="Q177" s="137">
        <f t="shared" si="29"/>
        <v>0.1</v>
      </c>
      <c r="R177" s="138">
        <f t="shared" si="30"/>
        <v>335.44444444444446</v>
      </c>
      <c r="S177" s="139">
        <v>0.8</v>
      </c>
      <c r="T177" s="138">
        <f t="shared" si="31"/>
        <v>2683.5555555555557</v>
      </c>
      <c r="U177" s="140">
        <f t="shared" si="32"/>
        <v>9.9999999999999978E-2</v>
      </c>
      <c r="V177" s="138">
        <f t="shared" si="33"/>
        <v>335.44444444444434</v>
      </c>
      <c r="W177" s="142">
        <f ca="1">V177*VLOOKUP(TODAY(),'UF HOY'!$A$2:$B$33,2,0)</f>
        <v>13328529.428888885</v>
      </c>
      <c r="X177" s="143">
        <f>Datos!$E$3</f>
        <v>31</v>
      </c>
      <c r="Y177" s="144">
        <f ca="1">IF((W177-1000000-Datos!$D$3)/X177&gt;0,(W177-1000000-Datos!$D$3)/X177,0)</f>
        <v>389629.98157706083</v>
      </c>
      <c r="Z177" s="143">
        <f>Datos!$F$3</f>
        <v>31</v>
      </c>
      <c r="AA177" s="144">
        <f ca="1">IF((W177-1750000-Datos!$D$3-3%*O177*VLOOKUP(TODAY(),'UF HOY'!$A$2:$B$33,2,0))/Z177&gt;0,(W177-1750000-Datos!$D$3-3%*O177*VLOOKUP(TODAY(),'UF HOY'!$A$2:$B$33,2,0))/Z177,0)</f>
        <v>236450.66452329737</v>
      </c>
      <c r="AB177" s="142">
        <f>IF(L177&gt;0,VLOOKUP(D177,Datos!$C$7:$E$11,3,0),VLOOKUP(D177,Datos!$C$7:$E$11,2,0))</f>
        <v>370000</v>
      </c>
      <c r="AC177" s="144">
        <f ca="1">(S177*PMT(Datos!$H$13,Datos!$H$12,-O177,,)*VLOOKUP(TODAY(),'UF HOY'!$A$2:$B$33,2,0)/12)+VLOOKUP(TODAY(),'UF HOY'!$A$2:$B$33,2,0)</f>
        <v>553594.05878571142</v>
      </c>
      <c r="AD177" s="144">
        <f t="shared" ca="1" si="34"/>
        <v>-183594.05878571142</v>
      </c>
      <c r="AE177" s="47">
        <f t="shared" ca="1" si="35"/>
        <v>2214376.2351428457</v>
      </c>
    </row>
    <row r="178" spans="1:31" s="145" customFormat="1" ht="15.5" x14ac:dyDescent="0.35">
      <c r="A178" s="129" t="s">
        <v>105</v>
      </c>
      <c r="B178" s="130">
        <v>1612</v>
      </c>
      <c r="C178" s="131" t="s">
        <v>152</v>
      </c>
      <c r="D178" s="131" t="s">
        <v>153</v>
      </c>
      <c r="E178" s="131"/>
      <c r="F178" s="131">
        <v>31.86</v>
      </c>
      <c r="G178" s="131">
        <v>3.6</v>
      </c>
      <c r="H178" s="132">
        <f t="shared" si="24"/>
        <v>33.659999999999997</v>
      </c>
      <c r="I178" s="132">
        <f t="shared" si="25"/>
        <v>35.46</v>
      </c>
      <c r="J178" s="69">
        <v>3019</v>
      </c>
      <c r="K178" s="134">
        <v>0</v>
      </c>
      <c r="L178" s="135">
        <v>0</v>
      </c>
      <c r="M178" s="135">
        <v>0</v>
      </c>
      <c r="N178" s="69">
        <f t="shared" si="26"/>
        <v>3019</v>
      </c>
      <c r="O178" s="39">
        <f t="shared" si="27"/>
        <v>3354.4444444444443</v>
      </c>
      <c r="P178" s="136">
        <f t="shared" si="28"/>
        <v>89.69102792632205</v>
      </c>
      <c r="Q178" s="137">
        <f t="shared" si="29"/>
        <v>0.1</v>
      </c>
      <c r="R178" s="138">
        <f t="shared" si="30"/>
        <v>335.44444444444446</v>
      </c>
      <c r="S178" s="139">
        <v>0.8</v>
      </c>
      <c r="T178" s="138">
        <f t="shared" si="31"/>
        <v>2683.5555555555557</v>
      </c>
      <c r="U178" s="140">
        <f t="shared" si="32"/>
        <v>9.9999999999999978E-2</v>
      </c>
      <c r="V178" s="138">
        <f t="shared" si="33"/>
        <v>335.44444444444434</v>
      </c>
      <c r="W178" s="142">
        <f ca="1">V178*VLOOKUP(TODAY(),'UF HOY'!$A$2:$B$33,2,0)</f>
        <v>13328529.428888885</v>
      </c>
      <c r="X178" s="143">
        <f>Datos!$E$3</f>
        <v>31</v>
      </c>
      <c r="Y178" s="144">
        <f ca="1">IF((W178-1000000-Datos!$D$3)/X178&gt;0,(W178-1000000-Datos!$D$3)/X178,0)</f>
        <v>389629.98157706083</v>
      </c>
      <c r="Z178" s="143">
        <f>Datos!$F$3</f>
        <v>31</v>
      </c>
      <c r="AA178" s="144">
        <f ca="1">IF((W178-1750000-Datos!$D$3-3%*O178*VLOOKUP(TODAY(),'UF HOY'!$A$2:$B$33,2,0))/Z178&gt;0,(W178-1750000-Datos!$D$3-3%*O178*VLOOKUP(TODAY(),'UF HOY'!$A$2:$B$33,2,0))/Z178,0)</f>
        <v>236450.66452329737</v>
      </c>
      <c r="AB178" s="142">
        <f>IF(L178&gt;0,VLOOKUP(D178,Datos!$C$7:$E$11,3,0),VLOOKUP(D178,Datos!$C$7:$E$11,2,0))</f>
        <v>370000</v>
      </c>
      <c r="AC178" s="144">
        <f ca="1">(S178*PMT(Datos!$H$13,Datos!$H$12,-O178,,)*VLOOKUP(TODAY(),'UF HOY'!$A$2:$B$33,2,0)/12)+VLOOKUP(TODAY(),'UF HOY'!$A$2:$B$33,2,0)</f>
        <v>553594.05878571142</v>
      </c>
      <c r="AD178" s="144">
        <f t="shared" ca="1" si="34"/>
        <v>-183594.05878571142</v>
      </c>
      <c r="AE178" s="47">
        <f t="shared" ca="1" si="35"/>
        <v>2214376.2351428457</v>
      </c>
    </row>
    <row r="179" spans="1:31" s="145" customFormat="1" ht="15.5" x14ac:dyDescent="0.35">
      <c r="A179" s="129" t="s">
        <v>105</v>
      </c>
      <c r="B179" s="130">
        <v>1613</v>
      </c>
      <c r="C179" s="131" t="s">
        <v>152</v>
      </c>
      <c r="D179" s="131" t="s">
        <v>153</v>
      </c>
      <c r="E179" s="131"/>
      <c r="F179" s="131">
        <v>31.86</v>
      </c>
      <c r="G179" s="131">
        <v>3.6</v>
      </c>
      <c r="H179" s="132">
        <f t="shared" si="24"/>
        <v>33.659999999999997</v>
      </c>
      <c r="I179" s="132">
        <f t="shared" si="25"/>
        <v>35.46</v>
      </c>
      <c r="J179" s="69">
        <v>3019</v>
      </c>
      <c r="K179" s="134">
        <v>0</v>
      </c>
      <c r="L179" s="135">
        <v>0</v>
      </c>
      <c r="M179" s="135">
        <v>0</v>
      </c>
      <c r="N179" s="69">
        <f t="shared" si="26"/>
        <v>3019</v>
      </c>
      <c r="O179" s="39">
        <f t="shared" si="27"/>
        <v>3354.4444444444443</v>
      </c>
      <c r="P179" s="136">
        <f t="shared" si="28"/>
        <v>89.69102792632205</v>
      </c>
      <c r="Q179" s="137">
        <f t="shared" si="29"/>
        <v>0.1</v>
      </c>
      <c r="R179" s="138">
        <f t="shared" si="30"/>
        <v>335.44444444444446</v>
      </c>
      <c r="S179" s="139">
        <v>0.8</v>
      </c>
      <c r="T179" s="138">
        <f t="shared" si="31"/>
        <v>2683.5555555555557</v>
      </c>
      <c r="U179" s="140">
        <f t="shared" si="32"/>
        <v>9.9999999999999978E-2</v>
      </c>
      <c r="V179" s="138">
        <f t="shared" si="33"/>
        <v>335.44444444444434</v>
      </c>
      <c r="W179" s="142">
        <f ca="1">V179*VLOOKUP(TODAY(),'UF HOY'!$A$2:$B$33,2,0)</f>
        <v>13328529.428888885</v>
      </c>
      <c r="X179" s="143">
        <f>Datos!$E$3</f>
        <v>31</v>
      </c>
      <c r="Y179" s="144">
        <f ca="1">IF((W179-1000000-Datos!$D$3)/X179&gt;0,(W179-1000000-Datos!$D$3)/X179,0)</f>
        <v>389629.98157706083</v>
      </c>
      <c r="Z179" s="143">
        <f>Datos!$F$3</f>
        <v>31</v>
      </c>
      <c r="AA179" s="144">
        <f ca="1">IF((W179-1750000-Datos!$D$3-3%*O179*VLOOKUP(TODAY(),'UF HOY'!$A$2:$B$33,2,0))/Z179&gt;0,(W179-1750000-Datos!$D$3-3%*O179*VLOOKUP(TODAY(),'UF HOY'!$A$2:$B$33,2,0))/Z179,0)</f>
        <v>236450.66452329737</v>
      </c>
      <c r="AB179" s="142">
        <f>IF(L179&gt;0,VLOOKUP(D179,Datos!$C$7:$E$11,3,0),VLOOKUP(D179,Datos!$C$7:$E$11,2,0))</f>
        <v>370000</v>
      </c>
      <c r="AC179" s="144">
        <f ca="1">(S179*PMT(Datos!$H$13,Datos!$H$12,-O179,,)*VLOOKUP(TODAY(),'UF HOY'!$A$2:$B$33,2,0)/12)+VLOOKUP(TODAY(),'UF HOY'!$A$2:$B$33,2,0)</f>
        <v>553594.05878571142</v>
      </c>
      <c r="AD179" s="144">
        <f t="shared" ca="1" si="34"/>
        <v>-183594.05878571142</v>
      </c>
      <c r="AE179" s="47">
        <f t="shared" ca="1" si="35"/>
        <v>2214376.2351428457</v>
      </c>
    </row>
    <row r="180" spans="1:31" s="145" customFormat="1" ht="15.5" x14ac:dyDescent="0.35">
      <c r="A180" s="129" t="s">
        <v>105</v>
      </c>
      <c r="B180" s="130">
        <v>1607</v>
      </c>
      <c r="C180" s="131" t="s">
        <v>152</v>
      </c>
      <c r="D180" s="131" t="s">
        <v>153</v>
      </c>
      <c r="E180" s="131"/>
      <c r="F180" s="131">
        <v>31.86</v>
      </c>
      <c r="G180" s="131">
        <v>3.6</v>
      </c>
      <c r="H180" s="132">
        <f t="shared" si="24"/>
        <v>33.659999999999997</v>
      </c>
      <c r="I180" s="132">
        <f t="shared" si="25"/>
        <v>35.46</v>
      </c>
      <c r="J180" s="69">
        <v>3020</v>
      </c>
      <c r="K180" s="134">
        <v>0</v>
      </c>
      <c r="L180" s="135">
        <v>0</v>
      </c>
      <c r="M180" s="135">
        <v>0</v>
      </c>
      <c r="N180" s="69">
        <f t="shared" si="26"/>
        <v>3020</v>
      </c>
      <c r="O180" s="39">
        <f t="shared" si="27"/>
        <v>3355.5555555555557</v>
      </c>
      <c r="P180" s="136">
        <f t="shared" si="28"/>
        <v>89.720736779560312</v>
      </c>
      <c r="Q180" s="137">
        <f t="shared" si="29"/>
        <v>0.1</v>
      </c>
      <c r="R180" s="138">
        <f t="shared" si="30"/>
        <v>335.5555555555556</v>
      </c>
      <c r="S180" s="139">
        <v>0.8</v>
      </c>
      <c r="T180" s="138">
        <f t="shared" si="31"/>
        <v>2684.4444444444448</v>
      </c>
      <c r="U180" s="140">
        <f t="shared" si="32"/>
        <v>9.9999999999999978E-2</v>
      </c>
      <c r="V180" s="138">
        <f t="shared" si="33"/>
        <v>335.55555555555549</v>
      </c>
      <c r="W180" s="142">
        <f ca="1">V180*VLOOKUP(TODAY(),'UF HOY'!$A$2:$B$33,2,0)</f>
        <v>13332944.311111109</v>
      </c>
      <c r="X180" s="143">
        <f>Datos!$E$3</f>
        <v>31</v>
      </c>
      <c r="Y180" s="144">
        <f ca="1">IF((W180-1000000-Datos!$D$3)/X180&gt;0,(W180-1000000-Datos!$D$3)/X180,0)</f>
        <v>389772.39713261643</v>
      </c>
      <c r="Z180" s="143">
        <f>Datos!$F$3</f>
        <v>31</v>
      </c>
      <c r="AA180" s="144">
        <f ca="1">IF((W180-1750000-Datos!$D$3-3%*O180*VLOOKUP(TODAY(),'UF HOY'!$A$2:$B$33,2,0))/Z180&gt;0,(W180-1750000-Datos!$D$3-3%*O180*VLOOKUP(TODAY(),'UF HOY'!$A$2:$B$33,2,0))/Z180,0)</f>
        <v>236550.3554121863</v>
      </c>
      <c r="AB180" s="142">
        <f>IF(L180&gt;0,VLOOKUP(D180,Datos!$C$7:$E$11,3,0),VLOOKUP(D180,Datos!$C$7:$E$11,2,0))</f>
        <v>370000</v>
      </c>
      <c r="AC180" s="144">
        <f ca="1">(S180*PMT(Datos!$H$13,Datos!$H$12,-O180,,)*VLOOKUP(TODAY(),'UF HOY'!$A$2:$B$33,2,0)/12)+VLOOKUP(TODAY(),'UF HOY'!$A$2:$B$33,2,0)</f>
        <v>553764.26750342781</v>
      </c>
      <c r="AD180" s="144">
        <f t="shared" ca="1" si="34"/>
        <v>-183764.26750342781</v>
      </c>
      <c r="AE180" s="47">
        <f t="shared" ca="1" si="35"/>
        <v>2215057.0700137112</v>
      </c>
    </row>
    <row r="181" spans="1:31" s="145" customFormat="1" ht="15.5" x14ac:dyDescent="0.35">
      <c r="A181" s="129" t="s">
        <v>105</v>
      </c>
      <c r="B181" s="130">
        <v>1707</v>
      </c>
      <c r="C181" s="131" t="s">
        <v>152</v>
      </c>
      <c r="D181" s="131" t="s">
        <v>153</v>
      </c>
      <c r="E181" s="131"/>
      <c r="F181" s="131">
        <v>31.86</v>
      </c>
      <c r="G181" s="131">
        <v>3.6</v>
      </c>
      <c r="H181" s="132">
        <f t="shared" si="24"/>
        <v>33.659999999999997</v>
      </c>
      <c r="I181" s="132">
        <f t="shared" si="25"/>
        <v>35.46</v>
      </c>
      <c r="J181" s="69">
        <v>3036</v>
      </c>
      <c r="K181" s="134">
        <v>0</v>
      </c>
      <c r="L181" s="135">
        <v>0</v>
      </c>
      <c r="M181" s="135">
        <v>0</v>
      </c>
      <c r="N181" s="69">
        <f t="shared" si="26"/>
        <v>3036</v>
      </c>
      <c r="O181" s="39">
        <f t="shared" si="27"/>
        <v>3373.333333333333</v>
      </c>
      <c r="P181" s="136">
        <f t="shared" si="28"/>
        <v>90.196078431372555</v>
      </c>
      <c r="Q181" s="137">
        <f t="shared" si="29"/>
        <v>0.1</v>
      </c>
      <c r="R181" s="138">
        <f t="shared" si="30"/>
        <v>337.33333333333331</v>
      </c>
      <c r="S181" s="139">
        <v>0.8</v>
      </c>
      <c r="T181" s="138">
        <f t="shared" si="31"/>
        <v>2698.6666666666665</v>
      </c>
      <c r="U181" s="140">
        <f t="shared" si="32"/>
        <v>9.9999999999999978E-2</v>
      </c>
      <c r="V181" s="138">
        <f t="shared" si="33"/>
        <v>337.3333333333332</v>
      </c>
      <c r="W181" s="142">
        <f ca="1">V181*VLOOKUP(TODAY(),'UF HOY'!$A$2:$B$33,2,0)</f>
        <v>13403582.426666662</v>
      </c>
      <c r="X181" s="143">
        <f>Datos!$E$3</f>
        <v>31</v>
      </c>
      <c r="Y181" s="144">
        <f ca="1">IF((W181-1000000-Datos!$D$3)/X181&gt;0,(W181-1000000-Datos!$D$3)/X181,0)</f>
        <v>392051.0460215052</v>
      </c>
      <c r="Z181" s="143">
        <f>Datos!$F$3</f>
        <v>31</v>
      </c>
      <c r="AA181" s="144">
        <f ca="1">IF((W181-1750000-Datos!$D$3-3%*O181*VLOOKUP(TODAY(),'UF HOY'!$A$2:$B$33,2,0))/Z181&gt;0,(W181-1750000-Datos!$D$3-3%*O181*VLOOKUP(TODAY(),'UF HOY'!$A$2:$B$33,2,0))/Z181,0)</f>
        <v>238145.40963440845</v>
      </c>
      <c r="AB181" s="142">
        <f>IF(L181&gt;0,VLOOKUP(D181,Datos!$C$7:$E$11,3,0),VLOOKUP(D181,Datos!$C$7:$E$11,2,0))</f>
        <v>370000</v>
      </c>
      <c r="AC181" s="144">
        <f ca="1">(S181*PMT(Datos!$H$13,Datos!$H$12,-O181,,)*VLOOKUP(TODAY(),'UF HOY'!$A$2:$B$33,2,0)/12)+VLOOKUP(TODAY(),'UF HOY'!$A$2:$B$33,2,0)</f>
        <v>556487.60698688962</v>
      </c>
      <c r="AD181" s="144">
        <f t="shared" ca="1" si="34"/>
        <v>-186487.60698688962</v>
      </c>
      <c r="AE181" s="47">
        <f t="shared" ca="1" si="35"/>
        <v>2225950.4279475585</v>
      </c>
    </row>
    <row r="182" spans="1:31" s="145" customFormat="1" ht="15.5" x14ac:dyDescent="0.35">
      <c r="A182" s="129" t="s">
        <v>105</v>
      </c>
      <c r="B182" s="130">
        <v>1708</v>
      </c>
      <c r="C182" s="131" t="s">
        <v>152</v>
      </c>
      <c r="D182" s="131" t="s">
        <v>153</v>
      </c>
      <c r="E182" s="131"/>
      <c r="F182" s="131">
        <v>31.86</v>
      </c>
      <c r="G182" s="131">
        <v>3.6</v>
      </c>
      <c r="H182" s="132">
        <f t="shared" si="24"/>
        <v>33.659999999999997</v>
      </c>
      <c r="I182" s="132">
        <f t="shared" si="25"/>
        <v>35.46</v>
      </c>
      <c r="J182" s="69">
        <v>3036</v>
      </c>
      <c r="K182" s="134">
        <v>0</v>
      </c>
      <c r="L182" s="135">
        <v>0</v>
      </c>
      <c r="M182" s="135">
        <v>0</v>
      </c>
      <c r="N182" s="69">
        <f t="shared" si="26"/>
        <v>3036</v>
      </c>
      <c r="O182" s="39">
        <f t="shared" si="27"/>
        <v>3373.333333333333</v>
      </c>
      <c r="P182" s="136">
        <f t="shared" si="28"/>
        <v>90.196078431372555</v>
      </c>
      <c r="Q182" s="137">
        <f t="shared" si="29"/>
        <v>0.1</v>
      </c>
      <c r="R182" s="138">
        <f t="shared" si="30"/>
        <v>337.33333333333331</v>
      </c>
      <c r="S182" s="139">
        <v>0.8</v>
      </c>
      <c r="T182" s="138">
        <f t="shared" si="31"/>
        <v>2698.6666666666665</v>
      </c>
      <c r="U182" s="140">
        <f t="shared" si="32"/>
        <v>9.9999999999999978E-2</v>
      </c>
      <c r="V182" s="138">
        <f t="shared" si="33"/>
        <v>337.3333333333332</v>
      </c>
      <c r="W182" s="142">
        <f ca="1">V182*VLOOKUP(TODAY(),'UF HOY'!$A$2:$B$33,2,0)</f>
        <v>13403582.426666662</v>
      </c>
      <c r="X182" s="143">
        <f>Datos!$E$3</f>
        <v>31</v>
      </c>
      <c r="Y182" s="144">
        <f ca="1">IF((W182-1000000-Datos!$D$3)/X182&gt;0,(W182-1000000-Datos!$D$3)/X182,0)</f>
        <v>392051.0460215052</v>
      </c>
      <c r="Z182" s="143">
        <f>Datos!$F$3</f>
        <v>31</v>
      </c>
      <c r="AA182" s="144">
        <f ca="1">IF((W182-1750000-Datos!$D$3-3%*O182*VLOOKUP(TODAY(),'UF HOY'!$A$2:$B$33,2,0))/Z182&gt;0,(W182-1750000-Datos!$D$3-3%*O182*VLOOKUP(TODAY(),'UF HOY'!$A$2:$B$33,2,0))/Z182,0)</f>
        <v>238145.40963440845</v>
      </c>
      <c r="AB182" s="142">
        <f>IF(L182&gt;0,VLOOKUP(D182,Datos!$C$7:$E$11,3,0),VLOOKUP(D182,Datos!$C$7:$E$11,2,0))</f>
        <v>370000</v>
      </c>
      <c r="AC182" s="144">
        <f ca="1">(S182*PMT(Datos!$H$13,Datos!$H$12,-O182,,)*VLOOKUP(TODAY(),'UF HOY'!$A$2:$B$33,2,0)/12)+VLOOKUP(TODAY(),'UF HOY'!$A$2:$B$33,2,0)</f>
        <v>556487.60698688962</v>
      </c>
      <c r="AD182" s="144">
        <f t="shared" ca="1" si="34"/>
        <v>-186487.60698688962</v>
      </c>
      <c r="AE182" s="47">
        <f t="shared" ca="1" si="35"/>
        <v>2225950.4279475585</v>
      </c>
    </row>
    <row r="183" spans="1:31" s="145" customFormat="1" ht="15.5" x14ac:dyDescent="0.35">
      <c r="A183" s="129" t="s">
        <v>105</v>
      </c>
      <c r="B183" s="130">
        <v>1709</v>
      </c>
      <c r="C183" s="131" t="s">
        <v>152</v>
      </c>
      <c r="D183" s="131" t="s">
        <v>153</v>
      </c>
      <c r="E183" s="131"/>
      <c r="F183" s="131">
        <v>31.86</v>
      </c>
      <c r="G183" s="131">
        <v>3.6</v>
      </c>
      <c r="H183" s="132">
        <f t="shared" si="24"/>
        <v>33.659999999999997</v>
      </c>
      <c r="I183" s="132">
        <f t="shared" si="25"/>
        <v>35.46</v>
      </c>
      <c r="J183" s="69">
        <v>3036</v>
      </c>
      <c r="K183" s="134">
        <v>0</v>
      </c>
      <c r="L183" s="135">
        <v>0</v>
      </c>
      <c r="M183" s="135">
        <v>0</v>
      </c>
      <c r="N183" s="69">
        <f t="shared" si="26"/>
        <v>3036</v>
      </c>
      <c r="O183" s="39">
        <f t="shared" si="27"/>
        <v>3373.333333333333</v>
      </c>
      <c r="P183" s="136">
        <f t="shared" si="28"/>
        <v>90.196078431372555</v>
      </c>
      <c r="Q183" s="137">
        <f t="shared" si="29"/>
        <v>0.1</v>
      </c>
      <c r="R183" s="138">
        <f t="shared" si="30"/>
        <v>337.33333333333331</v>
      </c>
      <c r="S183" s="139">
        <v>0.8</v>
      </c>
      <c r="T183" s="138">
        <f t="shared" si="31"/>
        <v>2698.6666666666665</v>
      </c>
      <c r="U183" s="140">
        <f t="shared" si="32"/>
        <v>9.9999999999999978E-2</v>
      </c>
      <c r="V183" s="138">
        <f t="shared" si="33"/>
        <v>337.3333333333332</v>
      </c>
      <c r="W183" s="142">
        <f ca="1">V183*VLOOKUP(TODAY(),'UF HOY'!$A$2:$B$33,2,0)</f>
        <v>13403582.426666662</v>
      </c>
      <c r="X183" s="143">
        <f>Datos!$E$3</f>
        <v>31</v>
      </c>
      <c r="Y183" s="144">
        <f ca="1">IF((W183-1000000-Datos!$D$3)/X183&gt;0,(W183-1000000-Datos!$D$3)/X183,0)</f>
        <v>392051.0460215052</v>
      </c>
      <c r="Z183" s="143">
        <f>Datos!$F$3</f>
        <v>31</v>
      </c>
      <c r="AA183" s="144">
        <f ca="1">IF((W183-1750000-Datos!$D$3-3%*O183*VLOOKUP(TODAY(),'UF HOY'!$A$2:$B$33,2,0))/Z183&gt;0,(W183-1750000-Datos!$D$3-3%*O183*VLOOKUP(TODAY(),'UF HOY'!$A$2:$B$33,2,0))/Z183,0)</f>
        <v>238145.40963440845</v>
      </c>
      <c r="AB183" s="142">
        <f>IF(L183&gt;0,VLOOKUP(D183,Datos!$C$7:$E$11,3,0),VLOOKUP(D183,Datos!$C$7:$E$11,2,0))</f>
        <v>370000</v>
      </c>
      <c r="AC183" s="144">
        <f ca="1">(S183*PMT(Datos!$H$13,Datos!$H$12,-O183,,)*VLOOKUP(TODAY(),'UF HOY'!$A$2:$B$33,2,0)/12)+VLOOKUP(TODAY(),'UF HOY'!$A$2:$B$33,2,0)</f>
        <v>556487.60698688962</v>
      </c>
      <c r="AD183" s="144">
        <f t="shared" ca="1" si="34"/>
        <v>-186487.60698688962</v>
      </c>
      <c r="AE183" s="47">
        <f t="shared" ca="1" si="35"/>
        <v>2225950.4279475585</v>
      </c>
    </row>
    <row r="184" spans="1:31" s="145" customFormat="1" ht="15.5" x14ac:dyDescent="0.35">
      <c r="A184" s="129" t="s">
        <v>105</v>
      </c>
      <c r="B184" s="130">
        <v>1710</v>
      </c>
      <c r="C184" s="131" t="s">
        <v>152</v>
      </c>
      <c r="D184" s="131" t="s">
        <v>153</v>
      </c>
      <c r="E184" s="131"/>
      <c r="F184" s="131">
        <v>31.86</v>
      </c>
      <c r="G184" s="131">
        <v>3.6</v>
      </c>
      <c r="H184" s="132">
        <f t="shared" si="24"/>
        <v>33.659999999999997</v>
      </c>
      <c r="I184" s="132">
        <f t="shared" si="25"/>
        <v>35.46</v>
      </c>
      <c r="J184" s="69">
        <v>3036</v>
      </c>
      <c r="K184" s="134">
        <v>0</v>
      </c>
      <c r="L184" s="135">
        <v>0</v>
      </c>
      <c r="M184" s="135">
        <v>0</v>
      </c>
      <c r="N184" s="69">
        <f t="shared" si="26"/>
        <v>3036</v>
      </c>
      <c r="O184" s="39">
        <f t="shared" si="27"/>
        <v>3373.333333333333</v>
      </c>
      <c r="P184" s="136">
        <f t="shared" si="28"/>
        <v>90.196078431372555</v>
      </c>
      <c r="Q184" s="137">
        <f t="shared" si="29"/>
        <v>0.1</v>
      </c>
      <c r="R184" s="138">
        <f t="shared" si="30"/>
        <v>337.33333333333331</v>
      </c>
      <c r="S184" s="139">
        <v>0.8</v>
      </c>
      <c r="T184" s="138">
        <f t="shared" si="31"/>
        <v>2698.6666666666665</v>
      </c>
      <c r="U184" s="140">
        <f t="shared" si="32"/>
        <v>9.9999999999999978E-2</v>
      </c>
      <c r="V184" s="138">
        <f t="shared" si="33"/>
        <v>337.3333333333332</v>
      </c>
      <c r="W184" s="142">
        <f ca="1">V184*VLOOKUP(TODAY(),'UF HOY'!$A$2:$B$33,2,0)</f>
        <v>13403582.426666662</v>
      </c>
      <c r="X184" s="143">
        <f>Datos!$E$3</f>
        <v>31</v>
      </c>
      <c r="Y184" s="144">
        <f ca="1">IF((W184-1000000-Datos!$D$3)/X184&gt;0,(W184-1000000-Datos!$D$3)/X184,0)</f>
        <v>392051.0460215052</v>
      </c>
      <c r="Z184" s="143">
        <f>Datos!$F$3</f>
        <v>31</v>
      </c>
      <c r="AA184" s="144">
        <f ca="1">IF((W184-1750000-Datos!$D$3-3%*O184*VLOOKUP(TODAY(),'UF HOY'!$A$2:$B$33,2,0))/Z184&gt;0,(W184-1750000-Datos!$D$3-3%*O184*VLOOKUP(TODAY(),'UF HOY'!$A$2:$B$33,2,0))/Z184,0)</f>
        <v>238145.40963440845</v>
      </c>
      <c r="AB184" s="142">
        <f>IF(L184&gt;0,VLOOKUP(D184,Datos!$C$7:$E$11,3,0),VLOOKUP(D184,Datos!$C$7:$E$11,2,0))</f>
        <v>370000</v>
      </c>
      <c r="AC184" s="144">
        <f ca="1">(S184*PMT(Datos!$H$13,Datos!$H$12,-O184,,)*VLOOKUP(TODAY(),'UF HOY'!$A$2:$B$33,2,0)/12)+VLOOKUP(TODAY(),'UF HOY'!$A$2:$B$33,2,0)</f>
        <v>556487.60698688962</v>
      </c>
      <c r="AD184" s="144">
        <f t="shared" ca="1" si="34"/>
        <v>-186487.60698688962</v>
      </c>
      <c r="AE184" s="47">
        <f t="shared" ca="1" si="35"/>
        <v>2225950.4279475585</v>
      </c>
    </row>
    <row r="185" spans="1:31" s="145" customFormat="1" ht="15.5" x14ac:dyDescent="0.35">
      <c r="A185" s="129" t="s">
        <v>105</v>
      </c>
      <c r="B185" s="130">
        <v>1712</v>
      </c>
      <c r="C185" s="131" t="s">
        <v>152</v>
      </c>
      <c r="D185" s="131" t="s">
        <v>153</v>
      </c>
      <c r="E185" s="131"/>
      <c r="F185" s="131">
        <v>31.86</v>
      </c>
      <c r="G185" s="131">
        <v>3.6</v>
      </c>
      <c r="H185" s="132">
        <f t="shared" si="24"/>
        <v>33.659999999999997</v>
      </c>
      <c r="I185" s="132">
        <f t="shared" si="25"/>
        <v>35.46</v>
      </c>
      <c r="J185" s="69">
        <v>3036</v>
      </c>
      <c r="K185" s="134">
        <v>0</v>
      </c>
      <c r="L185" s="135">
        <v>0</v>
      </c>
      <c r="M185" s="135">
        <v>0</v>
      </c>
      <c r="N185" s="69">
        <f t="shared" si="26"/>
        <v>3036</v>
      </c>
      <c r="O185" s="39">
        <f t="shared" si="27"/>
        <v>3373.333333333333</v>
      </c>
      <c r="P185" s="136">
        <f t="shared" si="28"/>
        <v>90.196078431372555</v>
      </c>
      <c r="Q185" s="137">
        <f t="shared" si="29"/>
        <v>0.1</v>
      </c>
      <c r="R185" s="138">
        <f t="shared" si="30"/>
        <v>337.33333333333331</v>
      </c>
      <c r="S185" s="139">
        <v>0.8</v>
      </c>
      <c r="T185" s="138">
        <f t="shared" si="31"/>
        <v>2698.6666666666665</v>
      </c>
      <c r="U185" s="140">
        <f t="shared" si="32"/>
        <v>9.9999999999999978E-2</v>
      </c>
      <c r="V185" s="138">
        <f t="shared" si="33"/>
        <v>337.3333333333332</v>
      </c>
      <c r="W185" s="142">
        <f ca="1">V185*VLOOKUP(TODAY(),'UF HOY'!$A$2:$B$33,2,0)</f>
        <v>13403582.426666662</v>
      </c>
      <c r="X185" s="143">
        <f>Datos!$E$3</f>
        <v>31</v>
      </c>
      <c r="Y185" s="144">
        <f ca="1">IF((W185-1000000-Datos!$D$3)/X185&gt;0,(W185-1000000-Datos!$D$3)/X185,0)</f>
        <v>392051.0460215052</v>
      </c>
      <c r="Z185" s="143">
        <f>Datos!$F$3</f>
        <v>31</v>
      </c>
      <c r="AA185" s="144">
        <f ca="1">IF((W185-1750000-Datos!$D$3-3%*O185*VLOOKUP(TODAY(),'UF HOY'!$A$2:$B$33,2,0))/Z185&gt;0,(W185-1750000-Datos!$D$3-3%*O185*VLOOKUP(TODAY(),'UF HOY'!$A$2:$B$33,2,0))/Z185,0)</f>
        <v>238145.40963440845</v>
      </c>
      <c r="AB185" s="142">
        <f>IF(L185&gt;0,VLOOKUP(D185,Datos!$C$7:$E$11,3,0),VLOOKUP(D185,Datos!$C$7:$E$11,2,0))</f>
        <v>370000</v>
      </c>
      <c r="AC185" s="144">
        <f ca="1">(S185*PMT(Datos!$H$13,Datos!$H$12,-O185,,)*VLOOKUP(TODAY(),'UF HOY'!$A$2:$B$33,2,0)/12)+VLOOKUP(TODAY(),'UF HOY'!$A$2:$B$33,2,0)</f>
        <v>556487.60698688962</v>
      </c>
      <c r="AD185" s="144">
        <f t="shared" ca="1" si="34"/>
        <v>-186487.60698688962</v>
      </c>
      <c r="AE185" s="47">
        <f t="shared" ca="1" si="35"/>
        <v>2225950.4279475585</v>
      </c>
    </row>
    <row r="186" spans="1:31" s="145" customFormat="1" ht="15.5" x14ac:dyDescent="0.35">
      <c r="A186" s="129" t="s">
        <v>105</v>
      </c>
      <c r="B186" s="130">
        <v>1713</v>
      </c>
      <c r="C186" s="131" t="s">
        <v>152</v>
      </c>
      <c r="D186" s="131" t="s">
        <v>153</v>
      </c>
      <c r="E186" s="131"/>
      <c r="F186" s="131">
        <v>31.86</v>
      </c>
      <c r="G186" s="131">
        <v>3.6</v>
      </c>
      <c r="H186" s="132">
        <f t="shared" si="24"/>
        <v>33.659999999999997</v>
      </c>
      <c r="I186" s="132">
        <f t="shared" si="25"/>
        <v>35.46</v>
      </c>
      <c r="J186" s="69">
        <v>3036</v>
      </c>
      <c r="K186" s="134">
        <v>0</v>
      </c>
      <c r="L186" s="135">
        <v>0</v>
      </c>
      <c r="M186" s="135">
        <v>0</v>
      </c>
      <c r="N186" s="69">
        <f t="shared" si="26"/>
        <v>3036</v>
      </c>
      <c r="O186" s="39">
        <f t="shared" si="27"/>
        <v>3373.333333333333</v>
      </c>
      <c r="P186" s="136">
        <f t="shared" si="28"/>
        <v>90.196078431372555</v>
      </c>
      <c r="Q186" s="137">
        <f t="shared" si="29"/>
        <v>0.1</v>
      </c>
      <c r="R186" s="138">
        <f t="shared" si="30"/>
        <v>337.33333333333331</v>
      </c>
      <c r="S186" s="139">
        <v>0.8</v>
      </c>
      <c r="T186" s="138">
        <f t="shared" si="31"/>
        <v>2698.6666666666665</v>
      </c>
      <c r="U186" s="140">
        <f t="shared" si="32"/>
        <v>9.9999999999999978E-2</v>
      </c>
      <c r="V186" s="138">
        <f t="shared" si="33"/>
        <v>337.3333333333332</v>
      </c>
      <c r="W186" s="142">
        <f ca="1">V186*VLOOKUP(TODAY(),'UF HOY'!$A$2:$B$33,2,0)</f>
        <v>13403582.426666662</v>
      </c>
      <c r="X186" s="143">
        <f>Datos!$E$3</f>
        <v>31</v>
      </c>
      <c r="Y186" s="144">
        <f ca="1">IF((W186-1000000-Datos!$D$3)/X186&gt;0,(W186-1000000-Datos!$D$3)/X186,0)</f>
        <v>392051.0460215052</v>
      </c>
      <c r="Z186" s="143">
        <f>Datos!$F$3</f>
        <v>31</v>
      </c>
      <c r="AA186" s="144">
        <f ca="1">IF((W186-1750000-Datos!$D$3-3%*O186*VLOOKUP(TODAY(),'UF HOY'!$A$2:$B$33,2,0))/Z186&gt;0,(W186-1750000-Datos!$D$3-3%*O186*VLOOKUP(TODAY(),'UF HOY'!$A$2:$B$33,2,0))/Z186,0)</f>
        <v>238145.40963440845</v>
      </c>
      <c r="AB186" s="142">
        <f>IF(L186&gt;0,VLOOKUP(D186,Datos!$C$7:$E$11,3,0),VLOOKUP(D186,Datos!$C$7:$E$11,2,0))</f>
        <v>370000</v>
      </c>
      <c r="AC186" s="144">
        <f ca="1">(S186*PMT(Datos!$H$13,Datos!$H$12,-O186,,)*VLOOKUP(TODAY(),'UF HOY'!$A$2:$B$33,2,0)/12)+VLOOKUP(TODAY(),'UF HOY'!$A$2:$B$33,2,0)</f>
        <v>556487.60698688962</v>
      </c>
      <c r="AD186" s="144">
        <f t="shared" ca="1" si="34"/>
        <v>-186487.60698688962</v>
      </c>
      <c r="AE186" s="47">
        <f t="shared" ca="1" si="35"/>
        <v>2225950.4279475585</v>
      </c>
    </row>
    <row r="187" spans="1:31" s="145" customFormat="1" ht="15.5" x14ac:dyDescent="0.35">
      <c r="A187" s="129" t="s">
        <v>105</v>
      </c>
      <c r="B187" s="130">
        <v>1801</v>
      </c>
      <c r="C187" s="131" t="s">
        <v>151</v>
      </c>
      <c r="D187" s="131" t="s">
        <v>153</v>
      </c>
      <c r="E187" s="131"/>
      <c r="F187" s="131">
        <v>31.86</v>
      </c>
      <c r="G187" s="131">
        <v>3.6</v>
      </c>
      <c r="H187" s="132">
        <f t="shared" si="24"/>
        <v>33.659999999999997</v>
      </c>
      <c r="I187" s="132">
        <f t="shared" si="25"/>
        <v>35.46</v>
      </c>
      <c r="J187" s="69">
        <v>3045</v>
      </c>
      <c r="K187" s="134">
        <v>0</v>
      </c>
      <c r="L187" s="135">
        <v>0</v>
      </c>
      <c r="M187" s="135">
        <v>0</v>
      </c>
      <c r="N187" s="69">
        <f t="shared" si="26"/>
        <v>3045</v>
      </c>
      <c r="O187" s="39">
        <f t="shared" si="27"/>
        <v>3383.333333333333</v>
      </c>
      <c r="P187" s="136">
        <f t="shared" si="28"/>
        <v>90.463458110516939</v>
      </c>
      <c r="Q187" s="137">
        <f t="shared" si="29"/>
        <v>0.1</v>
      </c>
      <c r="R187" s="138">
        <f t="shared" si="30"/>
        <v>338.33333333333331</v>
      </c>
      <c r="S187" s="139">
        <v>0.8</v>
      </c>
      <c r="T187" s="138">
        <f t="shared" si="31"/>
        <v>2706.6666666666665</v>
      </c>
      <c r="U187" s="140">
        <f t="shared" si="32"/>
        <v>9.9999999999999978E-2</v>
      </c>
      <c r="V187" s="138">
        <f t="shared" si="33"/>
        <v>338.3333333333332</v>
      </c>
      <c r="W187" s="142">
        <f ca="1">V187*VLOOKUP(TODAY(),'UF HOY'!$A$2:$B$33,2,0)</f>
        <v>13443316.366666662</v>
      </c>
      <c r="X187" s="143">
        <f>Datos!$E$3</f>
        <v>31</v>
      </c>
      <c r="Y187" s="144">
        <f ca="1">IF((W187-1000000-Datos!$D$3)/X187&gt;0,(W187-1000000-Datos!$D$3)/X187,0)</f>
        <v>393332.78602150519</v>
      </c>
      <c r="Z187" s="143">
        <f>Datos!$F$3</f>
        <v>31</v>
      </c>
      <c r="AA187" s="144">
        <f ca="1">IF((W187-1750000-Datos!$D$3-3%*O187*VLOOKUP(TODAY(),'UF HOY'!$A$2:$B$33,2,0))/Z187&gt;0,(W187-1750000-Datos!$D$3-3%*O187*VLOOKUP(TODAY(),'UF HOY'!$A$2:$B$33,2,0))/Z187,0)</f>
        <v>239042.62763440845</v>
      </c>
      <c r="AB187" s="142">
        <f>IF(L187&gt;0,VLOOKUP(D187,Datos!$C$7:$E$11,3,0),VLOOKUP(D187,Datos!$C$7:$E$11,2,0))</f>
        <v>370000</v>
      </c>
      <c r="AC187" s="144">
        <f ca="1">(S187*PMT(Datos!$H$13,Datos!$H$12,-O187,,)*VLOOKUP(TODAY(),'UF HOY'!$A$2:$B$33,2,0)/12)+VLOOKUP(TODAY(),'UF HOY'!$A$2:$B$33,2,0)</f>
        <v>558019.48544633691</v>
      </c>
      <c r="AD187" s="144">
        <f t="shared" ca="1" si="34"/>
        <v>-188019.48544633691</v>
      </c>
      <c r="AE187" s="47">
        <f t="shared" ca="1" si="35"/>
        <v>2232077.9417853476</v>
      </c>
    </row>
    <row r="188" spans="1:31" s="145" customFormat="1" ht="15.5" x14ac:dyDescent="0.35">
      <c r="A188" s="129" t="s">
        <v>105</v>
      </c>
      <c r="B188" s="130">
        <v>1802</v>
      </c>
      <c r="C188" s="131" t="s">
        <v>151</v>
      </c>
      <c r="D188" s="131" t="s">
        <v>153</v>
      </c>
      <c r="E188" s="131"/>
      <c r="F188" s="131">
        <v>33.369999999999997</v>
      </c>
      <c r="G188" s="131">
        <v>3.17</v>
      </c>
      <c r="H188" s="132">
        <f t="shared" si="24"/>
        <v>34.954999999999998</v>
      </c>
      <c r="I188" s="132">
        <f t="shared" si="25"/>
        <v>36.54</v>
      </c>
      <c r="J188" s="69">
        <v>3045</v>
      </c>
      <c r="K188" s="134">
        <v>0</v>
      </c>
      <c r="L188" s="135">
        <v>0</v>
      </c>
      <c r="M188" s="135">
        <v>0</v>
      </c>
      <c r="N188" s="69">
        <f t="shared" si="26"/>
        <v>3045</v>
      </c>
      <c r="O188" s="39">
        <f t="shared" si="27"/>
        <v>3383.333333333333</v>
      </c>
      <c r="P188" s="136">
        <f t="shared" si="28"/>
        <v>87.112001144328431</v>
      </c>
      <c r="Q188" s="137">
        <f t="shared" si="29"/>
        <v>0.1</v>
      </c>
      <c r="R188" s="138">
        <f t="shared" si="30"/>
        <v>338.33333333333331</v>
      </c>
      <c r="S188" s="139">
        <v>0.8</v>
      </c>
      <c r="T188" s="138">
        <f t="shared" si="31"/>
        <v>2706.6666666666665</v>
      </c>
      <c r="U188" s="140">
        <f t="shared" si="32"/>
        <v>9.9999999999999978E-2</v>
      </c>
      <c r="V188" s="138">
        <f t="shared" si="33"/>
        <v>338.3333333333332</v>
      </c>
      <c r="W188" s="142">
        <f ca="1">V188*VLOOKUP(TODAY(),'UF HOY'!$A$2:$B$33,2,0)</f>
        <v>13443316.366666662</v>
      </c>
      <c r="X188" s="143">
        <f>Datos!$E$3</f>
        <v>31</v>
      </c>
      <c r="Y188" s="144">
        <f ca="1">IF((W188-1000000-Datos!$D$3)/X188&gt;0,(W188-1000000-Datos!$D$3)/X188,0)</f>
        <v>393332.78602150519</v>
      </c>
      <c r="Z188" s="143">
        <f>Datos!$F$3</f>
        <v>31</v>
      </c>
      <c r="AA188" s="144">
        <f ca="1">IF((W188-1750000-Datos!$D$3-3%*O188*VLOOKUP(TODAY(),'UF HOY'!$A$2:$B$33,2,0))/Z188&gt;0,(W188-1750000-Datos!$D$3-3%*O188*VLOOKUP(TODAY(),'UF HOY'!$A$2:$B$33,2,0))/Z188,0)</f>
        <v>239042.62763440845</v>
      </c>
      <c r="AB188" s="142">
        <f>IF(L188&gt;0,VLOOKUP(D188,Datos!$C$7:$E$11,3,0),VLOOKUP(D188,Datos!$C$7:$E$11,2,0))</f>
        <v>370000</v>
      </c>
      <c r="AC188" s="144">
        <f ca="1">(S188*PMT(Datos!$H$13,Datos!$H$12,-O188,,)*VLOOKUP(TODAY(),'UF HOY'!$A$2:$B$33,2,0)/12)+VLOOKUP(TODAY(),'UF HOY'!$A$2:$B$33,2,0)</f>
        <v>558019.48544633691</v>
      </c>
      <c r="AD188" s="144">
        <f t="shared" ca="1" si="34"/>
        <v>-188019.48544633691</v>
      </c>
      <c r="AE188" s="47">
        <f t="shared" ca="1" si="35"/>
        <v>2232077.9417853476</v>
      </c>
    </row>
    <row r="189" spans="1:31" s="145" customFormat="1" ht="15.5" x14ac:dyDescent="0.35">
      <c r="A189" s="129" t="s">
        <v>105</v>
      </c>
      <c r="B189" s="130">
        <v>1803</v>
      </c>
      <c r="C189" s="131" t="s">
        <v>151</v>
      </c>
      <c r="D189" s="131" t="s">
        <v>153</v>
      </c>
      <c r="E189" s="131"/>
      <c r="F189" s="131">
        <v>33.369999999999997</v>
      </c>
      <c r="G189" s="131">
        <v>3.17</v>
      </c>
      <c r="H189" s="132">
        <f t="shared" si="24"/>
        <v>34.954999999999998</v>
      </c>
      <c r="I189" s="132">
        <f t="shared" si="25"/>
        <v>36.54</v>
      </c>
      <c r="J189" s="69">
        <v>3045</v>
      </c>
      <c r="K189" s="134">
        <v>0</v>
      </c>
      <c r="L189" s="135">
        <v>0</v>
      </c>
      <c r="M189" s="135">
        <v>0</v>
      </c>
      <c r="N189" s="69">
        <f t="shared" si="26"/>
        <v>3045</v>
      </c>
      <c r="O189" s="39">
        <f t="shared" si="27"/>
        <v>3383.333333333333</v>
      </c>
      <c r="P189" s="136">
        <f t="shared" si="28"/>
        <v>87.112001144328431</v>
      </c>
      <c r="Q189" s="137">
        <f t="shared" si="29"/>
        <v>0.1</v>
      </c>
      <c r="R189" s="138">
        <f t="shared" si="30"/>
        <v>338.33333333333331</v>
      </c>
      <c r="S189" s="139">
        <v>0.8</v>
      </c>
      <c r="T189" s="138">
        <f t="shared" si="31"/>
        <v>2706.6666666666665</v>
      </c>
      <c r="U189" s="140">
        <f t="shared" si="32"/>
        <v>9.9999999999999978E-2</v>
      </c>
      <c r="V189" s="138">
        <f t="shared" si="33"/>
        <v>338.3333333333332</v>
      </c>
      <c r="W189" s="142">
        <f ca="1">V189*VLOOKUP(TODAY(),'UF HOY'!$A$2:$B$33,2,0)</f>
        <v>13443316.366666662</v>
      </c>
      <c r="X189" s="143">
        <f>Datos!$E$3</f>
        <v>31</v>
      </c>
      <c r="Y189" s="144">
        <f ca="1">IF((W189-1000000-Datos!$D$3)/X189&gt;0,(W189-1000000-Datos!$D$3)/X189,0)</f>
        <v>393332.78602150519</v>
      </c>
      <c r="Z189" s="143">
        <f>Datos!$F$3</f>
        <v>31</v>
      </c>
      <c r="AA189" s="144">
        <f ca="1">IF((W189-1750000-Datos!$D$3-3%*O189*VLOOKUP(TODAY(),'UF HOY'!$A$2:$B$33,2,0))/Z189&gt;0,(W189-1750000-Datos!$D$3-3%*O189*VLOOKUP(TODAY(),'UF HOY'!$A$2:$B$33,2,0))/Z189,0)</f>
        <v>239042.62763440845</v>
      </c>
      <c r="AB189" s="142">
        <f>IF(L189&gt;0,VLOOKUP(D189,Datos!$C$7:$E$11,3,0),VLOOKUP(D189,Datos!$C$7:$E$11,2,0))</f>
        <v>370000</v>
      </c>
      <c r="AC189" s="144">
        <f ca="1">(S189*PMT(Datos!$H$13,Datos!$H$12,-O189,,)*VLOOKUP(TODAY(),'UF HOY'!$A$2:$B$33,2,0)/12)+VLOOKUP(TODAY(),'UF HOY'!$A$2:$B$33,2,0)</f>
        <v>558019.48544633691</v>
      </c>
      <c r="AD189" s="144">
        <f t="shared" ca="1" si="34"/>
        <v>-188019.48544633691</v>
      </c>
      <c r="AE189" s="47">
        <f t="shared" ca="1" si="35"/>
        <v>2232077.9417853476</v>
      </c>
    </row>
    <row r="190" spans="1:31" s="145" customFormat="1" ht="15.5" x14ac:dyDescent="0.35">
      <c r="A190" s="129" t="s">
        <v>105</v>
      </c>
      <c r="B190" s="130">
        <v>1804</v>
      </c>
      <c r="C190" s="131" t="s">
        <v>151</v>
      </c>
      <c r="D190" s="131" t="s">
        <v>153</v>
      </c>
      <c r="E190" s="131"/>
      <c r="F190" s="131">
        <v>31.86</v>
      </c>
      <c r="G190" s="131">
        <v>3.6</v>
      </c>
      <c r="H190" s="132">
        <f t="shared" si="24"/>
        <v>33.659999999999997</v>
      </c>
      <c r="I190" s="132">
        <f t="shared" si="25"/>
        <v>35.46</v>
      </c>
      <c r="J190" s="69">
        <v>3045</v>
      </c>
      <c r="K190" s="134">
        <v>0</v>
      </c>
      <c r="L190" s="135">
        <v>0</v>
      </c>
      <c r="M190" s="135">
        <v>0</v>
      </c>
      <c r="N190" s="69">
        <f t="shared" si="26"/>
        <v>3045</v>
      </c>
      <c r="O190" s="39">
        <f t="shared" si="27"/>
        <v>3383.333333333333</v>
      </c>
      <c r="P190" s="136">
        <f t="shared" si="28"/>
        <v>90.463458110516939</v>
      </c>
      <c r="Q190" s="137">
        <f t="shared" si="29"/>
        <v>0.1</v>
      </c>
      <c r="R190" s="138">
        <f t="shared" si="30"/>
        <v>338.33333333333331</v>
      </c>
      <c r="S190" s="139">
        <v>0.8</v>
      </c>
      <c r="T190" s="138">
        <f t="shared" si="31"/>
        <v>2706.6666666666665</v>
      </c>
      <c r="U190" s="140">
        <f t="shared" si="32"/>
        <v>9.9999999999999978E-2</v>
      </c>
      <c r="V190" s="138">
        <f t="shared" si="33"/>
        <v>338.3333333333332</v>
      </c>
      <c r="W190" s="142">
        <f ca="1">V190*VLOOKUP(TODAY(),'UF HOY'!$A$2:$B$33,2,0)</f>
        <v>13443316.366666662</v>
      </c>
      <c r="X190" s="143">
        <f>Datos!$E$3</f>
        <v>31</v>
      </c>
      <c r="Y190" s="144">
        <f ca="1">IF((W190-1000000-Datos!$D$3)/X190&gt;0,(W190-1000000-Datos!$D$3)/X190,0)</f>
        <v>393332.78602150519</v>
      </c>
      <c r="Z190" s="143">
        <f>Datos!$F$3</f>
        <v>31</v>
      </c>
      <c r="AA190" s="144">
        <f ca="1">IF((W190-1750000-Datos!$D$3-3%*O190*VLOOKUP(TODAY(),'UF HOY'!$A$2:$B$33,2,0))/Z190&gt;0,(W190-1750000-Datos!$D$3-3%*O190*VLOOKUP(TODAY(),'UF HOY'!$A$2:$B$33,2,0))/Z190,0)</f>
        <v>239042.62763440845</v>
      </c>
      <c r="AB190" s="142">
        <f>IF(L190&gt;0,VLOOKUP(D190,Datos!$C$7:$E$11,3,0),VLOOKUP(D190,Datos!$C$7:$E$11,2,0))</f>
        <v>370000</v>
      </c>
      <c r="AC190" s="144">
        <f ca="1">(S190*PMT(Datos!$H$13,Datos!$H$12,-O190,,)*VLOOKUP(TODAY(),'UF HOY'!$A$2:$B$33,2,0)/12)+VLOOKUP(TODAY(),'UF HOY'!$A$2:$B$33,2,0)</f>
        <v>558019.48544633691</v>
      </c>
      <c r="AD190" s="144">
        <f t="shared" ca="1" si="34"/>
        <v>-188019.48544633691</v>
      </c>
      <c r="AE190" s="47">
        <f t="shared" ca="1" si="35"/>
        <v>2232077.9417853476</v>
      </c>
    </row>
    <row r="191" spans="1:31" s="145" customFormat="1" ht="15.5" x14ac:dyDescent="0.35">
      <c r="A191" s="129" t="s">
        <v>105</v>
      </c>
      <c r="B191" s="130">
        <v>1816</v>
      </c>
      <c r="C191" s="131" t="s">
        <v>151</v>
      </c>
      <c r="D191" s="131" t="s">
        <v>153</v>
      </c>
      <c r="E191" s="131"/>
      <c r="F191" s="131">
        <v>33.369999999999997</v>
      </c>
      <c r="G191" s="131">
        <v>3.17</v>
      </c>
      <c r="H191" s="132">
        <f t="shared" si="24"/>
        <v>34.954999999999998</v>
      </c>
      <c r="I191" s="132">
        <f t="shared" si="25"/>
        <v>36.54</v>
      </c>
      <c r="J191" s="69">
        <v>3045</v>
      </c>
      <c r="K191" s="134">
        <v>0</v>
      </c>
      <c r="L191" s="135">
        <v>0</v>
      </c>
      <c r="M191" s="135">
        <v>0</v>
      </c>
      <c r="N191" s="69">
        <f t="shared" si="26"/>
        <v>3045</v>
      </c>
      <c r="O191" s="39">
        <f t="shared" si="27"/>
        <v>3383.333333333333</v>
      </c>
      <c r="P191" s="136">
        <f t="shared" si="28"/>
        <v>87.112001144328431</v>
      </c>
      <c r="Q191" s="137">
        <f t="shared" si="29"/>
        <v>0.1</v>
      </c>
      <c r="R191" s="138">
        <f t="shared" si="30"/>
        <v>338.33333333333331</v>
      </c>
      <c r="S191" s="139">
        <v>0.8</v>
      </c>
      <c r="T191" s="138">
        <f t="shared" si="31"/>
        <v>2706.6666666666665</v>
      </c>
      <c r="U191" s="140">
        <f t="shared" si="32"/>
        <v>9.9999999999999978E-2</v>
      </c>
      <c r="V191" s="138">
        <f t="shared" si="33"/>
        <v>338.3333333333332</v>
      </c>
      <c r="W191" s="142">
        <f ca="1">V191*VLOOKUP(TODAY(),'UF HOY'!$A$2:$B$33,2,0)</f>
        <v>13443316.366666662</v>
      </c>
      <c r="X191" s="143">
        <f>Datos!$E$3</f>
        <v>31</v>
      </c>
      <c r="Y191" s="144">
        <f ca="1">IF((W191-1000000-Datos!$D$3)/X191&gt;0,(W191-1000000-Datos!$D$3)/X191,0)</f>
        <v>393332.78602150519</v>
      </c>
      <c r="Z191" s="143">
        <f>Datos!$F$3</f>
        <v>31</v>
      </c>
      <c r="AA191" s="144">
        <f ca="1">IF((W191-1750000-Datos!$D$3-3%*O191*VLOOKUP(TODAY(),'UF HOY'!$A$2:$B$33,2,0))/Z191&gt;0,(W191-1750000-Datos!$D$3-3%*O191*VLOOKUP(TODAY(),'UF HOY'!$A$2:$B$33,2,0))/Z191,0)</f>
        <v>239042.62763440845</v>
      </c>
      <c r="AB191" s="142">
        <f>IF(L191&gt;0,VLOOKUP(D191,Datos!$C$7:$E$11,3,0),VLOOKUP(D191,Datos!$C$7:$E$11,2,0))</f>
        <v>370000</v>
      </c>
      <c r="AC191" s="144">
        <f ca="1">(S191*PMT(Datos!$H$13,Datos!$H$12,-O191,,)*VLOOKUP(TODAY(),'UF HOY'!$A$2:$B$33,2,0)/12)+VLOOKUP(TODAY(),'UF HOY'!$A$2:$B$33,2,0)</f>
        <v>558019.48544633691</v>
      </c>
      <c r="AD191" s="144">
        <f t="shared" ca="1" si="34"/>
        <v>-188019.48544633691</v>
      </c>
      <c r="AE191" s="47">
        <f t="shared" ca="1" si="35"/>
        <v>2232077.9417853476</v>
      </c>
    </row>
    <row r="192" spans="1:31" s="145" customFormat="1" ht="15.5" x14ac:dyDescent="0.35">
      <c r="A192" s="129" t="s">
        <v>105</v>
      </c>
      <c r="B192" s="130">
        <v>1817</v>
      </c>
      <c r="C192" s="131" t="s">
        <v>151</v>
      </c>
      <c r="D192" s="131" t="s">
        <v>153</v>
      </c>
      <c r="E192" s="131"/>
      <c r="F192" s="131">
        <v>33.36</v>
      </c>
      <c r="G192" s="131">
        <v>3.1</v>
      </c>
      <c r="H192" s="132">
        <f t="shared" si="24"/>
        <v>34.909999999999997</v>
      </c>
      <c r="I192" s="132">
        <f t="shared" si="25"/>
        <v>36.46</v>
      </c>
      <c r="J192" s="69">
        <v>3045</v>
      </c>
      <c r="K192" s="134">
        <v>0</v>
      </c>
      <c r="L192" s="135">
        <v>0</v>
      </c>
      <c r="M192" s="135">
        <v>0</v>
      </c>
      <c r="N192" s="69">
        <f t="shared" si="26"/>
        <v>3045</v>
      </c>
      <c r="O192" s="39">
        <f t="shared" si="27"/>
        <v>3383.333333333333</v>
      </c>
      <c r="P192" s="136">
        <f t="shared" si="28"/>
        <v>87.224291034087656</v>
      </c>
      <c r="Q192" s="137">
        <f t="shared" si="29"/>
        <v>0.1</v>
      </c>
      <c r="R192" s="138">
        <f t="shared" si="30"/>
        <v>338.33333333333331</v>
      </c>
      <c r="S192" s="139">
        <v>0.8</v>
      </c>
      <c r="T192" s="138">
        <f t="shared" si="31"/>
        <v>2706.6666666666665</v>
      </c>
      <c r="U192" s="140">
        <f t="shared" si="32"/>
        <v>9.9999999999999978E-2</v>
      </c>
      <c r="V192" s="138">
        <f t="shared" si="33"/>
        <v>338.3333333333332</v>
      </c>
      <c r="W192" s="142">
        <f ca="1">V192*VLOOKUP(TODAY(),'UF HOY'!$A$2:$B$33,2,0)</f>
        <v>13443316.366666662</v>
      </c>
      <c r="X192" s="143">
        <f>Datos!$E$3</f>
        <v>31</v>
      </c>
      <c r="Y192" s="144">
        <f ca="1">IF((W192-1000000-Datos!$D$3)/X192&gt;0,(W192-1000000-Datos!$D$3)/X192,0)</f>
        <v>393332.78602150519</v>
      </c>
      <c r="Z192" s="143">
        <f>Datos!$F$3</f>
        <v>31</v>
      </c>
      <c r="AA192" s="144">
        <f ca="1">IF((W192-1750000-Datos!$D$3-3%*O192*VLOOKUP(TODAY(),'UF HOY'!$A$2:$B$33,2,0))/Z192&gt;0,(W192-1750000-Datos!$D$3-3%*O192*VLOOKUP(TODAY(),'UF HOY'!$A$2:$B$33,2,0))/Z192,0)</f>
        <v>239042.62763440845</v>
      </c>
      <c r="AB192" s="142">
        <f>IF(L192&gt;0,VLOOKUP(D192,Datos!$C$7:$E$11,3,0),VLOOKUP(D192,Datos!$C$7:$E$11,2,0))</f>
        <v>370000</v>
      </c>
      <c r="AC192" s="144">
        <f ca="1">(S192*PMT(Datos!$H$13,Datos!$H$12,-O192,,)*VLOOKUP(TODAY(),'UF HOY'!$A$2:$B$33,2,0)/12)+VLOOKUP(TODAY(),'UF HOY'!$A$2:$B$33,2,0)</f>
        <v>558019.48544633691</v>
      </c>
      <c r="AD192" s="144">
        <f t="shared" ca="1" si="34"/>
        <v>-188019.48544633691</v>
      </c>
      <c r="AE192" s="47">
        <f t="shared" ca="1" si="35"/>
        <v>2232077.9417853476</v>
      </c>
    </row>
    <row r="193" spans="1:31" s="145" customFormat="1" ht="15.5" x14ac:dyDescent="0.35">
      <c r="A193" s="129" t="s">
        <v>105</v>
      </c>
      <c r="B193" s="130">
        <v>1808</v>
      </c>
      <c r="C193" s="131" t="s">
        <v>152</v>
      </c>
      <c r="D193" s="131" t="s">
        <v>153</v>
      </c>
      <c r="E193" s="131"/>
      <c r="F193" s="131">
        <v>31.86</v>
      </c>
      <c r="G193" s="131">
        <v>3.6</v>
      </c>
      <c r="H193" s="132">
        <f t="shared" si="24"/>
        <v>33.659999999999997</v>
      </c>
      <c r="I193" s="132">
        <f t="shared" si="25"/>
        <v>35.46</v>
      </c>
      <c r="J193" s="69">
        <v>3053</v>
      </c>
      <c r="K193" s="134">
        <v>0</v>
      </c>
      <c r="L193" s="135">
        <v>0</v>
      </c>
      <c r="M193" s="135">
        <v>0</v>
      </c>
      <c r="N193" s="69">
        <f t="shared" si="26"/>
        <v>3053</v>
      </c>
      <c r="O193" s="39">
        <f t="shared" si="27"/>
        <v>3392.2222222222222</v>
      </c>
      <c r="P193" s="136">
        <f t="shared" si="28"/>
        <v>90.701128936423061</v>
      </c>
      <c r="Q193" s="137">
        <f t="shared" si="29"/>
        <v>0.1</v>
      </c>
      <c r="R193" s="138">
        <f t="shared" si="30"/>
        <v>339.22222222222223</v>
      </c>
      <c r="S193" s="139">
        <v>0.8</v>
      </c>
      <c r="T193" s="138">
        <f t="shared" si="31"/>
        <v>2713.7777777777778</v>
      </c>
      <c r="U193" s="140">
        <f t="shared" si="32"/>
        <v>9.9999999999999978E-2</v>
      </c>
      <c r="V193" s="138">
        <f t="shared" si="33"/>
        <v>339.22222222222211</v>
      </c>
      <c r="W193" s="142">
        <f ca="1">V193*VLOOKUP(TODAY(),'UF HOY'!$A$2:$B$33,2,0)</f>
        <v>13478635.424444441</v>
      </c>
      <c r="X193" s="143">
        <f>Datos!$E$3</f>
        <v>31</v>
      </c>
      <c r="Y193" s="144">
        <f ca="1">IF((W193-1000000-Datos!$D$3)/X193&gt;0,(W193-1000000-Datos!$D$3)/X193,0)</f>
        <v>394472.11046594969</v>
      </c>
      <c r="Z193" s="143">
        <f>Datos!$F$3</f>
        <v>31</v>
      </c>
      <c r="AA193" s="144">
        <f ca="1">IF((W193-1750000-Datos!$D$3-3%*O193*VLOOKUP(TODAY(),'UF HOY'!$A$2:$B$33,2,0))/Z193&gt;0,(W193-1750000-Datos!$D$3-3%*O193*VLOOKUP(TODAY(),'UF HOY'!$A$2:$B$33,2,0))/Z193,0)</f>
        <v>239840.15474551957</v>
      </c>
      <c r="AB193" s="142">
        <f>IF(L193&gt;0,VLOOKUP(D193,Datos!$C$7:$E$11,3,0),VLOOKUP(D193,Datos!$C$7:$E$11,2,0))</f>
        <v>370000</v>
      </c>
      <c r="AC193" s="144">
        <f ca="1">(S193*PMT(Datos!$H$13,Datos!$H$12,-O193,,)*VLOOKUP(TODAY(),'UF HOY'!$A$2:$B$33,2,0)/12)+VLOOKUP(TODAY(),'UF HOY'!$A$2:$B$33,2,0)</f>
        <v>559381.15518806782</v>
      </c>
      <c r="AD193" s="144">
        <f t="shared" ca="1" si="34"/>
        <v>-189381.15518806782</v>
      </c>
      <c r="AE193" s="47">
        <f t="shared" ca="1" si="35"/>
        <v>2237524.6207522713</v>
      </c>
    </row>
    <row r="194" spans="1:31" s="145" customFormat="1" ht="15.5" x14ac:dyDescent="0.35">
      <c r="A194" s="129" t="s">
        <v>105</v>
      </c>
      <c r="B194" s="130">
        <v>1809</v>
      </c>
      <c r="C194" s="131" t="s">
        <v>152</v>
      </c>
      <c r="D194" s="131" t="s">
        <v>153</v>
      </c>
      <c r="E194" s="131"/>
      <c r="F194" s="131">
        <v>31.86</v>
      </c>
      <c r="G194" s="131">
        <v>3.6</v>
      </c>
      <c r="H194" s="132">
        <f t="shared" ref="H194:H257" si="36">F194+G194/2</f>
        <v>33.659999999999997</v>
      </c>
      <c r="I194" s="132">
        <f t="shared" ref="I194:I257" si="37">F194+G194</f>
        <v>35.46</v>
      </c>
      <c r="J194" s="69">
        <v>3053</v>
      </c>
      <c r="K194" s="134">
        <v>0</v>
      </c>
      <c r="L194" s="135">
        <v>0</v>
      </c>
      <c r="M194" s="135">
        <v>0</v>
      </c>
      <c r="N194" s="69">
        <f t="shared" ref="N194:N257" si="38">J194-(J194*K194)+L194+M194</f>
        <v>3053</v>
      </c>
      <c r="O194" s="39">
        <f t="shared" ref="O194:O257" si="39">N194/0.9</f>
        <v>3392.2222222222222</v>
      </c>
      <c r="P194" s="136">
        <f t="shared" ref="P194:P257" si="40">(N194-L194-M194)/H194</f>
        <v>90.701128936423061</v>
      </c>
      <c r="Q194" s="137">
        <f t="shared" ref="Q194:Q257" si="41">R194/O194</f>
        <v>0.1</v>
      </c>
      <c r="R194" s="138">
        <f t="shared" ref="R194:R257" si="42">O194*0.1</f>
        <v>339.22222222222223</v>
      </c>
      <c r="S194" s="139">
        <v>0.8</v>
      </c>
      <c r="T194" s="138">
        <f t="shared" ref="T194:T257" si="43">S194*O194</f>
        <v>2713.7777777777778</v>
      </c>
      <c r="U194" s="140">
        <f t="shared" ref="U194:U257" si="44">100%-Q194-S194</f>
        <v>9.9999999999999978E-2</v>
      </c>
      <c r="V194" s="138">
        <f t="shared" ref="V194:V257" si="45">O194*U194</f>
        <v>339.22222222222211</v>
      </c>
      <c r="W194" s="142">
        <f ca="1">V194*VLOOKUP(TODAY(),'UF HOY'!$A$2:$B$33,2,0)</f>
        <v>13478635.424444441</v>
      </c>
      <c r="X194" s="143">
        <f>Datos!$E$3</f>
        <v>31</v>
      </c>
      <c r="Y194" s="144">
        <f ca="1">IF((W194-1000000-Datos!$D$3)/X194&gt;0,(W194-1000000-Datos!$D$3)/X194,0)</f>
        <v>394472.11046594969</v>
      </c>
      <c r="Z194" s="143">
        <f>Datos!$F$3</f>
        <v>31</v>
      </c>
      <c r="AA194" s="144">
        <f ca="1">IF((W194-1750000-Datos!$D$3-3%*O194*VLOOKUP(TODAY(),'UF HOY'!$A$2:$B$33,2,0))/Z194&gt;0,(W194-1750000-Datos!$D$3-3%*O194*VLOOKUP(TODAY(),'UF HOY'!$A$2:$B$33,2,0))/Z194,0)</f>
        <v>239840.15474551957</v>
      </c>
      <c r="AB194" s="142">
        <f>IF(L194&gt;0,VLOOKUP(D194,Datos!$C$7:$E$11,3,0),VLOOKUP(D194,Datos!$C$7:$E$11,2,0))</f>
        <v>370000</v>
      </c>
      <c r="AC194" s="144">
        <f ca="1">(S194*PMT(Datos!$H$13,Datos!$H$12,-O194,,)*VLOOKUP(TODAY(),'UF HOY'!$A$2:$B$33,2,0)/12)+VLOOKUP(TODAY(),'UF HOY'!$A$2:$B$33,2,0)</f>
        <v>559381.15518806782</v>
      </c>
      <c r="AD194" s="144">
        <f t="shared" ref="AD194:AD257" ca="1" si="46">AB194-AC194</f>
        <v>-189381.15518806782</v>
      </c>
      <c r="AE194" s="47">
        <f t="shared" ref="AE194:AE257" ca="1" si="47">IF((AC194/0.25)&lt;=1600000,1600000,(AC194/0.25))</f>
        <v>2237524.6207522713</v>
      </c>
    </row>
    <row r="195" spans="1:31" s="145" customFormat="1" ht="15.5" x14ac:dyDescent="0.35">
      <c r="A195" s="129" t="s">
        <v>105</v>
      </c>
      <c r="B195" s="130">
        <v>1810</v>
      </c>
      <c r="C195" s="131" t="s">
        <v>152</v>
      </c>
      <c r="D195" s="131" t="s">
        <v>153</v>
      </c>
      <c r="E195" s="131"/>
      <c r="F195" s="131">
        <v>31.86</v>
      </c>
      <c r="G195" s="131">
        <v>3.6</v>
      </c>
      <c r="H195" s="132">
        <f t="shared" si="36"/>
        <v>33.659999999999997</v>
      </c>
      <c r="I195" s="132">
        <f t="shared" si="37"/>
        <v>35.46</v>
      </c>
      <c r="J195" s="69">
        <v>3053</v>
      </c>
      <c r="K195" s="134">
        <v>0</v>
      </c>
      <c r="L195" s="135">
        <v>0</v>
      </c>
      <c r="M195" s="135">
        <v>0</v>
      </c>
      <c r="N195" s="69">
        <f t="shared" si="38"/>
        <v>3053</v>
      </c>
      <c r="O195" s="39">
        <f t="shared" si="39"/>
        <v>3392.2222222222222</v>
      </c>
      <c r="P195" s="136">
        <f t="shared" si="40"/>
        <v>90.701128936423061</v>
      </c>
      <c r="Q195" s="137">
        <f t="shared" si="41"/>
        <v>0.1</v>
      </c>
      <c r="R195" s="138">
        <f t="shared" si="42"/>
        <v>339.22222222222223</v>
      </c>
      <c r="S195" s="139">
        <v>0.8</v>
      </c>
      <c r="T195" s="138">
        <f t="shared" si="43"/>
        <v>2713.7777777777778</v>
      </c>
      <c r="U195" s="140">
        <f t="shared" si="44"/>
        <v>9.9999999999999978E-2</v>
      </c>
      <c r="V195" s="138">
        <f t="shared" si="45"/>
        <v>339.22222222222211</v>
      </c>
      <c r="W195" s="142">
        <f ca="1">V195*VLOOKUP(TODAY(),'UF HOY'!$A$2:$B$33,2,0)</f>
        <v>13478635.424444441</v>
      </c>
      <c r="X195" s="143">
        <f>Datos!$E$3</f>
        <v>31</v>
      </c>
      <c r="Y195" s="144">
        <f ca="1">IF((W195-1000000-Datos!$D$3)/X195&gt;0,(W195-1000000-Datos!$D$3)/X195,0)</f>
        <v>394472.11046594969</v>
      </c>
      <c r="Z195" s="143">
        <f>Datos!$F$3</f>
        <v>31</v>
      </c>
      <c r="AA195" s="144">
        <f ca="1">IF((W195-1750000-Datos!$D$3-3%*O195*VLOOKUP(TODAY(),'UF HOY'!$A$2:$B$33,2,0))/Z195&gt;0,(W195-1750000-Datos!$D$3-3%*O195*VLOOKUP(TODAY(),'UF HOY'!$A$2:$B$33,2,0))/Z195,0)</f>
        <v>239840.15474551957</v>
      </c>
      <c r="AB195" s="142">
        <f>IF(L195&gt;0,VLOOKUP(D195,Datos!$C$7:$E$11,3,0),VLOOKUP(D195,Datos!$C$7:$E$11,2,0))</f>
        <v>370000</v>
      </c>
      <c r="AC195" s="144">
        <f ca="1">(S195*PMT(Datos!$H$13,Datos!$H$12,-O195,,)*VLOOKUP(TODAY(),'UF HOY'!$A$2:$B$33,2,0)/12)+VLOOKUP(TODAY(),'UF HOY'!$A$2:$B$33,2,0)</f>
        <v>559381.15518806782</v>
      </c>
      <c r="AD195" s="144">
        <f t="shared" ca="1" si="46"/>
        <v>-189381.15518806782</v>
      </c>
      <c r="AE195" s="47">
        <f t="shared" ca="1" si="47"/>
        <v>2237524.6207522713</v>
      </c>
    </row>
    <row r="196" spans="1:31" s="145" customFormat="1" ht="15.5" x14ac:dyDescent="0.35">
      <c r="A196" s="129" t="s">
        <v>105</v>
      </c>
      <c r="B196" s="130">
        <v>1812</v>
      </c>
      <c r="C196" s="131" t="s">
        <v>152</v>
      </c>
      <c r="D196" s="131" t="s">
        <v>153</v>
      </c>
      <c r="E196" s="131"/>
      <c r="F196" s="131">
        <v>31.86</v>
      </c>
      <c r="G196" s="131">
        <v>3.6</v>
      </c>
      <c r="H196" s="132">
        <f t="shared" si="36"/>
        <v>33.659999999999997</v>
      </c>
      <c r="I196" s="132">
        <f t="shared" si="37"/>
        <v>35.46</v>
      </c>
      <c r="J196" s="69">
        <v>3053</v>
      </c>
      <c r="K196" s="134">
        <v>0</v>
      </c>
      <c r="L196" s="135">
        <v>0</v>
      </c>
      <c r="M196" s="135">
        <v>0</v>
      </c>
      <c r="N196" s="69">
        <f t="shared" si="38"/>
        <v>3053</v>
      </c>
      <c r="O196" s="39">
        <f t="shared" si="39"/>
        <v>3392.2222222222222</v>
      </c>
      <c r="P196" s="136">
        <f t="shared" si="40"/>
        <v>90.701128936423061</v>
      </c>
      <c r="Q196" s="137">
        <f t="shared" si="41"/>
        <v>0.1</v>
      </c>
      <c r="R196" s="138">
        <f t="shared" si="42"/>
        <v>339.22222222222223</v>
      </c>
      <c r="S196" s="139">
        <v>0.8</v>
      </c>
      <c r="T196" s="138">
        <f t="shared" si="43"/>
        <v>2713.7777777777778</v>
      </c>
      <c r="U196" s="140">
        <f t="shared" si="44"/>
        <v>9.9999999999999978E-2</v>
      </c>
      <c r="V196" s="138">
        <f t="shared" si="45"/>
        <v>339.22222222222211</v>
      </c>
      <c r="W196" s="142">
        <f ca="1">V196*VLOOKUP(TODAY(),'UF HOY'!$A$2:$B$33,2,0)</f>
        <v>13478635.424444441</v>
      </c>
      <c r="X196" s="143">
        <f>Datos!$E$3</f>
        <v>31</v>
      </c>
      <c r="Y196" s="144">
        <f ca="1">IF((W196-1000000-Datos!$D$3)/X196&gt;0,(W196-1000000-Datos!$D$3)/X196,0)</f>
        <v>394472.11046594969</v>
      </c>
      <c r="Z196" s="143">
        <f>Datos!$F$3</f>
        <v>31</v>
      </c>
      <c r="AA196" s="144">
        <f ca="1">IF((W196-1750000-Datos!$D$3-3%*O196*VLOOKUP(TODAY(),'UF HOY'!$A$2:$B$33,2,0))/Z196&gt;0,(W196-1750000-Datos!$D$3-3%*O196*VLOOKUP(TODAY(),'UF HOY'!$A$2:$B$33,2,0))/Z196,0)</f>
        <v>239840.15474551957</v>
      </c>
      <c r="AB196" s="142">
        <f>IF(L196&gt;0,VLOOKUP(D196,Datos!$C$7:$E$11,3,0),VLOOKUP(D196,Datos!$C$7:$E$11,2,0))</f>
        <v>370000</v>
      </c>
      <c r="AC196" s="144">
        <f ca="1">(S196*PMT(Datos!$H$13,Datos!$H$12,-O196,,)*VLOOKUP(TODAY(),'UF HOY'!$A$2:$B$33,2,0)/12)+VLOOKUP(TODAY(),'UF HOY'!$A$2:$B$33,2,0)</f>
        <v>559381.15518806782</v>
      </c>
      <c r="AD196" s="144">
        <f t="shared" ca="1" si="46"/>
        <v>-189381.15518806782</v>
      </c>
      <c r="AE196" s="47">
        <f t="shared" ca="1" si="47"/>
        <v>2237524.6207522713</v>
      </c>
    </row>
    <row r="197" spans="1:31" s="145" customFormat="1" ht="15.5" x14ac:dyDescent="0.35">
      <c r="A197" s="129" t="s">
        <v>105</v>
      </c>
      <c r="B197" s="130">
        <v>1813</v>
      </c>
      <c r="C197" s="131" t="s">
        <v>152</v>
      </c>
      <c r="D197" s="131" t="s">
        <v>153</v>
      </c>
      <c r="E197" s="131"/>
      <c r="F197" s="131">
        <v>31.86</v>
      </c>
      <c r="G197" s="131">
        <v>3.6</v>
      </c>
      <c r="H197" s="132">
        <f t="shared" si="36"/>
        <v>33.659999999999997</v>
      </c>
      <c r="I197" s="132">
        <f t="shared" si="37"/>
        <v>35.46</v>
      </c>
      <c r="J197" s="69">
        <v>3053</v>
      </c>
      <c r="K197" s="134">
        <v>0</v>
      </c>
      <c r="L197" s="135">
        <v>0</v>
      </c>
      <c r="M197" s="135">
        <v>0</v>
      </c>
      <c r="N197" s="69">
        <f t="shared" si="38"/>
        <v>3053</v>
      </c>
      <c r="O197" s="39">
        <f t="shared" si="39"/>
        <v>3392.2222222222222</v>
      </c>
      <c r="P197" s="136">
        <f t="shared" si="40"/>
        <v>90.701128936423061</v>
      </c>
      <c r="Q197" s="137">
        <f t="shared" si="41"/>
        <v>0.1</v>
      </c>
      <c r="R197" s="138">
        <f t="shared" si="42"/>
        <v>339.22222222222223</v>
      </c>
      <c r="S197" s="139">
        <v>0.8</v>
      </c>
      <c r="T197" s="138">
        <f t="shared" si="43"/>
        <v>2713.7777777777778</v>
      </c>
      <c r="U197" s="140">
        <f t="shared" si="44"/>
        <v>9.9999999999999978E-2</v>
      </c>
      <c r="V197" s="138">
        <f t="shared" si="45"/>
        <v>339.22222222222211</v>
      </c>
      <c r="W197" s="142">
        <f ca="1">V197*VLOOKUP(TODAY(),'UF HOY'!$A$2:$B$33,2,0)</f>
        <v>13478635.424444441</v>
      </c>
      <c r="X197" s="143">
        <f>Datos!$E$3</f>
        <v>31</v>
      </c>
      <c r="Y197" s="144">
        <f ca="1">IF((W197-1000000-Datos!$D$3)/X197&gt;0,(W197-1000000-Datos!$D$3)/X197,0)</f>
        <v>394472.11046594969</v>
      </c>
      <c r="Z197" s="143">
        <f>Datos!$F$3</f>
        <v>31</v>
      </c>
      <c r="AA197" s="144">
        <f ca="1">IF((W197-1750000-Datos!$D$3-3%*O197*VLOOKUP(TODAY(),'UF HOY'!$A$2:$B$33,2,0))/Z197&gt;0,(W197-1750000-Datos!$D$3-3%*O197*VLOOKUP(TODAY(),'UF HOY'!$A$2:$B$33,2,0))/Z197,0)</f>
        <v>239840.15474551957</v>
      </c>
      <c r="AB197" s="142">
        <f>IF(L197&gt;0,VLOOKUP(D197,Datos!$C$7:$E$11,3,0),VLOOKUP(D197,Datos!$C$7:$E$11,2,0))</f>
        <v>370000</v>
      </c>
      <c r="AC197" s="144">
        <f ca="1">(S197*PMT(Datos!$H$13,Datos!$H$12,-O197,,)*VLOOKUP(TODAY(),'UF HOY'!$A$2:$B$33,2,0)/12)+VLOOKUP(TODAY(),'UF HOY'!$A$2:$B$33,2,0)</f>
        <v>559381.15518806782</v>
      </c>
      <c r="AD197" s="144">
        <f t="shared" ca="1" si="46"/>
        <v>-189381.15518806782</v>
      </c>
      <c r="AE197" s="47">
        <f t="shared" ca="1" si="47"/>
        <v>2237524.6207522713</v>
      </c>
    </row>
    <row r="198" spans="1:31" s="145" customFormat="1" ht="15.5" x14ac:dyDescent="0.35">
      <c r="A198" s="129" t="s">
        <v>105</v>
      </c>
      <c r="B198" s="130">
        <v>1807</v>
      </c>
      <c r="C198" s="131" t="s">
        <v>152</v>
      </c>
      <c r="D198" s="131" t="s">
        <v>153</v>
      </c>
      <c r="E198" s="131"/>
      <c r="F198" s="131">
        <v>31.86</v>
      </c>
      <c r="G198" s="131">
        <v>3.6</v>
      </c>
      <c r="H198" s="132">
        <f t="shared" si="36"/>
        <v>33.659999999999997</v>
      </c>
      <c r="I198" s="132">
        <f t="shared" si="37"/>
        <v>35.46</v>
      </c>
      <c r="J198" s="69">
        <v>3054</v>
      </c>
      <c r="K198" s="134">
        <v>0</v>
      </c>
      <c r="L198" s="135">
        <v>0</v>
      </c>
      <c r="M198" s="135">
        <v>0</v>
      </c>
      <c r="N198" s="69">
        <f t="shared" si="38"/>
        <v>3054</v>
      </c>
      <c r="O198" s="39">
        <f t="shared" si="39"/>
        <v>3393.333333333333</v>
      </c>
      <c r="P198" s="136">
        <f t="shared" si="40"/>
        <v>90.730837789661322</v>
      </c>
      <c r="Q198" s="137">
        <f t="shared" si="41"/>
        <v>0.1</v>
      </c>
      <c r="R198" s="138">
        <f t="shared" si="42"/>
        <v>339.33333333333331</v>
      </c>
      <c r="S198" s="139">
        <v>0.8</v>
      </c>
      <c r="T198" s="138">
        <f t="shared" si="43"/>
        <v>2714.6666666666665</v>
      </c>
      <c r="U198" s="140">
        <f t="shared" si="44"/>
        <v>9.9999999999999978E-2</v>
      </c>
      <c r="V198" s="138">
        <f t="shared" si="45"/>
        <v>339.3333333333332</v>
      </c>
      <c r="W198" s="142">
        <f ca="1">V198*VLOOKUP(TODAY(),'UF HOY'!$A$2:$B$33,2,0)</f>
        <v>13483050.306666663</v>
      </c>
      <c r="X198" s="143">
        <f>Datos!$E$3</f>
        <v>31</v>
      </c>
      <c r="Y198" s="144">
        <f ca="1">IF((W198-1000000-Datos!$D$3)/X198&gt;0,(W198-1000000-Datos!$D$3)/X198,0)</f>
        <v>394614.52602150524</v>
      </c>
      <c r="Z198" s="143">
        <f>Datos!$F$3</f>
        <v>31</v>
      </c>
      <c r="AA198" s="144">
        <f ca="1">IF((W198-1750000-Datos!$D$3-3%*O198*VLOOKUP(TODAY(),'UF HOY'!$A$2:$B$33,2,0))/Z198&gt;0,(W198-1750000-Datos!$D$3-3%*O198*VLOOKUP(TODAY(),'UF HOY'!$A$2:$B$33,2,0))/Z198,0)</f>
        <v>239939.84563440847</v>
      </c>
      <c r="AB198" s="142">
        <f>IF(L198&gt;0,VLOOKUP(D198,Datos!$C$7:$E$11,3,0),VLOOKUP(D198,Datos!$C$7:$E$11,2,0))</f>
        <v>370000</v>
      </c>
      <c r="AC198" s="144">
        <f ca="1">(S198*PMT(Datos!$H$13,Datos!$H$12,-O198,,)*VLOOKUP(TODAY(),'UF HOY'!$A$2:$B$33,2,0)/12)+VLOOKUP(TODAY(),'UF HOY'!$A$2:$B$33,2,0)</f>
        <v>559551.36390578421</v>
      </c>
      <c r="AD198" s="144">
        <f t="shared" ca="1" si="46"/>
        <v>-189551.36390578421</v>
      </c>
      <c r="AE198" s="47">
        <f t="shared" ca="1" si="47"/>
        <v>2238205.4556231368</v>
      </c>
    </row>
    <row r="199" spans="1:31" s="145" customFormat="1" ht="15.5" x14ac:dyDescent="0.35">
      <c r="A199" s="129" t="s">
        <v>105</v>
      </c>
      <c r="B199" s="130">
        <v>1901</v>
      </c>
      <c r="C199" s="131" t="s">
        <v>151</v>
      </c>
      <c r="D199" s="131" t="s">
        <v>153</v>
      </c>
      <c r="E199" s="131"/>
      <c r="F199" s="131">
        <v>31.86</v>
      </c>
      <c r="G199" s="131">
        <v>3.6</v>
      </c>
      <c r="H199" s="132">
        <f t="shared" si="36"/>
        <v>33.659999999999997</v>
      </c>
      <c r="I199" s="132">
        <f t="shared" si="37"/>
        <v>35.46</v>
      </c>
      <c r="J199" s="69">
        <v>3223</v>
      </c>
      <c r="K199" s="134">
        <v>0</v>
      </c>
      <c r="L199" s="135">
        <v>0</v>
      </c>
      <c r="M199" s="135">
        <v>0</v>
      </c>
      <c r="N199" s="69">
        <f t="shared" si="38"/>
        <v>3223</v>
      </c>
      <c r="O199" s="39">
        <f t="shared" si="39"/>
        <v>3581.1111111111109</v>
      </c>
      <c r="P199" s="136">
        <f t="shared" si="40"/>
        <v>95.751633986928113</v>
      </c>
      <c r="Q199" s="137">
        <f t="shared" si="41"/>
        <v>0.1</v>
      </c>
      <c r="R199" s="138">
        <f t="shared" si="42"/>
        <v>358.11111111111109</v>
      </c>
      <c r="S199" s="139">
        <v>0.8</v>
      </c>
      <c r="T199" s="138">
        <f t="shared" si="43"/>
        <v>2864.8888888888887</v>
      </c>
      <c r="U199" s="140">
        <f t="shared" si="44"/>
        <v>9.9999999999999978E-2</v>
      </c>
      <c r="V199" s="138">
        <f t="shared" si="45"/>
        <v>358.11111111111103</v>
      </c>
      <c r="W199" s="142">
        <f ca="1">V199*VLOOKUP(TODAY(),'UF HOY'!$A$2:$B$33,2,0)</f>
        <v>14229165.40222222</v>
      </c>
      <c r="X199" s="143">
        <f>Datos!$E$3</f>
        <v>31</v>
      </c>
      <c r="Y199" s="144">
        <f ca="1">IF((W199-1000000-Datos!$D$3)/X199&gt;0,(W199-1000000-Datos!$D$3)/X199,0)</f>
        <v>418682.7549103942</v>
      </c>
      <c r="Z199" s="143">
        <f>Datos!$F$3</f>
        <v>31</v>
      </c>
      <c r="AA199" s="144">
        <f ca="1">IF((W199-1750000-Datos!$D$3-3%*O199*VLOOKUP(TODAY(),'UF HOY'!$A$2:$B$33,2,0))/Z199&gt;0,(W199-1750000-Datos!$D$3-3%*O199*VLOOKUP(TODAY(),'UF HOY'!$A$2:$B$33,2,0))/Z199,0)</f>
        <v>256787.60585663075</v>
      </c>
      <c r="AB199" s="142">
        <f>IF(L199&gt;0,VLOOKUP(D199,Datos!$C$7:$E$11,3,0),VLOOKUP(D199,Datos!$C$7:$E$11,2,0))</f>
        <v>370000</v>
      </c>
      <c r="AC199" s="144">
        <f ca="1">(S199*PMT(Datos!$H$13,Datos!$H$12,-O199,,)*VLOOKUP(TODAY(),'UF HOY'!$A$2:$B$33,2,0)/12)+VLOOKUP(TODAY(),'UF HOY'!$A$2:$B$33,2,0)</f>
        <v>588316.63719985005</v>
      </c>
      <c r="AD199" s="144">
        <f t="shared" ca="1" si="46"/>
        <v>-218316.63719985005</v>
      </c>
      <c r="AE199" s="47">
        <f t="shared" ca="1" si="47"/>
        <v>2353266.5487994002</v>
      </c>
    </row>
    <row r="200" spans="1:31" s="145" customFormat="1" ht="15.5" x14ac:dyDescent="0.35">
      <c r="A200" s="129" t="s">
        <v>105</v>
      </c>
      <c r="B200" s="130">
        <v>1902</v>
      </c>
      <c r="C200" s="131" t="s">
        <v>151</v>
      </c>
      <c r="D200" s="131" t="s">
        <v>153</v>
      </c>
      <c r="E200" s="131"/>
      <c r="F200" s="131">
        <v>33.369999999999997</v>
      </c>
      <c r="G200" s="131">
        <v>3.17</v>
      </c>
      <c r="H200" s="132">
        <f t="shared" si="36"/>
        <v>34.954999999999998</v>
      </c>
      <c r="I200" s="132">
        <f t="shared" si="37"/>
        <v>36.54</v>
      </c>
      <c r="J200" s="69">
        <v>3223</v>
      </c>
      <c r="K200" s="134">
        <v>0</v>
      </c>
      <c r="L200" s="135">
        <v>0</v>
      </c>
      <c r="M200" s="135">
        <v>0</v>
      </c>
      <c r="N200" s="69">
        <f t="shared" si="38"/>
        <v>3223</v>
      </c>
      <c r="O200" s="39">
        <f t="shared" si="39"/>
        <v>3581.1111111111109</v>
      </c>
      <c r="P200" s="136">
        <f t="shared" si="40"/>
        <v>92.204262623372912</v>
      </c>
      <c r="Q200" s="137">
        <f t="shared" si="41"/>
        <v>0.1</v>
      </c>
      <c r="R200" s="138">
        <f t="shared" si="42"/>
        <v>358.11111111111109</v>
      </c>
      <c r="S200" s="139">
        <v>0.8</v>
      </c>
      <c r="T200" s="138">
        <f t="shared" si="43"/>
        <v>2864.8888888888887</v>
      </c>
      <c r="U200" s="140">
        <f t="shared" si="44"/>
        <v>9.9999999999999978E-2</v>
      </c>
      <c r="V200" s="138">
        <f t="shared" si="45"/>
        <v>358.11111111111103</v>
      </c>
      <c r="W200" s="142">
        <f ca="1">V200*VLOOKUP(TODAY(),'UF HOY'!$A$2:$B$33,2,0)</f>
        <v>14229165.40222222</v>
      </c>
      <c r="X200" s="143">
        <f>Datos!$E$3</f>
        <v>31</v>
      </c>
      <c r="Y200" s="144">
        <f ca="1">IF((W200-1000000-Datos!$D$3)/X200&gt;0,(W200-1000000-Datos!$D$3)/X200,0)</f>
        <v>418682.7549103942</v>
      </c>
      <c r="Z200" s="143">
        <f>Datos!$F$3</f>
        <v>31</v>
      </c>
      <c r="AA200" s="144">
        <f ca="1">IF((W200-1750000-Datos!$D$3-3%*O200*VLOOKUP(TODAY(),'UF HOY'!$A$2:$B$33,2,0))/Z200&gt;0,(W200-1750000-Datos!$D$3-3%*O200*VLOOKUP(TODAY(),'UF HOY'!$A$2:$B$33,2,0))/Z200,0)</f>
        <v>256787.60585663075</v>
      </c>
      <c r="AB200" s="142">
        <f>IF(L200&gt;0,VLOOKUP(D200,Datos!$C$7:$E$11,3,0),VLOOKUP(D200,Datos!$C$7:$E$11,2,0))</f>
        <v>370000</v>
      </c>
      <c r="AC200" s="144">
        <f ca="1">(S200*PMT(Datos!$H$13,Datos!$H$12,-O200,,)*VLOOKUP(TODAY(),'UF HOY'!$A$2:$B$33,2,0)/12)+VLOOKUP(TODAY(),'UF HOY'!$A$2:$B$33,2,0)</f>
        <v>588316.63719985005</v>
      </c>
      <c r="AD200" s="144">
        <f t="shared" ca="1" si="46"/>
        <v>-218316.63719985005</v>
      </c>
      <c r="AE200" s="47">
        <f t="shared" ca="1" si="47"/>
        <v>2353266.5487994002</v>
      </c>
    </row>
    <row r="201" spans="1:31" s="145" customFormat="1" ht="15.5" x14ac:dyDescent="0.35">
      <c r="A201" s="129" t="s">
        <v>105</v>
      </c>
      <c r="B201" s="130">
        <v>1903</v>
      </c>
      <c r="C201" s="131" t="s">
        <v>151</v>
      </c>
      <c r="D201" s="131" t="s">
        <v>153</v>
      </c>
      <c r="E201" s="131"/>
      <c r="F201" s="131">
        <v>33.369999999999997</v>
      </c>
      <c r="G201" s="131">
        <v>3.17</v>
      </c>
      <c r="H201" s="132">
        <f t="shared" si="36"/>
        <v>34.954999999999998</v>
      </c>
      <c r="I201" s="132">
        <f t="shared" si="37"/>
        <v>36.54</v>
      </c>
      <c r="J201" s="69">
        <v>3223</v>
      </c>
      <c r="K201" s="134">
        <v>0</v>
      </c>
      <c r="L201" s="135">
        <v>0</v>
      </c>
      <c r="M201" s="135">
        <v>0</v>
      </c>
      <c r="N201" s="69">
        <f t="shared" si="38"/>
        <v>3223</v>
      </c>
      <c r="O201" s="39">
        <f t="shared" si="39"/>
        <v>3581.1111111111109</v>
      </c>
      <c r="P201" s="136">
        <f t="shared" si="40"/>
        <v>92.204262623372912</v>
      </c>
      <c r="Q201" s="137">
        <f t="shared" si="41"/>
        <v>0.1</v>
      </c>
      <c r="R201" s="138">
        <f t="shared" si="42"/>
        <v>358.11111111111109</v>
      </c>
      <c r="S201" s="139">
        <v>0.8</v>
      </c>
      <c r="T201" s="138">
        <f t="shared" si="43"/>
        <v>2864.8888888888887</v>
      </c>
      <c r="U201" s="140">
        <f t="shared" si="44"/>
        <v>9.9999999999999978E-2</v>
      </c>
      <c r="V201" s="138">
        <f t="shared" si="45"/>
        <v>358.11111111111103</v>
      </c>
      <c r="W201" s="142">
        <f ca="1">V201*VLOOKUP(TODAY(),'UF HOY'!$A$2:$B$33,2,0)</f>
        <v>14229165.40222222</v>
      </c>
      <c r="X201" s="143">
        <f>Datos!$E$3</f>
        <v>31</v>
      </c>
      <c r="Y201" s="144">
        <f ca="1">IF((W201-1000000-Datos!$D$3)/X201&gt;0,(W201-1000000-Datos!$D$3)/X201,0)</f>
        <v>418682.7549103942</v>
      </c>
      <c r="Z201" s="143">
        <f>Datos!$F$3</f>
        <v>31</v>
      </c>
      <c r="AA201" s="144">
        <f ca="1">IF((W201-1750000-Datos!$D$3-3%*O201*VLOOKUP(TODAY(),'UF HOY'!$A$2:$B$33,2,0))/Z201&gt;0,(W201-1750000-Datos!$D$3-3%*O201*VLOOKUP(TODAY(),'UF HOY'!$A$2:$B$33,2,0))/Z201,0)</f>
        <v>256787.60585663075</v>
      </c>
      <c r="AB201" s="142">
        <f>IF(L201&gt;0,VLOOKUP(D201,Datos!$C$7:$E$11,3,0),VLOOKUP(D201,Datos!$C$7:$E$11,2,0))</f>
        <v>370000</v>
      </c>
      <c r="AC201" s="144">
        <f ca="1">(S201*PMT(Datos!$H$13,Datos!$H$12,-O201,,)*VLOOKUP(TODAY(),'UF HOY'!$A$2:$B$33,2,0)/12)+VLOOKUP(TODAY(),'UF HOY'!$A$2:$B$33,2,0)</f>
        <v>588316.63719985005</v>
      </c>
      <c r="AD201" s="144">
        <f t="shared" ca="1" si="46"/>
        <v>-218316.63719985005</v>
      </c>
      <c r="AE201" s="47">
        <f t="shared" ca="1" si="47"/>
        <v>2353266.5487994002</v>
      </c>
    </row>
    <row r="202" spans="1:31" s="145" customFormat="1" ht="15.5" x14ac:dyDescent="0.35">
      <c r="A202" s="129" t="s">
        <v>105</v>
      </c>
      <c r="B202" s="129">
        <v>1904</v>
      </c>
      <c r="C202" s="131" t="s">
        <v>151</v>
      </c>
      <c r="D202" s="131" t="s">
        <v>153</v>
      </c>
      <c r="E202" s="131"/>
      <c r="F202" s="131">
        <v>31.86</v>
      </c>
      <c r="G202" s="131">
        <v>3.6</v>
      </c>
      <c r="H202" s="132">
        <f t="shared" si="36"/>
        <v>33.659999999999997</v>
      </c>
      <c r="I202" s="132">
        <f t="shared" si="37"/>
        <v>35.46</v>
      </c>
      <c r="J202" s="69">
        <v>3223</v>
      </c>
      <c r="K202" s="134">
        <v>0</v>
      </c>
      <c r="L202" s="135">
        <v>0</v>
      </c>
      <c r="M202" s="135">
        <v>0</v>
      </c>
      <c r="N202" s="69">
        <f t="shared" si="38"/>
        <v>3223</v>
      </c>
      <c r="O202" s="39">
        <f t="shared" si="39"/>
        <v>3581.1111111111109</v>
      </c>
      <c r="P202" s="136">
        <f t="shared" si="40"/>
        <v>95.751633986928113</v>
      </c>
      <c r="Q202" s="137">
        <f t="shared" si="41"/>
        <v>0.1</v>
      </c>
      <c r="R202" s="138">
        <f t="shared" si="42"/>
        <v>358.11111111111109</v>
      </c>
      <c r="S202" s="139">
        <v>0.8</v>
      </c>
      <c r="T202" s="138">
        <f t="shared" si="43"/>
        <v>2864.8888888888887</v>
      </c>
      <c r="U202" s="140">
        <f t="shared" si="44"/>
        <v>9.9999999999999978E-2</v>
      </c>
      <c r="V202" s="138">
        <f t="shared" si="45"/>
        <v>358.11111111111103</v>
      </c>
      <c r="W202" s="142">
        <f ca="1">V202*VLOOKUP(TODAY(),'UF HOY'!$A$2:$B$33,2,0)</f>
        <v>14229165.40222222</v>
      </c>
      <c r="X202" s="143">
        <f>Datos!$E$3</f>
        <v>31</v>
      </c>
      <c r="Y202" s="144">
        <f ca="1">IF((W202-1000000-Datos!$D$3)/X202&gt;0,(W202-1000000-Datos!$D$3)/X202,0)</f>
        <v>418682.7549103942</v>
      </c>
      <c r="Z202" s="143">
        <f>Datos!$F$3</f>
        <v>31</v>
      </c>
      <c r="AA202" s="144">
        <f ca="1">IF((W202-1750000-Datos!$D$3-3%*O202*VLOOKUP(TODAY(),'UF HOY'!$A$2:$B$33,2,0))/Z202&gt;0,(W202-1750000-Datos!$D$3-3%*O202*VLOOKUP(TODAY(),'UF HOY'!$A$2:$B$33,2,0))/Z202,0)</f>
        <v>256787.60585663075</v>
      </c>
      <c r="AB202" s="142">
        <f>IF(L202&gt;0,VLOOKUP(D202,Datos!$C$7:$E$11,3,0),VLOOKUP(D202,Datos!$C$7:$E$11,2,0))</f>
        <v>370000</v>
      </c>
      <c r="AC202" s="144">
        <f ca="1">(S202*PMT(Datos!$H$13,Datos!$H$12,-O202,,)*VLOOKUP(TODAY(),'UF HOY'!$A$2:$B$33,2,0)/12)+VLOOKUP(TODAY(),'UF HOY'!$A$2:$B$33,2,0)</f>
        <v>588316.63719985005</v>
      </c>
      <c r="AD202" s="144">
        <f t="shared" ca="1" si="46"/>
        <v>-218316.63719985005</v>
      </c>
      <c r="AE202" s="47">
        <f t="shared" ca="1" si="47"/>
        <v>2353266.5487994002</v>
      </c>
    </row>
    <row r="203" spans="1:31" s="145" customFormat="1" ht="15.5" x14ac:dyDescent="0.35">
      <c r="A203" s="129" t="s">
        <v>105</v>
      </c>
      <c r="B203" s="130">
        <v>1907</v>
      </c>
      <c r="C203" s="131" t="s">
        <v>152</v>
      </c>
      <c r="D203" s="131" t="s">
        <v>153</v>
      </c>
      <c r="E203" s="131"/>
      <c r="F203" s="131">
        <v>31.86</v>
      </c>
      <c r="G203" s="131">
        <v>3.6</v>
      </c>
      <c r="H203" s="132">
        <f t="shared" si="36"/>
        <v>33.659999999999997</v>
      </c>
      <c r="I203" s="132">
        <f t="shared" si="37"/>
        <v>35.46</v>
      </c>
      <c r="J203" s="69">
        <v>3330</v>
      </c>
      <c r="K203" s="134">
        <v>0</v>
      </c>
      <c r="L203" s="135">
        <v>0</v>
      </c>
      <c r="M203" s="135">
        <v>0</v>
      </c>
      <c r="N203" s="69">
        <f t="shared" si="38"/>
        <v>3330</v>
      </c>
      <c r="O203" s="39">
        <f t="shared" si="39"/>
        <v>3700</v>
      </c>
      <c r="P203" s="136">
        <f t="shared" si="40"/>
        <v>98.930481283422466</v>
      </c>
      <c r="Q203" s="137">
        <f t="shared" si="41"/>
        <v>0.1</v>
      </c>
      <c r="R203" s="138">
        <f t="shared" si="42"/>
        <v>370</v>
      </c>
      <c r="S203" s="139">
        <v>0.8</v>
      </c>
      <c r="T203" s="138">
        <f t="shared" si="43"/>
        <v>2960</v>
      </c>
      <c r="U203" s="140">
        <f t="shared" si="44"/>
        <v>9.9999999999999978E-2</v>
      </c>
      <c r="V203" s="138">
        <f t="shared" si="45"/>
        <v>369.99999999999994</v>
      </c>
      <c r="W203" s="142">
        <f ca="1">V203*VLOOKUP(TODAY(),'UF HOY'!$A$2:$B$33,2,0)</f>
        <v>14701557.799999999</v>
      </c>
      <c r="X203" s="143">
        <f>Datos!$E$3</f>
        <v>31</v>
      </c>
      <c r="Y203" s="144">
        <f ca="1">IF((W203-1000000-Datos!$D$3)/X203&gt;0,(W203-1000000-Datos!$D$3)/X203,0)</f>
        <v>433921.21935483866</v>
      </c>
      <c r="Z203" s="143">
        <f>Datos!$F$3</f>
        <v>31</v>
      </c>
      <c r="AA203" s="144">
        <f ca="1">IF((W203-1750000-Datos!$D$3-3%*O203*VLOOKUP(TODAY(),'UF HOY'!$A$2:$B$33,2,0))/Z203&gt;0,(W203-1750000-Datos!$D$3-3%*O203*VLOOKUP(TODAY(),'UF HOY'!$A$2:$B$33,2,0))/Z203,0)</f>
        <v>267454.53096774191</v>
      </c>
      <c r="AB203" s="142">
        <f>IF(L203&gt;0,VLOOKUP(D203,Datos!$C$7:$E$11,3,0),VLOOKUP(D203,Datos!$C$7:$E$11,2,0))</f>
        <v>370000</v>
      </c>
      <c r="AC203" s="144">
        <f ca="1">(S203*PMT(Datos!$H$13,Datos!$H$12,-O203,,)*VLOOKUP(TODAY(),'UF HOY'!$A$2:$B$33,2,0)/12)+VLOOKUP(TODAY(),'UF HOY'!$A$2:$B$33,2,0)</f>
        <v>606528.96999550145</v>
      </c>
      <c r="AD203" s="144">
        <f t="shared" ca="1" si="46"/>
        <v>-236528.96999550145</v>
      </c>
      <c r="AE203" s="47">
        <f t="shared" ca="1" si="47"/>
        <v>2426115.8799820058</v>
      </c>
    </row>
    <row r="204" spans="1:31" s="145" customFormat="1" ht="15.5" x14ac:dyDescent="0.35">
      <c r="A204" s="129" t="s">
        <v>105</v>
      </c>
      <c r="B204" s="130">
        <v>1908</v>
      </c>
      <c r="C204" s="131" t="s">
        <v>152</v>
      </c>
      <c r="D204" s="131" t="s">
        <v>153</v>
      </c>
      <c r="E204" s="131"/>
      <c r="F204" s="131">
        <v>31.86</v>
      </c>
      <c r="G204" s="131">
        <v>3.6</v>
      </c>
      <c r="H204" s="132">
        <f t="shared" si="36"/>
        <v>33.659999999999997</v>
      </c>
      <c r="I204" s="132">
        <f t="shared" si="37"/>
        <v>35.46</v>
      </c>
      <c r="J204" s="69">
        <v>3330</v>
      </c>
      <c r="K204" s="134">
        <v>0</v>
      </c>
      <c r="L204" s="135">
        <v>0</v>
      </c>
      <c r="M204" s="135">
        <v>0</v>
      </c>
      <c r="N204" s="69">
        <f t="shared" si="38"/>
        <v>3330</v>
      </c>
      <c r="O204" s="39">
        <f t="shared" si="39"/>
        <v>3700</v>
      </c>
      <c r="P204" s="136">
        <f t="shared" si="40"/>
        <v>98.930481283422466</v>
      </c>
      <c r="Q204" s="137">
        <f t="shared" si="41"/>
        <v>0.1</v>
      </c>
      <c r="R204" s="138">
        <f t="shared" si="42"/>
        <v>370</v>
      </c>
      <c r="S204" s="139">
        <v>0.8</v>
      </c>
      <c r="T204" s="138">
        <f t="shared" si="43"/>
        <v>2960</v>
      </c>
      <c r="U204" s="140">
        <f t="shared" si="44"/>
        <v>9.9999999999999978E-2</v>
      </c>
      <c r="V204" s="138">
        <f t="shared" si="45"/>
        <v>369.99999999999994</v>
      </c>
      <c r="W204" s="142">
        <f ca="1">V204*VLOOKUP(TODAY(),'UF HOY'!$A$2:$B$33,2,0)</f>
        <v>14701557.799999999</v>
      </c>
      <c r="X204" s="143">
        <f>Datos!$E$3</f>
        <v>31</v>
      </c>
      <c r="Y204" s="144">
        <f ca="1">IF((W204-1000000-Datos!$D$3)/X204&gt;0,(W204-1000000-Datos!$D$3)/X204,0)</f>
        <v>433921.21935483866</v>
      </c>
      <c r="Z204" s="143">
        <f>Datos!$F$3</f>
        <v>31</v>
      </c>
      <c r="AA204" s="144">
        <f ca="1">IF((W204-1750000-Datos!$D$3-3%*O204*VLOOKUP(TODAY(),'UF HOY'!$A$2:$B$33,2,0))/Z204&gt;0,(W204-1750000-Datos!$D$3-3%*O204*VLOOKUP(TODAY(),'UF HOY'!$A$2:$B$33,2,0))/Z204,0)</f>
        <v>267454.53096774191</v>
      </c>
      <c r="AB204" s="142">
        <f>IF(L204&gt;0,VLOOKUP(D204,Datos!$C$7:$E$11,3,0),VLOOKUP(D204,Datos!$C$7:$E$11,2,0))</f>
        <v>370000</v>
      </c>
      <c r="AC204" s="144">
        <f ca="1">(S204*PMT(Datos!$H$13,Datos!$H$12,-O204,,)*VLOOKUP(TODAY(),'UF HOY'!$A$2:$B$33,2,0)/12)+VLOOKUP(TODAY(),'UF HOY'!$A$2:$B$33,2,0)</f>
        <v>606528.96999550145</v>
      </c>
      <c r="AD204" s="144">
        <f t="shared" ca="1" si="46"/>
        <v>-236528.96999550145</v>
      </c>
      <c r="AE204" s="47">
        <f t="shared" ca="1" si="47"/>
        <v>2426115.8799820058</v>
      </c>
    </row>
    <row r="205" spans="1:31" s="145" customFormat="1" ht="15.5" x14ac:dyDescent="0.35">
      <c r="A205" s="129" t="s">
        <v>105</v>
      </c>
      <c r="B205" s="130">
        <v>1909</v>
      </c>
      <c r="C205" s="131" t="s">
        <v>152</v>
      </c>
      <c r="D205" s="131" t="s">
        <v>153</v>
      </c>
      <c r="E205" s="131"/>
      <c r="F205" s="131">
        <v>31.86</v>
      </c>
      <c r="G205" s="131">
        <v>3.6</v>
      </c>
      <c r="H205" s="132">
        <f t="shared" si="36"/>
        <v>33.659999999999997</v>
      </c>
      <c r="I205" s="132">
        <f t="shared" si="37"/>
        <v>35.46</v>
      </c>
      <c r="J205" s="69">
        <v>3330</v>
      </c>
      <c r="K205" s="134">
        <v>0</v>
      </c>
      <c r="L205" s="135">
        <v>0</v>
      </c>
      <c r="M205" s="135">
        <v>0</v>
      </c>
      <c r="N205" s="69">
        <f t="shared" si="38"/>
        <v>3330</v>
      </c>
      <c r="O205" s="39">
        <f t="shared" si="39"/>
        <v>3700</v>
      </c>
      <c r="P205" s="136">
        <f t="shared" si="40"/>
        <v>98.930481283422466</v>
      </c>
      <c r="Q205" s="137">
        <f t="shared" si="41"/>
        <v>0.1</v>
      </c>
      <c r="R205" s="138">
        <f t="shared" si="42"/>
        <v>370</v>
      </c>
      <c r="S205" s="139">
        <v>0.8</v>
      </c>
      <c r="T205" s="138">
        <f t="shared" si="43"/>
        <v>2960</v>
      </c>
      <c r="U205" s="140">
        <f t="shared" si="44"/>
        <v>9.9999999999999978E-2</v>
      </c>
      <c r="V205" s="138">
        <f t="shared" si="45"/>
        <v>369.99999999999994</v>
      </c>
      <c r="W205" s="142">
        <f ca="1">V205*VLOOKUP(TODAY(),'UF HOY'!$A$2:$B$33,2,0)</f>
        <v>14701557.799999999</v>
      </c>
      <c r="X205" s="143">
        <f>Datos!$E$3</f>
        <v>31</v>
      </c>
      <c r="Y205" s="144">
        <f ca="1">IF((W205-1000000-Datos!$D$3)/X205&gt;0,(W205-1000000-Datos!$D$3)/X205,0)</f>
        <v>433921.21935483866</v>
      </c>
      <c r="Z205" s="143">
        <f>Datos!$F$3</f>
        <v>31</v>
      </c>
      <c r="AA205" s="144">
        <f ca="1">IF((W205-1750000-Datos!$D$3-3%*O205*VLOOKUP(TODAY(),'UF HOY'!$A$2:$B$33,2,0))/Z205&gt;0,(W205-1750000-Datos!$D$3-3%*O205*VLOOKUP(TODAY(),'UF HOY'!$A$2:$B$33,2,0))/Z205,0)</f>
        <v>267454.53096774191</v>
      </c>
      <c r="AB205" s="142">
        <f>IF(L205&gt;0,VLOOKUP(D205,Datos!$C$7:$E$11,3,0),VLOOKUP(D205,Datos!$C$7:$E$11,2,0))</f>
        <v>370000</v>
      </c>
      <c r="AC205" s="144">
        <f ca="1">(S205*PMT(Datos!$H$13,Datos!$H$12,-O205,,)*VLOOKUP(TODAY(),'UF HOY'!$A$2:$B$33,2,0)/12)+VLOOKUP(TODAY(),'UF HOY'!$A$2:$B$33,2,0)</f>
        <v>606528.96999550145</v>
      </c>
      <c r="AD205" s="144">
        <f t="shared" ca="1" si="46"/>
        <v>-236528.96999550145</v>
      </c>
      <c r="AE205" s="47">
        <f t="shared" ca="1" si="47"/>
        <v>2426115.8799820058</v>
      </c>
    </row>
    <row r="206" spans="1:31" s="145" customFormat="1" ht="15.5" x14ac:dyDescent="0.35">
      <c r="A206" s="129" t="s">
        <v>105</v>
      </c>
      <c r="B206" s="130">
        <v>1910</v>
      </c>
      <c r="C206" s="131" t="s">
        <v>152</v>
      </c>
      <c r="D206" s="131" t="s">
        <v>153</v>
      </c>
      <c r="E206" s="131"/>
      <c r="F206" s="131">
        <v>31.86</v>
      </c>
      <c r="G206" s="131">
        <v>3.6</v>
      </c>
      <c r="H206" s="132">
        <f t="shared" si="36"/>
        <v>33.659999999999997</v>
      </c>
      <c r="I206" s="132">
        <f t="shared" si="37"/>
        <v>35.46</v>
      </c>
      <c r="J206" s="69">
        <v>3330</v>
      </c>
      <c r="K206" s="134">
        <v>0</v>
      </c>
      <c r="L206" s="135">
        <v>0</v>
      </c>
      <c r="M206" s="135">
        <v>0</v>
      </c>
      <c r="N206" s="69">
        <f t="shared" si="38"/>
        <v>3330</v>
      </c>
      <c r="O206" s="39">
        <f t="shared" si="39"/>
        <v>3700</v>
      </c>
      <c r="P206" s="136">
        <f t="shared" si="40"/>
        <v>98.930481283422466</v>
      </c>
      <c r="Q206" s="137">
        <f t="shared" si="41"/>
        <v>0.1</v>
      </c>
      <c r="R206" s="138">
        <f t="shared" si="42"/>
        <v>370</v>
      </c>
      <c r="S206" s="139">
        <v>0.8</v>
      </c>
      <c r="T206" s="138">
        <f t="shared" si="43"/>
        <v>2960</v>
      </c>
      <c r="U206" s="140">
        <f t="shared" si="44"/>
        <v>9.9999999999999978E-2</v>
      </c>
      <c r="V206" s="138">
        <f t="shared" si="45"/>
        <v>369.99999999999994</v>
      </c>
      <c r="W206" s="142">
        <f ca="1">V206*VLOOKUP(TODAY(),'UF HOY'!$A$2:$B$33,2,0)</f>
        <v>14701557.799999999</v>
      </c>
      <c r="X206" s="143">
        <f>Datos!$E$3</f>
        <v>31</v>
      </c>
      <c r="Y206" s="144">
        <f ca="1">IF((W206-1000000-Datos!$D$3)/X206&gt;0,(W206-1000000-Datos!$D$3)/X206,0)</f>
        <v>433921.21935483866</v>
      </c>
      <c r="Z206" s="143">
        <f>Datos!$F$3</f>
        <v>31</v>
      </c>
      <c r="AA206" s="144">
        <f ca="1">IF((W206-1750000-Datos!$D$3-3%*O206*VLOOKUP(TODAY(),'UF HOY'!$A$2:$B$33,2,0))/Z206&gt;0,(W206-1750000-Datos!$D$3-3%*O206*VLOOKUP(TODAY(),'UF HOY'!$A$2:$B$33,2,0))/Z206,0)</f>
        <v>267454.53096774191</v>
      </c>
      <c r="AB206" s="142">
        <f>IF(L206&gt;0,VLOOKUP(D206,Datos!$C$7:$E$11,3,0),VLOOKUP(D206,Datos!$C$7:$E$11,2,0))</f>
        <v>370000</v>
      </c>
      <c r="AC206" s="144">
        <f ca="1">(S206*PMT(Datos!$H$13,Datos!$H$12,-O206,,)*VLOOKUP(TODAY(),'UF HOY'!$A$2:$B$33,2,0)/12)+VLOOKUP(TODAY(),'UF HOY'!$A$2:$B$33,2,0)</f>
        <v>606528.96999550145</v>
      </c>
      <c r="AD206" s="144">
        <f t="shared" ca="1" si="46"/>
        <v>-236528.96999550145</v>
      </c>
      <c r="AE206" s="47">
        <f t="shared" ca="1" si="47"/>
        <v>2426115.8799820058</v>
      </c>
    </row>
    <row r="207" spans="1:31" s="145" customFormat="1" ht="15.5" hidden="1" x14ac:dyDescent="0.35">
      <c r="A207" s="129" t="s">
        <v>170</v>
      </c>
      <c r="B207" s="129">
        <v>411</v>
      </c>
      <c r="C207" s="131" t="s">
        <v>152</v>
      </c>
      <c r="D207" s="131" t="s">
        <v>155</v>
      </c>
      <c r="E207" s="131"/>
      <c r="F207" s="131">
        <v>42.68</v>
      </c>
      <c r="G207" s="131">
        <v>3.84</v>
      </c>
      <c r="H207" s="132">
        <f t="shared" si="36"/>
        <v>44.6</v>
      </c>
      <c r="I207" s="132">
        <f t="shared" si="37"/>
        <v>46.519999999999996</v>
      </c>
      <c r="J207" s="133">
        <v>3562.1467033410004</v>
      </c>
      <c r="K207" s="134">
        <v>0</v>
      </c>
      <c r="L207" s="135">
        <v>0</v>
      </c>
      <c r="M207" s="135">
        <v>0</v>
      </c>
      <c r="N207" s="69">
        <f t="shared" si="38"/>
        <v>3562.1467033410004</v>
      </c>
      <c r="O207" s="39">
        <f t="shared" si="39"/>
        <v>3957.9407814900005</v>
      </c>
      <c r="P207" s="136">
        <f t="shared" si="40"/>
        <v>79.868760164596424</v>
      </c>
      <c r="Q207" s="137">
        <f t="shared" si="41"/>
        <v>0.1</v>
      </c>
      <c r="R207" s="138">
        <f t="shared" si="42"/>
        <v>395.79407814900009</v>
      </c>
      <c r="S207" s="139">
        <v>0.8</v>
      </c>
      <c r="T207" s="138">
        <f t="shared" si="43"/>
        <v>3166.3526251920007</v>
      </c>
      <c r="U207" s="140">
        <f t="shared" si="44"/>
        <v>9.9999999999999978E-2</v>
      </c>
      <c r="V207" s="138">
        <f t="shared" si="45"/>
        <v>395.79407814899997</v>
      </c>
      <c r="W207" s="142">
        <f ca="1">V207*VLOOKUP(TODAY(),'UF HOY'!$A$2:$B$33,2,0)</f>
        <v>15726458.153527677</v>
      </c>
      <c r="X207" s="143">
        <f>Datos!$E$3</f>
        <v>31</v>
      </c>
      <c r="Y207" s="144">
        <f ca="1">IF((W207-1000000-Datos!$D$3)/X207&gt;0,(W207-1000000-Datos!$D$3)/X207,0)</f>
        <v>466982.521081538</v>
      </c>
      <c r="Z207" s="143">
        <f>Datos!$F$3</f>
        <v>31</v>
      </c>
      <c r="AA207" s="144">
        <f ca="1">IF((W207-1750000-Datos!$D$3-3%*O207*VLOOKUP(TODAY(),'UF HOY'!$A$2:$B$33,2,0))/Z207&gt;0,(W207-1750000-Datos!$D$3-3%*O207*VLOOKUP(TODAY(),'UF HOY'!$A$2:$B$33,2,0))/Z207,0)</f>
        <v>290597.44217643142</v>
      </c>
      <c r="AB207" s="142">
        <f>IF(L207&gt;0,VLOOKUP(D207,Datos!$C$7:$E$11,3,0),VLOOKUP(D207,Datos!$C$7:$E$11,2,0))</f>
        <v>420000</v>
      </c>
      <c r="AC207" s="144">
        <f ca="1">(S207*PMT(Datos!$H$13,Datos!$H$12,-O207,,)*VLOOKUP(TODAY(),'UF HOY'!$A$2:$B$33,2,0)/12)+VLOOKUP(TODAY(),'UF HOY'!$A$2:$B$33,2,0)</f>
        <v>646042.36269325507</v>
      </c>
      <c r="AD207" s="144">
        <f t="shared" ca="1" si="46"/>
        <v>-226042.36269325507</v>
      </c>
      <c r="AE207" s="47">
        <f t="shared" ca="1" si="47"/>
        <v>2584169.4507730203</v>
      </c>
    </row>
    <row r="208" spans="1:31" s="145" customFormat="1" ht="15.5" hidden="1" x14ac:dyDescent="0.35">
      <c r="A208" s="129" t="s">
        <v>170</v>
      </c>
      <c r="B208" s="130">
        <v>511</v>
      </c>
      <c r="C208" s="131" t="s">
        <v>152</v>
      </c>
      <c r="D208" s="131" t="s">
        <v>155</v>
      </c>
      <c r="E208" s="131"/>
      <c r="F208" s="131">
        <v>42.68</v>
      </c>
      <c r="G208" s="131">
        <v>3.84</v>
      </c>
      <c r="H208" s="132">
        <f t="shared" si="36"/>
        <v>44.6</v>
      </c>
      <c r="I208" s="132">
        <f t="shared" si="37"/>
        <v>46.519999999999996</v>
      </c>
      <c r="J208" s="133">
        <v>3596.5733902093757</v>
      </c>
      <c r="K208" s="134">
        <v>0</v>
      </c>
      <c r="L208" s="135">
        <v>0</v>
      </c>
      <c r="M208" s="135">
        <v>0</v>
      </c>
      <c r="N208" s="69">
        <f t="shared" si="38"/>
        <v>3596.5733902093757</v>
      </c>
      <c r="O208" s="39">
        <f t="shared" si="39"/>
        <v>3996.1926557881952</v>
      </c>
      <c r="P208" s="136">
        <f t="shared" si="40"/>
        <v>80.640658973304383</v>
      </c>
      <c r="Q208" s="137">
        <f t="shared" si="41"/>
        <v>0.1</v>
      </c>
      <c r="R208" s="138">
        <f t="shared" si="42"/>
        <v>399.61926557881952</v>
      </c>
      <c r="S208" s="139">
        <v>0.8</v>
      </c>
      <c r="T208" s="138">
        <f t="shared" si="43"/>
        <v>3196.9541246305562</v>
      </c>
      <c r="U208" s="140">
        <f t="shared" si="44"/>
        <v>9.9999999999999978E-2</v>
      </c>
      <c r="V208" s="138">
        <f t="shared" si="45"/>
        <v>399.61926557881941</v>
      </c>
      <c r="W208" s="142">
        <f ca="1">V208*VLOOKUP(TODAY(),'UF HOY'!$A$2:$B$33,2,0)</f>
        <v>15878447.921352876</v>
      </c>
      <c r="X208" s="143">
        <f>Datos!$E$3</f>
        <v>31</v>
      </c>
      <c r="Y208" s="144">
        <f ca="1">IF((W208-1000000-Datos!$D$3)/X208&gt;0,(W208-1000000-Datos!$D$3)/X208,0)</f>
        <v>471885.41681783472</v>
      </c>
      <c r="Z208" s="143">
        <f>Datos!$F$3</f>
        <v>31</v>
      </c>
      <c r="AA208" s="144">
        <f ca="1">IF((W208-1750000-Datos!$D$3-3%*O208*VLOOKUP(TODAY(),'UF HOY'!$A$2:$B$33,2,0))/Z208&gt;0,(W208-1750000-Datos!$D$3-3%*O208*VLOOKUP(TODAY(),'UF HOY'!$A$2:$B$33,2,0))/Z208,0)</f>
        <v>294029.46919183916</v>
      </c>
      <c r="AB208" s="142">
        <f>IF(L208&gt;0,VLOOKUP(D208,Datos!$C$7:$E$11,3,0),VLOOKUP(D208,Datos!$C$7:$E$11,2,0))</f>
        <v>420000</v>
      </c>
      <c r="AC208" s="144">
        <f ca="1">(S208*PMT(Datos!$H$13,Datos!$H$12,-O208,,)*VLOOKUP(TODAY(),'UF HOY'!$A$2:$B$33,2,0)/12)+VLOOKUP(TODAY(),'UF HOY'!$A$2:$B$33,2,0)</f>
        <v>651902.08492034394</v>
      </c>
      <c r="AD208" s="144">
        <f t="shared" ca="1" si="46"/>
        <v>-231902.08492034394</v>
      </c>
      <c r="AE208" s="47">
        <f t="shared" ca="1" si="47"/>
        <v>2607608.3396813758</v>
      </c>
    </row>
    <row r="209" spans="1:31" s="145" customFormat="1" ht="15.5" hidden="1" x14ac:dyDescent="0.35">
      <c r="A209" s="129" t="s">
        <v>170</v>
      </c>
      <c r="B209" s="129">
        <v>1311</v>
      </c>
      <c r="C209" s="131" t="s">
        <v>152</v>
      </c>
      <c r="D209" s="131" t="s">
        <v>155</v>
      </c>
      <c r="E209" s="131"/>
      <c r="F209" s="131">
        <v>42.68</v>
      </c>
      <c r="G209" s="131">
        <v>3.84</v>
      </c>
      <c r="H209" s="132">
        <f t="shared" si="36"/>
        <v>44.6</v>
      </c>
      <c r="I209" s="132">
        <f t="shared" si="37"/>
        <v>46.519999999999996</v>
      </c>
      <c r="J209" s="156">
        <v>3676.0229999999997</v>
      </c>
      <c r="K209" s="134">
        <v>0</v>
      </c>
      <c r="L209" s="135">
        <v>0</v>
      </c>
      <c r="M209" s="135">
        <v>0</v>
      </c>
      <c r="N209" s="69">
        <f t="shared" si="38"/>
        <v>3676.0229999999997</v>
      </c>
      <c r="O209" s="39">
        <f t="shared" si="39"/>
        <v>4084.4699999999993</v>
      </c>
      <c r="P209" s="136">
        <f t="shared" si="40"/>
        <v>82.422040358744383</v>
      </c>
      <c r="Q209" s="137">
        <f t="shared" si="41"/>
        <v>0.1</v>
      </c>
      <c r="R209" s="138">
        <f t="shared" si="42"/>
        <v>408.44699999999995</v>
      </c>
      <c r="S209" s="139">
        <v>0.8</v>
      </c>
      <c r="T209" s="138">
        <f t="shared" si="43"/>
        <v>3267.5759999999996</v>
      </c>
      <c r="U209" s="140">
        <f t="shared" si="44"/>
        <v>9.9999999999999978E-2</v>
      </c>
      <c r="V209" s="138">
        <f t="shared" si="45"/>
        <v>408.44699999999983</v>
      </c>
      <c r="W209" s="142">
        <f ca="1">V209*VLOOKUP(TODAY(),'UF HOY'!$A$2:$B$33,2,0)</f>
        <v>16229208.591179995</v>
      </c>
      <c r="X209" s="143">
        <f>Datos!$E$3</f>
        <v>31</v>
      </c>
      <c r="Y209" s="144">
        <f ca="1">IF((W209-1000000-Datos!$D$3)/X209&gt;0,(W209-1000000-Datos!$D$3)/X209,0)</f>
        <v>483200.27713483857</v>
      </c>
      <c r="Z209" s="143">
        <f>Datos!$F$3</f>
        <v>31</v>
      </c>
      <c r="AA209" s="144">
        <f ca="1">IF((W209-1750000-Datos!$D$3-3%*O209*VLOOKUP(TODAY(),'UF HOY'!$A$2:$B$33,2,0))/Z209&gt;0,(W209-1750000-Datos!$D$3-3%*O209*VLOOKUP(TODAY(),'UF HOY'!$A$2:$B$33,2,0))/Z209,0)</f>
        <v>301949.87141374173</v>
      </c>
      <c r="AB209" s="142">
        <f>IF(L209&gt;0,VLOOKUP(D209,Datos!$C$7:$E$11,3,0),VLOOKUP(D209,Datos!$C$7:$E$11,2,0))</f>
        <v>420000</v>
      </c>
      <c r="AC209" s="144">
        <f ca="1">(S209*PMT(Datos!$H$13,Datos!$H$12,-O209,,)*VLOOKUP(TODAY(),'UF HOY'!$A$2:$B$33,2,0)/12)+VLOOKUP(TODAY(),'UF HOY'!$A$2:$B$33,2,0)</f>
        <v>665425.10112587176</v>
      </c>
      <c r="AD209" s="144">
        <f t="shared" ca="1" si="46"/>
        <v>-245425.10112587176</v>
      </c>
      <c r="AE209" s="47">
        <f t="shared" ca="1" si="47"/>
        <v>2661700.4045034871</v>
      </c>
    </row>
    <row r="210" spans="1:31" s="145" customFormat="1" ht="15.5" hidden="1" x14ac:dyDescent="0.35">
      <c r="A210" s="129" t="s">
        <v>170</v>
      </c>
      <c r="B210" s="130">
        <v>911</v>
      </c>
      <c r="C210" s="131" t="s">
        <v>152</v>
      </c>
      <c r="D210" s="131" t="s">
        <v>155</v>
      </c>
      <c r="E210" s="131"/>
      <c r="F210" s="131">
        <v>42.68</v>
      </c>
      <c r="G210" s="131">
        <v>3.84</v>
      </c>
      <c r="H210" s="132">
        <f t="shared" si="36"/>
        <v>44.6</v>
      </c>
      <c r="I210" s="132">
        <f t="shared" si="37"/>
        <v>46.519999999999996</v>
      </c>
      <c r="J210" s="133">
        <v>3676.0241098980791</v>
      </c>
      <c r="K210" s="134">
        <v>0</v>
      </c>
      <c r="L210" s="135">
        <v>0</v>
      </c>
      <c r="M210" s="135">
        <v>0</v>
      </c>
      <c r="N210" s="69">
        <f t="shared" si="38"/>
        <v>3676.0241098980791</v>
      </c>
      <c r="O210" s="39">
        <f t="shared" si="39"/>
        <v>4084.4712332200879</v>
      </c>
      <c r="P210" s="136">
        <f t="shared" si="40"/>
        <v>82.422065244351543</v>
      </c>
      <c r="Q210" s="137">
        <f t="shared" si="41"/>
        <v>0.1</v>
      </c>
      <c r="R210" s="138">
        <f t="shared" si="42"/>
        <v>408.44712332200879</v>
      </c>
      <c r="S210" s="139">
        <v>0.8</v>
      </c>
      <c r="T210" s="138">
        <f t="shared" si="43"/>
        <v>3267.5769865760703</v>
      </c>
      <c r="U210" s="140">
        <f t="shared" si="44"/>
        <v>9.9999999999999978E-2</v>
      </c>
      <c r="V210" s="138">
        <f t="shared" si="45"/>
        <v>408.44712332200868</v>
      </c>
      <c r="W210" s="142">
        <f ca="1">V210*VLOOKUP(TODAY(),'UF HOY'!$A$2:$B$33,2,0)</f>
        <v>16229213.491249295</v>
      </c>
      <c r="X210" s="143">
        <f>Datos!$E$3</f>
        <v>31</v>
      </c>
      <c r="Y210" s="144">
        <f ca="1">IF((W210-1000000-Datos!$D$3)/X210&gt;0,(W210-1000000-Datos!$D$3)/X210,0)</f>
        <v>483200.43520159018</v>
      </c>
      <c r="Z210" s="143">
        <f>Datos!$F$3</f>
        <v>31</v>
      </c>
      <c r="AA210" s="144">
        <f ca="1">IF((W210-1750000-Datos!$D$3-3%*O210*VLOOKUP(TODAY(),'UF HOY'!$A$2:$B$33,2,0))/Z210&gt;0,(W210-1750000-Datos!$D$3-3%*O210*VLOOKUP(TODAY(),'UF HOY'!$A$2:$B$33,2,0))/Z210,0)</f>
        <v>301949.98206046788</v>
      </c>
      <c r="AB210" s="142">
        <f>IF(L210&gt;0,VLOOKUP(D210,Datos!$C$7:$E$11,3,0),VLOOKUP(D210,Datos!$C$7:$E$11,2,0))</f>
        <v>420000</v>
      </c>
      <c r="AC210" s="144">
        <f ca="1">(S210*PMT(Datos!$H$13,Datos!$H$12,-O210,,)*VLOOKUP(TODAY(),'UF HOY'!$A$2:$B$33,2,0)/12)+VLOOKUP(TODAY(),'UF HOY'!$A$2:$B$33,2,0)</f>
        <v>665425.29004020081</v>
      </c>
      <c r="AD210" s="144">
        <f t="shared" ca="1" si="46"/>
        <v>-245425.29004020081</v>
      </c>
      <c r="AE210" s="47">
        <f t="shared" ca="1" si="47"/>
        <v>2661701.1601608032</v>
      </c>
    </row>
    <row r="211" spans="1:31" s="145" customFormat="1" ht="15.5" hidden="1" x14ac:dyDescent="0.35">
      <c r="A211" s="129" t="s">
        <v>170</v>
      </c>
      <c r="B211" s="130">
        <v>1011</v>
      </c>
      <c r="C211" s="131" t="s">
        <v>152</v>
      </c>
      <c r="D211" s="131" t="s">
        <v>155</v>
      </c>
      <c r="E211" s="131"/>
      <c r="F211" s="131">
        <v>42.68</v>
      </c>
      <c r="G211" s="131">
        <v>3.84</v>
      </c>
      <c r="H211" s="132">
        <f t="shared" si="36"/>
        <v>44.6</v>
      </c>
      <c r="I211" s="132">
        <f t="shared" si="37"/>
        <v>46.519999999999996</v>
      </c>
      <c r="J211" s="133">
        <v>3696.1606506625185</v>
      </c>
      <c r="K211" s="134">
        <v>0</v>
      </c>
      <c r="L211" s="135">
        <v>0</v>
      </c>
      <c r="M211" s="135">
        <v>0</v>
      </c>
      <c r="N211" s="69">
        <f t="shared" si="38"/>
        <v>3696.1606506625185</v>
      </c>
      <c r="O211" s="39">
        <f t="shared" si="39"/>
        <v>4106.8451674027983</v>
      </c>
      <c r="P211" s="136">
        <f t="shared" si="40"/>
        <v>82.87355718974257</v>
      </c>
      <c r="Q211" s="137">
        <f t="shared" si="41"/>
        <v>0.1</v>
      </c>
      <c r="R211" s="138">
        <f t="shared" si="42"/>
        <v>410.68451674027983</v>
      </c>
      <c r="S211" s="139">
        <v>0.8</v>
      </c>
      <c r="T211" s="138">
        <f t="shared" si="43"/>
        <v>3285.4761339222387</v>
      </c>
      <c r="U211" s="140">
        <f t="shared" si="44"/>
        <v>9.9999999999999978E-2</v>
      </c>
      <c r="V211" s="138">
        <f t="shared" si="45"/>
        <v>410.68451674027972</v>
      </c>
      <c r="W211" s="142">
        <f ca="1">V211*VLOOKUP(TODAY(),'UF HOY'!$A$2:$B$33,2,0)</f>
        <v>16318113.947087271</v>
      </c>
      <c r="X211" s="143">
        <f>Datos!$E$3</f>
        <v>31</v>
      </c>
      <c r="Y211" s="144">
        <f ca="1">IF((W211-1000000-Datos!$D$3)/X211&gt;0,(W211-1000000-Datos!$D$3)/X211,0)</f>
        <v>486068.19184152485</v>
      </c>
      <c r="Z211" s="143">
        <f>Datos!$F$3</f>
        <v>31</v>
      </c>
      <c r="AA211" s="144">
        <f ca="1">IF((W211-1750000-Datos!$D$3-3%*O211*VLOOKUP(TODAY(),'UF HOY'!$A$2:$B$33,2,0))/Z211&gt;0,(W211-1750000-Datos!$D$3-3%*O211*VLOOKUP(TODAY(),'UF HOY'!$A$2:$B$33,2,0))/Z211,0)</f>
        <v>303957.41170842224</v>
      </c>
      <c r="AB211" s="142">
        <f>IF(L211&gt;0,VLOOKUP(D211,Datos!$C$7:$E$11,3,0),VLOOKUP(D211,Datos!$C$7:$E$11,2,0))</f>
        <v>420000</v>
      </c>
      <c r="AC211" s="144">
        <f ca="1">(S211*PMT(Datos!$H$13,Datos!$H$12,-O211,,)*VLOOKUP(TODAY(),'UF HOY'!$A$2:$B$33,2,0)/12)+VLOOKUP(TODAY(),'UF HOY'!$A$2:$B$33,2,0)</f>
        <v>668852.70482295938</v>
      </c>
      <c r="AD211" s="144">
        <f t="shared" ca="1" si="46"/>
        <v>-248852.70482295938</v>
      </c>
      <c r="AE211" s="47">
        <f t="shared" ca="1" si="47"/>
        <v>2675410.8192918375</v>
      </c>
    </row>
    <row r="212" spans="1:31" s="145" customFormat="1" ht="15.5" hidden="1" x14ac:dyDescent="0.35">
      <c r="A212" s="129" t="s">
        <v>170</v>
      </c>
      <c r="B212" s="130">
        <v>1111</v>
      </c>
      <c r="C212" s="131" t="s">
        <v>152</v>
      </c>
      <c r="D212" s="131" t="s">
        <v>155</v>
      </c>
      <c r="E212" s="131"/>
      <c r="F212" s="131">
        <v>42.68</v>
      </c>
      <c r="G212" s="131">
        <v>3.84</v>
      </c>
      <c r="H212" s="132">
        <f t="shared" si="36"/>
        <v>44.6</v>
      </c>
      <c r="I212" s="132">
        <f t="shared" si="37"/>
        <v>46.519999999999996</v>
      </c>
      <c r="J212" s="133">
        <v>3717.3351224011622</v>
      </c>
      <c r="K212" s="134">
        <v>0</v>
      </c>
      <c r="L212" s="135">
        <v>0</v>
      </c>
      <c r="M212" s="135">
        <v>0</v>
      </c>
      <c r="N212" s="69">
        <f t="shared" si="38"/>
        <v>3717.3351224011622</v>
      </c>
      <c r="O212" s="39">
        <f t="shared" si="39"/>
        <v>4130.3723582235134</v>
      </c>
      <c r="P212" s="136">
        <f t="shared" si="40"/>
        <v>83.3483211300709</v>
      </c>
      <c r="Q212" s="137">
        <f t="shared" si="41"/>
        <v>0.1</v>
      </c>
      <c r="R212" s="138">
        <f t="shared" si="42"/>
        <v>413.03723582235136</v>
      </c>
      <c r="S212" s="139">
        <v>0.8</v>
      </c>
      <c r="T212" s="138">
        <f t="shared" si="43"/>
        <v>3304.2978865788109</v>
      </c>
      <c r="U212" s="140">
        <f t="shared" si="44"/>
        <v>9.9999999999999978E-2</v>
      </c>
      <c r="V212" s="138">
        <f t="shared" si="45"/>
        <v>413.03723582235125</v>
      </c>
      <c r="W212" s="142">
        <f ca="1">V212*VLOOKUP(TODAY(),'UF HOY'!$A$2:$B$33,2,0)</f>
        <v>16411596.745931156</v>
      </c>
      <c r="X212" s="143">
        <f>Datos!$E$3</f>
        <v>31</v>
      </c>
      <c r="Y212" s="144">
        <f ca="1">IF((W212-1000000-Datos!$D$3)/X212&gt;0,(W212-1000000-Datos!$D$3)/X212,0)</f>
        <v>489083.76599777921</v>
      </c>
      <c r="Z212" s="143">
        <f>Datos!$F$3</f>
        <v>31</v>
      </c>
      <c r="AA212" s="144">
        <f ca="1">IF((W212-1750000-Datos!$D$3-3%*O212*VLOOKUP(TODAY(),'UF HOY'!$A$2:$B$33,2,0))/Z212&gt;0,(W212-1750000-Datos!$D$3-3%*O212*VLOOKUP(TODAY(),'UF HOY'!$A$2:$B$33,2,0))/Z212,0)</f>
        <v>306068.31361780025</v>
      </c>
      <c r="AB212" s="142">
        <f>IF(L212&gt;0,VLOOKUP(D212,Datos!$C$7:$E$11,3,0),VLOOKUP(D212,Datos!$C$7:$E$11,2,0))</f>
        <v>420000</v>
      </c>
      <c r="AC212" s="144">
        <f ca="1">(S212*PMT(Datos!$H$13,Datos!$H$12,-O212,,)*VLOOKUP(TODAY(),'UF HOY'!$A$2:$B$33,2,0)/12)+VLOOKUP(TODAY(),'UF HOY'!$A$2:$B$33,2,0)</f>
        <v>672456.78450591536</v>
      </c>
      <c r="AD212" s="144">
        <f t="shared" ca="1" si="46"/>
        <v>-252456.78450591536</v>
      </c>
      <c r="AE212" s="47">
        <f t="shared" ca="1" si="47"/>
        <v>2689827.1380236614</v>
      </c>
    </row>
    <row r="213" spans="1:31" s="145" customFormat="1" ht="15.5" hidden="1" x14ac:dyDescent="0.35">
      <c r="A213" s="129" t="s">
        <v>170</v>
      </c>
      <c r="B213" s="129">
        <v>1211</v>
      </c>
      <c r="C213" s="131" t="s">
        <v>152</v>
      </c>
      <c r="D213" s="131" t="s">
        <v>155</v>
      </c>
      <c r="E213" s="131"/>
      <c r="F213" s="131">
        <v>42.68</v>
      </c>
      <c r="G213" s="131">
        <v>3.84</v>
      </c>
      <c r="H213" s="132">
        <f t="shared" si="36"/>
        <v>44.6</v>
      </c>
      <c r="I213" s="132">
        <f t="shared" si="37"/>
        <v>46.519999999999996</v>
      </c>
      <c r="J213" s="69">
        <v>3737.6937742443697</v>
      </c>
      <c r="K213" s="134">
        <v>0</v>
      </c>
      <c r="L213" s="135">
        <v>0</v>
      </c>
      <c r="M213" s="135">
        <v>0</v>
      </c>
      <c r="N213" s="69">
        <f t="shared" si="38"/>
        <v>3737.6937742443697</v>
      </c>
      <c r="O213" s="39">
        <f t="shared" si="39"/>
        <v>4152.9930824937437</v>
      </c>
      <c r="P213" s="136">
        <f t="shared" si="40"/>
        <v>83.804793144492592</v>
      </c>
      <c r="Q213" s="137">
        <f t="shared" si="41"/>
        <v>0.1</v>
      </c>
      <c r="R213" s="138">
        <f t="shared" si="42"/>
        <v>415.29930824937441</v>
      </c>
      <c r="S213" s="139">
        <v>0.8</v>
      </c>
      <c r="T213" s="138">
        <f t="shared" si="43"/>
        <v>3322.3944659949952</v>
      </c>
      <c r="U213" s="140">
        <f t="shared" si="44"/>
        <v>9.9999999999999978E-2</v>
      </c>
      <c r="V213" s="138">
        <f t="shared" si="45"/>
        <v>415.29930824937429</v>
      </c>
      <c r="W213" s="142">
        <f ca="1">V213*VLOOKUP(TODAY(),'UF HOY'!$A$2:$B$33,2,0)</f>
        <v>16501477.796022143</v>
      </c>
      <c r="X213" s="143">
        <f>Datos!$E$3</f>
        <v>31</v>
      </c>
      <c r="Y213" s="144">
        <f ca="1">IF((W213-1000000-Datos!$D$3)/X213&gt;0,(W213-1000000-Datos!$D$3)/X213,0)</f>
        <v>491983.15471039171</v>
      </c>
      <c r="Z213" s="143">
        <f>Datos!$F$3</f>
        <v>31</v>
      </c>
      <c r="AA213" s="144">
        <f ca="1">IF((W213-1750000-Datos!$D$3-3%*O213*VLOOKUP(TODAY(),'UF HOY'!$A$2:$B$33,2,0))/Z213&gt;0,(W213-1750000-Datos!$D$3-3%*O213*VLOOKUP(TODAY(),'UF HOY'!$A$2:$B$33,2,0))/Z213,0)</f>
        <v>308097.88571662898</v>
      </c>
      <c r="AB213" s="142">
        <f>IF(L213&gt;0,VLOOKUP(D213,Datos!$C$7:$E$11,3,0),VLOOKUP(D213,Datos!$C$7:$E$11,2,0))</f>
        <v>420000</v>
      </c>
      <c r="AC213" s="144">
        <f ca="1">(S213*PMT(Datos!$H$13,Datos!$H$12,-O213,,)*VLOOKUP(TODAY(),'UF HOY'!$A$2:$B$33,2,0)/12)+VLOOKUP(TODAY(),'UF HOY'!$A$2:$B$33,2,0)</f>
        <v>675922.00453058165</v>
      </c>
      <c r="AD213" s="144">
        <f t="shared" ca="1" si="46"/>
        <v>-255922.00453058165</v>
      </c>
      <c r="AE213" s="47">
        <f t="shared" ca="1" si="47"/>
        <v>2703688.0181223266</v>
      </c>
    </row>
    <row r="214" spans="1:31" s="145" customFormat="1" ht="15.5" hidden="1" x14ac:dyDescent="0.35">
      <c r="A214" s="129" t="s">
        <v>170</v>
      </c>
      <c r="B214" s="130">
        <v>1411</v>
      </c>
      <c r="C214" s="131" t="s">
        <v>152</v>
      </c>
      <c r="D214" s="131" t="s">
        <v>155</v>
      </c>
      <c r="E214" s="131"/>
      <c r="F214" s="131">
        <v>42.68</v>
      </c>
      <c r="G214" s="131">
        <v>3.84</v>
      </c>
      <c r="H214" s="132">
        <f t="shared" si="36"/>
        <v>44.6</v>
      </c>
      <c r="I214" s="132">
        <f t="shared" si="37"/>
        <v>46.519999999999996</v>
      </c>
      <c r="J214" s="133">
        <v>3737.6937742443697</v>
      </c>
      <c r="K214" s="134">
        <v>0</v>
      </c>
      <c r="L214" s="135">
        <v>0</v>
      </c>
      <c r="M214" s="135">
        <v>0</v>
      </c>
      <c r="N214" s="69">
        <f t="shared" si="38"/>
        <v>3737.6937742443697</v>
      </c>
      <c r="O214" s="39">
        <f t="shared" si="39"/>
        <v>4152.9930824937437</v>
      </c>
      <c r="P214" s="136">
        <f t="shared" si="40"/>
        <v>83.804793144492592</v>
      </c>
      <c r="Q214" s="137">
        <f t="shared" si="41"/>
        <v>0.1</v>
      </c>
      <c r="R214" s="138">
        <f t="shared" si="42"/>
        <v>415.29930824937441</v>
      </c>
      <c r="S214" s="139">
        <v>0.8</v>
      </c>
      <c r="T214" s="138">
        <f t="shared" si="43"/>
        <v>3322.3944659949952</v>
      </c>
      <c r="U214" s="140">
        <f t="shared" si="44"/>
        <v>9.9999999999999978E-2</v>
      </c>
      <c r="V214" s="138">
        <f t="shared" si="45"/>
        <v>415.29930824937429</v>
      </c>
      <c r="W214" s="142">
        <f ca="1">V214*VLOOKUP(TODAY(),'UF HOY'!$A$2:$B$33,2,0)</f>
        <v>16501477.796022143</v>
      </c>
      <c r="X214" s="143">
        <f>Datos!$E$3</f>
        <v>31</v>
      </c>
      <c r="Y214" s="144">
        <f ca="1">IF((W214-1000000-Datos!$D$3)/X214&gt;0,(W214-1000000-Datos!$D$3)/X214,0)</f>
        <v>491983.15471039171</v>
      </c>
      <c r="Z214" s="143">
        <f>Datos!$F$3</f>
        <v>31</v>
      </c>
      <c r="AA214" s="144">
        <f ca="1">IF((W214-1750000-Datos!$D$3-3%*O214*VLOOKUP(TODAY(),'UF HOY'!$A$2:$B$33,2,0))/Z214&gt;0,(W214-1750000-Datos!$D$3-3%*O214*VLOOKUP(TODAY(),'UF HOY'!$A$2:$B$33,2,0))/Z214,0)</f>
        <v>308097.88571662898</v>
      </c>
      <c r="AB214" s="142">
        <f>IF(L214&gt;0,VLOOKUP(D214,Datos!$C$7:$E$11,3,0),VLOOKUP(D214,Datos!$C$7:$E$11,2,0))</f>
        <v>420000</v>
      </c>
      <c r="AC214" s="144">
        <f ca="1">(S214*PMT(Datos!$H$13,Datos!$H$12,-O214,,)*VLOOKUP(TODAY(),'UF HOY'!$A$2:$B$33,2,0)/12)+VLOOKUP(TODAY(),'UF HOY'!$A$2:$B$33,2,0)</f>
        <v>675922.00453058165</v>
      </c>
      <c r="AD214" s="144">
        <f t="shared" ca="1" si="46"/>
        <v>-255922.00453058165</v>
      </c>
      <c r="AE214" s="47">
        <f t="shared" ca="1" si="47"/>
        <v>2703688.0181223266</v>
      </c>
    </row>
    <row r="215" spans="1:31" s="145" customFormat="1" ht="15.5" hidden="1" x14ac:dyDescent="0.35">
      <c r="A215" s="129" t="s">
        <v>170</v>
      </c>
      <c r="B215" s="130">
        <v>1511</v>
      </c>
      <c r="C215" s="131" t="s">
        <v>152</v>
      </c>
      <c r="D215" s="131" t="s">
        <v>155</v>
      </c>
      <c r="E215" s="131"/>
      <c r="F215" s="131">
        <v>42.68</v>
      </c>
      <c r="G215" s="131">
        <v>3.84</v>
      </c>
      <c r="H215" s="132">
        <f t="shared" si="36"/>
        <v>44.6</v>
      </c>
      <c r="I215" s="132">
        <f t="shared" si="37"/>
        <v>46.519999999999996</v>
      </c>
      <c r="J215" s="69">
        <v>3799</v>
      </c>
      <c r="K215" s="134">
        <v>0</v>
      </c>
      <c r="L215" s="135">
        <v>0</v>
      </c>
      <c r="M215" s="135">
        <v>0</v>
      </c>
      <c r="N215" s="69">
        <f t="shared" si="38"/>
        <v>3799</v>
      </c>
      <c r="O215" s="39">
        <f t="shared" si="39"/>
        <v>4221.1111111111113</v>
      </c>
      <c r="P215" s="136">
        <f t="shared" si="40"/>
        <v>85.179372197309419</v>
      </c>
      <c r="Q215" s="137">
        <f t="shared" si="41"/>
        <v>0.1</v>
      </c>
      <c r="R215" s="138">
        <f t="shared" si="42"/>
        <v>422.11111111111114</v>
      </c>
      <c r="S215" s="139">
        <v>0.8</v>
      </c>
      <c r="T215" s="138">
        <f t="shared" si="43"/>
        <v>3376.8888888888891</v>
      </c>
      <c r="U215" s="140">
        <f t="shared" si="44"/>
        <v>9.9999999999999978E-2</v>
      </c>
      <c r="V215" s="138">
        <f t="shared" si="45"/>
        <v>422.11111111111103</v>
      </c>
      <c r="W215" s="142">
        <f ca="1">V215*VLOOKUP(TODAY(),'UF HOY'!$A$2:$B$33,2,0)</f>
        <v>16772137.56222222</v>
      </c>
      <c r="X215" s="143">
        <f>Datos!$E$3</f>
        <v>31</v>
      </c>
      <c r="Y215" s="144">
        <f ca="1">IF((W215-1000000-Datos!$D$3)/X215&gt;0,(W215-1000000-Datos!$D$3)/X215,0)</f>
        <v>500714.11491039419</v>
      </c>
      <c r="Z215" s="143">
        <f>Datos!$F$3</f>
        <v>31</v>
      </c>
      <c r="AA215" s="144">
        <f ca="1">IF((W215-1750000-Datos!$D$3-3%*O215*VLOOKUP(TODAY(),'UF HOY'!$A$2:$B$33,2,0))/Z215&gt;0,(W215-1750000-Datos!$D$3-3%*O215*VLOOKUP(TODAY(),'UF HOY'!$A$2:$B$33,2,0))/Z215,0)</f>
        <v>314209.55785663077</v>
      </c>
      <c r="AB215" s="142">
        <f>IF(L215&gt;0,VLOOKUP(D215,Datos!$C$7:$E$11,3,0),VLOOKUP(D215,Datos!$C$7:$E$11,2,0))</f>
        <v>420000</v>
      </c>
      <c r="AC215" s="144">
        <f ca="1">(S215*PMT(Datos!$H$13,Datos!$H$12,-O215,,)*VLOOKUP(TODAY(),'UF HOY'!$A$2:$B$33,2,0)/12)+VLOOKUP(TODAY(),'UF HOY'!$A$2:$B$33,2,0)</f>
        <v>686356.85860447749</v>
      </c>
      <c r="AD215" s="144">
        <f t="shared" ca="1" si="46"/>
        <v>-266356.85860447749</v>
      </c>
      <c r="AE215" s="47">
        <f t="shared" ca="1" si="47"/>
        <v>2745427.4344179099</v>
      </c>
    </row>
    <row r="216" spans="1:31" s="145" customFormat="1" ht="15.5" x14ac:dyDescent="0.35">
      <c r="A216" s="129" t="s">
        <v>105</v>
      </c>
      <c r="B216" s="130">
        <v>1611</v>
      </c>
      <c r="C216" s="131" t="s">
        <v>152</v>
      </c>
      <c r="D216" s="131" t="s">
        <v>155</v>
      </c>
      <c r="E216" s="131"/>
      <c r="F216" s="131">
        <v>42.68</v>
      </c>
      <c r="G216" s="131">
        <v>3.84</v>
      </c>
      <c r="H216" s="132">
        <f t="shared" si="36"/>
        <v>44.6</v>
      </c>
      <c r="I216" s="132">
        <f t="shared" si="37"/>
        <v>46.519999999999996</v>
      </c>
      <c r="J216" s="69">
        <v>3820</v>
      </c>
      <c r="K216" s="134">
        <v>0</v>
      </c>
      <c r="L216" s="135">
        <v>0</v>
      </c>
      <c r="M216" s="135">
        <v>0</v>
      </c>
      <c r="N216" s="69">
        <f t="shared" si="38"/>
        <v>3820</v>
      </c>
      <c r="O216" s="39">
        <f t="shared" si="39"/>
        <v>4244.4444444444443</v>
      </c>
      <c r="P216" s="136">
        <f t="shared" si="40"/>
        <v>85.650224215246638</v>
      </c>
      <c r="Q216" s="137">
        <f t="shared" si="41"/>
        <v>0.1</v>
      </c>
      <c r="R216" s="138">
        <f t="shared" si="42"/>
        <v>424.44444444444446</v>
      </c>
      <c r="S216" s="139">
        <v>0.8</v>
      </c>
      <c r="T216" s="138">
        <f t="shared" si="43"/>
        <v>3395.5555555555557</v>
      </c>
      <c r="U216" s="140">
        <f t="shared" si="44"/>
        <v>9.9999999999999978E-2</v>
      </c>
      <c r="V216" s="138">
        <f t="shared" si="45"/>
        <v>424.44444444444434</v>
      </c>
      <c r="W216" s="142">
        <f ca="1">V216*VLOOKUP(TODAY(),'UF HOY'!$A$2:$B$33,2,0)</f>
        <v>16864850.088888887</v>
      </c>
      <c r="X216" s="143">
        <f>Datos!$E$3</f>
        <v>31</v>
      </c>
      <c r="Y216" s="144">
        <f ca="1">IF((W216-1000000-Datos!$D$3)/X216&gt;0,(W216-1000000-Datos!$D$3)/X216,0)</f>
        <v>503704.84157706087</v>
      </c>
      <c r="Z216" s="143">
        <f>Datos!$F$3</f>
        <v>31</v>
      </c>
      <c r="AA216" s="144">
        <f ca="1">IF((W216-1750000-Datos!$D$3-3%*O216*VLOOKUP(TODAY(),'UF HOY'!$A$2:$B$33,2,0))/Z216&gt;0,(W216-1750000-Datos!$D$3-3%*O216*VLOOKUP(TODAY(),'UF HOY'!$A$2:$B$33,2,0))/Z216,0)</f>
        <v>316303.0665232974</v>
      </c>
      <c r="AB216" s="142">
        <f>IF(L216&gt;0,VLOOKUP(D216,Datos!$C$7:$E$11,3,0),VLOOKUP(D216,Datos!$C$7:$E$11,2,0))</f>
        <v>420000</v>
      </c>
      <c r="AC216" s="144">
        <f ca="1">(S216*PMT(Datos!$H$13,Datos!$H$12,-O216,,)*VLOOKUP(TODAY(),'UF HOY'!$A$2:$B$33,2,0)/12)+VLOOKUP(TODAY(),'UF HOY'!$A$2:$B$33,2,0)</f>
        <v>689931.24167652125</v>
      </c>
      <c r="AD216" s="144">
        <f t="shared" ca="1" si="46"/>
        <v>-269931.24167652125</v>
      </c>
      <c r="AE216" s="47">
        <f t="shared" ca="1" si="47"/>
        <v>2759724.966706085</v>
      </c>
    </row>
    <row r="217" spans="1:31" s="145" customFormat="1" ht="15.5" x14ac:dyDescent="0.35">
      <c r="A217" s="129" t="s">
        <v>105</v>
      </c>
      <c r="B217" s="130">
        <v>1711</v>
      </c>
      <c r="C217" s="131" t="s">
        <v>152</v>
      </c>
      <c r="D217" s="131" t="s">
        <v>155</v>
      </c>
      <c r="E217" s="131"/>
      <c r="F217" s="131">
        <v>42.68</v>
      </c>
      <c r="G217" s="131">
        <v>3.84</v>
      </c>
      <c r="H217" s="132">
        <f t="shared" si="36"/>
        <v>44.6</v>
      </c>
      <c r="I217" s="132">
        <f t="shared" si="37"/>
        <v>46.519999999999996</v>
      </c>
      <c r="J217" s="69">
        <v>3841</v>
      </c>
      <c r="K217" s="134">
        <v>0</v>
      </c>
      <c r="L217" s="135">
        <v>0</v>
      </c>
      <c r="M217" s="135">
        <v>0</v>
      </c>
      <c r="N217" s="69">
        <f t="shared" si="38"/>
        <v>3841</v>
      </c>
      <c r="O217" s="39">
        <f t="shared" si="39"/>
        <v>4267.7777777777774</v>
      </c>
      <c r="P217" s="136">
        <f t="shared" si="40"/>
        <v>86.121076233183857</v>
      </c>
      <c r="Q217" s="137">
        <f t="shared" si="41"/>
        <v>0.1</v>
      </c>
      <c r="R217" s="138">
        <f t="shared" si="42"/>
        <v>426.77777777777777</v>
      </c>
      <c r="S217" s="139">
        <v>0.8</v>
      </c>
      <c r="T217" s="138">
        <f t="shared" si="43"/>
        <v>3414.2222222222222</v>
      </c>
      <c r="U217" s="140">
        <f t="shared" si="44"/>
        <v>9.9999999999999978E-2</v>
      </c>
      <c r="V217" s="138">
        <f t="shared" si="45"/>
        <v>426.77777777777766</v>
      </c>
      <c r="W217" s="142">
        <f ca="1">V217*VLOOKUP(TODAY(),'UF HOY'!$A$2:$B$33,2,0)</f>
        <v>16957562.615555551</v>
      </c>
      <c r="X217" s="143">
        <f>Datos!$E$3</f>
        <v>31</v>
      </c>
      <c r="Y217" s="144">
        <f ca="1">IF((W217-1000000-Datos!$D$3)/X217&gt;0,(W217-1000000-Datos!$D$3)/X217,0)</f>
        <v>506695.56824372744</v>
      </c>
      <c r="Z217" s="143">
        <f>Datos!$F$3</f>
        <v>31</v>
      </c>
      <c r="AA217" s="144">
        <f ca="1">IF((W217-1750000-Datos!$D$3-3%*O217*VLOOKUP(TODAY(),'UF HOY'!$A$2:$B$33,2,0))/Z217&gt;0,(W217-1750000-Datos!$D$3-3%*O217*VLOOKUP(TODAY(),'UF HOY'!$A$2:$B$33,2,0))/Z217,0)</f>
        <v>318396.57518996409</v>
      </c>
      <c r="AB217" s="142">
        <f>IF(L217&gt;0,VLOOKUP(D217,Datos!$C$7:$E$11,3,0),VLOOKUP(D217,Datos!$C$7:$E$11,2,0))</f>
        <v>420000</v>
      </c>
      <c r="AC217" s="144">
        <f ca="1">(S217*PMT(Datos!$H$13,Datos!$H$12,-O217,,)*VLOOKUP(TODAY(),'UF HOY'!$A$2:$B$33,2,0)/12)+VLOOKUP(TODAY(),'UF HOY'!$A$2:$B$33,2,0)</f>
        <v>693505.62474856479</v>
      </c>
      <c r="AD217" s="144">
        <f t="shared" ca="1" si="46"/>
        <v>-273505.62474856479</v>
      </c>
      <c r="AE217" s="47">
        <f t="shared" ca="1" si="47"/>
        <v>2774022.4989942592</v>
      </c>
    </row>
    <row r="218" spans="1:31" s="145" customFormat="1" ht="15.5" x14ac:dyDescent="0.35">
      <c r="A218" s="129" t="s">
        <v>105</v>
      </c>
      <c r="B218" s="130">
        <v>1811</v>
      </c>
      <c r="C218" s="131" t="s">
        <v>152</v>
      </c>
      <c r="D218" s="131" t="s">
        <v>155</v>
      </c>
      <c r="E218" s="131"/>
      <c r="F218" s="131">
        <v>42.68</v>
      </c>
      <c r="G218" s="131">
        <v>3.84</v>
      </c>
      <c r="H218" s="132">
        <f t="shared" si="36"/>
        <v>44.6</v>
      </c>
      <c r="I218" s="132">
        <f t="shared" si="37"/>
        <v>46.519999999999996</v>
      </c>
      <c r="J218" s="69">
        <v>3863</v>
      </c>
      <c r="K218" s="134">
        <v>0</v>
      </c>
      <c r="L218" s="135">
        <v>0</v>
      </c>
      <c r="M218" s="135">
        <v>0</v>
      </c>
      <c r="N218" s="69">
        <f t="shared" si="38"/>
        <v>3863</v>
      </c>
      <c r="O218" s="39">
        <f t="shared" si="39"/>
        <v>4292.2222222222217</v>
      </c>
      <c r="P218" s="136">
        <f t="shared" si="40"/>
        <v>86.614349775784746</v>
      </c>
      <c r="Q218" s="137">
        <f t="shared" si="41"/>
        <v>0.1</v>
      </c>
      <c r="R218" s="138">
        <f t="shared" si="42"/>
        <v>429.22222222222217</v>
      </c>
      <c r="S218" s="139">
        <v>0.8</v>
      </c>
      <c r="T218" s="138">
        <f t="shared" si="43"/>
        <v>3433.7777777777774</v>
      </c>
      <c r="U218" s="140">
        <f t="shared" si="44"/>
        <v>9.9999999999999978E-2</v>
      </c>
      <c r="V218" s="138">
        <f t="shared" si="45"/>
        <v>429.22222222222206</v>
      </c>
      <c r="W218" s="142">
        <f ca="1">V218*VLOOKUP(TODAY(),'UF HOY'!$A$2:$B$33,2,0)</f>
        <v>17054690.024444439</v>
      </c>
      <c r="X218" s="143">
        <f>Datos!$E$3</f>
        <v>31</v>
      </c>
      <c r="Y218" s="144">
        <f ca="1">IF((W218-1000000-Datos!$D$3)/X218&gt;0,(W218-1000000-Datos!$D$3)/X218,0)</f>
        <v>509828.71046594961</v>
      </c>
      <c r="Z218" s="143">
        <f>Datos!$F$3</f>
        <v>31</v>
      </c>
      <c r="AA218" s="144">
        <f ca="1">IF((W218-1750000-Datos!$D$3-3%*O218*VLOOKUP(TODAY(),'UF HOY'!$A$2:$B$33,2,0))/Z218&gt;0,(W218-1750000-Datos!$D$3-3%*O218*VLOOKUP(TODAY(),'UF HOY'!$A$2:$B$33,2,0))/Z218,0)</f>
        <v>320589.77474551956</v>
      </c>
      <c r="AB218" s="142">
        <f>IF(L218&gt;0,VLOOKUP(D218,Datos!$C$7:$E$11,3,0),VLOOKUP(D218,Datos!$C$7:$E$11,2,0))</f>
        <v>420000</v>
      </c>
      <c r="AC218" s="144">
        <f ca="1">(S218*PMT(Datos!$H$13,Datos!$H$12,-O218,,)*VLOOKUP(TODAY(),'UF HOY'!$A$2:$B$33,2,0)/12)+VLOOKUP(TODAY(),'UF HOY'!$A$2:$B$33,2,0)</f>
        <v>697250.21653832495</v>
      </c>
      <c r="AD218" s="144">
        <f t="shared" ca="1" si="46"/>
        <v>-277250.21653832495</v>
      </c>
      <c r="AE218" s="47">
        <f t="shared" ca="1" si="47"/>
        <v>2789000.8661532998</v>
      </c>
    </row>
    <row r="219" spans="1:31" s="145" customFormat="1" ht="15.5" x14ac:dyDescent="0.35">
      <c r="A219" s="129" t="s">
        <v>105</v>
      </c>
      <c r="B219" s="130">
        <v>215</v>
      </c>
      <c r="C219" s="131" t="s">
        <v>151</v>
      </c>
      <c r="D219" s="131" t="s">
        <v>154</v>
      </c>
      <c r="E219" s="131"/>
      <c r="F219" s="131">
        <v>52.54</v>
      </c>
      <c r="G219" s="131">
        <v>10.38</v>
      </c>
      <c r="H219" s="132">
        <f t="shared" si="36"/>
        <v>57.73</v>
      </c>
      <c r="I219" s="132">
        <f t="shared" si="37"/>
        <v>62.92</v>
      </c>
      <c r="J219" s="69">
        <v>3987</v>
      </c>
      <c r="K219" s="134">
        <v>0</v>
      </c>
      <c r="L219" s="135">
        <v>0</v>
      </c>
      <c r="M219" s="135">
        <v>0</v>
      </c>
      <c r="N219" s="69">
        <f t="shared" si="38"/>
        <v>3987</v>
      </c>
      <c r="O219" s="39">
        <f t="shared" si="39"/>
        <v>4430</v>
      </c>
      <c r="P219" s="136">
        <f t="shared" si="40"/>
        <v>69.062878919106183</v>
      </c>
      <c r="Q219" s="137">
        <f t="shared" si="41"/>
        <v>0.1</v>
      </c>
      <c r="R219" s="138">
        <f t="shared" si="42"/>
        <v>443</v>
      </c>
      <c r="S219" s="139">
        <v>0.8</v>
      </c>
      <c r="T219" s="138">
        <f t="shared" si="43"/>
        <v>3544</v>
      </c>
      <c r="U219" s="140">
        <f t="shared" si="44"/>
        <v>9.9999999999999978E-2</v>
      </c>
      <c r="V219" s="138">
        <f t="shared" si="45"/>
        <v>442.99999999999989</v>
      </c>
      <c r="W219" s="142">
        <f ca="1">V219*VLOOKUP(TODAY(),'UF HOY'!$A$2:$B$33,2,0)</f>
        <v>17602135.419999998</v>
      </c>
      <c r="X219" s="143">
        <f>Datos!$E$3</f>
        <v>31</v>
      </c>
      <c r="Y219" s="144">
        <f ca="1">IF((W219-1000000-Datos!$D$3)/X219&gt;0,(W219-1000000-Datos!$D$3)/X219,0)</f>
        <v>527488.23935483862</v>
      </c>
      <c r="Z219" s="143">
        <f>Datos!$F$3</f>
        <v>31</v>
      </c>
      <c r="AA219" s="144">
        <f ca="1">IF((W219-1750000-Datos!$D$3-3%*O219*VLOOKUP(TODAY(),'UF HOY'!$A$2:$B$33,2,0))/Z219&gt;0,(W219-1750000-Datos!$D$3-3%*O219*VLOOKUP(TODAY(),'UF HOY'!$A$2:$B$33,2,0))/Z219,0)</f>
        <v>332951.44496774185</v>
      </c>
      <c r="AB219" s="142">
        <f>IF(L219&gt;0,VLOOKUP(D219,Datos!$C$7:$E$11,3,0),VLOOKUP(D219,Datos!$C$7:$E$11,2,0))</f>
        <v>480000</v>
      </c>
      <c r="AC219" s="144">
        <f ca="1">(S219*PMT(Datos!$H$13,Datos!$H$12,-O219,,)*VLOOKUP(TODAY(),'UF HOY'!$A$2:$B$33,2,0)/12)+VLOOKUP(TODAY(),'UF HOY'!$A$2:$B$33,2,0)</f>
        <v>718356.09753515432</v>
      </c>
      <c r="AD219" s="144">
        <f t="shared" ca="1" si="46"/>
        <v>-238356.09753515432</v>
      </c>
      <c r="AE219" s="47">
        <f t="shared" ca="1" si="47"/>
        <v>2873424.3901406173</v>
      </c>
    </row>
    <row r="220" spans="1:31" s="145" customFormat="1" ht="15.5" hidden="1" x14ac:dyDescent="0.35">
      <c r="A220" s="129" t="s">
        <v>170</v>
      </c>
      <c r="B220" s="129">
        <v>305</v>
      </c>
      <c r="C220" s="131" t="s">
        <v>151</v>
      </c>
      <c r="D220" s="131" t="s">
        <v>154</v>
      </c>
      <c r="E220" s="131"/>
      <c r="F220" s="131">
        <v>52.94</v>
      </c>
      <c r="G220" s="131">
        <v>7.04</v>
      </c>
      <c r="H220" s="132">
        <f t="shared" si="36"/>
        <v>56.46</v>
      </c>
      <c r="I220" s="132">
        <f t="shared" si="37"/>
        <v>59.98</v>
      </c>
      <c r="J220" s="133">
        <v>4008.8018070000003</v>
      </c>
      <c r="K220" s="134">
        <v>0</v>
      </c>
      <c r="L220" s="135">
        <v>0</v>
      </c>
      <c r="M220" s="135">
        <v>0</v>
      </c>
      <c r="N220" s="69">
        <f t="shared" si="38"/>
        <v>4008.8018070000003</v>
      </c>
      <c r="O220" s="39">
        <f t="shared" si="39"/>
        <v>4454.2242299999998</v>
      </c>
      <c r="P220" s="136">
        <f t="shared" si="40"/>
        <v>71.002511636556861</v>
      </c>
      <c r="Q220" s="137">
        <f t="shared" si="41"/>
        <v>0.1</v>
      </c>
      <c r="R220" s="138">
        <f t="shared" si="42"/>
        <v>445.42242299999998</v>
      </c>
      <c r="S220" s="139">
        <v>0.8</v>
      </c>
      <c r="T220" s="138">
        <f t="shared" si="43"/>
        <v>3563.3793839999998</v>
      </c>
      <c r="U220" s="140">
        <f t="shared" si="44"/>
        <v>9.9999999999999978E-2</v>
      </c>
      <c r="V220" s="138">
        <f t="shared" si="45"/>
        <v>445.42242299999987</v>
      </c>
      <c r="W220" s="142">
        <f ca="1">V220*VLOOKUP(TODAY(),'UF HOY'!$A$2:$B$33,2,0)</f>
        <v>17698387.830136616</v>
      </c>
      <c r="X220" s="143">
        <f>Datos!$E$3</f>
        <v>31</v>
      </c>
      <c r="Y220" s="144">
        <f ca="1">IF((W220-1000000-Datos!$D$3)/X220&gt;0,(W220-1000000-Datos!$D$3)/X220,0)</f>
        <v>530593.15581085859</v>
      </c>
      <c r="Z220" s="143">
        <f>Datos!$F$3</f>
        <v>31</v>
      </c>
      <c r="AA220" s="144">
        <f ca="1">IF((W220-1750000-Datos!$D$3-3%*O220*VLOOKUP(TODAY(),'UF HOY'!$A$2:$B$33,2,0))/Z220&gt;0,(W220-1750000-Datos!$D$3-3%*O220*VLOOKUP(TODAY(),'UF HOY'!$A$2:$B$33,2,0))/Z220,0)</f>
        <v>335124.8864869558</v>
      </c>
      <c r="AB220" s="142">
        <f>IF(L220&gt;0,VLOOKUP(D220,Datos!$C$7:$E$11,3,0),VLOOKUP(D220,Datos!$C$7:$E$11,2,0))</f>
        <v>480000</v>
      </c>
      <c r="AC220" s="144">
        <f ca="1">(S220*PMT(Datos!$H$13,Datos!$H$12,-O220,,)*VLOOKUP(TODAY(),'UF HOY'!$A$2:$B$33,2,0)/12)+VLOOKUP(TODAY(),'UF HOY'!$A$2:$B$33,2,0)</f>
        <v>722066.95514852414</v>
      </c>
      <c r="AD220" s="144">
        <f t="shared" ca="1" si="46"/>
        <v>-242066.95514852414</v>
      </c>
      <c r="AE220" s="47">
        <f t="shared" ca="1" si="47"/>
        <v>2888267.8205940966</v>
      </c>
    </row>
    <row r="221" spans="1:31" s="145" customFormat="1" ht="15.5" x14ac:dyDescent="0.35">
      <c r="A221" s="129" t="s">
        <v>105</v>
      </c>
      <c r="B221" s="130">
        <v>315</v>
      </c>
      <c r="C221" s="131" t="s">
        <v>151</v>
      </c>
      <c r="D221" s="131" t="s">
        <v>154</v>
      </c>
      <c r="E221" s="131"/>
      <c r="F221" s="131">
        <v>52.54</v>
      </c>
      <c r="G221" s="131">
        <v>3.78</v>
      </c>
      <c r="H221" s="132">
        <f t="shared" si="36"/>
        <v>54.43</v>
      </c>
      <c r="I221" s="132">
        <f t="shared" si="37"/>
        <v>56.32</v>
      </c>
      <c r="J221" s="69">
        <v>4009</v>
      </c>
      <c r="K221" s="134">
        <v>0</v>
      </c>
      <c r="L221" s="135">
        <v>0</v>
      </c>
      <c r="M221" s="135">
        <v>0</v>
      </c>
      <c r="N221" s="69">
        <f t="shared" si="38"/>
        <v>4009</v>
      </c>
      <c r="O221" s="39">
        <f t="shared" si="39"/>
        <v>4454.4444444444443</v>
      </c>
      <c r="P221" s="136">
        <f t="shared" si="40"/>
        <v>73.654234796986955</v>
      </c>
      <c r="Q221" s="137">
        <f t="shared" si="41"/>
        <v>0.1</v>
      </c>
      <c r="R221" s="138">
        <f t="shared" si="42"/>
        <v>445.44444444444446</v>
      </c>
      <c r="S221" s="139">
        <v>0.8</v>
      </c>
      <c r="T221" s="138">
        <f t="shared" si="43"/>
        <v>3563.5555555555557</v>
      </c>
      <c r="U221" s="140">
        <f t="shared" si="44"/>
        <v>9.9999999999999978E-2</v>
      </c>
      <c r="V221" s="138">
        <f t="shared" si="45"/>
        <v>445.44444444444434</v>
      </c>
      <c r="W221" s="142">
        <f ca="1">V221*VLOOKUP(TODAY(),'UF HOY'!$A$2:$B$33,2,0)</f>
        <v>17699262.828888886</v>
      </c>
      <c r="X221" s="143">
        <f>Datos!$E$3</f>
        <v>31</v>
      </c>
      <c r="Y221" s="144">
        <f ca="1">IF((W221-1000000-Datos!$D$3)/X221&gt;0,(W221-1000000-Datos!$D$3)/X221,0)</f>
        <v>530621.38157706079</v>
      </c>
      <c r="Z221" s="143">
        <f>Datos!$F$3</f>
        <v>31</v>
      </c>
      <c r="AA221" s="144">
        <f ca="1">IF((W221-1750000-Datos!$D$3-3%*O221*VLOOKUP(TODAY(),'UF HOY'!$A$2:$B$33,2,0))/Z221&gt;0,(W221-1750000-Datos!$D$3-3%*O221*VLOOKUP(TODAY(),'UF HOY'!$A$2:$B$33,2,0))/Z221,0)</f>
        <v>335144.64452329732</v>
      </c>
      <c r="AB221" s="142">
        <f>IF(L221&gt;0,VLOOKUP(D221,Datos!$C$7:$E$11,3,0),VLOOKUP(D221,Datos!$C$7:$E$11,2,0))</f>
        <v>480000</v>
      </c>
      <c r="AC221" s="144">
        <f ca="1">(S221*PMT(Datos!$H$13,Datos!$H$12,-O221,,)*VLOOKUP(TODAY(),'UF HOY'!$A$2:$B$33,2,0)/12)+VLOOKUP(TODAY(),'UF HOY'!$A$2:$B$33,2,0)</f>
        <v>722100.68932491448</v>
      </c>
      <c r="AD221" s="144">
        <f t="shared" ca="1" si="46"/>
        <v>-242100.68932491448</v>
      </c>
      <c r="AE221" s="47">
        <f t="shared" ca="1" si="47"/>
        <v>2888402.7572996579</v>
      </c>
    </row>
    <row r="222" spans="1:31" s="145" customFormat="1" ht="15.5" hidden="1" x14ac:dyDescent="0.35">
      <c r="A222" s="129" t="s">
        <v>170</v>
      </c>
      <c r="B222" s="130">
        <v>415</v>
      </c>
      <c r="C222" s="131" t="s">
        <v>151</v>
      </c>
      <c r="D222" s="131" t="s">
        <v>154</v>
      </c>
      <c r="E222" s="131"/>
      <c r="F222" s="131">
        <v>52.89</v>
      </c>
      <c r="G222" s="131">
        <v>3.84</v>
      </c>
      <c r="H222" s="132">
        <f t="shared" si="36"/>
        <v>54.81</v>
      </c>
      <c r="I222" s="132">
        <f t="shared" si="37"/>
        <v>56.730000000000004</v>
      </c>
      <c r="J222" s="133">
        <v>4030.850216938501</v>
      </c>
      <c r="K222" s="134">
        <v>0</v>
      </c>
      <c r="L222" s="135">
        <v>0</v>
      </c>
      <c r="M222" s="135">
        <v>0</v>
      </c>
      <c r="N222" s="69">
        <f t="shared" si="38"/>
        <v>4030.850216938501</v>
      </c>
      <c r="O222" s="39">
        <f t="shared" si="39"/>
        <v>4478.7224632650014</v>
      </c>
      <c r="P222" s="136">
        <f t="shared" si="40"/>
        <v>73.542240776108386</v>
      </c>
      <c r="Q222" s="137">
        <f t="shared" si="41"/>
        <v>0.1</v>
      </c>
      <c r="R222" s="138">
        <f t="shared" si="42"/>
        <v>447.87224632650015</v>
      </c>
      <c r="S222" s="139">
        <v>0.8</v>
      </c>
      <c r="T222" s="138">
        <f t="shared" si="43"/>
        <v>3582.9779706120012</v>
      </c>
      <c r="U222" s="140">
        <f t="shared" si="44"/>
        <v>9.9999999999999978E-2</v>
      </c>
      <c r="V222" s="138">
        <f t="shared" si="45"/>
        <v>447.87224632650003</v>
      </c>
      <c r="W222" s="142">
        <f ca="1">V222*VLOOKUP(TODAY(),'UF HOY'!$A$2:$B$33,2,0)</f>
        <v>17795728.963202372</v>
      </c>
      <c r="X222" s="143">
        <f>Datos!$E$3</f>
        <v>31</v>
      </c>
      <c r="Y222" s="144">
        <f ca="1">IF((W222-1000000-Datos!$D$3)/X222&gt;0,(W222-1000000-Datos!$D$3)/X222,0)</f>
        <v>533733.19236136682</v>
      </c>
      <c r="Z222" s="143">
        <f>Datos!$F$3</f>
        <v>31</v>
      </c>
      <c r="AA222" s="144">
        <f ca="1">IF((W222-1750000-Datos!$D$3-3%*O222*VLOOKUP(TODAY(),'UF HOY'!$A$2:$B$33,2,0))/Z222&gt;0,(W222-1750000-Datos!$D$3-3%*O222*VLOOKUP(TODAY(),'UF HOY'!$A$2:$B$33,2,0))/Z222,0)</f>
        <v>337322.91207231162</v>
      </c>
      <c r="AB222" s="142">
        <f>IF(L222&gt;0,VLOOKUP(D222,Datos!$C$7:$E$11,3,0),VLOOKUP(D222,Datos!$C$7:$E$11,2,0))</f>
        <v>480000</v>
      </c>
      <c r="AC222" s="144">
        <f ca="1">(S222*PMT(Datos!$H$13,Datos!$H$12,-O222,,)*VLOOKUP(TODAY(),'UF HOY'!$A$2:$B$33,2,0)/12)+VLOOKUP(TODAY(),'UF HOY'!$A$2:$B$33,2,0)</f>
        <v>725819.78673184128</v>
      </c>
      <c r="AD222" s="144">
        <f t="shared" ca="1" si="46"/>
        <v>-245819.78673184128</v>
      </c>
      <c r="AE222" s="47">
        <f t="shared" ca="1" si="47"/>
        <v>2903279.1469273651</v>
      </c>
    </row>
    <row r="223" spans="1:31" s="145" customFormat="1" ht="15.5" x14ac:dyDescent="0.35">
      <c r="A223" s="129" t="s">
        <v>105</v>
      </c>
      <c r="B223" s="130">
        <v>515</v>
      </c>
      <c r="C223" s="131" t="s">
        <v>151</v>
      </c>
      <c r="D223" s="131" t="s">
        <v>154</v>
      </c>
      <c r="E223" s="131"/>
      <c r="F223" s="131">
        <v>52.89</v>
      </c>
      <c r="G223" s="131">
        <v>3.84</v>
      </c>
      <c r="H223" s="132">
        <f t="shared" si="36"/>
        <v>54.81</v>
      </c>
      <c r="I223" s="132">
        <f t="shared" si="37"/>
        <v>56.730000000000004</v>
      </c>
      <c r="J223" s="69">
        <v>4068</v>
      </c>
      <c r="K223" s="134">
        <v>0</v>
      </c>
      <c r="L223" s="135">
        <v>0</v>
      </c>
      <c r="M223" s="135">
        <v>0</v>
      </c>
      <c r="N223" s="69">
        <f t="shared" si="38"/>
        <v>4068</v>
      </c>
      <c r="O223" s="39">
        <f t="shared" si="39"/>
        <v>4520</v>
      </c>
      <c r="P223" s="136">
        <f t="shared" si="40"/>
        <v>74.220032840722496</v>
      </c>
      <c r="Q223" s="137">
        <f t="shared" si="41"/>
        <v>0.1</v>
      </c>
      <c r="R223" s="138">
        <f t="shared" si="42"/>
        <v>452</v>
      </c>
      <c r="S223" s="139">
        <v>0.8</v>
      </c>
      <c r="T223" s="138">
        <f t="shared" si="43"/>
        <v>3616</v>
      </c>
      <c r="U223" s="140">
        <f t="shared" si="44"/>
        <v>9.9999999999999978E-2</v>
      </c>
      <c r="V223" s="138">
        <f t="shared" si="45"/>
        <v>451.99999999999989</v>
      </c>
      <c r="W223" s="142">
        <f ca="1">V223*VLOOKUP(TODAY(),'UF HOY'!$A$2:$B$33,2,0)</f>
        <v>17959740.879999995</v>
      </c>
      <c r="X223" s="143">
        <f>Datos!$E$3</f>
        <v>31</v>
      </c>
      <c r="Y223" s="144">
        <f ca="1">IF((W223-1000000-Datos!$D$3)/X223&gt;0,(W223-1000000-Datos!$D$3)/X223,0)</f>
        <v>539023.89935483853</v>
      </c>
      <c r="Z223" s="143">
        <f>Datos!$F$3</f>
        <v>31</v>
      </c>
      <c r="AA223" s="144">
        <f ca="1">IF((W223-1750000-Datos!$D$3-3%*O223*VLOOKUP(TODAY(),'UF HOY'!$A$2:$B$33,2,0))/Z223&gt;0,(W223-1750000-Datos!$D$3-3%*O223*VLOOKUP(TODAY(),'UF HOY'!$A$2:$B$33,2,0))/Z223,0)</f>
        <v>341026.40696774179</v>
      </c>
      <c r="AB223" s="142">
        <f>IF(L223&gt;0,VLOOKUP(D223,Datos!$C$7:$E$11,3,0),VLOOKUP(D223,Datos!$C$7:$E$11,2,0))</f>
        <v>480000</v>
      </c>
      <c r="AC223" s="144">
        <f ca="1">(S223*PMT(Datos!$H$13,Datos!$H$12,-O223,,)*VLOOKUP(TODAY(),'UF HOY'!$A$2:$B$33,2,0)/12)+VLOOKUP(TODAY(),'UF HOY'!$A$2:$B$33,2,0)</f>
        <v>732143.00367018022</v>
      </c>
      <c r="AD223" s="144">
        <f t="shared" ca="1" si="46"/>
        <v>-252143.00367018022</v>
      </c>
      <c r="AE223" s="47">
        <f t="shared" ca="1" si="47"/>
        <v>2928572.0146807209</v>
      </c>
    </row>
    <row r="224" spans="1:31" s="145" customFormat="1" ht="15.5" x14ac:dyDescent="0.35">
      <c r="A224" s="129" t="s">
        <v>105</v>
      </c>
      <c r="B224" s="130">
        <v>615</v>
      </c>
      <c r="C224" s="131" t="s">
        <v>151</v>
      </c>
      <c r="D224" s="131" t="s">
        <v>154</v>
      </c>
      <c r="E224" s="131"/>
      <c r="F224" s="131">
        <v>52.89</v>
      </c>
      <c r="G224" s="131">
        <v>3.84</v>
      </c>
      <c r="H224" s="132">
        <f t="shared" si="36"/>
        <v>54.81</v>
      </c>
      <c r="I224" s="132">
        <f t="shared" si="37"/>
        <v>56.730000000000004</v>
      </c>
      <c r="J224" s="69">
        <v>4090</v>
      </c>
      <c r="K224" s="134">
        <v>0</v>
      </c>
      <c r="L224" s="135">
        <v>0</v>
      </c>
      <c r="M224" s="135">
        <v>0</v>
      </c>
      <c r="N224" s="69">
        <f t="shared" si="38"/>
        <v>4090</v>
      </c>
      <c r="O224" s="39">
        <f t="shared" si="39"/>
        <v>4544.4444444444443</v>
      </c>
      <c r="P224" s="136">
        <f t="shared" si="40"/>
        <v>74.621419449005657</v>
      </c>
      <c r="Q224" s="137">
        <f t="shared" si="41"/>
        <v>0.1</v>
      </c>
      <c r="R224" s="138">
        <f t="shared" si="42"/>
        <v>454.44444444444446</v>
      </c>
      <c r="S224" s="139">
        <v>0.8</v>
      </c>
      <c r="T224" s="138">
        <f t="shared" si="43"/>
        <v>3635.5555555555557</v>
      </c>
      <c r="U224" s="140">
        <f t="shared" si="44"/>
        <v>9.9999999999999978E-2</v>
      </c>
      <c r="V224" s="138">
        <f t="shared" si="45"/>
        <v>454.44444444444434</v>
      </c>
      <c r="W224" s="142">
        <f ca="1">V224*VLOOKUP(TODAY(),'UF HOY'!$A$2:$B$33,2,0)</f>
        <v>18056868.288888887</v>
      </c>
      <c r="X224" s="143">
        <f>Datos!$E$3</f>
        <v>31</v>
      </c>
      <c r="Y224" s="144">
        <f ca="1">IF((W224-1000000-Datos!$D$3)/X224&gt;0,(W224-1000000-Datos!$D$3)/X224,0)</f>
        <v>542157.04157706082</v>
      </c>
      <c r="Z224" s="143">
        <f>Datos!$F$3</f>
        <v>31</v>
      </c>
      <c r="AA224" s="144">
        <f ca="1">IF((W224-1750000-Datos!$D$3-3%*O224*VLOOKUP(TODAY(),'UF HOY'!$A$2:$B$33,2,0))/Z224&gt;0,(W224-1750000-Datos!$D$3-3%*O224*VLOOKUP(TODAY(),'UF HOY'!$A$2:$B$33,2,0))/Z224,0)</f>
        <v>343219.60652329744</v>
      </c>
      <c r="AB224" s="142">
        <f>IF(L224&gt;0,VLOOKUP(D224,Datos!$C$7:$E$11,3,0),VLOOKUP(D224,Datos!$C$7:$E$11,2,0))</f>
        <v>480000</v>
      </c>
      <c r="AC224" s="144">
        <f ca="1">(S224*PMT(Datos!$H$13,Datos!$H$12,-O224,,)*VLOOKUP(TODAY(),'UF HOY'!$A$2:$B$33,2,0)/12)+VLOOKUP(TODAY(),'UF HOY'!$A$2:$B$33,2,0)</f>
        <v>735887.59545994038</v>
      </c>
      <c r="AD224" s="144">
        <f t="shared" ca="1" si="46"/>
        <v>-255887.59545994038</v>
      </c>
      <c r="AE224" s="47">
        <f t="shared" ca="1" si="47"/>
        <v>2943550.3818397615</v>
      </c>
    </row>
    <row r="225" spans="1:31" s="145" customFormat="1" ht="15.5" hidden="1" x14ac:dyDescent="0.35">
      <c r="A225" s="129" t="s">
        <v>170</v>
      </c>
      <c r="B225" s="130">
        <v>605</v>
      </c>
      <c r="C225" s="131" t="s">
        <v>151</v>
      </c>
      <c r="D225" s="131" t="s">
        <v>154</v>
      </c>
      <c r="E225" s="131"/>
      <c r="F225" s="131">
        <v>53.12</v>
      </c>
      <c r="G225" s="131">
        <v>7.04</v>
      </c>
      <c r="H225" s="132">
        <f t="shared" si="36"/>
        <v>56.64</v>
      </c>
      <c r="I225" s="132">
        <f t="shared" si="37"/>
        <v>60.16</v>
      </c>
      <c r="J225" s="133">
        <v>4090.1463825438873</v>
      </c>
      <c r="K225" s="134">
        <v>0</v>
      </c>
      <c r="L225" s="135">
        <v>0</v>
      </c>
      <c r="M225" s="135">
        <v>0</v>
      </c>
      <c r="N225" s="69">
        <f t="shared" si="38"/>
        <v>4090.1463825438873</v>
      </c>
      <c r="O225" s="39">
        <f t="shared" si="39"/>
        <v>4544.6070917154302</v>
      </c>
      <c r="P225" s="136">
        <f t="shared" si="40"/>
        <v>72.213036414969764</v>
      </c>
      <c r="Q225" s="137">
        <f t="shared" si="41"/>
        <v>0.1</v>
      </c>
      <c r="R225" s="138">
        <f t="shared" si="42"/>
        <v>454.46070917154304</v>
      </c>
      <c r="S225" s="139">
        <v>0.8</v>
      </c>
      <c r="T225" s="138">
        <f t="shared" si="43"/>
        <v>3635.6856733723444</v>
      </c>
      <c r="U225" s="140">
        <f t="shared" si="44"/>
        <v>9.9999999999999978E-2</v>
      </c>
      <c r="V225" s="138">
        <f t="shared" si="45"/>
        <v>454.46070917154293</v>
      </c>
      <c r="W225" s="142">
        <f ca="1">V225*VLOOKUP(TODAY(),'UF HOY'!$A$2:$B$33,2,0)</f>
        <v>18057514.550579537</v>
      </c>
      <c r="X225" s="143">
        <f>Datos!$E$3</f>
        <v>31</v>
      </c>
      <c r="Y225" s="144">
        <f ca="1">IF((W225-1000000-Datos!$D$3)/X225&gt;0,(W225-1000000-Datos!$D$3)/X225,0)</f>
        <v>542177.88872837217</v>
      </c>
      <c r="Z225" s="143">
        <f>Datos!$F$3</f>
        <v>31</v>
      </c>
      <c r="AA225" s="144">
        <f ca="1">IF((W225-1750000-Datos!$D$3-3%*O225*VLOOKUP(TODAY(),'UF HOY'!$A$2:$B$33,2,0))/Z225&gt;0,(W225-1750000-Datos!$D$3-3%*O225*VLOOKUP(TODAY(),'UF HOY'!$A$2:$B$33,2,0))/Z225,0)</f>
        <v>343234.19952921534</v>
      </c>
      <c r="AB225" s="142">
        <f>IF(L225&gt;0,VLOOKUP(D225,Datos!$C$7:$E$11,3,0),VLOOKUP(D225,Datos!$C$7:$E$11,2,0))</f>
        <v>480000</v>
      </c>
      <c r="AC225" s="144">
        <f ca="1">(S225*PMT(Datos!$H$13,Datos!$H$12,-O225,,)*VLOOKUP(TODAY(),'UF HOY'!$A$2:$B$33,2,0)/12)+VLOOKUP(TODAY(),'UF HOY'!$A$2:$B$33,2,0)</f>
        <v>735912.51104503148</v>
      </c>
      <c r="AD225" s="144">
        <f t="shared" ca="1" si="46"/>
        <v>-255912.51104503148</v>
      </c>
      <c r="AE225" s="47">
        <f t="shared" ca="1" si="47"/>
        <v>2943650.0441801259</v>
      </c>
    </row>
    <row r="226" spans="1:31" s="145" customFormat="1" ht="15.5" x14ac:dyDescent="0.35">
      <c r="A226" s="129" t="s">
        <v>105</v>
      </c>
      <c r="B226" s="130">
        <v>705</v>
      </c>
      <c r="C226" s="131" t="s">
        <v>151</v>
      </c>
      <c r="D226" s="131" t="s">
        <v>154</v>
      </c>
      <c r="E226" s="131"/>
      <c r="F226" s="131">
        <v>53.12</v>
      </c>
      <c r="G226" s="131">
        <v>7.04</v>
      </c>
      <c r="H226" s="132">
        <f t="shared" si="36"/>
        <v>56.64</v>
      </c>
      <c r="I226" s="132">
        <f t="shared" si="37"/>
        <v>60.16</v>
      </c>
      <c r="J226" s="69">
        <v>4113</v>
      </c>
      <c r="K226" s="134">
        <v>0</v>
      </c>
      <c r="L226" s="135">
        <v>0</v>
      </c>
      <c r="M226" s="135">
        <v>0</v>
      </c>
      <c r="N226" s="69">
        <f t="shared" si="38"/>
        <v>4113</v>
      </c>
      <c r="O226" s="39">
        <f t="shared" si="39"/>
        <v>4570</v>
      </c>
      <c r="P226" s="136">
        <f t="shared" si="40"/>
        <v>72.616525423728817</v>
      </c>
      <c r="Q226" s="137">
        <f t="shared" si="41"/>
        <v>0.1</v>
      </c>
      <c r="R226" s="138">
        <f t="shared" si="42"/>
        <v>457</v>
      </c>
      <c r="S226" s="139">
        <v>0.8</v>
      </c>
      <c r="T226" s="138">
        <f t="shared" si="43"/>
        <v>3656</v>
      </c>
      <c r="U226" s="140">
        <f t="shared" si="44"/>
        <v>9.9999999999999978E-2</v>
      </c>
      <c r="V226" s="138">
        <f t="shared" si="45"/>
        <v>456.99999999999989</v>
      </c>
      <c r="W226" s="142">
        <f ca="1">V226*VLOOKUP(TODAY(),'UF HOY'!$A$2:$B$33,2,0)</f>
        <v>18158410.579999998</v>
      </c>
      <c r="X226" s="143">
        <f>Datos!$E$3</f>
        <v>31</v>
      </c>
      <c r="Y226" s="144">
        <f ca="1">IF((W226-1000000-Datos!$D$3)/X226&gt;0,(W226-1000000-Datos!$D$3)/X226,0)</f>
        <v>545432.5993548386</v>
      </c>
      <c r="Z226" s="143">
        <f>Datos!$F$3</f>
        <v>31</v>
      </c>
      <c r="AA226" s="144">
        <f ca="1">IF((W226-1750000-Datos!$D$3-3%*O226*VLOOKUP(TODAY(),'UF HOY'!$A$2:$B$33,2,0))/Z226&gt;0,(W226-1750000-Datos!$D$3-3%*O226*VLOOKUP(TODAY(),'UF HOY'!$A$2:$B$33,2,0))/Z226,0)</f>
        <v>345512.49696774193</v>
      </c>
      <c r="AB226" s="142">
        <f>IF(L226&gt;0,VLOOKUP(D226,Datos!$C$7:$E$11,3,0),VLOOKUP(D226,Datos!$C$7:$E$11,2,0))</f>
        <v>480000</v>
      </c>
      <c r="AC226" s="144">
        <f ca="1">(S226*PMT(Datos!$H$13,Datos!$H$12,-O226,,)*VLOOKUP(TODAY(),'UF HOY'!$A$2:$B$33,2,0)/12)+VLOOKUP(TODAY(),'UF HOY'!$A$2:$B$33,2,0)</f>
        <v>739802.3959674167</v>
      </c>
      <c r="AD226" s="144">
        <f t="shared" ca="1" si="46"/>
        <v>-259802.3959674167</v>
      </c>
      <c r="AE226" s="47">
        <f t="shared" ca="1" si="47"/>
        <v>2959209.5838696668</v>
      </c>
    </row>
    <row r="227" spans="1:31" s="145" customFormat="1" ht="15.5" x14ac:dyDescent="0.35">
      <c r="A227" s="129" t="s">
        <v>105</v>
      </c>
      <c r="B227" s="130">
        <v>715</v>
      </c>
      <c r="C227" s="131" t="s">
        <v>151</v>
      </c>
      <c r="D227" s="131" t="s">
        <v>154</v>
      </c>
      <c r="E227" s="131"/>
      <c r="F227" s="131">
        <v>52.89</v>
      </c>
      <c r="G227" s="131">
        <v>3.84</v>
      </c>
      <c r="H227" s="132">
        <f t="shared" si="36"/>
        <v>54.81</v>
      </c>
      <c r="I227" s="132">
        <f t="shared" si="37"/>
        <v>56.730000000000004</v>
      </c>
      <c r="J227" s="69">
        <v>4113</v>
      </c>
      <c r="K227" s="134">
        <v>0</v>
      </c>
      <c r="L227" s="135">
        <v>0</v>
      </c>
      <c r="M227" s="135">
        <v>0</v>
      </c>
      <c r="N227" s="69">
        <f t="shared" si="38"/>
        <v>4113</v>
      </c>
      <c r="O227" s="39">
        <f t="shared" si="39"/>
        <v>4570</v>
      </c>
      <c r="P227" s="136">
        <f t="shared" si="40"/>
        <v>75.041050903119867</v>
      </c>
      <c r="Q227" s="137">
        <f t="shared" si="41"/>
        <v>0.1</v>
      </c>
      <c r="R227" s="138">
        <f t="shared" si="42"/>
        <v>457</v>
      </c>
      <c r="S227" s="139">
        <v>0.8</v>
      </c>
      <c r="T227" s="138">
        <f t="shared" si="43"/>
        <v>3656</v>
      </c>
      <c r="U227" s="140">
        <f t="shared" si="44"/>
        <v>9.9999999999999978E-2</v>
      </c>
      <c r="V227" s="138">
        <f t="shared" si="45"/>
        <v>456.99999999999989</v>
      </c>
      <c r="W227" s="142">
        <f ca="1">V227*VLOOKUP(TODAY(),'UF HOY'!$A$2:$B$33,2,0)</f>
        <v>18158410.579999998</v>
      </c>
      <c r="X227" s="143">
        <f>Datos!$E$3</f>
        <v>31</v>
      </c>
      <c r="Y227" s="144">
        <f ca="1">IF((W227-1000000-Datos!$D$3)/X227&gt;0,(W227-1000000-Datos!$D$3)/X227,0)</f>
        <v>545432.5993548386</v>
      </c>
      <c r="Z227" s="143">
        <f>Datos!$F$3</f>
        <v>31</v>
      </c>
      <c r="AA227" s="144">
        <f ca="1">IF((W227-1750000-Datos!$D$3-3%*O227*VLOOKUP(TODAY(),'UF HOY'!$A$2:$B$33,2,0))/Z227&gt;0,(W227-1750000-Datos!$D$3-3%*O227*VLOOKUP(TODAY(),'UF HOY'!$A$2:$B$33,2,0))/Z227,0)</f>
        <v>345512.49696774193</v>
      </c>
      <c r="AB227" s="142">
        <f>IF(L227&gt;0,VLOOKUP(D227,Datos!$C$7:$E$11,3,0),VLOOKUP(D227,Datos!$C$7:$E$11,2,0))</f>
        <v>480000</v>
      </c>
      <c r="AC227" s="144">
        <f ca="1">(S227*PMT(Datos!$H$13,Datos!$H$12,-O227,,)*VLOOKUP(TODAY(),'UF HOY'!$A$2:$B$33,2,0)/12)+VLOOKUP(TODAY(),'UF HOY'!$A$2:$B$33,2,0)</f>
        <v>739802.3959674167</v>
      </c>
      <c r="AD227" s="144">
        <f t="shared" ca="1" si="46"/>
        <v>-259802.3959674167</v>
      </c>
      <c r="AE227" s="47">
        <f t="shared" ca="1" si="47"/>
        <v>2959209.5838696668</v>
      </c>
    </row>
    <row r="228" spans="1:31" s="145" customFormat="1" ht="15.5" x14ac:dyDescent="0.35">
      <c r="A228" s="129" t="s">
        <v>105</v>
      </c>
      <c r="B228" s="130">
        <v>815</v>
      </c>
      <c r="C228" s="131" t="s">
        <v>151</v>
      </c>
      <c r="D228" s="131" t="s">
        <v>154</v>
      </c>
      <c r="E228" s="131"/>
      <c r="F228" s="131">
        <v>52.89</v>
      </c>
      <c r="G228" s="131">
        <v>3.84</v>
      </c>
      <c r="H228" s="132">
        <f t="shared" si="36"/>
        <v>54.81</v>
      </c>
      <c r="I228" s="132">
        <f t="shared" si="37"/>
        <v>56.730000000000004</v>
      </c>
      <c r="J228" s="69">
        <v>4135</v>
      </c>
      <c r="K228" s="134">
        <v>0</v>
      </c>
      <c r="L228" s="135">
        <v>0</v>
      </c>
      <c r="M228" s="135">
        <v>0</v>
      </c>
      <c r="N228" s="69">
        <f t="shared" si="38"/>
        <v>4135</v>
      </c>
      <c r="O228" s="39">
        <f t="shared" si="39"/>
        <v>4594.4444444444443</v>
      </c>
      <c r="P228" s="136">
        <f t="shared" si="40"/>
        <v>75.442437511403028</v>
      </c>
      <c r="Q228" s="137">
        <f t="shared" si="41"/>
        <v>0.1</v>
      </c>
      <c r="R228" s="138">
        <f t="shared" si="42"/>
        <v>459.44444444444446</v>
      </c>
      <c r="S228" s="139">
        <v>0.8</v>
      </c>
      <c r="T228" s="138">
        <f t="shared" si="43"/>
        <v>3675.5555555555557</v>
      </c>
      <c r="U228" s="140">
        <f t="shared" si="44"/>
        <v>9.9999999999999978E-2</v>
      </c>
      <c r="V228" s="138">
        <f t="shared" si="45"/>
        <v>459.44444444444434</v>
      </c>
      <c r="W228" s="142">
        <f ca="1">V228*VLOOKUP(TODAY(),'UF HOY'!$A$2:$B$33,2,0)</f>
        <v>18255537.988888886</v>
      </c>
      <c r="X228" s="143">
        <f>Datos!$E$3</f>
        <v>31</v>
      </c>
      <c r="Y228" s="144">
        <f ca="1">IF((W228-1000000-Datos!$D$3)/X228&gt;0,(W228-1000000-Datos!$D$3)/X228,0)</f>
        <v>548565.74157706078</v>
      </c>
      <c r="Z228" s="143">
        <f>Datos!$F$3</f>
        <v>31</v>
      </c>
      <c r="AA228" s="144">
        <f ca="1">IF((W228-1750000-Datos!$D$3-3%*O228*VLOOKUP(TODAY(),'UF HOY'!$A$2:$B$33,2,0))/Z228&gt;0,(W228-1750000-Datos!$D$3-3%*O228*VLOOKUP(TODAY(),'UF HOY'!$A$2:$B$33,2,0))/Z228,0)</f>
        <v>347705.6965232974</v>
      </c>
      <c r="AB228" s="142">
        <f>IF(L228&gt;0,VLOOKUP(D228,Datos!$C$7:$E$11,3,0),VLOOKUP(D228,Datos!$C$7:$E$11,2,0))</f>
        <v>480000</v>
      </c>
      <c r="AC228" s="144">
        <f ca="1">(S228*PMT(Datos!$H$13,Datos!$H$12,-O228,,)*VLOOKUP(TODAY(),'UF HOY'!$A$2:$B$33,2,0)/12)+VLOOKUP(TODAY(),'UF HOY'!$A$2:$B$33,2,0)</f>
        <v>743546.98775717686</v>
      </c>
      <c r="AD228" s="144">
        <f t="shared" ca="1" si="46"/>
        <v>-263546.98775717686</v>
      </c>
      <c r="AE228" s="47">
        <f t="shared" ca="1" si="47"/>
        <v>2974187.9510287074</v>
      </c>
    </row>
    <row r="229" spans="1:31" s="145" customFormat="1" ht="15.5" hidden="1" x14ac:dyDescent="0.35">
      <c r="A229" s="129" t="s">
        <v>170</v>
      </c>
      <c r="B229" s="129">
        <v>805</v>
      </c>
      <c r="C229" s="131" t="s">
        <v>151</v>
      </c>
      <c r="D229" s="131" t="s">
        <v>154</v>
      </c>
      <c r="E229" s="131"/>
      <c r="F229" s="131">
        <v>53.12</v>
      </c>
      <c r="G229" s="131">
        <v>7.04</v>
      </c>
      <c r="H229" s="132">
        <f t="shared" si="36"/>
        <v>56.64</v>
      </c>
      <c r="I229" s="132">
        <f t="shared" si="37"/>
        <v>60.16</v>
      </c>
      <c r="J229" s="69">
        <v>4135.0980872448226</v>
      </c>
      <c r="K229" s="134">
        <v>0</v>
      </c>
      <c r="L229" s="135">
        <v>0</v>
      </c>
      <c r="M229" s="135">
        <v>0</v>
      </c>
      <c r="N229" s="69">
        <f t="shared" si="38"/>
        <v>4135.0980872448226</v>
      </c>
      <c r="O229" s="39">
        <f t="shared" si="39"/>
        <v>4594.5534302720253</v>
      </c>
      <c r="P229" s="136">
        <f t="shared" si="40"/>
        <v>73.006675269152936</v>
      </c>
      <c r="Q229" s="137">
        <f t="shared" si="41"/>
        <v>0.1</v>
      </c>
      <c r="R229" s="138">
        <f t="shared" si="42"/>
        <v>459.45534302720256</v>
      </c>
      <c r="S229" s="139">
        <v>0.8</v>
      </c>
      <c r="T229" s="138">
        <f t="shared" si="43"/>
        <v>3675.6427442176205</v>
      </c>
      <c r="U229" s="140">
        <f t="shared" si="44"/>
        <v>9.9999999999999978E-2</v>
      </c>
      <c r="V229" s="138">
        <f t="shared" si="45"/>
        <v>459.45534302720245</v>
      </c>
      <c r="W229" s="142">
        <f ca="1">V229*VLOOKUP(TODAY(),'UF HOY'!$A$2:$B$33,2,0)</f>
        <v>18255971.03252228</v>
      </c>
      <c r="X229" s="143">
        <f>Datos!$E$3</f>
        <v>31</v>
      </c>
      <c r="Y229" s="144">
        <f ca="1">IF((W229-1000000-Datos!$D$3)/X229&gt;0,(W229-1000000-Datos!$D$3)/X229,0)</f>
        <v>548579.71072652517</v>
      </c>
      <c r="Z229" s="143">
        <f>Datos!$F$3</f>
        <v>31</v>
      </c>
      <c r="AA229" s="144">
        <f ca="1">IF((W229-1750000-Datos!$D$3-3%*O229*VLOOKUP(TODAY(),'UF HOY'!$A$2:$B$33,2,0))/Z229&gt;0,(W229-1750000-Datos!$D$3-3%*O229*VLOOKUP(TODAY(),'UF HOY'!$A$2:$B$33,2,0))/Z229,0)</f>
        <v>347715.47492792242</v>
      </c>
      <c r="AB229" s="142">
        <f>IF(L229&gt;0,VLOOKUP(D229,Datos!$C$7:$E$11,3,0),VLOOKUP(D229,Datos!$C$7:$E$11,2,0))</f>
        <v>480000</v>
      </c>
      <c r="AC229" s="144">
        <f ca="1">(S229*PMT(Datos!$H$13,Datos!$H$12,-O229,,)*VLOOKUP(TODAY(),'UF HOY'!$A$2:$B$33,2,0)/12)+VLOOKUP(TODAY(),'UF HOY'!$A$2:$B$33,2,0)</f>
        <v>743563.68306134245</v>
      </c>
      <c r="AD229" s="144">
        <f t="shared" ca="1" si="46"/>
        <v>-263563.68306134245</v>
      </c>
      <c r="AE229" s="47">
        <f t="shared" ca="1" si="47"/>
        <v>2974254.7322453698</v>
      </c>
    </row>
    <row r="230" spans="1:31" s="145" customFormat="1" ht="15.5" hidden="1" x14ac:dyDescent="0.35">
      <c r="A230" s="129" t="s">
        <v>170</v>
      </c>
      <c r="B230" s="130">
        <v>905</v>
      </c>
      <c r="C230" s="131" t="s">
        <v>151</v>
      </c>
      <c r="D230" s="131" t="s">
        <v>154</v>
      </c>
      <c r="E230" s="131"/>
      <c r="F230" s="131">
        <v>53.12</v>
      </c>
      <c r="G230" s="131">
        <v>7.04</v>
      </c>
      <c r="H230" s="132">
        <f t="shared" si="36"/>
        <v>56.64</v>
      </c>
      <c r="I230" s="132">
        <f t="shared" si="37"/>
        <v>60.16</v>
      </c>
      <c r="J230" s="69">
        <v>4158</v>
      </c>
      <c r="K230" s="134">
        <v>0</v>
      </c>
      <c r="L230" s="135">
        <v>0</v>
      </c>
      <c r="M230" s="135">
        <v>0</v>
      </c>
      <c r="N230" s="69">
        <f t="shared" si="38"/>
        <v>4158</v>
      </c>
      <c r="O230" s="39">
        <f t="shared" si="39"/>
        <v>4620</v>
      </c>
      <c r="P230" s="136">
        <f t="shared" si="40"/>
        <v>73.41101694915254</v>
      </c>
      <c r="Q230" s="137">
        <f t="shared" si="41"/>
        <v>0.1</v>
      </c>
      <c r="R230" s="138">
        <f t="shared" si="42"/>
        <v>462</v>
      </c>
      <c r="S230" s="139">
        <v>0.8</v>
      </c>
      <c r="T230" s="138">
        <f t="shared" si="43"/>
        <v>3696</v>
      </c>
      <c r="U230" s="140">
        <f t="shared" si="44"/>
        <v>9.9999999999999978E-2</v>
      </c>
      <c r="V230" s="138">
        <f t="shared" si="45"/>
        <v>461.99999999999989</v>
      </c>
      <c r="W230" s="142">
        <f ca="1">V230*VLOOKUP(TODAY(),'UF HOY'!$A$2:$B$33,2,0)</f>
        <v>18357080.279999997</v>
      </c>
      <c r="X230" s="143">
        <f>Datos!$E$3</f>
        <v>31</v>
      </c>
      <c r="Y230" s="144">
        <f ca="1">IF((W230-1000000-Datos!$D$3)/X230&gt;0,(W230-1000000-Datos!$D$3)/X230,0)</f>
        <v>551841.29935483867</v>
      </c>
      <c r="Z230" s="143">
        <f>Datos!$F$3</f>
        <v>31</v>
      </c>
      <c r="AA230" s="144">
        <f ca="1">IF((W230-1750000-Datos!$D$3-3%*O230*VLOOKUP(TODAY(),'UF HOY'!$A$2:$B$33,2,0))/Z230&gt;0,(W230-1750000-Datos!$D$3-3%*O230*VLOOKUP(TODAY(),'UF HOY'!$A$2:$B$33,2,0))/Z230,0)</f>
        <v>349998.5869677419</v>
      </c>
      <c r="AB230" s="142">
        <f>IF(L230&gt;0,VLOOKUP(D230,Datos!$C$7:$E$11,3,0),VLOOKUP(D230,Datos!$C$7:$E$11,2,0))</f>
        <v>480000</v>
      </c>
      <c r="AC230" s="144">
        <f ca="1">(S230*PMT(Datos!$H$13,Datos!$H$12,-O230,,)*VLOOKUP(TODAY(),'UF HOY'!$A$2:$B$33,2,0)/12)+VLOOKUP(TODAY(),'UF HOY'!$A$2:$B$33,2,0)</f>
        <v>747461.78826465318</v>
      </c>
      <c r="AD230" s="144">
        <f t="shared" ca="1" si="46"/>
        <v>-267461.78826465318</v>
      </c>
      <c r="AE230" s="47">
        <f t="shared" ca="1" si="47"/>
        <v>2989847.1530586127</v>
      </c>
    </row>
    <row r="231" spans="1:31" s="145" customFormat="1" ht="15.5" x14ac:dyDescent="0.35">
      <c r="A231" s="129" t="s">
        <v>105</v>
      </c>
      <c r="B231" s="130">
        <v>915</v>
      </c>
      <c r="C231" s="131" t="s">
        <v>151</v>
      </c>
      <c r="D231" s="131" t="s">
        <v>154</v>
      </c>
      <c r="E231" s="131"/>
      <c r="F231" s="131">
        <v>52.89</v>
      </c>
      <c r="G231" s="131">
        <v>3.84</v>
      </c>
      <c r="H231" s="132">
        <f t="shared" si="36"/>
        <v>54.81</v>
      </c>
      <c r="I231" s="132">
        <f t="shared" si="37"/>
        <v>56.730000000000004</v>
      </c>
      <c r="J231" s="69">
        <v>4158</v>
      </c>
      <c r="K231" s="134">
        <v>0</v>
      </c>
      <c r="L231" s="135">
        <v>0</v>
      </c>
      <c r="M231" s="135">
        <v>0</v>
      </c>
      <c r="N231" s="69">
        <f t="shared" si="38"/>
        <v>4158</v>
      </c>
      <c r="O231" s="39">
        <f t="shared" si="39"/>
        <v>4620</v>
      </c>
      <c r="P231" s="136">
        <f t="shared" si="40"/>
        <v>75.862068965517238</v>
      </c>
      <c r="Q231" s="137">
        <f t="shared" si="41"/>
        <v>0.1</v>
      </c>
      <c r="R231" s="138">
        <f t="shared" si="42"/>
        <v>462</v>
      </c>
      <c r="S231" s="139">
        <v>0.8</v>
      </c>
      <c r="T231" s="138">
        <f t="shared" si="43"/>
        <v>3696</v>
      </c>
      <c r="U231" s="140">
        <f t="shared" si="44"/>
        <v>9.9999999999999978E-2</v>
      </c>
      <c r="V231" s="138">
        <f t="shared" si="45"/>
        <v>461.99999999999989</v>
      </c>
      <c r="W231" s="142">
        <f ca="1">V231*VLOOKUP(TODAY(),'UF HOY'!$A$2:$B$33,2,0)</f>
        <v>18357080.279999997</v>
      </c>
      <c r="X231" s="143">
        <f>Datos!$E$3</f>
        <v>31</v>
      </c>
      <c r="Y231" s="144">
        <f ca="1">IF((W231-1000000-Datos!$D$3)/X231&gt;0,(W231-1000000-Datos!$D$3)/X231,0)</f>
        <v>551841.29935483867</v>
      </c>
      <c r="Z231" s="143">
        <f>Datos!$F$3</f>
        <v>31</v>
      </c>
      <c r="AA231" s="144">
        <f ca="1">IF((W231-1750000-Datos!$D$3-3%*O231*VLOOKUP(TODAY(),'UF HOY'!$A$2:$B$33,2,0))/Z231&gt;0,(W231-1750000-Datos!$D$3-3%*O231*VLOOKUP(TODAY(),'UF HOY'!$A$2:$B$33,2,0))/Z231,0)</f>
        <v>349998.5869677419</v>
      </c>
      <c r="AB231" s="142">
        <f>IF(L231&gt;0,VLOOKUP(D231,Datos!$C$7:$E$11,3,0),VLOOKUP(D231,Datos!$C$7:$E$11,2,0))</f>
        <v>480000</v>
      </c>
      <c r="AC231" s="144">
        <f ca="1">(S231*PMT(Datos!$H$13,Datos!$H$12,-O231,,)*VLOOKUP(TODAY(),'UF HOY'!$A$2:$B$33,2,0)/12)+VLOOKUP(TODAY(),'UF HOY'!$A$2:$B$33,2,0)</f>
        <v>747461.78826465318</v>
      </c>
      <c r="AD231" s="144">
        <f t="shared" ca="1" si="46"/>
        <v>-267461.78826465318</v>
      </c>
      <c r="AE231" s="47">
        <f t="shared" ca="1" si="47"/>
        <v>2989847.1530586127</v>
      </c>
    </row>
    <row r="232" spans="1:31" s="145" customFormat="1" ht="15.5" x14ac:dyDescent="0.35">
      <c r="A232" s="129" t="s">
        <v>105</v>
      </c>
      <c r="B232" s="130">
        <v>206</v>
      </c>
      <c r="C232" s="131" t="s">
        <v>152</v>
      </c>
      <c r="D232" s="131" t="s">
        <v>154</v>
      </c>
      <c r="E232" s="131"/>
      <c r="F232" s="131">
        <v>52.94</v>
      </c>
      <c r="G232" s="131">
        <v>7.04</v>
      </c>
      <c r="H232" s="132">
        <f t="shared" si="36"/>
        <v>56.46</v>
      </c>
      <c r="I232" s="132">
        <f t="shared" si="37"/>
        <v>59.98</v>
      </c>
      <c r="J232" s="69">
        <v>4172</v>
      </c>
      <c r="K232" s="134">
        <v>0</v>
      </c>
      <c r="L232" s="135">
        <v>0</v>
      </c>
      <c r="M232" s="135">
        <v>0</v>
      </c>
      <c r="N232" s="69">
        <f t="shared" si="38"/>
        <v>4172</v>
      </c>
      <c r="O232" s="39">
        <f t="shared" si="39"/>
        <v>4635.5555555555557</v>
      </c>
      <c r="P232" s="136">
        <f t="shared" si="40"/>
        <v>73.893021608218206</v>
      </c>
      <c r="Q232" s="137">
        <f t="shared" si="41"/>
        <v>0.1</v>
      </c>
      <c r="R232" s="138">
        <f t="shared" si="42"/>
        <v>463.5555555555556</v>
      </c>
      <c r="S232" s="139">
        <v>0.8</v>
      </c>
      <c r="T232" s="138">
        <f t="shared" si="43"/>
        <v>3708.4444444444448</v>
      </c>
      <c r="U232" s="140">
        <f t="shared" si="44"/>
        <v>9.9999999999999978E-2</v>
      </c>
      <c r="V232" s="138">
        <f t="shared" si="45"/>
        <v>463.55555555555549</v>
      </c>
      <c r="W232" s="142">
        <f ca="1">V232*VLOOKUP(TODAY(),'UF HOY'!$A$2:$B$33,2,0)</f>
        <v>18418888.631111108</v>
      </c>
      <c r="X232" s="143">
        <f>Datos!$E$3</f>
        <v>31</v>
      </c>
      <c r="Y232" s="144">
        <f ca="1">IF((W232-1000000-Datos!$D$3)/X232&gt;0,(W232-1000000-Datos!$D$3)/X232,0)</f>
        <v>553835.11713261635</v>
      </c>
      <c r="Z232" s="143">
        <f>Datos!$F$3</f>
        <v>31</v>
      </c>
      <c r="AA232" s="144">
        <f ca="1">IF((W232-1750000-Datos!$D$3-3%*O232*VLOOKUP(TODAY(),'UF HOY'!$A$2:$B$33,2,0))/Z232&gt;0,(W232-1750000-Datos!$D$3-3%*O232*VLOOKUP(TODAY(),'UF HOY'!$A$2:$B$33,2,0))/Z232,0)</f>
        <v>351394.25941218628</v>
      </c>
      <c r="AB232" s="142">
        <f>IF(L232&gt;0,VLOOKUP(D232,Datos!$C$7:$E$11,3,0),VLOOKUP(D232,Datos!$C$7:$E$11,2,0))</f>
        <v>480000</v>
      </c>
      <c r="AC232" s="144">
        <f ca="1">(S232*PMT(Datos!$H$13,Datos!$H$12,-O232,,)*VLOOKUP(TODAY(),'UF HOY'!$A$2:$B$33,2,0)/12)+VLOOKUP(TODAY(),'UF HOY'!$A$2:$B$33,2,0)</f>
        <v>749844.71031268244</v>
      </c>
      <c r="AD232" s="144">
        <f t="shared" ca="1" si="46"/>
        <v>-269844.71031268244</v>
      </c>
      <c r="AE232" s="47">
        <f t="shared" ca="1" si="47"/>
        <v>2999378.8412507297</v>
      </c>
    </row>
    <row r="233" spans="1:31" s="145" customFormat="1" ht="15.5" x14ac:dyDescent="0.35">
      <c r="A233" s="129" t="s">
        <v>105</v>
      </c>
      <c r="B233" s="130">
        <v>214</v>
      </c>
      <c r="C233" s="131" t="s">
        <v>152</v>
      </c>
      <c r="D233" s="131" t="s">
        <v>154</v>
      </c>
      <c r="E233" s="131"/>
      <c r="F233" s="131">
        <v>52.54</v>
      </c>
      <c r="G233" s="131">
        <v>10.38</v>
      </c>
      <c r="H233" s="132">
        <f t="shared" si="36"/>
        <v>57.73</v>
      </c>
      <c r="I233" s="132">
        <f t="shared" si="37"/>
        <v>62.92</v>
      </c>
      <c r="J233" s="69">
        <v>4172</v>
      </c>
      <c r="K233" s="134">
        <v>0</v>
      </c>
      <c r="L233" s="135">
        <v>0</v>
      </c>
      <c r="M233" s="135">
        <v>0</v>
      </c>
      <c r="N233" s="69">
        <f t="shared" si="38"/>
        <v>4172</v>
      </c>
      <c r="O233" s="39">
        <f t="shared" si="39"/>
        <v>4635.5555555555557</v>
      </c>
      <c r="P233" s="136">
        <f t="shared" si="40"/>
        <v>72.267451931404821</v>
      </c>
      <c r="Q233" s="137">
        <f t="shared" si="41"/>
        <v>0.1</v>
      </c>
      <c r="R233" s="138">
        <f t="shared" si="42"/>
        <v>463.5555555555556</v>
      </c>
      <c r="S233" s="139">
        <v>0.8</v>
      </c>
      <c r="T233" s="138">
        <f t="shared" si="43"/>
        <v>3708.4444444444448</v>
      </c>
      <c r="U233" s="140">
        <f t="shared" si="44"/>
        <v>9.9999999999999978E-2</v>
      </c>
      <c r="V233" s="138">
        <f t="shared" si="45"/>
        <v>463.55555555555549</v>
      </c>
      <c r="W233" s="142">
        <f ca="1">V233*VLOOKUP(TODAY(),'UF HOY'!$A$2:$B$33,2,0)</f>
        <v>18418888.631111108</v>
      </c>
      <c r="X233" s="143">
        <f>Datos!$E$3</f>
        <v>31</v>
      </c>
      <c r="Y233" s="144">
        <f ca="1">IF((W233-1000000-Datos!$D$3)/X233&gt;0,(W233-1000000-Datos!$D$3)/X233,0)</f>
        <v>553835.11713261635</v>
      </c>
      <c r="Z233" s="143">
        <f>Datos!$F$3</f>
        <v>31</v>
      </c>
      <c r="AA233" s="144">
        <f ca="1">IF((W233-1750000-Datos!$D$3-3%*O233*VLOOKUP(TODAY(),'UF HOY'!$A$2:$B$33,2,0))/Z233&gt;0,(W233-1750000-Datos!$D$3-3%*O233*VLOOKUP(TODAY(),'UF HOY'!$A$2:$B$33,2,0))/Z233,0)</f>
        <v>351394.25941218628</v>
      </c>
      <c r="AB233" s="142">
        <f>IF(L233&gt;0,VLOOKUP(D233,Datos!$C$7:$E$11,3,0),VLOOKUP(D233,Datos!$C$7:$E$11,2,0))</f>
        <v>480000</v>
      </c>
      <c r="AC233" s="144">
        <f ca="1">(S233*PMT(Datos!$H$13,Datos!$H$12,-O233,,)*VLOOKUP(TODAY(),'UF HOY'!$A$2:$B$33,2,0)/12)+VLOOKUP(TODAY(),'UF HOY'!$A$2:$B$33,2,0)</f>
        <v>749844.71031268244</v>
      </c>
      <c r="AD233" s="144">
        <f t="shared" ca="1" si="46"/>
        <v>-269844.71031268244</v>
      </c>
      <c r="AE233" s="47">
        <f t="shared" ca="1" si="47"/>
        <v>2999378.8412507297</v>
      </c>
    </row>
    <row r="234" spans="1:31" s="145" customFormat="1" ht="15.5" x14ac:dyDescent="0.35">
      <c r="A234" s="129" t="s">
        <v>105</v>
      </c>
      <c r="B234" s="130">
        <v>1005</v>
      </c>
      <c r="C234" s="131" t="s">
        <v>151</v>
      </c>
      <c r="D234" s="131" t="s">
        <v>154</v>
      </c>
      <c r="E234" s="131"/>
      <c r="F234" s="131">
        <v>53.12</v>
      </c>
      <c r="G234" s="131">
        <v>7.04</v>
      </c>
      <c r="H234" s="132">
        <f t="shared" si="36"/>
        <v>56.64</v>
      </c>
      <c r="I234" s="132">
        <f t="shared" si="37"/>
        <v>60.16</v>
      </c>
      <c r="J234" s="69">
        <v>4181</v>
      </c>
      <c r="K234" s="134">
        <v>0</v>
      </c>
      <c r="L234" s="135">
        <v>0</v>
      </c>
      <c r="M234" s="135">
        <v>0</v>
      </c>
      <c r="N234" s="69">
        <f t="shared" si="38"/>
        <v>4181</v>
      </c>
      <c r="O234" s="39">
        <f t="shared" si="39"/>
        <v>4645.5555555555557</v>
      </c>
      <c r="P234" s="136">
        <f t="shared" si="40"/>
        <v>73.817090395480221</v>
      </c>
      <c r="Q234" s="137">
        <f t="shared" si="41"/>
        <v>0.1</v>
      </c>
      <c r="R234" s="138">
        <f t="shared" si="42"/>
        <v>464.5555555555556</v>
      </c>
      <c r="S234" s="139">
        <v>0.8</v>
      </c>
      <c r="T234" s="138">
        <f t="shared" si="43"/>
        <v>3716.4444444444448</v>
      </c>
      <c r="U234" s="140">
        <f t="shared" si="44"/>
        <v>9.9999999999999978E-2</v>
      </c>
      <c r="V234" s="138">
        <f t="shared" si="45"/>
        <v>464.55555555555549</v>
      </c>
      <c r="W234" s="142">
        <f ca="1">V234*VLOOKUP(TODAY(),'UF HOY'!$A$2:$B$33,2,0)</f>
        <v>18458622.571111109</v>
      </c>
      <c r="X234" s="143">
        <f>Datos!$E$3</f>
        <v>31</v>
      </c>
      <c r="Y234" s="144">
        <f ca="1">IF((W234-1000000-Datos!$D$3)/X234&gt;0,(W234-1000000-Datos!$D$3)/X234,0)</f>
        <v>555116.85713261645</v>
      </c>
      <c r="Z234" s="143">
        <f>Datos!$F$3</f>
        <v>31</v>
      </c>
      <c r="AA234" s="144">
        <f ca="1">IF((W234-1750000-Datos!$D$3-3%*O234*VLOOKUP(TODAY(),'UF HOY'!$A$2:$B$33,2,0))/Z234&gt;0,(W234-1750000-Datos!$D$3-3%*O234*VLOOKUP(TODAY(),'UF HOY'!$A$2:$B$33,2,0))/Z234,0)</f>
        <v>352291.47741218633</v>
      </c>
      <c r="AB234" s="142">
        <f>IF(L234&gt;0,VLOOKUP(D234,Datos!$C$7:$E$11,3,0),VLOOKUP(D234,Datos!$C$7:$E$11,2,0))</f>
        <v>480000</v>
      </c>
      <c r="AC234" s="144">
        <f ca="1">(S234*PMT(Datos!$H$13,Datos!$H$12,-O234,,)*VLOOKUP(TODAY(),'UF HOY'!$A$2:$B$33,2,0)/12)+VLOOKUP(TODAY(),'UF HOY'!$A$2:$B$33,2,0)</f>
        <v>751376.58877212973</v>
      </c>
      <c r="AD234" s="144">
        <f t="shared" ca="1" si="46"/>
        <v>-271376.58877212973</v>
      </c>
      <c r="AE234" s="47">
        <f t="shared" ca="1" si="47"/>
        <v>3005506.3550885189</v>
      </c>
    </row>
    <row r="235" spans="1:31" s="145" customFormat="1" ht="15.5" x14ac:dyDescent="0.35">
      <c r="A235" s="129" t="s">
        <v>105</v>
      </c>
      <c r="B235" s="130">
        <v>1015</v>
      </c>
      <c r="C235" s="131" t="s">
        <v>151</v>
      </c>
      <c r="D235" s="131" t="s">
        <v>154</v>
      </c>
      <c r="E235" s="131"/>
      <c r="F235" s="131">
        <v>52.89</v>
      </c>
      <c r="G235" s="131">
        <v>3.84</v>
      </c>
      <c r="H235" s="132">
        <f t="shared" si="36"/>
        <v>54.81</v>
      </c>
      <c r="I235" s="132">
        <f t="shared" si="37"/>
        <v>56.730000000000004</v>
      </c>
      <c r="J235" s="69">
        <v>4181</v>
      </c>
      <c r="K235" s="134">
        <v>0</v>
      </c>
      <c r="L235" s="135">
        <v>0</v>
      </c>
      <c r="M235" s="135">
        <v>0</v>
      </c>
      <c r="N235" s="69">
        <f t="shared" si="38"/>
        <v>4181</v>
      </c>
      <c r="O235" s="39">
        <f t="shared" si="39"/>
        <v>4645.5555555555557</v>
      </c>
      <c r="P235" s="136">
        <f t="shared" si="40"/>
        <v>76.281700419631449</v>
      </c>
      <c r="Q235" s="137">
        <f t="shared" si="41"/>
        <v>0.1</v>
      </c>
      <c r="R235" s="138">
        <f t="shared" si="42"/>
        <v>464.5555555555556</v>
      </c>
      <c r="S235" s="139">
        <v>0.8</v>
      </c>
      <c r="T235" s="138">
        <f t="shared" si="43"/>
        <v>3716.4444444444448</v>
      </c>
      <c r="U235" s="140">
        <f t="shared" si="44"/>
        <v>9.9999999999999978E-2</v>
      </c>
      <c r="V235" s="138">
        <f t="shared" si="45"/>
        <v>464.55555555555549</v>
      </c>
      <c r="W235" s="142">
        <f ca="1">V235*VLOOKUP(TODAY(),'UF HOY'!$A$2:$B$33,2,0)</f>
        <v>18458622.571111109</v>
      </c>
      <c r="X235" s="143">
        <f>Datos!$E$3</f>
        <v>31</v>
      </c>
      <c r="Y235" s="144">
        <f ca="1">IF((W235-1000000-Datos!$D$3)/X235&gt;0,(W235-1000000-Datos!$D$3)/X235,0)</f>
        <v>555116.85713261645</v>
      </c>
      <c r="Z235" s="143">
        <f>Datos!$F$3</f>
        <v>31</v>
      </c>
      <c r="AA235" s="144">
        <f ca="1">IF((W235-1750000-Datos!$D$3-3%*O235*VLOOKUP(TODAY(),'UF HOY'!$A$2:$B$33,2,0))/Z235&gt;0,(W235-1750000-Datos!$D$3-3%*O235*VLOOKUP(TODAY(),'UF HOY'!$A$2:$B$33,2,0))/Z235,0)</f>
        <v>352291.47741218633</v>
      </c>
      <c r="AB235" s="142">
        <f>IF(L235&gt;0,VLOOKUP(D235,Datos!$C$7:$E$11,3,0),VLOOKUP(D235,Datos!$C$7:$E$11,2,0))</f>
        <v>480000</v>
      </c>
      <c r="AC235" s="144">
        <f ca="1">(S235*PMT(Datos!$H$13,Datos!$H$12,-O235,,)*VLOOKUP(TODAY(),'UF HOY'!$A$2:$B$33,2,0)/12)+VLOOKUP(TODAY(),'UF HOY'!$A$2:$B$33,2,0)</f>
        <v>751376.58877212973</v>
      </c>
      <c r="AD235" s="144">
        <f t="shared" ca="1" si="46"/>
        <v>-271376.58877212973</v>
      </c>
      <c r="AE235" s="47">
        <f t="shared" ca="1" si="47"/>
        <v>3005506.3550885189</v>
      </c>
    </row>
    <row r="236" spans="1:31" s="145" customFormat="1" ht="15.5" x14ac:dyDescent="0.35">
      <c r="A236" s="129" t="s">
        <v>105</v>
      </c>
      <c r="B236" s="130">
        <v>306</v>
      </c>
      <c r="C236" s="131" t="s">
        <v>152</v>
      </c>
      <c r="D236" s="131" t="s">
        <v>154</v>
      </c>
      <c r="E236" s="131"/>
      <c r="F236" s="131">
        <v>52.94</v>
      </c>
      <c r="G236" s="131">
        <v>7.04</v>
      </c>
      <c r="H236" s="132">
        <f t="shared" si="36"/>
        <v>56.46</v>
      </c>
      <c r="I236" s="132">
        <f t="shared" si="37"/>
        <v>59.98</v>
      </c>
      <c r="J236" s="69">
        <v>4195</v>
      </c>
      <c r="K236" s="134">
        <v>0</v>
      </c>
      <c r="L236" s="135">
        <v>0</v>
      </c>
      <c r="M236" s="135">
        <v>0</v>
      </c>
      <c r="N236" s="69">
        <f t="shared" si="38"/>
        <v>4195</v>
      </c>
      <c r="O236" s="39">
        <f t="shared" si="39"/>
        <v>4661.1111111111113</v>
      </c>
      <c r="P236" s="136">
        <f t="shared" si="40"/>
        <v>74.300389656393904</v>
      </c>
      <c r="Q236" s="137">
        <f t="shared" si="41"/>
        <v>0.1</v>
      </c>
      <c r="R236" s="138">
        <f t="shared" si="42"/>
        <v>466.11111111111114</v>
      </c>
      <c r="S236" s="139">
        <v>0.8</v>
      </c>
      <c r="T236" s="138">
        <f t="shared" si="43"/>
        <v>3728.8888888888891</v>
      </c>
      <c r="U236" s="140">
        <f t="shared" si="44"/>
        <v>9.9999999999999978E-2</v>
      </c>
      <c r="V236" s="138">
        <f t="shared" si="45"/>
        <v>466.11111111111103</v>
      </c>
      <c r="W236" s="142">
        <f ca="1">V236*VLOOKUP(TODAY(),'UF HOY'!$A$2:$B$33,2,0)</f>
        <v>18520430.922222219</v>
      </c>
      <c r="X236" s="143">
        <f>Datos!$E$3</f>
        <v>31</v>
      </c>
      <c r="Y236" s="144">
        <f ca="1">IF((W236-1000000-Datos!$D$3)/X236&gt;0,(W236-1000000-Datos!$D$3)/X236,0)</f>
        <v>557110.67491039413</v>
      </c>
      <c r="Z236" s="143">
        <f>Datos!$F$3</f>
        <v>31</v>
      </c>
      <c r="AA236" s="144">
        <f ca="1">IF((W236-1750000-Datos!$D$3-3%*O236*VLOOKUP(TODAY(),'UF HOY'!$A$2:$B$33,2,0))/Z236&gt;0,(W236-1750000-Datos!$D$3-3%*O236*VLOOKUP(TODAY(),'UF HOY'!$A$2:$B$33,2,0))/Z236,0)</f>
        <v>353687.14985663071</v>
      </c>
      <c r="AB236" s="142">
        <f>IF(L236&gt;0,VLOOKUP(D236,Datos!$C$7:$E$11,3,0),VLOOKUP(D236,Datos!$C$7:$E$11,2,0))</f>
        <v>480000</v>
      </c>
      <c r="AC236" s="144">
        <f ca="1">(S236*PMT(Datos!$H$13,Datos!$H$12,-O236,,)*VLOOKUP(TODAY(),'UF HOY'!$A$2:$B$33,2,0)/12)+VLOOKUP(TODAY(),'UF HOY'!$A$2:$B$33,2,0)</f>
        <v>753759.51082015876</v>
      </c>
      <c r="AD236" s="144">
        <f t="shared" ca="1" si="46"/>
        <v>-273759.51082015876</v>
      </c>
      <c r="AE236" s="47">
        <f t="shared" ca="1" si="47"/>
        <v>3015038.043280635</v>
      </c>
    </row>
    <row r="237" spans="1:31" s="145" customFormat="1" ht="15.5" x14ac:dyDescent="0.35">
      <c r="A237" s="129" t="s">
        <v>105</v>
      </c>
      <c r="B237" s="129">
        <v>314</v>
      </c>
      <c r="C237" s="131" t="s">
        <v>152</v>
      </c>
      <c r="D237" s="131" t="s">
        <v>154</v>
      </c>
      <c r="E237" s="131"/>
      <c r="F237" s="131">
        <v>52.54</v>
      </c>
      <c r="G237" s="131">
        <v>3.78</v>
      </c>
      <c r="H237" s="132">
        <f t="shared" si="36"/>
        <v>54.43</v>
      </c>
      <c r="I237" s="132">
        <f t="shared" si="37"/>
        <v>56.32</v>
      </c>
      <c r="J237" s="69">
        <v>4195</v>
      </c>
      <c r="K237" s="134">
        <v>0</v>
      </c>
      <c r="L237" s="135">
        <v>0</v>
      </c>
      <c r="M237" s="135">
        <v>0</v>
      </c>
      <c r="N237" s="69">
        <f t="shared" si="38"/>
        <v>4195</v>
      </c>
      <c r="O237" s="39">
        <f t="shared" si="39"/>
        <v>4661.1111111111113</v>
      </c>
      <c r="P237" s="136">
        <f t="shared" si="40"/>
        <v>77.071467940474008</v>
      </c>
      <c r="Q237" s="137">
        <f t="shared" si="41"/>
        <v>0.1</v>
      </c>
      <c r="R237" s="138">
        <f t="shared" si="42"/>
        <v>466.11111111111114</v>
      </c>
      <c r="S237" s="139">
        <v>0.8</v>
      </c>
      <c r="T237" s="138">
        <f t="shared" si="43"/>
        <v>3728.8888888888891</v>
      </c>
      <c r="U237" s="140">
        <f t="shared" si="44"/>
        <v>9.9999999999999978E-2</v>
      </c>
      <c r="V237" s="138">
        <f t="shared" si="45"/>
        <v>466.11111111111103</v>
      </c>
      <c r="W237" s="142">
        <f ca="1">V237*VLOOKUP(TODAY(),'UF HOY'!$A$2:$B$33,2,0)</f>
        <v>18520430.922222219</v>
      </c>
      <c r="X237" s="143">
        <f>Datos!$E$3</f>
        <v>31</v>
      </c>
      <c r="Y237" s="144">
        <f ca="1">IF((W237-1000000-Datos!$D$3)/X237&gt;0,(W237-1000000-Datos!$D$3)/X237,0)</f>
        <v>557110.67491039413</v>
      </c>
      <c r="Z237" s="143">
        <f>Datos!$F$3</f>
        <v>31</v>
      </c>
      <c r="AA237" s="144">
        <f ca="1">IF((W237-1750000-Datos!$D$3-3%*O237*VLOOKUP(TODAY(),'UF HOY'!$A$2:$B$33,2,0))/Z237&gt;0,(W237-1750000-Datos!$D$3-3%*O237*VLOOKUP(TODAY(),'UF HOY'!$A$2:$B$33,2,0))/Z237,0)</f>
        <v>353687.14985663071</v>
      </c>
      <c r="AB237" s="142">
        <f>IF(L237&gt;0,VLOOKUP(D237,Datos!$C$7:$E$11,3,0),VLOOKUP(D237,Datos!$C$7:$E$11,2,0))</f>
        <v>480000</v>
      </c>
      <c r="AC237" s="144">
        <f ca="1">(S237*PMT(Datos!$H$13,Datos!$H$12,-O237,,)*VLOOKUP(TODAY(),'UF HOY'!$A$2:$B$33,2,0)/12)+VLOOKUP(TODAY(),'UF HOY'!$A$2:$B$33,2,0)</f>
        <v>753759.51082015876</v>
      </c>
      <c r="AD237" s="144">
        <f t="shared" ca="1" si="46"/>
        <v>-273759.51082015876</v>
      </c>
      <c r="AE237" s="47">
        <f t="shared" ca="1" si="47"/>
        <v>3015038.043280635</v>
      </c>
    </row>
    <row r="238" spans="1:31" s="145" customFormat="1" ht="15.5" x14ac:dyDescent="0.35">
      <c r="A238" s="129" t="s">
        <v>105</v>
      </c>
      <c r="B238" s="130">
        <v>1105</v>
      </c>
      <c r="C238" s="131" t="s">
        <v>151</v>
      </c>
      <c r="D238" s="131" t="s">
        <v>154</v>
      </c>
      <c r="E238" s="131"/>
      <c r="F238" s="131">
        <v>53.12</v>
      </c>
      <c r="G238" s="131">
        <v>7.04</v>
      </c>
      <c r="H238" s="132">
        <f t="shared" si="36"/>
        <v>56.64</v>
      </c>
      <c r="I238" s="132">
        <f t="shared" si="37"/>
        <v>60.16</v>
      </c>
      <c r="J238" s="69">
        <v>4204</v>
      </c>
      <c r="K238" s="134">
        <v>0</v>
      </c>
      <c r="L238" s="135">
        <v>0</v>
      </c>
      <c r="M238" s="135">
        <v>0</v>
      </c>
      <c r="N238" s="69">
        <f t="shared" si="38"/>
        <v>4204</v>
      </c>
      <c r="O238" s="39">
        <f t="shared" si="39"/>
        <v>4671.1111111111113</v>
      </c>
      <c r="P238" s="136">
        <f t="shared" si="40"/>
        <v>74.223163841807903</v>
      </c>
      <c r="Q238" s="137">
        <f t="shared" si="41"/>
        <v>0.1</v>
      </c>
      <c r="R238" s="138">
        <f t="shared" si="42"/>
        <v>467.11111111111114</v>
      </c>
      <c r="S238" s="139">
        <v>0.8</v>
      </c>
      <c r="T238" s="138">
        <f t="shared" si="43"/>
        <v>3736.8888888888891</v>
      </c>
      <c r="U238" s="140">
        <f t="shared" si="44"/>
        <v>9.9999999999999978E-2</v>
      </c>
      <c r="V238" s="138">
        <f t="shared" si="45"/>
        <v>467.11111111111103</v>
      </c>
      <c r="W238" s="142">
        <f ca="1">V238*VLOOKUP(TODAY(),'UF HOY'!$A$2:$B$33,2,0)</f>
        <v>18560164.862222221</v>
      </c>
      <c r="X238" s="143">
        <f>Datos!$E$3</f>
        <v>31</v>
      </c>
      <c r="Y238" s="144">
        <f ca="1">IF((W238-1000000-Datos!$D$3)/X238&gt;0,(W238-1000000-Datos!$D$3)/X238,0)</f>
        <v>558392.41491039423</v>
      </c>
      <c r="Z238" s="143">
        <f>Datos!$F$3</f>
        <v>31</v>
      </c>
      <c r="AA238" s="144">
        <f ca="1">IF((W238-1750000-Datos!$D$3-3%*O238*VLOOKUP(TODAY(),'UF HOY'!$A$2:$B$33,2,0))/Z238&gt;0,(W238-1750000-Datos!$D$3-3%*O238*VLOOKUP(TODAY(),'UF HOY'!$A$2:$B$33,2,0))/Z238,0)</f>
        <v>354584.36785663076</v>
      </c>
      <c r="AB238" s="142">
        <f>IF(L238&gt;0,VLOOKUP(D238,Datos!$C$7:$E$11,3,0),VLOOKUP(D238,Datos!$C$7:$E$11,2,0))</f>
        <v>480000</v>
      </c>
      <c r="AC238" s="144">
        <f ca="1">(S238*PMT(Datos!$H$13,Datos!$H$12,-O238,,)*VLOOKUP(TODAY(),'UF HOY'!$A$2:$B$33,2,0)/12)+VLOOKUP(TODAY(),'UF HOY'!$A$2:$B$33,2,0)</f>
        <v>755291.38927960605</v>
      </c>
      <c r="AD238" s="144">
        <f t="shared" ca="1" si="46"/>
        <v>-275291.38927960605</v>
      </c>
      <c r="AE238" s="47">
        <f t="shared" ca="1" si="47"/>
        <v>3021165.5571184242</v>
      </c>
    </row>
    <row r="239" spans="1:31" s="145" customFormat="1" ht="15.5" x14ac:dyDescent="0.35">
      <c r="A239" s="129" t="s">
        <v>105</v>
      </c>
      <c r="B239" s="129">
        <v>1115</v>
      </c>
      <c r="C239" s="131" t="s">
        <v>151</v>
      </c>
      <c r="D239" s="131" t="s">
        <v>154</v>
      </c>
      <c r="E239" s="131"/>
      <c r="F239" s="131">
        <v>52.89</v>
      </c>
      <c r="G239" s="131">
        <v>3.84</v>
      </c>
      <c r="H239" s="132">
        <f t="shared" si="36"/>
        <v>54.81</v>
      </c>
      <c r="I239" s="132">
        <f t="shared" si="37"/>
        <v>56.730000000000004</v>
      </c>
      <c r="J239" s="69">
        <v>4204</v>
      </c>
      <c r="K239" s="134">
        <v>0</v>
      </c>
      <c r="L239" s="135">
        <v>0</v>
      </c>
      <c r="M239" s="135">
        <v>0</v>
      </c>
      <c r="N239" s="69">
        <f t="shared" si="38"/>
        <v>4204</v>
      </c>
      <c r="O239" s="39">
        <f t="shared" si="39"/>
        <v>4671.1111111111113</v>
      </c>
      <c r="P239" s="136">
        <f t="shared" si="40"/>
        <v>76.701331873745659</v>
      </c>
      <c r="Q239" s="137">
        <f t="shared" si="41"/>
        <v>0.1</v>
      </c>
      <c r="R239" s="138">
        <f t="shared" si="42"/>
        <v>467.11111111111114</v>
      </c>
      <c r="S239" s="139">
        <v>0.8</v>
      </c>
      <c r="T239" s="138">
        <f t="shared" si="43"/>
        <v>3736.8888888888891</v>
      </c>
      <c r="U239" s="140">
        <f t="shared" si="44"/>
        <v>9.9999999999999978E-2</v>
      </c>
      <c r="V239" s="138">
        <f t="shared" si="45"/>
        <v>467.11111111111103</v>
      </c>
      <c r="W239" s="142">
        <f ca="1">V239*VLOOKUP(TODAY(),'UF HOY'!$A$2:$B$33,2,0)</f>
        <v>18560164.862222221</v>
      </c>
      <c r="X239" s="143">
        <f>Datos!$E$3</f>
        <v>31</v>
      </c>
      <c r="Y239" s="144">
        <f ca="1">IF((W239-1000000-Datos!$D$3)/X239&gt;0,(W239-1000000-Datos!$D$3)/X239,0)</f>
        <v>558392.41491039423</v>
      </c>
      <c r="Z239" s="143">
        <f>Datos!$F$3</f>
        <v>31</v>
      </c>
      <c r="AA239" s="144">
        <f ca="1">IF((W239-1750000-Datos!$D$3-3%*O239*VLOOKUP(TODAY(),'UF HOY'!$A$2:$B$33,2,0))/Z239&gt;0,(W239-1750000-Datos!$D$3-3%*O239*VLOOKUP(TODAY(),'UF HOY'!$A$2:$B$33,2,0))/Z239,0)</f>
        <v>354584.36785663076</v>
      </c>
      <c r="AB239" s="142">
        <f>IF(L239&gt;0,VLOOKUP(D239,Datos!$C$7:$E$11,3,0),VLOOKUP(D239,Datos!$C$7:$E$11,2,0))</f>
        <v>480000</v>
      </c>
      <c r="AC239" s="144">
        <f ca="1">(S239*PMT(Datos!$H$13,Datos!$H$12,-O239,,)*VLOOKUP(TODAY(),'UF HOY'!$A$2:$B$33,2,0)/12)+VLOOKUP(TODAY(),'UF HOY'!$A$2:$B$33,2,0)</f>
        <v>755291.38927960605</v>
      </c>
      <c r="AD239" s="144">
        <f t="shared" ca="1" si="46"/>
        <v>-275291.38927960605</v>
      </c>
      <c r="AE239" s="47">
        <f t="shared" ca="1" si="47"/>
        <v>3021165.5571184242</v>
      </c>
    </row>
    <row r="240" spans="1:31" s="145" customFormat="1" ht="15.5" x14ac:dyDescent="0.35">
      <c r="A240" s="129" t="s">
        <v>105</v>
      </c>
      <c r="B240" s="130">
        <v>406</v>
      </c>
      <c r="C240" s="131" t="s">
        <v>152</v>
      </c>
      <c r="D240" s="131" t="s">
        <v>154</v>
      </c>
      <c r="E240" s="131"/>
      <c r="F240" s="131">
        <v>53.12</v>
      </c>
      <c r="G240" s="131">
        <v>7.04</v>
      </c>
      <c r="H240" s="132">
        <f t="shared" si="36"/>
        <v>56.64</v>
      </c>
      <c r="I240" s="132">
        <f t="shared" si="37"/>
        <v>60.16</v>
      </c>
      <c r="J240" s="69">
        <v>4218</v>
      </c>
      <c r="K240" s="134">
        <v>0</v>
      </c>
      <c r="L240" s="135">
        <v>0</v>
      </c>
      <c r="M240" s="135">
        <v>0</v>
      </c>
      <c r="N240" s="69">
        <f t="shared" si="38"/>
        <v>4218</v>
      </c>
      <c r="O240" s="39">
        <f t="shared" si="39"/>
        <v>4686.666666666667</v>
      </c>
      <c r="P240" s="136">
        <f t="shared" si="40"/>
        <v>74.470338983050851</v>
      </c>
      <c r="Q240" s="137">
        <f t="shared" si="41"/>
        <v>0.1</v>
      </c>
      <c r="R240" s="138">
        <f t="shared" si="42"/>
        <v>468.66666666666674</v>
      </c>
      <c r="S240" s="139">
        <v>0.8</v>
      </c>
      <c r="T240" s="138">
        <f t="shared" si="43"/>
        <v>3749.3333333333339</v>
      </c>
      <c r="U240" s="140">
        <f t="shared" si="44"/>
        <v>9.9999999999999978E-2</v>
      </c>
      <c r="V240" s="138">
        <f t="shared" si="45"/>
        <v>468.66666666666657</v>
      </c>
      <c r="W240" s="142">
        <f ca="1">V240*VLOOKUP(TODAY(),'UF HOY'!$A$2:$B$33,2,0)</f>
        <v>18621973.213333331</v>
      </c>
      <c r="X240" s="143">
        <f>Datos!$E$3</f>
        <v>31</v>
      </c>
      <c r="Y240" s="144">
        <f ca="1">IF((W240-1000000-Datos!$D$3)/X240&gt;0,(W240-1000000-Datos!$D$3)/X240,0)</f>
        <v>560386.23268817202</v>
      </c>
      <c r="Z240" s="143">
        <f>Datos!$F$3</f>
        <v>31</v>
      </c>
      <c r="AA240" s="144">
        <f ca="1">IF((W240-1750000-Datos!$D$3-3%*O240*VLOOKUP(TODAY(),'UF HOY'!$A$2:$B$33,2,0))/Z240&gt;0,(W240-1750000-Datos!$D$3-3%*O240*VLOOKUP(TODAY(),'UF HOY'!$A$2:$B$33,2,0))/Z240,0)</f>
        <v>355980.04030107521</v>
      </c>
      <c r="AB240" s="142">
        <f>IF(L240&gt;0,VLOOKUP(D240,Datos!$C$7:$E$11,3,0),VLOOKUP(D240,Datos!$C$7:$E$11,2,0))</f>
        <v>480000</v>
      </c>
      <c r="AC240" s="144">
        <f ca="1">(S240*PMT(Datos!$H$13,Datos!$H$12,-O240,,)*VLOOKUP(TODAY(),'UF HOY'!$A$2:$B$33,2,0)/12)+VLOOKUP(TODAY(),'UF HOY'!$A$2:$B$33,2,0)</f>
        <v>757674.31132763531</v>
      </c>
      <c r="AD240" s="144">
        <f t="shared" ca="1" si="46"/>
        <v>-277674.31132763531</v>
      </c>
      <c r="AE240" s="47">
        <f t="shared" ca="1" si="47"/>
        <v>3030697.2453105412</v>
      </c>
    </row>
    <row r="241" spans="1:31" s="145" customFormat="1" ht="15.5" x14ac:dyDescent="0.35">
      <c r="A241" s="129" t="s">
        <v>105</v>
      </c>
      <c r="B241" s="130">
        <v>414</v>
      </c>
      <c r="C241" s="131" t="s">
        <v>152</v>
      </c>
      <c r="D241" s="131" t="s">
        <v>154</v>
      </c>
      <c r="E241" s="131"/>
      <c r="F241" s="131">
        <v>52.89</v>
      </c>
      <c r="G241" s="131">
        <v>3.84</v>
      </c>
      <c r="H241" s="132">
        <f t="shared" si="36"/>
        <v>54.81</v>
      </c>
      <c r="I241" s="132">
        <f t="shared" si="37"/>
        <v>56.730000000000004</v>
      </c>
      <c r="J241" s="69">
        <v>4218</v>
      </c>
      <c r="K241" s="134">
        <v>0</v>
      </c>
      <c r="L241" s="135">
        <v>0</v>
      </c>
      <c r="M241" s="135">
        <v>0</v>
      </c>
      <c r="N241" s="69">
        <f t="shared" si="38"/>
        <v>4218</v>
      </c>
      <c r="O241" s="39">
        <f t="shared" si="39"/>
        <v>4686.666666666667</v>
      </c>
      <c r="P241" s="136">
        <f t="shared" si="40"/>
        <v>76.9567597153804</v>
      </c>
      <c r="Q241" s="137">
        <f t="shared" si="41"/>
        <v>0.1</v>
      </c>
      <c r="R241" s="138">
        <f t="shared" si="42"/>
        <v>468.66666666666674</v>
      </c>
      <c r="S241" s="139">
        <v>0.8</v>
      </c>
      <c r="T241" s="138">
        <f t="shared" si="43"/>
        <v>3749.3333333333339</v>
      </c>
      <c r="U241" s="140">
        <f t="shared" si="44"/>
        <v>9.9999999999999978E-2</v>
      </c>
      <c r="V241" s="138">
        <f t="shared" si="45"/>
        <v>468.66666666666657</v>
      </c>
      <c r="W241" s="142">
        <f ca="1">V241*VLOOKUP(TODAY(),'UF HOY'!$A$2:$B$33,2,0)</f>
        <v>18621973.213333331</v>
      </c>
      <c r="X241" s="143">
        <f>Datos!$E$3</f>
        <v>31</v>
      </c>
      <c r="Y241" s="144">
        <f ca="1">IF((W241-1000000-Datos!$D$3)/X241&gt;0,(W241-1000000-Datos!$D$3)/X241,0)</f>
        <v>560386.23268817202</v>
      </c>
      <c r="Z241" s="143">
        <f>Datos!$F$3</f>
        <v>31</v>
      </c>
      <c r="AA241" s="144">
        <f ca="1">IF((W241-1750000-Datos!$D$3-3%*O241*VLOOKUP(TODAY(),'UF HOY'!$A$2:$B$33,2,0))/Z241&gt;0,(W241-1750000-Datos!$D$3-3%*O241*VLOOKUP(TODAY(),'UF HOY'!$A$2:$B$33,2,0))/Z241,0)</f>
        <v>355980.04030107521</v>
      </c>
      <c r="AB241" s="142">
        <f>IF(L241&gt;0,VLOOKUP(D241,Datos!$C$7:$E$11,3,0),VLOOKUP(D241,Datos!$C$7:$E$11,2,0))</f>
        <v>480000</v>
      </c>
      <c r="AC241" s="144">
        <f ca="1">(S241*PMT(Datos!$H$13,Datos!$H$12,-O241,,)*VLOOKUP(TODAY(),'UF HOY'!$A$2:$B$33,2,0)/12)+VLOOKUP(TODAY(),'UF HOY'!$A$2:$B$33,2,0)</f>
        <v>757674.31132763531</v>
      </c>
      <c r="AD241" s="144">
        <f t="shared" ca="1" si="46"/>
        <v>-277674.31132763531</v>
      </c>
      <c r="AE241" s="47">
        <f t="shared" ca="1" si="47"/>
        <v>3030697.2453105412</v>
      </c>
    </row>
    <row r="242" spans="1:31" s="145" customFormat="1" ht="15.5" x14ac:dyDescent="0.35">
      <c r="A242" s="129" t="s">
        <v>105</v>
      </c>
      <c r="B242" s="130">
        <v>1205</v>
      </c>
      <c r="C242" s="131" t="s">
        <v>151</v>
      </c>
      <c r="D242" s="131" t="s">
        <v>154</v>
      </c>
      <c r="E242" s="131"/>
      <c r="F242" s="131">
        <v>53.12</v>
      </c>
      <c r="G242" s="131">
        <v>7.04</v>
      </c>
      <c r="H242" s="132">
        <f t="shared" si="36"/>
        <v>56.64</v>
      </c>
      <c r="I242" s="132">
        <f t="shared" si="37"/>
        <v>60.16</v>
      </c>
      <c r="J242" s="69">
        <v>4227</v>
      </c>
      <c r="K242" s="134">
        <v>0</v>
      </c>
      <c r="L242" s="135">
        <v>0</v>
      </c>
      <c r="M242" s="135">
        <v>0</v>
      </c>
      <c r="N242" s="69">
        <f t="shared" si="38"/>
        <v>4227</v>
      </c>
      <c r="O242" s="39">
        <f t="shared" si="39"/>
        <v>4696.666666666667</v>
      </c>
      <c r="P242" s="136">
        <f t="shared" si="40"/>
        <v>74.629237288135599</v>
      </c>
      <c r="Q242" s="137">
        <f t="shared" si="41"/>
        <v>0.1</v>
      </c>
      <c r="R242" s="138">
        <f t="shared" si="42"/>
        <v>469.66666666666674</v>
      </c>
      <c r="S242" s="139">
        <v>0.8</v>
      </c>
      <c r="T242" s="138">
        <f t="shared" si="43"/>
        <v>3757.3333333333339</v>
      </c>
      <c r="U242" s="140">
        <f t="shared" si="44"/>
        <v>9.9999999999999978E-2</v>
      </c>
      <c r="V242" s="138">
        <f t="shared" si="45"/>
        <v>469.66666666666657</v>
      </c>
      <c r="W242" s="142">
        <f ca="1">V242*VLOOKUP(TODAY(),'UF HOY'!$A$2:$B$33,2,0)</f>
        <v>18661707.153333332</v>
      </c>
      <c r="X242" s="143">
        <f>Datos!$E$3</f>
        <v>31</v>
      </c>
      <c r="Y242" s="144">
        <f ca="1">IF((W242-1000000-Datos!$D$3)/X242&gt;0,(W242-1000000-Datos!$D$3)/X242,0)</f>
        <v>561667.97268817201</v>
      </c>
      <c r="Z242" s="143">
        <f>Datos!$F$3</f>
        <v>31</v>
      </c>
      <c r="AA242" s="144">
        <f ca="1">IF((W242-1750000-Datos!$D$3-3%*O242*VLOOKUP(TODAY(),'UF HOY'!$A$2:$B$33,2,0))/Z242&gt;0,(W242-1750000-Datos!$D$3-3%*O242*VLOOKUP(TODAY(),'UF HOY'!$A$2:$B$33,2,0))/Z242,0)</f>
        <v>356877.2583010752</v>
      </c>
      <c r="AB242" s="142">
        <f>IF(L242&gt;0,VLOOKUP(D242,Datos!$C$7:$E$11,3,0),VLOOKUP(D242,Datos!$C$7:$E$11,2,0))</f>
        <v>480000</v>
      </c>
      <c r="AC242" s="144">
        <f ca="1">(S242*PMT(Datos!$H$13,Datos!$H$12,-O242,,)*VLOOKUP(TODAY(),'UF HOY'!$A$2:$B$33,2,0)/12)+VLOOKUP(TODAY(),'UF HOY'!$A$2:$B$33,2,0)</f>
        <v>759206.18978708261</v>
      </c>
      <c r="AD242" s="144">
        <f t="shared" ca="1" si="46"/>
        <v>-279206.18978708261</v>
      </c>
      <c r="AE242" s="47">
        <f t="shared" ca="1" si="47"/>
        <v>3036824.7591483304</v>
      </c>
    </row>
    <row r="243" spans="1:31" s="145" customFormat="1" ht="15.5" x14ac:dyDescent="0.35">
      <c r="A243" s="129" t="s">
        <v>105</v>
      </c>
      <c r="B243" s="130">
        <v>1215</v>
      </c>
      <c r="C243" s="131" t="s">
        <v>151</v>
      </c>
      <c r="D243" s="131" t="s">
        <v>154</v>
      </c>
      <c r="E243" s="131"/>
      <c r="F243" s="131">
        <v>52.89</v>
      </c>
      <c r="G243" s="131">
        <v>3.84</v>
      </c>
      <c r="H243" s="132">
        <f t="shared" si="36"/>
        <v>54.81</v>
      </c>
      <c r="I243" s="132">
        <f t="shared" si="37"/>
        <v>56.730000000000004</v>
      </c>
      <c r="J243" s="69">
        <v>4227</v>
      </c>
      <c r="K243" s="134">
        <v>0</v>
      </c>
      <c r="L243" s="135">
        <v>0</v>
      </c>
      <c r="M243" s="135">
        <v>0</v>
      </c>
      <c r="N243" s="69">
        <f t="shared" si="38"/>
        <v>4227</v>
      </c>
      <c r="O243" s="39">
        <f t="shared" si="39"/>
        <v>4696.666666666667</v>
      </c>
      <c r="P243" s="136">
        <f t="shared" si="40"/>
        <v>77.120963327859883</v>
      </c>
      <c r="Q243" s="137">
        <f t="shared" si="41"/>
        <v>0.1</v>
      </c>
      <c r="R243" s="138">
        <f t="shared" si="42"/>
        <v>469.66666666666674</v>
      </c>
      <c r="S243" s="139">
        <v>0.8</v>
      </c>
      <c r="T243" s="138">
        <f t="shared" si="43"/>
        <v>3757.3333333333339</v>
      </c>
      <c r="U243" s="140">
        <f t="shared" si="44"/>
        <v>9.9999999999999978E-2</v>
      </c>
      <c r="V243" s="138">
        <f t="shared" si="45"/>
        <v>469.66666666666657</v>
      </c>
      <c r="W243" s="142">
        <f ca="1">V243*VLOOKUP(TODAY(),'UF HOY'!$A$2:$B$33,2,0)</f>
        <v>18661707.153333332</v>
      </c>
      <c r="X243" s="143">
        <f>Datos!$E$3</f>
        <v>31</v>
      </c>
      <c r="Y243" s="144">
        <f ca="1">IF((W243-1000000-Datos!$D$3)/X243&gt;0,(W243-1000000-Datos!$D$3)/X243,0)</f>
        <v>561667.97268817201</v>
      </c>
      <c r="Z243" s="143">
        <f>Datos!$F$3</f>
        <v>31</v>
      </c>
      <c r="AA243" s="144">
        <f ca="1">IF((W243-1750000-Datos!$D$3-3%*O243*VLOOKUP(TODAY(),'UF HOY'!$A$2:$B$33,2,0))/Z243&gt;0,(W243-1750000-Datos!$D$3-3%*O243*VLOOKUP(TODAY(),'UF HOY'!$A$2:$B$33,2,0))/Z243,0)</f>
        <v>356877.2583010752</v>
      </c>
      <c r="AB243" s="142">
        <f>IF(L243&gt;0,VLOOKUP(D243,Datos!$C$7:$E$11,3,0),VLOOKUP(D243,Datos!$C$7:$E$11,2,0))</f>
        <v>480000</v>
      </c>
      <c r="AC243" s="144">
        <f ca="1">(S243*PMT(Datos!$H$13,Datos!$H$12,-O243,,)*VLOOKUP(TODAY(),'UF HOY'!$A$2:$B$33,2,0)/12)+VLOOKUP(TODAY(),'UF HOY'!$A$2:$B$33,2,0)</f>
        <v>759206.18978708261</v>
      </c>
      <c r="AD243" s="144">
        <f t="shared" ca="1" si="46"/>
        <v>-279206.18978708261</v>
      </c>
      <c r="AE243" s="47">
        <f t="shared" ca="1" si="47"/>
        <v>3036824.7591483304</v>
      </c>
    </row>
    <row r="244" spans="1:31" s="145" customFormat="1" ht="15.5" x14ac:dyDescent="0.35">
      <c r="A244" s="129" t="s">
        <v>105</v>
      </c>
      <c r="B244" s="130">
        <v>1305</v>
      </c>
      <c r="C244" s="131" t="s">
        <v>151</v>
      </c>
      <c r="D244" s="131" t="s">
        <v>154</v>
      </c>
      <c r="E244" s="131"/>
      <c r="F244" s="131">
        <v>53.12</v>
      </c>
      <c r="G244" s="131">
        <v>7.04</v>
      </c>
      <c r="H244" s="132">
        <f t="shared" si="36"/>
        <v>56.64</v>
      </c>
      <c r="I244" s="132">
        <f t="shared" si="37"/>
        <v>60.16</v>
      </c>
      <c r="J244" s="69">
        <v>4251</v>
      </c>
      <c r="K244" s="134">
        <v>0</v>
      </c>
      <c r="L244" s="135">
        <v>0</v>
      </c>
      <c r="M244" s="135">
        <v>0</v>
      </c>
      <c r="N244" s="69">
        <f t="shared" si="38"/>
        <v>4251</v>
      </c>
      <c r="O244" s="39">
        <f t="shared" si="39"/>
        <v>4723.333333333333</v>
      </c>
      <c r="P244" s="136">
        <f t="shared" si="40"/>
        <v>75.052966101694921</v>
      </c>
      <c r="Q244" s="137">
        <f t="shared" si="41"/>
        <v>0.1</v>
      </c>
      <c r="R244" s="138">
        <f t="shared" si="42"/>
        <v>472.33333333333331</v>
      </c>
      <c r="S244" s="139">
        <v>0.8</v>
      </c>
      <c r="T244" s="138">
        <f t="shared" si="43"/>
        <v>3778.6666666666665</v>
      </c>
      <c r="U244" s="140">
        <f t="shared" si="44"/>
        <v>9.9999999999999978E-2</v>
      </c>
      <c r="V244" s="138">
        <f t="shared" si="45"/>
        <v>472.3333333333332</v>
      </c>
      <c r="W244" s="142">
        <f ca="1">V244*VLOOKUP(TODAY(),'UF HOY'!$A$2:$B$33,2,0)</f>
        <v>18767664.326666664</v>
      </c>
      <c r="X244" s="143">
        <f>Datos!$E$3</f>
        <v>31</v>
      </c>
      <c r="Y244" s="144">
        <f ca="1">IF((W244-1000000-Datos!$D$3)/X244&gt;0,(W244-1000000-Datos!$D$3)/X244,0)</f>
        <v>565085.94602150528</v>
      </c>
      <c r="Z244" s="143">
        <f>Datos!$F$3</f>
        <v>31</v>
      </c>
      <c r="AA244" s="144">
        <f ca="1">IF((W244-1750000-Datos!$D$3-3%*O244*VLOOKUP(TODAY(),'UF HOY'!$A$2:$B$33,2,0))/Z244&gt;0,(W244-1750000-Datos!$D$3-3%*O244*VLOOKUP(TODAY(),'UF HOY'!$A$2:$B$33,2,0))/Z244,0)</f>
        <v>359269.83963440853</v>
      </c>
      <c r="AB244" s="142">
        <f>IF(L244&gt;0,VLOOKUP(D244,Datos!$C$7:$E$11,3,0),VLOOKUP(D244,Datos!$C$7:$E$11,2,0))</f>
        <v>480000</v>
      </c>
      <c r="AC244" s="144">
        <f ca="1">(S244*PMT(Datos!$H$13,Datos!$H$12,-O244,,)*VLOOKUP(TODAY(),'UF HOY'!$A$2:$B$33,2,0)/12)+VLOOKUP(TODAY(),'UF HOY'!$A$2:$B$33,2,0)</f>
        <v>763291.19901227532</v>
      </c>
      <c r="AD244" s="144">
        <f t="shared" ca="1" si="46"/>
        <v>-283291.19901227532</v>
      </c>
      <c r="AE244" s="47">
        <f t="shared" ca="1" si="47"/>
        <v>3053164.7960491013</v>
      </c>
    </row>
    <row r="245" spans="1:31" s="145" customFormat="1" ht="15.5" x14ac:dyDescent="0.35">
      <c r="A245" s="129" t="s">
        <v>105</v>
      </c>
      <c r="B245" s="130">
        <v>1315</v>
      </c>
      <c r="C245" s="131" t="s">
        <v>151</v>
      </c>
      <c r="D245" s="131" t="s">
        <v>154</v>
      </c>
      <c r="E245" s="131"/>
      <c r="F245" s="131">
        <v>52.89</v>
      </c>
      <c r="G245" s="131">
        <v>3.84</v>
      </c>
      <c r="H245" s="132">
        <f t="shared" si="36"/>
        <v>54.81</v>
      </c>
      <c r="I245" s="132">
        <f t="shared" si="37"/>
        <v>56.730000000000004</v>
      </c>
      <c r="J245" s="69">
        <v>4251</v>
      </c>
      <c r="K245" s="134">
        <v>0</v>
      </c>
      <c r="L245" s="135">
        <v>0</v>
      </c>
      <c r="M245" s="135">
        <v>0</v>
      </c>
      <c r="N245" s="69">
        <f t="shared" si="38"/>
        <v>4251</v>
      </c>
      <c r="O245" s="39">
        <f t="shared" si="39"/>
        <v>4723.333333333333</v>
      </c>
      <c r="P245" s="136">
        <f t="shared" si="40"/>
        <v>77.558839627805142</v>
      </c>
      <c r="Q245" s="137">
        <f t="shared" si="41"/>
        <v>0.1</v>
      </c>
      <c r="R245" s="138">
        <f t="shared" si="42"/>
        <v>472.33333333333331</v>
      </c>
      <c r="S245" s="139">
        <v>0.8</v>
      </c>
      <c r="T245" s="138">
        <f t="shared" si="43"/>
        <v>3778.6666666666665</v>
      </c>
      <c r="U245" s="140">
        <f t="shared" si="44"/>
        <v>9.9999999999999978E-2</v>
      </c>
      <c r="V245" s="138">
        <f t="shared" si="45"/>
        <v>472.3333333333332</v>
      </c>
      <c r="W245" s="142">
        <f ca="1">V245*VLOOKUP(TODAY(),'UF HOY'!$A$2:$B$33,2,0)</f>
        <v>18767664.326666664</v>
      </c>
      <c r="X245" s="143">
        <f>Datos!$E$3</f>
        <v>31</v>
      </c>
      <c r="Y245" s="144">
        <f ca="1">IF((W245-1000000-Datos!$D$3)/X245&gt;0,(W245-1000000-Datos!$D$3)/X245,0)</f>
        <v>565085.94602150528</v>
      </c>
      <c r="Z245" s="143">
        <f>Datos!$F$3</f>
        <v>31</v>
      </c>
      <c r="AA245" s="144">
        <f ca="1">IF((W245-1750000-Datos!$D$3-3%*O245*VLOOKUP(TODAY(),'UF HOY'!$A$2:$B$33,2,0))/Z245&gt;0,(W245-1750000-Datos!$D$3-3%*O245*VLOOKUP(TODAY(),'UF HOY'!$A$2:$B$33,2,0))/Z245,0)</f>
        <v>359269.83963440853</v>
      </c>
      <c r="AB245" s="142">
        <f>IF(L245&gt;0,VLOOKUP(D245,Datos!$C$7:$E$11,3,0),VLOOKUP(D245,Datos!$C$7:$E$11,2,0))</f>
        <v>480000</v>
      </c>
      <c r="AC245" s="144">
        <f ca="1">(S245*PMT(Datos!$H$13,Datos!$H$12,-O245,,)*VLOOKUP(TODAY(),'UF HOY'!$A$2:$B$33,2,0)/12)+VLOOKUP(TODAY(),'UF HOY'!$A$2:$B$33,2,0)</f>
        <v>763291.19901227532</v>
      </c>
      <c r="AD245" s="144">
        <f t="shared" ca="1" si="46"/>
        <v>-283291.19901227532</v>
      </c>
      <c r="AE245" s="47">
        <f t="shared" ca="1" si="47"/>
        <v>3053164.7960491013</v>
      </c>
    </row>
    <row r="246" spans="1:31" s="145" customFormat="1" ht="15.5" x14ac:dyDescent="0.35">
      <c r="A246" s="129" t="s">
        <v>105</v>
      </c>
      <c r="B246" s="130">
        <v>506</v>
      </c>
      <c r="C246" s="131" t="s">
        <v>152</v>
      </c>
      <c r="D246" s="131" t="s">
        <v>154</v>
      </c>
      <c r="E246" s="131"/>
      <c r="F246" s="131">
        <v>53.12</v>
      </c>
      <c r="G246" s="131">
        <v>7.04</v>
      </c>
      <c r="H246" s="132">
        <f t="shared" si="36"/>
        <v>56.64</v>
      </c>
      <c r="I246" s="132">
        <f t="shared" si="37"/>
        <v>60.16</v>
      </c>
      <c r="J246" s="69">
        <v>4256</v>
      </c>
      <c r="K246" s="134">
        <v>0</v>
      </c>
      <c r="L246" s="135">
        <v>0</v>
      </c>
      <c r="M246" s="135">
        <v>0</v>
      </c>
      <c r="N246" s="69">
        <f t="shared" si="38"/>
        <v>4256</v>
      </c>
      <c r="O246" s="39">
        <f t="shared" si="39"/>
        <v>4728.8888888888887</v>
      </c>
      <c r="P246" s="136">
        <f t="shared" si="40"/>
        <v>75.141242937853107</v>
      </c>
      <c r="Q246" s="137">
        <f t="shared" si="41"/>
        <v>0.1</v>
      </c>
      <c r="R246" s="138">
        <f t="shared" si="42"/>
        <v>472.88888888888891</v>
      </c>
      <c r="S246" s="139">
        <v>0.8</v>
      </c>
      <c r="T246" s="138">
        <f t="shared" si="43"/>
        <v>3783.1111111111113</v>
      </c>
      <c r="U246" s="140">
        <f t="shared" si="44"/>
        <v>9.9999999999999978E-2</v>
      </c>
      <c r="V246" s="138">
        <f t="shared" si="45"/>
        <v>472.88888888888874</v>
      </c>
      <c r="W246" s="142">
        <f ca="1">V246*VLOOKUP(TODAY(),'UF HOY'!$A$2:$B$33,2,0)</f>
        <v>18789738.737777773</v>
      </c>
      <c r="X246" s="143">
        <f>Datos!$E$3</f>
        <v>31</v>
      </c>
      <c r="Y246" s="144">
        <f ca="1">IF((W246-1000000-Datos!$D$3)/X246&gt;0,(W246-1000000-Datos!$D$3)/X246,0)</f>
        <v>565798.02379928296</v>
      </c>
      <c r="Z246" s="143">
        <f>Datos!$F$3</f>
        <v>31</v>
      </c>
      <c r="AA246" s="144">
        <f ca="1">IF((W246-1750000-Datos!$D$3-3%*O246*VLOOKUP(TODAY(),'UF HOY'!$A$2:$B$33,2,0))/Z246&gt;0,(W246-1750000-Datos!$D$3-3%*O246*VLOOKUP(TODAY(),'UF HOY'!$A$2:$B$33,2,0))/Z246,0)</f>
        <v>359768.29407885292</v>
      </c>
      <c r="AB246" s="142">
        <f>IF(L246&gt;0,VLOOKUP(D246,Datos!$C$7:$E$11,3,0),VLOOKUP(D246,Datos!$C$7:$E$11,2,0))</f>
        <v>480000</v>
      </c>
      <c r="AC246" s="144">
        <f ca="1">(S246*PMT(Datos!$H$13,Datos!$H$12,-O246,,)*VLOOKUP(TODAY(),'UF HOY'!$A$2:$B$33,2,0)/12)+VLOOKUP(TODAY(),'UF HOY'!$A$2:$B$33,2,0)</f>
        <v>764142.24260085728</v>
      </c>
      <c r="AD246" s="144">
        <f t="shared" ca="1" si="46"/>
        <v>-284142.24260085728</v>
      </c>
      <c r="AE246" s="47">
        <f t="shared" ca="1" si="47"/>
        <v>3056568.9704034291</v>
      </c>
    </row>
    <row r="247" spans="1:31" s="145" customFormat="1" ht="15.5" x14ac:dyDescent="0.35">
      <c r="A247" s="129" t="s">
        <v>105</v>
      </c>
      <c r="B247" s="130">
        <v>514</v>
      </c>
      <c r="C247" s="131" t="s">
        <v>152</v>
      </c>
      <c r="D247" s="131" t="s">
        <v>154</v>
      </c>
      <c r="E247" s="131"/>
      <c r="F247" s="131">
        <v>52.89</v>
      </c>
      <c r="G247" s="131">
        <v>3.84</v>
      </c>
      <c r="H247" s="132">
        <f t="shared" si="36"/>
        <v>54.81</v>
      </c>
      <c r="I247" s="132">
        <f t="shared" si="37"/>
        <v>56.730000000000004</v>
      </c>
      <c r="J247" s="69">
        <v>4256</v>
      </c>
      <c r="K247" s="134">
        <v>0</v>
      </c>
      <c r="L247" s="135">
        <v>0</v>
      </c>
      <c r="M247" s="135">
        <v>0</v>
      </c>
      <c r="N247" s="69">
        <f t="shared" si="38"/>
        <v>4256</v>
      </c>
      <c r="O247" s="39">
        <f t="shared" si="39"/>
        <v>4728.8888888888887</v>
      </c>
      <c r="P247" s="136">
        <f t="shared" si="40"/>
        <v>77.650063856960401</v>
      </c>
      <c r="Q247" s="137">
        <f t="shared" si="41"/>
        <v>0.1</v>
      </c>
      <c r="R247" s="138">
        <f t="shared" si="42"/>
        <v>472.88888888888891</v>
      </c>
      <c r="S247" s="139">
        <v>0.8</v>
      </c>
      <c r="T247" s="138">
        <f t="shared" si="43"/>
        <v>3783.1111111111113</v>
      </c>
      <c r="U247" s="140">
        <f t="shared" si="44"/>
        <v>9.9999999999999978E-2</v>
      </c>
      <c r="V247" s="138">
        <f t="shared" si="45"/>
        <v>472.88888888888874</v>
      </c>
      <c r="W247" s="142">
        <f ca="1">V247*VLOOKUP(TODAY(),'UF HOY'!$A$2:$B$33,2,0)</f>
        <v>18789738.737777773</v>
      </c>
      <c r="X247" s="143">
        <f>Datos!$E$3</f>
        <v>31</v>
      </c>
      <c r="Y247" s="144">
        <f ca="1">IF((W247-1000000-Datos!$D$3)/X247&gt;0,(W247-1000000-Datos!$D$3)/X247,0)</f>
        <v>565798.02379928296</v>
      </c>
      <c r="Z247" s="143">
        <f>Datos!$F$3</f>
        <v>31</v>
      </c>
      <c r="AA247" s="144">
        <f ca="1">IF((W247-1750000-Datos!$D$3-3%*O247*VLOOKUP(TODAY(),'UF HOY'!$A$2:$B$33,2,0))/Z247&gt;0,(W247-1750000-Datos!$D$3-3%*O247*VLOOKUP(TODAY(),'UF HOY'!$A$2:$B$33,2,0))/Z247,0)</f>
        <v>359768.29407885292</v>
      </c>
      <c r="AB247" s="142">
        <f>IF(L247&gt;0,VLOOKUP(D247,Datos!$C$7:$E$11,3,0),VLOOKUP(D247,Datos!$C$7:$E$11,2,0))</f>
        <v>480000</v>
      </c>
      <c r="AC247" s="144">
        <f ca="1">(S247*PMT(Datos!$H$13,Datos!$H$12,-O247,,)*VLOOKUP(TODAY(),'UF HOY'!$A$2:$B$33,2,0)/12)+VLOOKUP(TODAY(),'UF HOY'!$A$2:$B$33,2,0)</f>
        <v>764142.24260085728</v>
      </c>
      <c r="AD247" s="144">
        <f t="shared" ca="1" si="46"/>
        <v>-284142.24260085728</v>
      </c>
      <c r="AE247" s="47">
        <f t="shared" ca="1" si="47"/>
        <v>3056568.9704034291</v>
      </c>
    </row>
    <row r="248" spans="1:31" s="145" customFormat="1" ht="15.5" x14ac:dyDescent="0.35">
      <c r="A248" s="129" t="s">
        <v>105</v>
      </c>
      <c r="B248" s="130">
        <v>1405</v>
      </c>
      <c r="C248" s="131" t="s">
        <v>151</v>
      </c>
      <c r="D248" s="131" t="s">
        <v>154</v>
      </c>
      <c r="E248" s="131"/>
      <c r="F248" s="131">
        <v>53.12</v>
      </c>
      <c r="G248" s="131">
        <v>7.04</v>
      </c>
      <c r="H248" s="132">
        <f t="shared" si="36"/>
        <v>56.64</v>
      </c>
      <c r="I248" s="132">
        <f t="shared" si="37"/>
        <v>60.16</v>
      </c>
      <c r="J248" s="69">
        <v>4274</v>
      </c>
      <c r="K248" s="134">
        <v>0</v>
      </c>
      <c r="L248" s="135">
        <v>0</v>
      </c>
      <c r="M248" s="135">
        <v>0</v>
      </c>
      <c r="N248" s="69">
        <f t="shared" si="38"/>
        <v>4274</v>
      </c>
      <c r="O248" s="39">
        <f t="shared" si="39"/>
        <v>4748.8888888888887</v>
      </c>
      <c r="P248" s="136">
        <f t="shared" si="40"/>
        <v>75.459039548022602</v>
      </c>
      <c r="Q248" s="137">
        <f t="shared" si="41"/>
        <v>0.1</v>
      </c>
      <c r="R248" s="138">
        <f t="shared" si="42"/>
        <v>474.88888888888891</v>
      </c>
      <c r="S248" s="139">
        <v>0.8</v>
      </c>
      <c r="T248" s="138">
        <f t="shared" si="43"/>
        <v>3799.1111111111113</v>
      </c>
      <c r="U248" s="140">
        <f t="shared" si="44"/>
        <v>9.9999999999999978E-2</v>
      </c>
      <c r="V248" s="138">
        <f t="shared" si="45"/>
        <v>474.88888888888874</v>
      </c>
      <c r="W248" s="142">
        <f ca="1">V248*VLOOKUP(TODAY(),'UF HOY'!$A$2:$B$33,2,0)</f>
        <v>18869206.617777772</v>
      </c>
      <c r="X248" s="143">
        <f>Datos!$E$3</f>
        <v>31</v>
      </c>
      <c r="Y248" s="144">
        <f ca="1">IF((W248-1000000-Datos!$D$3)/X248&gt;0,(W248-1000000-Datos!$D$3)/X248,0)</f>
        <v>568361.50379928295</v>
      </c>
      <c r="Z248" s="143">
        <f>Datos!$F$3</f>
        <v>31</v>
      </c>
      <c r="AA248" s="144">
        <f ca="1">IF((W248-1750000-Datos!$D$3-3%*O248*VLOOKUP(TODAY(),'UF HOY'!$A$2:$B$33,2,0))/Z248&gt;0,(W248-1750000-Datos!$D$3-3%*O248*VLOOKUP(TODAY(),'UF HOY'!$A$2:$B$33,2,0))/Z248,0)</f>
        <v>361562.73007885285</v>
      </c>
      <c r="AB248" s="142">
        <f>IF(L248&gt;0,VLOOKUP(D248,Datos!$C$7:$E$11,3,0),VLOOKUP(D248,Datos!$C$7:$E$11,2,0))</f>
        <v>480000</v>
      </c>
      <c r="AC248" s="144">
        <f ca="1">(S248*PMT(Datos!$H$13,Datos!$H$12,-O248,,)*VLOOKUP(TODAY(),'UF HOY'!$A$2:$B$33,2,0)/12)+VLOOKUP(TODAY(),'UF HOY'!$A$2:$B$33,2,0)</f>
        <v>767205.99951975187</v>
      </c>
      <c r="AD248" s="144">
        <f t="shared" ca="1" si="46"/>
        <v>-287205.99951975187</v>
      </c>
      <c r="AE248" s="47">
        <f t="shared" ca="1" si="47"/>
        <v>3068823.9980790075</v>
      </c>
    </row>
    <row r="249" spans="1:31" s="145" customFormat="1" ht="15.5" x14ac:dyDescent="0.35">
      <c r="A249" s="129" t="s">
        <v>105</v>
      </c>
      <c r="B249" s="130">
        <v>1415</v>
      </c>
      <c r="C249" s="131" t="s">
        <v>151</v>
      </c>
      <c r="D249" s="131" t="s">
        <v>154</v>
      </c>
      <c r="E249" s="131"/>
      <c r="F249" s="131">
        <v>52.89</v>
      </c>
      <c r="G249" s="131">
        <v>3.84</v>
      </c>
      <c r="H249" s="132">
        <f t="shared" si="36"/>
        <v>54.81</v>
      </c>
      <c r="I249" s="132">
        <f t="shared" si="37"/>
        <v>56.730000000000004</v>
      </c>
      <c r="J249" s="69">
        <v>4274</v>
      </c>
      <c r="K249" s="134">
        <v>0</v>
      </c>
      <c r="L249" s="135">
        <v>0</v>
      </c>
      <c r="M249" s="135">
        <v>0</v>
      </c>
      <c r="N249" s="69">
        <f t="shared" si="38"/>
        <v>4274</v>
      </c>
      <c r="O249" s="39">
        <f t="shared" si="39"/>
        <v>4748.8888888888887</v>
      </c>
      <c r="P249" s="136">
        <f t="shared" si="40"/>
        <v>77.978471081919352</v>
      </c>
      <c r="Q249" s="137">
        <f t="shared" si="41"/>
        <v>0.1</v>
      </c>
      <c r="R249" s="138">
        <f t="shared" si="42"/>
        <v>474.88888888888891</v>
      </c>
      <c r="S249" s="139">
        <v>0.8</v>
      </c>
      <c r="T249" s="138">
        <f t="shared" si="43"/>
        <v>3799.1111111111113</v>
      </c>
      <c r="U249" s="140">
        <f t="shared" si="44"/>
        <v>9.9999999999999978E-2</v>
      </c>
      <c r="V249" s="138">
        <f t="shared" si="45"/>
        <v>474.88888888888874</v>
      </c>
      <c r="W249" s="142">
        <f ca="1">V249*VLOOKUP(TODAY(),'UF HOY'!$A$2:$B$33,2,0)</f>
        <v>18869206.617777772</v>
      </c>
      <c r="X249" s="143">
        <f>Datos!$E$3</f>
        <v>31</v>
      </c>
      <c r="Y249" s="144">
        <f ca="1">IF((W249-1000000-Datos!$D$3)/X249&gt;0,(W249-1000000-Datos!$D$3)/X249,0)</f>
        <v>568361.50379928295</v>
      </c>
      <c r="Z249" s="143">
        <f>Datos!$F$3</f>
        <v>31</v>
      </c>
      <c r="AA249" s="144">
        <f ca="1">IF((W249-1750000-Datos!$D$3-3%*O249*VLOOKUP(TODAY(),'UF HOY'!$A$2:$B$33,2,0))/Z249&gt;0,(W249-1750000-Datos!$D$3-3%*O249*VLOOKUP(TODAY(),'UF HOY'!$A$2:$B$33,2,0))/Z249,0)</f>
        <v>361562.73007885285</v>
      </c>
      <c r="AB249" s="142">
        <f>IF(L249&gt;0,VLOOKUP(D249,Datos!$C$7:$E$11,3,0),VLOOKUP(D249,Datos!$C$7:$E$11,2,0))</f>
        <v>480000</v>
      </c>
      <c r="AC249" s="144">
        <f ca="1">(S249*PMT(Datos!$H$13,Datos!$H$12,-O249,,)*VLOOKUP(TODAY(),'UF HOY'!$A$2:$B$33,2,0)/12)+VLOOKUP(TODAY(),'UF HOY'!$A$2:$B$33,2,0)</f>
        <v>767205.99951975187</v>
      </c>
      <c r="AD249" s="144">
        <f t="shared" ca="1" si="46"/>
        <v>-287205.99951975187</v>
      </c>
      <c r="AE249" s="47">
        <f t="shared" ca="1" si="47"/>
        <v>3068823.9980790075</v>
      </c>
    </row>
    <row r="250" spans="1:31" s="145" customFormat="1" ht="15.5" x14ac:dyDescent="0.35">
      <c r="A250" s="129" t="s">
        <v>105</v>
      </c>
      <c r="B250" s="130">
        <v>606</v>
      </c>
      <c r="C250" s="131" t="s">
        <v>152</v>
      </c>
      <c r="D250" s="131" t="s">
        <v>154</v>
      </c>
      <c r="E250" s="131"/>
      <c r="F250" s="131">
        <v>53.12</v>
      </c>
      <c r="G250" s="131">
        <v>7.04</v>
      </c>
      <c r="H250" s="132">
        <f t="shared" si="36"/>
        <v>56.64</v>
      </c>
      <c r="I250" s="132">
        <f t="shared" si="37"/>
        <v>60.16</v>
      </c>
      <c r="J250" s="69">
        <v>4280</v>
      </c>
      <c r="K250" s="134">
        <v>0</v>
      </c>
      <c r="L250" s="135">
        <v>0</v>
      </c>
      <c r="M250" s="135">
        <v>0</v>
      </c>
      <c r="N250" s="69">
        <f t="shared" si="38"/>
        <v>4280</v>
      </c>
      <c r="O250" s="39">
        <f t="shared" si="39"/>
        <v>4755.5555555555557</v>
      </c>
      <c r="P250" s="136">
        <f t="shared" si="40"/>
        <v>75.564971751412429</v>
      </c>
      <c r="Q250" s="137">
        <f t="shared" si="41"/>
        <v>0.1</v>
      </c>
      <c r="R250" s="138">
        <f t="shared" si="42"/>
        <v>475.5555555555556</v>
      </c>
      <c r="S250" s="139">
        <v>0.8</v>
      </c>
      <c r="T250" s="138">
        <f t="shared" si="43"/>
        <v>3804.4444444444448</v>
      </c>
      <c r="U250" s="140">
        <f t="shared" si="44"/>
        <v>9.9999999999999978E-2</v>
      </c>
      <c r="V250" s="138">
        <f t="shared" si="45"/>
        <v>475.55555555555549</v>
      </c>
      <c r="W250" s="142">
        <f ca="1">V250*VLOOKUP(TODAY(),'UF HOY'!$A$2:$B$33,2,0)</f>
        <v>18895695.911111109</v>
      </c>
      <c r="X250" s="143">
        <f>Datos!$E$3</f>
        <v>31</v>
      </c>
      <c r="Y250" s="144">
        <f ca="1">IF((W250-1000000-Datos!$D$3)/X250&gt;0,(W250-1000000-Datos!$D$3)/X250,0)</f>
        <v>569215.99713261647</v>
      </c>
      <c r="Z250" s="143">
        <f>Datos!$F$3</f>
        <v>31</v>
      </c>
      <c r="AA250" s="144">
        <f ca="1">IF((W250-1750000-Datos!$D$3-3%*O250*VLOOKUP(TODAY(),'UF HOY'!$A$2:$B$33,2,0))/Z250&gt;0,(W250-1750000-Datos!$D$3-3%*O250*VLOOKUP(TODAY(),'UF HOY'!$A$2:$B$33,2,0))/Z250,0)</f>
        <v>362160.87541218632</v>
      </c>
      <c r="AB250" s="142">
        <f>IF(L250&gt;0,VLOOKUP(D250,Datos!$C$7:$E$11,3,0),VLOOKUP(D250,Datos!$C$7:$E$11,2,0))</f>
        <v>480000</v>
      </c>
      <c r="AC250" s="144">
        <f ca="1">(S250*PMT(Datos!$H$13,Datos!$H$12,-O250,,)*VLOOKUP(TODAY(),'UF HOY'!$A$2:$B$33,2,0)/12)+VLOOKUP(TODAY(),'UF HOY'!$A$2:$B$33,2,0)</f>
        <v>768227.25182604999</v>
      </c>
      <c r="AD250" s="144">
        <f t="shared" ca="1" si="46"/>
        <v>-288227.25182604999</v>
      </c>
      <c r="AE250" s="47">
        <f t="shared" ca="1" si="47"/>
        <v>3072909.0073042</v>
      </c>
    </row>
    <row r="251" spans="1:31" s="145" customFormat="1" ht="15.5" x14ac:dyDescent="0.35">
      <c r="A251" s="129" t="s">
        <v>105</v>
      </c>
      <c r="B251" s="130">
        <v>614</v>
      </c>
      <c r="C251" s="131" t="s">
        <v>152</v>
      </c>
      <c r="D251" s="131" t="s">
        <v>154</v>
      </c>
      <c r="E251" s="131"/>
      <c r="F251" s="131">
        <v>52.89</v>
      </c>
      <c r="G251" s="131">
        <v>3.84</v>
      </c>
      <c r="H251" s="132">
        <f t="shared" si="36"/>
        <v>54.81</v>
      </c>
      <c r="I251" s="132">
        <f t="shared" si="37"/>
        <v>56.730000000000004</v>
      </c>
      <c r="J251" s="69">
        <v>4280</v>
      </c>
      <c r="K251" s="134">
        <v>0</v>
      </c>
      <c r="L251" s="135">
        <v>0</v>
      </c>
      <c r="M251" s="135">
        <v>0</v>
      </c>
      <c r="N251" s="69">
        <f t="shared" si="38"/>
        <v>4280</v>
      </c>
      <c r="O251" s="39">
        <f t="shared" si="39"/>
        <v>4755.5555555555557</v>
      </c>
      <c r="P251" s="136">
        <f t="shared" si="40"/>
        <v>78.087940156905674</v>
      </c>
      <c r="Q251" s="137">
        <f t="shared" si="41"/>
        <v>0.1</v>
      </c>
      <c r="R251" s="138">
        <f t="shared" si="42"/>
        <v>475.5555555555556</v>
      </c>
      <c r="S251" s="139">
        <v>0.8</v>
      </c>
      <c r="T251" s="138">
        <f t="shared" si="43"/>
        <v>3804.4444444444448</v>
      </c>
      <c r="U251" s="140">
        <f t="shared" si="44"/>
        <v>9.9999999999999978E-2</v>
      </c>
      <c r="V251" s="138">
        <f t="shared" si="45"/>
        <v>475.55555555555549</v>
      </c>
      <c r="W251" s="142">
        <f ca="1">V251*VLOOKUP(TODAY(),'UF HOY'!$A$2:$B$33,2,0)</f>
        <v>18895695.911111109</v>
      </c>
      <c r="X251" s="143">
        <f>Datos!$E$3</f>
        <v>31</v>
      </c>
      <c r="Y251" s="144">
        <f ca="1">IF((W251-1000000-Datos!$D$3)/X251&gt;0,(W251-1000000-Datos!$D$3)/X251,0)</f>
        <v>569215.99713261647</v>
      </c>
      <c r="Z251" s="143">
        <f>Datos!$F$3</f>
        <v>31</v>
      </c>
      <c r="AA251" s="144">
        <f ca="1">IF((W251-1750000-Datos!$D$3-3%*O251*VLOOKUP(TODAY(),'UF HOY'!$A$2:$B$33,2,0))/Z251&gt;0,(W251-1750000-Datos!$D$3-3%*O251*VLOOKUP(TODAY(),'UF HOY'!$A$2:$B$33,2,0))/Z251,0)</f>
        <v>362160.87541218632</v>
      </c>
      <c r="AB251" s="142">
        <f>IF(L251&gt;0,VLOOKUP(D251,Datos!$C$7:$E$11,3,0),VLOOKUP(D251,Datos!$C$7:$E$11,2,0))</f>
        <v>480000</v>
      </c>
      <c r="AC251" s="144">
        <f ca="1">(S251*PMT(Datos!$H$13,Datos!$H$12,-O251,,)*VLOOKUP(TODAY(),'UF HOY'!$A$2:$B$33,2,0)/12)+VLOOKUP(TODAY(),'UF HOY'!$A$2:$B$33,2,0)</f>
        <v>768227.25182604999</v>
      </c>
      <c r="AD251" s="144">
        <f t="shared" ca="1" si="46"/>
        <v>-288227.25182604999</v>
      </c>
      <c r="AE251" s="47">
        <f t="shared" ca="1" si="47"/>
        <v>3072909.0073042</v>
      </c>
    </row>
    <row r="252" spans="1:31" s="145" customFormat="1" ht="15.5" x14ac:dyDescent="0.35">
      <c r="A252" s="129" t="s">
        <v>105</v>
      </c>
      <c r="B252" s="129">
        <v>1505</v>
      </c>
      <c r="C252" s="131" t="s">
        <v>151</v>
      </c>
      <c r="D252" s="131" t="s">
        <v>154</v>
      </c>
      <c r="E252" s="131"/>
      <c r="F252" s="131">
        <v>53.12</v>
      </c>
      <c r="G252" s="131">
        <v>7.04</v>
      </c>
      <c r="H252" s="132">
        <f t="shared" si="36"/>
        <v>56.64</v>
      </c>
      <c r="I252" s="132">
        <f t="shared" si="37"/>
        <v>60.16</v>
      </c>
      <c r="J252" s="69">
        <v>4297</v>
      </c>
      <c r="K252" s="134">
        <v>0</v>
      </c>
      <c r="L252" s="135">
        <v>0</v>
      </c>
      <c r="M252" s="135">
        <v>0</v>
      </c>
      <c r="N252" s="69">
        <f t="shared" si="38"/>
        <v>4297</v>
      </c>
      <c r="O252" s="39">
        <f t="shared" si="39"/>
        <v>4774.4444444444443</v>
      </c>
      <c r="P252" s="136">
        <f t="shared" si="40"/>
        <v>75.865112994350284</v>
      </c>
      <c r="Q252" s="137">
        <f t="shared" si="41"/>
        <v>0.1</v>
      </c>
      <c r="R252" s="138">
        <f t="shared" si="42"/>
        <v>477.44444444444446</v>
      </c>
      <c r="S252" s="139">
        <v>0.8</v>
      </c>
      <c r="T252" s="138">
        <f t="shared" si="43"/>
        <v>3819.5555555555557</v>
      </c>
      <c r="U252" s="140">
        <f t="shared" si="44"/>
        <v>9.9999999999999978E-2</v>
      </c>
      <c r="V252" s="138">
        <f t="shared" si="45"/>
        <v>477.44444444444434</v>
      </c>
      <c r="W252" s="142">
        <f ca="1">V252*VLOOKUP(TODAY(),'UF HOY'!$A$2:$B$33,2,0)</f>
        <v>18970748.908888888</v>
      </c>
      <c r="X252" s="143">
        <f>Datos!$E$3</f>
        <v>31</v>
      </c>
      <c r="Y252" s="144">
        <f ca="1">IF((W252-1000000-Datos!$D$3)/X252&gt;0,(W252-1000000-Datos!$D$3)/X252,0)</f>
        <v>571637.06157706084</v>
      </c>
      <c r="Z252" s="143">
        <f>Datos!$F$3</f>
        <v>31</v>
      </c>
      <c r="AA252" s="144">
        <f ca="1">IF((W252-1750000-Datos!$D$3-3%*O252*VLOOKUP(TODAY(),'UF HOY'!$A$2:$B$33,2,0))/Z252&gt;0,(W252-1750000-Datos!$D$3-3%*O252*VLOOKUP(TODAY(),'UF HOY'!$A$2:$B$33,2,0))/Z252,0)</f>
        <v>363855.62052329752</v>
      </c>
      <c r="AB252" s="142">
        <f>IF(L252&gt;0,VLOOKUP(D252,Datos!$C$7:$E$11,3,0),VLOOKUP(D252,Datos!$C$7:$E$11,2,0))</f>
        <v>480000</v>
      </c>
      <c r="AC252" s="144">
        <f ca="1">(S252*PMT(Datos!$H$13,Datos!$H$12,-O252,,)*VLOOKUP(TODAY(),'UF HOY'!$A$2:$B$33,2,0)/12)+VLOOKUP(TODAY(),'UF HOY'!$A$2:$B$33,2,0)</f>
        <v>771120.80002722819</v>
      </c>
      <c r="AD252" s="144">
        <f t="shared" ca="1" si="46"/>
        <v>-291120.80002722819</v>
      </c>
      <c r="AE252" s="47">
        <f t="shared" ca="1" si="47"/>
        <v>3084483.2001089128</v>
      </c>
    </row>
    <row r="253" spans="1:31" s="145" customFormat="1" ht="15.5" x14ac:dyDescent="0.35">
      <c r="A253" s="129" t="s">
        <v>105</v>
      </c>
      <c r="B253" s="130">
        <v>1515</v>
      </c>
      <c r="C253" s="131" t="s">
        <v>151</v>
      </c>
      <c r="D253" s="131" t="s">
        <v>154</v>
      </c>
      <c r="E253" s="131"/>
      <c r="F253" s="131">
        <v>52.89</v>
      </c>
      <c r="G253" s="131">
        <v>3.84</v>
      </c>
      <c r="H253" s="132">
        <f t="shared" si="36"/>
        <v>54.81</v>
      </c>
      <c r="I253" s="132">
        <f t="shared" si="37"/>
        <v>56.730000000000004</v>
      </c>
      <c r="J253" s="69">
        <v>4297</v>
      </c>
      <c r="K253" s="134">
        <v>0</v>
      </c>
      <c r="L253" s="135">
        <v>0</v>
      </c>
      <c r="M253" s="135">
        <v>0</v>
      </c>
      <c r="N253" s="69">
        <f t="shared" si="38"/>
        <v>4297</v>
      </c>
      <c r="O253" s="39">
        <f t="shared" si="39"/>
        <v>4774.4444444444443</v>
      </c>
      <c r="P253" s="136">
        <f t="shared" si="40"/>
        <v>78.398102536033562</v>
      </c>
      <c r="Q253" s="137">
        <f t="shared" si="41"/>
        <v>0.1</v>
      </c>
      <c r="R253" s="138">
        <f t="shared" si="42"/>
        <v>477.44444444444446</v>
      </c>
      <c r="S253" s="139">
        <v>0.8</v>
      </c>
      <c r="T253" s="138">
        <f t="shared" si="43"/>
        <v>3819.5555555555557</v>
      </c>
      <c r="U253" s="140">
        <f t="shared" si="44"/>
        <v>9.9999999999999978E-2</v>
      </c>
      <c r="V253" s="138">
        <f t="shared" si="45"/>
        <v>477.44444444444434</v>
      </c>
      <c r="W253" s="142">
        <f ca="1">V253*VLOOKUP(TODAY(),'UF HOY'!$A$2:$B$33,2,0)</f>
        <v>18970748.908888888</v>
      </c>
      <c r="X253" s="143">
        <f>Datos!$E$3</f>
        <v>31</v>
      </c>
      <c r="Y253" s="144">
        <f ca="1">IF((W253-1000000-Datos!$D$3)/X253&gt;0,(W253-1000000-Datos!$D$3)/X253,0)</f>
        <v>571637.06157706084</v>
      </c>
      <c r="Z253" s="143">
        <f>Datos!$F$3</f>
        <v>31</v>
      </c>
      <c r="AA253" s="144">
        <f ca="1">IF((W253-1750000-Datos!$D$3-3%*O253*VLOOKUP(TODAY(),'UF HOY'!$A$2:$B$33,2,0))/Z253&gt;0,(W253-1750000-Datos!$D$3-3%*O253*VLOOKUP(TODAY(),'UF HOY'!$A$2:$B$33,2,0))/Z253,0)</f>
        <v>363855.62052329752</v>
      </c>
      <c r="AB253" s="142">
        <f>IF(L253&gt;0,VLOOKUP(D253,Datos!$C$7:$E$11,3,0),VLOOKUP(D253,Datos!$C$7:$E$11,2,0))</f>
        <v>480000</v>
      </c>
      <c r="AC253" s="144">
        <f ca="1">(S253*PMT(Datos!$H$13,Datos!$H$12,-O253,,)*VLOOKUP(TODAY(),'UF HOY'!$A$2:$B$33,2,0)/12)+VLOOKUP(TODAY(),'UF HOY'!$A$2:$B$33,2,0)</f>
        <v>771120.80002722819</v>
      </c>
      <c r="AD253" s="144">
        <f t="shared" ca="1" si="46"/>
        <v>-291120.80002722819</v>
      </c>
      <c r="AE253" s="47">
        <f t="shared" ca="1" si="47"/>
        <v>3084483.2001089128</v>
      </c>
    </row>
    <row r="254" spans="1:31" s="145" customFormat="1" ht="15.5" x14ac:dyDescent="0.35">
      <c r="A254" s="129" t="s">
        <v>105</v>
      </c>
      <c r="B254" s="130">
        <v>706</v>
      </c>
      <c r="C254" s="131" t="s">
        <v>152</v>
      </c>
      <c r="D254" s="131" t="s">
        <v>154</v>
      </c>
      <c r="E254" s="131"/>
      <c r="F254" s="131">
        <v>53.12</v>
      </c>
      <c r="G254" s="131">
        <v>7.04</v>
      </c>
      <c r="H254" s="132">
        <f t="shared" si="36"/>
        <v>56.64</v>
      </c>
      <c r="I254" s="132">
        <f t="shared" si="37"/>
        <v>60.16</v>
      </c>
      <c r="J254" s="69">
        <v>4303</v>
      </c>
      <c r="K254" s="134">
        <v>0</v>
      </c>
      <c r="L254" s="135">
        <v>0</v>
      </c>
      <c r="M254" s="135">
        <v>0</v>
      </c>
      <c r="N254" s="69">
        <f t="shared" si="38"/>
        <v>4303</v>
      </c>
      <c r="O254" s="39">
        <f t="shared" si="39"/>
        <v>4781.1111111111113</v>
      </c>
      <c r="P254" s="136">
        <f t="shared" si="40"/>
        <v>75.971045197740111</v>
      </c>
      <c r="Q254" s="137">
        <f t="shared" si="41"/>
        <v>0.1</v>
      </c>
      <c r="R254" s="138">
        <f t="shared" si="42"/>
        <v>478.11111111111114</v>
      </c>
      <c r="S254" s="139">
        <v>0.8</v>
      </c>
      <c r="T254" s="138">
        <f t="shared" si="43"/>
        <v>3824.8888888888891</v>
      </c>
      <c r="U254" s="140">
        <f t="shared" si="44"/>
        <v>9.9999999999999978E-2</v>
      </c>
      <c r="V254" s="138">
        <f t="shared" si="45"/>
        <v>478.11111111111103</v>
      </c>
      <c r="W254" s="142">
        <f ca="1">V254*VLOOKUP(TODAY(),'UF HOY'!$A$2:$B$33,2,0)</f>
        <v>18997238.202222221</v>
      </c>
      <c r="X254" s="143">
        <f>Datos!$E$3</f>
        <v>31</v>
      </c>
      <c r="Y254" s="144">
        <f ca="1">IF((W254-1000000-Datos!$D$3)/X254&gt;0,(W254-1000000-Datos!$D$3)/X254,0)</f>
        <v>572491.55491039425</v>
      </c>
      <c r="Z254" s="143">
        <f>Datos!$F$3</f>
        <v>31</v>
      </c>
      <c r="AA254" s="144">
        <f ca="1">IF((W254-1750000-Datos!$D$3-3%*O254*VLOOKUP(TODAY(),'UF HOY'!$A$2:$B$33,2,0))/Z254&gt;0,(W254-1750000-Datos!$D$3-3%*O254*VLOOKUP(TODAY(),'UF HOY'!$A$2:$B$33,2,0))/Z254,0)</f>
        <v>364453.76585663075</v>
      </c>
      <c r="AB254" s="142">
        <f>IF(L254&gt;0,VLOOKUP(D254,Datos!$C$7:$E$11,3,0),VLOOKUP(D254,Datos!$C$7:$E$11,2,0))</f>
        <v>480000</v>
      </c>
      <c r="AC254" s="144">
        <f ca="1">(S254*PMT(Datos!$H$13,Datos!$H$12,-O254,,)*VLOOKUP(TODAY(),'UF HOY'!$A$2:$B$33,2,0)/12)+VLOOKUP(TODAY(),'UF HOY'!$A$2:$B$33,2,0)</f>
        <v>772142.05233352655</v>
      </c>
      <c r="AD254" s="144">
        <f t="shared" ca="1" si="46"/>
        <v>-292142.05233352655</v>
      </c>
      <c r="AE254" s="47">
        <f t="shared" ca="1" si="47"/>
        <v>3088568.2093341062</v>
      </c>
    </row>
    <row r="255" spans="1:31" s="145" customFormat="1" ht="15.5" hidden="1" x14ac:dyDescent="0.35">
      <c r="A255" s="129" t="s">
        <v>170</v>
      </c>
      <c r="B255" s="130">
        <v>714</v>
      </c>
      <c r="C255" s="131" t="s">
        <v>152</v>
      </c>
      <c r="D255" s="131" t="s">
        <v>154</v>
      </c>
      <c r="E255" s="131"/>
      <c r="F255" s="131">
        <v>52.89</v>
      </c>
      <c r="G255" s="131">
        <v>3.84</v>
      </c>
      <c r="H255" s="132">
        <f t="shared" si="36"/>
        <v>54.81</v>
      </c>
      <c r="I255" s="132">
        <f t="shared" si="37"/>
        <v>56.730000000000004</v>
      </c>
      <c r="J255" s="69">
        <v>4303</v>
      </c>
      <c r="K255" s="134">
        <v>0</v>
      </c>
      <c r="L255" s="135">
        <v>0</v>
      </c>
      <c r="M255" s="135">
        <v>0</v>
      </c>
      <c r="N255" s="69">
        <f t="shared" si="38"/>
        <v>4303</v>
      </c>
      <c r="O255" s="39">
        <f t="shared" si="39"/>
        <v>4781.1111111111113</v>
      </c>
      <c r="P255" s="136">
        <f t="shared" si="40"/>
        <v>78.507571611019884</v>
      </c>
      <c r="Q255" s="137">
        <f t="shared" si="41"/>
        <v>0.1</v>
      </c>
      <c r="R255" s="138">
        <f t="shared" si="42"/>
        <v>478.11111111111114</v>
      </c>
      <c r="S255" s="139">
        <v>0.8</v>
      </c>
      <c r="T255" s="138">
        <f t="shared" si="43"/>
        <v>3824.8888888888891</v>
      </c>
      <c r="U255" s="140">
        <f t="shared" si="44"/>
        <v>9.9999999999999978E-2</v>
      </c>
      <c r="V255" s="138">
        <f t="shared" si="45"/>
        <v>478.11111111111103</v>
      </c>
      <c r="W255" s="142">
        <f ca="1">V255*VLOOKUP(TODAY(),'UF HOY'!$A$2:$B$33,2,0)</f>
        <v>18997238.202222221</v>
      </c>
      <c r="X255" s="143">
        <f>Datos!$E$3</f>
        <v>31</v>
      </c>
      <c r="Y255" s="144">
        <f ca="1">IF((W255-1000000-Datos!$D$3)/X255&gt;0,(W255-1000000-Datos!$D$3)/X255,0)</f>
        <v>572491.55491039425</v>
      </c>
      <c r="Z255" s="143">
        <f>Datos!$F$3</f>
        <v>31</v>
      </c>
      <c r="AA255" s="144">
        <f ca="1">IF((W255-1750000-Datos!$D$3-3%*O255*VLOOKUP(TODAY(),'UF HOY'!$A$2:$B$33,2,0))/Z255&gt;0,(W255-1750000-Datos!$D$3-3%*O255*VLOOKUP(TODAY(),'UF HOY'!$A$2:$B$33,2,0))/Z255,0)</f>
        <v>364453.76585663075</v>
      </c>
      <c r="AB255" s="142">
        <f>IF(L255&gt;0,VLOOKUP(D255,Datos!$C$7:$E$11,3,0),VLOOKUP(D255,Datos!$C$7:$E$11,2,0))</f>
        <v>480000</v>
      </c>
      <c r="AC255" s="144">
        <f ca="1">(S255*PMT(Datos!$H$13,Datos!$H$12,-O255,,)*VLOOKUP(TODAY(),'UF HOY'!$A$2:$B$33,2,0)/12)+VLOOKUP(TODAY(),'UF HOY'!$A$2:$B$33,2,0)</f>
        <v>772142.05233352655</v>
      </c>
      <c r="AD255" s="144">
        <f t="shared" ca="1" si="46"/>
        <v>-292142.05233352655</v>
      </c>
      <c r="AE255" s="47">
        <f t="shared" ca="1" si="47"/>
        <v>3088568.2093341062</v>
      </c>
    </row>
    <row r="256" spans="1:31" s="145" customFormat="1" ht="15.5" x14ac:dyDescent="0.35">
      <c r="A256" s="129" t="s">
        <v>105</v>
      </c>
      <c r="B256" s="130">
        <v>1605</v>
      </c>
      <c r="C256" s="131" t="s">
        <v>151</v>
      </c>
      <c r="D256" s="131" t="s">
        <v>154</v>
      </c>
      <c r="E256" s="131"/>
      <c r="F256" s="131">
        <v>53.12</v>
      </c>
      <c r="G256" s="131">
        <v>7.04</v>
      </c>
      <c r="H256" s="132">
        <f t="shared" si="36"/>
        <v>56.64</v>
      </c>
      <c r="I256" s="132">
        <f t="shared" si="37"/>
        <v>60.16</v>
      </c>
      <c r="J256" s="69">
        <v>4321</v>
      </c>
      <c r="K256" s="134">
        <v>0</v>
      </c>
      <c r="L256" s="135">
        <v>0</v>
      </c>
      <c r="M256" s="135">
        <v>0</v>
      </c>
      <c r="N256" s="69">
        <f t="shared" si="38"/>
        <v>4321</v>
      </c>
      <c r="O256" s="39">
        <f t="shared" si="39"/>
        <v>4801.1111111111113</v>
      </c>
      <c r="P256" s="136">
        <f t="shared" si="40"/>
        <v>76.288841807909606</v>
      </c>
      <c r="Q256" s="137">
        <f t="shared" si="41"/>
        <v>0.1</v>
      </c>
      <c r="R256" s="138">
        <f t="shared" si="42"/>
        <v>480.11111111111114</v>
      </c>
      <c r="S256" s="139">
        <v>0.8</v>
      </c>
      <c r="T256" s="138">
        <f t="shared" si="43"/>
        <v>3840.8888888888891</v>
      </c>
      <c r="U256" s="140">
        <f t="shared" si="44"/>
        <v>9.9999999999999978E-2</v>
      </c>
      <c r="V256" s="138">
        <f t="shared" si="45"/>
        <v>480.11111111111103</v>
      </c>
      <c r="W256" s="142">
        <f ca="1">V256*VLOOKUP(TODAY(),'UF HOY'!$A$2:$B$33,2,0)</f>
        <v>19076706.08222222</v>
      </c>
      <c r="X256" s="143">
        <f>Datos!$E$3</f>
        <v>31</v>
      </c>
      <c r="Y256" s="144">
        <f ca="1">IF((W256-1000000-Datos!$D$3)/X256&gt;0,(W256-1000000-Datos!$D$3)/X256,0)</f>
        <v>575055.03491039423</v>
      </c>
      <c r="Z256" s="143">
        <f>Datos!$F$3</f>
        <v>31</v>
      </c>
      <c r="AA256" s="144">
        <f ca="1">IF((W256-1750000-Datos!$D$3-3%*O256*VLOOKUP(TODAY(),'UF HOY'!$A$2:$B$33,2,0))/Z256&gt;0,(W256-1750000-Datos!$D$3-3%*O256*VLOOKUP(TODAY(),'UF HOY'!$A$2:$B$33,2,0))/Z256,0)</f>
        <v>366248.20185663068</v>
      </c>
      <c r="AB256" s="142">
        <f>IF(L256&gt;0,VLOOKUP(D256,Datos!$C$7:$E$11,3,0),VLOOKUP(D256,Datos!$C$7:$E$11,2,0))</f>
        <v>480000</v>
      </c>
      <c r="AC256" s="144">
        <f ca="1">(S256*PMT(Datos!$H$13,Datos!$H$12,-O256,,)*VLOOKUP(TODAY(),'UF HOY'!$A$2:$B$33,2,0)/12)+VLOOKUP(TODAY(),'UF HOY'!$A$2:$B$33,2,0)</f>
        <v>775205.80925242091</v>
      </c>
      <c r="AD256" s="144">
        <f t="shared" ca="1" si="46"/>
        <v>-295205.80925242091</v>
      </c>
      <c r="AE256" s="47">
        <f t="shared" ca="1" si="47"/>
        <v>3100823.2370096836</v>
      </c>
    </row>
    <row r="257" spans="1:31" s="145" customFormat="1" ht="15.5" x14ac:dyDescent="0.35">
      <c r="A257" s="129" t="s">
        <v>105</v>
      </c>
      <c r="B257" s="129">
        <v>1615</v>
      </c>
      <c r="C257" s="131" t="s">
        <v>151</v>
      </c>
      <c r="D257" s="131" t="s">
        <v>154</v>
      </c>
      <c r="E257" s="131"/>
      <c r="F257" s="131">
        <v>52.89</v>
      </c>
      <c r="G257" s="131">
        <v>3.84</v>
      </c>
      <c r="H257" s="132">
        <f t="shared" si="36"/>
        <v>54.81</v>
      </c>
      <c r="I257" s="132">
        <f t="shared" si="37"/>
        <v>56.730000000000004</v>
      </c>
      <c r="J257" s="69">
        <v>4321</v>
      </c>
      <c r="K257" s="134">
        <v>0</v>
      </c>
      <c r="L257" s="135">
        <v>0</v>
      </c>
      <c r="M257" s="135">
        <v>0</v>
      </c>
      <c r="N257" s="69">
        <f t="shared" si="38"/>
        <v>4321</v>
      </c>
      <c r="O257" s="39">
        <f t="shared" si="39"/>
        <v>4801.1111111111113</v>
      </c>
      <c r="P257" s="136">
        <f t="shared" si="40"/>
        <v>78.835978835978835</v>
      </c>
      <c r="Q257" s="137">
        <f t="shared" si="41"/>
        <v>0.1</v>
      </c>
      <c r="R257" s="138">
        <f t="shared" si="42"/>
        <v>480.11111111111114</v>
      </c>
      <c r="S257" s="139">
        <v>0.8</v>
      </c>
      <c r="T257" s="138">
        <f t="shared" si="43"/>
        <v>3840.8888888888891</v>
      </c>
      <c r="U257" s="140">
        <f t="shared" si="44"/>
        <v>9.9999999999999978E-2</v>
      </c>
      <c r="V257" s="138">
        <f t="shared" si="45"/>
        <v>480.11111111111103</v>
      </c>
      <c r="W257" s="142">
        <f ca="1">V257*VLOOKUP(TODAY(),'UF HOY'!$A$2:$B$33,2,0)</f>
        <v>19076706.08222222</v>
      </c>
      <c r="X257" s="143">
        <f>Datos!$E$3</f>
        <v>31</v>
      </c>
      <c r="Y257" s="144">
        <f ca="1">IF((W257-1000000-Datos!$D$3)/X257&gt;0,(W257-1000000-Datos!$D$3)/X257,0)</f>
        <v>575055.03491039423</v>
      </c>
      <c r="Z257" s="143">
        <f>Datos!$F$3</f>
        <v>31</v>
      </c>
      <c r="AA257" s="144">
        <f ca="1">IF((W257-1750000-Datos!$D$3-3%*O257*VLOOKUP(TODAY(),'UF HOY'!$A$2:$B$33,2,0))/Z257&gt;0,(W257-1750000-Datos!$D$3-3%*O257*VLOOKUP(TODAY(),'UF HOY'!$A$2:$B$33,2,0))/Z257,0)</f>
        <v>366248.20185663068</v>
      </c>
      <c r="AB257" s="142">
        <f>IF(L257&gt;0,VLOOKUP(D257,Datos!$C$7:$E$11,3,0),VLOOKUP(D257,Datos!$C$7:$E$11,2,0))</f>
        <v>480000</v>
      </c>
      <c r="AC257" s="144">
        <f ca="1">(S257*PMT(Datos!$H$13,Datos!$H$12,-O257,,)*VLOOKUP(TODAY(),'UF HOY'!$A$2:$B$33,2,0)/12)+VLOOKUP(TODAY(),'UF HOY'!$A$2:$B$33,2,0)</f>
        <v>775205.80925242091</v>
      </c>
      <c r="AD257" s="144">
        <f t="shared" ca="1" si="46"/>
        <v>-295205.80925242091</v>
      </c>
      <c r="AE257" s="47">
        <f t="shared" ca="1" si="47"/>
        <v>3100823.2370096836</v>
      </c>
    </row>
    <row r="258" spans="1:31" s="145" customFormat="1" ht="15.5" x14ac:dyDescent="0.35">
      <c r="A258" s="129" t="s">
        <v>105</v>
      </c>
      <c r="B258" s="129">
        <v>806</v>
      </c>
      <c r="C258" s="131" t="s">
        <v>152</v>
      </c>
      <c r="D258" s="131" t="s">
        <v>154</v>
      </c>
      <c r="E258" s="131"/>
      <c r="F258" s="131">
        <v>53.12</v>
      </c>
      <c r="G258" s="131">
        <v>7.04</v>
      </c>
      <c r="H258" s="132">
        <f t="shared" ref="H258:H321" si="48">F258+G258/2</f>
        <v>56.64</v>
      </c>
      <c r="I258" s="132">
        <f t="shared" ref="I258:I285" si="49">F258+G258</f>
        <v>60.16</v>
      </c>
      <c r="J258" s="69">
        <v>4327</v>
      </c>
      <c r="K258" s="134">
        <v>0</v>
      </c>
      <c r="L258" s="135">
        <v>0</v>
      </c>
      <c r="M258" s="135">
        <v>0</v>
      </c>
      <c r="N258" s="69">
        <f t="shared" ref="N258:N321" si="50">J258-(J258*K258)+L258+M258</f>
        <v>4327</v>
      </c>
      <c r="O258" s="39">
        <f t="shared" ref="O258:O321" si="51">N258/0.9</f>
        <v>4807.7777777777774</v>
      </c>
      <c r="P258" s="136">
        <f t="shared" ref="P258:P285" si="52">(N258-L258-M258)/H258</f>
        <v>76.394774011299432</v>
      </c>
      <c r="Q258" s="137">
        <f t="shared" ref="Q258:Q321" si="53">R258/O258</f>
        <v>0.1</v>
      </c>
      <c r="R258" s="138">
        <f t="shared" ref="R258:R285" si="54">O258*0.1</f>
        <v>480.77777777777777</v>
      </c>
      <c r="S258" s="139">
        <v>0.8</v>
      </c>
      <c r="T258" s="138">
        <f t="shared" ref="T258:T321" si="55">S258*O258</f>
        <v>3846.2222222222222</v>
      </c>
      <c r="U258" s="140">
        <f t="shared" ref="U258:U285" si="56">100%-Q258-S258</f>
        <v>9.9999999999999978E-2</v>
      </c>
      <c r="V258" s="138">
        <f t="shared" ref="V258:V321" si="57">O258*U258</f>
        <v>480.77777777777766</v>
      </c>
      <c r="W258" s="142">
        <f ca="1">V258*VLOOKUP(TODAY(),'UF HOY'!$A$2:$B$33,2,0)</f>
        <v>19103195.375555553</v>
      </c>
      <c r="X258" s="143">
        <f>Datos!$E$3</f>
        <v>31</v>
      </c>
      <c r="Y258" s="144">
        <f ca="1">IF((W258-1000000-Datos!$D$3)/X258&gt;0,(W258-1000000-Datos!$D$3)/X258,0)</f>
        <v>575909.52824372752</v>
      </c>
      <c r="Z258" s="143">
        <f>Datos!$F$3</f>
        <v>31</v>
      </c>
      <c r="AA258" s="144">
        <f ca="1">IF((W258-1750000-Datos!$D$3-3%*O258*VLOOKUP(TODAY(),'UF HOY'!$A$2:$B$33,2,0))/Z258&gt;0,(W258-1750000-Datos!$D$3-3%*O258*VLOOKUP(TODAY(),'UF HOY'!$A$2:$B$33,2,0))/Z258,0)</f>
        <v>366846.34718996409</v>
      </c>
      <c r="AB258" s="142">
        <f>IF(L258&gt;0,VLOOKUP(D258,Datos!$C$7:$E$11,3,0),VLOOKUP(D258,Datos!$C$7:$E$11,2,0))</f>
        <v>480000</v>
      </c>
      <c r="AC258" s="144">
        <f ca="1">(S258*PMT(Datos!$H$13,Datos!$H$12,-O258,,)*VLOOKUP(TODAY(),'UF HOY'!$A$2:$B$33,2,0)/12)+VLOOKUP(TODAY(),'UF HOY'!$A$2:$B$33,2,0)</f>
        <v>776227.06155871926</v>
      </c>
      <c r="AD258" s="144">
        <f t="shared" ref="AD258:AD321" ca="1" si="58">AB258-AC258</f>
        <v>-296227.06155871926</v>
      </c>
      <c r="AE258" s="47">
        <f t="shared" ref="AE258:AE285" ca="1" si="59">IF((AC258/0.25)&lt;=1600000,1600000,(AC258/0.25))</f>
        <v>3104908.246234877</v>
      </c>
    </row>
    <row r="259" spans="1:31" s="145" customFormat="1" ht="15.5" x14ac:dyDescent="0.35">
      <c r="A259" s="129" t="s">
        <v>105</v>
      </c>
      <c r="B259" s="130">
        <v>814</v>
      </c>
      <c r="C259" s="131" t="s">
        <v>152</v>
      </c>
      <c r="D259" s="131" t="s">
        <v>154</v>
      </c>
      <c r="E259" s="131"/>
      <c r="F259" s="131">
        <v>52.89</v>
      </c>
      <c r="G259" s="131">
        <v>3.84</v>
      </c>
      <c r="H259" s="132">
        <f t="shared" si="48"/>
        <v>54.81</v>
      </c>
      <c r="I259" s="132">
        <f t="shared" si="49"/>
        <v>56.730000000000004</v>
      </c>
      <c r="J259" s="69">
        <v>4327</v>
      </c>
      <c r="K259" s="134">
        <v>0</v>
      </c>
      <c r="L259" s="135">
        <v>0</v>
      </c>
      <c r="M259" s="135">
        <v>0</v>
      </c>
      <c r="N259" s="69">
        <f t="shared" si="50"/>
        <v>4327</v>
      </c>
      <c r="O259" s="39">
        <f t="shared" si="51"/>
        <v>4807.7777777777774</v>
      </c>
      <c r="P259" s="136">
        <f t="shared" si="52"/>
        <v>78.945447910965143</v>
      </c>
      <c r="Q259" s="137">
        <f t="shared" si="53"/>
        <v>0.1</v>
      </c>
      <c r="R259" s="138">
        <f t="shared" si="54"/>
        <v>480.77777777777777</v>
      </c>
      <c r="S259" s="139">
        <v>0.8</v>
      </c>
      <c r="T259" s="138">
        <f t="shared" si="55"/>
        <v>3846.2222222222222</v>
      </c>
      <c r="U259" s="140">
        <f t="shared" si="56"/>
        <v>9.9999999999999978E-2</v>
      </c>
      <c r="V259" s="138">
        <f t="shared" si="57"/>
        <v>480.77777777777766</v>
      </c>
      <c r="W259" s="142">
        <f ca="1">V259*VLOOKUP(TODAY(),'UF HOY'!$A$2:$B$33,2,0)</f>
        <v>19103195.375555553</v>
      </c>
      <c r="X259" s="143">
        <f>Datos!$E$3</f>
        <v>31</v>
      </c>
      <c r="Y259" s="144">
        <f ca="1">IF((W259-1000000-Datos!$D$3)/X259&gt;0,(W259-1000000-Datos!$D$3)/X259,0)</f>
        <v>575909.52824372752</v>
      </c>
      <c r="Z259" s="143">
        <f>Datos!$F$3</f>
        <v>31</v>
      </c>
      <c r="AA259" s="144">
        <f ca="1">IF((W259-1750000-Datos!$D$3-3%*O259*VLOOKUP(TODAY(),'UF HOY'!$A$2:$B$33,2,0))/Z259&gt;0,(W259-1750000-Datos!$D$3-3%*O259*VLOOKUP(TODAY(),'UF HOY'!$A$2:$B$33,2,0))/Z259,0)</f>
        <v>366846.34718996409</v>
      </c>
      <c r="AB259" s="142">
        <f>IF(L259&gt;0,VLOOKUP(D259,Datos!$C$7:$E$11,3,0),VLOOKUP(D259,Datos!$C$7:$E$11,2,0))</f>
        <v>480000</v>
      </c>
      <c r="AC259" s="144">
        <f ca="1">(S259*PMT(Datos!$H$13,Datos!$H$12,-O259,,)*VLOOKUP(TODAY(),'UF HOY'!$A$2:$B$33,2,0)/12)+VLOOKUP(TODAY(),'UF HOY'!$A$2:$B$33,2,0)</f>
        <v>776227.06155871926</v>
      </c>
      <c r="AD259" s="144">
        <f t="shared" ca="1" si="58"/>
        <v>-296227.06155871926</v>
      </c>
      <c r="AE259" s="47">
        <f t="shared" ca="1" si="59"/>
        <v>3104908.246234877</v>
      </c>
    </row>
    <row r="260" spans="1:31" s="145" customFormat="1" ht="15.5" x14ac:dyDescent="0.35">
      <c r="A260" s="129" t="s">
        <v>105</v>
      </c>
      <c r="B260" s="129">
        <v>1705</v>
      </c>
      <c r="C260" s="131" t="s">
        <v>151</v>
      </c>
      <c r="D260" s="131" t="s">
        <v>154</v>
      </c>
      <c r="E260" s="131"/>
      <c r="F260" s="131">
        <v>53.12</v>
      </c>
      <c r="G260" s="131">
        <v>7.04</v>
      </c>
      <c r="H260" s="132">
        <f t="shared" si="48"/>
        <v>56.64</v>
      </c>
      <c r="I260" s="132">
        <f t="shared" si="49"/>
        <v>60.16</v>
      </c>
      <c r="J260" s="69">
        <v>4345</v>
      </c>
      <c r="K260" s="134">
        <v>0</v>
      </c>
      <c r="L260" s="135">
        <v>0</v>
      </c>
      <c r="M260" s="135">
        <v>0</v>
      </c>
      <c r="N260" s="69">
        <f t="shared" si="50"/>
        <v>4345</v>
      </c>
      <c r="O260" s="39">
        <f t="shared" si="51"/>
        <v>4827.7777777777774</v>
      </c>
      <c r="P260" s="136">
        <f t="shared" si="52"/>
        <v>76.712570621468927</v>
      </c>
      <c r="Q260" s="137">
        <f t="shared" si="53"/>
        <v>0.1</v>
      </c>
      <c r="R260" s="138">
        <f t="shared" si="54"/>
        <v>482.77777777777777</v>
      </c>
      <c r="S260" s="139">
        <v>0.8</v>
      </c>
      <c r="T260" s="138">
        <f t="shared" si="55"/>
        <v>3862.2222222222222</v>
      </c>
      <c r="U260" s="140">
        <f t="shared" si="56"/>
        <v>9.9999999999999978E-2</v>
      </c>
      <c r="V260" s="138">
        <f t="shared" si="57"/>
        <v>482.77777777777766</v>
      </c>
      <c r="W260" s="142">
        <f ca="1">V260*VLOOKUP(TODAY(),'UF HOY'!$A$2:$B$33,2,0)</f>
        <v>19182663.255555551</v>
      </c>
      <c r="X260" s="143">
        <f>Datos!$E$3</f>
        <v>31</v>
      </c>
      <c r="Y260" s="144">
        <f ca="1">IF((W260-1000000-Datos!$D$3)/X260&gt;0,(W260-1000000-Datos!$D$3)/X260,0)</f>
        <v>578473.0082437275</v>
      </c>
      <c r="Z260" s="143">
        <f>Datos!$F$3</f>
        <v>31</v>
      </c>
      <c r="AA260" s="144">
        <f ca="1">IF((W260-1750000-Datos!$D$3-3%*O260*VLOOKUP(TODAY(),'UF HOY'!$A$2:$B$33,2,0))/Z260&gt;0,(W260-1750000-Datos!$D$3-3%*O260*VLOOKUP(TODAY(),'UF HOY'!$A$2:$B$33,2,0))/Z260,0)</f>
        <v>368640.78318996402</v>
      </c>
      <c r="AB260" s="142">
        <f>IF(L260&gt;0,VLOOKUP(D260,Datos!$C$7:$E$11,3,0),VLOOKUP(D260,Datos!$C$7:$E$11,2,0))</f>
        <v>480000</v>
      </c>
      <c r="AC260" s="144">
        <f ca="1">(S260*PMT(Datos!$H$13,Datos!$H$12,-O260,,)*VLOOKUP(TODAY(),'UF HOY'!$A$2:$B$33,2,0)/12)+VLOOKUP(TODAY(),'UF HOY'!$A$2:$B$33,2,0)</f>
        <v>779290.81847761385</v>
      </c>
      <c r="AD260" s="144">
        <f t="shared" ca="1" si="58"/>
        <v>-299290.81847761385</v>
      </c>
      <c r="AE260" s="47">
        <f t="shared" ca="1" si="59"/>
        <v>3117163.2739104554</v>
      </c>
    </row>
    <row r="261" spans="1:31" s="145" customFormat="1" ht="15.5" x14ac:dyDescent="0.35">
      <c r="A261" s="129" t="s">
        <v>105</v>
      </c>
      <c r="B261" s="130">
        <v>1715</v>
      </c>
      <c r="C261" s="131" t="s">
        <v>151</v>
      </c>
      <c r="D261" s="131" t="s">
        <v>154</v>
      </c>
      <c r="E261" s="131"/>
      <c r="F261" s="131">
        <v>52.89</v>
      </c>
      <c r="G261" s="131">
        <v>3.84</v>
      </c>
      <c r="H261" s="132">
        <f t="shared" si="48"/>
        <v>54.81</v>
      </c>
      <c r="I261" s="132">
        <f t="shared" si="49"/>
        <v>56.730000000000004</v>
      </c>
      <c r="J261" s="69">
        <v>4345</v>
      </c>
      <c r="K261" s="134">
        <v>0</v>
      </c>
      <c r="L261" s="135">
        <v>0</v>
      </c>
      <c r="M261" s="135">
        <v>0</v>
      </c>
      <c r="N261" s="69">
        <f t="shared" si="50"/>
        <v>4345</v>
      </c>
      <c r="O261" s="39">
        <f t="shared" si="51"/>
        <v>4827.7777777777774</v>
      </c>
      <c r="P261" s="136">
        <f t="shared" si="52"/>
        <v>79.273855135924094</v>
      </c>
      <c r="Q261" s="137">
        <f t="shared" si="53"/>
        <v>0.1</v>
      </c>
      <c r="R261" s="138">
        <f t="shared" si="54"/>
        <v>482.77777777777777</v>
      </c>
      <c r="S261" s="139">
        <v>0.8</v>
      </c>
      <c r="T261" s="138">
        <f t="shared" si="55"/>
        <v>3862.2222222222222</v>
      </c>
      <c r="U261" s="140">
        <f t="shared" si="56"/>
        <v>9.9999999999999978E-2</v>
      </c>
      <c r="V261" s="138">
        <f t="shared" si="57"/>
        <v>482.77777777777766</v>
      </c>
      <c r="W261" s="142">
        <f ca="1">V261*VLOOKUP(TODAY(),'UF HOY'!$A$2:$B$33,2,0)</f>
        <v>19182663.255555551</v>
      </c>
      <c r="X261" s="143">
        <f>Datos!$E$3</f>
        <v>31</v>
      </c>
      <c r="Y261" s="144">
        <f ca="1">IF((W261-1000000-Datos!$D$3)/X261&gt;0,(W261-1000000-Datos!$D$3)/X261,0)</f>
        <v>578473.0082437275</v>
      </c>
      <c r="Z261" s="143">
        <f>Datos!$F$3</f>
        <v>31</v>
      </c>
      <c r="AA261" s="144">
        <f ca="1">IF((W261-1750000-Datos!$D$3-3%*O261*VLOOKUP(TODAY(),'UF HOY'!$A$2:$B$33,2,0))/Z261&gt;0,(W261-1750000-Datos!$D$3-3%*O261*VLOOKUP(TODAY(),'UF HOY'!$A$2:$B$33,2,0))/Z261,0)</f>
        <v>368640.78318996402</v>
      </c>
      <c r="AB261" s="142">
        <f>IF(L261&gt;0,VLOOKUP(D261,Datos!$C$7:$E$11,3,0),VLOOKUP(D261,Datos!$C$7:$E$11,2,0))</f>
        <v>480000</v>
      </c>
      <c r="AC261" s="144">
        <f ca="1">(S261*PMT(Datos!$H$13,Datos!$H$12,-O261,,)*VLOOKUP(TODAY(),'UF HOY'!$A$2:$B$33,2,0)/12)+VLOOKUP(TODAY(),'UF HOY'!$A$2:$B$33,2,0)</f>
        <v>779290.81847761385</v>
      </c>
      <c r="AD261" s="144">
        <f t="shared" ca="1" si="58"/>
        <v>-299290.81847761385</v>
      </c>
      <c r="AE261" s="47">
        <f t="shared" ca="1" si="59"/>
        <v>3117163.2739104554</v>
      </c>
    </row>
    <row r="262" spans="1:31" s="145" customFormat="1" ht="15.5" x14ac:dyDescent="0.35">
      <c r="A262" s="129" t="s">
        <v>105</v>
      </c>
      <c r="B262" s="130">
        <v>906</v>
      </c>
      <c r="C262" s="131" t="s">
        <v>152</v>
      </c>
      <c r="D262" s="131" t="s">
        <v>154</v>
      </c>
      <c r="E262" s="131"/>
      <c r="F262" s="131">
        <v>53.12</v>
      </c>
      <c r="G262" s="131">
        <v>7.04</v>
      </c>
      <c r="H262" s="132">
        <f t="shared" si="48"/>
        <v>56.64</v>
      </c>
      <c r="I262" s="132">
        <f t="shared" si="49"/>
        <v>60.16</v>
      </c>
      <c r="J262" s="69">
        <v>4350</v>
      </c>
      <c r="K262" s="134">
        <v>0</v>
      </c>
      <c r="L262" s="135">
        <v>0</v>
      </c>
      <c r="M262" s="135">
        <v>0</v>
      </c>
      <c r="N262" s="69">
        <f t="shared" si="50"/>
        <v>4350</v>
      </c>
      <c r="O262" s="39">
        <f t="shared" si="51"/>
        <v>4833.333333333333</v>
      </c>
      <c r="P262" s="136">
        <f t="shared" si="52"/>
        <v>76.800847457627114</v>
      </c>
      <c r="Q262" s="137">
        <f t="shared" si="53"/>
        <v>0.1</v>
      </c>
      <c r="R262" s="138">
        <f t="shared" si="54"/>
        <v>483.33333333333331</v>
      </c>
      <c r="S262" s="139">
        <v>0.8</v>
      </c>
      <c r="T262" s="138">
        <f t="shared" si="55"/>
        <v>3866.6666666666665</v>
      </c>
      <c r="U262" s="140">
        <f t="shared" si="56"/>
        <v>9.9999999999999978E-2</v>
      </c>
      <c r="V262" s="138">
        <f t="shared" si="57"/>
        <v>483.3333333333332</v>
      </c>
      <c r="W262" s="142">
        <f ca="1">V262*VLOOKUP(TODAY(),'UF HOY'!$A$2:$B$33,2,0)</f>
        <v>19204737.666666664</v>
      </c>
      <c r="X262" s="143">
        <f>Datos!$E$3</f>
        <v>31</v>
      </c>
      <c r="Y262" s="144">
        <f ca="1">IF((W262-1000000-Datos!$D$3)/X262&gt;0,(W262-1000000-Datos!$D$3)/X262,0)</f>
        <v>579185.0860215053</v>
      </c>
      <c r="Z262" s="143">
        <f>Datos!$F$3</f>
        <v>31</v>
      </c>
      <c r="AA262" s="144">
        <f ca="1">IF((W262-1750000-Datos!$D$3-3%*O262*VLOOKUP(TODAY(),'UF HOY'!$A$2:$B$33,2,0))/Z262&gt;0,(W262-1750000-Datos!$D$3-3%*O262*VLOOKUP(TODAY(),'UF HOY'!$A$2:$B$33,2,0))/Z262,0)</f>
        <v>369139.23763440858</v>
      </c>
      <c r="AB262" s="142">
        <f>IF(L262&gt;0,VLOOKUP(D262,Datos!$C$7:$E$11,3,0),VLOOKUP(D262,Datos!$C$7:$E$11,2,0))</f>
        <v>480000</v>
      </c>
      <c r="AC262" s="144">
        <f ca="1">(S262*PMT(Datos!$H$13,Datos!$H$12,-O262,,)*VLOOKUP(TODAY(),'UF HOY'!$A$2:$B$33,2,0)/12)+VLOOKUP(TODAY(),'UF HOY'!$A$2:$B$33,2,0)</f>
        <v>780141.86206619558</v>
      </c>
      <c r="AD262" s="144">
        <f t="shared" ca="1" si="58"/>
        <v>-300141.86206619558</v>
      </c>
      <c r="AE262" s="47">
        <f t="shared" ca="1" si="59"/>
        <v>3120567.4482647823</v>
      </c>
    </row>
    <row r="263" spans="1:31" s="145" customFormat="1" ht="15.5" x14ac:dyDescent="0.35">
      <c r="A263" s="129" t="s">
        <v>105</v>
      </c>
      <c r="B263" s="130">
        <v>914</v>
      </c>
      <c r="C263" s="131" t="s">
        <v>152</v>
      </c>
      <c r="D263" s="131" t="s">
        <v>154</v>
      </c>
      <c r="E263" s="131"/>
      <c r="F263" s="131">
        <v>52.89</v>
      </c>
      <c r="G263" s="131">
        <v>3.84</v>
      </c>
      <c r="H263" s="132">
        <f t="shared" si="48"/>
        <v>54.81</v>
      </c>
      <c r="I263" s="132">
        <f t="shared" si="49"/>
        <v>56.730000000000004</v>
      </c>
      <c r="J263" s="69">
        <v>4350</v>
      </c>
      <c r="K263" s="134">
        <v>0</v>
      </c>
      <c r="L263" s="135">
        <v>0</v>
      </c>
      <c r="M263" s="135">
        <v>0</v>
      </c>
      <c r="N263" s="69">
        <f t="shared" si="50"/>
        <v>4350</v>
      </c>
      <c r="O263" s="39">
        <f t="shared" si="51"/>
        <v>4833.333333333333</v>
      </c>
      <c r="P263" s="136">
        <f t="shared" si="52"/>
        <v>79.365079365079367</v>
      </c>
      <c r="Q263" s="137">
        <f t="shared" si="53"/>
        <v>0.1</v>
      </c>
      <c r="R263" s="138">
        <f t="shared" si="54"/>
        <v>483.33333333333331</v>
      </c>
      <c r="S263" s="139">
        <v>0.8</v>
      </c>
      <c r="T263" s="138">
        <f t="shared" si="55"/>
        <v>3866.6666666666665</v>
      </c>
      <c r="U263" s="140">
        <f t="shared" si="56"/>
        <v>9.9999999999999978E-2</v>
      </c>
      <c r="V263" s="138">
        <f t="shared" si="57"/>
        <v>483.3333333333332</v>
      </c>
      <c r="W263" s="142">
        <f ca="1">V263*VLOOKUP(TODAY(),'UF HOY'!$A$2:$B$33,2,0)</f>
        <v>19204737.666666664</v>
      </c>
      <c r="X263" s="143">
        <f>Datos!$E$3</f>
        <v>31</v>
      </c>
      <c r="Y263" s="144">
        <f ca="1">IF((W263-1000000-Datos!$D$3)/X263&gt;0,(W263-1000000-Datos!$D$3)/X263,0)</f>
        <v>579185.0860215053</v>
      </c>
      <c r="Z263" s="143">
        <f>Datos!$F$3</f>
        <v>31</v>
      </c>
      <c r="AA263" s="144">
        <f ca="1">IF((W263-1750000-Datos!$D$3-3%*O263*VLOOKUP(TODAY(),'UF HOY'!$A$2:$B$33,2,0))/Z263&gt;0,(W263-1750000-Datos!$D$3-3%*O263*VLOOKUP(TODAY(),'UF HOY'!$A$2:$B$33,2,0))/Z263,0)</f>
        <v>369139.23763440858</v>
      </c>
      <c r="AB263" s="142">
        <f>IF(L263&gt;0,VLOOKUP(D263,Datos!$C$7:$E$11,3,0),VLOOKUP(D263,Datos!$C$7:$E$11,2,0))</f>
        <v>480000</v>
      </c>
      <c r="AC263" s="144">
        <f ca="1">(S263*PMT(Datos!$H$13,Datos!$H$12,-O263,,)*VLOOKUP(TODAY(),'UF HOY'!$A$2:$B$33,2,0)/12)+VLOOKUP(TODAY(),'UF HOY'!$A$2:$B$33,2,0)</f>
        <v>780141.86206619558</v>
      </c>
      <c r="AD263" s="144">
        <f t="shared" ca="1" si="58"/>
        <v>-300141.86206619558</v>
      </c>
      <c r="AE263" s="47">
        <f t="shared" ca="1" si="59"/>
        <v>3120567.4482647823</v>
      </c>
    </row>
    <row r="264" spans="1:31" s="145" customFormat="1" ht="15.5" x14ac:dyDescent="0.35">
      <c r="A264" s="129" t="s">
        <v>105</v>
      </c>
      <c r="B264" s="130">
        <v>1805</v>
      </c>
      <c r="C264" s="131" t="s">
        <v>151</v>
      </c>
      <c r="D264" s="131" t="s">
        <v>154</v>
      </c>
      <c r="E264" s="131"/>
      <c r="F264" s="131">
        <v>53.12</v>
      </c>
      <c r="G264" s="131">
        <v>7.04</v>
      </c>
      <c r="H264" s="132">
        <f t="shared" si="48"/>
        <v>56.64</v>
      </c>
      <c r="I264" s="132">
        <f t="shared" si="49"/>
        <v>60.16</v>
      </c>
      <c r="J264" s="69">
        <v>4369</v>
      </c>
      <c r="K264" s="134">
        <v>0</v>
      </c>
      <c r="L264" s="135">
        <v>0</v>
      </c>
      <c r="M264" s="135">
        <v>0</v>
      </c>
      <c r="N264" s="69">
        <f t="shared" si="50"/>
        <v>4369</v>
      </c>
      <c r="O264" s="39">
        <f t="shared" si="51"/>
        <v>4854.4444444444443</v>
      </c>
      <c r="P264" s="136">
        <f t="shared" si="52"/>
        <v>77.136299435028249</v>
      </c>
      <c r="Q264" s="137">
        <f t="shared" si="53"/>
        <v>0.1</v>
      </c>
      <c r="R264" s="138">
        <f t="shared" si="54"/>
        <v>485.44444444444446</v>
      </c>
      <c r="S264" s="139">
        <v>0.8</v>
      </c>
      <c r="T264" s="138">
        <f t="shared" si="55"/>
        <v>3883.5555555555557</v>
      </c>
      <c r="U264" s="140">
        <f t="shared" si="56"/>
        <v>9.9999999999999978E-2</v>
      </c>
      <c r="V264" s="138">
        <f t="shared" si="57"/>
        <v>485.44444444444434</v>
      </c>
      <c r="W264" s="142">
        <f ca="1">V264*VLOOKUP(TODAY(),'UF HOY'!$A$2:$B$33,2,0)</f>
        <v>19288620.428888887</v>
      </c>
      <c r="X264" s="143">
        <f>Datos!$E$3</f>
        <v>31</v>
      </c>
      <c r="Y264" s="144">
        <f ca="1">IF((W264-1000000-Datos!$D$3)/X264&gt;0,(W264-1000000-Datos!$D$3)/X264,0)</f>
        <v>581890.98157706088</v>
      </c>
      <c r="Z264" s="143">
        <f>Datos!$F$3</f>
        <v>31</v>
      </c>
      <c r="AA264" s="144">
        <f ca="1">IF((W264-1750000-Datos!$D$3-3%*O264*VLOOKUP(TODAY(),'UF HOY'!$A$2:$B$33,2,0))/Z264&gt;0,(W264-1750000-Datos!$D$3-3%*O264*VLOOKUP(TODAY(),'UF HOY'!$A$2:$B$33,2,0))/Z264,0)</f>
        <v>371033.36452329747</v>
      </c>
      <c r="AB264" s="142">
        <f>IF(L264&gt;0,VLOOKUP(D264,Datos!$C$7:$E$11,3,0),VLOOKUP(D264,Datos!$C$7:$E$11,2,0))</f>
        <v>480000</v>
      </c>
      <c r="AC264" s="144">
        <f ca="1">(S264*PMT(Datos!$H$13,Datos!$H$12,-O264,,)*VLOOKUP(TODAY(),'UF HOY'!$A$2:$B$33,2,0)/12)+VLOOKUP(TODAY(),'UF HOY'!$A$2:$B$33,2,0)</f>
        <v>783375.82770280633</v>
      </c>
      <c r="AD264" s="144">
        <f t="shared" ca="1" si="58"/>
        <v>-303375.82770280633</v>
      </c>
      <c r="AE264" s="47">
        <f t="shared" ca="1" si="59"/>
        <v>3133503.3108112253</v>
      </c>
    </row>
    <row r="265" spans="1:31" s="145" customFormat="1" ht="15.5" x14ac:dyDescent="0.35">
      <c r="A265" s="129" t="s">
        <v>105</v>
      </c>
      <c r="B265" s="130">
        <v>1815</v>
      </c>
      <c r="C265" s="131" t="s">
        <v>151</v>
      </c>
      <c r="D265" s="131" t="s">
        <v>154</v>
      </c>
      <c r="E265" s="131"/>
      <c r="F265" s="131">
        <v>52.89</v>
      </c>
      <c r="G265" s="131">
        <v>3.84</v>
      </c>
      <c r="H265" s="132">
        <f t="shared" si="48"/>
        <v>54.81</v>
      </c>
      <c r="I265" s="132">
        <f t="shared" si="49"/>
        <v>56.730000000000004</v>
      </c>
      <c r="J265" s="69">
        <v>4369</v>
      </c>
      <c r="K265" s="134">
        <v>0</v>
      </c>
      <c r="L265" s="135">
        <v>0</v>
      </c>
      <c r="M265" s="135">
        <v>0</v>
      </c>
      <c r="N265" s="69">
        <f t="shared" si="50"/>
        <v>4369</v>
      </c>
      <c r="O265" s="39">
        <f t="shared" si="51"/>
        <v>4854.4444444444443</v>
      </c>
      <c r="P265" s="136">
        <f t="shared" si="52"/>
        <v>79.711731435869368</v>
      </c>
      <c r="Q265" s="137">
        <f t="shared" si="53"/>
        <v>0.1</v>
      </c>
      <c r="R265" s="138">
        <f t="shared" si="54"/>
        <v>485.44444444444446</v>
      </c>
      <c r="S265" s="139">
        <v>0.8</v>
      </c>
      <c r="T265" s="138">
        <f t="shared" si="55"/>
        <v>3883.5555555555557</v>
      </c>
      <c r="U265" s="140">
        <f t="shared" si="56"/>
        <v>9.9999999999999978E-2</v>
      </c>
      <c r="V265" s="138">
        <f t="shared" si="57"/>
        <v>485.44444444444434</v>
      </c>
      <c r="W265" s="142">
        <f ca="1">V265*VLOOKUP(TODAY(),'UF HOY'!$A$2:$B$33,2,0)</f>
        <v>19288620.428888887</v>
      </c>
      <c r="X265" s="143">
        <f>Datos!$E$3</f>
        <v>31</v>
      </c>
      <c r="Y265" s="144">
        <f ca="1">IF((W265-1000000-Datos!$D$3)/X265&gt;0,(W265-1000000-Datos!$D$3)/X265,0)</f>
        <v>581890.98157706088</v>
      </c>
      <c r="Z265" s="143">
        <f>Datos!$F$3</f>
        <v>31</v>
      </c>
      <c r="AA265" s="144">
        <f ca="1">IF((W265-1750000-Datos!$D$3-3%*O265*VLOOKUP(TODAY(),'UF HOY'!$A$2:$B$33,2,0))/Z265&gt;0,(W265-1750000-Datos!$D$3-3%*O265*VLOOKUP(TODAY(),'UF HOY'!$A$2:$B$33,2,0))/Z265,0)</f>
        <v>371033.36452329747</v>
      </c>
      <c r="AB265" s="142">
        <f>IF(L265&gt;0,VLOOKUP(D265,Datos!$C$7:$E$11,3,0),VLOOKUP(D265,Datos!$C$7:$E$11,2,0))</f>
        <v>480000</v>
      </c>
      <c r="AC265" s="144">
        <f ca="1">(S265*PMT(Datos!$H$13,Datos!$H$12,-O265,,)*VLOOKUP(TODAY(),'UF HOY'!$A$2:$B$33,2,0)/12)+VLOOKUP(TODAY(),'UF HOY'!$A$2:$B$33,2,0)</f>
        <v>783375.82770280633</v>
      </c>
      <c r="AD265" s="144">
        <f t="shared" ca="1" si="58"/>
        <v>-303375.82770280633</v>
      </c>
      <c r="AE265" s="47">
        <f t="shared" ca="1" si="59"/>
        <v>3133503.3108112253</v>
      </c>
    </row>
    <row r="266" spans="1:31" s="145" customFormat="1" ht="15.5" x14ac:dyDescent="0.35">
      <c r="A266" s="129" t="s">
        <v>105</v>
      </c>
      <c r="B266" s="130">
        <v>1006</v>
      </c>
      <c r="C266" s="131" t="s">
        <v>152</v>
      </c>
      <c r="D266" s="131" t="s">
        <v>154</v>
      </c>
      <c r="E266" s="131"/>
      <c r="F266" s="131">
        <v>53.12</v>
      </c>
      <c r="G266" s="131">
        <v>7.04</v>
      </c>
      <c r="H266" s="132">
        <f t="shared" si="48"/>
        <v>56.64</v>
      </c>
      <c r="I266" s="132">
        <f t="shared" si="49"/>
        <v>60.16</v>
      </c>
      <c r="J266" s="69">
        <v>4374</v>
      </c>
      <c r="K266" s="134">
        <v>0</v>
      </c>
      <c r="L266" s="135">
        <v>0</v>
      </c>
      <c r="M266" s="135">
        <v>0</v>
      </c>
      <c r="N266" s="69">
        <f t="shared" si="50"/>
        <v>4374</v>
      </c>
      <c r="O266" s="39">
        <f t="shared" si="51"/>
        <v>4860</v>
      </c>
      <c r="P266" s="136">
        <f t="shared" si="52"/>
        <v>77.224576271186436</v>
      </c>
      <c r="Q266" s="137">
        <f t="shared" si="53"/>
        <v>0.1</v>
      </c>
      <c r="R266" s="138">
        <f t="shared" si="54"/>
        <v>486</v>
      </c>
      <c r="S266" s="139">
        <v>0.8</v>
      </c>
      <c r="T266" s="138">
        <f t="shared" si="55"/>
        <v>3888</v>
      </c>
      <c r="U266" s="140">
        <f t="shared" si="56"/>
        <v>9.9999999999999978E-2</v>
      </c>
      <c r="V266" s="138">
        <f t="shared" si="57"/>
        <v>485.99999999999989</v>
      </c>
      <c r="W266" s="142">
        <f ca="1">V266*VLOOKUP(TODAY(),'UF HOY'!$A$2:$B$33,2,0)</f>
        <v>19310694.839999996</v>
      </c>
      <c r="X266" s="143">
        <f>Datos!$E$3</f>
        <v>31</v>
      </c>
      <c r="Y266" s="144">
        <f ca="1">IF((W266-1000000-Datos!$D$3)/X266&gt;0,(W266-1000000-Datos!$D$3)/X266,0)</f>
        <v>582603.05935483857</v>
      </c>
      <c r="Z266" s="143">
        <f>Datos!$F$3</f>
        <v>31</v>
      </c>
      <c r="AA266" s="144">
        <f ca="1">IF((W266-1750000-Datos!$D$3-3%*O266*VLOOKUP(TODAY(),'UF HOY'!$A$2:$B$33,2,0))/Z266&gt;0,(W266-1750000-Datos!$D$3-3%*O266*VLOOKUP(TODAY(),'UF HOY'!$A$2:$B$33,2,0))/Z266,0)</f>
        <v>371531.8189677418</v>
      </c>
      <c r="AB266" s="142">
        <f>IF(L266&gt;0,VLOOKUP(D266,Datos!$C$7:$E$11,3,0),VLOOKUP(D266,Datos!$C$7:$E$11,2,0))</f>
        <v>480000</v>
      </c>
      <c r="AC266" s="144">
        <f ca="1">(S266*PMT(Datos!$H$13,Datos!$H$12,-O266,,)*VLOOKUP(TODAY(),'UF HOY'!$A$2:$B$33,2,0)/12)+VLOOKUP(TODAY(),'UF HOY'!$A$2:$B$33,2,0)</f>
        <v>784226.87129138829</v>
      </c>
      <c r="AD266" s="144">
        <f t="shared" ca="1" si="58"/>
        <v>-304226.87129138829</v>
      </c>
      <c r="AE266" s="47">
        <f t="shared" ca="1" si="59"/>
        <v>3136907.4851655532</v>
      </c>
    </row>
    <row r="267" spans="1:31" s="145" customFormat="1" ht="15.5" x14ac:dyDescent="0.35">
      <c r="A267" s="129" t="s">
        <v>105</v>
      </c>
      <c r="B267" s="130">
        <v>1014</v>
      </c>
      <c r="C267" s="131" t="s">
        <v>152</v>
      </c>
      <c r="D267" s="131" t="s">
        <v>154</v>
      </c>
      <c r="E267" s="131"/>
      <c r="F267" s="131">
        <v>52.89</v>
      </c>
      <c r="G267" s="131">
        <v>3.84</v>
      </c>
      <c r="H267" s="132">
        <f t="shared" si="48"/>
        <v>54.81</v>
      </c>
      <c r="I267" s="132">
        <f t="shared" si="49"/>
        <v>56.730000000000004</v>
      </c>
      <c r="J267" s="69">
        <v>4375</v>
      </c>
      <c r="K267" s="134">
        <v>0</v>
      </c>
      <c r="L267" s="135">
        <v>0</v>
      </c>
      <c r="M267" s="135">
        <v>0</v>
      </c>
      <c r="N267" s="69">
        <f t="shared" si="50"/>
        <v>4375</v>
      </c>
      <c r="O267" s="39">
        <f t="shared" si="51"/>
        <v>4861.1111111111113</v>
      </c>
      <c r="P267" s="136">
        <f t="shared" si="52"/>
        <v>79.821200510855675</v>
      </c>
      <c r="Q267" s="137">
        <f t="shared" si="53"/>
        <v>0.1</v>
      </c>
      <c r="R267" s="138">
        <f t="shared" si="54"/>
        <v>486.11111111111114</v>
      </c>
      <c r="S267" s="139">
        <v>0.8</v>
      </c>
      <c r="T267" s="138">
        <f t="shared" si="55"/>
        <v>3888.8888888888891</v>
      </c>
      <c r="U267" s="140">
        <f t="shared" si="56"/>
        <v>9.9999999999999978E-2</v>
      </c>
      <c r="V267" s="138">
        <f t="shared" si="57"/>
        <v>486.11111111111103</v>
      </c>
      <c r="W267" s="142">
        <f ca="1">V267*VLOOKUP(TODAY(),'UF HOY'!$A$2:$B$33,2,0)</f>
        <v>19315109.72222222</v>
      </c>
      <c r="X267" s="143">
        <f>Datos!$E$3</f>
        <v>31</v>
      </c>
      <c r="Y267" s="144">
        <f ca="1">IF((W267-1000000-Datos!$D$3)/X267&gt;0,(W267-1000000-Datos!$D$3)/X267,0)</f>
        <v>582745.47491039417</v>
      </c>
      <c r="Z267" s="143">
        <f>Datos!$F$3</f>
        <v>31</v>
      </c>
      <c r="AA267" s="144">
        <f ca="1">IF((W267-1750000-Datos!$D$3-3%*O267*VLOOKUP(TODAY(),'UF HOY'!$A$2:$B$33,2,0))/Z267&gt;0,(W267-1750000-Datos!$D$3-3%*O267*VLOOKUP(TODAY(),'UF HOY'!$A$2:$B$33,2,0))/Z267,0)</f>
        <v>371631.5098566307</v>
      </c>
      <c r="AB267" s="142">
        <f>IF(L267&gt;0,VLOOKUP(D267,Datos!$C$7:$E$11,3,0),VLOOKUP(D267,Datos!$C$7:$E$11,2,0))</f>
        <v>480000</v>
      </c>
      <c r="AC267" s="144">
        <f ca="1">(S267*PMT(Datos!$H$13,Datos!$H$12,-O267,,)*VLOOKUP(TODAY(),'UF HOY'!$A$2:$B$33,2,0)/12)+VLOOKUP(TODAY(),'UF HOY'!$A$2:$B$33,2,0)</f>
        <v>784397.08000910468</v>
      </c>
      <c r="AD267" s="144">
        <f t="shared" ca="1" si="58"/>
        <v>-304397.08000910468</v>
      </c>
      <c r="AE267" s="47">
        <f t="shared" ca="1" si="59"/>
        <v>3137588.3200364187</v>
      </c>
    </row>
    <row r="268" spans="1:31" s="145" customFormat="1" ht="15.5" x14ac:dyDescent="0.35">
      <c r="A268" s="129" t="s">
        <v>105</v>
      </c>
      <c r="B268" s="130">
        <v>1106</v>
      </c>
      <c r="C268" s="131" t="s">
        <v>152</v>
      </c>
      <c r="D268" s="131" t="s">
        <v>154</v>
      </c>
      <c r="E268" s="131"/>
      <c r="F268" s="131">
        <v>53.12</v>
      </c>
      <c r="G268" s="131">
        <v>7.04</v>
      </c>
      <c r="H268" s="132">
        <f t="shared" si="48"/>
        <v>56.64</v>
      </c>
      <c r="I268" s="132">
        <f t="shared" si="49"/>
        <v>60.16</v>
      </c>
      <c r="J268" s="69">
        <v>4399</v>
      </c>
      <c r="K268" s="134">
        <v>0</v>
      </c>
      <c r="L268" s="135">
        <v>0</v>
      </c>
      <c r="M268" s="135">
        <v>0</v>
      </c>
      <c r="N268" s="69">
        <f t="shared" si="50"/>
        <v>4399</v>
      </c>
      <c r="O268" s="39">
        <f t="shared" si="51"/>
        <v>4887.7777777777774</v>
      </c>
      <c r="P268" s="136">
        <f t="shared" si="52"/>
        <v>77.665960451977398</v>
      </c>
      <c r="Q268" s="137">
        <f t="shared" si="53"/>
        <v>0.1</v>
      </c>
      <c r="R268" s="138">
        <f t="shared" si="54"/>
        <v>488.77777777777777</v>
      </c>
      <c r="S268" s="139">
        <v>0.8</v>
      </c>
      <c r="T268" s="138">
        <f t="shared" si="55"/>
        <v>3910.2222222222222</v>
      </c>
      <c r="U268" s="140">
        <f t="shared" si="56"/>
        <v>9.9999999999999978E-2</v>
      </c>
      <c r="V268" s="138">
        <f t="shared" si="57"/>
        <v>488.7777777777776</v>
      </c>
      <c r="W268" s="142">
        <f ca="1">V268*VLOOKUP(TODAY(),'UF HOY'!$A$2:$B$33,2,0)</f>
        <v>19421066.895555548</v>
      </c>
      <c r="X268" s="143">
        <f>Datos!$E$3</f>
        <v>31</v>
      </c>
      <c r="Y268" s="144">
        <f ca="1">IF((W268-1000000-Datos!$D$3)/X268&gt;0,(W268-1000000-Datos!$D$3)/X268,0)</f>
        <v>586163.44824372733</v>
      </c>
      <c r="Z268" s="143">
        <f>Datos!$F$3</f>
        <v>31</v>
      </c>
      <c r="AA268" s="144">
        <f ca="1">IF((W268-1750000-Datos!$D$3-3%*O268*VLOOKUP(TODAY(),'UF HOY'!$A$2:$B$33,2,0))/Z268&gt;0,(W268-1750000-Datos!$D$3-3%*O268*VLOOKUP(TODAY(),'UF HOY'!$A$2:$B$33,2,0))/Z268,0)</f>
        <v>374024.09118996392</v>
      </c>
      <c r="AB268" s="142">
        <f>IF(L268&gt;0,VLOOKUP(D268,Datos!$C$7:$E$11,3,0),VLOOKUP(D268,Datos!$C$7:$E$11,2,0))</f>
        <v>480000</v>
      </c>
      <c r="AC268" s="144">
        <f ca="1">(S268*PMT(Datos!$H$13,Datos!$H$12,-O268,,)*VLOOKUP(TODAY(),'UF HOY'!$A$2:$B$33,2,0)/12)+VLOOKUP(TODAY(),'UF HOY'!$A$2:$B$33,2,0)</f>
        <v>788482.08923429763</v>
      </c>
      <c r="AD268" s="144">
        <f t="shared" ca="1" si="58"/>
        <v>-308482.08923429763</v>
      </c>
      <c r="AE268" s="47">
        <f t="shared" ca="1" si="59"/>
        <v>3153928.3569371905</v>
      </c>
    </row>
    <row r="269" spans="1:31" s="145" customFormat="1" ht="15.5" x14ac:dyDescent="0.35">
      <c r="A269" s="129" t="s">
        <v>105</v>
      </c>
      <c r="B269" s="129">
        <v>1114</v>
      </c>
      <c r="C269" s="131" t="s">
        <v>152</v>
      </c>
      <c r="D269" s="131" t="s">
        <v>154</v>
      </c>
      <c r="E269" s="131"/>
      <c r="F269" s="131">
        <v>52.89</v>
      </c>
      <c r="G269" s="131">
        <v>3.84</v>
      </c>
      <c r="H269" s="132">
        <f t="shared" si="48"/>
        <v>54.81</v>
      </c>
      <c r="I269" s="132">
        <f t="shared" si="49"/>
        <v>56.730000000000004</v>
      </c>
      <c r="J269" s="69">
        <v>4399</v>
      </c>
      <c r="K269" s="134">
        <v>0</v>
      </c>
      <c r="L269" s="135">
        <v>0</v>
      </c>
      <c r="M269" s="135">
        <v>0</v>
      </c>
      <c r="N269" s="69">
        <f t="shared" si="50"/>
        <v>4399</v>
      </c>
      <c r="O269" s="39">
        <f t="shared" si="51"/>
        <v>4887.7777777777774</v>
      </c>
      <c r="P269" s="136">
        <f t="shared" si="52"/>
        <v>80.259076810800948</v>
      </c>
      <c r="Q269" s="137">
        <f t="shared" si="53"/>
        <v>0.1</v>
      </c>
      <c r="R269" s="138">
        <f t="shared" si="54"/>
        <v>488.77777777777777</v>
      </c>
      <c r="S269" s="139">
        <v>0.8</v>
      </c>
      <c r="T269" s="138">
        <f t="shared" si="55"/>
        <v>3910.2222222222222</v>
      </c>
      <c r="U269" s="140">
        <f t="shared" si="56"/>
        <v>9.9999999999999978E-2</v>
      </c>
      <c r="V269" s="138">
        <f t="shared" si="57"/>
        <v>488.7777777777776</v>
      </c>
      <c r="W269" s="142">
        <f ca="1">V269*VLOOKUP(TODAY(),'UF HOY'!$A$2:$B$33,2,0)</f>
        <v>19421066.895555548</v>
      </c>
      <c r="X269" s="143">
        <f>Datos!$E$3</f>
        <v>31</v>
      </c>
      <c r="Y269" s="144">
        <f ca="1">IF((W269-1000000-Datos!$D$3)/X269&gt;0,(W269-1000000-Datos!$D$3)/X269,0)</f>
        <v>586163.44824372733</v>
      </c>
      <c r="Z269" s="143">
        <f>Datos!$F$3</f>
        <v>31</v>
      </c>
      <c r="AA269" s="144">
        <f ca="1">IF((W269-1750000-Datos!$D$3-3%*O269*VLOOKUP(TODAY(),'UF HOY'!$A$2:$B$33,2,0))/Z269&gt;0,(W269-1750000-Datos!$D$3-3%*O269*VLOOKUP(TODAY(),'UF HOY'!$A$2:$B$33,2,0))/Z269,0)</f>
        <v>374024.09118996392</v>
      </c>
      <c r="AB269" s="142">
        <f>IF(L269&gt;0,VLOOKUP(D269,Datos!$C$7:$E$11,3,0),VLOOKUP(D269,Datos!$C$7:$E$11,2,0))</f>
        <v>480000</v>
      </c>
      <c r="AC269" s="144">
        <f ca="1">(S269*PMT(Datos!$H$13,Datos!$H$12,-O269,,)*VLOOKUP(TODAY(),'UF HOY'!$A$2:$B$33,2,0)/12)+VLOOKUP(TODAY(),'UF HOY'!$A$2:$B$33,2,0)</f>
        <v>788482.08923429763</v>
      </c>
      <c r="AD269" s="144">
        <f t="shared" ca="1" si="58"/>
        <v>-308482.08923429763</v>
      </c>
      <c r="AE269" s="47">
        <f t="shared" ca="1" si="59"/>
        <v>3153928.3569371905</v>
      </c>
    </row>
    <row r="270" spans="1:31" s="145" customFormat="1" ht="15.5" x14ac:dyDescent="0.35">
      <c r="A270" s="129" t="s">
        <v>105</v>
      </c>
      <c r="B270" s="130">
        <v>1206</v>
      </c>
      <c r="C270" s="131" t="s">
        <v>152</v>
      </c>
      <c r="D270" s="131" t="s">
        <v>154</v>
      </c>
      <c r="E270" s="131"/>
      <c r="F270" s="131">
        <v>53.12</v>
      </c>
      <c r="G270" s="131">
        <v>7.04</v>
      </c>
      <c r="H270" s="132">
        <f t="shared" si="48"/>
        <v>56.64</v>
      </c>
      <c r="I270" s="132">
        <f t="shared" si="49"/>
        <v>60.16</v>
      </c>
      <c r="J270" s="69">
        <v>4423</v>
      </c>
      <c r="K270" s="134">
        <v>0</v>
      </c>
      <c r="L270" s="135">
        <v>0</v>
      </c>
      <c r="M270" s="135">
        <v>0</v>
      </c>
      <c r="N270" s="69">
        <f t="shared" si="50"/>
        <v>4423</v>
      </c>
      <c r="O270" s="39">
        <f t="shared" si="51"/>
        <v>4914.4444444444443</v>
      </c>
      <c r="P270" s="136">
        <f t="shared" si="52"/>
        <v>78.08968926553672</v>
      </c>
      <c r="Q270" s="137">
        <f t="shared" si="53"/>
        <v>0.1</v>
      </c>
      <c r="R270" s="138">
        <f t="shared" si="54"/>
        <v>491.44444444444446</v>
      </c>
      <c r="S270" s="139">
        <v>0.8</v>
      </c>
      <c r="T270" s="138">
        <f t="shared" si="55"/>
        <v>3931.5555555555557</v>
      </c>
      <c r="U270" s="140">
        <f t="shared" si="56"/>
        <v>9.9999999999999978E-2</v>
      </c>
      <c r="V270" s="138">
        <f t="shared" si="57"/>
        <v>491.44444444444434</v>
      </c>
      <c r="W270" s="142">
        <f ca="1">V270*VLOOKUP(TODAY(),'UF HOY'!$A$2:$B$33,2,0)</f>
        <v>19527024.068888888</v>
      </c>
      <c r="X270" s="143">
        <f>Datos!$E$3</f>
        <v>31</v>
      </c>
      <c r="Y270" s="144">
        <f ca="1">IF((W270-1000000-Datos!$D$3)/X270&gt;0,(W270-1000000-Datos!$D$3)/X270,0)</f>
        <v>589581.42157706094</v>
      </c>
      <c r="Z270" s="143">
        <f>Datos!$F$3</f>
        <v>31</v>
      </c>
      <c r="AA270" s="144">
        <f ca="1">IF((W270-1750000-Datos!$D$3-3%*O270*VLOOKUP(TODAY(),'UF HOY'!$A$2:$B$33,2,0))/Z270&gt;0,(W270-1750000-Datos!$D$3-3%*O270*VLOOKUP(TODAY(),'UF HOY'!$A$2:$B$33,2,0))/Z270,0)</f>
        <v>376416.67252329743</v>
      </c>
      <c r="AB270" s="142">
        <f>IF(L270&gt;0,VLOOKUP(D270,Datos!$C$7:$E$11,3,0),VLOOKUP(D270,Datos!$C$7:$E$11,2,0))</f>
        <v>480000</v>
      </c>
      <c r="AC270" s="144">
        <f ca="1">(S270*PMT(Datos!$H$13,Datos!$H$12,-O270,,)*VLOOKUP(TODAY(),'UF HOY'!$A$2:$B$33,2,0)/12)+VLOOKUP(TODAY(),'UF HOY'!$A$2:$B$33,2,0)</f>
        <v>792567.09845949057</v>
      </c>
      <c r="AD270" s="144">
        <f t="shared" ca="1" si="58"/>
        <v>-312567.09845949057</v>
      </c>
      <c r="AE270" s="47">
        <f t="shared" ca="1" si="59"/>
        <v>3170268.3938379623</v>
      </c>
    </row>
    <row r="271" spans="1:31" s="145" customFormat="1" ht="15.5" x14ac:dyDescent="0.35">
      <c r="A271" s="129" t="s">
        <v>105</v>
      </c>
      <c r="B271" s="130">
        <v>1214</v>
      </c>
      <c r="C271" s="131" t="s">
        <v>152</v>
      </c>
      <c r="D271" s="131" t="s">
        <v>154</v>
      </c>
      <c r="E271" s="131"/>
      <c r="F271" s="131">
        <v>52.89</v>
      </c>
      <c r="G271" s="131">
        <v>3.84</v>
      </c>
      <c r="H271" s="132">
        <f t="shared" si="48"/>
        <v>54.81</v>
      </c>
      <c r="I271" s="132">
        <f t="shared" si="49"/>
        <v>56.730000000000004</v>
      </c>
      <c r="J271" s="69">
        <v>4423</v>
      </c>
      <c r="K271" s="134">
        <v>0</v>
      </c>
      <c r="L271" s="135">
        <v>0</v>
      </c>
      <c r="M271" s="135">
        <v>0</v>
      </c>
      <c r="N271" s="69">
        <f t="shared" si="50"/>
        <v>4423</v>
      </c>
      <c r="O271" s="39">
        <f t="shared" si="51"/>
        <v>4914.4444444444443</v>
      </c>
      <c r="P271" s="136">
        <f t="shared" si="52"/>
        <v>80.696953110746207</v>
      </c>
      <c r="Q271" s="137">
        <f t="shared" si="53"/>
        <v>0.1</v>
      </c>
      <c r="R271" s="138">
        <f t="shared" si="54"/>
        <v>491.44444444444446</v>
      </c>
      <c r="S271" s="139">
        <v>0.8</v>
      </c>
      <c r="T271" s="138">
        <f t="shared" si="55"/>
        <v>3931.5555555555557</v>
      </c>
      <c r="U271" s="140">
        <f t="shared" si="56"/>
        <v>9.9999999999999978E-2</v>
      </c>
      <c r="V271" s="138">
        <f t="shared" si="57"/>
        <v>491.44444444444434</v>
      </c>
      <c r="W271" s="142">
        <f ca="1">V271*VLOOKUP(TODAY(),'UF HOY'!$A$2:$B$33,2,0)</f>
        <v>19527024.068888888</v>
      </c>
      <c r="X271" s="143">
        <f>Datos!$E$3</f>
        <v>31</v>
      </c>
      <c r="Y271" s="144">
        <f ca="1">IF((W271-1000000-Datos!$D$3)/X271&gt;0,(W271-1000000-Datos!$D$3)/X271,0)</f>
        <v>589581.42157706094</v>
      </c>
      <c r="Z271" s="143">
        <f>Datos!$F$3</f>
        <v>31</v>
      </c>
      <c r="AA271" s="144">
        <f ca="1">IF((W271-1750000-Datos!$D$3-3%*O271*VLOOKUP(TODAY(),'UF HOY'!$A$2:$B$33,2,0))/Z271&gt;0,(W271-1750000-Datos!$D$3-3%*O271*VLOOKUP(TODAY(),'UF HOY'!$A$2:$B$33,2,0))/Z271,0)</f>
        <v>376416.67252329743</v>
      </c>
      <c r="AB271" s="142">
        <f>IF(L271&gt;0,VLOOKUP(D271,Datos!$C$7:$E$11,3,0),VLOOKUP(D271,Datos!$C$7:$E$11,2,0))</f>
        <v>480000</v>
      </c>
      <c r="AC271" s="144">
        <f ca="1">(S271*PMT(Datos!$H$13,Datos!$H$12,-O271,,)*VLOOKUP(TODAY(),'UF HOY'!$A$2:$B$33,2,0)/12)+VLOOKUP(TODAY(),'UF HOY'!$A$2:$B$33,2,0)</f>
        <v>792567.09845949057</v>
      </c>
      <c r="AD271" s="144">
        <f t="shared" ca="1" si="58"/>
        <v>-312567.09845949057</v>
      </c>
      <c r="AE271" s="47">
        <f t="shared" ca="1" si="59"/>
        <v>3170268.3938379623</v>
      </c>
    </row>
    <row r="272" spans="1:31" s="145" customFormat="1" ht="15.5" x14ac:dyDescent="0.35">
      <c r="A272" s="129" t="s">
        <v>105</v>
      </c>
      <c r="B272" s="130">
        <v>1306</v>
      </c>
      <c r="C272" s="131" t="s">
        <v>152</v>
      </c>
      <c r="D272" s="131" t="s">
        <v>154</v>
      </c>
      <c r="E272" s="131"/>
      <c r="F272" s="131">
        <v>53.12</v>
      </c>
      <c r="G272" s="131">
        <v>7.04</v>
      </c>
      <c r="H272" s="132">
        <f t="shared" si="48"/>
        <v>56.64</v>
      </c>
      <c r="I272" s="132">
        <f t="shared" si="49"/>
        <v>60.16</v>
      </c>
      <c r="J272" s="69">
        <v>4448</v>
      </c>
      <c r="K272" s="134">
        <v>0</v>
      </c>
      <c r="L272" s="135">
        <v>0</v>
      </c>
      <c r="M272" s="135">
        <v>0</v>
      </c>
      <c r="N272" s="69">
        <f t="shared" si="50"/>
        <v>4448</v>
      </c>
      <c r="O272" s="39">
        <f t="shared" si="51"/>
        <v>4942.2222222222217</v>
      </c>
      <c r="P272" s="136">
        <f t="shared" si="52"/>
        <v>78.531073446327682</v>
      </c>
      <c r="Q272" s="137">
        <f t="shared" si="53"/>
        <v>0.1</v>
      </c>
      <c r="R272" s="138">
        <f t="shared" si="54"/>
        <v>494.22222222222217</v>
      </c>
      <c r="S272" s="139">
        <v>0.8</v>
      </c>
      <c r="T272" s="138">
        <f t="shared" si="55"/>
        <v>3953.7777777777774</v>
      </c>
      <c r="U272" s="140">
        <f t="shared" si="56"/>
        <v>9.9999999999999978E-2</v>
      </c>
      <c r="V272" s="138">
        <f t="shared" si="57"/>
        <v>494.22222222222206</v>
      </c>
      <c r="W272" s="142">
        <f ca="1">V272*VLOOKUP(TODAY(),'UF HOY'!$A$2:$B$33,2,0)</f>
        <v>19637396.12444444</v>
      </c>
      <c r="X272" s="143">
        <f>Datos!$E$3</f>
        <v>31</v>
      </c>
      <c r="Y272" s="144">
        <f ca="1">IF((W272-1000000-Datos!$D$3)/X272&gt;0,(W272-1000000-Datos!$D$3)/X272,0)</f>
        <v>593141.8104659497</v>
      </c>
      <c r="Z272" s="143">
        <f>Datos!$F$3</f>
        <v>31</v>
      </c>
      <c r="AA272" s="144">
        <f ca="1">IF((W272-1750000-Datos!$D$3-3%*O272*VLOOKUP(TODAY(),'UF HOY'!$A$2:$B$33,2,0))/Z272&gt;0,(W272-1750000-Datos!$D$3-3%*O272*VLOOKUP(TODAY(),'UF HOY'!$A$2:$B$33,2,0))/Z272,0)</f>
        <v>378908.94474551961</v>
      </c>
      <c r="AB272" s="142">
        <f>IF(L272&gt;0,VLOOKUP(D272,Datos!$C$7:$E$11,3,0),VLOOKUP(D272,Datos!$C$7:$E$11,2,0))</f>
        <v>480000</v>
      </c>
      <c r="AC272" s="144">
        <f ca="1">(S272*PMT(Datos!$H$13,Datos!$H$12,-O272,,)*VLOOKUP(TODAY(),'UF HOY'!$A$2:$B$33,2,0)/12)+VLOOKUP(TODAY(),'UF HOY'!$A$2:$B$33,2,0)</f>
        <v>796822.31640239945</v>
      </c>
      <c r="AD272" s="144">
        <f t="shared" ca="1" si="58"/>
        <v>-316822.31640239945</v>
      </c>
      <c r="AE272" s="47">
        <f t="shared" ca="1" si="59"/>
        <v>3187289.2656095978</v>
      </c>
    </row>
    <row r="273" spans="1:31" s="145" customFormat="1" ht="15.5" x14ac:dyDescent="0.35">
      <c r="A273" s="129" t="s">
        <v>105</v>
      </c>
      <c r="B273" s="130">
        <v>1314</v>
      </c>
      <c r="C273" s="131" t="s">
        <v>152</v>
      </c>
      <c r="D273" s="131" t="s">
        <v>154</v>
      </c>
      <c r="E273" s="131"/>
      <c r="F273" s="131">
        <v>52.89</v>
      </c>
      <c r="G273" s="131">
        <v>3.84</v>
      </c>
      <c r="H273" s="132">
        <f t="shared" si="48"/>
        <v>54.81</v>
      </c>
      <c r="I273" s="132">
        <f t="shared" si="49"/>
        <v>56.730000000000004</v>
      </c>
      <c r="J273" s="69">
        <v>4448</v>
      </c>
      <c r="K273" s="134">
        <v>0</v>
      </c>
      <c r="L273" s="135">
        <v>0</v>
      </c>
      <c r="M273" s="135">
        <v>0</v>
      </c>
      <c r="N273" s="69">
        <f t="shared" si="50"/>
        <v>4448</v>
      </c>
      <c r="O273" s="39">
        <f t="shared" si="51"/>
        <v>4942.2222222222217</v>
      </c>
      <c r="P273" s="136">
        <f t="shared" si="52"/>
        <v>81.15307425652253</v>
      </c>
      <c r="Q273" s="137">
        <f t="shared" si="53"/>
        <v>0.1</v>
      </c>
      <c r="R273" s="138">
        <f t="shared" si="54"/>
        <v>494.22222222222217</v>
      </c>
      <c r="S273" s="139">
        <v>0.8</v>
      </c>
      <c r="T273" s="138">
        <f t="shared" si="55"/>
        <v>3953.7777777777774</v>
      </c>
      <c r="U273" s="140">
        <f t="shared" si="56"/>
        <v>9.9999999999999978E-2</v>
      </c>
      <c r="V273" s="138">
        <f t="shared" si="57"/>
        <v>494.22222222222206</v>
      </c>
      <c r="W273" s="142">
        <f ca="1">V273*VLOOKUP(TODAY(),'UF HOY'!$A$2:$B$33,2,0)</f>
        <v>19637396.12444444</v>
      </c>
      <c r="X273" s="143">
        <f>Datos!$E$3</f>
        <v>31</v>
      </c>
      <c r="Y273" s="144">
        <f ca="1">IF((W273-1000000-Datos!$D$3)/X273&gt;0,(W273-1000000-Datos!$D$3)/X273,0)</f>
        <v>593141.8104659497</v>
      </c>
      <c r="Z273" s="143">
        <f>Datos!$F$3</f>
        <v>31</v>
      </c>
      <c r="AA273" s="144">
        <f ca="1">IF((W273-1750000-Datos!$D$3-3%*O273*VLOOKUP(TODAY(),'UF HOY'!$A$2:$B$33,2,0))/Z273&gt;0,(W273-1750000-Datos!$D$3-3%*O273*VLOOKUP(TODAY(),'UF HOY'!$A$2:$B$33,2,0))/Z273,0)</f>
        <v>378908.94474551961</v>
      </c>
      <c r="AB273" s="142">
        <f>IF(L273&gt;0,VLOOKUP(D273,Datos!$C$7:$E$11,3,0),VLOOKUP(D273,Datos!$C$7:$E$11,2,0))</f>
        <v>480000</v>
      </c>
      <c r="AC273" s="144">
        <f ca="1">(S273*PMT(Datos!$H$13,Datos!$H$12,-O273,,)*VLOOKUP(TODAY(),'UF HOY'!$A$2:$B$33,2,0)/12)+VLOOKUP(TODAY(),'UF HOY'!$A$2:$B$33,2,0)</f>
        <v>796822.31640239945</v>
      </c>
      <c r="AD273" s="144">
        <f t="shared" ca="1" si="58"/>
        <v>-316822.31640239945</v>
      </c>
      <c r="AE273" s="47">
        <f t="shared" ca="1" si="59"/>
        <v>3187289.2656095978</v>
      </c>
    </row>
    <row r="274" spans="1:31" s="145" customFormat="1" ht="15.5" x14ac:dyDescent="0.35">
      <c r="A274" s="129" t="s">
        <v>105</v>
      </c>
      <c r="B274" s="130">
        <v>1406</v>
      </c>
      <c r="C274" s="131" t="s">
        <v>152</v>
      </c>
      <c r="D274" s="131" t="s">
        <v>154</v>
      </c>
      <c r="E274" s="131"/>
      <c r="F274" s="131">
        <v>53.12</v>
      </c>
      <c r="G274" s="131">
        <v>7.04</v>
      </c>
      <c r="H274" s="132">
        <f t="shared" si="48"/>
        <v>56.64</v>
      </c>
      <c r="I274" s="132">
        <f t="shared" si="49"/>
        <v>60.16</v>
      </c>
      <c r="J274" s="69">
        <v>4472</v>
      </c>
      <c r="K274" s="134">
        <v>0</v>
      </c>
      <c r="L274" s="135">
        <v>0</v>
      </c>
      <c r="M274" s="135">
        <v>0</v>
      </c>
      <c r="N274" s="69">
        <f t="shared" si="50"/>
        <v>4472</v>
      </c>
      <c r="O274" s="39">
        <f t="shared" si="51"/>
        <v>4968.8888888888887</v>
      </c>
      <c r="P274" s="136">
        <f t="shared" si="52"/>
        <v>78.954802259887003</v>
      </c>
      <c r="Q274" s="137">
        <f t="shared" si="53"/>
        <v>0.1</v>
      </c>
      <c r="R274" s="138">
        <f t="shared" si="54"/>
        <v>496.88888888888891</v>
      </c>
      <c r="S274" s="139">
        <v>0.8</v>
      </c>
      <c r="T274" s="138">
        <f t="shared" si="55"/>
        <v>3975.1111111111113</v>
      </c>
      <c r="U274" s="140">
        <f t="shared" si="56"/>
        <v>9.9999999999999978E-2</v>
      </c>
      <c r="V274" s="138">
        <f t="shared" si="57"/>
        <v>496.88888888888874</v>
      </c>
      <c r="W274" s="142">
        <f ca="1">V274*VLOOKUP(TODAY(),'UF HOY'!$A$2:$B$33,2,0)</f>
        <v>19743353.297777772</v>
      </c>
      <c r="X274" s="143">
        <f>Datos!$E$3</f>
        <v>31</v>
      </c>
      <c r="Y274" s="144">
        <f ca="1">IF((W274-1000000-Datos!$D$3)/X274&gt;0,(W274-1000000-Datos!$D$3)/X274,0)</f>
        <v>596559.78379928297</v>
      </c>
      <c r="Z274" s="143">
        <f>Datos!$F$3</f>
        <v>31</v>
      </c>
      <c r="AA274" s="144">
        <f ca="1">IF((W274-1750000-Datos!$D$3-3%*O274*VLOOKUP(TODAY(),'UF HOY'!$A$2:$B$33,2,0))/Z274&gt;0,(W274-1750000-Datos!$D$3-3%*O274*VLOOKUP(TODAY(),'UF HOY'!$A$2:$B$33,2,0))/Z274,0)</f>
        <v>381301.52607885288</v>
      </c>
      <c r="AB274" s="142">
        <f>IF(L274&gt;0,VLOOKUP(D274,Datos!$C$7:$E$11,3,0),VLOOKUP(D274,Datos!$C$7:$E$11,2,0))</f>
        <v>480000</v>
      </c>
      <c r="AC274" s="144">
        <f ca="1">(S274*PMT(Datos!$H$13,Datos!$H$12,-O274,,)*VLOOKUP(TODAY(),'UF HOY'!$A$2:$B$33,2,0)/12)+VLOOKUP(TODAY(),'UF HOY'!$A$2:$B$33,2,0)</f>
        <v>800907.32562759239</v>
      </c>
      <c r="AD274" s="144">
        <f t="shared" ca="1" si="58"/>
        <v>-320907.32562759239</v>
      </c>
      <c r="AE274" s="47">
        <f t="shared" ca="1" si="59"/>
        <v>3203629.3025103696</v>
      </c>
    </row>
    <row r="275" spans="1:31" s="145" customFormat="1" ht="15.5" hidden="1" x14ac:dyDescent="0.35">
      <c r="A275" s="129" t="s">
        <v>170</v>
      </c>
      <c r="B275" s="130">
        <v>1414</v>
      </c>
      <c r="C275" s="131" t="s">
        <v>152</v>
      </c>
      <c r="D275" s="131" t="s">
        <v>154</v>
      </c>
      <c r="E275" s="131"/>
      <c r="F275" s="131">
        <v>52.89</v>
      </c>
      <c r="G275" s="131">
        <v>3.84</v>
      </c>
      <c r="H275" s="132">
        <f t="shared" si="48"/>
        <v>54.81</v>
      </c>
      <c r="I275" s="132">
        <f t="shared" si="49"/>
        <v>56.730000000000004</v>
      </c>
      <c r="J275" s="69">
        <v>4472</v>
      </c>
      <c r="K275" s="134">
        <v>0</v>
      </c>
      <c r="L275" s="135">
        <v>0</v>
      </c>
      <c r="M275" s="135">
        <v>0</v>
      </c>
      <c r="N275" s="69">
        <f t="shared" si="50"/>
        <v>4472</v>
      </c>
      <c r="O275" s="39">
        <f t="shared" si="51"/>
        <v>4968.8888888888887</v>
      </c>
      <c r="P275" s="136">
        <f t="shared" si="52"/>
        <v>81.590950556467789</v>
      </c>
      <c r="Q275" s="137">
        <f t="shared" si="53"/>
        <v>0.1</v>
      </c>
      <c r="R275" s="138">
        <f t="shared" si="54"/>
        <v>496.88888888888891</v>
      </c>
      <c r="S275" s="139">
        <v>0.8</v>
      </c>
      <c r="T275" s="138">
        <f t="shared" si="55"/>
        <v>3975.1111111111113</v>
      </c>
      <c r="U275" s="140">
        <f t="shared" si="56"/>
        <v>9.9999999999999978E-2</v>
      </c>
      <c r="V275" s="138">
        <f t="shared" si="57"/>
        <v>496.88888888888874</v>
      </c>
      <c r="W275" s="142">
        <f ca="1">V275*VLOOKUP(TODAY(),'UF HOY'!$A$2:$B$33,2,0)</f>
        <v>19743353.297777772</v>
      </c>
      <c r="X275" s="143">
        <f>Datos!$E$3</f>
        <v>31</v>
      </c>
      <c r="Y275" s="144">
        <f ca="1">IF((W275-1000000-Datos!$D$3)/X275&gt;0,(W275-1000000-Datos!$D$3)/X275,0)</f>
        <v>596559.78379928297</v>
      </c>
      <c r="Z275" s="143">
        <f>Datos!$F$3</f>
        <v>31</v>
      </c>
      <c r="AA275" s="144">
        <f ca="1">IF((W275-1750000-Datos!$D$3-3%*O275*VLOOKUP(TODAY(),'UF HOY'!$A$2:$B$33,2,0))/Z275&gt;0,(W275-1750000-Datos!$D$3-3%*O275*VLOOKUP(TODAY(),'UF HOY'!$A$2:$B$33,2,0))/Z275,0)</f>
        <v>381301.52607885288</v>
      </c>
      <c r="AB275" s="142">
        <f>IF(L275&gt;0,VLOOKUP(D275,Datos!$C$7:$E$11,3,0),VLOOKUP(D275,Datos!$C$7:$E$11,2,0))</f>
        <v>480000</v>
      </c>
      <c r="AC275" s="144">
        <f ca="1">(S275*PMT(Datos!$H$13,Datos!$H$12,-O275,,)*VLOOKUP(TODAY(),'UF HOY'!$A$2:$B$33,2,0)/12)+VLOOKUP(TODAY(),'UF HOY'!$A$2:$B$33,2,0)</f>
        <v>800907.32562759239</v>
      </c>
      <c r="AD275" s="144">
        <f t="shared" ca="1" si="58"/>
        <v>-320907.32562759239</v>
      </c>
      <c r="AE275" s="47">
        <f t="shared" ca="1" si="59"/>
        <v>3203629.3025103696</v>
      </c>
    </row>
    <row r="276" spans="1:31" s="145" customFormat="1" ht="15.5" x14ac:dyDescent="0.35">
      <c r="A276" s="129" t="s">
        <v>105</v>
      </c>
      <c r="B276" s="130">
        <v>1506</v>
      </c>
      <c r="C276" s="131" t="s">
        <v>152</v>
      </c>
      <c r="D276" s="131" t="s">
        <v>154</v>
      </c>
      <c r="E276" s="131"/>
      <c r="F276" s="131">
        <v>53.12</v>
      </c>
      <c r="G276" s="131">
        <v>7.04</v>
      </c>
      <c r="H276" s="132">
        <f t="shared" si="48"/>
        <v>56.64</v>
      </c>
      <c r="I276" s="132">
        <f t="shared" si="49"/>
        <v>60.16</v>
      </c>
      <c r="J276" s="69">
        <v>4496</v>
      </c>
      <c r="K276" s="134">
        <v>0</v>
      </c>
      <c r="L276" s="135">
        <v>0</v>
      </c>
      <c r="M276" s="135">
        <v>0</v>
      </c>
      <c r="N276" s="69">
        <f t="shared" si="50"/>
        <v>4496</v>
      </c>
      <c r="O276" s="39">
        <f t="shared" si="51"/>
        <v>4995.5555555555557</v>
      </c>
      <c r="P276" s="136">
        <f t="shared" si="52"/>
        <v>79.378531073446325</v>
      </c>
      <c r="Q276" s="137">
        <f t="shared" si="53"/>
        <v>0.1</v>
      </c>
      <c r="R276" s="138">
        <f t="shared" si="54"/>
        <v>499.5555555555556</v>
      </c>
      <c r="S276" s="139">
        <v>0.8</v>
      </c>
      <c r="T276" s="138">
        <f t="shared" si="55"/>
        <v>3996.4444444444448</v>
      </c>
      <c r="U276" s="140">
        <f t="shared" si="56"/>
        <v>9.9999999999999978E-2</v>
      </c>
      <c r="V276" s="138">
        <f t="shared" si="57"/>
        <v>499.55555555555543</v>
      </c>
      <c r="W276" s="142">
        <f ca="1">V276*VLOOKUP(TODAY(),'UF HOY'!$A$2:$B$33,2,0)</f>
        <v>19849310.471111108</v>
      </c>
      <c r="X276" s="143">
        <f>Datos!$E$3</f>
        <v>31</v>
      </c>
      <c r="Y276" s="144">
        <f ca="1">IF((W276-1000000-Datos!$D$3)/X276&gt;0,(W276-1000000-Datos!$D$3)/X276,0)</f>
        <v>599977.75713261636</v>
      </c>
      <c r="Z276" s="143">
        <f>Datos!$F$3</f>
        <v>31</v>
      </c>
      <c r="AA276" s="144">
        <f ca="1">IF((W276-1750000-Datos!$D$3-3%*O276*VLOOKUP(TODAY(),'UF HOY'!$A$2:$B$33,2,0))/Z276&gt;0,(W276-1750000-Datos!$D$3-3%*O276*VLOOKUP(TODAY(),'UF HOY'!$A$2:$B$33,2,0))/Z276,0)</f>
        <v>383694.10741218622</v>
      </c>
      <c r="AB276" s="142">
        <f>IF(L276&gt;0,VLOOKUP(D276,Datos!$C$7:$E$11,3,0),VLOOKUP(D276,Datos!$C$7:$E$11,2,0))</f>
        <v>480000</v>
      </c>
      <c r="AC276" s="144">
        <f ca="1">(S276*PMT(Datos!$H$13,Datos!$H$12,-O276,,)*VLOOKUP(TODAY(),'UF HOY'!$A$2:$B$33,2,0)/12)+VLOOKUP(TODAY(),'UF HOY'!$A$2:$B$33,2,0)</f>
        <v>804992.33485278534</v>
      </c>
      <c r="AD276" s="144">
        <f t="shared" ca="1" si="58"/>
        <v>-324992.33485278534</v>
      </c>
      <c r="AE276" s="47">
        <f t="shared" ca="1" si="59"/>
        <v>3219969.3394111414</v>
      </c>
    </row>
    <row r="277" spans="1:31" s="145" customFormat="1" ht="15.5" x14ac:dyDescent="0.35">
      <c r="A277" s="129" t="s">
        <v>105</v>
      </c>
      <c r="B277" s="130">
        <v>1514</v>
      </c>
      <c r="C277" s="131" t="s">
        <v>152</v>
      </c>
      <c r="D277" s="131" t="s">
        <v>154</v>
      </c>
      <c r="E277" s="131"/>
      <c r="F277" s="131">
        <v>52.89</v>
      </c>
      <c r="G277" s="131">
        <v>3.84</v>
      </c>
      <c r="H277" s="132">
        <f t="shared" si="48"/>
        <v>54.81</v>
      </c>
      <c r="I277" s="132">
        <f t="shared" si="49"/>
        <v>56.730000000000004</v>
      </c>
      <c r="J277" s="69">
        <v>4496</v>
      </c>
      <c r="K277" s="134">
        <v>0</v>
      </c>
      <c r="L277" s="135">
        <v>0</v>
      </c>
      <c r="M277" s="135">
        <v>0</v>
      </c>
      <c r="N277" s="69">
        <f t="shared" si="50"/>
        <v>4496</v>
      </c>
      <c r="O277" s="39">
        <f t="shared" si="51"/>
        <v>4995.5555555555557</v>
      </c>
      <c r="P277" s="136">
        <f t="shared" si="52"/>
        <v>82.028826856413062</v>
      </c>
      <c r="Q277" s="137">
        <f t="shared" si="53"/>
        <v>0.1</v>
      </c>
      <c r="R277" s="138">
        <f t="shared" si="54"/>
        <v>499.5555555555556</v>
      </c>
      <c r="S277" s="139">
        <v>0.8</v>
      </c>
      <c r="T277" s="138">
        <f t="shared" si="55"/>
        <v>3996.4444444444448</v>
      </c>
      <c r="U277" s="140">
        <f t="shared" si="56"/>
        <v>9.9999999999999978E-2</v>
      </c>
      <c r="V277" s="138">
        <f t="shared" si="57"/>
        <v>499.55555555555543</v>
      </c>
      <c r="W277" s="142">
        <f ca="1">V277*VLOOKUP(TODAY(),'UF HOY'!$A$2:$B$33,2,0)</f>
        <v>19849310.471111108</v>
      </c>
      <c r="X277" s="143">
        <f>Datos!$E$3</f>
        <v>31</v>
      </c>
      <c r="Y277" s="144">
        <f ca="1">IF((W277-1000000-Datos!$D$3)/X277&gt;0,(W277-1000000-Datos!$D$3)/X277,0)</f>
        <v>599977.75713261636</v>
      </c>
      <c r="Z277" s="143">
        <f>Datos!$F$3</f>
        <v>31</v>
      </c>
      <c r="AA277" s="144">
        <f ca="1">IF((W277-1750000-Datos!$D$3-3%*O277*VLOOKUP(TODAY(),'UF HOY'!$A$2:$B$33,2,0))/Z277&gt;0,(W277-1750000-Datos!$D$3-3%*O277*VLOOKUP(TODAY(),'UF HOY'!$A$2:$B$33,2,0))/Z277,0)</f>
        <v>383694.10741218622</v>
      </c>
      <c r="AB277" s="142">
        <f>IF(L277&gt;0,VLOOKUP(D277,Datos!$C$7:$E$11,3,0),VLOOKUP(D277,Datos!$C$7:$E$11,2,0))</f>
        <v>480000</v>
      </c>
      <c r="AC277" s="144">
        <f ca="1">(S277*PMT(Datos!$H$13,Datos!$H$12,-O277,,)*VLOOKUP(TODAY(),'UF HOY'!$A$2:$B$33,2,0)/12)+VLOOKUP(TODAY(),'UF HOY'!$A$2:$B$33,2,0)</f>
        <v>804992.33485278534</v>
      </c>
      <c r="AD277" s="144">
        <f t="shared" ca="1" si="58"/>
        <v>-324992.33485278534</v>
      </c>
      <c r="AE277" s="47">
        <f t="shared" ca="1" si="59"/>
        <v>3219969.3394111414</v>
      </c>
    </row>
    <row r="278" spans="1:31" s="145" customFormat="1" ht="15.5" x14ac:dyDescent="0.35">
      <c r="A278" s="129" t="s">
        <v>105</v>
      </c>
      <c r="B278" s="130">
        <v>1606</v>
      </c>
      <c r="C278" s="131" t="s">
        <v>152</v>
      </c>
      <c r="D278" s="131" t="s">
        <v>154</v>
      </c>
      <c r="E278" s="131"/>
      <c r="F278" s="131">
        <v>53.12</v>
      </c>
      <c r="G278" s="131">
        <v>7.04</v>
      </c>
      <c r="H278" s="132">
        <f t="shared" si="48"/>
        <v>56.64</v>
      </c>
      <c r="I278" s="132">
        <f t="shared" si="49"/>
        <v>60.16</v>
      </c>
      <c r="J278" s="69">
        <v>4521</v>
      </c>
      <c r="K278" s="134">
        <v>0</v>
      </c>
      <c r="L278" s="135">
        <v>0</v>
      </c>
      <c r="M278" s="135">
        <v>0</v>
      </c>
      <c r="N278" s="69">
        <f t="shared" si="50"/>
        <v>4521</v>
      </c>
      <c r="O278" s="39">
        <f t="shared" si="51"/>
        <v>5023.333333333333</v>
      </c>
      <c r="P278" s="136">
        <f t="shared" si="52"/>
        <v>79.819915254237287</v>
      </c>
      <c r="Q278" s="137">
        <f t="shared" si="53"/>
        <v>0.1</v>
      </c>
      <c r="R278" s="138">
        <f t="shared" si="54"/>
        <v>502.33333333333331</v>
      </c>
      <c r="S278" s="139">
        <v>0.8</v>
      </c>
      <c r="T278" s="138">
        <f t="shared" si="55"/>
        <v>4018.6666666666665</v>
      </c>
      <c r="U278" s="140">
        <f t="shared" si="56"/>
        <v>9.9999999999999978E-2</v>
      </c>
      <c r="V278" s="138">
        <f t="shared" si="57"/>
        <v>502.3333333333332</v>
      </c>
      <c r="W278" s="142">
        <f ca="1">V278*VLOOKUP(TODAY(),'UF HOY'!$A$2:$B$33,2,0)</f>
        <v>19959682.526666664</v>
      </c>
      <c r="X278" s="143">
        <f>Datos!$E$3</f>
        <v>31</v>
      </c>
      <c r="Y278" s="144">
        <f ca="1">IF((W278-1000000-Datos!$D$3)/X278&gt;0,(W278-1000000-Datos!$D$3)/X278,0)</f>
        <v>603538.14602150524</v>
      </c>
      <c r="Z278" s="143">
        <f>Datos!$F$3</f>
        <v>31</v>
      </c>
      <c r="AA278" s="144">
        <f ca="1">IF((W278-1750000-Datos!$D$3-3%*O278*VLOOKUP(TODAY(),'UF HOY'!$A$2:$B$33,2,0))/Z278&gt;0,(W278-1750000-Datos!$D$3-3%*O278*VLOOKUP(TODAY(),'UF HOY'!$A$2:$B$33,2,0))/Z278,0)</f>
        <v>386186.37963440851</v>
      </c>
      <c r="AB278" s="142">
        <f>IF(L278&gt;0,VLOOKUP(D278,Datos!$C$7:$E$11,3,0),VLOOKUP(D278,Datos!$C$7:$E$11,2,0))</f>
        <v>480000</v>
      </c>
      <c r="AC278" s="144">
        <f ca="1">(S278*PMT(Datos!$H$13,Datos!$H$12,-O278,,)*VLOOKUP(TODAY(),'UF HOY'!$A$2:$B$33,2,0)/12)+VLOOKUP(TODAY(),'UF HOY'!$A$2:$B$33,2,0)</f>
        <v>809247.55279569421</v>
      </c>
      <c r="AD278" s="144">
        <f t="shared" ca="1" si="58"/>
        <v>-329247.55279569421</v>
      </c>
      <c r="AE278" s="47">
        <f t="shared" ca="1" si="59"/>
        <v>3236990.2111827768</v>
      </c>
    </row>
    <row r="279" spans="1:31" s="145" customFormat="1" ht="15.5" x14ac:dyDescent="0.35">
      <c r="A279" s="129" t="s">
        <v>105</v>
      </c>
      <c r="B279" s="130">
        <v>1614</v>
      </c>
      <c r="C279" s="131" t="s">
        <v>152</v>
      </c>
      <c r="D279" s="131" t="s">
        <v>154</v>
      </c>
      <c r="E279" s="131"/>
      <c r="F279" s="131">
        <v>52.89</v>
      </c>
      <c r="G279" s="131">
        <v>3.84</v>
      </c>
      <c r="H279" s="132">
        <f t="shared" si="48"/>
        <v>54.81</v>
      </c>
      <c r="I279" s="132">
        <f t="shared" si="49"/>
        <v>56.730000000000004</v>
      </c>
      <c r="J279" s="69">
        <v>4521</v>
      </c>
      <c r="K279" s="134">
        <v>0</v>
      </c>
      <c r="L279" s="135">
        <v>0</v>
      </c>
      <c r="M279" s="135">
        <v>0</v>
      </c>
      <c r="N279" s="69">
        <f t="shared" si="50"/>
        <v>4521</v>
      </c>
      <c r="O279" s="39">
        <f t="shared" si="51"/>
        <v>5023.333333333333</v>
      </c>
      <c r="P279" s="136">
        <f t="shared" si="52"/>
        <v>82.484948002189384</v>
      </c>
      <c r="Q279" s="137">
        <f t="shared" si="53"/>
        <v>0.1</v>
      </c>
      <c r="R279" s="138">
        <f t="shared" si="54"/>
        <v>502.33333333333331</v>
      </c>
      <c r="S279" s="139">
        <v>0.8</v>
      </c>
      <c r="T279" s="138">
        <f t="shared" si="55"/>
        <v>4018.6666666666665</v>
      </c>
      <c r="U279" s="140">
        <f t="shared" si="56"/>
        <v>9.9999999999999978E-2</v>
      </c>
      <c r="V279" s="138">
        <f t="shared" si="57"/>
        <v>502.3333333333332</v>
      </c>
      <c r="W279" s="142">
        <f ca="1">V279*VLOOKUP(TODAY(),'UF HOY'!$A$2:$B$33,2,0)</f>
        <v>19959682.526666664</v>
      </c>
      <c r="X279" s="143">
        <f>Datos!$E$3</f>
        <v>31</v>
      </c>
      <c r="Y279" s="144">
        <f ca="1">IF((W279-1000000-Datos!$D$3)/X279&gt;0,(W279-1000000-Datos!$D$3)/X279,0)</f>
        <v>603538.14602150524</v>
      </c>
      <c r="Z279" s="143">
        <f>Datos!$F$3</f>
        <v>31</v>
      </c>
      <c r="AA279" s="144">
        <f ca="1">IF((W279-1750000-Datos!$D$3-3%*O279*VLOOKUP(TODAY(),'UF HOY'!$A$2:$B$33,2,0))/Z279&gt;0,(W279-1750000-Datos!$D$3-3%*O279*VLOOKUP(TODAY(),'UF HOY'!$A$2:$B$33,2,0))/Z279,0)</f>
        <v>386186.37963440851</v>
      </c>
      <c r="AB279" s="142">
        <f>IF(L279&gt;0,VLOOKUP(D279,Datos!$C$7:$E$11,3,0),VLOOKUP(D279,Datos!$C$7:$E$11,2,0))</f>
        <v>480000</v>
      </c>
      <c r="AC279" s="144">
        <f ca="1">(S279*PMT(Datos!$H$13,Datos!$H$12,-O279,,)*VLOOKUP(TODAY(),'UF HOY'!$A$2:$B$33,2,0)/12)+VLOOKUP(TODAY(),'UF HOY'!$A$2:$B$33,2,0)</f>
        <v>809247.55279569421</v>
      </c>
      <c r="AD279" s="144">
        <f t="shared" ca="1" si="58"/>
        <v>-329247.55279569421</v>
      </c>
      <c r="AE279" s="47">
        <f t="shared" ca="1" si="59"/>
        <v>3236990.2111827768</v>
      </c>
    </row>
    <row r="280" spans="1:31" s="145" customFormat="1" ht="15.5" x14ac:dyDescent="0.35">
      <c r="A280" s="129" t="s">
        <v>105</v>
      </c>
      <c r="B280" s="130">
        <v>1706</v>
      </c>
      <c r="C280" s="131" t="s">
        <v>152</v>
      </c>
      <c r="D280" s="131" t="s">
        <v>154</v>
      </c>
      <c r="E280" s="131"/>
      <c r="F280" s="131">
        <v>53.12</v>
      </c>
      <c r="G280" s="131">
        <v>7.04</v>
      </c>
      <c r="H280" s="132">
        <f t="shared" si="48"/>
        <v>56.64</v>
      </c>
      <c r="I280" s="132">
        <f t="shared" si="49"/>
        <v>60.16</v>
      </c>
      <c r="J280" s="69">
        <v>4546</v>
      </c>
      <c r="K280" s="134">
        <v>0</v>
      </c>
      <c r="L280" s="135">
        <v>0</v>
      </c>
      <c r="M280" s="135">
        <v>0</v>
      </c>
      <c r="N280" s="69">
        <f t="shared" si="50"/>
        <v>4546</v>
      </c>
      <c r="O280" s="39">
        <f t="shared" si="51"/>
        <v>5051.1111111111113</v>
      </c>
      <c r="P280" s="136">
        <f t="shared" si="52"/>
        <v>80.261299435028249</v>
      </c>
      <c r="Q280" s="137">
        <f t="shared" si="53"/>
        <v>0.1</v>
      </c>
      <c r="R280" s="138">
        <f t="shared" si="54"/>
        <v>505.11111111111114</v>
      </c>
      <c r="S280" s="139">
        <v>0.8</v>
      </c>
      <c r="T280" s="138">
        <f t="shared" si="55"/>
        <v>4040.8888888888891</v>
      </c>
      <c r="U280" s="140">
        <f t="shared" si="56"/>
        <v>9.9999999999999978E-2</v>
      </c>
      <c r="V280" s="138">
        <f t="shared" si="57"/>
        <v>505.11111111111103</v>
      </c>
      <c r="W280" s="142">
        <f ca="1">V280*VLOOKUP(TODAY(),'UF HOY'!$A$2:$B$33,2,0)</f>
        <v>20070054.58222222</v>
      </c>
      <c r="X280" s="143">
        <f>Datos!$E$3</f>
        <v>31</v>
      </c>
      <c r="Y280" s="144">
        <f ca="1">IF((W280-1000000-Datos!$D$3)/X280&gt;0,(W280-1000000-Datos!$D$3)/X280,0)</f>
        <v>607098.53491039423</v>
      </c>
      <c r="Z280" s="143">
        <f>Datos!$F$3</f>
        <v>31</v>
      </c>
      <c r="AA280" s="144">
        <f ca="1">IF((W280-1750000-Datos!$D$3-3%*O280*VLOOKUP(TODAY(),'UF HOY'!$A$2:$B$33,2,0))/Z280&gt;0,(W280-1750000-Datos!$D$3-3%*O280*VLOOKUP(TODAY(),'UF HOY'!$A$2:$B$33,2,0))/Z280,0)</f>
        <v>388678.65185663075</v>
      </c>
      <c r="AB280" s="142">
        <f>IF(L280&gt;0,VLOOKUP(D280,Datos!$C$7:$E$11,3,0),VLOOKUP(D280,Datos!$C$7:$E$11,2,0))</f>
        <v>480000</v>
      </c>
      <c r="AC280" s="144">
        <f ca="1">(S280*PMT(Datos!$H$13,Datos!$H$12,-O280,,)*VLOOKUP(TODAY(),'UF HOY'!$A$2:$B$33,2,0)/12)+VLOOKUP(TODAY(),'UF HOY'!$A$2:$B$33,2,0)</f>
        <v>813502.77073860355</v>
      </c>
      <c r="AD280" s="144">
        <f t="shared" ca="1" si="58"/>
        <v>-333502.77073860355</v>
      </c>
      <c r="AE280" s="47">
        <f t="shared" ca="1" si="59"/>
        <v>3254011.0829544142</v>
      </c>
    </row>
    <row r="281" spans="1:31" s="145" customFormat="1" ht="15.5" x14ac:dyDescent="0.35">
      <c r="A281" s="129" t="s">
        <v>105</v>
      </c>
      <c r="B281" s="129">
        <v>1714</v>
      </c>
      <c r="C281" s="131" t="s">
        <v>152</v>
      </c>
      <c r="D281" s="131" t="s">
        <v>154</v>
      </c>
      <c r="E281" s="131"/>
      <c r="F281" s="131">
        <v>52.89</v>
      </c>
      <c r="G281" s="131">
        <v>3.84</v>
      </c>
      <c r="H281" s="132">
        <f t="shared" si="48"/>
        <v>54.81</v>
      </c>
      <c r="I281" s="132">
        <f t="shared" si="49"/>
        <v>56.730000000000004</v>
      </c>
      <c r="J281" s="69">
        <v>4546</v>
      </c>
      <c r="K281" s="134">
        <v>0</v>
      </c>
      <c r="L281" s="135">
        <v>0</v>
      </c>
      <c r="M281" s="135">
        <v>0</v>
      </c>
      <c r="N281" s="69">
        <f t="shared" si="50"/>
        <v>4546</v>
      </c>
      <c r="O281" s="39">
        <f t="shared" si="51"/>
        <v>5051.1111111111113</v>
      </c>
      <c r="P281" s="136">
        <f t="shared" si="52"/>
        <v>82.941069147965692</v>
      </c>
      <c r="Q281" s="137">
        <f t="shared" si="53"/>
        <v>0.1</v>
      </c>
      <c r="R281" s="138">
        <f t="shared" si="54"/>
        <v>505.11111111111114</v>
      </c>
      <c r="S281" s="139">
        <v>0.8</v>
      </c>
      <c r="T281" s="138">
        <f t="shared" si="55"/>
        <v>4040.8888888888891</v>
      </c>
      <c r="U281" s="140">
        <f t="shared" si="56"/>
        <v>9.9999999999999978E-2</v>
      </c>
      <c r="V281" s="138">
        <f t="shared" si="57"/>
        <v>505.11111111111103</v>
      </c>
      <c r="W281" s="142">
        <f ca="1">V281*VLOOKUP(TODAY(),'UF HOY'!$A$2:$B$33,2,0)</f>
        <v>20070054.58222222</v>
      </c>
      <c r="X281" s="143">
        <f>Datos!$E$3</f>
        <v>31</v>
      </c>
      <c r="Y281" s="144">
        <f ca="1">IF((W281-1000000-Datos!$D$3)/X281&gt;0,(W281-1000000-Datos!$D$3)/X281,0)</f>
        <v>607098.53491039423</v>
      </c>
      <c r="Z281" s="143">
        <f>Datos!$F$3</f>
        <v>31</v>
      </c>
      <c r="AA281" s="144">
        <f ca="1">IF((W281-1750000-Datos!$D$3-3%*O281*VLOOKUP(TODAY(),'UF HOY'!$A$2:$B$33,2,0))/Z281&gt;0,(W281-1750000-Datos!$D$3-3%*O281*VLOOKUP(TODAY(),'UF HOY'!$A$2:$B$33,2,0))/Z281,0)</f>
        <v>388678.65185663075</v>
      </c>
      <c r="AB281" s="142">
        <f>IF(L281&gt;0,VLOOKUP(D281,Datos!$C$7:$E$11,3,0),VLOOKUP(D281,Datos!$C$7:$E$11,2,0))</f>
        <v>480000</v>
      </c>
      <c r="AC281" s="144">
        <f ca="1">(S281*PMT(Datos!$H$13,Datos!$H$12,-O281,,)*VLOOKUP(TODAY(),'UF HOY'!$A$2:$B$33,2,0)/12)+VLOOKUP(TODAY(),'UF HOY'!$A$2:$B$33,2,0)</f>
        <v>813502.77073860355</v>
      </c>
      <c r="AD281" s="144">
        <f t="shared" ca="1" si="58"/>
        <v>-333502.77073860355</v>
      </c>
      <c r="AE281" s="47">
        <f t="shared" ca="1" si="59"/>
        <v>3254011.0829544142</v>
      </c>
    </row>
    <row r="282" spans="1:31" s="145" customFormat="1" ht="15.5" x14ac:dyDescent="0.35">
      <c r="A282" s="129" t="s">
        <v>105</v>
      </c>
      <c r="B282" s="130">
        <v>1806</v>
      </c>
      <c r="C282" s="131" t="s">
        <v>152</v>
      </c>
      <c r="D282" s="131" t="s">
        <v>154</v>
      </c>
      <c r="E282" s="131"/>
      <c r="F282" s="131">
        <v>53.12</v>
      </c>
      <c r="G282" s="131">
        <v>7.04</v>
      </c>
      <c r="H282" s="132">
        <f t="shared" si="48"/>
        <v>56.64</v>
      </c>
      <c r="I282" s="132">
        <f t="shared" si="49"/>
        <v>60.16</v>
      </c>
      <c r="J282" s="69">
        <v>4572</v>
      </c>
      <c r="K282" s="134">
        <v>0</v>
      </c>
      <c r="L282" s="135">
        <v>0</v>
      </c>
      <c r="M282" s="135">
        <v>0</v>
      </c>
      <c r="N282" s="69">
        <f t="shared" si="50"/>
        <v>4572</v>
      </c>
      <c r="O282" s="39">
        <f t="shared" si="51"/>
        <v>5080</v>
      </c>
      <c r="P282" s="136">
        <f t="shared" si="52"/>
        <v>80.720338983050851</v>
      </c>
      <c r="Q282" s="137">
        <f t="shared" si="53"/>
        <v>0.1</v>
      </c>
      <c r="R282" s="138">
        <f t="shared" si="54"/>
        <v>508</v>
      </c>
      <c r="S282" s="139">
        <v>0.8</v>
      </c>
      <c r="T282" s="138">
        <f t="shared" si="55"/>
        <v>4064</v>
      </c>
      <c r="U282" s="140">
        <f t="shared" si="56"/>
        <v>9.9999999999999978E-2</v>
      </c>
      <c r="V282" s="138">
        <f t="shared" si="57"/>
        <v>507.99999999999989</v>
      </c>
      <c r="W282" s="142">
        <f ca="1">V282*VLOOKUP(TODAY(),'UF HOY'!$A$2:$B$33,2,0)</f>
        <v>20184841.519999996</v>
      </c>
      <c r="X282" s="143">
        <f>Datos!$E$3</f>
        <v>31</v>
      </c>
      <c r="Y282" s="144">
        <f ca="1">IF((W282-1000000-Datos!$D$3)/X282&gt;0,(W282-1000000-Datos!$D$3)/X282,0)</f>
        <v>610801.33935483859</v>
      </c>
      <c r="Z282" s="143">
        <f>Datos!$F$3</f>
        <v>31</v>
      </c>
      <c r="AA282" s="144">
        <f ca="1">IF((W282-1750000-Datos!$D$3-3%*O282*VLOOKUP(TODAY(),'UF HOY'!$A$2:$B$33,2,0))/Z282&gt;0,(W282-1750000-Datos!$D$3-3%*O282*VLOOKUP(TODAY(),'UF HOY'!$A$2:$B$33,2,0))/Z282,0)</f>
        <v>391270.61496774177</v>
      </c>
      <c r="AB282" s="142">
        <f>IF(L282&gt;0,VLOOKUP(D282,Datos!$C$7:$E$11,3,0),VLOOKUP(D282,Datos!$C$7:$E$11,2,0))</f>
        <v>480000</v>
      </c>
      <c r="AC282" s="144">
        <f ca="1">(S282*PMT(Datos!$H$13,Datos!$H$12,-O282,,)*VLOOKUP(TODAY(),'UF HOY'!$A$2:$B$33,2,0)/12)+VLOOKUP(TODAY(),'UF HOY'!$A$2:$B$33,2,0)</f>
        <v>817928.19739922881</v>
      </c>
      <c r="AD282" s="144">
        <f t="shared" ca="1" si="58"/>
        <v>-337928.19739922881</v>
      </c>
      <c r="AE282" s="47">
        <f t="shared" ca="1" si="59"/>
        <v>3271712.7895969152</v>
      </c>
    </row>
    <row r="283" spans="1:31" s="145" customFormat="1" ht="15.5" x14ac:dyDescent="0.35">
      <c r="A283" s="129" t="s">
        <v>105</v>
      </c>
      <c r="B283" s="129">
        <v>1814</v>
      </c>
      <c r="C283" s="131" t="s">
        <v>152</v>
      </c>
      <c r="D283" s="131" t="s">
        <v>154</v>
      </c>
      <c r="E283" s="131"/>
      <c r="F283" s="131">
        <v>52.89</v>
      </c>
      <c r="G283" s="131">
        <v>3.84</v>
      </c>
      <c r="H283" s="132">
        <f t="shared" si="48"/>
        <v>54.81</v>
      </c>
      <c r="I283" s="132">
        <f t="shared" si="49"/>
        <v>56.730000000000004</v>
      </c>
      <c r="J283" s="69">
        <v>4572</v>
      </c>
      <c r="K283" s="134">
        <v>0</v>
      </c>
      <c r="L283" s="135">
        <v>0</v>
      </c>
      <c r="M283" s="135">
        <v>0</v>
      </c>
      <c r="N283" s="69">
        <f t="shared" si="50"/>
        <v>4572</v>
      </c>
      <c r="O283" s="39">
        <f t="shared" si="51"/>
        <v>5080</v>
      </c>
      <c r="P283" s="136">
        <f t="shared" si="52"/>
        <v>83.415435139573063</v>
      </c>
      <c r="Q283" s="137">
        <f t="shared" si="53"/>
        <v>0.1</v>
      </c>
      <c r="R283" s="138">
        <f t="shared" si="54"/>
        <v>508</v>
      </c>
      <c r="S283" s="139">
        <v>0.8</v>
      </c>
      <c r="T283" s="138">
        <f t="shared" si="55"/>
        <v>4064</v>
      </c>
      <c r="U283" s="140">
        <f t="shared" si="56"/>
        <v>9.9999999999999978E-2</v>
      </c>
      <c r="V283" s="138">
        <f t="shared" si="57"/>
        <v>507.99999999999989</v>
      </c>
      <c r="W283" s="142">
        <f ca="1">V283*VLOOKUP(TODAY(),'UF HOY'!$A$2:$B$33,2,0)</f>
        <v>20184841.519999996</v>
      </c>
      <c r="X283" s="143">
        <f>Datos!$E$3</f>
        <v>31</v>
      </c>
      <c r="Y283" s="144">
        <f ca="1">IF((W283-1000000-Datos!$D$3)/X283&gt;0,(W283-1000000-Datos!$D$3)/X283,0)</f>
        <v>610801.33935483859</v>
      </c>
      <c r="Z283" s="143">
        <f>Datos!$F$3</f>
        <v>31</v>
      </c>
      <c r="AA283" s="144">
        <f ca="1">IF((W283-1750000-Datos!$D$3-3%*O283*VLOOKUP(TODAY(),'UF HOY'!$A$2:$B$33,2,0))/Z283&gt;0,(W283-1750000-Datos!$D$3-3%*O283*VLOOKUP(TODAY(),'UF HOY'!$A$2:$B$33,2,0))/Z283,0)</f>
        <v>391270.61496774177</v>
      </c>
      <c r="AB283" s="142">
        <f>IF(L283&gt;0,VLOOKUP(D283,Datos!$C$7:$E$11,3,0),VLOOKUP(D283,Datos!$C$7:$E$11,2,0))</f>
        <v>480000</v>
      </c>
      <c r="AC283" s="144">
        <f ca="1">(S283*PMT(Datos!$H$13,Datos!$H$12,-O283,,)*VLOOKUP(TODAY(),'UF HOY'!$A$2:$B$33,2,0)/12)+VLOOKUP(TODAY(),'UF HOY'!$A$2:$B$33,2,0)</f>
        <v>817928.19739922881</v>
      </c>
      <c r="AD283" s="144">
        <f t="shared" ca="1" si="58"/>
        <v>-337928.19739922881</v>
      </c>
      <c r="AE283" s="47">
        <f t="shared" ca="1" si="59"/>
        <v>3271712.7895969152</v>
      </c>
    </row>
    <row r="284" spans="1:31" s="145" customFormat="1" ht="15.5" x14ac:dyDescent="0.35">
      <c r="A284" s="129" t="s">
        <v>105</v>
      </c>
      <c r="B284" s="130">
        <v>1905</v>
      </c>
      <c r="C284" s="131" t="s">
        <v>151</v>
      </c>
      <c r="D284" s="131" t="s">
        <v>154</v>
      </c>
      <c r="E284" s="131"/>
      <c r="F284" s="131">
        <v>53.12</v>
      </c>
      <c r="G284" s="131">
        <v>7.04</v>
      </c>
      <c r="H284" s="132">
        <f t="shared" si="48"/>
        <v>56.64</v>
      </c>
      <c r="I284" s="132">
        <f t="shared" si="49"/>
        <v>60.16</v>
      </c>
      <c r="J284" s="69">
        <v>4633</v>
      </c>
      <c r="K284" s="134">
        <v>0</v>
      </c>
      <c r="L284" s="135">
        <v>0</v>
      </c>
      <c r="M284" s="135">
        <v>0</v>
      </c>
      <c r="N284" s="69">
        <f t="shared" si="50"/>
        <v>4633</v>
      </c>
      <c r="O284" s="39">
        <f t="shared" si="51"/>
        <v>5147.7777777777774</v>
      </c>
      <c r="P284" s="136">
        <f t="shared" si="52"/>
        <v>81.797316384180789</v>
      </c>
      <c r="Q284" s="137">
        <f t="shared" si="53"/>
        <v>9.9999999999999992E-2</v>
      </c>
      <c r="R284" s="138">
        <f t="shared" si="54"/>
        <v>514.77777777777771</v>
      </c>
      <c r="S284" s="139">
        <v>0.8</v>
      </c>
      <c r="T284" s="138">
        <f t="shared" si="55"/>
        <v>4118.2222222222217</v>
      </c>
      <c r="U284" s="140">
        <f t="shared" si="56"/>
        <v>9.9999999999999978E-2</v>
      </c>
      <c r="V284" s="138">
        <f t="shared" si="57"/>
        <v>514.7777777777776</v>
      </c>
      <c r="W284" s="142">
        <f ca="1">V284*VLOOKUP(TODAY(),'UF HOY'!$A$2:$B$33,2,0)</f>
        <v>20454149.33555555</v>
      </c>
      <c r="X284" s="143">
        <f>Datos!$E$3</f>
        <v>31</v>
      </c>
      <c r="Y284" s="144">
        <f ca="1">IF((W284-1000000-Datos!$D$3)/X284&gt;0,(W284-1000000-Datos!$D$3)/X284,0)</f>
        <v>619488.68824372743</v>
      </c>
      <c r="Z284" s="143">
        <f>Datos!$F$3</f>
        <v>31</v>
      </c>
      <c r="AA284" s="144">
        <f ca="1">IF((W284-1750000-Datos!$D$3-3%*O284*VLOOKUP(TODAY(),'UF HOY'!$A$2:$B$33,2,0))/Z284&gt;0,(W284-1750000-Datos!$D$3-3%*O284*VLOOKUP(TODAY(),'UF HOY'!$A$2:$B$33,2,0))/Z284,0)</f>
        <v>397351.75918996398</v>
      </c>
      <c r="AB284" s="142">
        <f>IF(L284&gt;0,VLOOKUP(D284,Datos!$C$7:$E$11,3,0),VLOOKUP(D284,Datos!$C$7:$E$11,2,0))</f>
        <v>480000</v>
      </c>
      <c r="AC284" s="144">
        <f ca="1">(S284*PMT(Datos!$H$13,Datos!$H$12,-O284,,)*VLOOKUP(TODAY(),'UF HOY'!$A$2:$B$33,2,0)/12)+VLOOKUP(TODAY(),'UF HOY'!$A$2:$B$33,2,0)</f>
        <v>828310.92917992733</v>
      </c>
      <c r="AD284" s="144">
        <f t="shared" ca="1" si="58"/>
        <v>-348310.92917992733</v>
      </c>
      <c r="AE284" s="47">
        <f t="shared" ca="1" si="59"/>
        <v>3313243.7167197093</v>
      </c>
    </row>
    <row r="285" spans="1:31" s="145" customFormat="1" ht="15.5" x14ac:dyDescent="0.35">
      <c r="A285" s="129" t="s">
        <v>105</v>
      </c>
      <c r="B285" s="130">
        <v>1906</v>
      </c>
      <c r="C285" s="131" t="s">
        <v>152</v>
      </c>
      <c r="D285" s="131" t="s">
        <v>154</v>
      </c>
      <c r="E285" s="131"/>
      <c r="F285" s="131">
        <v>53.12</v>
      </c>
      <c r="G285" s="131">
        <v>7.04</v>
      </c>
      <c r="H285" s="132">
        <f t="shared" si="48"/>
        <v>56.64</v>
      </c>
      <c r="I285" s="132">
        <f t="shared" si="49"/>
        <v>60.16</v>
      </c>
      <c r="J285" s="69">
        <v>4642</v>
      </c>
      <c r="K285" s="134">
        <v>0</v>
      </c>
      <c r="L285" s="135">
        <v>0</v>
      </c>
      <c r="M285" s="135">
        <v>0</v>
      </c>
      <c r="N285" s="69">
        <f t="shared" si="50"/>
        <v>4642</v>
      </c>
      <c r="O285" s="39">
        <f t="shared" si="51"/>
        <v>5157.7777777777774</v>
      </c>
      <c r="P285" s="136">
        <f t="shared" si="52"/>
        <v>81.956214689265536</v>
      </c>
      <c r="Q285" s="137">
        <f t="shared" si="53"/>
        <v>9.9999999999999992E-2</v>
      </c>
      <c r="R285" s="138">
        <f t="shared" si="54"/>
        <v>515.77777777777771</v>
      </c>
      <c r="S285" s="139">
        <v>0.8</v>
      </c>
      <c r="T285" s="138">
        <f t="shared" si="55"/>
        <v>4126.2222222222217</v>
      </c>
      <c r="U285" s="140">
        <f t="shared" si="56"/>
        <v>9.9999999999999978E-2</v>
      </c>
      <c r="V285" s="138">
        <f t="shared" si="57"/>
        <v>515.7777777777776</v>
      </c>
      <c r="W285" s="142">
        <f ca="1">V285*VLOOKUP(TODAY(),'UF HOY'!$A$2:$B$33,2,0)</f>
        <v>20493883.275555551</v>
      </c>
      <c r="X285" s="143">
        <f>Datos!$E$3</f>
        <v>31</v>
      </c>
      <c r="Y285" s="144">
        <f ca="1">IF((W285-1000000-Datos!$D$3)/X285&gt;0,(W285-1000000-Datos!$D$3)/X285,0)</f>
        <v>620770.42824372742</v>
      </c>
      <c r="Z285" s="143">
        <f>Datos!$F$3</f>
        <v>31</v>
      </c>
      <c r="AA285" s="144">
        <f ca="1">IF((W285-1750000-Datos!$D$3-3%*O285*VLOOKUP(TODAY(),'UF HOY'!$A$2:$B$33,2,0))/Z285&gt;0,(W285-1750000-Datos!$D$3-3%*O285*VLOOKUP(TODAY(),'UF HOY'!$A$2:$B$33,2,0))/Z285,0)</f>
        <v>398248.97718996397</v>
      </c>
      <c r="AB285" s="142">
        <f>IF(L285&gt;0,VLOOKUP(D285,Datos!$C$7:$E$11,3,0),VLOOKUP(D285,Datos!$C$7:$E$11,2,0))</f>
        <v>480000</v>
      </c>
      <c r="AC285" s="144">
        <f ca="1">(S285*PMT(Datos!$H$13,Datos!$H$12,-O285,,)*VLOOKUP(TODAY(),'UF HOY'!$A$2:$B$33,2,0)/12)+VLOOKUP(TODAY(),'UF HOY'!$A$2:$B$33,2,0)</f>
        <v>829842.80763937486</v>
      </c>
      <c r="AD285" s="144">
        <f t="shared" ca="1" si="58"/>
        <v>-349842.80763937486</v>
      </c>
      <c r="AE285" s="47">
        <f t="shared" ca="1" si="59"/>
        <v>3319371.2305574995</v>
      </c>
    </row>
    <row r="286" spans="1:31" ht="17.25" customHeight="1" x14ac:dyDescent="0.35">
      <c r="L286" s="146"/>
      <c r="P286" s="141"/>
      <c r="Q286" s="141"/>
      <c r="R286" s="141"/>
      <c r="S286" s="141"/>
      <c r="T286" s="141"/>
      <c r="U286" s="141"/>
      <c r="V286" s="141"/>
      <c r="W286" s="141"/>
      <c r="Y286" s="141"/>
      <c r="AA286" s="141"/>
    </row>
    <row r="287" spans="1:31" ht="18" customHeight="1" x14ac:dyDescent="0.35">
      <c r="L287" s="146" t="s">
        <v>167</v>
      </c>
      <c r="P287" s="141"/>
      <c r="Q287" s="141"/>
      <c r="R287" s="141"/>
      <c r="S287" s="141"/>
      <c r="T287" s="141"/>
      <c r="U287" s="141"/>
      <c r="V287" s="141"/>
      <c r="W287" s="141"/>
      <c r="Y287" s="141"/>
      <c r="AA287" s="141"/>
      <c r="AB287" s="152"/>
      <c r="AC287" s="152"/>
      <c r="AD287" s="141"/>
    </row>
    <row r="288" spans="1:31" ht="17.25" customHeight="1" x14ac:dyDescent="0.35">
      <c r="L288" s="146" t="s">
        <v>166</v>
      </c>
      <c r="O288" s="147"/>
      <c r="P288" s="141"/>
      <c r="Q288" s="141"/>
      <c r="R288" s="141"/>
      <c r="S288" s="141"/>
      <c r="T288" s="141"/>
      <c r="U288" s="141"/>
      <c r="V288" s="141"/>
      <c r="W288" s="141"/>
      <c r="Y288" s="141"/>
      <c r="AA288" s="141"/>
      <c r="AB288" s="141"/>
      <c r="AC288" s="141"/>
      <c r="AD288" s="141"/>
    </row>
    <row r="289" spans="16:16" s="141" customFormat="1" ht="16.5" customHeight="1" x14ac:dyDescent="0.35">
      <c r="P289" s="349"/>
    </row>
    <row r="290" spans="16:16" s="141" customFormat="1" ht="16.5" customHeight="1" x14ac:dyDescent="0.35">
      <c r="P290" s="349"/>
    </row>
    <row r="291" spans="16:16" s="141" customFormat="1" ht="17.25" customHeight="1" x14ac:dyDescent="0.35">
      <c r="P291" s="349"/>
    </row>
    <row r="292" spans="16:16" s="141" customFormat="1" ht="17.25" customHeight="1" x14ac:dyDescent="0.35"/>
    <row r="293" spans="16:16" s="141" customFormat="1" ht="17.25" customHeight="1" x14ac:dyDescent="0.35"/>
    <row r="294" spans="16:16" s="141" customFormat="1" ht="16.5" customHeight="1" x14ac:dyDescent="0.35"/>
    <row r="295" spans="16:16" s="141" customFormat="1" ht="17.25" customHeight="1" x14ac:dyDescent="0.35"/>
    <row r="296" spans="16:16" s="141" customFormat="1" ht="16.5" customHeight="1" x14ac:dyDescent="0.35"/>
    <row r="297" spans="16:16" s="141" customFormat="1" ht="16.5" customHeight="1" x14ac:dyDescent="0.35"/>
    <row r="298" spans="16:16" s="141" customFormat="1" ht="17.25" customHeight="1" x14ac:dyDescent="0.35"/>
    <row r="299" spans="16:16" s="141" customFormat="1" ht="17.25" customHeight="1" x14ac:dyDescent="0.35"/>
    <row r="300" spans="16:16" s="141" customFormat="1" ht="17.25" customHeight="1" x14ac:dyDescent="0.35"/>
    <row r="301" spans="16:16" s="141" customFormat="1" ht="17.25" customHeight="1" x14ac:dyDescent="0.35"/>
    <row r="302" spans="16:16" s="141" customFormat="1" ht="17.25" customHeight="1" x14ac:dyDescent="0.35"/>
    <row r="303" spans="16:16" s="141" customFormat="1" ht="17.25" customHeight="1" x14ac:dyDescent="0.35"/>
    <row r="304" spans="16:16" s="141" customFormat="1" ht="17.25" customHeight="1" x14ac:dyDescent="0.35"/>
    <row r="305" s="141" customFormat="1" ht="17.25" customHeight="1" x14ac:dyDescent="0.35"/>
    <row r="306" s="141" customFormat="1" ht="17.25" customHeight="1" x14ac:dyDescent="0.35"/>
    <row r="307" s="141" customFormat="1" ht="17.25" customHeight="1" x14ac:dyDescent="0.35"/>
    <row r="308" s="141" customFormat="1" ht="17.25" customHeight="1" x14ac:dyDescent="0.35"/>
    <row r="309" s="141" customFormat="1" ht="17.25" customHeight="1" x14ac:dyDescent="0.35"/>
  </sheetData>
  <autoFilter ref="A1:AE285" xr:uid="{45495331-1BA9-48D9-BE5C-205C966A9F70}">
    <filterColumn colId="0">
      <filters>
        <filter val="Disponible"/>
      </filters>
    </filterColumn>
    <sortState xmlns:xlrd2="http://schemas.microsoft.com/office/spreadsheetml/2017/richdata2" ref="A122:AE285">
      <sortCondition ref="N1:N285"/>
    </sortState>
  </autoFilter>
  <conditionalFormatting sqref="A1:AD285">
    <cfRule type="expression" dxfId="5" priority="6">
      <formula>ROW()=CELL("fila")</formula>
    </cfRule>
  </conditionalFormatting>
  <conditionalFormatting sqref="AE1">
    <cfRule type="expression" dxfId="4" priority="4">
      <formula>ROW()=CELL("fila")</formula>
    </cfRule>
  </conditionalFormatting>
  <conditionalFormatting sqref="AE2:AE285">
    <cfRule type="expression" dxfId="3" priority="1">
      <formula>ROW()=CELL("fila")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A2:P23"/>
  <sheetViews>
    <sheetView zoomScale="70" zoomScaleNormal="70" workbookViewId="0">
      <selection activeCell="E4" sqref="E4"/>
    </sheetView>
  </sheetViews>
  <sheetFormatPr baseColWidth="10" defaultColWidth="11" defaultRowHeight="15.5" x14ac:dyDescent="0.35"/>
  <cols>
    <col min="1" max="1" width="15.9140625" style="1" customWidth="1"/>
    <col min="2" max="2" width="14.58203125" style="1" bestFit="1" customWidth="1"/>
    <col min="3" max="3" width="26.58203125" style="1" customWidth="1"/>
    <col min="4" max="4" width="15" style="1" bestFit="1" customWidth="1"/>
    <col min="5" max="5" width="15.5" style="1" bestFit="1" customWidth="1"/>
    <col min="6" max="6" width="13.5" style="1" bestFit="1" customWidth="1"/>
    <col min="7" max="7" width="15" style="1" bestFit="1" customWidth="1"/>
    <col min="8" max="8" width="13.5" style="1" customWidth="1"/>
    <col min="9" max="9" width="18.9140625" style="1" bestFit="1" customWidth="1"/>
    <col min="10" max="10" width="19.08203125" style="1" customWidth="1"/>
    <col min="11" max="11" width="11.4140625" style="1" bestFit="1" customWidth="1"/>
    <col min="12" max="12" width="36.08203125" style="1" bestFit="1" customWidth="1"/>
    <col min="13" max="13" width="34.5" style="1" bestFit="1" customWidth="1"/>
    <col min="14" max="14" width="17.58203125" style="1" bestFit="1" customWidth="1"/>
    <col min="15" max="15" width="22.4140625" style="1" bestFit="1" customWidth="1"/>
    <col min="16" max="16" width="13" style="1" bestFit="1" customWidth="1"/>
    <col min="17" max="16384" width="11" style="1"/>
  </cols>
  <sheetData>
    <row r="2" spans="1:16" s="27" customFormat="1" x14ac:dyDescent="0.35">
      <c r="A2" s="25" t="s">
        <v>78</v>
      </c>
      <c r="B2" s="25" t="s">
        <v>107</v>
      </c>
      <c r="C2" s="25"/>
      <c r="D2" s="25" t="s">
        <v>108</v>
      </c>
      <c r="E2" s="25" t="s">
        <v>68</v>
      </c>
      <c r="F2" s="25" t="s">
        <v>68</v>
      </c>
      <c r="G2" s="25" t="s">
        <v>109</v>
      </c>
      <c r="H2" s="25"/>
      <c r="I2" s="25" t="s">
        <v>110</v>
      </c>
      <c r="J2" s="25" t="s">
        <v>111</v>
      </c>
      <c r="K2" s="25" t="s">
        <v>112</v>
      </c>
      <c r="L2" s="25" t="s">
        <v>110</v>
      </c>
      <c r="M2" s="25" t="s">
        <v>113</v>
      </c>
      <c r="N2" s="25" t="s">
        <v>114</v>
      </c>
      <c r="O2" s="26" t="s">
        <v>115</v>
      </c>
      <c r="P2" s="26" t="s">
        <v>116</v>
      </c>
    </row>
    <row r="3" spans="1:16" s="6" customFormat="1" x14ac:dyDescent="0.35">
      <c r="A3" s="28" t="s">
        <v>158</v>
      </c>
      <c r="B3" s="28" t="s">
        <v>157</v>
      </c>
      <c r="C3" s="28" t="s">
        <v>159</v>
      </c>
      <c r="D3" s="30">
        <v>250000</v>
      </c>
      <c r="E3" s="28">
        <v>31</v>
      </c>
      <c r="F3" s="28">
        <f t="shared" ref="F3" si="0">E3</f>
        <v>31</v>
      </c>
      <c r="G3" s="28">
        <v>24</v>
      </c>
      <c r="H3" s="28"/>
      <c r="I3" s="28" t="str">
        <f t="shared" ref="I3" si="1">E3&amp;" Cuotas ForPay"</f>
        <v>31 Cuotas ForPay</v>
      </c>
      <c r="J3" s="28" t="str">
        <f t="shared" ref="J3" si="2">F3&amp;" Cuotas ForPay"</f>
        <v>31 Cuotas ForPay</v>
      </c>
      <c r="K3" s="28" t="str">
        <f t="shared" ref="K3" si="3">G3&amp;" Cuotas TC"</f>
        <v>24 Cuotas TC</v>
      </c>
      <c r="L3" s="28" t="str">
        <f t="shared" ref="L3" si="4">"Opción 1: "&amp;E3&amp;" Cuotas (Sólo ForPay)"</f>
        <v>Opción 1: 31 Cuotas (Sólo ForPay)</v>
      </c>
      <c r="M3" s="28" t="str">
        <f t="shared" ref="M3" si="5">"Opción 2: "&amp;F3+G3&amp;" Cuotas (ForPay + TC)"</f>
        <v>Opción 2: 55 Cuotas (ForPay + TC)</v>
      </c>
      <c r="N3" s="28" t="s">
        <v>160</v>
      </c>
      <c r="O3" s="29">
        <f ca="1">IF(((SUM(SIMULACIÓN!R4:R8)-P3-SIMULACIÓN!C17-SIMULACIÓN!C16)/F3)&gt;0,((SUM(SIMULACIÓN!R4:R8)-P3-SIMULACIÓN!C17-SIMULACIÓN!C16)/F3),0)</f>
        <v>0</v>
      </c>
      <c r="P3" s="29">
        <f ca="1">IF(((SUM(SIMULACIÓN!M4:M8))*'Escenario de Inversion'!D21*VLOOKUP(TODAY(),'UF HOY'!$A$2:$B$36,2,0))&gt;0,((SUM(SIMULACIÓN!M4:M8))*'Escenario de Inversion'!D21*VLOOKUP(TODAY(),'UF HOY'!$A$2:$B$36,2,0)),0)</f>
        <v>0</v>
      </c>
    </row>
    <row r="4" spans="1:16" s="6" customFormat="1" x14ac:dyDescent="0.35">
      <c r="A4" s="28" t="s">
        <v>210</v>
      </c>
      <c r="B4" s="28" t="s">
        <v>211</v>
      </c>
      <c r="C4" s="28" t="s">
        <v>209</v>
      </c>
      <c r="D4" s="30">
        <v>250000</v>
      </c>
      <c r="E4" s="28">
        <v>1</v>
      </c>
      <c r="F4" s="28">
        <f t="shared" ref="F4" si="6">E4</f>
        <v>1</v>
      </c>
      <c r="G4" s="28">
        <v>36</v>
      </c>
      <c r="H4" s="28"/>
      <c r="I4" s="28" t="str">
        <f>E4&amp;" Cuota ForPay"</f>
        <v>1 Cuota ForPay</v>
      </c>
      <c r="J4" s="28" t="s">
        <v>212</v>
      </c>
      <c r="K4" s="28" t="str">
        <f t="shared" ref="K4" si="7">G4&amp;" Cuotas TC"</f>
        <v>36 Cuotas TC</v>
      </c>
      <c r="L4" s="28" t="str">
        <f>"Opción 1: "&amp;E4&amp;" Cuota (Sólo ForPay)"</f>
        <v>Opción 1: 1 Cuota (Sólo ForPay)</v>
      </c>
      <c r="M4" s="28" t="str">
        <f>"Opción 2: "&amp;G4&amp;" Cuotas (Sólo TC)"</f>
        <v>Opción 2: 36 Cuotas (Sólo TC)</v>
      </c>
      <c r="N4" s="28" t="s">
        <v>213</v>
      </c>
      <c r="O4" s="29">
        <v>0</v>
      </c>
      <c r="P4" s="29">
        <f ca="1">IF((SUM(SIMULACIÓN!R4:R8)-SIMULACIÓN!C16-SIMULACIÓN!C17)&gt;0,(SUM(SIMULACIÓN!R4:R8)-SIMULACIÓN!C16-SIMULACIÓN!C17),0)</f>
        <v>0</v>
      </c>
    </row>
    <row r="5" spans="1:16" x14ac:dyDescent="0.35">
      <c r="O5" s="13"/>
    </row>
    <row r="7" spans="1:16" x14ac:dyDescent="0.35">
      <c r="C7" s="25" t="s">
        <v>156</v>
      </c>
      <c r="D7" s="25" t="s">
        <v>117</v>
      </c>
      <c r="E7" s="25" t="s">
        <v>118</v>
      </c>
    </row>
    <row r="8" spans="1:16" x14ac:dyDescent="0.35">
      <c r="C8" s="25" t="s">
        <v>106</v>
      </c>
      <c r="D8" s="30">
        <v>300000</v>
      </c>
      <c r="E8" s="30">
        <f>+D8+40000</f>
        <v>340000</v>
      </c>
    </row>
    <row r="9" spans="1:16" x14ac:dyDescent="0.35">
      <c r="C9" s="25" t="s">
        <v>153</v>
      </c>
      <c r="D9" s="30">
        <v>370000</v>
      </c>
      <c r="E9" s="30">
        <f t="shared" ref="E9:E11" si="8">+D9+40000</f>
        <v>410000</v>
      </c>
      <c r="O9" s="12"/>
    </row>
    <row r="10" spans="1:16" x14ac:dyDescent="0.35">
      <c r="C10" s="25" t="s">
        <v>155</v>
      </c>
      <c r="D10" s="30">
        <v>420000</v>
      </c>
      <c r="E10" s="30">
        <f t="shared" si="8"/>
        <v>460000</v>
      </c>
    </row>
    <row r="11" spans="1:16" x14ac:dyDescent="0.35">
      <c r="C11" s="25" t="s">
        <v>154</v>
      </c>
      <c r="D11" s="30">
        <v>480000</v>
      </c>
      <c r="E11" s="30">
        <f t="shared" si="8"/>
        <v>520000</v>
      </c>
    </row>
    <row r="12" spans="1:16" x14ac:dyDescent="0.35">
      <c r="G12" s="25" t="s">
        <v>119</v>
      </c>
      <c r="H12" s="31">
        <v>30</v>
      </c>
    </row>
    <row r="13" spans="1:16" x14ac:dyDescent="0.35">
      <c r="C13" s="25" t="s">
        <v>190</v>
      </c>
      <c r="D13" s="25" t="s">
        <v>117</v>
      </c>
      <c r="E13" s="25" t="s">
        <v>118</v>
      </c>
      <c r="G13" s="25" t="s">
        <v>150</v>
      </c>
      <c r="H13" s="32">
        <v>0.04</v>
      </c>
    </row>
    <row r="14" spans="1:16" x14ac:dyDescent="0.35">
      <c r="C14" s="25" t="s">
        <v>106</v>
      </c>
      <c r="D14" s="30">
        <v>390000</v>
      </c>
      <c r="E14" s="30">
        <f>D14+40000</f>
        <v>430000</v>
      </c>
      <c r="G14" s="25" t="s">
        <v>149</v>
      </c>
      <c r="H14" s="32">
        <v>0.04</v>
      </c>
    </row>
    <row r="15" spans="1:16" x14ac:dyDescent="0.35">
      <c r="C15" s="25" t="s">
        <v>180</v>
      </c>
      <c r="D15" s="30">
        <v>450000</v>
      </c>
      <c r="E15" s="30">
        <f t="shared" ref="E15:E17" si="9">D15+40000</f>
        <v>490000</v>
      </c>
    </row>
    <row r="16" spans="1:16" x14ac:dyDescent="0.35">
      <c r="C16" s="25" t="s">
        <v>181</v>
      </c>
      <c r="D16" s="30">
        <v>520000</v>
      </c>
      <c r="E16" s="30">
        <f t="shared" si="9"/>
        <v>560000</v>
      </c>
    </row>
    <row r="17" spans="3:13" x14ac:dyDescent="0.35">
      <c r="C17" s="25" t="s">
        <v>182</v>
      </c>
      <c r="D17" s="30">
        <v>620000</v>
      </c>
      <c r="E17" s="30">
        <f t="shared" si="9"/>
        <v>660000</v>
      </c>
      <c r="M17" s="59"/>
    </row>
    <row r="18" spans="3:13" x14ac:dyDescent="0.35">
      <c r="M18" s="59"/>
    </row>
    <row r="19" spans="3:13" x14ac:dyDescent="0.35">
      <c r="M19" s="59"/>
    </row>
    <row r="20" spans="3:13" x14ac:dyDescent="0.35">
      <c r="M20" s="59"/>
    </row>
    <row r="21" spans="3:13" x14ac:dyDescent="0.35">
      <c r="M21" s="59"/>
    </row>
    <row r="22" spans="3:13" x14ac:dyDescent="0.35">
      <c r="M22" s="59"/>
    </row>
    <row r="23" spans="3:13" x14ac:dyDescent="0.35">
      <c r="M23" s="59"/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4A23-F025-4D1E-9C2D-282C74427D2A}">
  <sheetPr codeName="Hoja17">
    <tabColor rgb="FF002060"/>
  </sheetPr>
  <dimension ref="A1:AE56"/>
  <sheetViews>
    <sheetView showGridLines="0" zoomScale="80" zoomScaleNormal="80" zoomScalePageLayoutView="80" workbookViewId="0">
      <pane ySplit="1" topLeftCell="A2" activePane="bottomLeft" state="frozen"/>
      <selection activeCell="F1" sqref="F1"/>
      <selection pane="bottomLeft" activeCell="AC2" sqref="AC2"/>
    </sheetView>
  </sheetViews>
  <sheetFormatPr baseColWidth="10" defaultColWidth="11" defaultRowHeight="10.5" x14ac:dyDescent="0.25"/>
  <cols>
    <col min="1" max="1" width="10.6640625" style="141" customWidth="1"/>
    <col min="2" max="2" width="11.9140625" style="141" bestFit="1" customWidth="1"/>
    <col min="3" max="3" width="13.1640625" style="141" bestFit="1" customWidth="1"/>
    <col min="4" max="4" width="12.08203125" style="141" customWidth="1"/>
    <col min="5" max="5" width="10.1640625" style="141" customWidth="1"/>
    <col min="6" max="7" width="9" style="4" hidden="1" customWidth="1"/>
    <col min="8" max="8" width="13.58203125" style="4" hidden="1" customWidth="1"/>
    <col min="9" max="9" width="13.58203125" style="141" customWidth="1"/>
    <col min="10" max="10" width="10.08203125" style="141" bestFit="1" customWidth="1"/>
    <col min="11" max="11" width="13.08203125" style="141" customWidth="1"/>
    <col min="12" max="12" width="14.5" style="141" customWidth="1"/>
    <col min="13" max="13" width="11.08203125" style="141" bestFit="1" customWidth="1"/>
    <col min="14" max="14" width="10.58203125" style="141" bestFit="1" customWidth="1"/>
    <col min="15" max="15" width="14.58203125" style="141" bestFit="1" customWidth="1"/>
    <col min="16" max="16" width="10.5" style="148" bestFit="1" customWidth="1"/>
    <col min="17" max="17" width="9.4140625" style="149" customWidth="1"/>
    <col min="18" max="18" width="9.9140625" style="149" customWidth="1"/>
    <col min="19" max="19" width="14.6640625" style="150" customWidth="1"/>
    <col min="20" max="20" width="19.58203125" style="150" bestFit="1" customWidth="1"/>
    <col min="21" max="21" width="10.58203125" style="149" bestFit="1" customWidth="1"/>
    <col min="22" max="22" width="10.58203125" style="5" hidden="1" customWidth="1"/>
    <col min="23" max="23" width="10.9140625" style="151" bestFit="1" customWidth="1"/>
    <col min="24" max="24" width="14.5" style="141" bestFit="1" customWidth="1"/>
    <col min="25" max="25" width="16.58203125" style="151" bestFit="1" customWidth="1"/>
    <col min="26" max="26" width="12.1640625" style="141" bestFit="1" customWidth="1"/>
    <col min="27" max="27" width="16.58203125" style="151" bestFit="1" customWidth="1"/>
    <col min="28" max="28" width="11.4140625" style="151" bestFit="1" customWidth="1"/>
    <col min="29" max="29" width="13" style="151" bestFit="1" customWidth="1"/>
    <col min="30" max="30" width="10.08203125" style="151" bestFit="1" customWidth="1"/>
    <col min="31" max="31" width="12" style="141" bestFit="1" customWidth="1"/>
    <col min="32" max="16384" width="11" style="141"/>
  </cols>
  <sheetData>
    <row r="1" spans="1:31" ht="22.5" customHeight="1" x14ac:dyDescent="0.35">
      <c r="A1" s="42" t="s">
        <v>80</v>
      </c>
      <c r="B1" s="42" t="s">
        <v>81</v>
      </c>
      <c r="C1" s="42" t="s">
        <v>82</v>
      </c>
      <c r="D1" s="42" t="s">
        <v>83</v>
      </c>
      <c r="E1" s="42" t="s">
        <v>84</v>
      </c>
      <c r="F1" s="14" t="s">
        <v>85</v>
      </c>
      <c r="G1" s="14" t="s">
        <v>86</v>
      </c>
      <c r="H1" s="14" t="s">
        <v>87</v>
      </c>
      <c r="I1" s="14" t="s">
        <v>88</v>
      </c>
      <c r="J1" s="14" t="s">
        <v>89</v>
      </c>
      <c r="K1" s="14" t="s">
        <v>90</v>
      </c>
      <c r="L1" s="14" t="s">
        <v>91</v>
      </c>
      <c r="M1" s="14" t="s">
        <v>92</v>
      </c>
      <c r="N1" s="14" t="s">
        <v>93</v>
      </c>
      <c r="O1" s="14" t="s">
        <v>94</v>
      </c>
      <c r="P1" s="44" t="s">
        <v>95</v>
      </c>
      <c r="Q1" s="15" t="s">
        <v>96</v>
      </c>
      <c r="R1" s="15" t="s">
        <v>97</v>
      </c>
      <c r="S1" s="15" t="s">
        <v>98</v>
      </c>
      <c r="T1" s="15" t="s">
        <v>99</v>
      </c>
      <c r="U1" s="15" t="s">
        <v>14</v>
      </c>
      <c r="V1" s="15" t="s">
        <v>100</v>
      </c>
      <c r="W1" s="16" t="s">
        <v>101</v>
      </c>
      <c r="X1" s="17" t="s">
        <v>102</v>
      </c>
      <c r="Y1" s="16" t="s">
        <v>103</v>
      </c>
      <c r="Z1" s="17" t="s">
        <v>57</v>
      </c>
      <c r="AA1" s="16" t="s">
        <v>103</v>
      </c>
      <c r="AB1" s="16" t="s">
        <v>37</v>
      </c>
      <c r="AC1" s="16" t="s">
        <v>38</v>
      </c>
      <c r="AD1" s="16" t="s">
        <v>39</v>
      </c>
      <c r="AE1" s="46" t="s">
        <v>104</v>
      </c>
    </row>
    <row r="2" spans="1:31" s="145" customFormat="1" ht="15.5" x14ac:dyDescent="0.25">
      <c r="A2" s="129" t="s">
        <v>105</v>
      </c>
      <c r="B2" s="130">
        <v>409</v>
      </c>
      <c r="C2" s="131" t="s">
        <v>175</v>
      </c>
      <c r="D2" s="131" t="s">
        <v>180</v>
      </c>
      <c r="E2" s="131" t="s">
        <v>183</v>
      </c>
      <c r="F2" s="18">
        <v>34.950000000000003</v>
      </c>
      <c r="G2" s="18">
        <v>4.03</v>
      </c>
      <c r="H2" s="38">
        <f t="shared" ref="H2:H32" si="0">F2+G2/2</f>
        <v>36.965000000000003</v>
      </c>
      <c r="I2" s="132">
        <f t="shared" ref="I2:I32" si="1">F2+G2</f>
        <v>38.980000000000004</v>
      </c>
      <c r="J2" s="133">
        <v>4284.42</v>
      </c>
      <c r="K2" s="134">
        <v>0</v>
      </c>
      <c r="L2" s="135">
        <v>0</v>
      </c>
      <c r="M2" s="135">
        <v>0</v>
      </c>
      <c r="N2" s="69">
        <f t="shared" ref="N2" si="2">O2-R2</f>
        <v>3855.9780000000001</v>
      </c>
      <c r="O2" s="39">
        <f t="shared" ref="O2" si="3">J2-(J2*K2)+L2+M2</f>
        <v>4284.42</v>
      </c>
      <c r="P2" s="136">
        <f t="shared" ref="P2" si="4">(N2-L2-M2)/H2</f>
        <v>104.31429730826457</v>
      </c>
      <c r="Q2" s="137">
        <f t="shared" ref="Q2" si="5">R2/O2</f>
        <v>0.1</v>
      </c>
      <c r="R2" s="138">
        <f t="shared" ref="R2" si="6">O2*0.1</f>
        <v>428.44200000000001</v>
      </c>
      <c r="S2" s="139">
        <v>0.8</v>
      </c>
      <c r="T2" s="138">
        <f t="shared" ref="T2:T32" si="7">S2*O2</f>
        <v>3427.5360000000001</v>
      </c>
      <c r="U2" s="140">
        <f t="shared" ref="U2:U32" si="8">100%-Q2-S2</f>
        <v>9.9999999999999978E-2</v>
      </c>
      <c r="V2" s="20">
        <f t="shared" ref="V2:V32" si="9">O2*U2</f>
        <v>428.44199999999989</v>
      </c>
      <c r="W2" s="142">
        <f ca="1">V2*VLOOKUP(TODAY(),'UF HOY'!$A$2:$B$33,2,0)</f>
        <v>17023688.721479997</v>
      </c>
      <c r="X2" s="143">
        <f>Datos!$E$4</f>
        <v>1</v>
      </c>
      <c r="Y2" s="144">
        <f ca="1">IF((W2-1000000-Datos!$D$4)/X2&gt;0,(W2-1000000-Datos!$D$4)/X2,0)</f>
        <v>15773688.721479997</v>
      </c>
      <c r="Z2" s="143">
        <f>Datos!$G$4</f>
        <v>36</v>
      </c>
      <c r="AA2" s="144">
        <f ca="1">IF((W2-1000000-Datos!$D$4)/Z2&gt;0,(W2-1000000-Datos!$D$4)/Z2,0)</f>
        <v>438158.02004111104</v>
      </c>
      <c r="AB2" s="142">
        <f>IF(L2&gt;0,VLOOKUP(D2,Datos!$C$13:$E$17,3,0),VLOOKUP(D2,Datos!$C$13:$E$17,2,0))</f>
        <v>450000</v>
      </c>
      <c r="AC2" s="144">
        <f ca="1">(S2*PMT(Datos!$H$13,Datos!$H$12,-O2,,)*VLOOKUP(TODAY(),'UF HOY'!$A$2:$B$33,2,0)/12)+VLOOKUP(TODAY(),'UF HOY'!$A$2:$B$33,2,0)</f>
        <v>696055.01092252065</v>
      </c>
      <c r="AD2" s="144">
        <f t="shared" ref="AD2:AD32" ca="1" si="10">AB2-AC2</f>
        <v>-246055.01092252065</v>
      </c>
      <c r="AE2" s="47">
        <f ca="1">IF((AC2/0.25)&lt;=1600000,1600000,(AC2/0.25))</f>
        <v>2784220.0436900826</v>
      </c>
    </row>
    <row r="3" spans="1:31" s="145" customFormat="1" ht="15.5" x14ac:dyDescent="0.25">
      <c r="A3" s="129" t="s">
        <v>105</v>
      </c>
      <c r="B3" s="129">
        <v>326</v>
      </c>
      <c r="C3" s="131" t="s">
        <v>176</v>
      </c>
      <c r="D3" s="131" t="s">
        <v>180</v>
      </c>
      <c r="E3" s="131" t="s">
        <v>184</v>
      </c>
      <c r="F3" s="18">
        <v>34.97</v>
      </c>
      <c r="G3" s="18">
        <v>7.91</v>
      </c>
      <c r="H3" s="38">
        <f t="shared" si="0"/>
        <v>38.924999999999997</v>
      </c>
      <c r="I3" s="132">
        <f t="shared" si="1"/>
        <v>42.879999999999995</v>
      </c>
      <c r="J3" s="133">
        <v>4301.2702643606008</v>
      </c>
      <c r="K3" s="134">
        <v>0</v>
      </c>
      <c r="L3" s="135">
        <v>0</v>
      </c>
      <c r="M3" s="135">
        <v>0</v>
      </c>
      <c r="N3" s="69">
        <f t="shared" ref="N3:N32" si="11">O3-R3</f>
        <v>3871.1432379245407</v>
      </c>
      <c r="O3" s="39">
        <f t="shared" ref="O3:O32" si="12">J3-(J3*K3)+L3+M3</f>
        <v>4301.2702643606008</v>
      </c>
      <c r="P3" s="136">
        <f t="shared" ref="P3:P32" si="13">(N3-L3-M3)/H3</f>
        <v>99.451335592152631</v>
      </c>
      <c r="Q3" s="137">
        <f t="shared" ref="Q3:Q32" si="14">R3/O3</f>
        <v>0.1</v>
      </c>
      <c r="R3" s="138">
        <f t="shared" ref="R3:R32" si="15">O3*0.1</f>
        <v>430.12702643606008</v>
      </c>
      <c r="S3" s="139">
        <v>0.8</v>
      </c>
      <c r="T3" s="138">
        <f t="shared" si="7"/>
        <v>3441.0162114884806</v>
      </c>
      <c r="U3" s="140">
        <f t="shared" si="8"/>
        <v>9.9999999999999978E-2</v>
      </c>
      <c r="V3" s="20">
        <f t="shared" si="9"/>
        <v>430.12702643605996</v>
      </c>
      <c r="W3" s="142">
        <f ca="1">V3*VLOOKUP(TODAY(),'UF HOY'!$A$2:$B$33,2,0)</f>
        <v>17090641.46078882</v>
      </c>
      <c r="X3" s="143">
        <f>Datos!$E$4</f>
        <v>1</v>
      </c>
      <c r="Y3" s="144">
        <f ca="1">IF((W3-1000000-Datos!$D$4)/X3&gt;0,(W3-1000000-Datos!$D$4)/X3,0)</f>
        <v>15840641.46078882</v>
      </c>
      <c r="Z3" s="143">
        <f>Datos!$G$4</f>
        <v>36</v>
      </c>
      <c r="AA3" s="144">
        <f ca="1">IF((W3-1000000-Datos!$D$4)/Z3&gt;0,(W3-1000000-Datos!$D$4)/Z3,0)</f>
        <v>440017.81835524499</v>
      </c>
      <c r="AB3" s="142">
        <f>IF(L3&gt;0,VLOOKUP(D3,Datos!$C$13:$E$17,3,0),VLOOKUP(D3,Datos!$C$13:$E$17,2,0))</f>
        <v>450000</v>
      </c>
      <c r="AC3" s="144">
        <f ca="1">(S3*PMT(Datos!$H$13,Datos!$H$12,-O3,,)*VLOOKUP(TODAY(),'UF HOY'!$A$2:$B$33,2,0)/12)+VLOOKUP(TODAY(),'UF HOY'!$A$2:$B$33,2,0)</f>
        <v>698636.26662352029</v>
      </c>
      <c r="AD3" s="144">
        <f t="shared" ca="1" si="10"/>
        <v>-248636.26662352029</v>
      </c>
      <c r="AE3" s="47">
        <f t="shared" ref="AE3:AE32" ca="1" si="16">IF((AC3/0.25)&lt;=1600000,1600000,(AC3/0.25))</f>
        <v>2794545.0664940812</v>
      </c>
    </row>
    <row r="4" spans="1:31" s="145" customFormat="1" ht="15.5" x14ac:dyDescent="0.25">
      <c r="A4" s="129" t="s">
        <v>105</v>
      </c>
      <c r="B4" s="130">
        <v>207</v>
      </c>
      <c r="C4" s="131" t="s">
        <v>175</v>
      </c>
      <c r="D4" s="131" t="s">
        <v>180</v>
      </c>
      <c r="E4" s="131" t="s">
        <v>184</v>
      </c>
      <c r="F4" s="18">
        <v>34.950000000000003</v>
      </c>
      <c r="G4" s="18">
        <v>6.92</v>
      </c>
      <c r="H4" s="38">
        <f t="shared" si="0"/>
        <v>38.410000000000004</v>
      </c>
      <c r="I4" s="132">
        <f t="shared" si="1"/>
        <v>41.870000000000005</v>
      </c>
      <c r="J4" s="133">
        <v>4310.68</v>
      </c>
      <c r="K4" s="134">
        <v>0</v>
      </c>
      <c r="L4" s="135">
        <v>0</v>
      </c>
      <c r="M4" s="135">
        <v>0</v>
      </c>
      <c r="N4" s="69">
        <f t="shared" si="11"/>
        <v>3879.6120000000001</v>
      </c>
      <c r="O4" s="39">
        <f t="shared" si="12"/>
        <v>4310.68</v>
      </c>
      <c r="P4" s="136">
        <f t="shared" si="13"/>
        <v>101.00525904712313</v>
      </c>
      <c r="Q4" s="137">
        <f t="shared" si="14"/>
        <v>0.1</v>
      </c>
      <c r="R4" s="138">
        <f t="shared" si="15"/>
        <v>431.06800000000004</v>
      </c>
      <c r="S4" s="139">
        <v>0.8</v>
      </c>
      <c r="T4" s="138">
        <f t="shared" si="7"/>
        <v>3448.5440000000003</v>
      </c>
      <c r="U4" s="140">
        <f t="shared" si="8"/>
        <v>9.9999999999999978E-2</v>
      </c>
      <c r="V4" s="20">
        <f t="shared" si="9"/>
        <v>431.06799999999993</v>
      </c>
      <c r="W4" s="142">
        <f ca="1">V4*VLOOKUP(TODAY(),'UF HOY'!$A$2:$B$33,2,0)</f>
        <v>17128030.04792</v>
      </c>
      <c r="X4" s="143">
        <f>Datos!$E$4</f>
        <v>1</v>
      </c>
      <c r="Y4" s="144">
        <f ca="1">IF((W4-1000000-Datos!$D$4)/X4&gt;0,(W4-1000000-Datos!$D$4)/X4,0)</f>
        <v>15878030.04792</v>
      </c>
      <c r="Z4" s="143">
        <f>Datos!$G$4</f>
        <v>36</v>
      </c>
      <c r="AA4" s="144">
        <f ca="1">IF((W4-1000000-Datos!$D$4)/Z4&gt;0,(W4-1000000-Datos!$D$4)/Z4,0)</f>
        <v>441056.39022</v>
      </c>
      <c r="AB4" s="142">
        <f>IF(L4&gt;0,VLOOKUP(D4,Datos!$C$13:$E$17,3,0),VLOOKUP(D4,Datos!$C$13:$E$17,2,0))</f>
        <v>450000</v>
      </c>
      <c r="AC4" s="144">
        <f ca="1">(S4*PMT(Datos!$H$13,Datos!$H$12,-O4,,)*VLOOKUP(TODAY(),'UF HOY'!$A$2:$B$33,2,0)/12)+VLOOKUP(TODAY(),'UF HOY'!$A$2:$B$33,2,0)</f>
        <v>700077.72375702928</v>
      </c>
      <c r="AD4" s="144">
        <f t="shared" ca="1" si="10"/>
        <v>-250077.72375702928</v>
      </c>
      <c r="AE4" s="47">
        <f t="shared" ca="1" si="16"/>
        <v>2800310.8950281171</v>
      </c>
    </row>
    <row r="5" spans="1:31" s="145" customFormat="1" ht="15.5" x14ac:dyDescent="0.25">
      <c r="A5" s="129" t="s">
        <v>105</v>
      </c>
      <c r="B5" s="130">
        <v>208</v>
      </c>
      <c r="C5" s="131" t="s">
        <v>175</v>
      </c>
      <c r="D5" s="131" t="s">
        <v>180</v>
      </c>
      <c r="E5" s="131" t="s">
        <v>184</v>
      </c>
      <c r="F5" s="18">
        <v>34.950000000000003</v>
      </c>
      <c r="G5" s="18">
        <v>6.92</v>
      </c>
      <c r="H5" s="38">
        <f t="shared" si="0"/>
        <v>38.410000000000004</v>
      </c>
      <c r="I5" s="132">
        <f t="shared" si="1"/>
        <v>41.870000000000005</v>
      </c>
      <c r="J5" s="133">
        <v>4310.68</v>
      </c>
      <c r="K5" s="134">
        <v>0</v>
      </c>
      <c r="L5" s="135">
        <v>0</v>
      </c>
      <c r="M5" s="135">
        <v>0</v>
      </c>
      <c r="N5" s="69">
        <f t="shared" si="11"/>
        <v>3879.6120000000001</v>
      </c>
      <c r="O5" s="39">
        <f t="shared" si="12"/>
        <v>4310.68</v>
      </c>
      <c r="P5" s="136">
        <f t="shared" si="13"/>
        <v>101.00525904712313</v>
      </c>
      <c r="Q5" s="137">
        <f t="shared" si="14"/>
        <v>0.1</v>
      </c>
      <c r="R5" s="138">
        <f t="shared" si="15"/>
        <v>431.06800000000004</v>
      </c>
      <c r="S5" s="139">
        <v>0.8</v>
      </c>
      <c r="T5" s="138">
        <f t="shared" si="7"/>
        <v>3448.5440000000003</v>
      </c>
      <c r="U5" s="140">
        <f t="shared" si="8"/>
        <v>9.9999999999999978E-2</v>
      </c>
      <c r="V5" s="20">
        <f t="shared" si="9"/>
        <v>431.06799999999993</v>
      </c>
      <c r="W5" s="142">
        <f ca="1">V5*VLOOKUP(TODAY(),'UF HOY'!$A$2:$B$33,2,0)</f>
        <v>17128030.04792</v>
      </c>
      <c r="X5" s="143">
        <f>Datos!$E$4</f>
        <v>1</v>
      </c>
      <c r="Y5" s="144">
        <f ca="1">IF((W5-1000000-Datos!$D$4)/X5&gt;0,(W5-1000000-Datos!$D$4)/X5,0)</f>
        <v>15878030.04792</v>
      </c>
      <c r="Z5" s="143">
        <f>Datos!$G$4</f>
        <v>36</v>
      </c>
      <c r="AA5" s="144">
        <f ca="1">IF((W5-1000000-Datos!$D$4)/Z5&gt;0,(W5-1000000-Datos!$D$4)/Z5,0)</f>
        <v>441056.39022</v>
      </c>
      <c r="AB5" s="142">
        <f>IF(L5&gt;0,VLOOKUP(D5,Datos!$C$13:$E$17,3,0),VLOOKUP(D5,Datos!$C$13:$E$17,2,0))</f>
        <v>450000</v>
      </c>
      <c r="AC5" s="144">
        <f ca="1">(S5*PMT(Datos!$H$13,Datos!$H$12,-O5,,)*VLOOKUP(TODAY(),'UF HOY'!$A$2:$B$33,2,0)/12)+VLOOKUP(TODAY(),'UF HOY'!$A$2:$B$33,2,0)</f>
        <v>700077.72375702928</v>
      </c>
      <c r="AD5" s="144">
        <f t="shared" ca="1" si="10"/>
        <v>-250077.72375702928</v>
      </c>
      <c r="AE5" s="47">
        <f t="shared" ca="1" si="16"/>
        <v>2800310.8950281171</v>
      </c>
    </row>
    <row r="6" spans="1:31" s="145" customFormat="1" ht="15.5" x14ac:dyDescent="0.25">
      <c r="A6" s="129" t="s">
        <v>105</v>
      </c>
      <c r="B6" s="130">
        <v>906</v>
      </c>
      <c r="C6" s="131" t="s">
        <v>175</v>
      </c>
      <c r="D6" s="131" t="s">
        <v>180</v>
      </c>
      <c r="E6" s="131" t="s">
        <v>184</v>
      </c>
      <c r="F6" s="18">
        <v>34.950000000000003</v>
      </c>
      <c r="G6" s="18">
        <v>6.92</v>
      </c>
      <c r="H6" s="38">
        <f t="shared" si="0"/>
        <v>38.410000000000004</v>
      </c>
      <c r="I6" s="132">
        <f t="shared" si="1"/>
        <v>41.870000000000005</v>
      </c>
      <c r="J6" s="133">
        <v>4310.68</v>
      </c>
      <c r="K6" s="134">
        <v>0</v>
      </c>
      <c r="L6" s="135">
        <v>0</v>
      </c>
      <c r="M6" s="135">
        <v>0</v>
      </c>
      <c r="N6" s="69">
        <f t="shared" si="11"/>
        <v>3879.6120000000001</v>
      </c>
      <c r="O6" s="39">
        <f t="shared" si="12"/>
        <v>4310.68</v>
      </c>
      <c r="P6" s="136">
        <f t="shared" si="13"/>
        <v>101.00525904712313</v>
      </c>
      <c r="Q6" s="137">
        <f t="shared" si="14"/>
        <v>0.1</v>
      </c>
      <c r="R6" s="138">
        <f t="shared" si="15"/>
        <v>431.06800000000004</v>
      </c>
      <c r="S6" s="139">
        <v>0.8</v>
      </c>
      <c r="T6" s="138">
        <f t="shared" si="7"/>
        <v>3448.5440000000003</v>
      </c>
      <c r="U6" s="140">
        <f t="shared" si="8"/>
        <v>9.9999999999999978E-2</v>
      </c>
      <c r="V6" s="20">
        <f t="shared" si="9"/>
        <v>431.06799999999993</v>
      </c>
      <c r="W6" s="142">
        <f ca="1">V6*VLOOKUP(TODAY(),'UF HOY'!$A$2:$B$33,2,0)</f>
        <v>17128030.04792</v>
      </c>
      <c r="X6" s="143">
        <f>Datos!$E$4</f>
        <v>1</v>
      </c>
      <c r="Y6" s="144">
        <f ca="1">IF((W6-1000000-Datos!$D$4)/X6&gt;0,(W6-1000000-Datos!$D$4)/X6,0)</f>
        <v>15878030.04792</v>
      </c>
      <c r="Z6" s="143">
        <f>Datos!$G$4</f>
        <v>36</v>
      </c>
      <c r="AA6" s="144">
        <f ca="1">IF((W6-1000000-Datos!$D$4)/Z6&gt;0,(W6-1000000-Datos!$D$4)/Z6,0)</f>
        <v>441056.39022</v>
      </c>
      <c r="AB6" s="142">
        <f>IF(L6&gt;0,VLOOKUP(D6,Datos!$C$13:$E$17,3,0),VLOOKUP(D6,Datos!$C$13:$E$17,2,0))</f>
        <v>450000</v>
      </c>
      <c r="AC6" s="144">
        <f ca="1">(S6*PMT(Datos!$H$13,Datos!$H$12,-O6,,)*VLOOKUP(TODAY(),'UF HOY'!$A$2:$B$33,2,0)/12)+VLOOKUP(TODAY(),'UF HOY'!$A$2:$B$33,2,0)</f>
        <v>700077.72375702928</v>
      </c>
      <c r="AD6" s="144">
        <f t="shared" ca="1" si="10"/>
        <v>-250077.72375702928</v>
      </c>
      <c r="AE6" s="47">
        <f t="shared" ca="1" si="16"/>
        <v>2800310.8950281171</v>
      </c>
    </row>
    <row r="7" spans="1:31" s="145" customFormat="1" ht="15.5" x14ac:dyDescent="0.25">
      <c r="A7" s="129" t="s">
        <v>105</v>
      </c>
      <c r="B7" s="130">
        <v>1007</v>
      </c>
      <c r="C7" s="131" t="s">
        <v>175</v>
      </c>
      <c r="D7" s="131" t="s">
        <v>180</v>
      </c>
      <c r="E7" s="131" t="s">
        <v>184</v>
      </c>
      <c r="F7" s="18">
        <v>34.950000000000003</v>
      </c>
      <c r="G7" s="18">
        <v>6.92</v>
      </c>
      <c r="H7" s="38">
        <f t="shared" si="0"/>
        <v>38.410000000000004</v>
      </c>
      <c r="I7" s="132">
        <f t="shared" si="1"/>
        <v>41.870000000000005</v>
      </c>
      <c r="J7" s="133">
        <v>4310.68</v>
      </c>
      <c r="K7" s="134">
        <v>0</v>
      </c>
      <c r="L7" s="135">
        <v>0</v>
      </c>
      <c r="M7" s="135">
        <v>0</v>
      </c>
      <c r="N7" s="69">
        <f t="shared" si="11"/>
        <v>3879.6120000000001</v>
      </c>
      <c r="O7" s="39">
        <f t="shared" si="12"/>
        <v>4310.68</v>
      </c>
      <c r="P7" s="136">
        <f t="shared" si="13"/>
        <v>101.00525904712313</v>
      </c>
      <c r="Q7" s="137">
        <f t="shared" si="14"/>
        <v>0.1</v>
      </c>
      <c r="R7" s="138">
        <f t="shared" si="15"/>
        <v>431.06800000000004</v>
      </c>
      <c r="S7" s="139">
        <v>0.8</v>
      </c>
      <c r="T7" s="138">
        <f t="shared" si="7"/>
        <v>3448.5440000000003</v>
      </c>
      <c r="U7" s="140">
        <f t="shared" si="8"/>
        <v>9.9999999999999978E-2</v>
      </c>
      <c r="V7" s="20">
        <f t="shared" si="9"/>
        <v>431.06799999999993</v>
      </c>
      <c r="W7" s="142">
        <f ca="1">V7*VLOOKUP(TODAY(),'UF HOY'!$A$2:$B$33,2,0)</f>
        <v>17128030.04792</v>
      </c>
      <c r="X7" s="143">
        <f>Datos!$E$4</f>
        <v>1</v>
      </c>
      <c r="Y7" s="144">
        <f ca="1">IF((W7-1000000-Datos!$D$4)/X7&gt;0,(W7-1000000-Datos!$D$4)/X7,0)</f>
        <v>15878030.04792</v>
      </c>
      <c r="Z7" s="143">
        <f>Datos!$G$4</f>
        <v>36</v>
      </c>
      <c r="AA7" s="144">
        <f ca="1">IF((W7-1000000-Datos!$D$4)/Z7&gt;0,(W7-1000000-Datos!$D$4)/Z7,0)</f>
        <v>441056.39022</v>
      </c>
      <c r="AB7" s="142">
        <f>IF(L7&gt;0,VLOOKUP(D7,Datos!$C$13:$E$17,3,0),VLOOKUP(D7,Datos!$C$13:$E$17,2,0))</f>
        <v>450000</v>
      </c>
      <c r="AC7" s="144">
        <f ca="1">(S7*PMT(Datos!$H$13,Datos!$H$12,-O7,,)*VLOOKUP(TODAY(),'UF HOY'!$A$2:$B$33,2,0)/12)+VLOOKUP(TODAY(),'UF HOY'!$A$2:$B$33,2,0)</f>
        <v>700077.72375702928</v>
      </c>
      <c r="AD7" s="144">
        <f t="shared" ca="1" si="10"/>
        <v>-250077.72375702928</v>
      </c>
      <c r="AE7" s="47">
        <f t="shared" ca="1" si="16"/>
        <v>2800310.8950281171</v>
      </c>
    </row>
    <row r="8" spans="1:31" s="145" customFormat="1" ht="15.5" x14ac:dyDescent="0.25">
      <c r="A8" s="129" t="s">
        <v>105</v>
      </c>
      <c r="B8" s="130">
        <v>1008</v>
      </c>
      <c r="C8" s="131" t="s">
        <v>175</v>
      </c>
      <c r="D8" s="131" t="s">
        <v>180</v>
      </c>
      <c r="E8" s="131" t="s">
        <v>184</v>
      </c>
      <c r="F8" s="18">
        <v>34.950000000000003</v>
      </c>
      <c r="G8" s="18">
        <v>6.92</v>
      </c>
      <c r="H8" s="38">
        <f t="shared" ref="H8" si="17">F8+G8/2</f>
        <v>38.410000000000004</v>
      </c>
      <c r="I8" s="132">
        <f t="shared" ref="I8" si="18">F8+G8</f>
        <v>41.870000000000005</v>
      </c>
      <c r="J8" s="133">
        <v>4310.68</v>
      </c>
      <c r="K8" s="134">
        <v>0</v>
      </c>
      <c r="L8" s="135">
        <v>0</v>
      </c>
      <c r="M8" s="135">
        <v>0</v>
      </c>
      <c r="N8" s="69">
        <f t="shared" si="11"/>
        <v>3879.6120000000001</v>
      </c>
      <c r="O8" s="39">
        <f t="shared" si="12"/>
        <v>4310.68</v>
      </c>
      <c r="P8" s="136">
        <f t="shared" si="13"/>
        <v>101.00525904712313</v>
      </c>
      <c r="Q8" s="137">
        <f t="shared" si="14"/>
        <v>0.1</v>
      </c>
      <c r="R8" s="138">
        <f t="shared" si="15"/>
        <v>431.06800000000004</v>
      </c>
      <c r="S8" s="139">
        <v>0.8</v>
      </c>
      <c r="T8" s="138">
        <f t="shared" ref="T8" si="19">S8*O8</f>
        <v>3448.5440000000003</v>
      </c>
      <c r="U8" s="140">
        <f t="shared" ref="U8" si="20">100%-Q8-S8</f>
        <v>9.9999999999999978E-2</v>
      </c>
      <c r="V8" s="20">
        <f t="shared" ref="V8" si="21">O8*U8</f>
        <v>431.06799999999993</v>
      </c>
      <c r="W8" s="142">
        <f ca="1">V8*VLOOKUP(TODAY(),'UF HOY'!$A$2:$B$33,2,0)</f>
        <v>17128030.04792</v>
      </c>
      <c r="X8" s="143">
        <f>Datos!$E$4</f>
        <v>1</v>
      </c>
      <c r="Y8" s="144">
        <f ca="1">IF((W8-1000000-Datos!$D$4)/X8&gt;0,(W8-1000000-Datos!$D$4)/X8,0)</f>
        <v>15878030.04792</v>
      </c>
      <c r="Z8" s="143">
        <f>Datos!$G$4</f>
        <v>36</v>
      </c>
      <c r="AA8" s="144">
        <f ca="1">IF((W8-1000000-Datos!$D$4)/Z8&gt;0,(W8-1000000-Datos!$D$4)/Z8,0)</f>
        <v>441056.39022</v>
      </c>
      <c r="AB8" s="142">
        <f>IF(L8&gt;0,VLOOKUP(D8,Datos!$C$13:$E$17,3,0),VLOOKUP(D8,Datos!$C$13:$E$17,2,0))</f>
        <v>450000</v>
      </c>
      <c r="AC8" s="144">
        <f ca="1">(S8*PMT(Datos!$H$13,Datos!$H$12,-O8,,)*VLOOKUP(TODAY(),'UF HOY'!$A$2:$B$33,2,0)/12)+VLOOKUP(TODAY(),'UF HOY'!$A$2:$B$33,2,0)</f>
        <v>700077.72375702928</v>
      </c>
      <c r="AD8" s="144">
        <f t="shared" ref="AD8" ca="1" si="22">AB8-AC8</f>
        <v>-250077.72375702928</v>
      </c>
      <c r="AE8" s="47">
        <f t="shared" ca="1" si="16"/>
        <v>2800310.8950281171</v>
      </c>
    </row>
    <row r="9" spans="1:31" s="145" customFormat="1" ht="15.5" x14ac:dyDescent="0.25">
      <c r="A9" s="129" t="s">
        <v>105</v>
      </c>
      <c r="B9" s="130">
        <v>1108</v>
      </c>
      <c r="C9" s="131" t="s">
        <v>175</v>
      </c>
      <c r="D9" s="131" t="s">
        <v>180</v>
      </c>
      <c r="E9" s="131" t="s">
        <v>184</v>
      </c>
      <c r="F9" s="18">
        <v>34.950000000000003</v>
      </c>
      <c r="G9" s="18">
        <v>6.92</v>
      </c>
      <c r="H9" s="38">
        <f t="shared" si="0"/>
        <v>38.410000000000004</v>
      </c>
      <c r="I9" s="132">
        <f t="shared" si="1"/>
        <v>41.870000000000005</v>
      </c>
      <c r="J9" s="133">
        <v>4310.68</v>
      </c>
      <c r="K9" s="134">
        <v>0</v>
      </c>
      <c r="L9" s="135">
        <v>0</v>
      </c>
      <c r="M9" s="135">
        <v>0</v>
      </c>
      <c r="N9" s="69">
        <f t="shared" si="11"/>
        <v>3879.6120000000001</v>
      </c>
      <c r="O9" s="39">
        <f t="shared" si="12"/>
        <v>4310.68</v>
      </c>
      <c r="P9" s="136">
        <f t="shared" si="13"/>
        <v>101.00525904712313</v>
      </c>
      <c r="Q9" s="137">
        <f t="shared" si="14"/>
        <v>0.1</v>
      </c>
      <c r="R9" s="138">
        <f t="shared" si="15"/>
        <v>431.06800000000004</v>
      </c>
      <c r="S9" s="139">
        <v>0.8</v>
      </c>
      <c r="T9" s="138">
        <f t="shared" si="7"/>
        <v>3448.5440000000003</v>
      </c>
      <c r="U9" s="140">
        <f t="shared" si="8"/>
        <v>9.9999999999999978E-2</v>
      </c>
      <c r="V9" s="20">
        <f t="shared" si="9"/>
        <v>431.06799999999993</v>
      </c>
      <c r="W9" s="142">
        <f ca="1">V9*VLOOKUP(TODAY(),'UF HOY'!$A$2:$B$33,2,0)</f>
        <v>17128030.04792</v>
      </c>
      <c r="X9" s="143">
        <f>Datos!$E$4</f>
        <v>1</v>
      </c>
      <c r="Y9" s="144">
        <f ca="1">IF((W9-1000000-Datos!$D$4)/X9&gt;0,(W9-1000000-Datos!$D$4)/X9,0)</f>
        <v>15878030.04792</v>
      </c>
      <c r="Z9" s="143">
        <f>Datos!$G$4</f>
        <v>36</v>
      </c>
      <c r="AA9" s="144">
        <f ca="1">IF((W9-1000000-Datos!$D$4)/Z9&gt;0,(W9-1000000-Datos!$D$4)/Z9,0)</f>
        <v>441056.39022</v>
      </c>
      <c r="AB9" s="142">
        <f>IF(L9&gt;0,VLOOKUP(D9,Datos!$C$13:$E$17,3,0),VLOOKUP(D9,Datos!$C$13:$E$17,2,0))</f>
        <v>450000</v>
      </c>
      <c r="AC9" s="144">
        <f ca="1">(S9*PMT(Datos!$H$13,Datos!$H$12,-O9,,)*VLOOKUP(TODAY(),'UF HOY'!$A$2:$B$33,2,0)/12)+VLOOKUP(TODAY(),'UF HOY'!$A$2:$B$33,2,0)</f>
        <v>700077.72375702928</v>
      </c>
      <c r="AD9" s="144">
        <f t="shared" ca="1" si="10"/>
        <v>-250077.72375702928</v>
      </c>
      <c r="AE9" s="47">
        <f t="shared" ca="1" si="16"/>
        <v>2800310.8950281171</v>
      </c>
    </row>
    <row r="10" spans="1:31" s="145" customFormat="1" ht="15.5" x14ac:dyDescent="0.25">
      <c r="A10" s="129" t="s">
        <v>105</v>
      </c>
      <c r="B10" s="130">
        <v>1208</v>
      </c>
      <c r="C10" s="131" t="s">
        <v>175</v>
      </c>
      <c r="D10" s="131" t="s">
        <v>180</v>
      </c>
      <c r="E10" s="131" t="s">
        <v>184</v>
      </c>
      <c r="F10" s="18">
        <v>34.950000000000003</v>
      </c>
      <c r="G10" s="18">
        <v>6.92</v>
      </c>
      <c r="H10" s="38">
        <f t="shared" si="0"/>
        <v>38.410000000000004</v>
      </c>
      <c r="I10" s="132">
        <f t="shared" si="1"/>
        <v>41.870000000000005</v>
      </c>
      <c r="J10" s="133">
        <v>4310.68</v>
      </c>
      <c r="K10" s="134">
        <v>0</v>
      </c>
      <c r="L10" s="135">
        <v>0</v>
      </c>
      <c r="M10" s="135">
        <v>0</v>
      </c>
      <c r="N10" s="69">
        <f t="shared" si="11"/>
        <v>3879.6120000000001</v>
      </c>
      <c r="O10" s="39">
        <f t="shared" si="12"/>
        <v>4310.68</v>
      </c>
      <c r="P10" s="136">
        <f t="shared" si="13"/>
        <v>101.00525904712313</v>
      </c>
      <c r="Q10" s="137">
        <f t="shared" si="14"/>
        <v>0.1</v>
      </c>
      <c r="R10" s="138">
        <f t="shared" si="15"/>
        <v>431.06800000000004</v>
      </c>
      <c r="S10" s="139">
        <v>0.8</v>
      </c>
      <c r="T10" s="138">
        <f t="shared" si="7"/>
        <v>3448.5440000000003</v>
      </c>
      <c r="U10" s="140">
        <f t="shared" si="8"/>
        <v>9.9999999999999978E-2</v>
      </c>
      <c r="V10" s="20">
        <f t="shared" si="9"/>
        <v>431.06799999999993</v>
      </c>
      <c r="W10" s="142">
        <f ca="1">V10*VLOOKUP(TODAY(),'UF HOY'!$A$2:$B$33,2,0)</f>
        <v>17128030.04792</v>
      </c>
      <c r="X10" s="143">
        <f>Datos!$E$4</f>
        <v>1</v>
      </c>
      <c r="Y10" s="144">
        <f ca="1">IF((W10-1000000-Datos!$D$4)/X10&gt;0,(W10-1000000-Datos!$D$4)/X10,0)</f>
        <v>15878030.04792</v>
      </c>
      <c r="Z10" s="143">
        <f>Datos!$G$4</f>
        <v>36</v>
      </c>
      <c r="AA10" s="144">
        <f ca="1">IF((W10-1000000-Datos!$D$4)/Z10&gt;0,(W10-1000000-Datos!$D$4)/Z10,0)</f>
        <v>441056.39022</v>
      </c>
      <c r="AB10" s="142">
        <f>IF(L10&gt;0,VLOOKUP(D10,Datos!$C$13:$E$17,3,0),VLOOKUP(D10,Datos!$C$13:$E$17,2,0))</f>
        <v>450000</v>
      </c>
      <c r="AC10" s="144">
        <f ca="1">(S10*PMT(Datos!$H$13,Datos!$H$12,-O10,,)*VLOOKUP(TODAY(),'UF HOY'!$A$2:$B$33,2,0)/12)+VLOOKUP(TODAY(),'UF HOY'!$A$2:$B$33,2,0)</f>
        <v>700077.72375702928</v>
      </c>
      <c r="AD10" s="144">
        <f t="shared" ca="1" si="10"/>
        <v>-250077.72375702928</v>
      </c>
      <c r="AE10" s="47">
        <f t="shared" ca="1" si="16"/>
        <v>2800310.8950281171</v>
      </c>
    </row>
    <row r="11" spans="1:31" s="145" customFormat="1" ht="15.5" x14ac:dyDescent="0.25">
      <c r="A11" s="129" t="s">
        <v>105</v>
      </c>
      <c r="B11" s="130">
        <v>1111</v>
      </c>
      <c r="C11" s="131" t="s">
        <v>177</v>
      </c>
      <c r="D11" s="131" t="s">
        <v>180</v>
      </c>
      <c r="E11" s="131" t="s">
        <v>183</v>
      </c>
      <c r="F11" s="18">
        <v>34.520000000000003</v>
      </c>
      <c r="G11" s="18">
        <v>8.1</v>
      </c>
      <c r="H11" s="38">
        <f t="shared" si="0"/>
        <v>38.57</v>
      </c>
      <c r="I11" s="132">
        <f t="shared" si="1"/>
        <v>42.620000000000005</v>
      </c>
      <c r="J11" s="133">
        <v>4349.0600000000004</v>
      </c>
      <c r="K11" s="134">
        <v>0</v>
      </c>
      <c r="L11" s="135">
        <v>0</v>
      </c>
      <c r="M11" s="135">
        <v>0</v>
      </c>
      <c r="N11" s="69">
        <f t="shared" si="11"/>
        <v>3914.1540000000005</v>
      </c>
      <c r="O11" s="39">
        <f t="shared" si="12"/>
        <v>4349.0600000000004</v>
      </c>
      <c r="P11" s="136">
        <f t="shared" si="13"/>
        <v>101.48182525278715</v>
      </c>
      <c r="Q11" s="137">
        <f t="shared" si="14"/>
        <v>0.1</v>
      </c>
      <c r="R11" s="138">
        <f t="shared" si="15"/>
        <v>434.90600000000006</v>
      </c>
      <c r="S11" s="139">
        <v>0.8</v>
      </c>
      <c r="T11" s="138">
        <f t="shared" si="7"/>
        <v>3479.2480000000005</v>
      </c>
      <c r="U11" s="140">
        <f t="shared" si="8"/>
        <v>9.9999999999999978E-2</v>
      </c>
      <c r="V11" s="20">
        <f t="shared" si="9"/>
        <v>434.90599999999995</v>
      </c>
      <c r="W11" s="142">
        <f ca="1">V11*VLOOKUP(TODAY(),'UF HOY'!$A$2:$B$33,2,0)</f>
        <v>17280528.909639999</v>
      </c>
      <c r="X11" s="143">
        <f>Datos!$E$4</f>
        <v>1</v>
      </c>
      <c r="Y11" s="144">
        <f ca="1">IF((W11-1000000-Datos!$D$4)/X11&gt;0,(W11-1000000-Datos!$D$4)/X11,0)</f>
        <v>16030528.909639999</v>
      </c>
      <c r="Z11" s="143">
        <f>Datos!$G$4</f>
        <v>36</v>
      </c>
      <c r="AA11" s="144">
        <f ca="1">IF((W11-1000000-Datos!$D$4)/Z11&gt;0,(W11-1000000-Datos!$D$4)/Z11,0)</f>
        <v>445292.46971222223</v>
      </c>
      <c r="AB11" s="142">
        <f>IF(L11&gt;0,VLOOKUP(D11,Datos!$C$13:$E$17,3,0),VLOOKUP(D11,Datos!$C$13:$E$17,2,0))</f>
        <v>450000</v>
      </c>
      <c r="AC11" s="144">
        <f ca="1">(S11*PMT(Datos!$H$13,Datos!$H$12,-O11,,)*VLOOKUP(TODAY(),'UF HOY'!$A$2:$B$33,2,0)/12)+VLOOKUP(TODAY(),'UF HOY'!$A$2:$B$33,2,0)</f>
        <v>705957.07328438805</v>
      </c>
      <c r="AD11" s="144">
        <f t="shared" ca="1" si="10"/>
        <v>-255957.07328438805</v>
      </c>
      <c r="AE11" s="47">
        <f t="shared" ca="1" si="16"/>
        <v>2823828.2931375522</v>
      </c>
    </row>
    <row r="12" spans="1:31" s="145" customFormat="1" ht="15.5" x14ac:dyDescent="0.25">
      <c r="A12" s="129" t="s">
        <v>105</v>
      </c>
      <c r="B12" s="129">
        <v>524</v>
      </c>
      <c r="C12" s="131" t="s">
        <v>176</v>
      </c>
      <c r="D12" s="131" t="s">
        <v>180</v>
      </c>
      <c r="E12" s="131" t="s">
        <v>184</v>
      </c>
      <c r="F12" s="18">
        <v>34.67</v>
      </c>
      <c r="G12" s="18">
        <v>7.91</v>
      </c>
      <c r="H12" s="38">
        <f t="shared" si="0"/>
        <v>38.625</v>
      </c>
      <c r="I12" s="132">
        <f t="shared" si="1"/>
        <v>42.58</v>
      </c>
      <c r="J12" s="133">
        <v>4362.9857159052999</v>
      </c>
      <c r="K12" s="134">
        <v>0</v>
      </c>
      <c r="L12" s="135">
        <v>0</v>
      </c>
      <c r="M12" s="135">
        <v>0</v>
      </c>
      <c r="N12" s="69">
        <f t="shared" si="11"/>
        <v>3926.6871443147697</v>
      </c>
      <c r="O12" s="39">
        <f t="shared" si="12"/>
        <v>4362.9857159052999</v>
      </c>
      <c r="P12" s="136">
        <f t="shared" si="13"/>
        <v>101.66180308905552</v>
      </c>
      <c r="Q12" s="137">
        <f t="shared" si="14"/>
        <v>0.1</v>
      </c>
      <c r="R12" s="138">
        <f t="shared" si="15"/>
        <v>436.29857159053</v>
      </c>
      <c r="S12" s="139">
        <v>0.8</v>
      </c>
      <c r="T12" s="138">
        <f t="shared" si="7"/>
        <v>3490.38857272424</v>
      </c>
      <c r="U12" s="140">
        <f t="shared" si="8"/>
        <v>9.9999999999999978E-2</v>
      </c>
      <c r="V12" s="20">
        <f t="shared" si="9"/>
        <v>436.29857159052989</v>
      </c>
      <c r="W12" s="142">
        <f ca="1">V12*VLOOKUP(TODAY(),'UF HOY'!$A$2:$B$33,2,0)</f>
        <v>17335861.265663821</v>
      </c>
      <c r="X12" s="143">
        <f>Datos!$E$4</f>
        <v>1</v>
      </c>
      <c r="Y12" s="144">
        <f ca="1">IF((W12-1000000-Datos!$D$4)/X12&gt;0,(W12-1000000-Datos!$D$4)/X12,0)</f>
        <v>16085861.265663821</v>
      </c>
      <c r="Z12" s="143">
        <f>Datos!$G$4</f>
        <v>36</v>
      </c>
      <c r="AA12" s="144">
        <f ca="1">IF((W12-1000000-Datos!$D$4)/Z12&gt;0,(W12-1000000-Datos!$D$4)/Z12,0)</f>
        <v>446829.47960177279</v>
      </c>
      <c r="AB12" s="142">
        <f>IF(L12&gt;0,VLOOKUP(D12,Datos!$C$13:$E$17,3,0),VLOOKUP(D12,Datos!$C$13:$E$17,2,0))</f>
        <v>450000</v>
      </c>
      <c r="AC12" s="144">
        <f ca="1">(S12*PMT(Datos!$H$13,Datos!$H$12,-O12,,)*VLOOKUP(TODAY(),'UF HOY'!$A$2:$B$33,2,0)/12)+VLOOKUP(TODAY(),'UF HOY'!$A$2:$B$33,2,0)</f>
        <v>708090.32370715914</v>
      </c>
      <c r="AD12" s="144">
        <f t="shared" ca="1" si="10"/>
        <v>-258090.32370715914</v>
      </c>
      <c r="AE12" s="47">
        <f t="shared" ca="1" si="16"/>
        <v>2832361.2948286366</v>
      </c>
    </row>
    <row r="13" spans="1:31" s="145" customFormat="1" ht="15.5" x14ac:dyDescent="0.25">
      <c r="A13" s="129" t="s">
        <v>105</v>
      </c>
      <c r="B13" s="130">
        <v>526</v>
      </c>
      <c r="C13" s="131" t="s">
        <v>176</v>
      </c>
      <c r="D13" s="131" t="s">
        <v>180</v>
      </c>
      <c r="E13" s="131" t="s">
        <v>184</v>
      </c>
      <c r="F13" s="18">
        <v>34.97</v>
      </c>
      <c r="G13" s="18">
        <v>7.91</v>
      </c>
      <c r="H13" s="38">
        <f t="shared" si="0"/>
        <v>38.924999999999997</v>
      </c>
      <c r="I13" s="132">
        <f t="shared" si="1"/>
        <v>42.879999999999995</v>
      </c>
      <c r="J13" s="133">
        <v>4362.9857159052999</v>
      </c>
      <c r="K13" s="134">
        <v>0</v>
      </c>
      <c r="L13" s="135">
        <v>0</v>
      </c>
      <c r="M13" s="135">
        <v>0</v>
      </c>
      <c r="N13" s="69">
        <f t="shared" si="11"/>
        <v>3926.6871443147697</v>
      </c>
      <c r="O13" s="39">
        <f t="shared" si="12"/>
        <v>4362.9857159052999</v>
      </c>
      <c r="P13" s="136">
        <f t="shared" si="13"/>
        <v>100.87828244867745</v>
      </c>
      <c r="Q13" s="137">
        <f t="shared" si="14"/>
        <v>0.1</v>
      </c>
      <c r="R13" s="138">
        <f t="shared" si="15"/>
        <v>436.29857159053</v>
      </c>
      <c r="S13" s="139">
        <v>0.8</v>
      </c>
      <c r="T13" s="138">
        <f t="shared" si="7"/>
        <v>3490.38857272424</v>
      </c>
      <c r="U13" s="140">
        <f t="shared" si="8"/>
        <v>9.9999999999999978E-2</v>
      </c>
      <c r="V13" s="20">
        <f t="shared" si="9"/>
        <v>436.29857159052989</v>
      </c>
      <c r="W13" s="142">
        <f ca="1">V13*VLOOKUP(TODAY(),'UF HOY'!$A$2:$B$33,2,0)</f>
        <v>17335861.265663821</v>
      </c>
      <c r="X13" s="143">
        <f>Datos!$E$4</f>
        <v>1</v>
      </c>
      <c r="Y13" s="144">
        <f ca="1">IF((W13-1000000-Datos!$D$4)/X13&gt;0,(W13-1000000-Datos!$D$4)/X13,0)</f>
        <v>16085861.265663821</v>
      </c>
      <c r="Z13" s="143">
        <f>Datos!$G$4</f>
        <v>36</v>
      </c>
      <c r="AA13" s="144">
        <f ca="1">IF((W13-1000000-Datos!$D$4)/Z13&gt;0,(W13-1000000-Datos!$D$4)/Z13,0)</f>
        <v>446829.47960177279</v>
      </c>
      <c r="AB13" s="142">
        <f>IF(L13&gt;0,VLOOKUP(D13,Datos!$C$13:$E$17,3,0),VLOOKUP(D13,Datos!$C$13:$E$17,2,0))</f>
        <v>450000</v>
      </c>
      <c r="AC13" s="144">
        <f ca="1">(S13*PMT(Datos!$H$13,Datos!$H$12,-O13,,)*VLOOKUP(TODAY(),'UF HOY'!$A$2:$B$33,2,0)/12)+VLOOKUP(TODAY(),'UF HOY'!$A$2:$B$33,2,0)</f>
        <v>708090.32370715914</v>
      </c>
      <c r="AD13" s="144">
        <f t="shared" ca="1" si="10"/>
        <v>-258090.32370715914</v>
      </c>
      <c r="AE13" s="47">
        <f t="shared" ca="1" si="16"/>
        <v>2832361.2948286366</v>
      </c>
    </row>
    <row r="14" spans="1:31" s="145" customFormat="1" ht="15.5" x14ac:dyDescent="0.25">
      <c r="A14" s="129" t="s">
        <v>105</v>
      </c>
      <c r="B14" s="130">
        <v>527</v>
      </c>
      <c r="C14" s="131" t="s">
        <v>176</v>
      </c>
      <c r="D14" s="131" t="s">
        <v>180</v>
      </c>
      <c r="E14" s="131" t="s">
        <v>184</v>
      </c>
      <c r="F14" s="18">
        <v>34.67</v>
      </c>
      <c r="G14" s="18">
        <v>7.91</v>
      </c>
      <c r="H14" s="38">
        <f t="shared" si="0"/>
        <v>38.625</v>
      </c>
      <c r="I14" s="132">
        <f t="shared" si="1"/>
        <v>42.58</v>
      </c>
      <c r="J14" s="133">
        <v>4362.9857159052999</v>
      </c>
      <c r="K14" s="134">
        <v>0</v>
      </c>
      <c r="L14" s="135">
        <v>0</v>
      </c>
      <c r="M14" s="135">
        <v>0</v>
      </c>
      <c r="N14" s="69">
        <f t="shared" si="11"/>
        <v>3926.6871443147697</v>
      </c>
      <c r="O14" s="39">
        <f t="shared" si="12"/>
        <v>4362.9857159052999</v>
      </c>
      <c r="P14" s="136">
        <f t="shared" si="13"/>
        <v>101.66180308905552</v>
      </c>
      <c r="Q14" s="137">
        <f t="shared" si="14"/>
        <v>0.1</v>
      </c>
      <c r="R14" s="138">
        <f t="shared" si="15"/>
        <v>436.29857159053</v>
      </c>
      <c r="S14" s="139">
        <v>0.8</v>
      </c>
      <c r="T14" s="138">
        <f t="shared" si="7"/>
        <v>3490.38857272424</v>
      </c>
      <c r="U14" s="140">
        <f t="shared" si="8"/>
        <v>9.9999999999999978E-2</v>
      </c>
      <c r="V14" s="20">
        <f t="shared" si="9"/>
        <v>436.29857159052989</v>
      </c>
      <c r="W14" s="142">
        <f ca="1">V14*VLOOKUP(TODAY(),'UF HOY'!$A$2:$B$33,2,0)</f>
        <v>17335861.265663821</v>
      </c>
      <c r="X14" s="143">
        <f>Datos!$E$4</f>
        <v>1</v>
      </c>
      <c r="Y14" s="144">
        <f ca="1">IF((W14-1000000-Datos!$D$4)/X14&gt;0,(W14-1000000-Datos!$D$4)/X14,0)</f>
        <v>16085861.265663821</v>
      </c>
      <c r="Z14" s="143">
        <f>Datos!$G$4</f>
        <v>36</v>
      </c>
      <c r="AA14" s="144">
        <f ca="1">IF((W14-1000000-Datos!$D$4)/Z14&gt;0,(W14-1000000-Datos!$D$4)/Z14,0)</f>
        <v>446829.47960177279</v>
      </c>
      <c r="AB14" s="142">
        <f>IF(L14&gt;0,VLOOKUP(D14,Datos!$C$13:$E$17,3,0),VLOOKUP(D14,Datos!$C$13:$E$17,2,0))</f>
        <v>450000</v>
      </c>
      <c r="AC14" s="144">
        <f ca="1">(S14*PMT(Datos!$H$13,Datos!$H$12,-O14,,)*VLOOKUP(TODAY(),'UF HOY'!$A$2:$B$33,2,0)/12)+VLOOKUP(TODAY(),'UF HOY'!$A$2:$B$33,2,0)</f>
        <v>708090.32370715914</v>
      </c>
      <c r="AD14" s="144">
        <f t="shared" ca="1" si="10"/>
        <v>-258090.32370715914</v>
      </c>
      <c r="AE14" s="47">
        <f t="shared" ca="1" si="16"/>
        <v>2832361.2948286366</v>
      </c>
    </row>
    <row r="15" spans="1:31" s="145" customFormat="1" ht="15.5" x14ac:dyDescent="0.25">
      <c r="A15" s="129" t="s">
        <v>105</v>
      </c>
      <c r="B15" s="130">
        <v>228</v>
      </c>
      <c r="C15" s="131" t="s">
        <v>176</v>
      </c>
      <c r="D15" s="131" t="s">
        <v>180</v>
      </c>
      <c r="E15" s="131" t="s">
        <v>184</v>
      </c>
      <c r="F15" s="18">
        <v>34.67</v>
      </c>
      <c r="G15" s="18">
        <v>7.91</v>
      </c>
      <c r="H15" s="38">
        <f t="shared" si="0"/>
        <v>38.625</v>
      </c>
      <c r="I15" s="132">
        <f t="shared" si="1"/>
        <v>42.58</v>
      </c>
      <c r="J15" s="133">
        <v>4373.3</v>
      </c>
      <c r="K15" s="134">
        <v>0</v>
      </c>
      <c r="L15" s="135">
        <v>0</v>
      </c>
      <c r="M15" s="135">
        <v>0</v>
      </c>
      <c r="N15" s="69">
        <f t="shared" si="11"/>
        <v>3935.9700000000003</v>
      </c>
      <c r="O15" s="39">
        <f t="shared" si="12"/>
        <v>4373.3</v>
      </c>
      <c r="P15" s="136">
        <f t="shared" si="13"/>
        <v>101.9021359223301</v>
      </c>
      <c r="Q15" s="137">
        <f t="shared" si="14"/>
        <v>0.1</v>
      </c>
      <c r="R15" s="138">
        <f t="shared" si="15"/>
        <v>437.33000000000004</v>
      </c>
      <c r="S15" s="139">
        <v>0.8</v>
      </c>
      <c r="T15" s="138">
        <f t="shared" si="7"/>
        <v>3498.6400000000003</v>
      </c>
      <c r="U15" s="140">
        <f t="shared" si="8"/>
        <v>9.9999999999999978E-2</v>
      </c>
      <c r="V15" s="20">
        <f t="shared" si="9"/>
        <v>437.32999999999993</v>
      </c>
      <c r="W15" s="142">
        <f ca="1">V15*VLOOKUP(TODAY(),'UF HOY'!$A$2:$B$33,2,0)</f>
        <v>17376843.980199996</v>
      </c>
      <c r="X15" s="143">
        <f>Datos!$E$4</f>
        <v>1</v>
      </c>
      <c r="Y15" s="144">
        <f ca="1">IF((W15-1000000-Datos!$D$4)/X15&gt;0,(W15-1000000-Datos!$D$4)/X15,0)</f>
        <v>16126843.980199996</v>
      </c>
      <c r="Z15" s="143">
        <f>Datos!$G$4</f>
        <v>36</v>
      </c>
      <c r="AA15" s="144">
        <f ca="1">IF((W15-1000000-Datos!$D$4)/Z15&gt;0,(W15-1000000-Datos!$D$4)/Z15,0)</f>
        <v>447967.88833888876</v>
      </c>
      <c r="AB15" s="142">
        <f>IF(L15&gt;0,VLOOKUP(D15,Datos!$C$13:$E$17,3,0),VLOOKUP(D15,Datos!$C$13:$E$17,2,0))</f>
        <v>450000</v>
      </c>
      <c r="AC15" s="144">
        <f ca="1">(S15*PMT(Datos!$H$13,Datos!$H$12,-O15,,)*VLOOKUP(TODAY(),'UF HOY'!$A$2:$B$33,2,0)/12)+VLOOKUP(TODAY(),'UF HOY'!$A$2:$B$33,2,0)</f>
        <v>709670.34667008836</v>
      </c>
      <c r="AD15" s="144">
        <f t="shared" ca="1" si="10"/>
        <v>-259670.34667008836</v>
      </c>
      <c r="AE15" s="47">
        <f t="shared" ca="1" si="16"/>
        <v>2838681.3866803534</v>
      </c>
    </row>
    <row r="16" spans="1:31" s="145" customFormat="1" ht="15.5" x14ac:dyDescent="0.25">
      <c r="A16" s="129" t="s">
        <v>105</v>
      </c>
      <c r="B16" s="130">
        <v>106</v>
      </c>
      <c r="C16" s="131" t="s">
        <v>175</v>
      </c>
      <c r="D16" s="131" t="s">
        <v>180</v>
      </c>
      <c r="E16" s="131" t="s">
        <v>185</v>
      </c>
      <c r="F16" s="18">
        <v>34.950000000000003</v>
      </c>
      <c r="G16" s="18">
        <v>29.72</v>
      </c>
      <c r="H16" s="38">
        <f t="shared" si="0"/>
        <v>49.81</v>
      </c>
      <c r="I16" s="132">
        <f t="shared" si="1"/>
        <v>64.67</v>
      </c>
      <c r="J16" s="133">
        <v>4444</v>
      </c>
      <c r="K16" s="134">
        <v>0</v>
      </c>
      <c r="L16" s="135">
        <v>0</v>
      </c>
      <c r="M16" s="135">
        <v>0</v>
      </c>
      <c r="N16" s="69">
        <f t="shared" si="11"/>
        <v>3999.6</v>
      </c>
      <c r="O16" s="39">
        <f t="shared" si="12"/>
        <v>4444</v>
      </c>
      <c r="P16" s="136">
        <f t="shared" si="13"/>
        <v>80.297129090544061</v>
      </c>
      <c r="Q16" s="137">
        <f t="shared" si="14"/>
        <v>0.1</v>
      </c>
      <c r="R16" s="138">
        <f t="shared" si="15"/>
        <v>444.40000000000003</v>
      </c>
      <c r="S16" s="139">
        <v>0.8</v>
      </c>
      <c r="T16" s="138">
        <f t="shared" si="7"/>
        <v>3555.2000000000003</v>
      </c>
      <c r="U16" s="140">
        <f t="shared" si="8"/>
        <v>9.9999999999999978E-2</v>
      </c>
      <c r="V16" s="20">
        <f t="shared" si="9"/>
        <v>444.39999999999992</v>
      </c>
      <c r="W16" s="142">
        <f ca="1">V16*VLOOKUP(TODAY(),'UF HOY'!$A$2:$B$33,2,0)</f>
        <v>17657762.935999997</v>
      </c>
      <c r="X16" s="143">
        <f>Datos!$E$4</f>
        <v>1</v>
      </c>
      <c r="Y16" s="144">
        <f ca="1">IF((W16-1000000-Datos!$D$4)/X16&gt;0,(W16-1000000-Datos!$D$4)/X16,0)</f>
        <v>16407762.935999997</v>
      </c>
      <c r="Z16" s="143">
        <f>Datos!$G$4</f>
        <v>36</v>
      </c>
      <c r="AA16" s="144">
        <f ca="1">IF((W16-1000000-Datos!$D$4)/Z16&gt;0,(W16-1000000-Datos!$D$4)/Z16,0)</f>
        <v>455771.19266666658</v>
      </c>
      <c r="AB16" s="142">
        <f>IF(L16&gt;0,VLOOKUP(D16,Datos!$C$13:$E$17,3,0),VLOOKUP(D16,Datos!$C$13:$E$17,2,0))</f>
        <v>450000</v>
      </c>
      <c r="AC16" s="144">
        <f ca="1">(S16*PMT(Datos!$H$13,Datos!$H$12,-O16,,)*VLOOKUP(TODAY(),'UF HOY'!$A$2:$B$33,2,0)/12)+VLOOKUP(TODAY(),'UF HOY'!$A$2:$B$33,2,0)</f>
        <v>720500.72737838072</v>
      </c>
      <c r="AD16" s="144">
        <f t="shared" ca="1" si="10"/>
        <v>-270500.72737838072</v>
      </c>
      <c r="AE16" s="47">
        <f t="shared" ca="1" si="16"/>
        <v>2882002.9095135229</v>
      </c>
    </row>
    <row r="17" spans="1:31" s="145" customFormat="1" ht="15.5" x14ac:dyDescent="0.25">
      <c r="A17" s="129" t="s">
        <v>105</v>
      </c>
      <c r="B17" s="130">
        <v>107</v>
      </c>
      <c r="C17" s="131" t="s">
        <v>175</v>
      </c>
      <c r="D17" s="131" t="s">
        <v>180</v>
      </c>
      <c r="E17" s="131" t="s">
        <v>185</v>
      </c>
      <c r="F17" s="18">
        <v>37.950000000000003</v>
      </c>
      <c r="G17" s="18">
        <v>29.72</v>
      </c>
      <c r="H17" s="38">
        <f t="shared" si="0"/>
        <v>52.81</v>
      </c>
      <c r="I17" s="132">
        <f t="shared" si="1"/>
        <v>67.67</v>
      </c>
      <c r="J17" s="133">
        <v>4444</v>
      </c>
      <c r="K17" s="134">
        <v>0</v>
      </c>
      <c r="L17" s="135">
        <v>0</v>
      </c>
      <c r="M17" s="135">
        <v>0</v>
      </c>
      <c r="N17" s="69">
        <f t="shared" si="11"/>
        <v>3999.6</v>
      </c>
      <c r="O17" s="39">
        <f t="shared" si="12"/>
        <v>4444</v>
      </c>
      <c r="P17" s="136">
        <f t="shared" si="13"/>
        <v>75.735656125733755</v>
      </c>
      <c r="Q17" s="137">
        <f t="shared" si="14"/>
        <v>0.1</v>
      </c>
      <c r="R17" s="138">
        <f t="shared" si="15"/>
        <v>444.40000000000003</v>
      </c>
      <c r="S17" s="139">
        <v>0.8</v>
      </c>
      <c r="T17" s="138">
        <f t="shared" si="7"/>
        <v>3555.2000000000003</v>
      </c>
      <c r="U17" s="140">
        <f t="shared" si="8"/>
        <v>9.9999999999999978E-2</v>
      </c>
      <c r="V17" s="20">
        <f t="shared" si="9"/>
        <v>444.39999999999992</v>
      </c>
      <c r="W17" s="142">
        <f ca="1">V17*VLOOKUP(TODAY(),'UF HOY'!$A$2:$B$33,2,0)</f>
        <v>17657762.935999997</v>
      </c>
      <c r="X17" s="143">
        <f>Datos!$E$4</f>
        <v>1</v>
      </c>
      <c r="Y17" s="144">
        <f ca="1">IF((W17-1000000-Datos!$D$4)/X17&gt;0,(W17-1000000-Datos!$D$4)/X17,0)</f>
        <v>16407762.935999997</v>
      </c>
      <c r="Z17" s="143">
        <f>Datos!$G$4</f>
        <v>36</v>
      </c>
      <c r="AA17" s="144">
        <f ca="1">IF((W17-1000000-Datos!$D$4)/Z17&gt;0,(W17-1000000-Datos!$D$4)/Z17,0)</f>
        <v>455771.19266666658</v>
      </c>
      <c r="AB17" s="142">
        <f>IF(L17&gt;0,VLOOKUP(D17,Datos!$C$13:$E$17,3,0),VLOOKUP(D17,Datos!$C$13:$E$17,2,0))</f>
        <v>450000</v>
      </c>
      <c r="AC17" s="144">
        <f ca="1">(S17*PMT(Datos!$H$13,Datos!$H$12,-O17,,)*VLOOKUP(TODAY(),'UF HOY'!$A$2:$B$33,2,0)/12)+VLOOKUP(TODAY(),'UF HOY'!$A$2:$B$33,2,0)</f>
        <v>720500.72737838072</v>
      </c>
      <c r="AD17" s="144">
        <f t="shared" ca="1" si="10"/>
        <v>-270500.72737838072</v>
      </c>
      <c r="AE17" s="47">
        <f t="shared" ca="1" si="16"/>
        <v>2882002.9095135229</v>
      </c>
    </row>
    <row r="18" spans="1:31" s="145" customFormat="1" ht="15.5" x14ac:dyDescent="0.25">
      <c r="A18" s="129" t="s">
        <v>105</v>
      </c>
      <c r="B18" s="130">
        <v>127</v>
      </c>
      <c r="C18" s="131" t="s">
        <v>176</v>
      </c>
      <c r="D18" s="131" t="s">
        <v>180</v>
      </c>
      <c r="E18" s="131" t="s">
        <v>185</v>
      </c>
      <c r="F18" s="18">
        <v>34.97</v>
      </c>
      <c r="G18" s="18">
        <v>31.470000000000002</v>
      </c>
      <c r="H18" s="38">
        <f t="shared" si="0"/>
        <v>50.704999999999998</v>
      </c>
      <c r="I18" s="132">
        <f t="shared" si="1"/>
        <v>66.44</v>
      </c>
      <c r="J18" s="133">
        <v>4597.5964531923</v>
      </c>
      <c r="K18" s="134">
        <v>0</v>
      </c>
      <c r="L18" s="135">
        <v>0</v>
      </c>
      <c r="M18" s="135">
        <v>0</v>
      </c>
      <c r="N18" s="69">
        <f t="shared" si="11"/>
        <v>4137.83680787307</v>
      </c>
      <c r="O18" s="39">
        <f t="shared" si="12"/>
        <v>4597.5964531923</v>
      </c>
      <c r="P18" s="136">
        <f t="shared" si="13"/>
        <v>81.606090284450644</v>
      </c>
      <c r="Q18" s="137">
        <f t="shared" si="14"/>
        <v>0.1</v>
      </c>
      <c r="R18" s="138">
        <f t="shared" si="15"/>
        <v>459.75964531923</v>
      </c>
      <c r="S18" s="139">
        <v>0.8</v>
      </c>
      <c r="T18" s="138">
        <f t="shared" si="7"/>
        <v>3678.07716255384</v>
      </c>
      <c r="U18" s="140">
        <f t="shared" si="8"/>
        <v>9.9999999999999978E-2</v>
      </c>
      <c r="V18" s="20">
        <f t="shared" si="9"/>
        <v>459.75964531922989</v>
      </c>
      <c r="W18" s="142">
        <f ca="1">V18*VLOOKUP(TODAY(),'UF HOY'!$A$2:$B$33,2,0)</f>
        <v>18268062.161535561</v>
      </c>
      <c r="X18" s="143">
        <f>Datos!$E$4</f>
        <v>1</v>
      </c>
      <c r="Y18" s="144">
        <f ca="1">IF((W18-1000000-Datos!$D$4)/X18&gt;0,(W18-1000000-Datos!$D$4)/X18,0)</f>
        <v>17018062.161535561</v>
      </c>
      <c r="Z18" s="143">
        <f>Datos!$G$4</f>
        <v>36</v>
      </c>
      <c r="AA18" s="144">
        <f ca="1">IF((W18-1000000-Datos!$D$4)/Z18&gt;0,(W18-1000000-Datos!$D$4)/Z18,0)</f>
        <v>472723.94893154339</v>
      </c>
      <c r="AB18" s="142">
        <f>IF(L18&gt;0,VLOOKUP(D18,Datos!$C$13:$E$17,3,0),VLOOKUP(D18,Datos!$C$13:$E$17,2,0))</f>
        <v>450000</v>
      </c>
      <c r="AC18" s="144">
        <f ca="1">(S18*PMT(Datos!$H$13,Datos!$H$12,-O18,,)*VLOOKUP(TODAY(),'UF HOY'!$A$2:$B$33,2,0)/12)+VLOOKUP(TODAY(),'UF HOY'!$A$2:$B$33,2,0)</f>
        <v>744029.83718765969</v>
      </c>
      <c r="AD18" s="144">
        <f t="shared" ca="1" si="10"/>
        <v>-294029.83718765969</v>
      </c>
      <c r="AE18" s="47">
        <f t="shared" ca="1" si="16"/>
        <v>2976119.3487506388</v>
      </c>
    </row>
    <row r="19" spans="1:31" s="145" customFormat="1" ht="15.5" x14ac:dyDescent="0.25">
      <c r="A19" s="129" t="s">
        <v>105</v>
      </c>
      <c r="B19" s="130">
        <v>420</v>
      </c>
      <c r="C19" s="131" t="s">
        <v>179</v>
      </c>
      <c r="D19" s="131" t="s">
        <v>182</v>
      </c>
      <c r="E19" s="131" t="s">
        <v>187</v>
      </c>
      <c r="F19" s="18">
        <v>48</v>
      </c>
      <c r="G19" s="18">
        <v>4.34</v>
      </c>
      <c r="H19" s="38">
        <f t="shared" si="0"/>
        <v>50.17</v>
      </c>
      <c r="I19" s="132">
        <f t="shared" si="1"/>
        <v>52.34</v>
      </c>
      <c r="J19" s="133">
        <v>4935.8388355713005</v>
      </c>
      <c r="K19" s="134">
        <v>0</v>
      </c>
      <c r="L19" s="135">
        <v>0</v>
      </c>
      <c r="M19" s="135">
        <v>0</v>
      </c>
      <c r="N19" s="69">
        <f t="shared" si="11"/>
        <v>4442.2549520141702</v>
      </c>
      <c r="O19" s="39">
        <f t="shared" si="12"/>
        <v>4935.8388355713005</v>
      </c>
      <c r="P19" s="136">
        <f t="shared" si="13"/>
        <v>88.544049272756027</v>
      </c>
      <c r="Q19" s="137">
        <f t="shared" si="14"/>
        <v>0.1</v>
      </c>
      <c r="R19" s="138">
        <f t="shared" si="15"/>
        <v>493.58388355713009</v>
      </c>
      <c r="S19" s="139">
        <v>0.8</v>
      </c>
      <c r="T19" s="138">
        <f t="shared" si="7"/>
        <v>3948.6710684570407</v>
      </c>
      <c r="U19" s="140">
        <f t="shared" si="8"/>
        <v>9.9999999999999978E-2</v>
      </c>
      <c r="V19" s="20">
        <f t="shared" si="9"/>
        <v>493.58388355712992</v>
      </c>
      <c r="W19" s="142">
        <f ca="1">V19*VLOOKUP(TODAY(),'UF HOY'!$A$2:$B$33,2,0)</f>
        <v>19612032.414225988</v>
      </c>
      <c r="X19" s="143">
        <f>Datos!$E$4</f>
        <v>1</v>
      </c>
      <c r="Y19" s="144">
        <f ca="1">IF((W19-1000000-Datos!$D$4)/X19&gt;0,(W19-1000000-Datos!$D$4)/X19,0)</f>
        <v>18362032.414225988</v>
      </c>
      <c r="Z19" s="143">
        <f>Datos!$G$4</f>
        <v>36</v>
      </c>
      <c r="AA19" s="144">
        <f ca="1">IF((W19-1000000-Datos!$D$4)/Z19&gt;0,(W19-1000000-Datos!$D$4)/Z19,0)</f>
        <v>510056.45595072187</v>
      </c>
      <c r="AB19" s="142">
        <f>IF(L19&gt;0,VLOOKUP(D19,Datos!$C$13:$E$17,3,0),VLOOKUP(D19,Datos!$C$13:$E$17,2,0))</f>
        <v>620000</v>
      </c>
      <c r="AC19" s="144">
        <f ca="1">(S19*PMT(Datos!$H$13,Datos!$H$12,-O19,,)*VLOOKUP(TODAY(),'UF HOY'!$A$2:$B$33,2,0)/12)+VLOOKUP(TODAY(),'UF HOY'!$A$2:$B$33,2,0)</f>
        <v>795844.45915151248</v>
      </c>
      <c r="AD19" s="144">
        <f t="shared" ca="1" si="10"/>
        <v>-175844.45915151248</v>
      </c>
      <c r="AE19" s="47">
        <f t="shared" ca="1" si="16"/>
        <v>3183377.8366060499</v>
      </c>
    </row>
    <row r="20" spans="1:31" s="145" customFormat="1" ht="15.5" x14ac:dyDescent="0.25">
      <c r="A20" s="129" t="s">
        <v>105</v>
      </c>
      <c r="B20" s="130">
        <v>620</v>
      </c>
      <c r="C20" s="131" t="s">
        <v>179</v>
      </c>
      <c r="D20" s="131" t="s">
        <v>182</v>
      </c>
      <c r="E20" s="131" t="s">
        <v>187</v>
      </c>
      <c r="F20" s="18">
        <v>48</v>
      </c>
      <c r="G20" s="18">
        <v>4.34</v>
      </c>
      <c r="H20" s="38">
        <f t="shared" si="0"/>
        <v>50.17</v>
      </c>
      <c r="I20" s="132">
        <f t="shared" si="1"/>
        <v>52.34</v>
      </c>
      <c r="J20" s="133">
        <v>4995.8006665562007</v>
      </c>
      <c r="K20" s="134">
        <v>0</v>
      </c>
      <c r="L20" s="135">
        <v>0</v>
      </c>
      <c r="M20" s="135">
        <v>0</v>
      </c>
      <c r="N20" s="69">
        <f t="shared" si="11"/>
        <v>4496.220599900581</v>
      </c>
      <c r="O20" s="39">
        <f t="shared" si="12"/>
        <v>4995.8006665562007</v>
      </c>
      <c r="P20" s="136">
        <f t="shared" si="13"/>
        <v>89.619705001008185</v>
      </c>
      <c r="Q20" s="137">
        <f t="shared" si="14"/>
        <v>0.1</v>
      </c>
      <c r="R20" s="138">
        <f t="shared" si="15"/>
        <v>499.5800666556201</v>
      </c>
      <c r="S20" s="139">
        <v>0.8</v>
      </c>
      <c r="T20" s="138">
        <f t="shared" si="7"/>
        <v>3996.6405332449608</v>
      </c>
      <c r="U20" s="140">
        <f t="shared" si="8"/>
        <v>9.9999999999999978E-2</v>
      </c>
      <c r="V20" s="20">
        <f t="shared" si="9"/>
        <v>499.58006665561993</v>
      </c>
      <c r="W20" s="142">
        <f ca="1">V20*VLOOKUP(TODAY(),'UF HOY'!$A$2:$B$33,2,0)</f>
        <v>19850284.393690404</v>
      </c>
      <c r="X20" s="143">
        <f>Datos!$E$4</f>
        <v>1</v>
      </c>
      <c r="Y20" s="144">
        <f ca="1">IF((W20-1000000-Datos!$D$4)/X20&gt;0,(W20-1000000-Datos!$D$4)/X20,0)</f>
        <v>18600284.393690404</v>
      </c>
      <c r="Z20" s="143">
        <f>Datos!$G$4</f>
        <v>36</v>
      </c>
      <c r="AA20" s="144">
        <f ca="1">IF((W20-1000000-Datos!$D$4)/Z20&gt;0,(W20-1000000-Datos!$D$4)/Z20,0)</f>
        <v>516674.56649140012</v>
      </c>
      <c r="AB20" s="142">
        <f>IF(L20&gt;0,VLOOKUP(D20,Datos!$C$13:$E$17,3,0),VLOOKUP(D20,Datos!$C$13:$E$17,2,0))</f>
        <v>620000</v>
      </c>
      <c r="AC20" s="144">
        <f ca="1">(S20*PMT(Datos!$H$13,Datos!$H$12,-O20,,)*VLOOKUP(TODAY(),'UF HOY'!$A$2:$B$33,2,0)/12)+VLOOKUP(TODAY(),'UF HOY'!$A$2:$B$33,2,0)</f>
        <v>805029.88287899131</v>
      </c>
      <c r="AD20" s="144">
        <f t="shared" ca="1" si="10"/>
        <v>-185029.88287899131</v>
      </c>
      <c r="AE20" s="47">
        <f t="shared" ca="1" si="16"/>
        <v>3220119.5315159652</v>
      </c>
    </row>
    <row r="21" spans="1:31" s="145" customFormat="1" ht="15.5" x14ac:dyDescent="0.25">
      <c r="A21" s="129" t="s">
        <v>105</v>
      </c>
      <c r="B21" s="129">
        <v>715</v>
      </c>
      <c r="C21" s="131" t="s">
        <v>179</v>
      </c>
      <c r="D21" s="131" t="s">
        <v>182</v>
      </c>
      <c r="E21" s="131" t="s">
        <v>187</v>
      </c>
      <c r="F21" s="18">
        <v>48</v>
      </c>
      <c r="G21" s="18">
        <v>5.48</v>
      </c>
      <c r="H21" s="38">
        <f t="shared" si="0"/>
        <v>50.74</v>
      </c>
      <c r="I21" s="132">
        <f t="shared" si="1"/>
        <v>53.480000000000004</v>
      </c>
      <c r="J21" s="133">
        <v>5025.7815820537007</v>
      </c>
      <c r="K21" s="134">
        <v>0</v>
      </c>
      <c r="L21" s="135">
        <v>0</v>
      </c>
      <c r="M21" s="135">
        <v>0</v>
      </c>
      <c r="N21" s="69">
        <f t="shared" si="11"/>
        <v>4523.2034238483302</v>
      </c>
      <c r="O21" s="39">
        <f t="shared" si="12"/>
        <v>5025.7815820537007</v>
      </c>
      <c r="P21" s="136">
        <f t="shared" si="13"/>
        <v>89.144726524405399</v>
      </c>
      <c r="Q21" s="137">
        <f t="shared" si="14"/>
        <v>0.1</v>
      </c>
      <c r="R21" s="138">
        <f t="shared" si="15"/>
        <v>502.57815820537007</v>
      </c>
      <c r="S21" s="139">
        <v>0.8</v>
      </c>
      <c r="T21" s="138">
        <f t="shared" si="7"/>
        <v>4020.6252656429606</v>
      </c>
      <c r="U21" s="140">
        <f t="shared" si="8"/>
        <v>9.9999999999999978E-2</v>
      </c>
      <c r="V21" s="20">
        <f t="shared" si="9"/>
        <v>502.57815820536996</v>
      </c>
      <c r="W21" s="142">
        <f ca="1">V21*VLOOKUP(TODAY(),'UF HOY'!$A$2:$B$33,2,0)</f>
        <v>19969410.383442678</v>
      </c>
      <c r="X21" s="143">
        <f>Datos!$E$4</f>
        <v>1</v>
      </c>
      <c r="Y21" s="144">
        <f ca="1">IF((W21-1000000-Datos!$D$4)/X21&gt;0,(W21-1000000-Datos!$D$4)/X21,0)</f>
        <v>18719410.383442678</v>
      </c>
      <c r="Z21" s="143">
        <f>Datos!$G$4</f>
        <v>36</v>
      </c>
      <c r="AA21" s="144">
        <f ca="1">IF((W21-1000000-Datos!$D$4)/Z21&gt;0,(W21-1000000-Datos!$D$4)/Z21,0)</f>
        <v>519983.62176229659</v>
      </c>
      <c r="AB21" s="142">
        <f>IF(L21&gt;0,VLOOKUP(D21,Datos!$C$13:$E$17,3,0),VLOOKUP(D21,Datos!$C$13:$E$17,2,0))</f>
        <v>620000</v>
      </c>
      <c r="AC21" s="144">
        <f ca="1">(S21*PMT(Datos!$H$13,Datos!$H$12,-O21,,)*VLOOKUP(TODAY(),'UF HOY'!$A$2:$B$33,2,0)/12)+VLOOKUP(TODAY(),'UF HOY'!$A$2:$B$33,2,0)</f>
        <v>809622.59474350419</v>
      </c>
      <c r="AD21" s="144">
        <f t="shared" ca="1" si="10"/>
        <v>-189622.59474350419</v>
      </c>
      <c r="AE21" s="47">
        <f t="shared" ca="1" si="16"/>
        <v>3238490.3789740168</v>
      </c>
    </row>
    <row r="22" spans="1:31" s="145" customFormat="1" ht="15.5" x14ac:dyDescent="0.25">
      <c r="A22" s="129" t="s">
        <v>105</v>
      </c>
      <c r="B22" s="130">
        <v>510</v>
      </c>
      <c r="C22" s="131" t="s">
        <v>178</v>
      </c>
      <c r="D22" s="131" t="s">
        <v>181</v>
      </c>
      <c r="E22" s="131" t="s">
        <v>186</v>
      </c>
      <c r="F22" s="18">
        <v>47.16</v>
      </c>
      <c r="G22" s="18">
        <v>6.35</v>
      </c>
      <c r="H22" s="38">
        <f t="shared" si="0"/>
        <v>50.334999999999994</v>
      </c>
      <c r="I22" s="132">
        <f t="shared" si="1"/>
        <v>53.51</v>
      </c>
      <c r="J22" s="133">
        <v>5050</v>
      </c>
      <c r="K22" s="134">
        <v>0</v>
      </c>
      <c r="L22" s="135">
        <v>0</v>
      </c>
      <c r="M22" s="135">
        <v>0</v>
      </c>
      <c r="N22" s="69">
        <f t="shared" si="11"/>
        <v>4545</v>
      </c>
      <c r="O22" s="39">
        <f t="shared" si="12"/>
        <v>5050</v>
      </c>
      <c r="P22" s="136">
        <f t="shared" si="13"/>
        <v>90.295023343597904</v>
      </c>
      <c r="Q22" s="137">
        <f t="shared" si="14"/>
        <v>0.1</v>
      </c>
      <c r="R22" s="138">
        <f t="shared" si="15"/>
        <v>505</v>
      </c>
      <c r="S22" s="139">
        <v>0.8</v>
      </c>
      <c r="T22" s="138">
        <f t="shared" si="7"/>
        <v>4040</v>
      </c>
      <c r="U22" s="140">
        <f t="shared" si="8"/>
        <v>9.9999999999999978E-2</v>
      </c>
      <c r="V22" s="20">
        <f t="shared" si="9"/>
        <v>504.99999999999989</v>
      </c>
      <c r="W22" s="142">
        <f ca="1">V22*VLOOKUP(TODAY(),'UF HOY'!$A$2:$B$33,2,0)</f>
        <v>20065639.699999996</v>
      </c>
      <c r="X22" s="143">
        <f>Datos!$E$4</f>
        <v>1</v>
      </c>
      <c r="Y22" s="144">
        <f ca="1">IF((W22-1000000-Datos!$D$4)/X22&gt;0,(W22-1000000-Datos!$D$4)/X22,0)</f>
        <v>18815639.699999996</v>
      </c>
      <c r="Z22" s="143">
        <f>Datos!$G$4</f>
        <v>36</v>
      </c>
      <c r="AA22" s="144">
        <f ca="1">IF((W22-1000000-Datos!$D$4)/Z22&gt;0,(W22-1000000-Datos!$D$4)/Z22,0)</f>
        <v>522656.65833333321</v>
      </c>
      <c r="AB22" s="142">
        <f>IF(L22&gt;0,VLOOKUP(D22,Datos!$C$13:$E$17,3,0),VLOOKUP(D22,Datos!$C$13:$E$17,2,0))</f>
        <v>520000</v>
      </c>
      <c r="AC22" s="144">
        <f ca="1">(S22*PMT(Datos!$H$13,Datos!$H$12,-O22,,)*VLOOKUP(TODAY(),'UF HOY'!$A$2:$B$33,2,0)/12)+VLOOKUP(TODAY(),'UF HOY'!$A$2:$B$33,2,0)</f>
        <v>813332.56202088716</v>
      </c>
      <c r="AD22" s="144">
        <f t="shared" ca="1" si="10"/>
        <v>-293332.56202088716</v>
      </c>
      <c r="AE22" s="47">
        <f t="shared" ca="1" si="16"/>
        <v>3253330.2480835486</v>
      </c>
    </row>
    <row r="23" spans="1:31" s="145" customFormat="1" ht="15.5" x14ac:dyDescent="0.25">
      <c r="A23" s="129" t="s">
        <v>105</v>
      </c>
      <c r="B23" s="130">
        <v>810</v>
      </c>
      <c r="C23" s="131" t="s">
        <v>178</v>
      </c>
      <c r="D23" s="131" t="s">
        <v>181</v>
      </c>
      <c r="E23" s="131" t="s">
        <v>186</v>
      </c>
      <c r="F23" s="18">
        <v>47.16</v>
      </c>
      <c r="G23" s="18">
        <v>6.35</v>
      </c>
      <c r="H23" s="38">
        <f t="shared" si="0"/>
        <v>50.334999999999994</v>
      </c>
      <c r="I23" s="132">
        <f t="shared" si="1"/>
        <v>53.51</v>
      </c>
      <c r="J23" s="133">
        <v>5050</v>
      </c>
      <c r="K23" s="134">
        <v>0</v>
      </c>
      <c r="L23" s="135">
        <v>0</v>
      </c>
      <c r="M23" s="135">
        <v>0</v>
      </c>
      <c r="N23" s="69">
        <f t="shared" si="11"/>
        <v>4545</v>
      </c>
      <c r="O23" s="39">
        <f t="shared" si="12"/>
        <v>5050</v>
      </c>
      <c r="P23" s="136">
        <f t="shared" si="13"/>
        <v>90.295023343597904</v>
      </c>
      <c r="Q23" s="137">
        <f t="shared" si="14"/>
        <v>0.1</v>
      </c>
      <c r="R23" s="138">
        <f t="shared" si="15"/>
        <v>505</v>
      </c>
      <c r="S23" s="139">
        <v>0.8</v>
      </c>
      <c r="T23" s="138">
        <f t="shared" si="7"/>
        <v>4040</v>
      </c>
      <c r="U23" s="140">
        <f t="shared" si="8"/>
        <v>9.9999999999999978E-2</v>
      </c>
      <c r="V23" s="20">
        <f t="shared" si="9"/>
        <v>504.99999999999989</v>
      </c>
      <c r="W23" s="142">
        <f ca="1">V23*VLOOKUP(TODAY(),'UF HOY'!$A$2:$B$33,2,0)</f>
        <v>20065639.699999996</v>
      </c>
      <c r="X23" s="143">
        <f>Datos!$E$4</f>
        <v>1</v>
      </c>
      <c r="Y23" s="144">
        <f ca="1">IF((W23-1000000-Datos!$D$4)/X23&gt;0,(W23-1000000-Datos!$D$4)/X23,0)</f>
        <v>18815639.699999996</v>
      </c>
      <c r="Z23" s="143">
        <f>Datos!$G$4</f>
        <v>36</v>
      </c>
      <c r="AA23" s="144">
        <f ca="1">IF((W23-1000000-Datos!$D$4)/Z23&gt;0,(W23-1000000-Datos!$D$4)/Z23,0)</f>
        <v>522656.65833333321</v>
      </c>
      <c r="AB23" s="142">
        <f>IF(L23&gt;0,VLOOKUP(D23,Datos!$C$13:$E$17,3,0),VLOOKUP(D23,Datos!$C$13:$E$17,2,0))</f>
        <v>520000</v>
      </c>
      <c r="AC23" s="144">
        <f ca="1">(S23*PMT(Datos!$H$13,Datos!$H$12,-O23,,)*VLOOKUP(TODAY(),'UF HOY'!$A$2:$B$33,2,0)/12)+VLOOKUP(TODAY(),'UF HOY'!$A$2:$B$33,2,0)</f>
        <v>813332.56202088716</v>
      </c>
      <c r="AD23" s="144">
        <f t="shared" ca="1" si="10"/>
        <v>-293332.56202088716</v>
      </c>
      <c r="AE23" s="47">
        <f t="shared" ca="1" si="16"/>
        <v>3253330.2480835486</v>
      </c>
    </row>
    <row r="24" spans="1:31" s="145" customFormat="1" ht="15.5" x14ac:dyDescent="0.25">
      <c r="A24" s="129" t="s">
        <v>105</v>
      </c>
      <c r="B24" s="130">
        <v>933</v>
      </c>
      <c r="C24" s="131" t="s">
        <v>175</v>
      </c>
      <c r="D24" s="131" t="s">
        <v>181</v>
      </c>
      <c r="E24" s="131" t="s">
        <v>188</v>
      </c>
      <c r="F24" s="18">
        <v>45.05</v>
      </c>
      <c r="G24" s="18">
        <v>7.28</v>
      </c>
      <c r="H24" s="38">
        <f t="shared" si="0"/>
        <v>48.69</v>
      </c>
      <c r="I24" s="132">
        <f t="shared" si="1"/>
        <v>52.33</v>
      </c>
      <c r="J24" s="133">
        <v>5050</v>
      </c>
      <c r="K24" s="134">
        <v>0</v>
      </c>
      <c r="L24" s="135">
        <v>0</v>
      </c>
      <c r="M24" s="135">
        <v>0</v>
      </c>
      <c r="N24" s="69">
        <f t="shared" si="11"/>
        <v>4545</v>
      </c>
      <c r="O24" s="39">
        <f t="shared" si="12"/>
        <v>5050</v>
      </c>
      <c r="P24" s="136">
        <f t="shared" si="13"/>
        <v>93.345656192236603</v>
      </c>
      <c r="Q24" s="137">
        <f t="shared" si="14"/>
        <v>0.1</v>
      </c>
      <c r="R24" s="138">
        <f t="shared" si="15"/>
        <v>505</v>
      </c>
      <c r="S24" s="139">
        <v>0.8</v>
      </c>
      <c r="T24" s="138">
        <f t="shared" si="7"/>
        <v>4040</v>
      </c>
      <c r="U24" s="140">
        <f t="shared" si="8"/>
        <v>9.9999999999999978E-2</v>
      </c>
      <c r="V24" s="20">
        <f t="shared" si="9"/>
        <v>504.99999999999989</v>
      </c>
      <c r="W24" s="142">
        <f ca="1">V24*VLOOKUP(TODAY(),'UF HOY'!$A$2:$B$33,2,0)</f>
        <v>20065639.699999996</v>
      </c>
      <c r="X24" s="143">
        <f>Datos!$E$4</f>
        <v>1</v>
      </c>
      <c r="Y24" s="144">
        <f ca="1">IF((W24-1000000-Datos!$D$4)/X24&gt;0,(W24-1000000-Datos!$D$4)/X24,0)</f>
        <v>18815639.699999996</v>
      </c>
      <c r="Z24" s="143">
        <f>Datos!$G$4</f>
        <v>36</v>
      </c>
      <c r="AA24" s="144">
        <f ca="1">IF((W24-1000000-Datos!$D$4)/Z24&gt;0,(W24-1000000-Datos!$D$4)/Z24,0)</f>
        <v>522656.65833333321</v>
      </c>
      <c r="AB24" s="142">
        <f>IF(L24&gt;0,VLOOKUP(D24,Datos!$C$13:$E$17,3,0),VLOOKUP(D24,Datos!$C$13:$E$17,2,0))</f>
        <v>520000</v>
      </c>
      <c r="AC24" s="144">
        <f ca="1">(S24*PMT(Datos!$H$13,Datos!$H$12,-O24,,)*VLOOKUP(TODAY(),'UF HOY'!$A$2:$B$33,2,0)/12)+VLOOKUP(TODAY(),'UF HOY'!$A$2:$B$33,2,0)</f>
        <v>813332.56202088716</v>
      </c>
      <c r="AD24" s="144">
        <f t="shared" ca="1" si="10"/>
        <v>-293332.56202088716</v>
      </c>
      <c r="AE24" s="47">
        <f t="shared" ca="1" si="16"/>
        <v>3253330.2480835486</v>
      </c>
    </row>
    <row r="25" spans="1:31" s="145" customFormat="1" ht="15.5" x14ac:dyDescent="0.25">
      <c r="A25" s="129" t="s">
        <v>105</v>
      </c>
      <c r="B25" s="130">
        <v>124</v>
      </c>
      <c r="C25" s="131" t="s">
        <v>176</v>
      </c>
      <c r="D25" s="131" t="s">
        <v>180</v>
      </c>
      <c r="E25" s="131" t="s">
        <v>185</v>
      </c>
      <c r="F25" s="18">
        <v>34.67</v>
      </c>
      <c r="G25" s="18">
        <v>37.929999999999993</v>
      </c>
      <c r="H25" s="38">
        <f t="shared" si="0"/>
        <v>53.634999999999998</v>
      </c>
      <c r="I25" s="132">
        <f t="shared" si="1"/>
        <v>72.599999999999994</v>
      </c>
      <c r="J25" s="133">
        <v>5165.1400000000003</v>
      </c>
      <c r="K25" s="134">
        <v>0</v>
      </c>
      <c r="L25" s="135">
        <v>0</v>
      </c>
      <c r="M25" s="135">
        <v>0</v>
      </c>
      <c r="N25" s="69">
        <f t="shared" si="11"/>
        <v>4648.6260000000002</v>
      </c>
      <c r="O25" s="39">
        <f t="shared" si="12"/>
        <v>5165.1400000000003</v>
      </c>
      <c r="P25" s="136">
        <f t="shared" si="13"/>
        <v>86.671501817842838</v>
      </c>
      <c r="Q25" s="137">
        <f t="shared" si="14"/>
        <v>9.9999999999999992E-2</v>
      </c>
      <c r="R25" s="138">
        <f t="shared" si="15"/>
        <v>516.51400000000001</v>
      </c>
      <c r="S25" s="139">
        <v>0.8</v>
      </c>
      <c r="T25" s="138">
        <f t="shared" si="7"/>
        <v>4132.1120000000001</v>
      </c>
      <c r="U25" s="140">
        <f t="shared" si="8"/>
        <v>9.9999999999999978E-2</v>
      </c>
      <c r="V25" s="20">
        <f t="shared" si="9"/>
        <v>516.5139999999999</v>
      </c>
      <c r="W25" s="142">
        <f ca="1">V25*VLOOKUP(TODAY(),'UF HOY'!$A$2:$B$33,2,0)</f>
        <v>20523136.285159998</v>
      </c>
      <c r="X25" s="143">
        <f>Datos!$E$4</f>
        <v>1</v>
      </c>
      <c r="Y25" s="144">
        <f ca="1">IF((W25-1000000-Datos!$D$4)/X25&gt;0,(W25-1000000-Datos!$D$4)/X25,0)</f>
        <v>19273136.285159998</v>
      </c>
      <c r="Z25" s="143">
        <f>Datos!$G$4</f>
        <v>36</v>
      </c>
      <c r="AA25" s="144">
        <f ca="1">IF((W25-1000000-Datos!$D$4)/Z25&gt;0,(W25-1000000-Datos!$D$4)/Z25,0)</f>
        <v>535364.89680999995</v>
      </c>
      <c r="AB25" s="142">
        <f>IF(L25&gt;0,VLOOKUP(D25,Datos!$C$13:$E$17,3,0),VLOOKUP(D25,Datos!$C$13:$E$17,2,0))</f>
        <v>450000</v>
      </c>
      <c r="AC25" s="144">
        <f ca="1">(S25*PMT(Datos!$H$13,Datos!$H$12,-O25,,)*VLOOKUP(TODAY(),'UF HOY'!$A$2:$B$33,2,0)/12)+VLOOKUP(TODAY(),'UF HOY'!$A$2:$B$33,2,0)</f>
        <v>830970.61060296348</v>
      </c>
      <c r="AD25" s="144">
        <f t="shared" ca="1" si="10"/>
        <v>-380970.61060296348</v>
      </c>
      <c r="AE25" s="47">
        <f t="shared" ca="1" si="16"/>
        <v>3323882.4424118539</v>
      </c>
    </row>
    <row r="26" spans="1:31" s="145" customFormat="1" ht="15.5" x14ac:dyDescent="0.25">
      <c r="A26" s="129" t="s">
        <v>105</v>
      </c>
      <c r="B26" s="130">
        <v>714</v>
      </c>
      <c r="C26" s="131" t="s">
        <v>174</v>
      </c>
      <c r="D26" s="131" t="s">
        <v>182</v>
      </c>
      <c r="E26" s="131" t="s">
        <v>187</v>
      </c>
      <c r="F26" s="18">
        <v>48</v>
      </c>
      <c r="G26" s="18">
        <v>9</v>
      </c>
      <c r="H26" s="38">
        <f t="shared" si="0"/>
        <v>52.5</v>
      </c>
      <c r="I26" s="132">
        <f t="shared" si="1"/>
        <v>57</v>
      </c>
      <c r="J26" s="133">
        <v>5172.3421343206001</v>
      </c>
      <c r="K26" s="134">
        <v>0</v>
      </c>
      <c r="L26" s="135">
        <v>0</v>
      </c>
      <c r="M26" s="135">
        <v>0</v>
      </c>
      <c r="N26" s="69">
        <f t="shared" si="11"/>
        <v>4655.1079208885403</v>
      </c>
      <c r="O26" s="39">
        <f t="shared" si="12"/>
        <v>5172.3421343206001</v>
      </c>
      <c r="P26" s="136">
        <f t="shared" si="13"/>
        <v>88.668722302638869</v>
      </c>
      <c r="Q26" s="137">
        <f t="shared" si="14"/>
        <v>0.10000000000000002</v>
      </c>
      <c r="R26" s="138">
        <f t="shared" si="15"/>
        <v>517.23421343206007</v>
      </c>
      <c r="S26" s="139">
        <v>0.8</v>
      </c>
      <c r="T26" s="138">
        <f t="shared" si="7"/>
        <v>4137.8737074564806</v>
      </c>
      <c r="U26" s="140">
        <f t="shared" si="8"/>
        <v>9.9999999999999978E-2</v>
      </c>
      <c r="V26" s="20">
        <f t="shared" si="9"/>
        <v>517.23421343205985</v>
      </c>
      <c r="W26" s="142">
        <f ca="1">V26*VLOOKUP(TODAY(),'UF HOY'!$A$2:$B$33,2,0)</f>
        <v>20551753.202456661</v>
      </c>
      <c r="X26" s="143">
        <f>Datos!$E$4</f>
        <v>1</v>
      </c>
      <c r="Y26" s="144">
        <f ca="1">IF((W26-1000000-Datos!$D$4)/X26&gt;0,(W26-1000000-Datos!$D$4)/X26,0)</f>
        <v>19301753.202456661</v>
      </c>
      <c r="Z26" s="143">
        <f>Datos!$G$4</f>
        <v>36</v>
      </c>
      <c r="AA26" s="144">
        <f ca="1">IF((W26-1000000-Datos!$D$4)/Z26&gt;0,(W26-1000000-Datos!$D$4)/Z26,0)</f>
        <v>536159.81117935164</v>
      </c>
      <c r="AB26" s="142">
        <f>IF(L26&gt;0,VLOOKUP(D26,Datos!$C$13:$E$17,3,0),VLOOKUP(D26,Datos!$C$13:$E$17,2,0))</f>
        <v>620000</v>
      </c>
      <c r="AC26" s="144">
        <f ca="1">(S26*PMT(Datos!$H$13,Datos!$H$12,-O26,,)*VLOOKUP(TODAY(),'UF HOY'!$A$2:$B$33,2,0)/12)+VLOOKUP(TODAY(),'UF HOY'!$A$2:$B$33,2,0)</f>
        <v>832073.89004574064</v>
      </c>
      <c r="AD26" s="144">
        <f t="shared" ca="1" si="10"/>
        <v>-212073.89004574064</v>
      </c>
      <c r="AE26" s="47">
        <f t="shared" ca="1" si="16"/>
        <v>3328295.5601829626</v>
      </c>
    </row>
    <row r="27" spans="1:31" customFormat="1" ht="15.5" x14ac:dyDescent="0.35">
      <c r="A27" s="129" t="s">
        <v>105</v>
      </c>
      <c r="B27" s="45">
        <v>819</v>
      </c>
      <c r="C27" s="18" t="s">
        <v>174</v>
      </c>
      <c r="D27" s="18" t="s">
        <v>182</v>
      </c>
      <c r="E27" s="18" t="s">
        <v>187</v>
      </c>
      <c r="F27" s="18">
        <v>48</v>
      </c>
      <c r="G27" s="18">
        <v>9.1300000000000008</v>
      </c>
      <c r="H27" s="38">
        <f t="shared" ref="H27" si="23">F27+G27/2</f>
        <v>52.564999999999998</v>
      </c>
      <c r="I27" s="38">
        <f t="shared" ref="I27" si="24">F27+G27</f>
        <v>57.13</v>
      </c>
      <c r="J27" s="19">
        <v>5208.3192329175999</v>
      </c>
      <c r="K27" s="134">
        <v>0</v>
      </c>
      <c r="L27" s="135">
        <v>0</v>
      </c>
      <c r="M27" s="135">
        <v>0</v>
      </c>
      <c r="N27" s="69">
        <f t="shared" si="11"/>
        <v>4687.4873096258398</v>
      </c>
      <c r="O27" s="39">
        <f t="shared" si="12"/>
        <v>5208.3192329175999</v>
      </c>
      <c r="P27" s="136">
        <f t="shared" si="13"/>
        <v>89.175065340546752</v>
      </c>
      <c r="Q27" s="137">
        <f t="shared" si="14"/>
        <v>0.10000000000000002</v>
      </c>
      <c r="R27" s="138">
        <f t="shared" si="15"/>
        <v>520.83192329176006</v>
      </c>
      <c r="S27" s="139">
        <v>0.8</v>
      </c>
      <c r="T27" s="20">
        <f t="shared" ref="T27" si="25">S27*O27</f>
        <v>4166.6553863340805</v>
      </c>
      <c r="U27" s="21">
        <f t="shared" ref="U27" si="26">100%-Q27-S27</f>
        <v>9.9999999999999978E-2</v>
      </c>
      <c r="V27" s="20">
        <f t="shared" ref="V27" si="27">O27*U27</f>
        <v>520.83192329175984</v>
      </c>
      <c r="W27" s="22">
        <f ca="1">V27*VLOOKUP(TODAY(),'UF HOY'!$A$2:$B$33,2,0)</f>
        <v>20694704.390159391</v>
      </c>
      <c r="X27" s="23">
        <f>Datos!$E$4</f>
        <v>1</v>
      </c>
      <c r="Y27" s="24">
        <f ca="1">IF((W27-1000000-Datos!$D$4)/X27&gt;0,(W27-1000000-Datos!$D$4)/X27,0)</f>
        <v>19444704.390159391</v>
      </c>
      <c r="Z27" s="23">
        <f>Datos!$G$4</f>
        <v>36</v>
      </c>
      <c r="AA27" s="24">
        <f ca="1">IF((W27-1000000-Datos!$D$4)/Z27&gt;0,(W27-1000000-Datos!$D$4)/Z27,0)</f>
        <v>540130.6775044275</v>
      </c>
      <c r="AB27" s="22">
        <f>IF(L27&gt;0,VLOOKUP(D27,Datos!$C$13:$E$17,3,0),VLOOKUP(D27,Datos!$C$13:$E$17,2,0))</f>
        <v>620000</v>
      </c>
      <c r="AC27" s="24">
        <f ca="1">(S27*PMT(Datos!$H$13,Datos!$H$12,-O27,,)*VLOOKUP(TODAY(),'UF HOY'!$A$2:$B$33,2,0)/12)+VLOOKUP(TODAY(),'UF HOY'!$A$2:$B$33,2,0)</f>
        <v>837585.14428315638</v>
      </c>
      <c r="AD27" s="24">
        <f t="shared" ref="AD27" ca="1" si="28">AB27-AC27</f>
        <v>-217585.14428315638</v>
      </c>
      <c r="AE27" s="47">
        <f t="shared" ca="1" si="16"/>
        <v>3350340.5771326255</v>
      </c>
    </row>
    <row r="28" spans="1:31" customFormat="1" ht="15.5" x14ac:dyDescent="0.35">
      <c r="A28" s="129" t="s">
        <v>105</v>
      </c>
      <c r="B28" s="45">
        <v>1210</v>
      </c>
      <c r="C28" s="18" t="s">
        <v>178</v>
      </c>
      <c r="D28" s="18" t="s">
        <v>181</v>
      </c>
      <c r="E28" s="18" t="s">
        <v>186</v>
      </c>
      <c r="F28" s="18">
        <v>47.16</v>
      </c>
      <c r="G28" s="18">
        <v>10.4</v>
      </c>
      <c r="H28" s="38">
        <f t="shared" si="0"/>
        <v>52.36</v>
      </c>
      <c r="I28" s="38">
        <f t="shared" si="1"/>
        <v>57.559999999999995</v>
      </c>
      <c r="J28" s="19">
        <v>5311.9263581891</v>
      </c>
      <c r="K28" s="134">
        <v>0</v>
      </c>
      <c r="L28" s="135">
        <v>0</v>
      </c>
      <c r="M28" s="135">
        <v>0</v>
      </c>
      <c r="N28" s="69">
        <f t="shared" si="11"/>
        <v>4780.7337223701898</v>
      </c>
      <c r="O28" s="39">
        <f t="shared" si="12"/>
        <v>5311.9263581891</v>
      </c>
      <c r="P28" s="136">
        <f t="shared" si="13"/>
        <v>91.30507491157735</v>
      </c>
      <c r="Q28" s="137">
        <f t="shared" si="14"/>
        <v>0.1</v>
      </c>
      <c r="R28" s="138">
        <f t="shared" si="15"/>
        <v>531.19263581891005</v>
      </c>
      <c r="S28" s="139">
        <v>0.8</v>
      </c>
      <c r="T28" s="20">
        <f t="shared" si="7"/>
        <v>4249.5410865512804</v>
      </c>
      <c r="U28" s="21">
        <f t="shared" si="8"/>
        <v>9.9999999999999978E-2</v>
      </c>
      <c r="V28" s="20">
        <f t="shared" si="9"/>
        <v>531.19263581890993</v>
      </c>
      <c r="W28" s="22">
        <f ca="1">V28*VLOOKUP(TODAY(),'UF HOY'!$A$2:$B$33,2,0)</f>
        <v>21106376.320070419</v>
      </c>
      <c r="X28" s="23">
        <f>Datos!$E$4</f>
        <v>1</v>
      </c>
      <c r="Y28" s="24">
        <f ca="1">IF((W28-1000000-Datos!$D$4)/X28&gt;0,(W28-1000000-Datos!$D$4)/X28,0)</f>
        <v>19856376.320070419</v>
      </c>
      <c r="Z28" s="23">
        <f>Datos!$G$4</f>
        <v>36</v>
      </c>
      <c r="AA28" s="24">
        <f ca="1">IF((W28-1000000-Datos!$D$4)/Z28&gt;0,(W28-1000000-Datos!$D$4)/Z28,0)</f>
        <v>551566.008890845</v>
      </c>
      <c r="AB28" s="22">
        <f>IF(L28&gt;0,VLOOKUP(D28,Datos!$C$13:$E$17,3,0),VLOOKUP(D28,Datos!$C$13:$E$17,2,0))</f>
        <v>520000</v>
      </c>
      <c r="AC28" s="24">
        <f ca="1">(S28*PMT(Datos!$H$13,Datos!$H$12,-O28,,)*VLOOKUP(TODAY(),'UF HOY'!$A$2:$B$33,2,0)/12)+VLOOKUP(TODAY(),'UF HOY'!$A$2:$B$33,2,0)</f>
        <v>853456.49662802322</v>
      </c>
      <c r="AD28" s="24">
        <f t="shared" ca="1" si="10"/>
        <v>-333456.49662802322</v>
      </c>
      <c r="AE28" s="47">
        <f t="shared" ca="1" si="16"/>
        <v>3413825.9865120929</v>
      </c>
    </row>
    <row r="29" spans="1:31" s="145" customFormat="1" ht="15.5" x14ac:dyDescent="0.25">
      <c r="A29" s="129" t="s">
        <v>105</v>
      </c>
      <c r="B29" s="130">
        <v>415</v>
      </c>
      <c r="C29" s="131" t="s">
        <v>179</v>
      </c>
      <c r="D29" s="131" t="s">
        <v>182</v>
      </c>
      <c r="E29" s="131" t="s">
        <v>187</v>
      </c>
      <c r="F29" s="18">
        <v>48</v>
      </c>
      <c r="G29" s="18">
        <v>5.48</v>
      </c>
      <c r="H29" s="38">
        <f t="shared" si="0"/>
        <v>50.74</v>
      </c>
      <c r="I29" s="132">
        <f t="shared" si="1"/>
        <v>53.480000000000004</v>
      </c>
      <c r="J29" s="133">
        <v>5555</v>
      </c>
      <c r="K29" s="134">
        <v>0</v>
      </c>
      <c r="L29" s="135">
        <v>0</v>
      </c>
      <c r="M29" s="135">
        <v>0</v>
      </c>
      <c r="N29" s="69">
        <f t="shared" si="11"/>
        <v>4999.5</v>
      </c>
      <c r="O29" s="39">
        <f t="shared" si="12"/>
        <v>5555</v>
      </c>
      <c r="P29" s="136">
        <f t="shared" si="13"/>
        <v>98.531730390224666</v>
      </c>
      <c r="Q29" s="137">
        <f t="shared" si="14"/>
        <v>0.1</v>
      </c>
      <c r="R29" s="138">
        <f t="shared" si="15"/>
        <v>555.5</v>
      </c>
      <c r="S29" s="139">
        <v>0.8</v>
      </c>
      <c r="T29" s="138">
        <f t="shared" si="7"/>
        <v>4444</v>
      </c>
      <c r="U29" s="140">
        <f t="shared" si="8"/>
        <v>9.9999999999999978E-2</v>
      </c>
      <c r="V29" s="20">
        <f t="shared" si="9"/>
        <v>555.49999999999989</v>
      </c>
      <c r="W29" s="142">
        <f ca="1">V29*VLOOKUP(TODAY(),'UF HOY'!$A$2:$B$33,2,0)</f>
        <v>22072203.669999998</v>
      </c>
      <c r="X29" s="143">
        <f>Datos!$E$4</f>
        <v>1</v>
      </c>
      <c r="Y29" s="144">
        <f ca="1">IF((W29-1000000-Datos!$D$4)/X29&gt;0,(W29-1000000-Datos!$D$4)/X29,0)</f>
        <v>20822203.669999998</v>
      </c>
      <c r="Z29" s="143">
        <f>Datos!$G$4</f>
        <v>36</v>
      </c>
      <c r="AA29" s="144">
        <f ca="1">IF((W29-1000000-Datos!$D$4)/Z29&gt;0,(W29-1000000-Datos!$D$4)/Z29,0)</f>
        <v>578394.54638888885</v>
      </c>
      <c r="AB29" s="142">
        <f>IF(L29&gt;0,VLOOKUP(D29,Datos!$C$13:$E$17,3,0),VLOOKUP(D29,Datos!$C$13:$E$17,2,0))</f>
        <v>620000</v>
      </c>
      <c r="AC29" s="144">
        <f ca="1">(S29*PMT(Datos!$H$13,Datos!$H$12,-O29,,)*VLOOKUP(TODAY(),'UF HOY'!$A$2:$B$33,2,0)/12)+VLOOKUP(TODAY(),'UF HOY'!$A$2:$B$33,2,0)</f>
        <v>890692.42422297597</v>
      </c>
      <c r="AD29" s="144">
        <f t="shared" ca="1" si="10"/>
        <v>-270692.42422297597</v>
      </c>
      <c r="AE29" s="47">
        <f t="shared" ca="1" si="16"/>
        <v>3562769.6968919039</v>
      </c>
    </row>
    <row r="30" spans="1:31" s="145" customFormat="1" ht="15.5" x14ac:dyDescent="0.25">
      <c r="A30" s="129" t="s">
        <v>105</v>
      </c>
      <c r="B30" s="129">
        <v>230</v>
      </c>
      <c r="C30" s="131" t="s">
        <v>178</v>
      </c>
      <c r="D30" s="131" t="s">
        <v>182</v>
      </c>
      <c r="E30" s="131" t="s">
        <v>189</v>
      </c>
      <c r="F30" s="18">
        <v>58.04</v>
      </c>
      <c r="G30" s="18">
        <v>13.8</v>
      </c>
      <c r="H30" s="38">
        <f t="shared" si="0"/>
        <v>64.94</v>
      </c>
      <c r="I30" s="132">
        <f t="shared" si="1"/>
        <v>71.84</v>
      </c>
      <c r="J30" s="133">
        <v>5925.0130177956999</v>
      </c>
      <c r="K30" s="134">
        <v>0</v>
      </c>
      <c r="L30" s="135">
        <v>0</v>
      </c>
      <c r="M30" s="135">
        <v>0</v>
      </c>
      <c r="N30" s="69">
        <f t="shared" si="11"/>
        <v>5332.5117160161299</v>
      </c>
      <c r="O30" s="39">
        <f t="shared" si="12"/>
        <v>5925.0130177956999</v>
      </c>
      <c r="P30" s="136">
        <f t="shared" si="13"/>
        <v>82.114439729228977</v>
      </c>
      <c r="Q30" s="137">
        <f t="shared" si="14"/>
        <v>0.1</v>
      </c>
      <c r="R30" s="138">
        <f t="shared" si="15"/>
        <v>592.50130177956999</v>
      </c>
      <c r="S30" s="139">
        <v>0.8</v>
      </c>
      <c r="T30" s="138">
        <f t="shared" si="7"/>
        <v>4740.0104142365599</v>
      </c>
      <c r="U30" s="140">
        <f t="shared" si="8"/>
        <v>9.9999999999999978E-2</v>
      </c>
      <c r="V30" s="20">
        <f t="shared" si="9"/>
        <v>592.50130177956987</v>
      </c>
      <c r="W30" s="142">
        <f ca="1">V30*VLOOKUP(TODAY(),'UF HOY'!$A$2:$B$33,2,0)</f>
        <v>23542411.174831323</v>
      </c>
      <c r="X30" s="143">
        <f>Datos!$E$4</f>
        <v>1</v>
      </c>
      <c r="Y30" s="144">
        <f ca="1">IF((W30-1000000-Datos!$D$4)/X30&gt;0,(W30-1000000-Datos!$D$4)/X30,0)</f>
        <v>22292411.174831323</v>
      </c>
      <c r="Z30" s="143">
        <f>Datos!$G$4</f>
        <v>36</v>
      </c>
      <c r="AA30" s="144">
        <f ca="1">IF((W30-1000000-Datos!$D$4)/Z30&gt;0,(W30-1000000-Datos!$D$4)/Z30,0)</f>
        <v>619233.64374531456</v>
      </c>
      <c r="AB30" s="142">
        <f>IF(L30&gt;0,VLOOKUP(D30,Datos!$C$13:$E$17,3,0),VLOOKUP(D30,Datos!$C$13:$E$17,2,0))</f>
        <v>620000</v>
      </c>
      <c r="AC30" s="144">
        <f ca="1">(S30*PMT(Datos!$H$13,Datos!$H$12,-O30,,)*VLOOKUP(TODAY(),'UF HOY'!$A$2:$B$33,2,0)/12)+VLOOKUP(TODAY(),'UF HOY'!$A$2:$B$33,2,0)</f>
        <v>947373.92139060819</v>
      </c>
      <c r="AD30" s="144">
        <f t="shared" ca="1" si="10"/>
        <v>-327373.92139060819</v>
      </c>
      <c r="AE30" s="47">
        <f t="shared" ca="1" si="16"/>
        <v>3789495.6855624327</v>
      </c>
    </row>
    <row r="31" spans="1:31" s="145" customFormat="1" ht="15.5" x14ac:dyDescent="0.25">
      <c r="A31" s="129" t="s">
        <v>105</v>
      </c>
      <c r="B31" s="129">
        <v>530</v>
      </c>
      <c r="C31" s="131" t="s">
        <v>178</v>
      </c>
      <c r="D31" s="131" t="s">
        <v>182</v>
      </c>
      <c r="E31" s="131" t="s">
        <v>189</v>
      </c>
      <c r="F31" s="18">
        <v>58.04</v>
      </c>
      <c r="G31" s="18">
        <v>12.42</v>
      </c>
      <c r="H31" s="38">
        <f t="shared" si="0"/>
        <v>64.25</v>
      </c>
      <c r="I31" s="132">
        <f t="shared" si="1"/>
        <v>70.459999999999994</v>
      </c>
      <c r="J31" s="133">
        <v>6014.9557642781001</v>
      </c>
      <c r="K31" s="134">
        <v>0</v>
      </c>
      <c r="L31" s="135">
        <v>0</v>
      </c>
      <c r="M31" s="135">
        <v>0</v>
      </c>
      <c r="N31" s="69">
        <f t="shared" si="11"/>
        <v>5413.4601878502899</v>
      </c>
      <c r="O31" s="39">
        <f t="shared" si="12"/>
        <v>6014.9557642781001</v>
      </c>
      <c r="P31" s="136">
        <f t="shared" si="13"/>
        <v>84.256189694167929</v>
      </c>
      <c r="Q31" s="137">
        <f t="shared" si="14"/>
        <v>0.1</v>
      </c>
      <c r="R31" s="138">
        <f t="shared" si="15"/>
        <v>601.49557642781008</v>
      </c>
      <c r="S31" s="139">
        <v>0.8</v>
      </c>
      <c r="T31" s="138">
        <f t="shared" si="7"/>
        <v>4811.9646114224806</v>
      </c>
      <c r="U31" s="140">
        <f t="shared" si="8"/>
        <v>9.9999999999999978E-2</v>
      </c>
      <c r="V31" s="20">
        <f t="shared" si="9"/>
        <v>601.49557642780985</v>
      </c>
      <c r="W31" s="142">
        <f ca="1">V31*VLOOKUP(TODAY(),'UF HOY'!$A$2:$B$33,2,0)</f>
        <v>23899789.144048013</v>
      </c>
      <c r="X31" s="143">
        <f>Datos!$E$4</f>
        <v>1</v>
      </c>
      <c r="Y31" s="144">
        <f ca="1">IF((W31-1000000-Datos!$D$4)/X31&gt;0,(W31-1000000-Datos!$D$4)/X31,0)</f>
        <v>22649789.144048013</v>
      </c>
      <c r="Z31" s="143">
        <f>Datos!$G$4</f>
        <v>36</v>
      </c>
      <c r="AA31" s="144">
        <f ca="1">IF((W31-1000000-Datos!$D$4)/Z31&gt;0,(W31-1000000-Datos!$D$4)/Z31,0)</f>
        <v>629160.80955688923</v>
      </c>
      <c r="AB31" s="142">
        <f>IF(L31&gt;0,VLOOKUP(D31,Datos!$C$13:$E$17,3,0),VLOOKUP(D31,Datos!$C$13:$E$17,2,0))</f>
        <v>620000</v>
      </c>
      <c r="AC31" s="144">
        <f ca="1">(S31*PMT(Datos!$H$13,Datos!$H$12,-O31,,)*VLOOKUP(TODAY(),'UF HOY'!$A$2:$B$33,2,0)/12)+VLOOKUP(TODAY(),'UF HOY'!$A$2:$B$33,2,0)</f>
        <v>961152.05698260013</v>
      </c>
      <c r="AD31" s="144">
        <f t="shared" ca="1" si="10"/>
        <v>-341152.05698260013</v>
      </c>
      <c r="AE31" s="47">
        <f t="shared" ca="1" si="16"/>
        <v>3844608.2279304005</v>
      </c>
    </row>
    <row r="32" spans="1:31" s="145" customFormat="1" ht="15.5" x14ac:dyDescent="0.25">
      <c r="A32" s="129" t="s">
        <v>105</v>
      </c>
      <c r="B32" s="130">
        <v>429</v>
      </c>
      <c r="C32" s="131" t="s">
        <v>177</v>
      </c>
      <c r="D32" s="131" t="s">
        <v>182</v>
      </c>
      <c r="E32" s="131" t="s">
        <v>189</v>
      </c>
      <c r="F32" s="18">
        <v>58.04</v>
      </c>
      <c r="G32" s="18">
        <v>12.42</v>
      </c>
      <c r="H32" s="38">
        <f t="shared" si="0"/>
        <v>64.25</v>
      </c>
      <c r="I32" s="132">
        <f t="shared" si="1"/>
        <v>70.459999999999994</v>
      </c>
      <c r="J32" s="133">
        <v>6029.0007150264</v>
      </c>
      <c r="K32" s="134">
        <v>0</v>
      </c>
      <c r="L32" s="135">
        <v>0</v>
      </c>
      <c r="M32" s="135">
        <v>0</v>
      </c>
      <c r="N32" s="69">
        <f t="shared" si="11"/>
        <v>5426.1006435237596</v>
      </c>
      <c r="O32" s="39">
        <f t="shared" si="12"/>
        <v>6029.0007150264</v>
      </c>
      <c r="P32" s="136">
        <f t="shared" si="13"/>
        <v>84.452928303871744</v>
      </c>
      <c r="Q32" s="137">
        <f t="shared" si="14"/>
        <v>0.1</v>
      </c>
      <c r="R32" s="138">
        <f t="shared" si="15"/>
        <v>602.90007150264</v>
      </c>
      <c r="S32" s="139">
        <v>0.8</v>
      </c>
      <c r="T32" s="138">
        <f t="shared" si="7"/>
        <v>4823.20057202112</v>
      </c>
      <c r="U32" s="140">
        <f t="shared" si="8"/>
        <v>9.9999999999999978E-2</v>
      </c>
      <c r="V32" s="20">
        <f t="shared" si="9"/>
        <v>602.90007150263989</v>
      </c>
      <c r="W32" s="142">
        <f ca="1">V32*VLOOKUP(TODAY(),'UF HOY'!$A$2:$B$33,2,0)</f>
        <v>23955595.267081603</v>
      </c>
      <c r="X32" s="143">
        <f>Datos!$E$4</f>
        <v>1</v>
      </c>
      <c r="Y32" s="144">
        <f ca="1">IF((W32-1000000-Datos!$D$4)/X32&gt;0,(W32-1000000-Datos!$D$4)/X32,0)</f>
        <v>22705595.267081603</v>
      </c>
      <c r="Z32" s="143">
        <f>Datos!$G$4</f>
        <v>36</v>
      </c>
      <c r="AA32" s="144">
        <f ca="1">IF((W32-1000000-Datos!$D$4)/Z32&gt;0,(W32-1000000-Datos!$D$4)/Z32,0)</f>
        <v>630710.97964115569</v>
      </c>
      <c r="AB32" s="142">
        <f>IF(L32&gt;0,VLOOKUP(D32,Datos!$C$13:$E$17,3,0),VLOOKUP(D32,Datos!$C$13:$E$17,2,0))</f>
        <v>620000</v>
      </c>
      <c r="AC32" s="144">
        <f ca="1">(S32*PMT(Datos!$H$13,Datos!$H$12,-O32,,)*VLOOKUP(TODAY(),'UF HOY'!$A$2:$B$33,2,0)/12)+VLOOKUP(TODAY(),'UF HOY'!$A$2:$B$33,2,0)</f>
        <v>963303.57273413194</v>
      </c>
      <c r="AD32" s="144">
        <f t="shared" ca="1" si="10"/>
        <v>-343303.57273413194</v>
      </c>
      <c r="AE32" s="47">
        <f t="shared" ca="1" si="16"/>
        <v>3853214.2909365278</v>
      </c>
    </row>
    <row r="33" spans="12:30" ht="17.25" customHeight="1" x14ac:dyDescent="0.25">
      <c r="L33" s="146"/>
      <c r="P33" s="141"/>
      <c r="Q33" s="141"/>
      <c r="R33" s="141"/>
      <c r="S33" s="141"/>
      <c r="T33" s="141"/>
      <c r="U33" s="141"/>
      <c r="V33" s="4"/>
      <c r="W33" s="141"/>
      <c r="Y33" s="141"/>
      <c r="AA33" s="141"/>
    </row>
    <row r="34" spans="12:30" ht="18" customHeight="1" x14ac:dyDescent="0.25">
      <c r="L34" s="146" t="s">
        <v>224</v>
      </c>
      <c r="P34" s="141"/>
      <c r="Q34" s="141"/>
      <c r="R34" s="141"/>
      <c r="S34" s="141"/>
      <c r="T34" s="141"/>
      <c r="U34" s="141"/>
      <c r="V34" s="4"/>
      <c r="W34" s="141"/>
      <c r="Y34" s="141"/>
      <c r="AA34" s="141"/>
      <c r="AB34" s="152"/>
      <c r="AC34" s="152"/>
      <c r="AD34" s="141"/>
    </row>
    <row r="35" spans="12:30" ht="17.25" customHeight="1" x14ac:dyDescent="0.25">
      <c r="L35" s="146" t="s">
        <v>225</v>
      </c>
      <c r="O35" s="147"/>
      <c r="P35" s="141"/>
      <c r="Q35" s="141"/>
      <c r="R35" s="141"/>
      <c r="S35" s="141"/>
      <c r="T35" s="141"/>
      <c r="U35" s="141"/>
      <c r="V35" s="4"/>
      <c r="W35" s="141"/>
      <c r="Y35" s="141"/>
      <c r="AA35" s="141"/>
      <c r="AB35" s="141"/>
      <c r="AC35" s="141"/>
      <c r="AD35" s="141"/>
    </row>
    <row r="36" spans="12:30" ht="16.5" customHeight="1" x14ac:dyDescent="0.25">
      <c r="P36" s="141"/>
      <c r="Q36" s="141"/>
      <c r="R36" s="141"/>
      <c r="S36" s="141"/>
      <c r="T36" s="141"/>
      <c r="U36" s="141"/>
      <c r="V36" s="4"/>
      <c r="W36" s="141"/>
      <c r="Y36" s="141"/>
      <c r="AA36" s="141"/>
      <c r="AB36" s="141"/>
      <c r="AC36" s="141"/>
      <c r="AD36" s="141"/>
    </row>
    <row r="37" spans="12:30" ht="16.5" customHeight="1" x14ac:dyDescent="0.25">
      <c r="P37" s="141"/>
      <c r="Q37" s="141"/>
      <c r="R37" s="141"/>
      <c r="S37" s="141"/>
      <c r="T37" s="141"/>
      <c r="U37" s="141"/>
      <c r="V37" s="4"/>
      <c r="W37" s="141"/>
      <c r="Y37" s="141"/>
      <c r="AA37" s="141"/>
      <c r="AB37" s="141"/>
      <c r="AC37" s="141"/>
      <c r="AD37" s="141"/>
    </row>
    <row r="38" spans="12:30" ht="17.25" customHeight="1" x14ac:dyDescent="0.25">
      <c r="P38" s="141"/>
      <c r="Q38" s="141"/>
      <c r="R38" s="141"/>
      <c r="S38" s="141"/>
      <c r="T38" s="141"/>
      <c r="U38" s="141"/>
      <c r="V38" s="4"/>
      <c r="W38" s="141"/>
      <c r="Y38" s="141"/>
      <c r="AA38" s="141"/>
      <c r="AB38" s="141"/>
      <c r="AC38" s="141"/>
      <c r="AD38" s="141"/>
    </row>
    <row r="39" spans="12:30" ht="17.25" customHeight="1" x14ac:dyDescent="0.25">
      <c r="P39" s="141"/>
      <c r="Q39" s="141"/>
      <c r="R39" s="141"/>
      <c r="S39" s="141"/>
      <c r="T39" s="141"/>
      <c r="U39" s="141"/>
      <c r="V39" s="4"/>
      <c r="W39" s="141"/>
      <c r="Y39" s="141"/>
      <c r="AA39" s="141"/>
      <c r="AB39" s="141"/>
      <c r="AC39" s="141"/>
      <c r="AD39" s="141"/>
    </row>
    <row r="40" spans="12:30" ht="17.25" customHeight="1" x14ac:dyDescent="0.25">
      <c r="P40" s="141"/>
      <c r="Q40" s="141"/>
      <c r="R40" s="141"/>
      <c r="S40" s="141"/>
      <c r="T40" s="141"/>
      <c r="U40" s="141"/>
      <c r="V40" s="4"/>
      <c r="W40" s="141"/>
      <c r="Y40" s="141"/>
      <c r="AA40" s="141"/>
      <c r="AB40" s="141"/>
      <c r="AC40" s="141"/>
      <c r="AD40" s="141"/>
    </row>
    <row r="41" spans="12:30" ht="16.5" customHeight="1" x14ac:dyDescent="0.25">
      <c r="P41" s="141"/>
      <c r="Q41" s="141"/>
      <c r="R41" s="141"/>
      <c r="S41" s="141"/>
      <c r="T41" s="141"/>
      <c r="U41" s="141"/>
      <c r="V41" s="4"/>
      <c r="W41" s="141"/>
      <c r="Y41" s="141"/>
      <c r="AA41" s="141"/>
      <c r="AB41" s="141"/>
      <c r="AC41" s="141"/>
      <c r="AD41" s="141"/>
    </row>
    <row r="42" spans="12:30" ht="17.25" customHeight="1" x14ac:dyDescent="0.25">
      <c r="P42" s="141"/>
      <c r="Q42" s="141"/>
      <c r="R42" s="141"/>
      <c r="S42" s="141"/>
      <c r="T42" s="141"/>
      <c r="U42" s="141"/>
      <c r="V42" s="4"/>
      <c r="W42" s="141"/>
      <c r="Y42" s="141"/>
      <c r="AA42" s="141"/>
      <c r="AB42" s="141"/>
      <c r="AC42" s="141"/>
      <c r="AD42" s="141"/>
    </row>
    <row r="43" spans="12:30" ht="16.5" customHeight="1" x14ac:dyDescent="0.25">
      <c r="P43" s="141"/>
      <c r="Q43" s="141"/>
      <c r="R43" s="141"/>
      <c r="S43" s="141"/>
      <c r="T43" s="141"/>
      <c r="U43" s="141"/>
      <c r="V43" s="4"/>
      <c r="W43" s="141"/>
      <c r="Y43" s="141"/>
      <c r="AA43" s="141"/>
      <c r="AB43" s="141"/>
      <c r="AC43" s="141"/>
      <c r="AD43" s="141"/>
    </row>
    <row r="44" spans="12:30" ht="16.5" customHeight="1" x14ac:dyDescent="0.25">
      <c r="P44" s="141"/>
      <c r="Q44" s="141"/>
      <c r="R44" s="141"/>
      <c r="S44" s="141"/>
      <c r="T44" s="141"/>
      <c r="U44" s="141"/>
      <c r="V44" s="4"/>
      <c r="W44" s="141"/>
      <c r="Y44" s="141"/>
      <c r="AA44" s="141"/>
      <c r="AB44" s="141"/>
      <c r="AC44" s="141"/>
      <c r="AD44" s="141"/>
    </row>
    <row r="45" spans="12:30" ht="17.25" customHeight="1" x14ac:dyDescent="0.25">
      <c r="P45" s="141"/>
      <c r="Q45" s="141"/>
      <c r="R45" s="141"/>
      <c r="S45" s="141"/>
      <c r="T45" s="141"/>
      <c r="U45" s="141"/>
      <c r="V45" s="4"/>
      <c r="W45" s="141"/>
      <c r="Y45" s="141"/>
      <c r="AA45" s="141"/>
      <c r="AB45" s="141"/>
      <c r="AC45" s="141"/>
      <c r="AD45" s="141"/>
    </row>
    <row r="46" spans="12:30" ht="17.25" customHeight="1" x14ac:dyDescent="0.25">
      <c r="P46" s="141"/>
      <c r="Q46" s="141"/>
      <c r="R46" s="141"/>
      <c r="S46" s="141"/>
      <c r="T46" s="141"/>
      <c r="U46" s="141"/>
      <c r="V46" s="4"/>
      <c r="W46" s="141"/>
      <c r="Y46" s="141"/>
      <c r="AA46" s="141"/>
      <c r="AB46" s="141"/>
      <c r="AC46" s="141"/>
      <c r="AD46" s="141"/>
    </row>
    <row r="47" spans="12:30" ht="17.25" customHeight="1" x14ac:dyDescent="0.25">
      <c r="P47" s="141"/>
      <c r="Q47" s="141"/>
      <c r="R47" s="141"/>
      <c r="S47" s="141"/>
      <c r="T47" s="141"/>
      <c r="U47" s="141"/>
      <c r="V47" s="4"/>
      <c r="W47" s="141"/>
      <c r="Y47" s="141"/>
      <c r="AA47" s="141"/>
      <c r="AB47" s="141"/>
      <c r="AC47" s="141"/>
      <c r="AD47" s="141"/>
    </row>
    <row r="48" spans="12:30" ht="17.25" customHeight="1" x14ac:dyDescent="0.25">
      <c r="P48" s="141"/>
      <c r="Q48" s="141"/>
      <c r="R48" s="141"/>
      <c r="S48" s="141"/>
      <c r="T48" s="141"/>
      <c r="U48" s="141"/>
      <c r="V48" s="4"/>
      <c r="W48" s="141"/>
      <c r="Y48" s="141"/>
      <c r="AA48" s="141"/>
      <c r="AB48" s="141"/>
      <c r="AC48" s="141"/>
      <c r="AD48" s="141"/>
    </row>
    <row r="49" spans="16:30" ht="17.25" customHeight="1" x14ac:dyDescent="0.25">
      <c r="P49" s="141"/>
      <c r="Q49" s="141"/>
      <c r="R49" s="141"/>
      <c r="S49" s="141"/>
      <c r="T49" s="141"/>
      <c r="U49" s="141"/>
      <c r="V49" s="4"/>
      <c r="W49" s="141"/>
      <c r="Y49" s="141"/>
      <c r="AA49" s="141"/>
      <c r="AB49" s="141"/>
      <c r="AC49" s="141"/>
      <c r="AD49" s="141"/>
    </row>
    <row r="50" spans="16:30" ht="17.25" customHeight="1" x14ac:dyDescent="0.25">
      <c r="P50" s="141"/>
      <c r="Q50" s="141"/>
      <c r="R50" s="141"/>
      <c r="S50" s="141"/>
      <c r="T50" s="141"/>
      <c r="U50" s="141"/>
      <c r="V50" s="4"/>
      <c r="W50" s="141"/>
      <c r="Y50" s="141"/>
      <c r="AA50" s="141"/>
      <c r="AB50" s="141"/>
      <c r="AC50" s="141"/>
      <c r="AD50" s="141"/>
    </row>
    <row r="51" spans="16:30" ht="17.25" customHeight="1" x14ac:dyDescent="0.25">
      <c r="P51" s="141"/>
      <c r="Q51" s="141"/>
      <c r="R51" s="141"/>
      <c r="S51" s="141"/>
      <c r="T51" s="141"/>
      <c r="U51" s="141"/>
      <c r="V51" s="4"/>
      <c r="W51" s="141"/>
      <c r="Y51" s="141"/>
      <c r="AA51" s="141"/>
      <c r="AB51" s="141"/>
      <c r="AC51" s="141"/>
      <c r="AD51" s="141"/>
    </row>
    <row r="52" spans="16:30" ht="17.25" customHeight="1" x14ac:dyDescent="0.25">
      <c r="P52" s="141"/>
      <c r="Q52" s="141"/>
      <c r="R52" s="141"/>
      <c r="S52" s="141"/>
      <c r="T52" s="141"/>
      <c r="U52" s="141"/>
      <c r="V52" s="4"/>
      <c r="W52" s="141"/>
      <c r="Y52" s="141"/>
      <c r="AA52" s="141"/>
      <c r="AB52" s="141"/>
      <c r="AC52" s="141"/>
      <c r="AD52" s="141"/>
    </row>
    <row r="53" spans="16:30" ht="17.25" customHeight="1" x14ac:dyDescent="0.25">
      <c r="P53" s="141"/>
      <c r="Q53" s="141"/>
      <c r="R53" s="141"/>
      <c r="S53" s="141"/>
      <c r="T53" s="141"/>
      <c r="U53" s="141"/>
      <c r="V53" s="4"/>
      <c r="W53" s="141"/>
      <c r="Y53" s="141"/>
      <c r="AA53" s="141"/>
      <c r="AB53" s="141"/>
      <c r="AC53" s="141"/>
      <c r="AD53" s="141"/>
    </row>
    <row r="54" spans="16:30" ht="17.25" customHeight="1" x14ac:dyDescent="0.25">
      <c r="P54" s="141"/>
      <c r="Q54" s="141"/>
      <c r="R54" s="141"/>
      <c r="S54" s="141"/>
      <c r="T54" s="141"/>
      <c r="U54" s="141"/>
      <c r="V54" s="4"/>
      <c r="W54" s="141"/>
      <c r="Y54" s="141"/>
      <c r="AA54" s="141"/>
      <c r="AB54" s="141"/>
      <c r="AC54" s="141"/>
      <c r="AD54" s="141"/>
    </row>
    <row r="55" spans="16:30" ht="17.25" customHeight="1" x14ac:dyDescent="0.25">
      <c r="P55" s="141"/>
      <c r="Q55" s="141"/>
      <c r="R55" s="141"/>
      <c r="S55" s="141"/>
      <c r="T55" s="141"/>
      <c r="U55" s="141"/>
      <c r="V55" s="4"/>
      <c r="W55" s="141"/>
      <c r="Y55" s="141"/>
      <c r="AA55" s="141"/>
      <c r="AB55" s="141"/>
      <c r="AC55" s="141"/>
      <c r="AD55" s="141"/>
    </row>
    <row r="56" spans="16:30" ht="17.25" customHeight="1" x14ac:dyDescent="0.25">
      <c r="P56" s="141"/>
      <c r="Q56" s="141"/>
      <c r="R56" s="141"/>
      <c r="S56" s="141"/>
      <c r="T56" s="141"/>
      <c r="U56" s="141"/>
      <c r="V56" s="4"/>
      <c r="W56" s="141"/>
      <c r="Y56" s="141"/>
      <c r="AA56" s="141"/>
      <c r="AB56" s="141"/>
      <c r="AC56" s="141"/>
      <c r="AD56" s="141"/>
    </row>
  </sheetData>
  <autoFilter ref="A1:AE32" xr:uid="{45495331-1BA9-48D9-BE5C-205C966A9F70}">
    <sortState xmlns:xlrd2="http://schemas.microsoft.com/office/spreadsheetml/2017/richdata2" ref="A2:AE32">
      <sortCondition ref="N1:N32"/>
    </sortState>
  </autoFilter>
  <conditionalFormatting sqref="A1:AD32">
    <cfRule type="expression" dxfId="2" priority="3">
      <formula>ROW()=CELL("fila")</formula>
    </cfRule>
  </conditionalFormatting>
  <conditionalFormatting sqref="AE1">
    <cfRule type="expression" dxfId="1" priority="2">
      <formula>ROW()=CELL("fila")</formula>
    </cfRule>
  </conditionalFormatting>
  <conditionalFormatting sqref="AE2:AE32">
    <cfRule type="expression" dxfId="0" priority="1">
      <formula>ROW()=CELL("fila")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77463-1ECC-4B09-9A71-D61B4E9F37A7}">
  <sheetPr codeName="Hoja12">
    <tabColor rgb="FF00CCFF"/>
  </sheetPr>
  <dimension ref="B1:S24"/>
  <sheetViews>
    <sheetView showGridLines="0" zoomScale="70" zoomScaleNormal="70" workbookViewId="0">
      <selection activeCell="Q4" sqref="Q4"/>
    </sheetView>
  </sheetViews>
  <sheetFormatPr baseColWidth="10" defaultColWidth="10.9140625" defaultRowHeight="15" x14ac:dyDescent="0.35"/>
  <cols>
    <col min="1" max="1" width="1.6640625" style="74" customWidth="1"/>
    <col min="2" max="2" width="24.4140625" style="74" bestFit="1" customWidth="1"/>
    <col min="3" max="3" width="14.9140625" style="74" customWidth="1"/>
    <col min="4" max="12" width="14.1640625" style="74" bestFit="1" customWidth="1"/>
    <col min="13" max="14" width="15.5" style="74" bestFit="1" customWidth="1"/>
    <col min="15" max="15" width="2.5" style="74" customWidth="1"/>
    <col min="16" max="16" width="14.58203125" style="74" bestFit="1" customWidth="1"/>
    <col min="17" max="17" width="4.08203125" style="74" customWidth="1"/>
    <col min="18" max="18" width="13.1640625" style="74" bestFit="1" customWidth="1"/>
    <col min="19" max="16384" width="10.9140625" style="74"/>
  </cols>
  <sheetData>
    <row r="1" spans="2:19" ht="15.5" thickBot="1" x14ac:dyDescent="0.4">
      <c r="B1" s="72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</row>
    <row r="2" spans="2:19" ht="15.5" thickBot="1" x14ac:dyDescent="0.4">
      <c r="B2" s="422" t="s">
        <v>191</v>
      </c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4"/>
      <c r="P2" s="124" t="s">
        <v>194</v>
      </c>
    </row>
    <row r="3" spans="2:19" s="72" customFormat="1" ht="15.5" thickBot="1" x14ac:dyDescent="0.4">
      <c r="B3" s="425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7"/>
      <c r="P3" s="125">
        <v>0.7</v>
      </c>
      <c r="Q3" s="154" t="s">
        <v>236</v>
      </c>
      <c r="R3" s="74"/>
    </row>
    <row r="4" spans="2:19" ht="15.5" thickBot="1" x14ac:dyDescent="0.4">
      <c r="B4" s="103"/>
      <c r="C4" s="104">
        <v>46023</v>
      </c>
      <c r="D4" s="104">
        <v>46054</v>
      </c>
      <c r="E4" s="104">
        <v>46082</v>
      </c>
      <c r="F4" s="104">
        <v>46113</v>
      </c>
      <c r="G4" s="104">
        <v>46143</v>
      </c>
      <c r="H4" s="104">
        <v>46174</v>
      </c>
      <c r="I4" s="104">
        <v>46204</v>
      </c>
      <c r="J4" s="104">
        <v>46235</v>
      </c>
      <c r="K4" s="104">
        <v>46266</v>
      </c>
      <c r="L4" s="104">
        <v>46296</v>
      </c>
      <c r="M4" s="104">
        <v>46327</v>
      </c>
      <c r="N4" s="153">
        <v>46357</v>
      </c>
    </row>
    <row r="5" spans="2:19" ht="15.5" thickBot="1" x14ac:dyDescent="0.4">
      <c r="B5" s="105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7"/>
      <c r="P5" s="124" t="s">
        <v>226</v>
      </c>
    </row>
    <row r="6" spans="2:19" ht="15.5" thickBot="1" x14ac:dyDescent="0.4">
      <c r="B6" s="103" t="s">
        <v>37</v>
      </c>
      <c r="C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D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E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F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G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H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I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J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K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L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M6" s="108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N6" s="109" t="e">
        <f>IF('Escenario de Inversion'!$L$3="",0,HLOOKUP('Escenario de Inversion'!$L$3,'Info RentaCorta'!$B$3:$G$5,2,0))
+IF('Escenario de Inversion'!$L$4="",0,HLOOKUP('Escenario de Inversion'!$L$4,'Info RentaCorta'!$B$3:$G$5,2,0))
+IF('Escenario de Inversion'!$L$5="",0,HLOOKUP('Escenario de Inversion'!$L$5,'Info RentaCorta'!$B$3:$G$5,2,0))
+IF('Escenario de Inversion'!$L$6="",0,HLOOKUP('Escenario de Inversion'!$L$6,'Info RentaCorta'!$B$3:$G$5,2,0))
+IF('Escenario de Inversion'!$L$7="",0,HLOOKUP('Escenario de Inversion'!$L$7,'Info RentaCorta'!$B$3:$G$5,2,0))</f>
        <v>#N/A</v>
      </c>
      <c r="P6" s="125" t="s">
        <v>227</v>
      </c>
      <c r="Q6" s="154" t="s">
        <v>235</v>
      </c>
      <c r="R6" s="155"/>
      <c r="S6" s="155"/>
    </row>
    <row r="7" spans="2:19" s="78" customFormat="1" x14ac:dyDescent="0.35">
      <c r="B7" s="103" t="s">
        <v>192</v>
      </c>
      <c r="C7" s="77">
        <f t="shared" ref="C7:N7" si="0">30*$P$3</f>
        <v>21</v>
      </c>
      <c r="D7" s="77">
        <f t="shared" si="0"/>
        <v>21</v>
      </c>
      <c r="E7" s="77">
        <f t="shared" si="0"/>
        <v>21</v>
      </c>
      <c r="F7" s="77">
        <f t="shared" si="0"/>
        <v>21</v>
      </c>
      <c r="G7" s="77">
        <f t="shared" si="0"/>
        <v>21</v>
      </c>
      <c r="H7" s="77">
        <f t="shared" si="0"/>
        <v>21</v>
      </c>
      <c r="I7" s="77">
        <f t="shared" si="0"/>
        <v>21</v>
      </c>
      <c r="J7" s="77">
        <f t="shared" si="0"/>
        <v>21</v>
      </c>
      <c r="K7" s="77">
        <f t="shared" si="0"/>
        <v>21</v>
      </c>
      <c r="L7" s="77">
        <f t="shared" si="0"/>
        <v>21</v>
      </c>
      <c r="M7" s="77">
        <f t="shared" si="0"/>
        <v>21</v>
      </c>
      <c r="N7" s="110">
        <f t="shared" si="0"/>
        <v>21</v>
      </c>
      <c r="P7" s="79"/>
      <c r="R7" s="74"/>
    </row>
    <row r="8" spans="2:19" x14ac:dyDescent="0.35">
      <c r="B8" s="111" t="s">
        <v>193</v>
      </c>
      <c r="C8" s="112" t="e">
        <f>C6*C7</f>
        <v>#N/A</v>
      </c>
      <c r="D8" s="112" t="e">
        <f t="shared" ref="D8:M8" si="1">D6*D7</f>
        <v>#N/A</v>
      </c>
      <c r="E8" s="112" t="e">
        <f t="shared" si="1"/>
        <v>#N/A</v>
      </c>
      <c r="F8" s="112" t="e">
        <f t="shared" si="1"/>
        <v>#N/A</v>
      </c>
      <c r="G8" s="112" t="e">
        <f t="shared" si="1"/>
        <v>#N/A</v>
      </c>
      <c r="H8" s="112" t="e">
        <f t="shared" si="1"/>
        <v>#N/A</v>
      </c>
      <c r="I8" s="112" t="e">
        <f t="shared" si="1"/>
        <v>#N/A</v>
      </c>
      <c r="J8" s="112" t="e">
        <f t="shared" si="1"/>
        <v>#N/A</v>
      </c>
      <c r="K8" s="112" t="e">
        <f t="shared" si="1"/>
        <v>#N/A</v>
      </c>
      <c r="L8" s="112" t="e">
        <f t="shared" si="1"/>
        <v>#N/A</v>
      </c>
      <c r="M8" s="112" t="e">
        <f t="shared" si="1"/>
        <v>#N/A</v>
      </c>
      <c r="N8" s="113" t="e">
        <f>N6*N7</f>
        <v>#N/A</v>
      </c>
      <c r="P8" s="79"/>
    </row>
    <row r="9" spans="2:19" x14ac:dyDescent="0.35">
      <c r="B9" s="114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6"/>
    </row>
    <row r="10" spans="2:19" s="79" customFormat="1" x14ac:dyDescent="0.35">
      <c r="B10" s="103" t="s">
        <v>38</v>
      </c>
      <c r="C10" s="108">
        <f ca="1">'Escenario de Inversion'!$M$18+'Escenario de Inversion'!$M$19+'Escenario de Inversion'!$M$20+'Escenario de Inversion'!$M$21+'Escenario de Inversion'!$M$22</f>
        <v>39734</v>
      </c>
      <c r="D10" s="108">
        <f ca="1">'Escenario de Inversion'!$M$18+'Escenario de Inversion'!$M$19+'Escenario de Inversion'!$M$20+'Escenario de Inversion'!$M$21+'Escenario de Inversion'!$M$22</f>
        <v>39734</v>
      </c>
      <c r="E10" s="108">
        <f ca="1">'Escenario de Inversion'!$M$18+'Escenario de Inversion'!$M$19+'Escenario de Inversion'!$M$20+'Escenario de Inversion'!$M$21+'Escenario de Inversion'!$M$22</f>
        <v>39734</v>
      </c>
      <c r="F10" s="108">
        <f ca="1">'Escenario de Inversion'!$M$18+'Escenario de Inversion'!$M$19+'Escenario de Inversion'!$M$20+'Escenario de Inversion'!$M$21+'Escenario de Inversion'!$M$22</f>
        <v>39734</v>
      </c>
      <c r="G10" s="108">
        <f ca="1">'Escenario de Inversion'!$M$18+'Escenario de Inversion'!$M$19+'Escenario de Inversion'!$M$20+'Escenario de Inversion'!$M$21+'Escenario de Inversion'!$M$22</f>
        <v>39734</v>
      </c>
      <c r="H10" s="108">
        <f ca="1">'Escenario de Inversion'!$M$18+'Escenario de Inversion'!$M$19+'Escenario de Inversion'!$M$20+'Escenario de Inversion'!$M$21+'Escenario de Inversion'!$M$22</f>
        <v>39734</v>
      </c>
      <c r="I10" s="108">
        <f ca="1">'Escenario de Inversion'!$M$18+'Escenario de Inversion'!$M$19+'Escenario de Inversion'!$M$20+'Escenario de Inversion'!$M$21+'Escenario de Inversion'!$M$22</f>
        <v>39734</v>
      </c>
      <c r="J10" s="108">
        <f ca="1">'Escenario de Inversion'!$M$18+'Escenario de Inversion'!$M$19+'Escenario de Inversion'!$M$20+'Escenario de Inversion'!$M$21+'Escenario de Inversion'!$M$22</f>
        <v>39734</v>
      </c>
      <c r="K10" s="108">
        <f ca="1">'Escenario de Inversion'!$M$18+'Escenario de Inversion'!$M$19+'Escenario de Inversion'!$M$20+'Escenario de Inversion'!$M$21+'Escenario de Inversion'!$M$22</f>
        <v>39734</v>
      </c>
      <c r="L10" s="108">
        <f ca="1">'Escenario de Inversion'!$M$18+'Escenario de Inversion'!$M$19+'Escenario de Inversion'!$M$20+'Escenario de Inversion'!$M$21+'Escenario de Inversion'!$M$22</f>
        <v>39734</v>
      </c>
      <c r="M10" s="108">
        <f ca="1">'Escenario de Inversion'!$M$18+'Escenario de Inversion'!$M$19+'Escenario de Inversion'!$M$20+'Escenario de Inversion'!$M$21+'Escenario de Inversion'!$M$22</f>
        <v>39734</v>
      </c>
      <c r="N10" s="109">
        <f ca="1">'Escenario de Inversion'!$M$18+'Escenario de Inversion'!$M$19+'Escenario de Inversion'!$M$20+'Escenario de Inversion'!$M$21+'Escenario de Inversion'!$M$22</f>
        <v>39734</v>
      </c>
    </row>
    <row r="11" spans="2:19" s="79" customFormat="1" x14ac:dyDescent="0.35">
      <c r="B11" s="103" t="s">
        <v>195</v>
      </c>
      <c r="C11" s="108">
        <f>IF($P$6="SI",(C8*(0.25)*1.19),0)</f>
        <v>0</v>
      </c>
      <c r="D11" s="108">
        <f t="shared" ref="D11:N11" si="2">IF($P$6="SI",(D8*(0.25)*1.19),0)</f>
        <v>0</v>
      </c>
      <c r="E11" s="108">
        <f t="shared" si="2"/>
        <v>0</v>
      </c>
      <c r="F11" s="108">
        <f t="shared" si="2"/>
        <v>0</v>
      </c>
      <c r="G11" s="108">
        <f t="shared" si="2"/>
        <v>0</v>
      </c>
      <c r="H11" s="108">
        <f t="shared" si="2"/>
        <v>0</v>
      </c>
      <c r="I11" s="108">
        <f t="shared" si="2"/>
        <v>0</v>
      </c>
      <c r="J11" s="108">
        <f t="shared" si="2"/>
        <v>0</v>
      </c>
      <c r="K11" s="108">
        <f t="shared" si="2"/>
        <v>0</v>
      </c>
      <c r="L11" s="108">
        <f t="shared" si="2"/>
        <v>0</v>
      </c>
      <c r="M11" s="108">
        <f t="shared" si="2"/>
        <v>0</v>
      </c>
      <c r="N11" s="109">
        <f t="shared" si="2"/>
        <v>0</v>
      </c>
    </row>
    <row r="12" spans="2:19" s="79" customFormat="1" x14ac:dyDescent="0.35">
      <c r="B12" s="103" t="s">
        <v>196</v>
      </c>
      <c r="C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D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E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F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G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H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I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J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K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L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M12" s="108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  <c r="N12" s="109" t="e">
        <f>IF('Escenario de Inversion'!$L$3="",0,'Escenario de Inversion'!$AD$9*HLOOKUP('Escenario de Inversion'!$L$3,'Info RentaCorta'!$B$7:$G$9,3,0))+IF('Escenario de Inversion'!$L$4="",0,'Escenario de Inversion'!$AD$10*HLOOKUP('Escenario de Inversion'!$L$4,'Info RentaCorta'!$B$7:$G$9,3,0))+IF('Escenario de Inversion'!$L$5="",0,'Escenario de Inversion'!$AD$11*HLOOKUP('Escenario de Inversion'!$L$5,'Info RentaCorta'!$B$7:$G$9,3,0))+IF('Escenario de Inversion'!$L$6="",0,'Escenario de Inversion'!$AD$12*HLOOKUP('Escenario de Inversion'!$L$6,'Info RentaCorta'!$B$7:$G$9,3,0))+IF('Escenario de Inversion'!$L$7="",0,'Escenario de Inversion'!$AD$13*HLOOKUP('Escenario de Inversion'!$L$7,'Info RentaCorta'!$B$7:$G$9,3,0))</f>
        <v>#N/A</v>
      </c>
    </row>
    <row r="13" spans="2:19" s="79" customFormat="1" x14ac:dyDescent="0.35">
      <c r="B13" s="103" t="s">
        <v>197</v>
      </c>
      <c r="C13" s="108">
        <f>50000*(COUNTIF('Escenario de Inversion'!$K$18:$K$22,"**")+COUNTIF('Escenario de Inversion'!$K$18:$K$22,"&gt;0"))</f>
        <v>0</v>
      </c>
      <c r="D13" s="108">
        <f>50000*(COUNTIF('Escenario de Inversion'!$K$18:$K$22,"**")+COUNTIF('Escenario de Inversion'!$K$18:$K$22,"&gt;0"))</f>
        <v>0</v>
      </c>
      <c r="E13" s="108">
        <f>50000*(COUNTIF('Escenario de Inversion'!$K$18:$K$22,"**")+COUNTIF('Escenario de Inversion'!$K$18:$K$22,"&gt;0"))</f>
        <v>0</v>
      </c>
      <c r="F13" s="108">
        <f>50000*(COUNTIF('Escenario de Inversion'!$K$18:$K$22,"**")+COUNTIF('Escenario de Inversion'!$K$18:$K$22,"&gt;0"))</f>
        <v>0</v>
      </c>
      <c r="G13" s="108">
        <f>50000*(COUNTIF('Escenario de Inversion'!$K$18:$K$22,"**")+COUNTIF('Escenario de Inversion'!$K$18:$K$22,"&gt;0"))</f>
        <v>0</v>
      </c>
      <c r="H13" s="108">
        <f>50000*(COUNTIF('Escenario de Inversion'!$K$18:$K$22,"**")+COUNTIF('Escenario de Inversion'!$K$18:$K$22,"&gt;0"))</f>
        <v>0</v>
      </c>
      <c r="I13" s="108">
        <f>50000*(COUNTIF('Escenario de Inversion'!$K$18:$K$22,"**")+COUNTIF('Escenario de Inversion'!$K$18:$K$22,"&gt;0"))</f>
        <v>0</v>
      </c>
      <c r="J13" s="108">
        <f>50000*(COUNTIF('Escenario de Inversion'!$K$18:$K$22,"**")+COUNTIF('Escenario de Inversion'!$K$18:$K$22,"&gt;0"))</f>
        <v>0</v>
      </c>
      <c r="K13" s="108">
        <f>50000*(COUNTIF('Escenario de Inversion'!$K$18:$K$22,"**")+COUNTIF('Escenario de Inversion'!$K$18:$K$22,"&gt;0"))</f>
        <v>0</v>
      </c>
      <c r="L13" s="108">
        <f>50000*(COUNTIF('Escenario de Inversion'!$K$18:$K$22,"**")+COUNTIF('Escenario de Inversion'!$K$18:$K$22,"&gt;0"))</f>
        <v>0</v>
      </c>
      <c r="M13" s="108">
        <f>50000*(COUNTIF('Escenario de Inversion'!$K$18:$K$22,"**")+COUNTIF('Escenario de Inversion'!$K$18:$K$22,"&gt;0"))</f>
        <v>0</v>
      </c>
      <c r="N13" s="109">
        <f>50000*(COUNTIF('Escenario de Inversion'!$K$18:$K$22,"**")+COUNTIF('Escenario de Inversion'!$K$18:$K$22,"&gt;0"))</f>
        <v>0</v>
      </c>
      <c r="O13" s="80" t="s">
        <v>198</v>
      </c>
    </row>
    <row r="14" spans="2:19" s="81" customFormat="1" x14ac:dyDescent="0.35">
      <c r="B14" s="103" t="s">
        <v>199</v>
      </c>
      <c r="C14" s="108">
        <v>0</v>
      </c>
      <c r="D14" s="108">
        <v>0</v>
      </c>
      <c r="E14" s="108" t="e">
        <f>IF('Escenario de Inversion'!$L$3="",0,HLOOKUP('Escenario de Inversion'!$L$3,'Info RentaCorta'!$B$7:$F$8,2,0))
+IF('Escenario de Inversion'!$L$4="",0,HLOOKUP('Escenario de Inversion'!$L$4,'Info RentaCorta'!$B$7:$F$8,2,0))
+IF('Escenario de Inversion'!$L$5="",0,HLOOKUP('Escenario de Inversion'!$L$5,'Info RentaCorta'!$B$7:$F$8,2,0))
+IF('Escenario de Inversion'!$L$6="",0,HLOOKUP('Escenario de Inversion'!$L$6,'Info RentaCorta'!$B$7:$F$8,2,0))
+IF('Escenario de Inversion'!$L$7="",0,HLOOKUP('Escenario de Inversion'!$L$7,'Info RentaCorta'!$B$7:$F$8,2,0))</f>
        <v>#N/A</v>
      </c>
      <c r="F14" s="108">
        <v>0</v>
      </c>
      <c r="G14" s="108">
        <v>0</v>
      </c>
      <c r="H14" s="108" t="e">
        <f>IF('Escenario de Inversion'!$L$3="",0,HLOOKUP('Escenario de Inversion'!$L$3,'Info RentaCorta'!$B$7:$F$8,2,0))
+IF('Escenario de Inversion'!$L$4="",0,HLOOKUP('Escenario de Inversion'!$L$4,'Info RentaCorta'!$B$7:$F$8,2,0))
+IF('Escenario de Inversion'!$L$5="",0,HLOOKUP('Escenario de Inversion'!$L$5,'Info RentaCorta'!$B$7:$F$8,2,0))
+IF('Escenario de Inversion'!$L$6="",0,HLOOKUP('Escenario de Inversion'!$L$6,'Info RentaCorta'!$B$7:$F$8,2,0))
+IF('Escenario de Inversion'!$L$7="",0,HLOOKUP('Escenario de Inversion'!$L$7,'Info RentaCorta'!$B$7:$F$8,2,0))</f>
        <v>#N/A</v>
      </c>
      <c r="I14" s="108">
        <v>0</v>
      </c>
      <c r="J14" s="108">
        <v>0</v>
      </c>
      <c r="K14" s="108" t="e">
        <f>IF('Escenario de Inversion'!$L$3="",0,HLOOKUP('Escenario de Inversion'!$L$3,'Info RentaCorta'!$B$7:$F$8,2,0))
+IF('Escenario de Inversion'!$L$4="",0,HLOOKUP('Escenario de Inversion'!$L$4,'Info RentaCorta'!$B$7:$F$8,2,0))
+IF('Escenario de Inversion'!$L$5="",0,HLOOKUP('Escenario de Inversion'!$L$5,'Info RentaCorta'!$B$7:$F$8,2,0))
+IF('Escenario de Inversion'!$L$6="",0,HLOOKUP('Escenario de Inversion'!$L$6,'Info RentaCorta'!$B$7:$F$8,2,0))
+IF('Escenario de Inversion'!$L$7="",0,HLOOKUP('Escenario de Inversion'!$L$7,'Info RentaCorta'!$B$7:$F$8,2,0))</f>
        <v>#N/A</v>
      </c>
      <c r="L14" s="108">
        <v>0</v>
      </c>
      <c r="M14" s="108">
        <v>0</v>
      </c>
      <c r="N14" s="109" t="e">
        <f>IF('Escenario de Inversion'!$L$3="",0,HLOOKUP('Escenario de Inversion'!$L$3,'Info RentaCorta'!$B$7:$F$8,2,0))
+IF('Escenario de Inversion'!$L$4="",0,HLOOKUP('Escenario de Inversion'!$L$4,'Info RentaCorta'!$B$7:$F$8,2,0))
+IF('Escenario de Inversion'!$L$5="",0,HLOOKUP('Escenario de Inversion'!$L$5,'Info RentaCorta'!$B$7:$F$8,2,0))
+IF('Escenario de Inversion'!$L$6="",0,HLOOKUP('Escenario de Inversion'!$L$6,'Info RentaCorta'!$B$7:$F$8,2,0))
+IF('Escenario de Inversion'!$L$7="",0,HLOOKUP('Escenario de Inversion'!$L$7,'Info RentaCorta'!$B$7:$F$8,2,0))</f>
        <v>#N/A</v>
      </c>
    </row>
    <row r="15" spans="2:19" ht="17.5" x14ac:dyDescent="0.35">
      <c r="B15" s="120" t="s">
        <v>200</v>
      </c>
      <c r="C15" s="121">
        <v>0</v>
      </c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6"/>
    </row>
    <row r="16" spans="2:19" s="72" customFormat="1" x14ac:dyDescent="0.35">
      <c r="B16" s="111" t="s">
        <v>201</v>
      </c>
      <c r="C16" s="112" t="e">
        <f ca="1">SUM(C10:C15)</f>
        <v>#N/A</v>
      </c>
      <c r="D16" s="112" t="e">
        <f t="shared" ref="D16:N16" ca="1" si="3">SUM(D10:D15)</f>
        <v>#N/A</v>
      </c>
      <c r="E16" s="112" t="e">
        <f t="shared" ca="1" si="3"/>
        <v>#N/A</v>
      </c>
      <c r="F16" s="112" t="e">
        <f t="shared" ca="1" si="3"/>
        <v>#N/A</v>
      </c>
      <c r="G16" s="112" t="e">
        <f t="shared" ca="1" si="3"/>
        <v>#N/A</v>
      </c>
      <c r="H16" s="112" t="e">
        <f t="shared" ca="1" si="3"/>
        <v>#N/A</v>
      </c>
      <c r="I16" s="112" t="e">
        <f t="shared" ca="1" si="3"/>
        <v>#N/A</v>
      </c>
      <c r="J16" s="112" t="e">
        <f t="shared" ca="1" si="3"/>
        <v>#N/A</v>
      </c>
      <c r="K16" s="112" t="e">
        <f t="shared" ca="1" si="3"/>
        <v>#N/A</v>
      </c>
      <c r="L16" s="112" t="e">
        <f t="shared" ca="1" si="3"/>
        <v>#N/A</v>
      </c>
      <c r="M16" s="112" t="e">
        <f t="shared" ca="1" si="3"/>
        <v>#N/A</v>
      </c>
      <c r="N16" s="113" t="e">
        <f t="shared" ca="1" si="3"/>
        <v>#N/A</v>
      </c>
      <c r="P16" s="82"/>
    </row>
    <row r="17" spans="2:16" s="72" customFormat="1" x14ac:dyDescent="0.35"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9"/>
      <c r="P17" s="82"/>
    </row>
    <row r="18" spans="2:16" ht="15.65" customHeight="1" thickBot="1" x14ac:dyDescent="0.4">
      <c r="B18" s="103" t="s">
        <v>202</v>
      </c>
      <c r="C18" s="108" t="e">
        <f t="shared" ref="C18:N18" ca="1" si="4">C8-C16</f>
        <v>#N/A</v>
      </c>
      <c r="D18" s="108" t="e">
        <f t="shared" ca="1" si="4"/>
        <v>#N/A</v>
      </c>
      <c r="E18" s="108" t="e">
        <f t="shared" ca="1" si="4"/>
        <v>#N/A</v>
      </c>
      <c r="F18" s="108" t="e">
        <f t="shared" ca="1" si="4"/>
        <v>#N/A</v>
      </c>
      <c r="G18" s="108" t="e">
        <f t="shared" ca="1" si="4"/>
        <v>#N/A</v>
      </c>
      <c r="H18" s="108" t="e">
        <f t="shared" ca="1" si="4"/>
        <v>#N/A</v>
      </c>
      <c r="I18" s="108" t="e">
        <f t="shared" ca="1" si="4"/>
        <v>#N/A</v>
      </c>
      <c r="J18" s="108" t="e">
        <f t="shared" ca="1" si="4"/>
        <v>#N/A</v>
      </c>
      <c r="K18" s="108" t="e">
        <f t="shared" ca="1" si="4"/>
        <v>#N/A</v>
      </c>
      <c r="L18" s="108" t="e">
        <f t="shared" ca="1" si="4"/>
        <v>#N/A</v>
      </c>
      <c r="M18" s="108" t="e">
        <f t="shared" ca="1" si="4"/>
        <v>#N/A</v>
      </c>
      <c r="N18" s="109" t="e">
        <f t="shared" ca="1" si="4"/>
        <v>#N/A</v>
      </c>
    </row>
    <row r="19" spans="2:16" ht="15.9" customHeight="1" thickBot="1" x14ac:dyDescent="0.4">
      <c r="B19" s="83" t="s">
        <v>203</v>
      </c>
      <c r="C19" s="84" t="e">
        <f ca="1">C18</f>
        <v>#N/A</v>
      </c>
      <c r="D19" s="84" t="e">
        <f ca="1">D18+C19</f>
        <v>#N/A</v>
      </c>
      <c r="E19" s="84" t="e">
        <f t="shared" ref="E19:N19" ca="1" si="5">E18+D19</f>
        <v>#N/A</v>
      </c>
      <c r="F19" s="84" t="e">
        <f t="shared" ca="1" si="5"/>
        <v>#N/A</v>
      </c>
      <c r="G19" s="84" t="e">
        <f t="shared" ca="1" si="5"/>
        <v>#N/A</v>
      </c>
      <c r="H19" s="84" t="e">
        <f t="shared" ca="1" si="5"/>
        <v>#N/A</v>
      </c>
      <c r="I19" s="84" t="e">
        <f t="shared" ca="1" si="5"/>
        <v>#N/A</v>
      </c>
      <c r="J19" s="84" t="e">
        <f t="shared" ca="1" si="5"/>
        <v>#N/A</v>
      </c>
      <c r="K19" s="84" t="e">
        <f t="shared" ca="1" si="5"/>
        <v>#N/A</v>
      </c>
      <c r="L19" s="84" t="e">
        <f t="shared" ca="1" si="5"/>
        <v>#N/A</v>
      </c>
      <c r="M19" s="84" t="e">
        <f t="shared" ca="1" si="5"/>
        <v>#N/A</v>
      </c>
      <c r="N19" s="85" t="e">
        <f t="shared" ca="1" si="5"/>
        <v>#N/A</v>
      </c>
    </row>
    <row r="20" spans="2:16" ht="16.5" customHeight="1" x14ac:dyDescent="0.35"/>
    <row r="21" spans="2:16" x14ac:dyDescent="0.35">
      <c r="C21" s="86"/>
      <c r="H21" s="87"/>
      <c r="M21" s="88" t="s">
        <v>204</v>
      </c>
      <c r="N21" s="89" t="e">
        <f ca="1">N19/12</f>
        <v>#N/A</v>
      </c>
      <c r="P21" s="88"/>
    </row>
    <row r="22" spans="2:16" x14ac:dyDescent="0.35">
      <c r="B22" s="428" t="str">
        <f>CONCATENATE("* Valores referenciales, considerando ",(COUNTIF(SIMULACIÓN!C4:C8,"**")+COUNTIF(SIMULACIÓN!C4:C8,"&gt;0"))," dpto(s) y parámetros previamente definidos. Sujeto a evaluación bancaria y tasa de interés obtenida al momento del crédito y los ingresos y gastos asosiados.")</f>
        <v>* Valores referenciales, considerando 0 dpto(s) y parámetros previamente definidos. Sujeto a evaluación bancaria y tasa de interés obtenida al momento del crédito y los ingresos y gastos asosiados.</v>
      </c>
      <c r="C22" s="428"/>
      <c r="D22" s="428"/>
      <c r="E22" s="428"/>
      <c r="F22" s="428"/>
      <c r="G22" s="428"/>
      <c r="H22" s="91"/>
      <c r="I22" s="91"/>
      <c r="J22" s="91"/>
      <c r="K22" s="91"/>
      <c r="L22" s="91"/>
      <c r="M22" s="91"/>
      <c r="N22" s="92"/>
      <c r="P22" s="89"/>
    </row>
    <row r="23" spans="2:16" x14ac:dyDescent="0.35">
      <c r="B23" s="428"/>
      <c r="C23" s="428"/>
      <c r="D23" s="428"/>
      <c r="E23" s="428"/>
      <c r="F23" s="428"/>
      <c r="G23" s="428"/>
      <c r="P23" s="78"/>
    </row>
    <row r="24" spans="2:16" x14ac:dyDescent="0.35">
      <c r="B24" s="90"/>
      <c r="C24" s="90"/>
      <c r="D24" s="90"/>
      <c r="E24" s="90"/>
      <c r="F24" s="90"/>
      <c r="G24" s="90"/>
      <c r="P24" s="78"/>
    </row>
  </sheetData>
  <mergeCells count="2">
    <mergeCell ref="B2:N3"/>
    <mergeCell ref="B22:G23"/>
  </mergeCells>
  <dataValidations count="1">
    <dataValidation type="list" allowBlank="1" showInputMessage="1" showErrorMessage="1" sqref="P6" xr:uid="{55CE39B9-5AA2-41EB-87EE-C97389C3DDDD}">
      <formula1>"Si,No"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563D4-21C8-4493-A515-7820B01E023D}">
  <sheetPr>
    <tabColor rgb="FF2D2E83"/>
  </sheetPr>
  <dimension ref="B1:G10"/>
  <sheetViews>
    <sheetView showGridLines="0" zoomScale="90" zoomScaleNormal="90" workbookViewId="0">
      <selection activeCell="G5" sqref="G5"/>
    </sheetView>
  </sheetViews>
  <sheetFormatPr baseColWidth="10" defaultRowHeight="15.5" x14ac:dyDescent="0.35"/>
  <cols>
    <col min="2" max="2" width="16.4140625" bestFit="1" customWidth="1"/>
    <col min="3" max="3" width="12.08203125" bestFit="1" customWidth="1"/>
    <col min="4" max="5" width="11.08203125" bestFit="1" customWidth="1"/>
  </cols>
  <sheetData>
    <row r="1" spans="2:7" ht="16" thickBot="1" x14ac:dyDescent="0.4"/>
    <row r="2" spans="2:7" ht="16" thickTop="1" x14ac:dyDescent="0.35">
      <c r="B2" s="429" t="s">
        <v>190</v>
      </c>
      <c r="C2" s="430"/>
      <c r="D2" s="430"/>
      <c r="E2" s="430"/>
      <c r="F2" s="430"/>
      <c r="G2" s="431"/>
    </row>
    <row r="3" spans="2:7" x14ac:dyDescent="0.35">
      <c r="B3" s="93"/>
      <c r="C3" s="94" t="s">
        <v>106</v>
      </c>
      <c r="D3" s="94" t="s">
        <v>180</v>
      </c>
      <c r="E3" s="94" t="s">
        <v>181</v>
      </c>
      <c r="F3" s="94" t="s">
        <v>182</v>
      </c>
      <c r="G3" s="95" t="s">
        <v>214</v>
      </c>
    </row>
    <row r="4" spans="2:7" x14ac:dyDescent="0.35">
      <c r="B4" s="93" t="s">
        <v>205</v>
      </c>
      <c r="C4" s="96">
        <v>35000</v>
      </c>
      <c r="D4" s="96">
        <v>50000</v>
      </c>
      <c r="E4" s="96">
        <v>70000</v>
      </c>
      <c r="F4" s="96">
        <v>75000</v>
      </c>
      <c r="G4" s="97">
        <v>80000</v>
      </c>
    </row>
    <row r="5" spans="2:7" x14ac:dyDescent="0.35">
      <c r="B5" s="93" t="s">
        <v>206</v>
      </c>
      <c r="C5" s="96">
        <v>350000</v>
      </c>
      <c r="D5" s="96">
        <v>460000</v>
      </c>
      <c r="E5" s="96">
        <v>510000</v>
      </c>
      <c r="F5" s="96">
        <v>680000</v>
      </c>
      <c r="G5" s="97">
        <v>750000</v>
      </c>
    </row>
    <row r="6" spans="2:7" x14ac:dyDescent="0.35">
      <c r="B6" s="432"/>
      <c r="C6" s="433"/>
      <c r="D6" s="433"/>
      <c r="E6" s="433"/>
      <c r="F6" s="433"/>
      <c r="G6" s="434"/>
    </row>
    <row r="7" spans="2:7" x14ac:dyDescent="0.35">
      <c r="B7" s="93" t="s">
        <v>207</v>
      </c>
      <c r="C7" s="94" t="s">
        <v>106</v>
      </c>
      <c r="D7" s="94" t="s">
        <v>180</v>
      </c>
      <c r="E7" s="94" t="s">
        <v>181</v>
      </c>
      <c r="F7" s="94" t="s">
        <v>182</v>
      </c>
      <c r="G7" s="95" t="s">
        <v>214</v>
      </c>
    </row>
    <row r="8" spans="2:7" x14ac:dyDescent="0.35">
      <c r="B8" s="93" t="s">
        <v>199</v>
      </c>
      <c r="C8" s="96">
        <v>30000</v>
      </c>
      <c r="D8" s="96">
        <v>40000</v>
      </c>
      <c r="E8" s="96">
        <v>50000</v>
      </c>
      <c r="F8" s="96">
        <v>60000</v>
      </c>
      <c r="G8" s="98">
        <v>70000</v>
      </c>
    </row>
    <row r="9" spans="2:7" ht="16" thickBot="1" x14ac:dyDescent="0.4">
      <c r="B9" s="99" t="s">
        <v>208</v>
      </c>
      <c r="C9" s="100">
        <v>1800</v>
      </c>
      <c r="D9" s="100">
        <v>1800</v>
      </c>
      <c r="E9" s="100">
        <v>1800</v>
      </c>
      <c r="F9" s="100">
        <v>1800</v>
      </c>
      <c r="G9" s="101"/>
    </row>
    <row r="10" spans="2:7" ht="16" thickTop="1" x14ac:dyDescent="0.35">
      <c r="B10" s="70"/>
      <c r="C10" s="102"/>
      <c r="D10" s="102"/>
      <c r="E10" s="102"/>
      <c r="F10" s="102"/>
      <c r="G10" s="102"/>
    </row>
  </sheetData>
  <mergeCells count="2">
    <mergeCell ref="B2:G2"/>
    <mergeCell ref="B6:G6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F658D-384C-4CB1-B047-C045BE5223A0}">
  <sheetPr codeName="Hoja4">
    <tabColor theme="4" tint="0.59999389629810485"/>
  </sheetPr>
  <dimension ref="A1:W29"/>
  <sheetViews>
    <sheetView showGridLines="0" zoomScale="78" zoomScaleNormal="78" zoomScalePageLayoutView="80" workbookViewId="0">
      <selection activeCell="C5" sqref="C5"/>
    </sheetView>
  </sheetViews>
  <sheetFormatPr baseColWidth="10" defaultColWidth="10.9140625" defaultRowHeight="15.5" x14ac:dyDescent="0.35"/>
  <cols>
    <col min="1" max="1" width="3" style="157" customWidth="1"/>
    <col min="2" max="2" width="27.6640625" style="157" bestFit="1" customWidth="1"/>
    <col min="3" max="4" width="12.9140625" style="157" bestFit="1" customWidth="1"/>
    <col min="5" max="5" width="10" style="157" bestFit="1" customWidth="1"/>
    <col min="6" max="6" width="10.9140625" style="157" bestFit="1" customWidth="1"/>
    <col min="7" max="7" width="13.1640625" style="157" bestFit="1" customWidth="1"/>
    <col min="8" max="8" width="9.08203125" style="157" bestFit="1" customWidth="1"/>
    <col min="9" max="9" width="7.58203125" style="157" bestFit="1" customWidth="1"/>
    <col min="10" max="10" width="11.08203125" style="157" bestFit="1" customWidth="1"/>
    <col min="11" max="11" width="4.5" style="157" bestFit="1" customWidth="1"/>
    <col min="12" max="12" width="9.9140625" style="157" bestFit="1" customWidth="1"/>
    <col min="13" max="13" width="18.5" style="157" bestFit="1" customWidth="1"/>
    <col min="14" max="14" width="13.9140625" style="157" bestFit="1" customWidth="1"/>
    <col min="15" max="15" width="9.5" style="160" customWidth="1"/>
    <col min="16" max="16" width="9.4140625" style="157" customWidth="1"/>
    <col min="17" max="17" width="13.4140625" style="157" bestFit="1" customWidth="1"/>
    <col min="18" max="18" width="10.6640625" style="157" bestFit="1" customWidth="1"/>
    <col min="19" max="19" width="8.9140625" style="157" bestFit="1" customWidth="1"/>
    <col min="20" max="20" width="11.58203125" style="157" bestFit="1" customWidth="1"/>
    <col min="21" max="21" width="13.08203125" style="157" bestFit="1" customWidth="1"/>
    <col min="22" max="16384" width="10.9140625" style="157"/>
  </cols>
  <sheetData>
    <row r="1" spans="1:23" x14ac:dyDescent="0.35">
      <c r="B1" s="435" t="s">
        <v>120</v>
      </c>
      <c r="C1" s="436"/>
      <c r="D1" s="436"/>
      <c r="E1" s="437"/>
      <c r="F1" s="158"/>
      <c r="G1" s="158"/>
      <c r="H1" s="158"/>
      <c r="I1" s="159" t="s">
        <v>121</v>
      </c>
      <c r="J1" s="159"/>
      <c r="K1" s="159">
        <f>'Escenario de Inversion'!D19</f>
        <v>30</v>
      </c>
      <c r="L1" s="158"/>
      <c r="M1" s="158"/>
    </row>
    <row r="2" spans="1:23" s="162" customFormat="1" ht="16" thickBot="1" x14ac:dyDescent="0.4">
      <c r="A2" s="157"/>
      <c r="B2" s="438"/>
      <c r="C2" s="439"/>
      <c r="D2" s="439"/>
      <c r="E2" s="440"/>
      <c r="F2" s="161"/>
      <c r="G2" s="161"/>
      <c r="H2" s="161"/>
      <c r="I2" s="161"/>
      <c r="J2" s="161"/>
      <c r="K2" s="161"/>
      <c r="L2" s="161"/>
      <c r="M2" s="161"/>
      <c r="N2" s="49"/>
      <c r="O2" s="49"/>
      <c r="P2" s="49"/>
      <c r="Q2" s="49"/>
      <c r="R2" s="49"/>
      <c r="S2" s="49"/>
      <c r="T2" s="49"/>
      <c r="U2" s="49"/>
    </row>
    <row r="3" spans="1:23" ht="30.75" customHeight="1" x14ac:dyDescent="0.35">
      <c r="B3" s="33" t="s">
        <v>78</v>
      </c>
      <c r="C3" s="33" t="s">
        <v>81</v>
      </c>
      <c r="D3" s="33" t="s">
        <v>8</v>
      </c>
      <c r="E3" s="33" t="s">
        <v>122</v>
      </c>
      <c r="F3" s="34" t="s">
        <v>84</v>
      </c>
      <c r="G3" s="34" t="s">
        <v>123</v>
      </c>
      <c r="H3" s="34" t="s">
        <v>124</v>
      </c>
      <c r="I3" s="35" t="s">
        <v>125</v>
      </c>
      <c r="J3" s="35" t="s">
        <v>9</v>
      </c>
      <c r="K3" s="34" t="s">
        <v>126</v>
      </c>
      <c r="L3" s="34" t="s">
        <v>127</v>
      </c>
      <c r="M3" s="34" t="s">
        <v>128</v>
      </c>
      <c r="N3" s="34" t="s">
        <v>129</v>
      </c>
      <c r="O3" s="34" t="s">
        <v>130</v>
      </c>
      <c r="P3" s="34" t="s">
        <v>131</v>
      </c>
      <c r="Q3" s="36" t="s">
        <v>132</v>
      </c>
      <c r="R3" s="37" t="s">
        <v>133</v>
      </c>
      <c r="S3" s="34" t="s">
        <v>134</v>
      </c>
      <c r="T3" s="37" t="s">
        <v>135</v>
      </c>
      <c r="U3" s="37" t="s">
        <v>136</v>
      </c>
    </row>
    <row r="4" spans="1:23" ht="15" customHeight="1" x14ac:dyDescent="0.35">
      <c r="B4" s="163" t="s">
        <v>159</v>
      </c>
      <c r="C4" s="164">
        <f>'Escenario de Inversion'!D12</f>
        <v>0</v>
      </c>
      <c r="D4" s="164" t="str">
        <f>IFERROR(VLOOKUP(C4,'Macul View - Macul'!$B$2:$AL$1074,3,0),"0")</f>
        <v>0</v>
      </c>
      <c r="E4" s="164" t="str">
        <f>IFERROR(VLOOKUP(C4,'Macul View - Macul'!$B$2:$AL$1074,2,0),"0")</f>
        <v>0</v>
      </c>
      <c r="F4" s="164" t="str">
        <f>IFERROR(VLOOKUP(C4,'Macul View - Macul'!$B$2:$AL$1074,4,0),"0")</f>
        <v>0</v>
      </c>
      <c r="G4" s="164" t="str">
        <f>IFERROR(VLOOKUP(C4,'Macul View - Macul'!$B$2:$AL$1074,8,0),"0")</f>
        <v>0</v>
      </c>
      <c r="H4" s="165" t="str">
        <f>IFERROR(VLOOKUP(C4,'Macul View - Macul'!$B$2:$AL$1074,9,0),"0")</f>
        <v>0</v>
      </c>
      <c r="I4" s="166" t="str">
        <f>IFERROR(VLOOKUP(C4,'Macul View - Macul'!$B$2:$AL$1074,10,0),"0")</f>
        <v>0</v>
      </c>
      <c r="J4" s="164" t="str">
        <f>IFERROR(VLOOKUP(C4,'Macul View - Macul'!$B$2:$AL$1074,11,0),"0")</f>
        <v>0</v>
      </c>
      <c r="K4" s="164" t="str">
        <f>IFERROR(VLOOKUP(C4,'Macul View - Macul'!$B$2:$AL$1074,12,0),"0")</f>
        <v>0</v>
      </c>
      <c r="L4" s="165" t="str">
        <f>IFERROR(VLOOKUP(C4,'Macul View - Macul'!$B$2:$AL$1074,13,0),"0")</f>
        <v>0</v>
      </c>
      <c r="M4" s="165" t="str">
        <f>IFERROR(VLOOKUP(C4,'Macul View - Macul'!$B$2:$AL$1074,14,0),"0")</f>
        <v>0</v>
      </c>
      <c r="N4" s="165">
        <f t="shared" ref="N4" si="0">M4*O4</f>
        <v>0</v>
      </c>
      <c r="O4" s="167">
        <f t="shared" ref="O4" si="1">100%-P4-Q4</f>
        <v>1</v>
      </c>
      <c r="P4" s="167" t="str">
        <f>IFERROR(VLOOKUP(C4,'Macul View - Macul'!$B$2:$AL$1074,16,0),"0")</f>
        <v>0</v>
      </c>
      <c r="Q4" s="167" t="str">
        <f>IFERROR(VLOOKUP(C4,'Macul View - Macul'!$B$2:$AL$1074,20,0),"0")</f>
        <v>0</v>
      </c>
      <c r="R4" s="168">
        <f ca="1">M4*Q4*VLOOKUP(TODAY(),'UF HOY'!$A$2:$B$33,2,0)</f>
        <v>0</v>
      </c>
      <c r="S4" s="169" t="str">
        <f>IFERROR(VLOOKUP(C4,'Macul View - Macul'!$B$2:$AL$1074,23,0),"0")</f>
        <v>0</v>
      </c>
      <c r="T4" s="170" t="e">
        <f t="shared" ref="T4" ca="1" si="2">R4/S4</f>
        <v>#DIV/0!</v>
      </c>
      <c r="U4" s="170" t="str">
        <f>IFERROR(VLOOKUP(C4,'Macul View - Macul'!$B$2:$AL$1074,27,0),"0")</f>
        <v>0</v>
      </c>
      <c r="V4" s="171"/>
      <c r="W4" s="171"/>
    </row>
    <row r="5" spans="1:23" x14ac:dyDescent="0.35">
      <c r="B5" s="163"/>
      <c r="C5" s="164"/>
      <c r="D5" s="164"/>
      <c r="E5" s="164"/>
      <c r="F5" s="164"/>
      <c r="G5" s="164"/>
      <c r="H5" s="165"/>
      <c r="I5" s="166"/>
      <c r="J5" s="164"/>
      <c r="K5" s="164"/>
      <c r="L5" s="165"/>
      <c r="M5" s="165"/>
      <c r="N5" s="165"/>
      <c r="O5" s="167"/>
      <c r="P5" s="167"/>
      <c r="Q5" s="167"/>
      <c r="R5" s="168"/>
      <c r="S5" s="169"/>
      <c r="T5" s="170"/>
      <c r="U5" s="170"/>
    </row>
    <row r="6" spans="1:23" x14ac:dyDescent="0.35">
      <c r="B6" s="163"/>
      <c r="C6" s="164"/>
      <c r="D6" s="164"/>
      <c r="E6" s="164"/>
      <c r="F6" s="164"/>
      <c r="G6" s="164"/>
      <c r="H6" s="165"/>
      <c r="I6" s="166"/>
      <c r="J6" s="164"/>
      <c r="K6" s="164"/>
      <c r="L6" s="165"/>
      <c r="M6" s="165"/>
      <c r="N6" s="165"/>
      <c r="O6" s="167"/>
      <c r="P6" s="167"/>
      <c r="Q6" s="167"/>
      <c r="R6" s="168"/>
      <c r="S6" s="169"/>
      <c r="T6" s="170"/>
      <c r="U6" s="170"/>
    </row>
    <row r="7" spans="1:23" x14ac:dyDescent="0.35">
      <c r="B7" s="163"/>
      <c r="C7" s="164"/>
      <c r="D7" s="164"/>
      <c r="E7" s="164"/>
      <c r="F7" s="164"/>
      <c r="G7" s="164"/>
      <c r="H7" s="165"/>
      <c r="I7" s="166"/>
      <c r="J7" s="164"/>
      <c r="K7" s="164"/>
      <c r="L7" s="165"/>
      <c r="M7" s="165"/>
      <c r="N7" s="165"/>
      <c r="O7" s="167"/>
      <c r="P7" s="167"/>
      <c r="Q7" s="167"/>
      <c r="R7" s="168"/>
      <c r="S7" s="169"/>
      <c r="T7" s="170"/>
      <c r="U7" s="170"/>
    </row>
    <row r="8" spans="1:23" x14ac:dyDescent="0.35">
      <c r="B8" s="163"/>
      <c r="C8" s="164"/>
      <c r="D8" s="164"/>
      <c r="E8" s="164"/>
      <c r="F8" s="164"/>
      <c r="G8" s="164"/>
      <c r="H8" s="165"/>
      <c r="I8" s="166"/>
      <c r="J8" s="164"/>
      <c r="K8" s="164"/>
      <c r="L8" s="165"/>
      <c r="M8" s="165"/>
      <c r="N8" s="165"/>
      <c r="O8" s="167"/>
      <c r="P8" s="167"/>
      <c r="Q8" s="167"/>
      <c r="R8" s="168"/>
      <c r="S8" s="169"/>
      <c r="T8" s="170"/>
      <c r="U8" s="170"/>
    </row>
    <row r="9" spans="1:23" x14ac:dyDescent="0.35">
      <c r="B9" s="161"/>
      <c r="C9" s="172"/>
      <c r="D9" s="161"/>
      <c r="E9" s="161"/>
      <c r="F9" s="173"/>
      <c r="G9" s="173"/>
      <c r="H9" s="158"/>
      <c r="I9" s="161"/>
      <c r="J9" s="158"/>
      <c r="K9" s="161"/>
      <c r="L9" s="161"/>
      <c r="M9" s="174"/>
      <c r="N9" s="161"/>
      <c r="O9" s="161"/>
      <c r="P9" s="161"/>
      <c r="Q9" s="161"/>
      <c r="R9" s="175"/>
      <c r="S9" s="161"/>
      <c r="T9" s="175"/>
      <c r="U9" s="161"/>
    </row>
    <row r="10" spans="1:23" ht="28.5" customHeight="1" x14ac:dyDescent="0.35">
      <c r="B10" s="441" t="s">
        <v>137</v>
      </c>
      <c r="C10" s="442"/>
      <c r="D10" s="442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3"/>
    </row>
    <row r="11" spans="1:23" ht="29" x14ac:dyDescent="0.35">
      <c r="B11" s="33" t="s">
        <v>137</v>
      </c>
      <c r="C11" s="33" t="s">
        <v>81</v>
      </c>
      <c r="D11" s="33" t="s">
        <v>8</v>
      </c>
      <c r="E11" s="33" t="s">
        <v>122</v>
      </c>
      <c r="F11" s="34" t="s">
        <v>84</v>
      </c>
      <c r="G11" s="34" t="s">
        <v>123</v>
      </c>
      <c r="H11" s="34" t="s">
        <v>124</v>
      </c>
      <c r="I11" s="35" t="s">
        <v>125</v>
      </c>
      <c r="J11" s="35" t="s">
        <v>9</v>
      </c>
      <c r="K11" s="34" t="s">
        <v>10</v>
      </c>
      <c r="L11" s="34" t="s">
        <v>127</v>
      </c>
      <c r="M11" s="34" t="s">
        <v>128</v>
      </c>
      <c r="N11" s="34" t="s">
        <v>129</v>
      </c>
      <c r="O11" s="34" t="s">
        <v>130</v>
      </c>
      <c r="P11" s="34" t="s">
        <v>96</v>
      </c>
      <c r="Q11" s="36" t="s">
        <v>132</v>
      </c>
      <c r="R11" s="37" t="s">
        <v>133</v>
      </c>
      <c r="S11" s="34" t="s">
        <v>134</v>
      </c>
      <c r="T11" s="37" t="s">
        <v>135</v>
      </c>
      <c r="U11" s="37" t="s">
        <v>136</v>
      </c>
    </row>
    <row r="12" spans="1:23" ht="15" customHeight="1" x14ac:dyDescent="0.35">
      <c r="B12" s="163" t="s">
        <v>159</v>
      </c>
      <c r="C12" s="164">
        <v>1107</v>
      </c>
      <c r="D12" s="164" t="str">
        <f>IFERROR(VLOOKUP(C12,'Macul View - Macul'!$B$2:$AL$1074,3,0),"0")</f>
        <v>1D+1B</v>
      </c>
      <c r="E12" s="164" t="str">
        <f>IFERROR(VLOOKUP(C12,'Macul View - Macul'!$B$2:$AL$1074,2,0),"0")</f>
        <v>N</v>
      </c>
      <c r="F12" s="164">
        <f>IFERROR(VLOOKUP(C12,'Macul View - Macul'!$B$2:$AL$1074,4,0),"0")</f>
        <v>0</v>
      </c>
      <c r="G12" s="164">
        <f>IFERROR(VLOOKUP(C12,'Macul View - Macul'!$B$2:$AL$1074,8,0),"0")</f>
        <v>35.46</v>
      </c>
      <c r="H12" s="165">
        <f>IFERROR(VLOOKUP(C12,'Macul View - Macul'!$B$2:$AL$1074,9,0),"0")</f>
        <v>2939</v>
      </c>
      <c r="I12" s="166">
        <f>IFERROR(VLOOKUP(C12,'Macul View - Macul'!$B$2:$AL$1074,10,0),"0")</f>
        <v>0</v>
      </c>
      <c r="J12" s="164">
        <f>IFERROR(VLOOKUP(C12,'Macul View - Macul'!$B$2:$AL$1074,11,0),"0")</f>
        <v>0</v>
      </c>
      <c r="K12" s="164">
        <f>IFERROR(VLOOKUP(C12,'Macul View - Macul'!$B$2:$AL$1074,12,0),"0")</f>
        <v>0</v>
      </c>
      <c r="L12" s="165">
        <f>IFERROR(VLOOKUP(C12,'Macul View - Macul'!$B$2:$AL$1074,13,0),"0")</f>
        <v>2939</v>
      </c>
      <c r="M12" s="165">
        <f>IFERROR(VLOOKUP(C12,'Macul View - Macul'!$B$2:$AL$1074,14,0),"0")</f>
        <v>3265.5555555555557</v>
      </c>
      <c r="N12" s="165">
        <f t="shared" ref="N12" si="3">M12*O12</f>
        <v>2612.4444444444448</v>
      </c>
      <c r="O12" s="167">
        <f t="shared" ref="O12" si="4">100%-P12-Q12</f>
        <v>0.8</v>
      </c>
      <c r="P12" s="167">
        <f>IFERROR(VLOOKUP(C12,'Macul View - Macul'!$B$2:$AL$1074,16,0),"0")</f>
        <v>0.1</v>
      </c>
      <c r="Q12" s="167">
        <f>IFERROR(VLOOKUP(C12,'Macul View - Macul'!$B$2:$AL$1074,20,0),"0")</f>
        <v>9.9999999999999978E-2</v>
      </c>
      <c r="R12" s="168">
        <f ca="1">M12*Q12*VLOOKUP(TODAY(),'UF HOY'!$A$2:$B$33,2,0)</f>
        <v>12975338.851111108</v>
      </c>
      <c r="S12" s="169">
        <f>IFERROR(VLOOKUP(C12,'Macul View - Macul'!$B$2:$AL$1074,23,0),"0")</f>
        <v>31</v>
      </c>
      <c r="T12" s="170">
        <f t="shared" ref="T12" ca="1" si="5">R12/S12</f>
        <v>418559.31777777767</v>
      </c>
      <c r="U12" s="170">
        <f>IFERROR(VLOOKUP(C12,'Macul View - Macul'!$B$2:$AL$1074,27,0),"0")</f>
        <v>370000</v>
      </c>
      <c r="V12" s="171"/>
      <c r="W12" s="171"/>
    </row>
    <row r="13" spans="1:23" ht="15" customHeight="1" x14ac:dyDescent="0.35">
      <c r="B13" s="163" t="s">
        <v>209</v>
      </c>
      <c r="C13" s="164">
        <v>429</v>
      </c>
      <c r="D13" s="164" t="str">
        <f>IFERROR(VLOOKUP(C13,'Ñuñoa View - Ñuñoa'!$B$2:$AM$955,3,0),"0")</f>
        <v>2D2B</v>
      </c>
      <c r="E13" s="164" t="str">
        <f>IFERROR(VLOOKUP(C13,'Ñuñoa View - Ñuñoa'!$B$2:$AM$955,2,0),"0")</f>
        <v>NORPONIENTE</v>
      </c>
      <c r="F13" s="164" t="str">
        <f>IFERROR(VLOOKUP(C13,'Ñuñoa View - Ñuñoa'!$B$2:$AM$955,4,0),"0")</f>
        <v>D2</v>
      </c>
      <c r="G13" s="164">
        <f>IFERROR(VLOOKUP(C13,'Ñuñoa View - Ñuñoa'!$B$2:$AM$955,8,0),"0")</f>
        <v>70.459999999999994</v>
      </c>
      <c r="H13" s="165">
        <f>IFERROR(VLOOKUP(C13,'Ñuñoa View - Ñuñoa'!$B$2:$AM$955,9,0),"0")</f>
        <v>6029.0007150264</v>
      </c>
      <c r="I13" s="166">
        <f>IFERROR(VLOOKUP(C13,'Ñuñoa View - Ñuñoa'!$B$2:$AM$955,10,0),"0")</f>
        <v>0</v>
      </c>
      <c r="J13" s="164">
        <f>IFERROR(VLOOKUP(C13,'Ñuñoa View - Ñuñoa'!$B$2:$AM$955,11,0),"0")</f>
        <v>0</v>
      </c>
      <c r="K13" s="164">
        <f>IFERROR(VLOOKUP(C13,'Ñuñoa View - Ñuñoa'!$B$2:$AM$955,12,0),"0")</f>
        <v>0</v>
      </c>
      <c r="L13" s="165">
        <f>IFERROR(VLOOKUP(C13,'Ñuñoa View - Ñuñoa'!$B$2:$AM$955,13,0),"0")</f>
        <v>5426.1006435237596</v>
      </c>
      <c r="M13" s="165">
        <f>IFERROR(VLOOKUP(C13,'Ñuñoa View - Ñuñoa'!$B$2:$AM$955,14,0),"0")</f>
        <v>6029.0007150264</v>
      </c>
      <c r="N13" s="165">
        <f t="shared" ref="N13" si="6">M13*O13</f>
        <v>4823.20057202112</v>
      </c>
      <c r="O13" s="167">
        <f t="shared" ref="O13" si="7">100%-P13-Q13</f>
        <v>0.8</v>
      </c>
      <c r="P13" s="167">
        <f>IFERROR(VLOOKUP(C13,'Ñuñoa View - Ñuñoa'!$B$2:$AM$955,16,0),"0")</f>
        <v>0.1</v>
      </c>
      <c r="Q13" s="167">
        <f>IFERROR(VLOOKUP(C13,'Ñuñoa View - Ñuñoa'!$B$2:$AM$955,20,0),"0")</f>
        <v>9.9999999999999978E-2</v>
      </c>
      <c r="R13" s="168">
        <f ca="1">M13*Q13*VLOOKUP(TODAY(),'UF HOY'!$A$2:$B$33,2,0)</f>
        <v>23955595.267081603</v>
      </c>
      <c r="S13" s="169">
        <f>IFERROR(VLOOKUP(C13,'Ñuñoa View - Ñuñoa'!$B$2:$AM$955,23,0),"0")</f>
        <v>1</v>
      </c>
      <c r="T13" s="170">
        <f t="shared" ref="T13" ca="1" si="8">R13/S13</f>
        <v>23955595.267081603</v>
      </c>
      <c r="U13" s="170">
        <f>IFERROR(VLOOKUP(C13,'Ñuñoa View - Ñuñoa'!$B$2:$AM$955,27,0),"0")</f>
        <v>620000</v>
      </c>
      <c r="V13" s="171"/>
      <c r="W13" s="171"/>
    </row>
    <row r="14" spans="1:23" ht="15" customHeight="1" x14ac:dyDescent="0.35">
      <c r="B14" s="163"/>
      <c r="C14" s="164"/>
      <c r="D14" s="164"/>
      <c r="E14" s="164"/>
      <c r="F14" s="164"/>
      <c r="G14" s="164"/>
      <c r="H14" s="165"/>
      <c r="I14" s="166"/>
      <c r="J14" s="164"/>
      <c r="K14" s="164"/>
      <c r="L14" s="165"/>
      <c r="M14" s="165"/>
      <c r="N14" s="165"/>
      <c r="O14" s="167"/>
      <c r="P14" s="167"/>
      <c r="Q14" s="167"/>
      <c r="R14" s="168"/>
      <c r="S14" s="169"/>
      <c r="T14" s="170"/>
      <c r="U14" s="170"/>
      <c r="V14" s="171"/>
      <c r="W14" s="171"/>
    </row>
    <row r="15" spans="1:23" ht="15" customHeight="1" x14ac:dyDescent="0.35">
      <c r="B15" s="176"/>
      <c r="C15" s="8"/>
      <c r="D15" s="8"/>
      <c r="E15" s="8"/>
      <c r="F15" s="8"/>
      <c r="G15" s="8"/>
      <c r="H15" s="177"/>
      <c r="I15" s="178"/>
      <c r="J15" s="8"/>
      <c r="K15" s="8"/>
      <c r="L15" s="177"/>
      <c r="M15" s="177"/>
      <c r="N15" s="177"/>
      <c r="O15" s="179"/>
      <c r="P15" s="179"/>
      <c r="Q15" s="179"/>
      <c r="R15" s="180"/>
      <c r="S15" s="181"/>
      <c r="T15" s="171"/>
      <c r="U15" s="171"/>
      <c r="V15" s="171"/>
      <c r="W15" s="171"/>
    </row>
    <row r="16" spans="1:23" x14ac:dyDescent="0.35">
      <c r="B16" s="49" t="s">
        <v>108</v>
      </c>
      <c r="C16" s="11">
        <f>(VLOOKUP(B4,Datos!C2:D4,2,0)*(COUNTIF(C4:C8,"**")+COUNTIF(C4:C8,"&gt;0")))</f>
        <v>0</v>
      </c>
      <c r="D16" s="49"/>
      <c r="I16" s="445"/>
      <c r="J16" s="445"/>
    </row>
    <row r="17" spans="2:10" x14ac:dyDescent="0.35">
      <c r="B17" s="49" t="s">
        <v>138</v>
      </c>
      <c r="C17" s="11">
        <f>'Escenario de Inversion'!D16</f>
        <v>0</v>
      </c>
      <c r="D17" s="8"/>
      <c r="E17" s="8"/>
      <c r="J17" s="182"/>
    </row>
    <row r="18" spans="2:10" x14ac:dyDescent="0.35">
      <c r="B18" s="49"/>
      <c r="C18" s="49"/>
      <c r="D18" s="49"/>
      <c r="J18" s="182"/>
    </row>
    <row r="19" spans="2:10" x14ac:dyDescent="0.35">
      <c r="B19" s="49"/>
      <c r="C19" s="49"/>
      <c r="D19" s="49"/>
      <c r="J19" s="182"/>
    </row>
    <row r="20" spans="2:10" x14ac:dyDescent="0.35">
      <c r="B20" s="444" t="str">
        <f>VLOOKUP(B4,Datos!C2:L4,10,0)</f>
        <v>Opción 1: 31 Cuotas (Sólo ForPay)</v>
      </c>
      <c r="C20" s="444"/>
      <c r="D20" s="444"/>
    </row>
    <row r="21" spans="2:10" x14ac:dyDescent="0.35">
      <c r="B21" s="49" t="s">
        <v>29</v>
      </c>
      <c r="C21" s="49" t="s">
        <v>139</v>
      </c>
      <c r="D21" s="49" t="s">
        <v>31</v>
      </c>
    </row>
    <row r="22" spans="2:10" x14ac:dyDescent="0.35">
      <c r="B22" s="49" t="str">
        <f>VLOOKUP(B4,Datos!C2:I4,7,0)</f>
        <v>31 Cuotas ForPay</v>
      </c>
      <c r="C22" s="11">
        <f ca="1">IF(((SUM(R4:R9)-C17-C16)/VLOOKUP(B4,Datos!C2:'Datos'!E4,3,0))&gt;0,((SUM(R4:R9)-C17-C16)/VLOOKUP(B4,Datos!C2:'Datos'!E4,3,0)),0)</f>
        <v>0</v>
      </c>
      <c r="D22" s="11">
        <f ca="1">C22*VLOOKUP(B4,Datos!C2:'Datos'!E4,3,0)</f>
        <v>0</v>
      </c>
      <c r="G22" s="182"/>
    </row>
    <row r="23" spans="2:10" x14ac:dyDescent="0.35">
      <c r="B23" s="49"/>
      <c r="C23" s="11"/>
      <c r="D23" s="11"/>
    </row>
    <row r="24" spans="2:10" x14ac:dyDescent="0.35">
      <c r="B24" s="49"/>
      <c r="C24" s="11"/>
      <c r="D24" s="11"/>
    </row>
    <row r="25" spans="2:10" x14ac:dyDescent="0.35">
      <c r="B25" s="444" t="str">
        <f>VLOOKUP(B4,Datos!C2:M4,11,0)</f>
        <v>Opción 2: 55 Cuotas (ForPay + TC)</v>
      </c>
      <c r="C25" s="444"/>
      <c r="D25" s="444"/>
    </row>
    <row r="26" spans="2:10" x14ac:dyDescent="0.35">
      <c r="B26" s="49" t="s">
        <v>29</v>
      </c>
      <c r="C26" s="11" t="s">
        <v>139</v>
      </c>
      <c r="D26" s="11" t="s">
        <v>31</v>
      </c>
    </row>
    <row r="27" spans="2:10" x14ac:dyDescent="0.35">
      <c r="B27" s="49" t="str">
        <f>VLOOKUP(B4,Datos!C2:J4,8,0)</f>
        <v>31 Cuotas ForPay</v>
      </c>
      <c r="C27" s="11">
        <f ca="1">VLOOKUP(B4,Datos!C2:O4,13,0)</f>
        <v>0</v>
      </c>
      <c r="D27" s="11">
        <f ca="1">C27*VLOOKUP(B4,Datos!C2:F4,4,0)</f>
        <v>0</v>
      </c>
    </row>
    <row r="28" spans="2:10" x14ac:dyDescent="0.35">
      <c r="B28" s="49" t="str">
        <f>VLOOKUP(B4,Datos!C2:K4,9,0)</f>
        <v>24 Cuotas TC</v>
      </c>
      <c r="C28" s="11">
        <f ca="1">VLOOKUP(B4,Datos!C2:P4,14,0)/VLOOKUP(B4,Datos!C2:G4,5,0)</f>
        <v>0</v>
      </c>
      <c r="D28" s="11">
        <f ca="1">C28*VLOOKUP(B4,Datos!C2:G4,5,0)</f>
        <v>0</v>
      </c>
    </row>
    <row r="29" spans="2:10" x14ac:dyDescent="0.35">
      <c r="C29" s="157" t="s">
        <v>31</v>
      </c>
      <c r="D29" s="183">
        <f ca="1">D27+D28</f>
        <v>0</v>
      </c>
    </row>
  </sheetData>
  <mergeCells count="5">
    <mergeCell ref="B1:E2"/>
    <mergeCell ref="B10:U10"/>
    <mergeCell ref="B20:D20"/>
    <mergeCell ref="B25:D25"/>
    <mergeCell ref="I16:J16"/>
  </mergeCells>
  <pageMargins left="0.7" right="0.7" top="0.75" bottom="0.75" header="0.3" footer="0.3"/>
  <pageSetup orientation="portrait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D3:H16"/>
  <sheetViews>
    <sheetView workbookViewId="0">
      <selection activeCell="D3" sqref="D3:H5"/>
    </sheetView>
  </sheetViews>
  <sheetFormatPr baseColWidth="10" defaultColWidth="10.58203125" defaultRowHeight="15.5" x14ac:dyDescent="0.35"/>
  <cols>
    <col min="1" max="3" width="10.58203125" style="6"/>
    <col min="4" max="4" width="14" style="6" customWidth="1"/>
    <col min="5" max="5" width="13.9140625" style="6" bestFit="1" customWidth="1"/>
    <col min="6" max="6" width="13.4140625" style="6" bestFit="1" customWidth="1"/>
    <col min="7" max="7" width="11.6640625" style="6" customWidth="1"/>
    <col min="8" max="8" width="13.9140625" style="6" customWidth="1"/>
    <col min="9" max="16384" width="10.58203125" style="6"/>
  </cols>
  <sheetData>
    <row r="3" spans="4:8" x14ac:dyDescent="0.35">
      <c r="D3" s="9" t="s">
        <v>78</v>
      </c>
      <c r="E3" s="9" t="s">
        <v>140</v>
      </c>
      <c r="F3" s="9" t="s">
        <v>141</v>
      </c>
      <c r="G3" s="9" t="s">
        <v>142</v>
      </c>
      <c r="H3" s="9" t="s">
        <v>143</v>
      </c>
    </row>
    <row r="4" spans="4:8" x14ac:dyDescent="0.35">
      <c r="D4" s="7" t="s">
        <v>158</v>
      </c>
      <c r="E4" s="7">
        <v>1402</v>
      </c>
      <c r="F4" s="10">
        <v>3208.8888888888887</v>
      </c>
      <c r="G4" s="43">
        <v>0.8</v>
      </c>
      <c r="H4" s="10">
        <f>F4*G4</f>
        <v>2567.1111111111113</v>
      </c>
    </row>
    <row r="5" spans="4:8" x14ac:dyDescent="0.35">
      <c r="D5" s="7" t="s">
        <v>158</v>
      </c>
      <c r="E5" s="7">
        <v>1403</v>
      </c>
      <c r="F5" s="10">
        <v>3208.8888888888887</v>
      </c>
      <c r="G5" s="43">
        <v>0.8</v>
      </c>
      <c r="H5" s="10">
        <f t="shared" ref="H5:H8" si="0">F5*G5</f>
        <v>2567.1111111111113</v>
      </c>
    </row>
    <row r="6" spans="4:8" x14ac:dyDescent="0.35">
      <c r="D6" s="7" t="s">
        <v>158</v>
      </c>
      <c r="E6" s="7">
        <v>933</v>
      </c>
      <c r="F6" s="10">
        <v>4529.1037640714067</v>
      </c>
      <c r="G6" s="43">
        <v>0.8</v>
      </c>
      <c r="H6" s="10">
        <f t="shared" si="0"/>
        <v>3623.2830112571255</v>
      </c>
    </row>
    <row r="7" spans="4:8" x14ac:dyDescent="0.35">
      <c r="D7" s="7" t="s">
        <v>158</v>
      </c>
      <c r="E7" s="7">
        <v>603</v>
      </c>
      <c r="F7" s="10">
        <v>3589.2640000000001</v>
      </c>
      <c r="G7" s="43">
        <v>0.8</v>
      </c>
      <c r="H7" s="10">
        <f t="shared" si="0"/>
        <v>2871.4112000000005</v>
      </c>
    </row>
    <row r="8" spans="4:8" x14ac:dyDescent="0.35">
      <c r="D8" s="7" t="s">
        <v>158</v>
      </c>
      <c r="E8" s="7">
        <v>822</v>
      </c>
      <c r="F8" s="10">
        <v>3599.4839999999999</v>
      </c>
      <c r="G8" s="43">
        <v>0.8</v>
      </c>
      <c r="H8" s="10">
        <f t="shared" si="0"/>
        <v>2879.5871999999999</v>
      </c>
    </row>
    <row r="11" spans="4:8" x14ac:dyDescent="0.35">
      <c r="D11" s="9" t="s">
        <v>78</v>
      </c>
      <c r="E11" s="9" t="s">
        <v>140</v>
      </c>
      <c r="F11" s="9" t="s">
        <v>141</v>
      </c>
      <c r="G11" s="9" t="s">
        <v>142</v>
      </c>
      <c r="H11" s="9" t="s">
        <v>143</v>
      </c>
    </row>
    <row r="12" spans="4:8" x14ac:dyDescent="0.35">
      <c r="D12" s="7" t="s">
        <v>210</v>
      </c>
      <c r="E12" s="7">
        <v>817</v>
      </c>
      <c r="F12" s="10">
        <v>3121.0003832469092</v>
      </c>
      <c r="G12" s="43">
        <v>0.8</v>
      </c>
      <c r="H12" s="10">
        <f>F12*G12</f>
        <v>2496.8003065975277</v>
      </c>
    </row>
    <row r="13" spans="4:8" x14ac:dyDescent="0.35">
      <c r="D13" s="7" t="s">
        <v>210</v>
      </c>
      <c r="E13" s="7">
        <v>903</v>
      </c>
      <c r="F13" s="10">
        <v>3121.0003832469092</v>
      </c>
      <c r="G13" s="43">
        <v>0.8</v>
      </c>
      <c r="H13" s="10">
        <f t="shared" ref="H13:H16" si="1">F13*G13</f>
        <v>2496.8003065975277</v>
      </c>
    </row>
    <row r="14" spans="4:8" x14ac:dyDescent="0.35">
      <c r="D14" s="7" t="s">
        <v>210</v>
      </c>
      <c r="E14" s="7">
        <v>933</v>
      </c>
      <c r="F14" s="10">
        <v>4529.1037640714067</v>
      </c>
      <c r="G14" s="43">
        <v>0.8</v>
      </c>
      <c r="H14" s="10">
        <f t="shared" si="1"/>
        <v>3623.2830112571255</v>
      </c>
    </row>
    <row r="15" spans="4:8" x14ac:dyDescent="0.35">
      <c r="D15" s="7" t="s">
        <v>210</v>
      </c>
      <c r="E15" s="7">
        <v>603</v>
      </c>
      <c r="F15" s="10">
        <v>3589.2640000000001</v>
      </c>
      <c r="G15" s="43">
        <v>0.8</v>
      </c>
      <c r="H15" s="10">
        <f t="shared" si="1"/>
        <v>2871.4112000000005</v>
      </c>
    </row>
    <row r="16" spans="4:8" x14ac:dyDescent="0.35">
      <c r="D16" s="7" t="s">
        <v>210</v>
      </c>
      <c r="E16" s="7">
        <v>822</v>
      </c>
      <c r="F16" s="10">
        <v>3599.4839999999999</v>
      </c>
      <c r="G16" s="43">
        <v>0.8</v>
      </c>
      <c r="H16" s="10">
        <f t="shared" si="1"/>
        <v>2879.5871999999999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/>
  <dimension ref="A1:B33"/>
  <sheetViews>
    <sheetView zoomScale="80" zoomScaleNormal="80" zoomScalePageLayoutView="90" workbookViewId="0">
      <selection activeCell="A2" sqref="A2:B33"/>
    </sheetView>
  </sheetViews>
  <sheetFormatPr baseColWidth="10" defaultColWidth="11" defaultRowHeight="15.5" x14ac:dyDescent="0.35"/>
  <cols>
    <col min="1" max="1" width="16" style="1" customWidth="1"/>
    <col min="2" max="16384" width="11" style="1"/>
  </cols>
  <sheetData>
    <row r="1" spans="1:2" ht="16" thickBot="1" x14ac:dyDescent="0.4">
      <c r="A1" s="1" t="s">
        <v>144</v>
      </c>
    </row>
    <row r="2" spans="1:2" ht="16" thickBot="1" x14ac:dyDescent="0.4">
      <c r="A2" s="3">
        <v>46062</v>
      </c>
      <c r="B2" s="2">
        <v>39682.99</v>
      </c>
    </row>
    <row r="3" spans="1:2" ht="16" thickBot="1" x14ac:dyDescent="0.4">
      <c r="A3" s="3">
        <v>46063</v>
      </c>
      <c r="B3" s="2">
        <v>39688.65</v>
      </c>
    </row>
    <row r="4" spans="1:2" ht="16" thickBot="1" x14ac:dyDescent="0.4">
      <c r="A4" s="3">
        <v>46064</v>
      </c>
      <c r="B4" s="2">
        <v>39694.31</v>
      </c>
    </row>
    <row r="5" spans="1:2" ht="16" thickBot="1" x14ac:dyDescent="0.4">
      <c r="A5" s="3">
        <v>46065</v>
      </c>
      <c r="B5" s="2">
        <v>39699.97</v>
      </c>
    </row>
    <row r="6" spans="1:2" ht="16" thickBot="1" x14ac:dyDescent="0.4">
      <c r="A6" s="3">
        <v>46066</v>
      </c>
      <c r="B6" s="2">
        <v>39705.629999999997</v>
      </c>
    </row>
    <row r="7" spans="1:2" ht="16" thickBot="1" x14ac:dyDescent="0.4">
      <c r="A7" s="3">
        <v>46067</v>
      </c>
      <c r="B7" s="2">
        <v>39711.29</v>
      </c>
    </row>
    <row r="8" spans="1:2" ht="16" thickBot="1" x14ac:dyDescent="0.4">
      <c r="A8" s="3">
        <v>46068</v>
      </c>
      <c r="B8" s="2">
        <v>39716.949999999997</v>
      </c>
    </row>
    <row r="9" spans="1:2" ht="16" thickBot="1" x14ac:dyDescent="0.4">
      <c r="A9" s="3">
        <v>46069</v>
      </c>
      <c r="B9" s="2">
        <v>39722.61</v>
      </c>
    </row>
    <row r="10" spans="1:2" ht="16" thickBot="1" x14ac:dyDescent="0.4">
      <c r="A10" s="3">
        <v>46070</v>
      </c>
      <c r="B10" s="2">
        <v>39728.28</v>
      </c>
    </row>
    <row r="11" spans="1:2" ht="16" thickBot="1" x14ac:dyDescent="0.4">
      <c r="A11" s="3">
        <v>46071</v>
      </c>
      <c r="B11" s="2">
        <v>39733.94</v>
      </c>
    </row>
    <row r="12" spans="1:2" ht="16" thickBot="1" x14ac:dyDescent="0.4">
      <c r="A12" s="3">
        <v>46072</v>
      </c>
      <c r="B12" s="2">
        <v>39739.61</v>
      </c>
    </row>
    <row r="13" spans="1:2" ht="16" thickBot="1" x14ac:dyDescent="0.4">
      <c r="A13" s="3">
        <v>46073</v>
      </c>
      <c r="B13" s="2">
        <v>39745.269999999997</v>
      </c>
    </row>
    <row r="14" spans="1:2" ht="16" thickBot="1" x14ac:dyDescent="0.4">
      <c r="A14" s="3">
        <v>46074</v>
      </c>
      <c r="B14" s="2">
        <v>39750.94</v>
      </c>
    </row>
    <row r="15" spans="1:2" ht="16" thickBot="1" x14ac:dyDescent="0.4">
      <c r="A15" s="3">
        <v>46075</v>
      </c>
      <c r="B15" s="2">
        <v>39756.61</v>
      </c>
    </row>
    <row r="16" spans="1:2" ht="16" thickBot="1" x14ac:dyDescent="0.4">
      <c r="A16" s="3">
        <v>46076</v>
      </c>
      <c r="B16" s="2">
        <v>39762.28</v>
      </c>
    </row>
    <row r="17" spans="1:2" ht="16" thickBot="1" x14ac:dyDescent="0.4">
      <c r="A17" s="3">
        <v>46077</v>
      </c>
      <c r="B17" s="2">
        <v>39767.949999999997</v>
      </c>
    </row>
    <row r="18" spans="1:2" ht="16" thickBot="1" x14ac:dyDescent="0.4">
      <c r="A18" s="3">
        <v>46078</v>
      </c>
      <c r="B18" s="2">
        <v>39773.620000000003</v>
      </c>
    </row>
    <row r="19" spans="1:2" ht="16" thickBot="1" x14ac:dyDescent="0.4">
      <c r="A19" s="3">
        <v>46079</v>
      </c>
      <c r="B19" s="2">
        <v>39779.29</v>
      </c>
    </row>
    <row r="20" spans="1:2" ht="16" thickBot="1" x14ac:dyDescent="0.4">
      <c r="A20" s="3">
        <v>46080</v>
      </c>
      <c r="B20" s="2">
        <v>39784.959999999999</v>
      </c>
    </row>
    <row r="21" spans="1:2" ht="16" thickBot="1" x14ac:dyDescent="0.4">
      <c r="A21" s="3">
        <v>46081</v>
      </c>
      <c r="B21" s="2">
        <v>39790.629999999997</v>
      </c>
    </row>
    <row r="22" spans="1:2" ht="16" thickBot="1" x14ac:dyDescent="0.4">
      <c r="A22" s="3">
        <v>46082</v>
      </c>
      <c r="B22" s="2">
        <v>39796.31</v>
      </c>
    </row>
    <row r="23" spans="1:2" ht="16" thickBot="1" x14ac:dyDescent="0.4">
      <c r="A23" s="3">
        <v>46083</v>
      </c>
      <c r="B23" s="2">
        <v>39801.980000000003</v>
      </c>
    </row>
    <row r="24" spans="1:2" ht="16" thickBot="1" x14ac:dyDescent="0.4">
      <c r="A24" s="3">
        <v>46084</v>
      </c>
      <c r="B24" s="2">
        <v>39807.65</v>
      </c>
    </row>
    <row r="25" spans="1:2" ht="16" thickBot="1" x14ac:dyDescent="0.4">
      <c r="A25" s="3">
        <v>46085</v>
      </c>
      <c r="B25" s="2">
        <v>39813.33</v>
      </c>
    </row>
    <row r="26" spans="1:2" ht="16" thickBot="1" x14ac:dyDescent="0.4">
      <c r="A26" s="3">
        <v>46086</v>
      </c>
      <c r="B26" s="2">
        <v>39819.01</v>
      </c>
    </row>
    <row r="27" spans="1:2" ht="16" thickBot="1" x14ac:dyDescent="0.4">
      <c r="A27" s="3">
        <v>46087</v>
      </c>
      <c r="B27" s="2">
        <v>39824.68</v>
      </c>
    </row>
    <row r="28" spans="1:2" ht="16" thickBot="1" x14ac:dyDescent="0.4">
      <c r="A28" s="3">
        <v>46088</v>
      </c>
      <c r="B28" s="2">
        <v>39830.36</v>
      </c>
    </row>
    <row r="29" spans="1:2" ht="16" thickBot="1" x14ac:dyDescent="0.4">
      <c r="A29" s="3">
        <v>46089</v>
      </c>
      <c r="B29" s="2">
        <v>39836.04</v>
      </c>
    </row>
    <row r="30" spans="1:2" ht="16" thickBot="1" x14ac:dyDescent="0.4">
      <c r="A30" s="3">
        <v>46090</v>
      </c>
      <c r="B30" s="2">
        <v>39841.72</v>
      </c>
    </row>
    <row r="31" spans="1:2" ht="16" thickBot="1" x14ac:dyDescent="0.4">
      <c r="A31" s="3">
        <v>46091</v>
      </c>
      <c r="B31" s="2">
        <v>39841.72</v>
      </c>
    </row>
    <row r="32" spans="1:2" ht="16" thickBot="1" x14ac:dyDescent="0.4">
      <c r="A32" s="3">
        <v>46092</v>
      </c>
      <c r="B32" s="2">
        <v>39841.72</v>
      </c>
    </row>
    <row r="33" spans="1:2" ht="16" thickBot="1" x14ac:dyDescent="0.4">
      <c r="A33" s="3">
        <v>46093</v>
      </c>
      <c r="B33" s="2">
        <v>39841.72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Escenario de Inversion</vt:lpstr>
      <vt:lpstr>Políticas</vt:lpstr>
      <vt:lpstr>Promos</vt:lpstr>
      <vt:lpstr>Macul View - Macul</vt:lpstr>
      <vt:lpstr>Datos</vt:lpstr>
      <vt:lpstr>Ñuñoa View - Ñuñoa</vt:lpstr>
      <vt:lpstr>Flujo Ñuñoa View</vt:lpstr>
      <vt:lpstr>Info RentaCorta</vt:lpstr>
      <vt:lpstr>SIMULACIÓN</vt:lpstr>
      <vt:lpstr>Hoja1</vt:lpstr>
      <vt:lpstr>UF HOY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Raimundo Cobo</cp:lastModifiedBy>
  <cp:revision/>
  <dcterms:created xsi:type="dcterms:W3CDTF">2018-09-25T13:47:13Z</dcterms:created>
  <dcterms:modified xsi:type="dcterms:W3CDTF">2026-02-18T19:48:48Z</dcterms:modified>
  <cp:category/>
  <cp:contentStatus/>
</cp:coreProperties>
</file>