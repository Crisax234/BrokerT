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d.docs.live.net/cd1bc46ac77ef7ec/Escritorio/"/>
    </mc:Choice>
  </mc:AlternateContent>
  <xr:revisionPtr revIDLastSave="0" documentId="8_{2AE64434-5C07-4B68-80EE-F19ECD144E59}" xr6:coauthVersionLast="47" xr6:coauthVersionMax="47" xr10:uidLastSave="{00000000-0000-0000-0000-000000000000}"/>
  <bookViews>
    <workbookView xWindow="760" yWindow="760" windowWidth="14400" windowHeight="8170" tabRatio="880" xr2:uid="{00000000-000D-0000-FFFF-FFFF00000000}"/>
  </bookViews>
  <sheets>
    <sheet name="Escenario de Inversion" sheetId="50" r:id="rId1"/>
    <sheet name="Datos" sheetId="42" state="hidden" r:id="rId2"/>
    <sheet name="Políticas" sheetId="57" r:id="rId3"/>
    <sheet name="Promos" sheetId="63" r:id="rId4"/>
    <sheet name="Volcan - Villarrica" sheetId="64" r:id="rId5"/>
    <sheet name="Biaut - La Cisterna" sheetId="62" r:id="rId6"/>
    <sheet name="San Nicolás - San Miguel" sheetId="59" state="hidden" r:id="rId7"/>
    <sheet name="Hoja1" sheetId="54" state="hidden" r:id="rId8"/>
    <sheet name="Secundarios" sheetId="61" state="hidden" r:id="rId9"/>
    <sheet name="Carvajal - La Cisterna" sheetId="52" r:id="rId10"/>
    <sheet name="Carvajal - La Cisterna (Ext)" sheetId="58" state="hidden" r:id="rId11"/>
    <sheet name="Don Claudio - La Cisterna" sheetId="55" r:id="rId12"/>
    <sheet name="Don Claudio - La Cisterna (Ext)" sheetId="56" r:id="rId13"/>
    <sheet name="Don Diego - Temuco" sheetId="53" state="hidden" r:id="rId14"/>
    <sheet name="SIMULACION" sheetId="51" r:id="rId15"/>
    <sheet name="UF HOY" sheetId="22" state="hidden" r:id="rId16"/>
  </sheets>
  <definedNames>
    <definedName name="_xlnm._FilterDatabase" localSheetId="5" hidden="1">'Biaut - La Cisterna'!$A$1:$AE$172</definedName>
    <definedName name="_xlnm._FilterDatabase" localSheetId="9" hidden="1">'Carvajal - La Cisterna'!$A$1:$AE$21</definedName>
    <definedName name="_xlnm._FilterDatabase" localSheetId="10" hidden="1">'Carvajal - La Cisterna (Ext)'!$A$1:$AE$17</definedName>
    <definedName name="_xlnm._FilterDatabase" localSheetId="11" hidden="1">'Don Claudio - La Cisterna'!$A$1:$AE$47</definedName>
    <definedName name="_xlnm._FilterDatabase" localSheetId="12" hidden="1">'Don Claudio - La Cisterna (Ext)'!$A$1:$AE$47</definedName>
    <definedName name="_xlnm._FilterDatabase" localSheetId="13" hidden="1">'Don Diego - Temuco'!$A$1:$AD$148</definedName>
    <definedName name="_xlnm._FilterDatabase" localSheetId="6" hidden="1">'San Nicolás - San Miguel'!$A$1:$AE$146</definedName>
    <definedName name="_xlnm._FilterDatabase" localSheetId="8" hidden="1">Secundarios!#REF!</definedName>
    <definedName name="_xlnm._FilterDatabase" localSheetId="4" hidden="1">'Volcan - Villarrica'!$A$1:$AE$61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4" i="51" l="1"/>
  <c r="J4" i="51" s="1"/>
  <c r="AO3" i="50"/>
  <c r="Z18" i="50"/>
  <c r="Z9" i="50"/>
  <c r="K18" i="50"/>
  <c r="K3" i="50"/>
  <c r="F22" i="50"/>
  <c r="D19" i="51"/>
  <c r="K19" i="51"/>
  <c r="J19" i="51"/>
  <c r="I19" i="51"/>
  <c r="H19" i="51"/>
  <c r="G19" i="51"/>
  <c r="F19" i="51"/>
  <c r="E19" i="51"/>
  <c r="D18" i="51"/>
  <c r="K4" i="51" l="1"/>
  <c r="Q4" i="51"/>
  <c r="L4" i="51"/>
  <c r="M4" i="51"/>
  <c r="P4" i="51"/>
  <c r="D4" i="51"/>
  <c r="S4" i="51"/>
  <c r="E4" i="51"/>
  <c r="U4" i="51"/>
  <c r="F4" i="51"/>
  <c r="G4" i="51"/>
  <c r="H4" i="51"/>
  <c r="I4" i="51"/>
  <c r="AB4" i="64"/>
  <c r="AB5" i="64"/>
  <c r="AB26" i="64"/>
  <c r="AB6" i="64"/>
  <c r="AB39" i="64"/>
  <c r="AB7" i="64"/>
  <c r="AB51" i="64"/>
  <c r="AB60" i="64"/>
  <c r="AB8" i="64"/>
  <c r="AB9" i="64"/>
  <c r="AB10" i="64"/>
  <c r="AB11" i="64"/>
  <c r="AB12" i="64"/>
  <c r="AB13" i="64"/>
  <c r="AB14" i="64"/>
  <c r="AB16" i="64"/>
  <c r="AB17" i="64"/>
  <c r="AB18" i="64"/>
  <c r="AB19" i="64"/>
  <c r="AB20" i="64"/>
  <c r="AB21" i="64"/>
  <c r="AB22" i="64"/>
  <c r="AB23" i="64"/>
  <c r="AB24" i="64"/>
  <c r="AB25" i="64"/>
  <c r="AB27" i="64"/>
  <c r="AB29" i="64"/>
  <c r="AB32" i="64"/>
  <c r="AB33" i="64"/>
  <c r="AB34" i="64"/>
  <c r="AB35" i="64"/>
  <c r="AB36" i="64"/>
  <c r="AB37" i="64"/>
  <c r="AB49" i="64"/>
  <c r="AB38" i="64"/>
  <c r="AB40" i="64"/>
  <c r="AB42" i="64"/>
  <c r="AB43" i="64"/>
  <c r="AB58" i="64"/>
  <c r="AB44" i="64"/>
  <c r="AB45" i="64"/>
  <c r="AB50" i="64"/>
  <c r="AB46" i="64"/>
  <c r="AB2" i="64"/>
  <c r="AB47" i="64"/>
  <c r="AB48" i="64"/>
  <c r="AB15" i="64"/>
  <c r="AB52" i="64"/>
  <c r="AB53" i="64"/>
  <c r="AB28" i="64"/>
  <c r="AB30" i="64"/>
  <c r="AB31" i="64"/>
  <c r="AB41" i="64"/>
  <c r="AB54" i="64"/>
  <c r="AB55" i="64"/>
  <c r="AB56" i="64"/>
  <c r="AB57" i="64"/>
  <c r="AB59" i="64"/>
  <c r="AB61" i="64"/>
  <c r="AB3" i="64"/>
  <c r="J45" i="42"/>
  <c r="J44" i="42"/>
  <c r="J43" i="42"/>
  <c r="J42" i="42"/>
  <c r="J41" i="42"/>
  <c r="O4" i="51" l="1"/>
  <c r="N4" i="51" s="1"/>
  <c r="R4" i="51"/>
  <c r="T4" i="51" s="1"/>
  <c r="U19" i="51"/>
  <c r="X3" i="64"/>
  <c r="Z3" i="64"/>
  <c r="X4" i="64"/>
  <c r="Z4" i="64"/>
  <c r="X5" i="64"/>
  <c r="Z5" i="64"/>
  <c r="X26" i="64"/>
  <c r="Z26" i="64"/>
  <c r="X6" i="64"/>
  <c r="Z6" i="64"/>
  <c r="X7" i="64"/>
  <c r="Z7" i="64"/>
  <c r="X51" i="64"/>
  <c r="Z51" i="64"/>
  <c r="X60" i="64"/>
  <c r="Z60" i="64"/>
  <c r="X8" i="64"/>
  <c r="Z8" i="64"/>
  <c r="X9" i="64"/>
  <c r="Z9" i="64"/>
  <c r="X10" i="64"/>
  <c r="Z10" i="64"/>
  <c r="X11" i="64"/>
  <c r="Z11" i="64"/>
  <c r="X12" i="64"/>
  <c r="Z12" i="64"/>
  <c r="X13" i="64"/>
  <c r="Z13" i="64"/>
  <c r="X14" i="64"/>
  <c r="Z14" i="64"/>
  <c r="X16" i="64"/>
  <c r="Z16" i="64"/>
  <c r="X17" i="64"/>
  <c r="Z17" i="64"/>
  <c r="X18" i="64"/>
  <c r="Z18" i="64"/>
  <c r="X19" i="64"/>
  <c r="Z19" i="64"/>
  <c r="X20" i="64"/>
  <c r="Z20" i="64"/>
  <c r="X21" i="64"/>
  <c r="Z21" i="64"/>
  <c r="X22" i="64"/>
  <c r="Z22" i="64"/>
  <c r="X23" i="64"/>
  <c r="Z23" i="64"/>
  <c r="X24" i="64"/>
  <c r="Z24" i="64"/>
  <c r="X25" i="64"/>
  <c r="Z25" i="64"/>
  <c r="X27" i="64"/>
  <c r="Z27" i="64"/>
  <c r="X29" i="64"/>
  <c r="Z29" i="64"/>
  <c r="X32" i="64"/>
  <c r="Z32" i="64"/>
  <c r="X33" i="64"/>
  <c r="Z33" i="64"/>
  <c r="X34" i="64"/>
  <c r="Z34" i="64"/>
  <c r="X35" i="64"/>
  <c r="Z35" i="64"/>
  <c r="X36" i="64"/>
  <c r="Z36" i="64"/>
  <c r="X37" i="64"/>
  <c r="Z37" i="64"/>
  <c r="X49" i="64"/>
  <c r="Z49" i="64"/>
  <c r="X38" i="64"/>
  <c r="Z38" i="64"/>
  <c r="X40" i="64"/>
  <c r="Z40" i="64"/>
  <c r="X42" i="64"/>
  <c r="Z42" i="64"/>
  <c r="X43" i="64"/>
  <c r="Z43" i="64"/>
  <c r="X58" i="64"/>
  <c r="Z58" i="64"/>
  <c r="X44" i="64"/>
  <c r="Z44" i="64"/>
  <c r="X45" i="64"/>
  <c r="Z45" i="64"/>
  <c r="X50" i="64"/>
  <c r="Z50" i="64"/>
  <c r="X46" i="64"/>
  <c r="Z46" i="64"/>
  <c r="X2" i="64"/>
  <c r="Z2" i="64"/>
  <c r="X47" i="64"/>
  <c r="Z47" i="64"/>
  <c r="X48" i="64"/>
  <c r="Z48" i="64"/>
  <c r="X15" i="64"/>
  <c r="Z15" i="64"/>
  <c r="X52" i="64"/>
  <c r="Z52" i="64"/>
  <c r="X53" i="64"/>
  <c r="Z53" i="64"/>
  <c r="X28" i="64"/>
  <c r="Z28" i="64"/>
  <c r="X30" i="64"/>
  <c r="Z30" i="64"/>
  <c r="X31" i="64"/>
  <c r="Z31" i="64"/>
  <c r="X41" i="64"/>
  <c r="Z41" i="64"/>
  <c r="X54" i="64"/>
  <c r="Z54" i="64"/>
  <c r="X55" i="64"/>
  <c r="Z55" i="64"/>
  <c r="X56" i="64"/>
  <c r="Z56" i="64"/>
  <c r="X57" i="64"/>
  <c r="Z57" i="64"/>
  <c r="X59" i="64"/>
  <c r="Z59" i="64"/>
  <c r="X61" i="64"/>
  <c r="Z61" i="64"/>
  <c r="Z39" i="64"/>
  <c r="X39" i="64"/>
  <c r="L8" i="42"/>
  <c r="K8" i="42"/>
  <c r="J8" i="42"/>
  <c r="I8" i="42"/>
  <c r="H8" i="42"/>
  <c r="G8" i="42"/>
  <c r="O61" i="64"/>
  <c r="AC61" i="64" s="1"/>
  <c r="AE61" i="64" s="1"/>
  <c r="O59" i="64"/>
  <c r="AC59" i="64" s="1"/>
  <c r="AE59" i="64" s="1"/>
  <c r="O57" i="64"/>
  <c r="AC57" i="64" s="1"/>
  <c r="AE57" i="64" s="1"/>
  <c r="O56" i="64"/>
  <c r="AC56" i="64" s="1"/>
  <c r="AE56" i="64" s="1"/>
  <c r="O55" i="64"/>
  <c r="AC55" i="64" s="1"/>
  <c r="AE55" i="64" s="1"/>
  <c r="O54" i="64"/>
  <c r="AC54" i="64" s="1"/>
  <c r="AE54" i="64" s="1"/>
  <c r="O41" i="64"/>
  <c r="AC41" i="64" s="1"/>
  <c r="AE41" i="64" s="1"/>
  <c r="O31" i="64"/>
  <c r="AC31" i="64" s="1"/>
  <c r="AE31" i="64" s="1"/>
  <c r="O30" i="64"/>
  <c r="AC30" i="64" s="1"/>
  <c r="AE30" i="64" s="1"/>
  <c r="O28" i="64"/>
  <c r="AC28" i="64" s="1"/>
  <c r="AE28" i="64" s="1"/>
  <c r="O53" i="64"/>
  <c r="AC53" i="64" s="1"/>
  <c r="AE53" i="64" s="1"/>
  <c r="O52" i="64"/>
  <c r="AC52" i="64" s="1"/>
  <c r="AE52" i="64" s="1"/>
  <c r="O15" i="64"/>
  <c r="AC15" i="64" s="1"/>
  <c r="AE15" i="64" s="1"/>
  <c r="O48" i="64"/>
  <c r="AC48" i="64" s="1"/>
  <c r="AE48" i="64" s="1"/>
  <c r="O47" i="64"/>
  <c r="AC47" i="64" s="1"/>
  <c r="AE47" i="64" s="1"/>
  <c r="O2" i="64"/>
  <c r="AC2" i="64" s="1"/>
  <c r="AE2" i="64" s="1"/>
  <c r="O46" i="64"/>
  <c r="AC46" i="64" s="1"/>
  <c r="AE46" i="64" s="1"/>
  <c r="O50" i="64"/>
  <c r="AC50" i="64" s="1"/>
  <c r="AE50" i="64" s="1"/>
  <c r="O45" i="64"/>
  <c r="AC45" i="64" s="1"/>
  <c r="AE45" i="64" s="1"/>
  <c r="O44" i="64"/>
  <c r="AC44" i="64" s="1"/>
  <c r="AE44" i="64" s="1"/>
  <c r="O58" i="64"/>
  <c r="AC58" i="64" s="1"/>
  <c r="AE58" i="64" s="1"/>
  <c r="O43" i="64"/>
  <c r="AC43" i="64" s="1"/>
  <c r="AE43" i="64" s="1"/>
  <c r="O42" i="64"/>
  <c r="AC42" i="64" s="1"/>
  <c r="AE42" i="64" s="1"/>
  <c r="O40" i="64"/>
  <c r="AC40" i="64" s="1"/>
  <c r="AE40" i="64" s="1"/>
  <c r="O38" i="64"/>
  <c r="AC38" i="64" s="1"/>
  <c r="AE38" i="64" s="1"/>
  <c r="O49" i="64"/>
  <c r="AC49" i="64" s="1"/>
  <c r="AE49" i="64" s="1"/>
  <c r="O37" i="64"/>
  <c r="AC37" i="64" s="1"/>
  <c r="AE37" i="64" s="1"/>
  <c r="O36" i="64"/>
  <c r="AC36" i="64" s="1"/>
  <c r="AE36" i="64" s="1"/>
  <c r="O35" i="64"/>
  <c r="AC35" i="64" s="1"/>
  <c r="AE35" i="64" s="1"/>
  <c r="O34" i="64"/>
  <c r="AC34" i="64" s="1"/>
  <c r="AE34" i="64" s="1"/>
  <c r="O33" i="64"/>
  <c r="AC33" i="64" s="1"/>
  <c r="AE33" i="64" s="1"/>
  <c r="O32" i="64"/>
  <c r="O29" i="64"/>
  <c r="AC29" i="64" s="1"/>
  <c r="AE29" i="64" s="1"/>
  <c r="O27" i="64"/>
  <c r="AC27" i="64" s="1"/>
  <c r="AE27" i="64" s="1"/>
  <c r="O25" i="64"/>
  <c r="AC25" i="64" s="1"/>
  <c r="AE25" i="64" s="1"/>
  <c r="O24" i="64"/>
  <c r="AC24" i="64" s="1"/>
  <c r="AE24" i="64" s="1"/>
  <c r="O23" i="64"/>
  <c r="AC23" i="64" s="1"/>
  <c r="AE23" i="64" s="1"/>
  <c r="O22" i="64"/>
  <c r="AC22" i="64" s="1"/>
  <c r="AE22" i="64" s="1"/>
  <c r="O21" i="64"/>
  <c r="AC21" i="64" s="1"/>
  <c r="AE21" i="64" s="1"/>
  <c r="O20" i="64"/>
  <c r="AC20" i="64" s="1"/>
  <c r="AE20" i="64" s="1"/>
  <c r="O19" i="64"/>
  <c r="AC19" i="64" s="1"/>
  <c r="AE19" i="64" s="1"/>
  <c r="O18" i="64"/>
  <c r="AC18" i="64" s="1"/>
  <c r="AE18" i="64" s="1"/>
  <c r="O17" i="64"/>
  <c r="AC17" i="64" s="1"/>
  <c r="AE17" i="64" s="1"/>
  <c r="O16" i="64"/>
  <c r="O14" i="64"/>
  <c r="AC14" i="64" s="1"/>
  <c r="AE14" i="64" s="1"/>
  <c r="O13" i="64"/>
  <c r="AC13" i="64" s="1"/>
  <c r="AE13" i="64" s="1"/>
  <c r="O12" i="64"/>
  <c r="AC12" i="64" s="1"/>
  <c r="AE12" i="64" s="1"/>
  <c r="O11" i="64"/>
  <c r="AC11" i="64" s="1"/>
  <c r="AE11" i="64" s="1"/>
  <c r="O10" i="64"/>
  <c r="AC10" i="64" s="1"/>
  <c r="AE10" i="64" s="1"/>
  <c r="O9" i="64"/>
  <c r="AC9" i="64" s="1"/>
  <c r="AE9" i="64" s="1"/>
  <c r="O8" i="64"/>
  <c r="AC8" i="64" s="1"/>
  <c r="AE8" i="64" s="1"/>
  <c r="O60" i="64"/>
  <c r="AC60" i="64" s="1"/>
  <c r="AE60" i="64" s="1"/>
  <c r="O51" i="64"/>
  <c r="AC51" i="64" s="1"/>
  <c r="AE51" i="64" s="1"/>
  <c r="O7" i="64"/>
  <c r="AC7" i="64" s="1"/>
  <c r="AE7" i="64" s="1"/>
  <c r="O39" i="64"/>
  <c r="AC39" i="64" s="1"/>
  <c r="AE39" i="64" s="1"/>
  <c r="O6" i="64"/>
  <c r="AC6" i="64" s="1"/>
  <c r="AE6" i="64" s="1"/>
  <c r="O26" i="64"/>
  <c r="AC26" i="64" s="1"/>
  <c r="AE26" i="64" s="1"/>
  <c r="O5" i="64"/>
  <c r="AC5" i="64" s="1"/>
  <c r="AE5" i="64" s="1"/>
  <c r="O4" i="64"/>
  <c r="AC4" i="64" s="1"/>
  <c r="AE4" i="64" s="1"/>
  <c r="O3" i="64"/>
  <c r="AC3" i="64" s="1"/>
  <c r="AE3" i="64" s="1"/>
  <c r="O3" i="56"/>
  <c r="R3" i="56" s="1"/>
  <c r="N3" i="56" s="1"/>
  <c r="O6" i="56"/>
  <c r="R6" i="56" s="1"/>
  <c r="O7" i="56"/>
  <c r="R7" i="56" s="1"/>
  <c r="Q7" i="56" s="1"/>
  <c r="O9" i="56"/>
  <c r="R9" i="56" s="1"/>
  <c r="Q9" i="56" s="1"/>
  <c r="O14" i="56"/>
  <c r="AC14" i="56" s="1"/>
  <c r="AE14" i="56" s="1"/>
  <c r="O4" i="56"/>
  <c r="R4" i="56" s="1"/>
  <c r="Q4" i="56" s="1"/>
  <c r="O5" i="56"/>
  <c r="AC5" i="56" s="1"/>
  <c r="AE5" i="56" s="1"/>
  <c r="O10" i="56"/>
  <c r="R10" i="56" s="1"/>
  <c r="O11" i="56"/>
  <c r="R11" i="56" s="1"/>
  <c r="Q11" i="56" s="1"/>
  <c r="O28" i="56"/>
  <c r="R28" i="56" s="1"/>
  <c r="Q28" i="56" s="1"/>
  <c r="U28" i="56" s="1"/>
  <c r="O13" i="56"/>
  <c r="R13" i="56" s="1"/>
  <c r="Q13" i="56" s="1"/>
  <c r="O34" i="56"/>
  <c r="R34" i="56" s="1"/>
  <c r="Q34" i="56" s="1"/>
  <c r="U34" i="56" s="1"/>
  <c r="O15" i="56"/>
  <c r="R15" i="56" s="1"/>
  <c r="N15" i="56" s="1"/>
  <c r="O43" i="56"/>
  <c r="R43" i="56" s="1"/>
  <c r="O47" i="56"/>
  <c r="R47" i="56" s="1"/>
  <c r="Q47" i="56" s="1"/>
  <c r="U47" i="56" s="1"/>
  <c r="O33" i="56"/>
  <c r="R33" i="56" s="1"/>
  <c r="Q33" i="56" s="1"/>
  <c r="O19" i="56"/>
  <c r="R19" i="56" s="1"/>
  <c r="Q19" i="56" s="1"/>
  <c r="O42" i="56"/>
  <c r="R42" i="56" s="1"/>
  <c r="Q42" i="56" s="1"/>
  <c r="O16" i="56"/>
  <c r="R16" i="56" s="1"/>
  <c r="N16" i="56" s="1"/>
  <c r="O22" i="56"/>
  <c r="R22" i="56" s="1"/>
  <c r="O23" i="56"/>
  <c r="R23" i="56" s="1"/>
  <c r="Q23" i="56" s="1"/>
  <c r="O24" i="56"/>
  <c r="R24" i="56" s="1"/>
  <c r="Q24" i="56" s="1"/>
  <c r="O25" i="56"/>
  <c r="AC25" i="56" s="1"/>
  <c r="AE25" i="56" s="1"/>
  <c r="O41" i="56"/>
  <c r="R41" i="56" s="1"/>
  <c r="Q41" i="56" s="1"/>
  <c r="O27" i="56"/>
  <c r="AC27" i="56" s="1"/>
  <c r="AE27" i="56" s="1"/>
  <c r="O8" i="56"/>
  <c r="R8" i="56" s="1"/>
  <c r="O18" i="56"/>
  <c r="AC18" i="56" s="1"/>
  <c r="AE18" i="56" s="1"/>
  <c r="O12" i="56"/>
  <c r="R12" i="56" s="1"/>
  <c r="Q12" i="56" s="1"/>
  <c r="O17" i="56"/>
  <c r="AC17" i="56" s="1"/>
  <c r="AE17" i="56" s="1"/>
  <c r="O32" i="56"/>
  <c r="R32" i="56" s="1"/>
  <c r="Q32" i="56" s="1"/>
  <c r="O21" i="56"/>
  <c r="R21" i="56" s="1"/>
  <c r="N21" i="56" s="1"/>
  <c r="O26" i="56"/>
  <c r="R26" i="56" s="1"/>
  <c r="O29" i="56"/>
  <c r="AC29" i="56" s="1"/>
  <c r="AE29" i="56" s="1"/>
  <c r="O38" i="56"/>
  <c r="R38" i="56" s="1"/>
  <c r="Q38" i="56" s="1"/>
  <c r="O37" i="56"/>
  <c r="R37" i="56" s="1"/>
  <c r="Q37" i="56" s="1"/>
  <c r="O20" i="56"/>
  <c r="R20" i="56" s="1"/>
  <c r="Q20" i="56" s="1"/>
  <c r="O39" i="56"/>
  <c r="R39" i="56" s="1"/>
  <c r="N39" i="56" s="1"/>
  <c r="O40" i="56"/>
  <c r="R40" i="56" s="1"/>
  <c r="O30" i="56"/>
  <c r="R30" i="56" s="1"/>
  <c r="Q30" i="56" s="1"/>
  <c r="O31" i="56"/>
  <c r="R31" i="56" s="1"/>
  <c r="Q31" i="56" s="1"/>
  <c r="O35" i="56"/>
  <c r="AC35" i="56" s="1"/>
  <c r="AE35" i="56" s="1"/>
  <c r="O44" i="56"/>
  <c r="R44" i="56" s="1"/>
  <c r="Q44" i="56" s="1"/>
  <c r="O36" i="56"/>
  <c r="AC36" i="56" s="1"/>
  <c r="AE36" i="56" s="1"/>
  <c r="O46" i="56"/>
  <c r="R46" i="56" s="1"/>
  <c r="O45" i="56"/>
  <c r="AC45" i="56" s="1"/>
  <c r="AE45" i="56" s="1"/>
  <c r="O2" i="56"/>
  <c r="R2" i="56" s="1"/>
  <c r="Q2" i="56" s="1"/>
  <c r="AB16" i="56"/>
  <c r="X16" i="56"/>
  <c r="I16" i="56"/>
  <c r="H16" i="56"/>
  <c r="AB42" i="56"/>
  <c r="X42" i="56"/>
  <c r="I42" i="56"/>
  <c r="H42" i="56"/>
  <c r="AB19" i="56"/>
  <c r="X19" i="56"/>
  <c r="I19" i="56"/>
  <c r="H19" i="56"/>
  <c r="AB33" i="56"/>
  <c r="X33" i="56"/>
  <c r="I33" i="56"/>
  <c r="H33" i="56"/>
  <c r="AB47" i="56"/>
  <c r="X47" i="56"/>
  <c r="I47" i="56"/>
  <c r="H47" i="56"/>
  <c r="AB43" i="56"/>
  <c r="X43" i="56"/>
  <c r="I43" i="56"/>
  <c r="H43" i="56"/>
  <c r="AB15" i="56"/>
  <c r="X15" i="56"/>
  <c r="I15" i="56"/>
  <c r="H15" i="56"/>
  <c r="AB34" i="56"/>
  <c r="X34" i="56"/>
  <c r="I34" i="56"/>
  <c r="H34" i="56"/>
  <c r="AB13" i="56"/>
  <c r="X13" i="56"/>
  <c r="I13" i="56"/>
  <c r="H13" i="56"/>
  <c r="AB28" i="56"/>
  <c r="X28" i="56"/>
  <c r="I28" i="56"/>
  <c r="H28" i="56"/>
  <c r="AB11" i="56"/>
  <c r="X11" i="56"/>
  <c r="I11" i="56"/>
  <c r="H11" i="56"/>
  <c r="T16" i="64" l="1"/>
  <c r="AC16" i="64"/>
  <c r="AE16" i="64" s="1"/>
  <c r="T32" i="64"/>
  <c r="AC32" i="64"/>
  <c r="AE32" i="64" s="1"/>
  <c r="S19" i="51"/>
  <c r="R26" i="64"/>
  <c r="N26" i="64" s="1"/>
  <c r="P26" i="64" s="1"/>
  <c r="T26" i="64"/>
  <c r="R46" i="64"/>
  <c r="T46" i="64"/>
  <c r="T10" i="64"/>
  <c r="R61" i="64"/>
  <c r="N61" i="64" s="1"/>
  <c r="P61" i="64" s="1"/>
  <c r="T61" i="64"/>
  <c r="T39" i="64"/>
  <c r="T2" i="64"/>
  <c r="T30" i="64"/>
  <c r="R60" i="64"/>
  <c r="Q60" i="64" s="1"/>
  <c r="U60" i="64" s="1"/>
  <c r="V60" i="64" s="1"/>
  <c r="W60" i="64" s="1"/>
  <c r="AA60" i="64" s="1"/>
  <c r="T60" i="64"/>
  <c r="R15" i="64"/>
  <c r="R35" i="64"/>
  <c r="N35" i="64" s="1"/>
  <c r="P35" i="64" s="1"/>
  <c r="T15" i="64"/>
  <c r="T35" i="64"/>
  <c r="T55" i="64"/>
  <c r="R55" i="64"/>
  <c r="T33" i="64"/>
  <c r="T52" i="64"/>
  <c r="R52" i="64"/>
  <c r="R33" i="64"/>
  <c r="T17" i="64"/>
  <c r="R17" i="64"/>
  <c r="T58" i="64"/>
  <c r="R19" i="64"/>
  <c r="N19" i="64" s="1"/>
  <c r="P19" i="64" s="1"/>
  <c r="T19" i="64"/>
  <c r="R58" i="64"/>
  <c r="R36" i="64"/>
  <c r="Q36" i="64" s="1"/>
  <c r="U36" i="64" s="1"/>
  <c r="V36" i="64" s="1"/>
  <c r="W36" i="64" s="1"/>
  <c r="AA36" i="64" s="1"/>
  <c r="T20" i="64"/>
  <c r="R32" i="64"/>
  <c r="N32" i="64" s="1"/>
  <c r="P32" i="64" s="1"/>
  <c r="T36" i="64"/>
  <c r="M19" i="51"/>
  <c r="R8" i="64"/>
  <c r="T8" i="64"/>
  <c r="R16" i="64"/>
  <c r="T51" i="64"/>
  <c r="R51" i="64"/>
  <c r="R6" i="64"/>
  <c r="T6" i="64"/>
  <c r="R47" i="64"/>
  <c r="R14" i="64"/>
  <c r="R29" i="64"/>
  <c r="R38" i="64"/>
  <c r="N38" i="64" s="1"/>
  <c r="P38" i="64" s="1"/>
  <c r="T47" i="64"/>
  <c r="T14" i="64"/>
  <c r="R23" i="64"/>
  <c r="T29" i="64"/>
  <c r="T38" i="64"/>
  <c r="R39" i="64"/>
  <c r="R10" i="64"/>
  <c r="T23" i="64"/>
  <c r="R30" i="64"/>
  <c r="N30" i="64" s="1"/>
  <c r="P30" i="64" s="1"/>
  <c r="AD27" i="64"/>
  <c r="AD35" i="64"/>
  <c r="AD23" i="64"/>
  <c r="AD18" i="64"/>
  <c r="AD24" i="64"/>
  <c r="AD34" i="64"/>
  <c r="AD19" i="64"/>
  <c r="AD29" i="64"/>
  <c r="AD39" i="64"/>
  <c r="AD26" i="64"/>
  <c r="AD13" i="64"/>
  <c r="AD38" i="64"/>
  <c r="AD46" i="64"/>
  <c r="AD14" i="64"/>
  <c r="AD15" i="64"/>
  <c r="AD30" i="64"/>
  <c r="AD61" i="64"/>
  <c r="AD7" i="64"/>
  <c r="T11" i="64"/>
  <c r="T49" i="64"/>
  <c r="R49" i="64"/>
  <c r="T54" i="64"/>
  <c r="R54" i="64"/>
  <c r="Q54" i="64" s="1"/>
  <c r="AD9" i="64"/>
  <c r="R11" i="64"/>
  <c r="Q11" i="64" s="1"/>
  <c r="U11" i="64" s="1"/>
  <c r="V11" i="64" s="1"/>
  <c r="W11" i="64" s="1"/>
  <c r="T25" i="64"/>
  <c r="R25" i="64"/>
  <c r="T56" i="64"/>
  <c r="R56" i="64"/>
  <c r="T5" i="64"/>
  <c r="R5" i="64"/>
  <c r="Q5" i="64" s="1"/>
  <c r="U5" i="64" s="1"/>
  <c r="V5" i="64" s="1"/>
  <c r="W5" i="64" s="1"/>
  <c r="T3" i="64"/>
  <c r="R3" i="64"/>
  <c r="T42" i="64"/>
  <c r="R42" i="64"/>
  <c r="R45" i="64"/>
  <c r="T12" i="64"/>
  <c r="R12" i="64"/>
  <c r="Q12" i="64" s="1"/>
  <c r="U12" i="64" s="1"/>
  <c r="V12" i="64" s="1"/>
  <c r="W12" i="64" s="1"/>
  <c r="AA12" i="64" s="1"/>
  <c r="T45" i="64"/>
  <c r="T28" i="64"/>
  <c r="R28" i="64"/>
  <c r="T43" i="64"/>
  <c r="R43" i="64"/>
  <c r="Q43" i="64" s="1"/>
  <c r="U43" i="64" s="1"/>
  <c r="V43" i="64" s="1"/>
  <c r="W43" i="64" s="1"/>
  <c r="T22" i="64"/>
  <c r="R22" i="64"/>
  <c r="T44" i="64"/>
  <c r="R44" i="64"/>
  <c r="T41" i="64"/>
  <c r="R41" i="64"/>
  <c r="R57" i="64"/>
  <c r="T4" i="64"/>
  <c r="R4" i="64"/>
  <c r="R2" i="64"/>
  <c r="T57" i="64"/>
  <c r="T48" i="64"/>
  <c r="R48" i="64"/>
  <c r="T9" i="64"/>
  <c r="R9" i="64"/>
  <c r="T24" i="64"/>
  <c r="R24" i="64"/>
  <c r="T13" i="64"/>
  <c r="R13" i="64"/>
  <c r="R21" i="64"/>
  <c r="R37" i="64"/>
  <c r="T50" i="64"/>
  <c r="R50" i="64"/>
  <c r="T59" i="64"/>
  <c r="R59" i="64"/>
  <c r="T21" i="64"/>
  <c r="T37" i="64"/>
  <c r="R40" i="64"/>
  <c r="R53" i="64"/>
  <c r="R31" i="64"/>
  <c r="AD10" i="64"/>
  <c r="R20" i="64"/>
  <c r="Q20" i="64" s="1"/>
  <c r="U20" i="64" s="1"/>
  <c r="V20" i="64" s="1"/>
  <c r="W20" i="64" s="1"/>
  <c r="AA20" i="64" s="1"/>
  <c r="T40" i="64"/>
  <c r="T53" i="64"/>
  <c r="T31" i="64"/>
  <c r="T27" i="64"/>
  <c r="R27" i="64"/>
  <c r="T7" i="64"/>
  <c r="R7" i="64"/>
  <c r="T18" i="64"/>
  <c r="R18" i="64"/>
  <c r="T34" i="64"/>
  <c r="R34" i="64"/>
  <c r="C21" i="51"/>
  <c r="R17" i="56"/>
  <c r="Q17" i="56" s="1"/>
  <c r="AC38" i="56"/>
  <c r="AE38" i="56" s="1"/>
  <c r="T42" i="56"/>
  <c r="R5" i="56"/>
  <c r="N5" i="56" s="1"/>
  <c r="AC28" i="56"/>
  <c r="AE28" i="56" s="1"/>
  <c r="AC2" i="56"/>
  <c r="AE2" i="56" s="1"/>
  <c r="AC32" i="56"/>
  <c r="AE32" i="56" s="1"/>
  <c r="AC44" i="56"/>
  <c r="AE44" i="56" s="1"/>
  <c r="AC41" i="56"/>
  <c r="AE41" i="56" s="1"/>
  <c r="AC4" i="56"/>
  <c r="AE4" i="56" s="1"/>
  <c r="AC33" i="56"/>
  <c r="AE33" i="56" s="1"/>
  <c r="R36" i="56"/>
  <c r="N36" i="56" s="1"/>
  <c r="AC20" i="56"/>
  <c r="AE20" i="56" s="1"/>
  <c r="AC24" i="56"/>
  <c r="AE24" i="56" s="1"/>
  <c r="AC9" i="56"/>
  <c r="AE9" i="56" s="1"/>
  <c r="AC42" i="56"/>
  <c r="AE42" i="56" s="1"/>
  <c r="AC34" i="56"/>
  <c r="AE34" i="56" s="1"/>
  <c r="P15" i="56"/>
  <c r="AC37" i="56"/>
  <c r="AE37" i="56" s="1"/>
  <c r="AC19" i="56"/>
  <c r="AE19" i="56" s="1"/>
  <c r="AC13" i="56"/>
  <c r="AE13" i="56" s="1"/>
  <c r="P16" i="56"/>
  <c r="AC31" i="56"/>
  <c r="AE31" i="56" s="1"/>
  <c r="AC12" i="56"/>
  <c r="AE12" i="56" s="1"/>
  <c r="AC30" i="56"/>
  <c r="AE30" i="56" s="1"/>
  <c r="AC23" i="56"/>
  <c r="AE23" i="56" s="1"/>
  <c r="AC47" i="56"/>
  <c r="AE47" i="56" s="1"/>
  <c r="AC11" i="56"/>
  <c r="AE11" i="56" s="1"/>
  <c r="AC7" i="56"/>
  <c r="AE7" i="56" s="1"/>
  <c r="AC46" i="56"/>
  <c r="AE46" i="56" s="1"/>
  <c r="AC40" i="56"/>
  <c r="AE40" i="56" s="1"/>
  <c r="AC26" i="56"/>
  <c r="AE26" i="56" s="1"/>
  <c r="AC8" i="56"/>
  <c r="AE8" i="56" s="1"/>
  <c r="AC22" i="56"/>
  <c r="AE22" i="56" s="1"/>
  <c r="AC43" i="56"/>
  <c r="AE43" i="56" s="1"/>
  <c r="AC10" i="56"/>
  <c r="AE10" i="56" s="1"/>
  <c r="AC6" i="56"/>
  <c r="AE6" i="56" s="1"/>
  <c r="R27" i="56"/>
  <c r="N27" i="56" s="1"/>
  <c r="AC39" i="56"/>
  <c r="AE39" i="56" s="1"/>
  <c r="AC21" i="56"/>
  <c r="AE21" i="56" s="1"/>
  <c r="AC16" i="56"/>
  <c r="AE16" i="56" s="1"/>
  <c r="AC15" i="56"/>
  <c r="AE15" i="56" s="1"/>
  <c r="AC3" i="56"/>
  <c r="AE3" i="56" s="1"/>
  <c r="N20" i="56"/>
  <c r="N13" i="56"/>
  <c r="P13" i="56" s="1"/>
  <c r="N44" i="56"/>
  <c r="N41" i="56"/>
  <c r="N4" i="56"/>
  <c r="R35" i="56"/>
  <c r="Q35" i="56" s="1"/>
  <c r="N37" i="56"/>
  <c r="R25" i="56"/>
  <c r="Q25" i="56" s="1"/>
  <c r="N19" i="56"/>
  <c r="P19" i="56" s="1"/>
  <c r="R14" i="56"/>
  <c r="Q14" i="56" s="1"/>
  <c r="N42" i="56"/>
  <c r="P42" i="56" s="1"/>
  <c r="N32" i="56"/>
  <c r="N34" i="56"/>
  <c r="P34" i="56" s="1"/>
  <c r="Q26" i="56"/>
  <c r="N26" i="56"/>
  <c r="Q43" i="56"/>
  <c r="U43" i="56" s="1"/>
  <c r="V43" i="56" s="1"/>
  <c r="W43" i="56" s="1"/>
  <c r="N43" i="56"/>
  <c r="P43" i="56" s="1"/>
  <c r="Q40" i="56"/>
  <c r="N40" i="56"/>
  <c r="Q6" i="56"/>
  <c r="N6" i="56"/>
  <c r="N22" i="56"/>
  <c r="Q22" i="56"/>
  <c r="Q46" i="56"/>
  <c r="N46" i="56"/>
  <c r="Q8" i="56"/>
  <c r="N8" i="56"/>
  <c r="Q10" i="56"/>
  <c r="N10" i="56"/>
  <c r="N30" i="56"/>
  <c r="N31" i="56"/>
  <c r="Q39" i="56"/>
  <c r="N38" i="56"/>
  <c r="Q21" i="56"/>
  <c r="N12" i="56"/>
  <c r="N24" i="56"/>
  <c r="Q16" i="56"/>
  <c r="U16" i="56" s="1"/>
  <c r="V16" i="56" s="1"/>
  <c r="W16" i="56" s="1"/>
  <c r="N33" i="56"/>
  <c r="P33" i="56" s="1"/>
  <c r="Q15" i="56"/>
  <c r="U15" i="56" s="1"/>
  <c r="V15" i="56" s="1"/>
  <c r="W15" i="56" s="1"/>
  <c r="N28" i="56"/>
  <c r="P28" i="56" s="1"/>
  <c r="N9" i="56"/>
  <c r="Q3" i="56"/>
  <c r="N23" i="56"/>
  <c r="N47" i="56"/>
  <c r="P47" i="56" s="1"/>
  <c r="N11" i="56"/>
  <c r="P11" i="56" s="1"/>
  <c r="N7" i="56"/>
  <c r="R45" i="56"/>
  <c r="Q45" i="56" s="1"/>
  <c r="R29" i="56"/>
  <c r="Q29" i="56" s="1"/>
  <c r="R18" i="56"/>
  <c r="Q18" i="56" s="1"/>
  <c r="N2" i="56"/>
  <c r="T34" i="56"/>
  <c r="T16" i="56"/>
  <c r="T47" i="56"/>
  <c r="T11" i="56"/>
  <c r="T15" i="56"/>
  <c r="T43" i="56"/>
  <c r="U33" i="56"/>
  <c r="V33" i="56" s="1"/>
  <c r="W33" i="56" s="1"/>
  <c r="V34" i="56"/>
  <c r="W34" i="56" s="1"/>
  <c r="V28" i="56"/>
  <c r="W28" i="56" s="1"/>
  <c r="V47" i="56"/>
  <c r="W47" i="56" s="1"/>
  <c r="U11" i="56"/>
  <c r="V11" i="56" s="1"/>
  <c r="W11" i="56" s="1"/>
  <c r="T28" i="56"/>
  <c r="U13" i="56"/>
  <c r="V13" i="56" s="1"/>
  <c r="W13" i="56" s="1"/>
  <c r="T33" i="56"/>
  <c r="U19" i="56"/>
  <c r="V19" i="56" s="1"/>
  <c r="W19" i="56" s="1"/>
  <c r="T13" i="56"/>
  <c r="T19" i="56"/>
  <c r="AB16" i="52"/>
  <c r="Z16" i="52"/>
  <c r="X16" i="52"/>
  <c r="O16" i="52"/>
  <c r="R16" i="52" s="1"/>
  <c r="I16" i="52"/>
  <c r="H16" i="52"/>
  <c r="N54" i="64" l="1"/>
  <c r="P54" i="64" s="1"/>
  <c r="Q26" i="64"/>
  <c r="U26" i="64" s="1"/>
  <c r="V26" i="64" s="1"/>
  <c r="W26" i="64" s="1"/>
  <c r="AA26" i="64" s="1"/>
  <c r="Y60" i="64"/>
  <c r="N60" i="64"/>
  <c r="P60" i="64" s="1"/>
  <c r="Q30" i="64"/>
  <c r="U30" i="64" s="1"/>
  <c r="V30" i="64" s="1"/>
  <c r="W30" i="64" s="1"/>
  <c r="AA30" i="64" s="1"/>
  <c r="N46" i="64"/>
  <c r="P46" i="64" s="1"/>
  <c r="Q46" i="64"/>
  <c r="U46" i="64" s="1"/>
  <c r="V46" i="64" s="1"/>
  <c r="W46" i="64" s="1"/>
  <c r="Q61" i="64"/>
  <c r="U61" i="64" s="1"/>
  <c r="V61" i="64" s="1"/>
  <c r="W61" i="64" s="1"/>
  <c r="AA61" i="64" s="1"/>
  <c r="N15" i="64"/>
  <c r="P15" i="64" s="1"/>
  <c r="Q15" i="64"/>
  <c r="U15" i="64" s="1"/>
  <c r="V15" i="64" s="1"/>
  <c r="W15" i="64" s="1"/>
  <c r="Q32" i="64"/>
  <c r="U32" i="64" s="1"/>
  <c r="V32" i="64" s="1"/>
  <c r="W32" i="64" s="1"/>
  <c r="AA32" i="64" s="1"/>
  <c r="Q35" i="64"/>
  <c r="U35" i="64" s="1"/>
  <c r="V35" i="64" s="1"/>
  <c r="W35" i="64" s="1"/>
  <c r="AA35" i="64" s="1"/>
  <c r="AD58" i="64"/>
  <c r="AD55" i="64"/>
  <c r="Y20" i="64"/>
  <c r="AD6" i="64"/>
  <c r="AD17" i="64"/>
  <c r="AD33" i="64"/>
  <c r="AA43" i="64"/>
  <c r="Y43" i="64"/>
  <c r="AA11" i="64"/>
  <c r="Y11" i="64"/>
  <c r="AA5" i="64"/>
  <c r="Y5" i="64"/>
  <c r="N17" i="64"/>
  <c r="P17" i="64" s="1"/>
  <c r="Q17" i="64"/>
  <c r="U17" i="64" s="1"/>
  <c r="V17" i="64" s="1"/>
  <c r="W17" i="64" s="1"/>
  <c r="N51" i="64"/>
  <c r="P51" i="64" s="1"/>
  <c r="Q51" i="64"/>
  <c r="U51" i="64" s="1"/>
  <c r="V51" i="64" s="1"/>
  <c r="W51" i="64" s="1"/>
  <c r="U54" i="64"/>
  <c r="P19" i="51"/>
  <c r="N23" i="64"/>
  <c r="P23" i="64" s="1"/>
  <c r="Q23" i="64"/>
  <c r="U23" i="64" s="1"/>
  <c r="V23" i="64" s="1"/>
  <c r="W23" i="64" s="1"/>
  <c r="N33" i="64"/>
  <c r="P33" i="64" s="1"/>
  <c r="Q33" i="64"/>
  <c r="U33" i="64" s="1"/>
  <c r="V33" i="64" s="1"/>
  <c r="W33" i="64" s="1"/>
  <c r="N52" i="64"/>
  <c r="P52" i="64" s="1"/>
  <c r="Q52" i="64"/>
  <c r="U52" i="64" s="1"/>
  <c r="V52" i="64" s="1"/>
  <c r="W52" i="64" s="1"/>
  <c r="AD32" i="64"/>
  <c r="Q29" i="64"/>
  <c r="U29" i="64" s="1"/>
  <c r="V29" i="64" s="1"/>
  <c r="W29" i="64" s="1"/>
  <c r="N29" i="64"/>
  <c r="P29" i="64" s="1"/>
  <c r="Q16" i="64"/>
  <c r="U16" i="64" s="1"/>
  <c r="V16" i="64" s="1"/>
  <c r="W16" i="64" s="1"/>
  <c r="N16" i="64"/>
  <c r="P16" i="64" s="1"/>
  <c r="Q14" i="64"/>
  <c r="U14" i="64" s="1"/>
  <c r="V14" i="64" s="1"/>
  <c r="W14" i="64" s="1"/>
  <c r="N14" i="64"/>
  <c r="P14" i="64" s="1"/>
  <c r="N11" i="64"/>
  <c r="P11" i="64" s="1"/>
  <c r="Q38" i="64"/>
  <c r="U38" i="64" s="1"/>
  <c r="V38" i="64" s="1"/>
  <c r="W38" i="64" s="1"/>
  <c r="N47" i="64"/>
  <c r="P47" i="64" s="1"/>
  <c r="Q47" i="64"/>
  <c r="U47" i="64" s="1"/>
  <c r="V47" i="64" s="1"/>
  <c r="W47" i="64" s="1"/>
  <c r="N8" i="64"/>
  <c r="P8" i="64" s="1"/>
  <c r="Q8" i="64"/>
  <c r="U8" i="64" s="1"/>
  <c r="V8" i="64" s="1"/>
  <c r="W8" i="64" s="1"/>
  <c r="Q19" i="64"/>
  <c r="U19" i="64" s="1"/>
  <c r="V19" i="64" s="1"/>
  <c r="W19" i="64" s="1"/>
  <c r="N55" i="64"/>
  <c r="P55" i="64" s="1"/>
  <c r="Q55" i="64"/>
  <c r="U55" i="64" s="1"/>
  <c r="V55" i="64" s="1"/>
  <c r="W55" i="64" s="1"/>
  <c r="N36" i="64"/>
  <c r="P36" i="64" s="1"/>
  <c r="N43" i="64"/>
  <c r="P43" i="64" s="1"/>
  <c r="N5" i="64"/>
  <c r="P5" i="64" s="1"/>
  <c r="Y36" i="64"/>
  <c r="Q10" i="64"/>
  <c r="U10" i="64" s="1"/>
  <c r="V10" i="64" s="1"/>
  <c r="W10" i="64" s="1"/>
  <c r="N10" i="64"/>
  <c r="P10" i="64" s="1"/>
  <c r="Y12" i="64"/>
  <c r="N58" i="64"/>
  <c r="P58" i="64" s="1"/>
  <c r="Q58" i="64"/>
  <c r="U58" i="64" s="1"/>
  <c r="V58" i="64" s="1"/>
  <c r="W58" i="64" s="1"/>
  <c r="N20" i="64"/>
  <c r="P20" i="64" s="1"/>
  <c r="AD16" i="64"/>
  <c r="AD51" i="64"/>
  <c r="N39" i="64"/>
  <c r="P39" i="64" s="1"/>
  <c r="Q39" i="64"/>
  <c r="U39" i="64" s="1"/>
  <c r="V39" i="64" s="1"/>
  <c r="W39" i="64" s="1"/>
  <c r="Q6" i="64"/>
  <c r="U6" i="64" s="1"/>
  <c r="V6" i="64" s="1"/>
  <c r="W6" i="64" s="1"/>
  <c r="N6" i="64"/>
  <c r="P6" i="64" s="1"/>
  <c r="N17" i="56"/>
  <c r="S8" i="42"/>
  <c r="T8" i="42" s="1"/>
  <c r="AD49" i="64"/>
  <c r="AD41" i="64"/>
  <c r="AD47" i="64"/>
  <c r="AD48" i="64"/>
  <c r="AD45" i="64"/>
  <c r="AD53" i="64"/>
  <c r="AD5" i="64"/>
  <c r="Q27" i="64"/>
  <c r="U27" i="64" s="1"/>
  <c r="V27" i="64" s="1"/>
  <c r="W27" i="64" s="1"/>
  <c r="N27" i="64"/>
  <c r="P27" i="64" s="1"/>
  <c r="AD20" i="64"/>
  <c r="Q48" i="64"/>
  <c r="U48" i="64" s="1"/>
  <c r="V48" i="64" s="1"/>
  <c r="W48" i="64" s="1"/>
  <c r="N48" i="64"/>
  <c r="P48" i="64" s="1"/>
  <c r="Q31" i="64"/>
  <c r="U31" i="64" s="1"/>
  <c r="V31" i="64" s="1"/>
  <c r="W31" i="64" s="1"/>
  <c r="N31" i="64"/>
  <c r="P31" i="64" s="1"/>
  <c r="AD2" i="64"/>
  <c r="AD11" i="64"/>
  <c r="Q53" i="64"/>
  <c r="U53" i="64" s="1"/>
  <c r="V53" i="64" s="1"/>
  <c r="W53" i="64" s="1"/>
  <c r="N53" i="64"/>
  <c r="P53" i="64" s="1"/>
  <c r="Q59" i="64"/>
  <c r="U59" i="64" s="1"/>
  <c r="V59" i="64" s="1"/>
  <c r="W59" i="64" s="1"/>
  <c r="N59" i="64"/>
  <c r="P59" i="64" s="1"/>
  <c r="Q9" i="64"/>
  <c r="U9" i="64" s="1"/>
  <c r="V9" i="64" s="1"/>
  <c r="W9" i="64" s="1"/>
  <c r="N9" i="64"/>
  <c r="P9" i="64" s="1"/>
  <c r="Q28" i="64"/>
  <c r="U28" i="64" s="1"/>
  <c r="V28" i="64" s="1"/>
  <c r="W28" i="64" s="1"/>
  <c r="N28" i="64"/>
  <c r="P28" i="64" s="1"/>
  <c r="AD59" i="64"/>
  <c r="Q21" i="64"/>
  <c r="U21" i="64" s="1"/>
  <c r="V21" i="64" s="1"/>
  <c r="W21" i="64" s="1"/>
  <c r="N21" i="64"/>
  <c r="P21" i="64" s="1"/>
  <c r="AD44" i="64"/>
  <c r="Q45" i="64"/>
  <c r="U45" i="64" s="1"/>
  <c r="V45" i="64" s="1"/>
  <c r="W45" i="64" s="1"/>
  <c r="N45" i="64"/>
  <c r="P45" i="64" s="1"/>
  <c r="Q25" i="64"/>
  <c r="U25" i="64" s="1"/>
  <c r="V25" i="64" s="1"/>
  <c r="W25" i="64" s="1"/>
  <c r="N25" i="64"/>
  <c r="P25" i="64" s="1"/>
  <c r="AD52" i="64"/>
  <c r="AD31" i="64"/>
  <c r="Q4" i="64"/>
  <c r="U4" i="64" s="1"/>
  <c r="V4" i="64" s="1"/>
  <c r="W4" i="64" s="1"/>
  <c r="N4" i="64"/>
  <c r="P4" i="64" s="1"/>
  <c r="AD37" i="64"/>
  <c r="Q42" i="64"/>
  <c r="U42" i="64" s="1"/>
  <c r="V42" i="64" s="1"/>
  <c r="W42" i="64" s="1"/>
  <c r="N42" i="64"/>
  <c r="P42" i="64" s="1"/>
  <c r="AD25" i="64"/>
  <c r="N34" i="64"/>
  <c r="P34" i="64" s="1"/>
  <c r="Q34" i="64"/>
  <c r="U34" i="64" s="1"/>
  <c r="V34" i="64" s="1"/>
  <c r="W34" i="64" s="1"/>
  <c r="Q13" i="64"/>
  <c r="U13" i="64" s="1"/>
  <c r="V13" i="64" s="1"/>
  <c r="W13" i="64" s="1"/>
  <c r="N13" i="64"/>
  <c r="P13" i="64" s="1"/>
  <c r="AD21" i="64"/>
  <c r="AD22" i="64"/>
  <c r="Q40" i="64"/>
  <c r="U40" i="64" s="1"/>
  <c r="V40" i="64" s="1"/>
  <c r="W40" i="64" s="1"/>
  <c r="N40" i="64"/>
  <c r="P40" i="64" s="1"/>
  <c r="Q50" i="64"/>
  <c r="U50" i="64" s="1"/>
  <c r="V50" i="64" s="1"/>
  <c r="W50" i="64" s="1"/>
  <c r="N50" i="64"/>
  <c r="P50" i="64" s="1"/>
  <c r="AD28" i="64"/>
  <c r="Q57" i="64"/>
  <c r="U57" i="64" s="1"/>
  <c r="V57" i="64" s="1"/>
  <c r="W57" i="64" s="1"/>
  <c r="N57" i="64"/>
  <c r="P57" i="64" s="1"/>
  <c r="N22" i="64"/>
  <c r="P22" i="64" s="1"/>
  <c r="Q22" i="64"/>
  <c r="U22" i="64" s="1"/>
  <c r="V22" i="64" s="1"/>
  <c r="W22" i="64" s="1"/>
  <c r="AD4" i="64"/>
  <c r="AD43" i="64"/>
  <c r="N18" i="64"/>
  <c r="P18" i="64" s="1"/>
  <c r="Q18" i="64"/>
  <c r="U18" i="64" s="1"/>
  <c r="V18" i="64" s="1"/>
  <c r="W18" i="64" s="1"/>
  <c r="Q41" i="64"/>
  <c r="U41" i="64" s="1"/>
  <c r="V41" i="64" s="1"/>
  <c r="W41" i="64" s="1"/>
  <c r="N41" i="64"/>
  <c r="P41" i="64" s="1"/>
  <c r="AD42" i="64"/>
  <c r="Q24" i="64"/>
  <c r="U24" i="64" s="1"/>
  <c r="V24" i="64" s="1"/>
  <c r="W24" i="64" s="1"/>
  <c r="N24" i="64"/>
  <c r="P24" i="64" s="1"/>
  <c r="AD40" i="64"/>
  <c r="Q56" i="64"/>
  <c r="U56" i="64" s="1"/>
  <c r="V56" i="64" s="1"/>
  <c r="W56" i="64" s="1"/>
  <c r="N56" i="64"/>
  <c r="P56" i="64" s="1"/>
  <c r="N7" i="64"/>
  <c r="P7" i="64" s="1"/>
  <c r="Q7" i="64"/>
  <c r="U7" i="64" s="1"/>
  <c r="V7" i="64" s="1"/>
  <c r="W7" i="64" s="1"/>
  <c r="Q37" i="64"/>
  <c r="U37" i="64" s="1"/>
  <c r="V37" i="64" s="1"/>
  <c r="W37" i="64" s="1"/>
  <c r="N37" i="64"/>
  <c r="P37" i="64" s="1"/>
  <c r="AD57" i="64"/>
  <c r="Q2" i="64"/>
  <c r="U2" i="64" s="1"/>
  <c r="V2" i="64" s="1"/>
  <c r="W2" i="64" s="1"/>
  <c r="N2" i="64"/>
  <c r="P2" i="64" s="1"/>
  <c r="AD12" i="64"/>
  <c r="Q3" i="64"/>
  <c r="N3" i="64"/>
  <c r="Q49" i="64"/>
  <c r="U49" i="64" s="1"/>
  <c r="V49" i="64" s="1"/>
  <c r="W49" i="64" s="1"/>
  <c r="N49" i="64"/>
  <c r="P49" i="64" s="1"/>
  <c r="AD60" i="64"/>
  <c r="AD8" i="64"/>
  <c r="AD36" i="64"/>
  <c r="AD50" i="64"/>
  <c r="AD54" i="64"/>
  <c r="N12" i="64"/>
  <c r="P12" i="64" s="1"/>
  <c r="AD3" i="64"/>
  <c r="Q44" i="64"/>
  <c r="U44" i="64" s="1"/>
  <c r="V44" i="64" s="1"/>
  <c r="W44" i="64" s="1"/>
  <c r="N44" i="64"/>
  <c r="P44" i="64" s="1"/>
  <c r="AD56" i="64"/>
  <c r="Q27" i="56"/>
  <c r="Q5" i="56"/>
  <c r="Q36" i="56"/>
  <c r="AD33" i="56"/>
  <c r="AD34" i="56"/>
  <c r="AD11" i="56"/>
  <c r="N14" i="56"/>
  <c r="N25" i="56"/>
  <c r="N35" i="56"/>
  <c r="AD28" i="56"/>
  <c r="N18" i="56"/>
  <c r="N45" i="56"/>
  <c r="N29" i="56"/>
  <c r="AD43" i="56"/>
  <c r="Y33" i="56"/>
  <c r="AD47" i="56"/>
  <c r="Y43" i="56"/>
  <c r="AD42" i="56"/>
  <c r="AD19" i="56"/>
  <c r="Y19" i="56"/>
  <c r="Y11" i="56"/>
  <c r="Y13" i="56"/>
  <c r="Y28" i="56"/>
  <c r="Y34" i="56"/>
  <c r="AD13" i="56"/>
  <c r="AD15" i="56"/>
  <c r="U42" i="56"/>
  <c r="V42" i="56" s="1"/>
  <c r="W42" i="56" s="1"/>
  <c r="Y15" i="56"/>
  <c r="AD16" i="56"/>
  <c r="Y16" i="56"/>
  <c r="Y47" i="56"/>
  <c r="T16" i="52"/>
  <c r="Q16" i="52"/>
  <c r="U16" i="52" s="1"/>
  <c r="V16" i="52" s="1"/>
  <c r="W16" i="52" s="1"/>
  <c r="N16" i="52"/>
  <c r="P16" i="52" s="1"/>
  <c r="AC16" i="52"/>
  <c r="AE16" i="52" s="1"/>
  <c r="AV59" i="50" a="1"/>
  <c r="AV59" i="50" s="1"/>
  <c r="AB10" i="55"/>
  <c r="Z10" i="55"/>
  <c r="X10" i="55"/>
  <c r="O10" i="55"/>
  <c r="AC10" i="55" s="1"/>
  <c r="AE10" i="55" s="1"/>
  <c r="I10" i="55"/>
  <c r="H10" i="55"/>
  <c r="AB4" i="55"/>
  <c r="Z4" i="55"/>
  <c r="X4" i="55"/>
  <c r="O4" i="55"/>
  <c r="R4" i="55" s="1"/>
  <c r="Q4" i="55" s="1"/>
  <c r="U4" i="55" s="1"/>
  <c r="I4" i="55"/>
  <c r="H4" i="55"/>
  <c r="Y61" i="64" l="1"/>
  <c r="Y30" i="64"/>
  <c r="Y26" i="64"/>
  <c r="L19" i="51"/>
  <c r="Y35" i="64"/>
  <c r="Y32" i="64"/>
  <c r="AA46" i="64"/>
  <c r="Y46" i="64"/>
  <c r="AA15" i="64"/>
  <c r="Y15" i="64"/>
  <c r="AA50" i="64"/>
  <c r="Y50" i="64"/>
  <c r="AA45" i="64"/>
  <c r="Y45" i="64"/>
  <c r="AA41" i="64"/>
  <c r="Y41" i="64"/>
  <c r="AA42" i="64"/>
  <c r="Y42" i="64"/>
  <c r="AA53" i="64"/>
  <c r="Y53" i="64"/>
  <c r="AA6" i="64"/>
  <c r="Y6" i="64"/>
  <c r="AA17" i="64"/>
  <c r="Y17" i="64"/>
  <c r="AA37" i="64"/>
  <c r="Y37" i="64"/>
  <c r="AA40" i="64"/>
  <c r="Y40" i="64"/>
  <c r="AA39" i="64"/>
  <c r="Y39" i="64"/>
  <c r="AA47" i="64"/>
  <c r="Y47" i="64"/>
  <c r="AA7" i="64"/>
  <c r="Y7" i="64"/>
  <c r="AA10" i="64"/>
  <c r="Y10" i="64"/>
  <c r="AA21" i="64"/>
  <c r="Y21" i="64"/>
  <c r="AA38" i="64"/>
  <c r="Y38" i="64"/>
  <c r="AA44" i="64"/>
  <c r="Y44" i="64"/>
  <c r="AA23" i="64"/>
  <c r="Y23" i="64"/>
  <c r="AA49" i="64"/>
  <c r="Y49" i="64"/>
  <c r="AA56" i="64"/>
  <c r="Y56" i="64"/>
  <c r="AA22" i="64"/>
  <c r="Y22" i="64"/>
  <c r="AA28" i="64"/>
  <c r="Y28" i="64"/>
  <c r="AA31" i="64"/>
  <c r="Y31" i="64"/>
  <c r="AA14" i="64"/>
  <c r="Y14" i="64"/>
  <c r="AA13" i="64"/>
  <c r="Y13" i="64"/>
  <c r="AA58" i="64"/>
  <c r="Y58" i="64"/>
  <c r="AA57" i="64"/>
  <c r="Y57" i="64"/>
  <c r="AA34" i="64"/>
  <c r="Y34" i="64"/>
  <c r="AA9" i="64"/>
  <c r="Y9" i="64"/>
  <c r="AA48" i="64"/>
  <c r="Y48" i="64"/>
  <c r="AA55" i="64"/>
  <c r="Y55" i="64"/>
  <c r="AA16" i="64"/>
  <c r="Y16" i="64"/>
  <c r="Q19" i="51"/>
  <c r="R19" i="51" s="1"/>
  <c r="T19" i="51" s="1"/>
  <c r="V54" i="64"/>
  <c r="W54" i="64" s="1"/>
  <c r="AA24" i="64"/>
  <c r="Y24" i="64"/>
  <c r="AA25" i="64"/>
  <c r="Y25" i="64"/>
  <c r="AA51" i="64"/>
  <c r="Y51" i="64"/>
  <c r="AA8" i="64"/>
  <c r="Y8" i="64"/>
  <c r="AA27" i="64"/>
  <c r="Y27" i="64"/>
  <c r="AA52" i="64"/>
  <c r="Y52" i="64"/>
  <c r="AA18" i="64"/>
  <c r="Y18" i="64"/>
  <c r="AA33" i="64"/>
  <c r="Y33" i="64"/>
  <c r="AA4" i="64"/>
  <c r="Y4" i="64"/>
  <c r="AA2" i="64"/>
  <c r="Y2" i="64"/>
  <c r="AA59" i="64"/>
  <c r="Y59" i="64"/>
  <c r="AA19" i="64"/>
  <c r="Y19" i="64"/>
  <c r="AA29" i="64"/>
  <c r="Y29" i="64"/>
  <c r="P3" i="64"/>
  <c r="U3" i="64"/>
  <c r="Y42" i="56"/>
  <c r="Y16" i="52"/>
  <c r="AA16" i="52"/>
  <c r="AD16" i="52"/>
  <c r="AD10" i="55"/>
  <c r="R10" i="55"/>
  <c r="Q10" i="55" s="1"/>
  <c r="U10" i="55" s="1"/>
  <c r="V10" i="55" s="1"/>
  <c r="W10" i="55" s="1"/>
  <c r="T10" i="55"/>
  <c r="V4" i="55"/>
  <c r="W4" i="55" s="1"/>
  <c r="T4" i="55"/>
  <c r="N4" i="55"/>
  <c r="P4" i="55" s="1"/>
  <c r="AC4" i="55"/>
  <c r="AE4" i="55" s="1"/>
  <c r="AB7" i="55"/>
  <c r="Z7" i="55"/>
  <c r="X7" i="55"/>
  <c r="O7" i="55"/>
  <c r="R7" i="55" s="1"/>
  <c r="Q7" i="55" s="1"/>
  <c r="U7" i="55" s="1"/>
  <c r="I7" i="55"/>
  <c r="H7" i="55"/>
  <c r="AB39" i="55"/>
  <c r="Z39" i="55"/>
  <c r="X39" i="55"/>
  <c r="O39" i="55"/>
  <c r="R39" i="55" s="1"/>
  <c r="Q39" i="55" s="1"/>
  <c r="U39" i="55" s="1"/>
  <c r="I39" i="55"/>
  <c r="H39" i="55"/>
  <c r="AB22" i="55"/>
  <c r="Z22" i="55"/>
  <c r="X22" i="55"/>
  <c r="O22" i="55"/>
  <c r="R22" i="55" s="1"/>
  <c r="Q22" i="55" s="1"/>
  <c r="U22" i="55" s="1"/>
  <c r="I22" i="55"/>
  <c r="H22" i="55"/>
  <c r="AB19" i="55"/>
  <c r="Z19" i="55"/>
  <c r="X19" i="55"/>
  <c r="O19" i="55"/>
  <c r="AC19" i="55" s="1"/>
  <c r="AE19" i="55" s="1"/>
  <c r="I19" i="55"/>
  <c r="H19" i="55"/>
  <c r="AB17" i="52"/>
  <c r="Z17" i="52"/>
  <c r="X17" i="52"/>
  <c r="O17" i="52"/>
  <c r="R17" i="52" s="1"/>
  <c r="I17" i="52"/>
  <c r="H17" i="52"/>
  <c r="AA54" i="64" l="1"/>
  <c r="Y54" i="64"/>
  <c r="O19" i="51"/>
  <c r="N19" i="51" s="1"/>
  <c r="V3" i="64"/>
  <c r="W3" i="64" s="1"/>
  <c r="AA10" i="55"/>
  <c r="Y10" i="55"/>
  <c r="N10" i="55"/>
  <c r="P10" i="55" s="1"/>
  <c r="Y4" i="55"/>
  <c r="AA4" i="55"/>
  <c r="AD4" i="55"/>
  <c r="T7" i="55"/>
  <c r="N7" i="55"/>
  <c r="P7" i="55" s="1"/>
  <c r="V7" i="55"/>
  <c r="W7" i="55" s="1"/>
  <c r="AC7" i="55"/>
  <c r="AE7" i="55" s="1"/>
  <c r="T39" i="55"/>
  <c r="N39" i="55"/>
  <c r="P39" i="55" s="1"/>
  <c r="V39" i="55"/>
  <c r="W39" i="55" s="1"/>
  <c r="AC39" i="55"/>
  <c r="AE39" i="55" s="1"/>
  <c r="T22" i="55"/>
  <c r="N22" i="55"/>
  <c r="P22" i="55" s="1"/>
  <c r="V22" i="55"/>
  <c r="W22" i="55" s="1"/>
  <c r="AC22" i="55"/>
  <c r="AE22" i="55" s="1"/>
  <c r="R19" i="55"/>
  <c r="Q19" i="55" s="1"/>
  <c r="U19" i="55" s="1"/>
  <c r="V19" i="55" s="1"/>
  <c r="W19" i="55" s="1"/>
  <c r="T19" i="55"/>
  <c r="AD19" i="55"/>
  <c r="T17" i="52"/>
  <c r="Q17" i="52"/>
  <c r="U17" i="52" s="1"/>
  <c r="V17" i="52" s="1"/>
  <c r="W17" i="52" s="1"/>
  <c r="N17" i="52"/>
  <c r="P17" i="52" s="1"/>
  <c r="AC17" i="52"/>
  <c r="AE17" i="52" s="1"/>
  <c r="Y3" i="64" l="1"/>
  <c r="AA3" i="64"/>
  <c r="Y7" i="55"/>
  <c r="AA7" i="55"/>
  <c r="AD7" i="55"/>
  <c r="Y39" i="55"/>
  <c r="AA39" i="55"/>
  <c r="AD39" i="55"/>
  <c r="Y22" i="55"/>
  <c r="AA22" i="55"/>
  <c r="AD22" i="55"/>
  <c r="N19" i="55"/>
  <c r="P19" i="55" s="1"/>
  <c r="Y19" i="55"/>
  <c r="AA19" i="55"/>
  <c r="Y17" i="52"/>
  <c r="AA17" i="52"/>
  <c r="AD17" i="52"/>
  <c r="Z11" i="52" l="1"/>
  <c r="X11" i="52"/>
  <c r="O11" i="52"/>
  <c r="R11" i="52" s="1"/>
  <c r="I11" i="52"/>
  <c r="H11" i="52"/>
  <c r="AB14" i="52"/>
  <c r="Z14" i="52"/>
  <c r="X14" i="52"/>
  <c r="O14" i="52"/>
  <c r="R14" i="52" s="1"/>
  <c r="I14" i="52"/>
  <c r="H14" i="52"/>
  <c r="T11" i="52" l="1"/>
  <c r="Q11" i="52"/>
  <c r="U11" i="52" s="1"/>
  <c r="V11" i="52" s="1"/>
  <c r="W11" i="52" s="1"/>
  <c r="N11" i="52"/>
  <c r="P11" i="52" s="1"/>
  <c r="AC11" i="52"/>
  <c r="AE11" i="52" s="1"/>
  <c r="AC14" i="52"/>
  <c r="AE14" i="52" s="1"/>
  <c r="T14" i="52"/>
  <c r="Q14" i="52"/>
  <c r="U14" i="52" s="1"/>
  <c r="V14" i="52" s="1"/>
  <c r="W14" i="52" s="1"/>
  <c r="N14" i="52"/>
  <c r="P14" i="52" s="1"/>
  <c r="AB41" i="55"/>
  <c r="Z41" i="55"/>
  <c r="X41" i="55"/>
  <c r="O41" i="55"/>
  <c r="R41" i="55" s="1"/>
  <c r="I41" i="55"/>
  <c r="H41" i="55"/>
  <c r="AB40" i="55"/>
  <c r="Z40" i="55"/>
  <c r="X40" i="55"/>
  <c r="O40" i="55"/>
  <c r="AC40" i="55" s="1"/>
  <c r="AE40" i="55" s="1"/>
  <c r="I40" i="55"/>
  <c r="H40" i="55"/>
  <c r="AB27" i="55"/>
  <c r="Z27" i="55"/>
  <c r="X27" i="55"/>
  <c r="O27" i="55"/>
  <c r="R27" i="55" s="1"/>
  <c r="I27" i="55"/>
  <c r="H27" i="55"/>
  <c r="Y11" i="52" l="1"/>
  <c r="AA11" i="52"/>
  <c r="AD14" i="52"/>
  <c r="Y14" i="52"/>
  <c r="AA14" i="52"/>
  <c r="AC41" i="55"/>
  <c r="AE41" i="55" s="1"/>
  <c r="T41" i="55"/>
  <c r="Q41" i="55"/>
  <c r="U41" i="55" s="1"/>
  <c r="V41" i="55" s="1"/>
  <c r="W41" i="55" s="1"/>
  <c r="N41" i="55"/>
  <c r="P41" i="55" s="1"/>
  <c r="R40" i="55"/>
  <c r="Q40" i="55" s="1"/>
  <c r="U40" i="55" s="1"/>
  <c r="V40" i="55" s="1"/>
  <c r="W40" i="55" s="1"/>
  <c r="T40" i="55"/>
  <c r="AD40" i="55"/>
  <c r="T27" i="55"/>
  <c r="Q27" i="55"/>
  <c r="U27" i="55" s="1"/>
  <c r="V27" i="55" s="1"/>
  <c r="W27" i="55" s="1"/>
  <c r="N27" i="55"/>
  <c r="P27" i="55" s="1"/>
  <c r="AC27" i="55"/>
  <c r="AE27" i="55" s="1"/>
  <c r="O3" i="55"/>
  <c r="O6" i="55"/>
  <c r="O44" i="55"/>
  <c r="O9" i="55"/>
  <c r="O23" i="55"/>
  <c r="O11" i="55"/>
  <c r="O13" i="55"/>
  <c r="O14" i="55"/>
  <c r="O5" i="55"/>
  <c r="O25" i="55"/>
  <c r="O28" i="55"/>
  <c r="R28" i="55" s="1"/>
  <c r="Q28" i="55" s="1"/>
  <c r="U28" i="55" s="1"/>
  <c r="O32" i="55"/>
  <c r="O34" i="55"/>
  <c r="AC34" i="55" s="1"/>
  <c r="AE34" i="55" s="1"/>
  <c r="O37" i="55"/>
  <c r="O43" i="55"/>
  <c r="O46" i="55"/>
  <c r="O47" i="55"/>
  <c r="O33" i="55"/>
  <c r="O42" i="55"/>
  <c r="O15" i="55"/>
  <c r="O16" i="55"/>
  <c r="O24" i="55"/>
  <c r="O8" i="55"/>
  <c r="O18" i="55"/>
  <c r="O12" i="55"/>
  <c r="O17" i="55"/>
  <c r="O21" i="55"/>
  <c r="O26" i="55"/>
  <c r="O29" i="55"/>
  <c r="O38" i="55"/>
  <c r="O20" i="55"/>
  <c r="O30" i="55"/>
  <c r="O31" i="55"/>
  <c r="O35" i="55"/>
  <c r="O36" i="55"/>
  <c r="O45" i="55"/>
  <c r="O2" i="55"/>
  <c r="AB28" i="55"/>
  <c r="Z28" i="55"/>
  <c r="X28" i="55"/>
  <c r="I28" i="55"/>
  <c r="H28" i="55"/>
  <c r="AB34" i="55"/>
  <c r="Z34" i="55"/>
  <c r="X34" i="55"/>
  <c r="I34" i="55"/>
  <c r="H34" i="55"/>
  <c r="AD41" i="55" l="1"/>
  <c r="Y41" i="55"/>
  <c r="AA41" i="55"/>
  <c r="N40" i="55"/>
  <c r="P40" i="55" s="1"/>
  <c r="AA40" i="55"/>
  <c r="Y40" i="55"/>
  <c r="Y27" i="55"/>
  <c r="AA27" i="55"/>
  <c r="AD27" i="55"/>
  <c r="T28" i="55"/>
  <c r="N28" i="55"/>
  <c r="P28" i="55" s="1"/>
  <c r="V28" i="55"/>
  <c r="W28" i="55" s="1"/>
  <c r="AC28" i="55"/>
  <c r="AE28" i="55" s="1"/>
  <c r="AD34" i="55"/>
  <c r="T34" i="55"/>
  <c r="R34" i="55"/>
  <c r="Q34" i="55" s="1"/>
  <c r="U34" i="55" s="1"/>
  <c r="V34" i="55" s="1"/>
  <c r="W34" i="55" s="1"/>
  <c r="Z3" i="62"/>
  <c r="Z4" i="62"/>
  <c r="Z5" i="62"/>
  <c r="Z6" i="62"/>
  <c r="Z7" i="62"/>
  <c r="Z8" i="62"/>
  <c r="Z9" i="62"/>
  <c r="Z10" i="62"/>
  <c r="Z11" i="62"/>
  <c r="Z12" i="62"/>
  <c r="Z13" i="62"/>
  <c r="Z25" i="62"/>
  <c r="Z16" i="62"/>
  <c r="Z17" i="62"/>
  <c r="Z18" i="62"/>
  <c r="Z14" i="62"/>
  <c r="Z19" i="62"/>
  <c r="Z20" i="62"/>
  <c r="Z21" i="62"/>
  <c r="Z15" i="62"/>
  <c r="Z22" i="62"/>
  <c r="Z23" i="62"/>
  <c r="Z24" i="62"/>
  <c r="Z26" i="62"/>
  <c r="Z27" i="62"/>
  <c r="Z28" i="62"/>
  <c r="Z29" i="62"/>
  <c r="Z30" i="62"/>
  <c r="Z31" i="62"/>
  <c r="Z32" i="62"/>
  <c r="Z33" i="62"/>
  <c r="Z34" i="62"/>
  <c r="Z35" i="62"/>
  <c r="Z36" i="62"/>
  <c r="Z42" i="62"/>
  <c r="Z37" i="62"/>
  <c r="Z38" i="62"/>
  <c r="Z39" i="62"/>
  <c r="Z40" i="62"/>
  <c r="Z41" i="62"/>
  <c r="Z43" i="62"/>
  <c r="Z44" i="62"/>
  <c r="Z45" i="62"/>
  <c r="Z46" i="62"/>
  <c r="Z47" i="62"/>
  <c r="Z48" i="62"/>
  <c r="Z49" i="62"/>
  <c r="Z50" i="62"/>
  <c r="Z51" i="62"/>
  <c r="Z52" i="62"/>
  <c r="Z53" i="62"/>
  <c r="Z54" i="62"/>
  <c r="Z57" i="62"/>
  <c r="Z56" i="62"/>
  <c r="Z67" i="62"/>
  <c r="Z58" i="62"/>
  <c r="Z59" i="62"/>
  <c r="Z55" i="62"/>
  <c r="Z60" i="62"/>
  <c r="Z61" i="62"/>
  <c r="Z63" i="62"/>
  <c r="Z62" i="62"/>
  <c r="Z69" i="62"/>
  <c r="Z70" i="62"/>
  <c r="Z64" i="62"/>
  <c r="Z66" i="62"/>
  <c r="Z65" i="62"/>
  <c r="Z68" i="62"/>
  <c r="Z71" i="62"/>
  <c r="Z73" i="62"/>
  <c r="Z74" i="62"/>
  <c r="Z75" i="62"/>
  <c r="Z72" i="62"/>
  <c r="Z76" i="62"/>
  <c r="Z77" i="62"/>
  <c r="Z78" i="62"/>
  <c r="Z79" i="62"/>
  <c r="Z81" i="62"/>
  <c r="Z82" i="62"/>
  <c r="Z83" i="62"/>
  <c r="Z84" i="62"/>
  <c r="Z85" i="62"/>
  <c r="Z86" i="62"/>
  <c r="Z87" i="62"/>
  <c r="Z88" i="62"/>
  <c r="Z89" i="62"/>
  <c r="Z90" i="62"/>
  <c r="Z91" i="62"/>
  <c r="Z92" i="62"/>
  <c r="Z93" i="62"/>
  <c r="Z94" i="62"/>
  <c r="Z95" i="62"/>
  <c r="Z96" i="62"/>
  <c r="Z97" i="62"/>
  <c r="Z98" i="62"/>
  <c r="Z80" i="62"/>
  <c r="Z99" i="62"/>
  <c r="Z100" i="62"/>
  <c r="Z101" i="62"/>
  <c r="Z102" i="62"/>
  <c r="Z103" i="62"/>
  <c r="Z104" i="62"/>
  <c r="Z105" i="62"/>
  <c r="Z106" i="62"/>
  <c r="Z107" i="62"/>
  <c r="Z108" i="62"/>
  <c r="Z109" i="62"/>
  <c r="Z110" i="62"/>
  <c r="Z111" i="62"/>
  <c r="Z112" i="62"/>
  <c r="Z113" i="62"/>
  <c r="Z114" i="62"/>
  <c r="Z117" i="62"/>
  <c r="Z118" i="62"/>
  <c r="Z119" i="62"/>
  <c r="Z120" i="62"/>
  <c r="Z121" i="62"/>
  <c r="Z115" i="62"/>
  <c r="Z116" i="62"/>
  <c r="Z122" i="62"/>
  <c r="Z123" i="62"/>
  <c r="Z124" i="62"/>
  <c r="Z125" i="62"/>
  <c r="Z126" i="62"/>
  <c r="Z127" i="62"/>
  <c r="Z128" i="62"/>
  <c r="Z129" i="62"/>
  <c r="Z130" i="62"/>
  <c r="Z131" i="62"/>
  <c r="Z132" i="62"/>
  <c r="Z133" i="62"/>
  <c r="Z134" i="62"/>
  <c r="Z135" i="62"/>
  <c r="Z136" i="62"/>
  <c r="Z137" i="62"/>
  <c r="Z138" i="62"/>
  <c r="Z139" i="62"/>
  <c r="Z140" i="62"/>
  <c r="Z141" i="62"/>
  <c r="Z142" i="62"/>
  <c r="Z143" i="62"/>
  <c r="Z144" i="62"/>
  <c r="Z145" i="62"/>
  <c r="Z146" i="62"/>
  <c r="Z147" i="62"/>
  <c r="Z148" i="62"/>
  <c r="Z149" i="62"/>
  <c r="Z150" i="62"/>
  <c r="Z151" i="62"/>
  <c r="Z152" i="62"/>
  <c r="Z154" i="62"/>
  <c r="Z155" i="62"/>
  <c r="Z156" i="62"/>
  <c r="Z157" i="62"/>
  <c r="Z153" i="62"/>
  <c r="Z158" i="62"/>
  <c r="Z159" i="62"/>
  <c r="Z160" i="62"/>
  <c r="Z161" i="62"/>
  <c r="Z162" i="62"/>
  <c r="Z163" i="62"/>
  <c r="Z164" i="62"/>
  <c r="Z165" i="62"/>
  <c r="Z166" i="62"/>
  <c r="Z168" i="62"/>
  <c r="Z170" i="62"/>
  <c r="Z171" i="62"/>
  <c r="Z172" i="62"/>
  <c r="Z167" i="62"/>
  <c r="Z169" i="62"/>
  <c r="Z2" i="62"/>
  <c r="X2" i="62"/>
  <c r="L6" i="42"/>
  <c r="J6" i="42"/>
  <c r="J7" i="42"/>
  <c r="J10" i="42"/>
  <c r="N34" i="55" l="1"/>
  <c r="P34" i="55" s="1"/>
  <c r="Y28" i="55"/>
  <c r="AA28" i="55"/>
  <c r="AD28" i="55"/>
  <c r="AA34" i="55"/>
  <c r="Y34" i="55"/>
  <c r="AB15" i="58" l="1"/>
  <c r="X15" i="58"/>
  <c r="O15" i="58"/>
  <c r="R15" i="58" s="1"/>
  <c r="I15" i="58"/>
  <c r="H15" i="58"/>
  <c r="AB14" i="58"/>
  <c r="X14" i="58"/>
  <c r="O14" i="58"/>
  <c r="T14" i="58" s="1"/>
  <c r="I14" i="58"/>
  <c r="H14" i="58"/>
  <c r="AB20" i="52"/>
  <c r="Z20" i="52"/>
  <c r="X20" i="52"/>
  <c r="O20" i="52"/>
  <c r="R20" i="52" s="1"/>
  <c r="Q20" i="52" s="1"/>
  <c r="U20" i="52" s="1"/>
  <c r="I20" i="52"/>
  <c r="H20" i="52"/>
  <c r="Z15" i="52"/>
  <c r="X15" i="52"/>
  <c r="O15" i="52"/>
  <c r="AC15" i="52" s="1"/>
  <c r="AE15" i="52" s="1"/>
  <c r="I15" i="52"/>
  <c r="H15" i="52"/>
  <c r="AB16" i="58"/>
  <c r="X16" i="58"/>
  <c r="O16" i="58"/>
  <c r="R16" i="58" s="1"/>
  <c r="Q16" i="58" s="1"/>
  <c r="U16" i="58" s="1"/>
  <c r="I16" i="58"/>
  <c r="H16" i="58"/>
  <c r="AB12" i="58"/>
  <c r="X12" i="58"/>
  <c r="O12" i="58"/>
  <c r="R12" i="58" s="1"/>
  <c r="Q12" i="58" s="1"/>
  <c r="U12" i="58" s="1"/>
  <c r="I12" i="58"/>
  <c r="H12" i="58"/>
  <c r="AB11" i="58"/>
  <c r="X11" i="58"/>
  <c r="O11" i="58"/>
  <c r="T11" i="58" s="1"/>
  <c r="I11" i="58"/>
  <c r="H11" i="58"/>
  <c r="AB9" i="58"/>
  <c r="X9" i="58"/>
  <c r="O9" i="58"/>
  <c r="R9" i="58" s="1"/>
  <c r="Q9" i="58" s="1"/>
  <c r="U9" i="58" s="1"/>
  <c r="I9" i="58"/>
  <c r="H9" i="58"/>
  <c r="AB2" i="52"/>
  <c r="Z2" i="52"/>
  <c r="X2" i="52"/>
  <c r="O2" i="52"/>
  <c r="R2" i="52" s="1"/>
  <c r="Q2" i="52" s="1"/>
  <c r="U2" i="52" s="1"/>
  <c r="I2" i="52"/>
  <c r="H2" i="52"/>
  <c r="Z19" i="52"/>
  <c r="X19" i="52"/>
  <c r="O19" i="52"/>
  <c r="R19" i="52" s="1"/>
  <c r="Q19" i="52" s="1"/>
  <c r="U19" i="52" s="1"/>
  <c r="I19" i="52"/>
  <c r="H19" i="52"/>
  <c r="AB18" i="52"/>
  <c r="Z18" i="52"/>
  <c r="X18" i="52"/>
  <c r="O18" i="52"/>
  <c r="R18" i="52" s="1"/>
  <c r="Q18" i="52" s="1"/>
  <c r="U18" i="52" s="1"/>
  <c r="I18" i="52"/>
  <c r="H18" i="52"/>
  <c r="AB3" i="52"/>
  <c r="Z3" i="52"/>
  <c r="X3" i="52"/>
  <c r="O3" i="52"/>
  <c r="R3" i="52" s="1"/>
  <c r="I3" i="52"/>
  <c r="H3" i="52"/>
  <c r="T15" i="58" l="1"/>
  <c r="Q15" i="58"/>
  <c r="U15" i="58" s="1"/>
  <c r="N15" i="58"/>
  <c r="P15" i="58" s="1"/>
  <c r="AC14" i="58"/>
  <c r="AE14" i="58" s="1"/>
  <c r="V15" i="58"/>
  <c r="W15" i="58" s="1"/>
  <c r="AC15" i="58"/>
  <c r="AE15" i="58" s="1"/>
  <c r="R14" i="58"/>
  <c r="AC20" i="52"/>
  <c r="AE20" i="52" s="1"/>
  <c r="R15" i="52"/>
  <c r="T20" i="52"/>
  <c r="T15" i="52"/>
  <c r="N20" i="52"/>
  <c r="P20" i="52" s="1"/>
  <c r="V20" i="52"/>
  <c r="W20" i="52" s="1"/>
  <c r="T2" i="52"/>
  <c r="T16" i="58"/>
  <c r="T12" i="58"/>
  <c r="N16" i="58"/>
  <c r="P16" i="58" s="1"/>
  <c r="V16" i="58"/>
  <c r="W16" i="58" s="1"/>
  <c r="AC16" i="58"/>
  <c r="AE16" i="58" s="1"/>
  <c r="N12" i="58"/>
  <c r="P12" i="58" s="1"/>
  <c r="AC12" i="58"/>
  <c r="AE12" i="58" s="1"/>
  <c r="R11" i="58"/>
  <c r="AC11" i="58"/>
  <c r="AE11" i="58" s="1"/>
  <c r="V12" i="58"/>
  <c r="W12" i="58" s="1"/>
  <c r="N9" i="58"/>
  <c r="P9" i="58" s="1"/>
  <c r="AC9" i="58"/>
  <c r="AE9" i="58" s="1"/>
  <c r="T9" i="58"/>
  <c r="V9" i="58"/>
  <c r="W9" i="58" s="1"/>
  <c r="N2" i="52"/>
  <c r="P2" i="52" s="1"/>
  <c r="V2" i="52"/>
  <c r="W2" i="52" s="1"/>
  <c r="AC2" i="52"/>
  <c r="AE2" i="52" s="1"/>
  <c r="T19" i="52"/>
  <c r="V19" i="52"/>
  <c r="W19" i="52" s="1"/>
  <c r="T18" i="52"/>
  <c r="N19" i="52"/>
  <c r="P19" i="52" s="1"/>
  <c r="AC19" i="52"/>
  <c r="AE19" i="52" s="1"/>
  <c r="N18" i="52"/>
  <c r="P18" i="52" s="1"/>
  <c r="V18" i="52"/>
  <c r="W18" i="52" s="1"/>
  <c r="AC18" i="52"/>
  <c r="AE18" i="52" s="1"/>
  <c r="Q3" i="52"/>
  <c r="U3" i="52" s="1"/>
  <c r="V3" i="52" s="1"/>
  <c r="W3" i="52" s="1"/>
  <c r="N3" i="52"/>
  <c r="P3" i="52" s="1"/>
  <c r="T3" i="52"/>
  <c r="AC3" i="52"/>
  <c r="AE3" i="52" s="1"/>
  <c r="AB42" i="55"/>
  <c r="Z42" i="55"/>
  <c r="X42" i="55"/>
  <c r="R42" i="55"/>
  <c r="I42" i="55"/>
  <c r="H42" i="55"/>
  <c r="AB31" i="55"/>
  <c r="Z31" i="55"/>
  <c r="X31" i="55"/>
  <c r="R31" i="55"/>
  <c r="I31" i="55"/>
  <c r="H31" i="55"/>
  <c r="AB13" i="55"/>
  <c r="Z13" i="55"/>
  <c r="X13" i="55"/>
  <c r="R13" i="55"/>
  <c r="Q13" i="55" s="1"/>
  <c r="U13" i="55" s="1"/>
  <c r="I13" i="55"/>
  <c r="H13" i="55"/>
  <c r="AB20" i="55"/>
  <c r="Z20" i="55"/>
  <c r="X20" i="55"/>
  <c r="R20" i="55"/>
  <c r="Q20" i="55" s="1"/>
  <c r="U20" i="55" s="1"/>
  <c r="I20" i="55"/>
  <c r="H20" i="55"/>
  <c r="AB24" i="55"/>
  <c r="Z24" i="55"/>
  <c r="X24" i="55"/>
  <c r="R24" i="55"/>
  <c r="Q24" i="55" s="1"/>
  <c r="U24" i="55" s="1"/>
  <c r="I24" i="55"/>
  <c r="H24" i="55"/>
  <c r="AB29" i="55"/>
  <c r="Z29" i="55"/>
  <c r="X29" i="55"/>
  <c r="R29" i="55"/>
  <c r="I29" i="55"/>
  <c r="H29" i="55"/>
  <c r="AB6" i="55"/>
  <c r="Z6" i="55"/>
  <c r="X6" i="55"/>
  <c r="I6" i="55"/>
  <c r="H6" i="55"/>
  <c r="H3" i="58"/>
  <c r="H4" i="58"/>
  <c r="H5" i="58"/>
  <c r="H6" i="58"/>
  <c r="H7" i="58"/>
  <c r="H8" i="58"/>
  <c r="H10" i="58"/>
  <c r="H13" i="58"/>
  <c r="H17" i="58"/>
  <c r="H2" i="58"/>
  <c r="H10" i="52"/>
  <c r="I10" i="52"/>
  <c r="Z13" i="52"/>
  <c r="X13" i="52"/>
  <c r="O13" i="52"/>
  <c r="R13" i="52" s="1"/>
  <c r="Q13" i="52" s="1"/>
  <c r="U13" i="52" s="1"/>
  <c r="G13" i="52"/>
  <c r="H13" i="52" s="1"/>
  <c r="AB5" i="52"/>
  <c r="Z5" i="52"/>
  <c r="X5" i="52"/>
  <c r="O5" i="52"/>
  <c r="R5" i="52" s="1"/>
  <c r="I5" i="52"/>
  <c r="H5" i="52"/>
  <c r="AB4" i="52"/>
  <c r="Z4" i="52"/>
  <c r="X4" i="52"/>
  <c r="O4" i="52"/>
  <c r="R4" i="52" s="1"/>
  <c r="Q4" i="52" s="1"/>
  <c r="U4" i="52" s="1"/>
  <c r="I4" i="52"/>
  <c r="H4" i="52"/>
  <c r="AD14" i="58" l="1"/>
  <c r="Y15" i="58"/>
  <c r="N14" i="58"/>
  <c r="P14" i="58" s="1"/>
  <c r="Q14" i="58"/>
  <c r="U14" i="58" s="1"/>
  <c r="V14" i="58" s="1"/>
  <c r="W14" i="58" s="1"/>
  <c r="AD15" i="58"/>
  <c r="AD20" i="52"/>
  <c r="Y20" i="52"/>
  <c r="AA20" i="52"/>
  <c r="N15" i="52"/>
  <c r="P15" i="52" s="1"/>
  <c r="Q15" i="52"/>
  <c r="U15" i="52" s="1"/>
  <c r="V15" i="52" s="1"/>
  <c r="W15" i="52" s="1"/>
  <c r="Y15" i="52" s="1"/>
  <c r="Y16" i="58"/>
  <c r="AD16" i="58"/>
  <c r="N11" i="58"/>
  <c r="P11" i="58" s="1"/>
  <c r="Q11" i="58"/>
  <c r="U11" i="58" s="1"/>
  <c r="V11" i="58" s="1"/>
  <c r="W11" i="58" s="1"/>
  <c r="Y12" i="58"/>
  <c r="AD12" i="58"/>
  <c r="AD11" i="58"/>
  <c r="Y9" i="58"/>
  <c r="AD9" i="58"/>
  <c r="Y2" i="52"/>
  <c r="AA2" i="52"/>
  <c r="AD2" i="52"/>
  <c r="Y19" i="52"/>
  <c r="AA19" i="52"/>
  <c r="Y18" i="52"/>
  <c r="AA18" i="52"/>
  <c r="AD18" i="52"/>
  <c r="Y3" i="52"/>
  <c r="AA3" i="52"/>
  <c r="AD3" i="52"/>
  <c r="T42" i="55"/>
  <c r="Q42" i="55"/>
  <c r="U42" i="55" s="1"/>
  <c r="V42" i="55" s="1"/>
  <c r="W42" i="55" s="1"/>
  <c r="N42" i="55"/>
  <c r="P42" i="55" s="1"/>
  <c r="T31" i="55"/>
  <c r="AC42" i="55"/>
  <c r="AE42" i="55" s="1"/>
  <c r="Q31" i="55"/>
  <c r="U31" i="55" s="1"/>
  <c r="V31" i="55" s="1"/>
  <c r="W31" i="55" s="1"/>
  <c r="N31" i="55"/>
  <c r="P31" i="55" s="1"/>
  <c r="AC31" i="55"/>
  <c r="AE31" i="55" s="1"/>
  <c r="T13" i="55"/>
  <c r="N13" i="55"/>
  <c r="P13" i="55" s="1"/>
  <c r="V13" i="55"/>
  <c r="W13" i="55" s="1"/>
  <c r="AC13" i="55"/>
  <c r="AE13" i="55" s="1"/>
  <c r="T20" i="55"/>
  <c r="N20" i="55"/>
  <c r="P20" i="55" s="1"/>
  <c r="V20" i="55"/>
  <c r="W20" i="55" s="1"/>
  <c r="AC20" i="55"/>
  <c r="AE20" i="55" s="1"/>
  <c r="T24" i="55"/>
  <c r="N24" i="55"/>
  <c r="P24" i="55" s="1"/>
  <c r="V24" i="55"/>
  <c r="W24" i="55" s="1"/>
  <c r="AC24" i="55"/>
  <c r="AE24" i="55" s="1"/>
  <c r="T29" i="55"/>
  <c r="Q29" i="55"/>
  <c r="U29" i="55" s="1"/>
  <c r="V29" i="55" s="1"/>
  <c r="W29" i="55" s="1"/>
  <c r="N29" i="55"/>
  <c r="P29" i="55" s="1"/>
  <c r="AC29" i="55"/>
  <c r="AE29" i="55" s="1"/>
  <c r="AC6" i="55"/>
  <c r="AE6" i="55" s="1"/>
  <c r="R6" i="55"/>
  <c r="Q6" i="55" s="1"/>
  <c r="U6" i="55" s="1"/>
  <c r="V6" i="55" s="1"/>
  <c r="W6" i="55" s="1"/>
  <c r="T6" i="55"/>
  <c r="I13" i="52"/>
  <c r="T13" i="52"/>
  <c r="N13" i="52"/>
  <c r="P13" i="52" s="1"/>
  <c r="AC13" i="52"/>
  <c r="AE13" i="52" s="1"/>
  <c r="V13" i="52"/>
  <c r="W13" i="52" s="1"/>
  <c r="T5" i="52"/>
  <c r="N5" i="52"/>
  <c r="P5" i="52" s="1"/>
  <c r="Q5" i="52"/>
  <c r="U5" i="52" s="1"/>
  <c r="V5" i="52" s="1"/>
  <c r="W5" i="52" s="1"/>
  <c r="AC5" i="52"/>
  <c r="AE5" i="52" s="1"/>
  <c r="T4" i="52"/>
  <c r="N4" i="52"/>
  <c r="P4" i="52" s="1"/>
  <c r="V4" i="52"/>
  <c r="W4" i="52" s="1"/>
  <c r="AC4" i="52"/>
  <c r="AE4" i="52" s="1"/>
  <c r="AV5" i="50"/>
  <c r="AV3" i="50"/>
  <c r="AE2" i="50"/>
  <c r="AB46" i="56"/>
  <c r="X46" i="56"/>
  <c r="I46" i="56"/>
  <c r="H46" i="56"/>
  <c r="P46" i="56" s="1"/>
  <c r="Y14" i="58" l="1"/>
  <c r="AA15" i="52"/>
  <c r="Y11" i="58"/>
  <c r="AD42" i="55"/>
  <c r="Y42" i="55"/>
  <c r="AA42" i="55"/>
  <c r="AD31" i="55"/>
  <c r="Y31" i="55"/>
  <c r="AA31" i="55"/>
  <c r="Y13" i="55"/>
  <c r="AA13" i="55"/>
  <c r="AD13" i="55"/>
  <c r="AD20" i="55"/>
  <c r="Y20" i="55"/>
  <c r="AA20" i="55"/>
  <c r="Y24" i="55"/>
  <c r="AA24" i="55"/>
  <c r="AD24" i="55"/>
  <c r="AD29" i="55"/>
  <c r="Y29" i="55"/>
  <c r="AA29" i="55"/>
  <c r="AD6" i="55"/>
  <c r="AA6" i="55"/>
  <c r="Y6" i="55"/>
  <c r="N6" i="55"/>
  <c r="P6" i="55" s="1"/>
  <c r="Y13" i="52"/>
  <c r="AA13" i="52"/>
  <c r="Y5" i="52"/>
  <c r="AA5" i="52"/>
  <c r="AD5" i="52"/>
  <c r="Y4" i="52"/>
  <c r="AA4" i="52"/>
  <c r="AD4" i="52"/>
  <c r="U46" i="56"/>
  <c r="V46" i="56" s="1"/>
  <c r="W46" i="56" s="1"/>
  <c r="T46" i="56"/>
  <c r="O3" i="58"/>
  <c r="O4" i="58"/>
  <c r="O5" i="58"/>
  <c r="O6" i="58"/>
  <c r="O7" i="58"/>
  <c r="O8" i="58"/>
  <c r="O10" i="58"/>
  <c r="O13" i="58"/>
  <c r="O17" i="58"/>
  <c r="Z12" i="52"/>
  <c r="X12" i="52"/>
  <c r="O12" i="52"/>
  <c r="R12" i="52" s="1"/>
  <c r="Q12" i="52" s="1"/>
  <c r="U12" i="52" s="1"/>
  <c r="I12" i="52"/>
  <c r="H12" i="52"/>
  <c r="AB7" i="52"/>
  <c r="Z7" i="52"/>
  <c r="X7" i="52"/>
  <c r="O7" i="52"/>
  <c r="R7" i="52" s="1"/>
  <c r="Q7" i="52" s="1"/>
  <c r="U7" i="52" s="1"/>
  <c r="I7" i="52"/>
  <c r="H7" i="52"/>
  <c r="AB9" i="52"/>
  <c r="Z9" i="52"/>
  <c r="X9" i="52"/>
  <c r="O9" i="52"/>
  <c r="R9" i="52" s="1"/>
  <c r="Q9" i="52" s="1"/>
  <c r="U9" i="52" s="1"/>
  <c r="G9" i="52"/>
  <c r="H9" i="52" s="1"/>
  <c r="AV38" i="50"/>
  <c r="AV25" i="50"/>
  <c r="AB3" i="62"/>
  <c r="AB4" i="62"/>
  <c r="AB7" i="62"/>
  <c r="AB8" i="62"/>
  <c r="AB12" i="62"/>
  <c r="AB13" i="62"/>
  <c r="AB16" i="62"/>
  <c r="AB14" i="62"/>
  <c r="AB19" i="62"/>
  <c r="AB5" i="62"/>
  <c r="AB20" i="62"/>
  <c r="AB21" i="62"/>
  <c r="AB15" i="62"/>
  <c r="AB22" i="62"/>
  <c r="AB23" i="62"/>
  <c r="AB30" i="62"/>
  <c r="AB24" i="62"/>
  <c r="AB6" i="62"/>
  <c r="AB25" i="62"/>
  <c r="AB26" i="62"/>
  <c r="AB27" i="62"/>
  <c r="AB28" i="62"/>
  <c r="AB29" i="62"/>
  <c r="AB31" i="62"/>
  <c r="AB32" i="62"/>
  <c r="AB33" i="62"/>
  <c r="AB34" i="62"/>
  <c r="AB35" i="62"/>
  <c r="AB36" i="62"/>
  <c r="AB37" i="62"/>
  <c r="AB38" i="62"/>
  <c r="AB17" i="62"/>
  <c r="AB39" i="62"/>
  <c r="AB40" i="62"/>
  <c r="AB41" i="62"/>
  <c r="AB42" i="62"/>
  <c r="AB43" i="62"/>
  <c r="AB44" i="62"/>
  <c r="AB45" i="62"/>
  <c r="AB46" i="62"/>
  <c r="AB47" i="62"/>
  <c r="AB48" i="62"/>
  <c r="AB18" i="62"/>
  <c r="AB49" i="62"/>
  <c r="AB50" i="62"/>
  <c r="AB51" i="62"/>
  <c r="AB52" i="62"/>
  <c r="AB53" i="62"/>
  <c r="AB54" i="62"/>
  <c r="AB57" i="62"/>
  <c r="AB9" i="62"/>
  <c r="AB56" i="62"/>
  <c r="AB67" i="62"/>
  <c r="AB58" i="62"/>
  <c r="AB59" i="62"/>
  <c r="AB55" i="62"/>
  <c r="AB60" i="62"/>
  <c r="AB61" i="62"/>
  <c r="AB63" i="62"/>
  <c r="AB62" i="62"/>
  <c r="AB69" i="62"/>
  <c r="AB10" i="62"/>
  <c r="AB70" i="62"/>
  <c r="AB64" i="62"/>
  <c r="AB66" i="62"/>
  <c r="AB65" i="62"/>
  <c r="AB68" i="62"/>
  <c r="AB71" i="62"/>
  <c r="AB73" i="62"/>
  <c r="AB74" i="62"/>
  <c r="AB75" i="62"/>
  <c r="AB72" i="62"/>
  <c r="AB11" i="62"/>
  <c r="AB76" i="62"/>
  <c r="AB77" i="62"/>
  <c r="AB78" i="62"/>
  <c r="AB79" i="62"/>
  <c r="AB80" i="62"/>
  <c r="AB81" i="62"/>
  <c r="AB82" i="62"/>
  <c r="AB97" i="62"/>
  <c r="AB83" i="62"/>
  <c r="AB98" i="62"/>
  <c r="AB84" i="62"/>
  <c r="AB87" i="62"/>
  <c r="AB88" i="62"/>
  <c r="AB89" i="62"/>
  <c r="AB90" i="62"/>
  <c r="AB99" i="62"/>
  <c r="AB91" i="62"/>
  <c r="AB92" i="62"/>
  <c r="AB93" i="62"/>
  <c r="AB94" i="62"/>
  <c r="AB95" i="62"/>
  <c r="AB96" i="62"/>
  <c r="AB100" i="62"/>
  <c r="AB101" i="62"/>
  <c r="AB102" i="62"/>
  <c r="AB103" i="62"/>
  <c r="AB104" i="62"/>
  <c r="AB105" i="62"/>
  <c r="AB106" i="62"/>
  <c r="AB85" i="62"/>
  <c r="AB107" i="62"/>
  <c r="AB111" i="62"/>
  <c r="AB108" i="62"/>
  <c r="AB86" i="62"/>
  <c r="AB109" i="62"/>
  <c r="AB110" i="62"/>
  <c r="AB2" i="62"/>
  <c r="I9" i="52" l="1"/>
  <c r="AV27" i="50"/>
  <c r="AV36" i="50"/>
  <c r="AV14" i="50"/>
  <c r="AV47" i="50"/>
  <c r="AV16" i="50"/>
  <c r="AV49" i="50"/>
  <c r="Y46" i="56"/>
  <c r="AD46" i="56"/>
  <c r="T12" i="52"/>
  <c r="N12" i="52"/>
  <c r="P12" i="52" s="1"/>
  <c r="V12" i="52"/>
  <c r="W12" i="52" s="1"/>
  <c r="AC12" i="52"/>
  <c r="AE12" i="52" s="1"/>
  <c r="T7" i="52"/>
  <c r="N7" i="52"/>
  <c r="P7" i="52" s="1"/>
  <c r="V7" i="52"/>
  <c r="W7" i="52" s="1"/>
  <c r="AC7" i="52"/>
  <c r="AE7" i="52" s="1"/>
  <c r="T9" i="52"/>
  <c r="N9" i="52"/>
  <c r="P9" i="52" s="1"/>
  <c r="AC9" i="52"/>
  <c r="AE9" i="52" s="1"/>
  <c r="V9" i="52"/>
  <c r="W9" i="52" s="1"/>
  <c r="Y12" i="52" l="1"/>
  <c r="AA12" i="52"/>
  <c r="Y7" i="52"/>
  <c r="AA7" i="52"/>
  <c r="AD7" i="52"/>
  <c r="AD9" i="52"/>
  <c r="Y9" i="52"/>
  <c r="AA9" i="52"/>
  <c r="AB22" i="56"/>
  <c r="X22" i="56"/>
  <c r="I22" i="56"/>
  <c r="H22" i="56"/>
  <c r="P22" i="56" s="1"/>
  <c r="AB2" i="55"/>
  <c r="Z2" i="55"/>
  <c r="X2" i="55"/>
  <c r="R2" i="55"/>
  <c r="Q2" i="55" s="1"/>
  <c r="I2" i="55"/>
  <c r="H2" i="55"/>
  <c r="R3" i="55"/>
  <c r="Q3" i="55" s="1"/>
  <c r="R11" i="55"/>
  <c r="Q11" i="55" s="1"/>
  <c r="R9" i="55"/>
  <c r="Q9" i="55" s="1"/>
  <c r="R23" i="55"/>
  <c r="Q23" i="55" s="1"/>
  <c r="R14" i="55"/>
  <c r="Q14" i="55" s="1"/>
  <c r="R25" i="55"/>
  <c r="Q25" i="55" s="1"/>
  <c r="R32" i="55"/>
  <c r="Q32" i="55" s="1"/>
  <c r="R33" i="55"/>
  <c r="Q33" i="55" s="1"/>
  <c r="R37" i="55"/>
  <c r="Q37" i="55" s="1"/>
  <c r="R44" i="55"/>
  <c r="Q44" i="55" s="1"/>
  <c r="R43" i="55"/>
  <c r="Q43" i="55" s="1"/>
  <c r="R46" i="55"/>
  <c r="Q46" i="55" s="1"/>
  <c r="R15" i="55"/>
  <c r="Q15" i="55" s="1"/>
  <c r="R16" i="55"/>
  <c r="Q16" i="55" s="1"/>
  <c r="R8" i="55"/>
  <c r="Q8" i="55" s="1"/>
  <c r="R18" i="55"/>
  <c r="Q18" i="55" s="1"/>
  <c r="R12" i="55"/>
  <c r="Q12" i="55" s="1"/>
  <c r="R17" i="55"/>
  <c r="Q17" i="55" s="1"/>
  <c r="R21" i="55"/>
  <c r="Q21" i="55" s="1"/>
  <c r="R26" i="55"/>
  <c r="Q26" i="55" s="1"/>
  <c r="R38" i="55"/>
  <c r="Q38" i="55" s="1"/>
  <c r="R30" i="55"/>
  <c r="Q30" i="55" s="1"/>
  <c r="R36" i="55"/>
  <c r="Q36" i="55" s="1"/>
  <c r="R35" i="55"/>
  <c r="Q35" i="55" s="1"/>
  <c r="R45" i="55"/>
  <c r="Q45" i="55" s="1"/>
  <c r="AB5" i="58"/>
  <c r="X5" i="58"/>
  <c r="R5" i="58"/>
  <c r="N5" i="58" s="1"/>
  <c r="P5" i="58" s="1"/>
  <c r="I5" i="58"/>
  <c r="U22" i="56" l="1"/>
  <c r="V22" i="56" s="1"/>
  <c r="W22" i="56" s="1"/>
  <c r="Q5" i="58"/>
  <c r="U5" i="58" s="1"/>
  <c r="V5" i="58" s="1"/>
  <c r="W5" i="58" s="1"/>
  <c r="T22" i="56"/>
  <c r="U2" i="55"/>
  <c r="V2" i="55" s="1"/>
  <c r="W2" i="55" s="1"/>
  <c r="T2" i="55"/>
  <c r="N2" i="55"/>
  <c r="P2" i="55" s="1"/>
  <c r="AC2" i="55"/>
  <c r="AE2" i="55" s="1"/>
  <c r="T5" i="58"/>
  <c r="AC5" i="58"/>
  <c r="AE5" i="58" s="1"/>
  <c r="Y22" i="56" l="1"/>
  <c r="AD22" i="56"/>
  <c r="Y2" i="55"/>
  <c r="AA2" i="55"/>
  <c r="AD2" i="55"/>
  <c r="Y5" i="58"/>
  <c r="AD5" i="58"/>
  <c r="H45" i="54" l="1"/>
  <c r="H44" i="54"/>
  <c r="H43" i="54"/>
  <c r="H42" i="54"/>
  <c r="AB14" i="56"/>
  <c r="X14" i="56"/>
  <c r="I14" i="56"/>
  <c r="H14" i="56"/>
  <c r="P14" i="56" s="1"/>
  <c r="AB29" i="56"/>
  <c r="X29" i="56"/>
  <c r="T29" i="56"/>
  <c r="I29" i="56"/>
  <c r="H29" i="56"/>
  <c r="P29" i="56" s="1"/>
  <c r="T14" i="56" l="1"/>
  <c r="H36" i="54"/>
  <c r="H2" i="62"/>
  <c r="H36" i="62"/>
  <c r="H45" i="62"/>
  <c r="H3" i="62"/>
  <c r="H112" i="62"/>
  <c r="H35" i="62"/>
  <c r="H4" i="62"/>
  <c r="H46" i="62"/>
  <c r="H48" i="62"/>
  <c r="H5" i="62"/>
  <c r="H114" i="62"/>
  <c r="H113" i="62"/>
  <c r="H144" i="62"/>
  <c r="H49" i="62"/>
  <c r="H47" i="62"/>
  <c r="H143" i="62"/>
  <c r="H37" i="62"/>
  <c r="H6" i="62"/>
  <c r="H50" i="62"/>
  <c r="H73" i="62"/>
  <c r="H16" i="62"/>
  <c r="H123" i="62"/>
  <c r="H117" i="62"/>
  <c r="H154" i="62"/>
  <c r="H74" i="62"/>
  <c r="H51" i="62"/>
  <c r="H145" i="62"/>
  <c r="H38" i="62"/>
  <c r="H7" i="62"/>
  <c r="H52" i="62"/>
  <c r="H75" i="62"/>
  <c r="H17" i="62"/>
  <c r="H124" i="62"/>
  <c r="H118" i="62"/>
  <c r="H155" i="62"/>
  <c r="H72" i="62"/>
  <c r="H53" i="62"/>
  <c r="H146" i="62"/>
  <c r="H39" i="62"/>
  <c r="H8" i="62"/>
  <c r="H54" i="62"/>
  <c r="H76" i="62"/>
  <c r="H18" i="62"/>
  <c r="H125" i="62"/>
  <c r="H119" i="62"/>
  <c r="H156" i="62"/>
  <c r="H77" i="62"/>
  <c r="H57" i="62"/>
  <c r="H147" i="62"/>
  <c r="H40" i="62"/>
  <c r="H9" i="62"/>
  <c r="H56" i="62"/>
  <c r="H78" i="62"/>
  <c r="H14" i="62"/>
  <c r="H126" i="62"/>
  <c r="H120" i="62"/>
  <c r="H157" i="62"/>
  <c r="H79" i="62"/>
  <c r="H67" i="62"/>
  <c r="H148" i="62"/>
  <c r="H41" i="62"/>
  <c r="H10" i="62"/>
  <c r="H58" i="62"/>
  <c r="H80" i="62"/>
  <c r="H19" i="62"/>
  <c r="H127" i="62"/>
  <c r="H121" i="62"/>
  <c r="H153" i="62"/>
  <c r="H81" i="62"/>
  <c r="H59" i="62"/>
  <c r="H149" i="62"/>
  <c r="H42" i="62"/>
  <c r="H11" i="62"/>
  <c r="H55" i="62"/>
  <c r="H82" i="62"/>
  <c r="H20" i="62"/>
  <c r="H128" i="62"/>
  <c r="H115" i="62"/>
  <c r="H158" i="62"/>
  <c r="H97" i="62"/>
  <c r="H60" i="62"/>
  <c r="H150" i="62"/>
  <c r="H43" i="62"/>
  <c r="H12" i="62"/>
  <c r="H61" i="62"/>
  <c r="H83" i="62"/>
  <c r="H21" i="62"/>
  <c r="H129" i="62"/>
  <c r="H116" i="62"/>
  <c r="H159" i="62"/>
  <c r="H98" i="62"/>
  <c r="H63" i="62"/>
  <c r="H151" i="62"/>
  <c r="H62" i="62"/>
  <c r="H15" i="62"/>
  <c r="H84" i="62"/>
  <c r="H100" i="62"/>
  <c r="H27" i="62"/>
  <c r="H137" i="62"/>
  <c r="H131" i="62"/>
  <c r="H168" i="62"/>
  <c r="H101" i="62"/>
  <c r="H85" i="62"/>
  <c r="H160" i="62"/>
  <c r="H69" i="62"/>
  <c r="H22" i="62"/>
  <c r="H86" i="62"/>
  <c r="H102" i="62"/>
  <c r="H28" i="62"/>
  <c r="H138" i="62"/>
  <c r="H132" i="62"/>
  <c r="H170" i="62"/>
  <c r="H103" i="62"/>
  <c r="H87" i="62"/>
  <c r="H161" i="62"/>
  <c r="H70" i="62"/>
  <c r="H23" i="62"/>
  <c r="H88" i="62"/>
  <c r="H104" i="62"/>
  <c r="H29" i="62"/>
  <c r="H139" i="62"/>
  <c r="H133" i="62"/>
  <c r="H171" i="62"/>
  <c r="H105" i="62"/>
  <c r="H89" i="62"/>
  <c r="H162" i="62"/>
  <c r="H44" i="62"/>
  <c r="H13" i="62"/>
  <c r="H64" i="62"/>
  <c r="H90" i="62"/>
  <c r="H30" i="62"/>
  <c r="H130" i="62"/>
  <c r="H122" i="62"/>
  <c r="H163" i="62"/>
  <c r="H99" i="62"/>
  <c r="H66" i="62"/>
  <c r="H152" i="62"/>
  <c r="H65" i="62"/>
  <c r="H24" i="62"/>
  <c r="H91" i="62"/>
  <c r="H106" i="62"/>
  <c r="H31" i="62"/>
  <c r="H140" i="62"/>
  <c r="H134" i="62"/>
  <c r="H172" i="62"/>
  <c r="H107" i="62"/>
  <c r="H92" i="62"/>
  <c r="H164" i="62"/>
  <c r="H68" i="62"/>
  <c r="H25" i="62"/>
  <c r="H93" i="62"/>
  <c r="H111" i="62"/>
  <c r="H32" i="62"/>
  <c r="H141" i="62"/>
  <c r="H135" i="62"/>
  <c r="H167" i="62"/>
  <c r="H108" i="62"/>
  <c r="H94" i="62"/>
  <c r="H165" i="62"/>
  <c r="H71" i="62"/>
  <c r="H26" i="62"/>
  <c r="H95" i="62"/>
  <c r="H109" i="62"/>
  <c r="H33" i="62"/>
  <c r="H142" i="62"/>
  <c r="H136" i="62"/>
  <c r="H169" i="62"/>
  <c r="H110" i="62"/>
  <c r="H96" i="62"/>
  <c r="H166" i="62"/>
  <c r="AB40" i="56"/>
  <c r="X40" i="56"/>
  <c r="I40" i="56"/>
  <c r="H40" i="56"/>
  <c r="P40" i="56" s="1"/>
  <c r="AB25" i="56"/>
  <c r="X25" i="56"/>
  <c r="U25" i="56"/>
  <c r="I25" i="56"/>
  <c r="H25" i="56"/>
  <c r="P25" i="56" s="1"/>
  <c r="AB7" i="56"/>
  <c r="X7" i="56"/>
  <c r="I7" i="56"/>
  <c r="H7" i="56"/>
  <c r="P7" i="56" s="1"/>
  <c r="U14" i="56" l="1"/>
  <c r="V14" i="56" s="1"/>
  <c r="W14" i="56" s="1"/>
  <c r="AD14" i="56"/>
  <c r="AD29" i="56"/>
  <c r="U29" i="56"/>
  <c r="V29" i="56" s="1"/>
  <c r="W29" i="56" s="1"/>
  <c r="T40" i="56"/>
  <c r="U40" i="56"/>
  <c r="V40" i="56" s="1"/>
  <c r="W40" i="56" s="1"/>
  <c r="T25" i="56"/>
  <c r="V25" i="56"/>
  <c r="W25" i="56" s="1"/>
  <c r="T7" i="56"/>
  <c r="U7" i="56"/>
  <c r="V7" i="56" s="1"/>
  <c r="W7" i="56" s="1"/>
  <c r="AB3" i="56"/>
  <c r="AB6" i="56"/>
  <c r="AB9" i="56"/>
  <c r="AB4" i="56"/>
  <c r="AB5" i="56"/>
  <c r="AB10" i="56"/>
  <c r="AB23" i="56"/>
  <c r="AB24" i="56"/>
  <c r="AB8" i="56"/>
  <c r="AB18" i="56"/>
  <c r="AB12" i="56"/>
  <c r="AB17" i="56"/>
  <c r="AB32" i="56"/>
  <c r="AB27" i="56"/>
  <c r="AB21" i="56"/>
  <c r="AB26" i="56"/>
  <c r="AB38" i="56"/>
  <c r="AB37" i="56"/>
  <c r="AB20" i="56"/>
  <c r="AB39" i="56"/>
  <c r="AB35" i="56"/>
  <c r="AB44" i="56"/>
  <c r="AB36" i="56"/>
  <c r="AB45" i="56"/>
  <c r="AB30" i="56"/>
  <c r="AB31" i="56"/>
  <c r="AB2" i="56"/>
  <c r="AB3" i="55"/>
  <c r="AB11" i="55"/>
  <c r="AB9" i="55"/>
  <c r="AB23" i="55"/>
  <c r="AB14" i="55"/>
  <c r="AB25" i="55"/>
  <c r="AB32" i="55"/>
  <c r="AB33" i="55"/>
  <c r="AB37" i="55"/>
  <c r="AB44" i="55"/>
  <c r="AB43" i="55"/>
  <c r="AB46" i="55"/>
  <c r="AB47" i="55"/>
  <c r="AB15" i="55"/>
  <c r="AB16" i="55"/>
  <c r="AB8" i="55"/>
  <c r="AB18" i="55"/>
  <c r="AB12" i="55"/>
  <c r="AB17" i="55"/>
  <c r="AB21" i="55"/>
  <c r="AB26" i="55"/>
  <c r="AB38" i="55"/>
  <c r="AB30" i="55"/>
  <c r="AB36" i="55"/>
  <c r="AB35" i="55"/>
  <c r="AB45" i="55"/>
  <c r="AB5" i="55"/>
  <c r="AB17" i="58"/>
  <c r="AB2" i="58"/>
  <c r="AB7" i="58"/>
  <c r="AB13" i="58"/>
  <c r="AB6" i="58"/>
  <c r="AB3" i="58"/>
  <c r="AB4" i="58"/>
  <c r="AB8" i="58"/>
  <c r="AB10" i="58"/>
  <c r="AB6" i="52"/>
  <c r="AB21" i="52"/>
  <c r="AB8" i="52"/>
  <c r="J37" i="42"/>
  <c r="J38" i="42"/>
  <c r="J36" i="42"/>
  <c r="X18" i="56"/>
  <c r="I18" i="56"/>
  <c r="H18" i="56"/>
  <c r="P18" i="56" s="1"/>
  <c r="R47" i="55"/>
  <c r="H3" i="55"/>
  <c r="I3" i="55"/>
  <c r="H11" i="55"/>
  <c r="I11" i="55"/>
  <c r="H9" i="55"/>
  <c r="I9" i="55"/>
  <c r="H23" i="55"/>
  <c r="I23" i="55"/>
  <c r="H14" i="55"/>
  <c r="I14" i="55"/>
  <c r="H25" i="55"/>
  <c r="I25" i="55"/>
  <c r="H32" i="55"/>
  <c r="I32" i="55"/>
  <c r="H33" i="55"/>
  <c r="I33" i="55"/>
  <c r="H37" i="55"/>
  <c r="I37" i="55"/>
  <c r="H44" i="55"/>
  <c r="I44" i="55"/>
  <c r="H43" i="55"/>
  <c r="I43" i="55"/>
  <c r="H46" i="55"/>
  <c r="I46" i="55"/>
  <c r="H47" i="55"/>
  <c r="I47" i="55"/>
  <c r="H15" i="55"/>
  <c r="I15" i="55"/>
  <c r="H16" i="55"/>
  <c r="I16" i="55"/>
  <c r="H8" i="55"/>
  <c r="I8" i="55"/>
  <c r="H18" i="55"/>
  <c r="I18" i="55"/>
  <c r="H12" i="55"/>
  <c r="I12" i="55"/>
  <c r="H17" i="55"/>
  <c r="I17" i="55"/>
  <c r="H21" i="55"/>
  <c r="I21" i="55"/>
  <c r="H26" i="55"/>
  <c r="I26" i="55"/>
  <c r="H38" i="55"/>
  <c r="I38" i="55"/>
  <c r="H30" i="55"/>
  <c r="I30" i="55"/>
  <c r="H36" i="55"/>
  <c r="I36" i="55"/>
  <c r="H35" i="55"/>
  <c r="I35" i="55"/>
  <c r="H45" i="55"/>
  <c r="I45" i="55"/>
  <c r="AB11" i="52" l="1"/>
  <c r="AD11" i="52" s="1"/>
  <c r="AB19" i="52"/>
  <c r="AD19" i="52" s="1"/>
  <c r="AB15" i="52"/>
  <c r="AD15" i="52" s="1"/>
  <c r="AB155" i="62"/>
  <c r="AB166" i="62"/>
  <c r="AB156" i="62"/>
  <c r="AB168" i="62"/>
  <c r="AB157" i="62"/>
  <c r="AB170" i="62"/>
  <c r="AB146" i="62"/>
  <c r="AB167" i="62"/>
  <c r="AB160" i="62"/>
  <c r="AB149" i="62"/>
  <c r="AB162" i="62"/>
  <c r="AB151" i="62"/>
  <c r="AB12" i="52"/>
  <c r="AD12" i="52" s="1"/>
  <c r="AB154" i="62"/>
  <c r="AB143" i="62"/>
  <c r="AB144" i="62"/>
  <c r="AB158" i="62"/>
  <c r="AB159" i="62"/>
  <c r="AB161" i="62"/>
  <c r="AB152" i="62"/>
  <c r="AB145" i="62"/>
  <c r="AB153" i="62"/>
  <c r="AB171" i="62"/>
  <c r="AB172" i="62"/>
  <c r="AB147" i="62"/>
  <c r="AB148" i="62"/>
  <c r="AB169" i="62"/>
  <c r="AB150" i="62"/>
  <c r="AB163" i="62"/>
  <c r="AB164" i="62"/>
  <c r="AB165" i="62"/>
  <c r="AB41" i="56"/>
  <c r="AB13" i="52"/>
  <c r="AD13" i="52" s="1"/>
  <c r="AB120" i="62"/>
  <c r="AB130" i="62"/>
  <c r="AB142" i="62"/>
  <c r="AB121" i="62"/>
  <c r="AB131" i="62"/>
  <c r="AB132" i="62"/>
  <c r="AB135" i="62"/>
  <c r="AB124" i="62"/>
  <c r="AB125" i="62"/>
  <c r="AB126" i="62"/>
  <c r="AB127" i="62"/>
  <c r="AB118" i="62"/>
  <c r="AB140" i="62"/>
  <c r="AB119" i="62"/>
  <c r="AB136" i="62"/>
  <c r="AB138" i="62"/>
  <c r="AB141" i="62"/>
  <c r="AB115" i="62"/>
  <c r="AB134" i="62"/>
  <c r="AB116" i="62"/>
  <c r="AB133" i="62"/>
  <c r="AB122" i="62"/>
  <c r="AB123" i="62"/>
  <c r="AB112" i="62"/>
  <c r="AB113" i="62"/>
  <c r="AB137" i="62"/>
  <c r="AB114" i="62"/>
  <c r="AB117" i="62"/>
  <c r="AB139" i="62"/>
  <c r="AB128" i="62"/>
  <c r="AB129" i="62"/>
  <c r="AB10" i="52"/>
  <c r="N35" i="55"/>
  <c r="P35" i="55" s="1"/>
  <c r="N30" i="55"/>
  <c r="P30" i="55" s="1"/>
  <c r="N17" i="55"/>
  <c r="P17" i="55" s="1"/>
  <c r="Q47" i="55"/>
  <c r="N47" i="55"/>
  <c r="P47" i="55" s="1"/>
  <c r="N23" i="55"/>
  <c r="P23" i="55" s="1"/>
  <c r="N36" i="55"/>
  <c r="P36" i="55" s="1"/>
  <c r="N9" i="55"/>
  <c r="P9" i="55" s="1"/>
  <c r="N38" i="55"/>
  <c r="P38" i="55" s="1"/>
  <c r="N32" i="55"/>
  <c r="P32" i="55" s="1"/>
  <c r="N26" i="55"/>
  <c r="P26" i="55" s="1"/>
  <c r="N21" i="55"/>
  <c r="P21" i="55" s="1"/>
  <c r="N8" i="55"/>
  <c r="P8" i="55" s="1"/>
  <c r="N43" i="55"/>
  <c r="P43" i="55" s="1"/>
  <c r="N45" i="55"/>
  <c r="P45" i="55" s="1"/>
  <c r="N15" i="55"/>
  <c r="P15" i="55" s="1"/>
  <c r="N3" i="55"/>
  <c r="P3" i="55" s="1"/>
  <c r="Y14" i="56"/>
  <c r="Y29" i="56"/>
  <c r="Y40" i="56"/>
  <c r="AD40" i="56"/>
  <c r="Y25" i="56"/>
  <c r="AD25" i="56"/>
  <c r="AD7" i="56"/>
  <c r="Y7" i="56"/>
  <c r="U18" i="56"/>
  <c r="V18" i="56" s="1"/>
  <c r="W18" i="56" s="1"/>
  <c r="T18" i="56"/>
  <c r="I2" i="62"/>
  <c r="I36" i="62"/>
  <c r="I45" i="62"/>
  <c r="I3" i="62"/>
  <c r="I112" i="62"/>
  <c r="I35" i="62"/>
  <c r="I4" i="62"/>
  <c r="I46" i="62"/>
  <c r="I48" i="62"/>
  <c r="I5" i="62"/>
  <c r="I114" i="62"/>
  <c r="I113" i="62"/>
  <c r="I144" i="62"/>
  <c r="I49" i="62"/>
  <c r="I47" i="62"/>
  <c r="I143" i="62"/>
  <c r="I37" i="62"/>
  <c r="I6" i="62"/>
  <c r="I50" i="62"/>
  <c r="I73" i="62"/>
  <c r="I16" i="62"/>
  <c r="I123" i="62"/>
  <c r="I117" i="62"/>
  <c r="I154" i="62"/>
  <c r="I74" i="62"/>
  <c r="I51" i="62"/>
  <c r="I145" i="62"/>
  <c r="I38" i="62"/>
  <c r="I7" i="62"/>
  <c r="I52" i="62"/>
  <c r="I75" i="62"/>
  <c r="I17" i="62"/>
  <c r="I124" i="62"/>
  <c r="I118" i="62"/>
  <c r="I155" i="62"/>
  <c r="I72" i="62"/>
  <c r="I53" i="62"/>
  <c r="I146" i="62"/>
  <c r="I39" i="62"/>
  <c r="I8" i="62"/>
  <c r="I54" i="62"/>
  <c r="I76" i="62"/>
  <c r="I18" i="62"/>
  <c r="I125" i="62"/>
  <c r="I119" i="62"/>
  <c r="I156" i="62"/>
  <c r="I77" i="62"/>
  <c r="I57" i="62"/>
  <c r="I147" i="62"/>
  <c r="I40" i="62"/>
  <c r="I9" i="62"/>
  <c r="I56" i="62"/>
  <c r="I78" i="62"/>
  <c r="I14" i="62"/>
  <c r="I126" i="62"/>
  <c r="I120" i="62"/>
  <c r="I157" i="62"/>
  <c r="I79" i="62"/>
  <c r="I67" i="62"/>
  <c r="I148" i="62"/>
  <c r="I41" i="62"/>
  <c r="I10" i="62"/>
  <c r="I58" i="62"/>
  <c r="I80" i="62"/>
  <c r="I19" i="62"/>
  <c r="I127" i="62"/>
  <c r="I121" i="62"/>
  <c r="I153" i="62"/>
  <c r="I81" i="62"/>
  <c r="I59" i="62"/>
  <c r="I149" i="62"/>
  <c r="I42" i="62"/>
  <c r="I11" i="62"/>
  <c r="I55" i="62"/>
  <c r="I82" i="62"/>
  <c r="I20" i="62"/>
  <c r="I128" i="62"/>
  <c r="I115" i="62"/>
  <c r="I158" i="62"/>
  <c r="I97" i="62"/>
  <c r="I60" i="62"/>
  <c r="I150" i="62"/>
  <c r="I43" i="62"/>
  <c r="I12" i="62"/>
  <c r="I61" i="62"/>
  <c r="I83" i="62"/>
  <c r="I21" i="62"/>
  <c r="I129" i="62"/>
  <c r="I116" i="62"/>
  <c r="I159" i="62"/>
  <c r="I98" i="62"/>
  <c r="I63" i="62"/>
  <c r="I151" i="62"/>
  <c r="I62" i="62"/>
  <c r="I15" i="62"/>
  <c r="I84" i="62"/>
  <c r="I100" i="62"/>
  <c r="I27" i="62"/>
  <c r="I137" i="62"/>
  <c r="I131" i="62"/>
  <c r="I168" i="62"/>
  <c r="I101" i="62"/>
  <c r="I85" i="62"/>
  <c r="I160" i="62"/>
  <c r="I69" i="62"/>
  <c r="I22" i="62"/>
  <c r="I86" i="62"/>
  <c r="I102" i="62"/>
  <c r="I28" i="62"/>
  <c r="I138" i="62"/>
  <c r="I132" i="62"/>
  <c r="I170" i="62"/>
  <c r="I103" i="62"/>
  <c r="I87" i="62"/>
  <c r="I161" i="62"/>
  <c r="I70" i="62"/>
  <c r="I23" i="62"/>
  <c r="I88" i="62"/>
  <c r="I104" i="62"/>
  <c r="I29" i="62"/>
  <c r="I139" i="62"/>
  <c r="I133" i="62"/>
  <c r="I171" i="62"/>
  <c r="I105" i="62"/>
  <c r="I89" i="62"/>
  <c r="I162" i="62"/>
  <c r="I44" i="62"/>
  <c r="I13" i="62"/>
  <c r="I64" i="62"/>
  <c r="I90" i="62"/>
  <c r="I30" i="62"/>
  <c r="I130" i="62"/>
  <c r="I122" i="62"/>
  <c r="I163" i="62"/>
  <c r="I99" i="62"/>
  <c r="I66" i="62"/>
  <c r="I152" i="62"/>
  <c r="I65" i="62"/>
  <c r="I24" i="62"/>
  <c r="I91" i="62"/>
  <c r="I106" i="62"/>
  <c r="I31" i="62"/>
  <c r="I140" i="62"/>
  <c r="I134" i="62"/>
  <c r="I172" i="62"/>
  <c r="I107" i="62"/>
  <c r="I92" i="62"/>
  <c r="I164" i="62"/>
  <c r="I68" i="62"/>
  <c r="I25" i="62"/>
  <c r="I93" i="62"/>
  <c r="I111" i="62"/>
  <c r="I32" i="62"/>
  <c r="I141" i="62"/>
  <c r="I135" i="62"/>
  <c r="I167" i="62"/>
  <c r="I108" i="62"/>
  <c r="I94" i="62"/>
  <c r="I165" i="62"/>
  <c r="I71" i="62"/>
  <c r="I26" i="62"/>
  <c r="I95" i="62"/>
  <c r="I109" i="62"/>
  <c r="I33" i="62"/>
  <c r="I142" i="62"/>
  <c r="I136" i="62"/>
  <c r="I169" i="62"/>
  <c r="I110" i="62"/>
  <c r="I96" i="62"/>
  <c r="I166" i="62"/>
  <c r="Z21" i="52"/>
  <c r="X21" i="52"/>
  <c r="O21" i="52"/>
  <c r="R21" i="52" s="1"/>
  <c r="I21" i="52"/>
  <c r="H21" i="52"/>
  <c r="Z10" i="52"/>
  <c r="X10" i="52"/>
  <c r="O10" i="52"/>
  <c r="R10" i="52" s="1"/>
  <c r="Q10" i="52" s="1"/>
  <c r="U10" i="52" s="1"/>
  <c r="N33" i="55" l="1"/>
  <c r="P33" i="55" s="1"/>
  <c r="N25" i="55"/>
  <c r="P25" i="55" s="1"/>
  <c r="N44" i="55"/>
  <c r="P44" i="55" s="1"/>
  <c r="N14" i="55"/>
  <c r="P14" i="55" s="1"/>
  <c r="N12" i="55"/>
  <c r="P12" i="55" s="1"/>
  <c r="N37" i="55"/>
  <c r="P37" i="55" s="1"/>
  <c r="N46" i="55"/>
  <c r="P46" i="55" s="1"/>
  <c r="N18" i="55"/>
  <c r="P18" i="55" s="1"/>
  <c r="N11" i="55"/>
  <c r="P11" i="55" s="1"/>
  <c r="N16" i="55"/>
  <c r="P16" i="55" s="1"/>
  <c r="AU19" i="50"/>
  <c r="AD18" i="56"/>
  <c r="Y18" i="56"/>
  <c r="L3" i="50"/>
  <c r="AB9" i="50"/>
  <c r="AC9" i="50"/>
  <c r="AC18" i="50"/>
  <c r="T21" i="52"/>
  <c r="Q21" i="52"/>
  <c r="U21" i="52" s="1"/>
  <c r="V21" i="52" s="1"/>
  <c r="W21" i="52" s="1"/>
  <c r="N21" i="52"/>
  <c r="P21" i="52" s="1"/>
  <c r="T10" i="52"/>
  <c r="AC21" i="52"/>
  <c r="AE21" i="52" s="1"/>
  <c r="N10" i="52"/>
  <c r="P10" i="52" s="1"/>
  <c r="V10" i="52"/>
  <c r="W10" i="52" s="1"/>
  <c r="AC10" i="52"/>
  <c r="AE10" i="52" s="1"/>
  <c r="AD18" i="50"/>
  <c r="H3" i="56"/>
  <c r="P3" i="56" s="1"/>
  <c r="I3" i="56"/>
  <c r="H6" i="56"/>
  <c r="P6" i="56" s="1"/>
  <c r="I6" i="56"/>
  <c r="H9" i="56"/>
  <c r="P9" i="56" s="1"/>
  <c r="I9" i="56"/>
  <c r="H4" i="56"/>
  <c r="P4" i="56" s="1"/>
  <c r="I4" i="56"/>
  <c r="H5" i="56"/>
  <c r="P5" i="56" s="1"/>
  <c r="I5" i="56"/>
  <c r="H10" i="56"/>
  <c r="P10" i="56" s="1"/>
  <c r="I10" i="56"/>
  <c r="H23" i="56"/>
  <c r="P23" i="56" s="1"/>
  <c r="I23" i="56"/>
  <c r="H24" i="56"/>
  <c r="P24" i="56" s="1"/>
  <c r="I24" i="56"/>
  <c r="H8" i="56"/>
  <c r="P8" i="56" s="1"/>
  <c r="I8" i="56"/>
  <c r="H12" i="56"/>
  <c r="P12" i="56" s="1"/>
  <c r="I12" i="56"/>
  <c r="H17" i="56"/>
  <c r="P17" i="56" s="1"/>
  <c r="I17" i="56"/>
  <c r="H32" i="56"/>
  <c r="P32" i="56" s="1"/>
  <c r="I32" i="56"/>
  <c r="H41" i="56"/>
  <c r="P41" i="56" s="1"/>
  <c r="I41" i="56"/>
  <c r="H27" i="56"/>
  <c r="P27" i="56" s="1"/>
  <c r="I27" i="56"/>
  <c r="H21" i="56"/>
  <c r="P21" i="56" s="1"/>
  <c r="I21" i="56"/>
  <c r="H26" i="56"/>
  <c r="P26" i="56" s="1"/>
  <c r="I26" i="56"/>
  <c r="H38" i="56"/>
  <c r="P38" i="56" s="1"/>
  <c r="I38" i="56"/>
  <c r="H37" i="56"/>
  <c r="P37" i="56" s="1"/>
  <c r="I37" i="56"/>
  <c r="H20" i="56"/>
  <c r="P20" i="56" s="1"/>
  <c r="I20" i="56"/>
  <c r="H39" i="56"/>
  <c r="P39" i="56" s="1"/>
  <c r="I39" i="56"/>
  <c r="H35" i="56"/>
  <c r="P35" i="56" s="1"/>
  <c r="I35" i="56"/>
  <c r="H44" i="56"/>
  <c r="P44" i="56" s="1"/>
  <c r="I44" i="56"/>
  <c r="H36" i="56"/>
  <c r="P36" i="56" s="1"/>
  <c r="I36" i="56"/>
  <c r="H45" i="56"/>
  <c r="P45" i="56" s="1"/>
  <c r="I45" i="56"/>
  <c r="H30" i="56"/>
  <c r="P30" i="56" s="1"/>
  <c r="I30" i="56"/>
  <c r="H31" i="56"/>
  <c r="P31" i="56" s="1"/>
  <c r="I31" i="56"/>
  <c r="X12" i="56"/>
  <c r="X8" i="56"/>
  <c r="X24" i="56"/>
  <c r="F156" i="61"/>
  <c r="F155" i="61"/>
  <c r="F154" i="61"/>
  <c r="F153" i="61"/>
  <c r="F152" i="61"/>
  <c r="F151" i="61"/>
  <c r="F150" i="61"/>
  <c r="F149" i="61"/>
  <c r="F148" i="61"/>
  <c r="F147" i="61"/>
  <c r="F146" i="61"/>
  <c r="F145" i="61"/>
  <c r="F144" i="61"/>
  <c r="F143" i="61"/>
  <c r="F142" i="61"/>
  <c r="F141" i="61"/>
  <c r="F140" i="61"/>
  <c r="F139" i="61"/>
  <c r="F138" i="61"/>
  <c r="F137" i="61"/>
  <c r="F136" i="61"/>
  <c r="F135" i="61"/>
  <c r="F134" i="61"/>
  <c r="F133" i="61"/>
  <c r="F132" i="61"/>
  <c r="F131" i="61"/>
  <c r="F130" i="61"/>
  <c r="F129" i="61"/>
  <c r="F128" i="61"/>
  <c r="F127" i="61"/>
  <c r="F126" i="61"/>
  <c r="F125" i="61"/>
  <c r="F124" i="61"/>
  <c r="F123" i="61"/>
  <c r="F122" i="61"/>
  <c r="F121" i="61"/>
  <c r="F120" i="61"/>
  <c r="F119" i="61"/>
  <c r="F118" i="61"/>
  <c r="F117" i="61"/>
  <c r="F116" i="61"/>
  <c r="F115" i="61"/>
  <c r="F114" i="61"/>
  <c r="F113" i="61"/>
  <c r="F112" i="61"/>
  <c r="F111" i="61"/>
  <c r="F110" i="61"/>
  <c r="F109" i="61"/>
  <c r="F108" i="61"/>
  <c r="F107" i="61"/>
  <c r="F106" i="61"/>
  <c r="F105" i="61"/>
  <c r="F104" i="61"/>
  <c r="F103" i="61"/>
  <c r="F102" i="61"/>
  <c r="F101" i="61"/>
  <c r="F100" i="61"/>
  <c r="F99" i="61"/>
  <c r="F98" i="61"/>
  <c r="F97" i="61"/>
  <c r="F96" i="61"/>
  <c r="F95" i="61"/>
  <c r="F94" i="61"/>
  <c r="F93" i="61"/>
  <c r="F92" i="61"/>
  <c r="F91" i="61"/>
  <c r="F90" i="61"/>
  <c r="F89" i="61"/>
  <c r="F88" i="61"/>
  <c r="E87" i="61"/>
  <c r="F87" i="61"/>
  <c r="F86" i="61"/>
  <c r="E86" i="61"/>
  <c r="F85" i="61"/>
  <c r="E84" i="61"/>
  <c r="F84" i="61"/>
  <c r="E83" i="61"/>
  <c r="F83" i="61"/>
  <c r="F82" i="61"/>
  <c r="E82" i="61"/>
  <c r="E81" i="61"/>
  <c r="F81" i="61"/>
  <c r="F80" i="61"/>
  <c r="F79" i="61"/>
  <c r="F78" i="61"/>
  <c r="F77" i="61"/>
  <c r="F76" i="61"/>
  <c r="F75" i="61"/>
  <c r="E74" i="61"/>
  <c r="F74" i="61"/>
  <c r="F73" i="61"/>
  <c r="E72" i="61"/>
  <c r="F72" i="61"/>
  <c r="F71" i="61"/>
  <c r="E70" i="61"/>
  <c r="F70" i="61"/>
  <c r="F69" i="61"/>
  <c r="E68" i="61"/>
  <c r="F68" i="61"/>
  <c r="F67" i="61"/>
  <c r="E67" i="61"/>
  <c r="E66" i="61"/>
  <c r="F66" i="61"/>
  <c r="F65" i="61"/>
  <c r="F64" i="61"/>
  <c r="E63" i="61"/>
  <c r="F63" i="61"/>
  <c r="F62" i="61"/>
  <c r="F61" i="61"/>
  <c r="E60" i="61"/>
  <c r="F60" i="61"/>
  <c r="F59" i="61"/>
  <c r="F58" i="61"/>
  <c r="E57" i="61"/>
  <c r="F57" i="61"/>
  <c r="F56" i="61"/>
  <c r="E56" i="61"/>
  <c r="E55" i="61"/>
  <c r="F55" i="61"/>
  <c r="F54" i="61"/>
  <c r="E54" i="61"/>
  <c r="E53" i="61"/>
  <c r="F53" i="61"/>
  <c r="F52" i="61"/>
  <c r="E52" i="61"/>
  <c r="E51" i="61"/>
  <c r="F51" i="61"/>
  <c r="F50" i="61"/>
  <c r="F49" i="61"/>
  <c r="F48" i="61"/>
  <c r="F47" i="61"/>
  <c r="F46" i="61"/>
  <c r="E46" i="61"/>
  <c r="X4" i="58"/>
  <c r="AC4" i="58"/>
  <c r="I4" i="58"/>
  <c r="H39" i="54"/>
  <c r="H38" i="54"/>
  <c r="H37" i="54"/>
  <c r="X36" i="62"/>
  <c r="X45" i="62"/>
  <c r="X3" i="62"/>
  <c r="X112" i="62"/>
  <c r="X35" i="62"/>
  <c r="X4" i="62"/>
  <c r="X46" i="62"/>
  <c r="X48" i="62"/>
  <c r="X5" i="62"/>
  <c r="X114" i="62"/>
  <c r="X113" i="62"/>
  <c r="X144" i="62"/>
  <c r="X49" i="62"/>
  <c r="X47" i="62"/>
  <c r="X143" i="62"/>
  <c r="X37" i="62"/>
  <c r="X6" i="62"/>
  <c r="X50" i="62"/>
  <c r="X73" i="62"/>
  <c r="X16" i="62"/>
  <c r="X123" i="62"/>
  <c r="X117" i="62"/>
  <c r="X154" i="62"/>
  <c r="X74" i="62"/>
  <c r="X51" i="62"/>
  <c r="X145" i="62"/>
  <c r="X38" i="62"/>
  <c r="X7" i="62"/>
  <c r="X52" i="62"/>
  <c r="X75" i="62"/>
  <c r="X17" i="62"/>
  <c r="X124" i="62"/>
  <c r="X118" i="62"/>
  <c r="X155" i="62"/>
  <c r="X72" i="62"/>
  <c r="X53" i="62"/>
  <c r="X146" i="62"/>
  <c r="X39" i="62"/>
  <c r="X8" i="62"/>
  <c r="X54" i="62"/>
  <c r="X76" i="62"/>
  <c r="X18" i="62"/>
  <c r="X125" i="62"/>
  <c r="X119" i="62"/>
  <c r="X156" i="62"/>
  <c r="X77" i="62"/>
  <c r="X57" i="62"/>
  <c r="X147" i="62"/>
  <c r="X40" i="62"/>
  <c r="X9" i="62"/>
  <c r="X56" i="62"/>
  <c r="X78" i="62"/>
  <c r="X14" i="62"/>
  <c r="X126" i="62"/>
  <c r="X120" i="62"/>
  <c r="X157" i="62"/>
  <c r="X79" i="62"/>
  <c r="X67" i="62"/>
  <c r="X148" i="62"/>
  <c r="X41" i="62"/>
  <c r="X10" i="62"/>
  <c r="X58" i="62"/>
  <c r="X80" i="62"/>
  <c r="X19" i="62"/>
  <c r="X127" i="62"/>
  <c r="X121" i="62"/>
  <c r="X153" i="62"/>
  <c r="X81" i="62"/>
  <c r="X59" i="62"/>
  <c r="X149" i="62"/>
  <c r="X42" i="62"/>
  <c r="X11" i="62"/>
  <c r="X55" i="62"/>
  <c r="X82" i="62"/>
  <c r="X20" i="62"/>
  <c r="X128" i="62"/>
  <c r="X115" i="62"/>
  <c r="X158" i="62"/>
  <c r="X97" i="62"/>
  <c r="X60" i="62"/>
  <c r="X150" i="62"/>
  <c r="X43" i="62"/>
  <c r="X12" i="62"/>
  <c r="X61" i="62"/>
  <c r="X83" i="62"/>
  <c r="X21" i="62"/>
  <c r="X129" i="62"/>
  <c r="X116" i="62"/>
  <c r="X159" i="62"/>
  <c r="X98" i="62"/>
  <c r="X63" i="62"/>
  <c r="X151" i="62"/>
  <c r="X62" i="62"/>
  <c r="X15" i="62"/>
  <c r="X84" i="62"/>
  <c r="X100" i="62"/>
  <c r="X27" i="62"/>
  <c r="X137" i="62"/>
  <c r="X131" i="62"/>
  <c r="X168" i="62"/>
  <c r="X101" i="62"/>
  <c r="X85" i="62"/>
  <c r="X160" i="62"/>
  <c r="X69" i="62"/>
  <c r="X22" i="62"/>
  <c r="X86" i="62"/>
  <c r="X102" i="62"/>
  <c r="X28" i="62"/>
  <c r="X138" i="62"/>
  <c r="X132" i="62"/>
  <c r="X170" i="62"/>
  <c r="X103" i="62"/>
  <c r="X87" i="62"/>
  <c r="X161" i="62"/>
  <c r="X70" i="62"/>
  <c r="X23" i="62"/>
  <c r="X88" i="62"/>
  <c r="X104" i="62"/>
  <c r="X29" i="62"/>
  <c r="X139" i="62"/>
  <c r="X133" i="62"/>
  <c r="X171" i="62"/>
  <c r="X105" i="62"/>
  <c r="X89" i="62"/>
  <c r="X162" i="62"/>
  <c r="X44" i="62"/>
  <c r="X13" i="62"/>
  <c r="X64" i="62"/>
  <c r="X90" i="62"/>
  <c r="X30" i="62"/>
  <c r="X130" i="62"/>
  <c r="X122" i="62"/>
  <c r="X163" i="62"/>
  <c r="X99" i="62"/>
  <c r="X66" i="62"/>
  <c r="X152" i="62"/>
  <c r="X65" i="62"/>
  <c r="X24" i="62"/>
  <c r="X91" i="62"/>
  <c r="X106" i="62"/>
  <c r="X31" i="62"/>
  <c r="X140" i="62"/>
  <c r="X134" i="62"/>
  <c r="X172" i="62"/>
  <c r="X107" i="62"/>
  <c r="X92" i="62"/>
  <c r="X164" i="62"/>
  <c r="X68" i="62"/>
  <c r="X25" i="62"/>
  <c r="X93" i="62"/>
  <c r="X111" i="62"/>
  <c r="X32" i="62"/>
  <c r="X141" i="62"/>
  <c r="X135" i="62"/>
  <c r="X167" i="62"/>
  <c r="X108" i="62"/>
  <c r="X94" i="62"/>
  <c r="X165" i="62"/>
  <c r="X71" i="62"/>
  <c r="X26" i="62"/>
  <c r="X95" i="62"/>
  <c r="X109" i="62"/>
  <c r="X33" i="62"/>
  <c r="X142" i="62"/>
  <c r="X136" i="62"/>
  <c r="X169" i="62"/>
  <c r="X110" i="62"/>
  <c r="X96" i="62"/>
  <c r="X166" i="62"/>
  <c r="X34" i="62"/>
  <c r="J17" i="42"/>
  <c r="J18" i="42"/>
  <c r="J16" i="42"/>
  <c r="K18" i="51"/>
  <c r="J18" i="51"/>
  <c r="I18" i="51"/>
  <c r="H18" i="51"/>
  <c r="F18" i="51"/>
  <c r="E18" i="51"/>
  <c r="K6" i="42"/>
  <c r="B25" i="51" s="1"/>
  <c r="K13" i="50" s="1"/>
  <c r="I6" i="42"/>
  <c r="B32" i="51" s="1"/>
  <c r="H6" i="42"/>
  <c r="B27" i="51" s="1"/>
  <c r="K14" i="50" s="1"/>
  <c r="G6" i="42"/>
  <c r="O146" i="62"/>
  <c r="AC146" i="62" s="1"/>
  <c r="AE146" i="62" s="1"/>
  <c r="O53" i="62"/>
  <c r="O72" i="62"/>
  <c r="O155" i="62"/>
  <c r="AC155" i="62" s="1"/>
  <c r="AE155" i="62" s="1"/>
  <c r="O118" i="62"/>
  <c r="O124" i="62"/>
  <c r="O17" i="62"/>
  <c r="O75" i="62"/>
  <c r="O52" i="62"/>
  <c r="O7" i="62"/>
  <c r="O38" i="62"/>
  <c r="O145" i="62"/>
  <c r="AC145" i="62" s="1"/>
  <c r="AE145" i="62" s="1"/>
  <c r="O51" i="62"/>
  <c r="O74" i="62"/>
  <c r="O154" i="62"/>
  <c r="O117" i="62"/>
  <c r="AC117" i="62" s="1"/>
  <c r="AE117" i="62" s="1"/>
  <c r="O123" i="62"/>
  <c r="O16" i="62"/>
  <c r="AC16" i="62" s="1"/>
  <c r="AE16" i="62" s="1"/>
  <c r="O73" i="62"/>
  <c r="AC73" i="62" s="1"/>
  <c r="AE73" i="62" s="1"/>
  <c r="O50" i="62"/>
  <c r="O6" i="62"/>
  <c r="O37" i="62"/>
  <c r="AC37" i="62" s="1"/>
  <c r="AE37" i="62" s="1"/>
  <c r="O143" i="62"/>
  <c r="O47" i="62"/>
  <c r="O49" i="62"/>
  <c r="AC49" i="62" s="1"/>
  <c r="AE49" i="62" s="1"/>
  <c r="O144" i="62"/>
  <c r="O113" i="62"/>
  <c r="AC113" i="62" s="1"/>
  <c r="AE113" i="62" s="1"/>
  <c r="O114" i="62"/>
  <c r="AC114" i="62" s="1"/>
  <c r="AE114" i="62" s="1"/>
  <c r="O5" i="62"/>
  <c r="AC5" i="62" s="1"/>
  <c r="AE5" i="62" s="1"/>
  <c r="O48" i="62"/>
  <c r="O46" i="62"/>
  <c r="O4" i="62"/>
  <c r="O35" i="62"/>
  <c r="O112" i="62"/>
  <c r="O3" i="62"/>
  <c r="O45" i="62"/>
  <c r="O36" i="62"/>
  <c r="O151" i="62"/>
  <c r="O63" i="62"/>
  <c r="O98" i="62"/>
  <c r="O159" i="62"/>
  <c r="O116" i="62"/>
  <c r="O129" i="62"/>
  <c r="O21" i="62"/>
  <c r="O83" i="62"/>
  <c r="AC83" i="62" s="1"/>
  <c r="AE83" i="62" s="1"/>
  <c r="O61" i="62"/>
  <c r="AC61" i="62" s="1"/>
  <c r="AE61" i="62" s="1"/>
  <c r="O12" i="62"/>
  <c r="O43" i="62"/>
  <c r="O150" i="62"/>
  <c r="AC150" i="62" s="1"/>
  <c r="AE150" i="62" s="1"/>
  <c r="O60" i="62"/>
  <c r="O97" i="62"/>
  <c r="O158" i="62"/>
  <c r="O115" i="62"/>
  <c r="O128" i="62"/>
  <c r="O20" i="62"/>
  <c r="AC20" i="62" s="1"/>
  <c r="AE20" i="62" s="1"/>
  <c r="O82" i="62"/>
  <c r="O55" i="62"/>
  <c r="AC55" i="62" s="1"/>
  <c r="AE55" i="62" s="1"/>
  <c r="O11" i="62"/>
  <c r="O42" i="62"/>
  <c r="O149" i="62"/>
  <c r="O59" i="62"/>
  <c r="O81" i="62"/>
  <c r="O153" i="62"/>
  <c r="O121" i="62"/>
  <c r="AC121" i="62" s="1"/>
  <c r="AE121" i="62" s="1"/>
  <c r="O127" i="62"/>
  <c r="O19" i="62"/>
  <c r="O80" i="62"/>
  <c r="AC80" i="62" s="1"/>
  <c r="AE80" i="62" s="1"/>
  <c r="O58" i="62"/>
  <c r="O10" i="62"/>
  <c r="O41" i="62"/>
  <c r="AC41" i="62" s="1"/>
  <c r="AE41" i="62" s="1"/>
  <c r="O148" i="62"/>
  <c r="O67" i="62"/>
  <c r="O79" i="62"/>
  <c r="O157" i="62"/>
  <c r="O120" i="62"/>
  <c r="O126" i="62"/>
  <c r="O14" i="62"/>
  <c r="O78" i="62"/>
  <c r="AC78" i="62" s="1"/>
  <c r="AE78" i="62" s="1"/>
  <c r="O56" i="62"/>
  <c r="O9" i="62"/>
  <c r="O40" i="62"/>
  <c r="O147" i="62"/>
  <c r="AC147" i="62" s="1"/>
  <c r="AE147" i="62" s="1"/>
  <c r="O57" i="62"/>
  <c r="O77" i="62"/>
  <c r="AC77" i="62" s="1"/>
  <c r="AE77" i="62" s="1"/>
  <c r="O156" i="62"/>
  <c r="O119" i="62"/>
  <c r="O125" i="62"/>
  <c r="AC125" i="62" s="1"/>
  <c r="AE125" i="62" s="1"/>
  <c r="O18" i="62"/>
  <c r="O76" i="62"/>
  <c r="O54" i="62"/>
  <c r="O8" i="62"/>
  <c r="AC8" i="62" s="1"/>
  <c r="AE8" i="62" s="1"/>
  <c r="O39" i="62"/>
  <c r="O30" i="62"/>
  <c r="O90" i="62"/>
  <c r="O64" i="62"/>
  <c r="O13" i="62"/>
  <c r="O44" i="62"/>
  <c r="O162" i="62"/>
  <c r="O89" i="62"/>
  <c r="AC89" i="62" s="1"/>
  <c r="AE89" i="62" s="1"/>
  <c r="O105" i="62"/>
  <c r="O171" i="62"/>
  <c r="O133" i="62"/>
  <c r="O139" i="62"/>
  <c r="AC139" i="62" s="1"/>
  <c r="AE139" i="62" s="1"/>
  <c r="O29" i="62"/>
  <c r="O104" i="62"/>
  <c r="AC104" i="62" s="1"/>
  <c r="AE104" i="62" s="1"/>
  <c r="O88" i="62"/>
  <c r="O23" i="62"/>
  <c r="O70" i="62"/>
  <c r="O161" i="62"/>
  <c r="O87" i="62"/>
  <c r="O103" i="62"/>
  <c r="O170" i="62"/>
  <c r="O132" i="62"/>
  <c r="O138" i="62"/>
  <c r="O28" i="62"/>
  <c r="O102" i="62"/>
  <c r="O86" i="62"/>
  <c r="O22" i="62"/>
  <c r="AC22" i="62" s="1"/>
  <c r="AE22" i="62" s="1"/>
  <c r="O69" i="62"/>
  <c r="O160" i="62"/>
  <c r="O85" i="62"/>
  <c r="O101" i="62"/>
  <c r="O168" i="62"/>
  <c r="O131" i="62"/>
  <c r="O137" i="62"/>
  <c r="O27" i="62"/>
  <c r="O100" i="62"/>
  <c r="O84" i="62"/>
  <c r="O15" i="62"/>
  <c r="O62" i="62"/>
  <c r="O93" i="62"/>
  <c r="O25" i="62"/>
  <c r="AC25" i="62" s="1"/>
  <c r="AE25" i="62" s="1"/>
  <c r="O68" i="62"/>
  <c r="O164" i="62"/>
  <c r="O92" i="62"/>
  <c r="O107" i="62"/>
  <c r="O172" i="62"/>
  <c r="O134" i="62"/>
  <c r="AC134" i="62" s="1"/>
  <c r="AE134" i="62" s="1"/>
  <c r="O140" i="62"/>
  <c r="O31" i="62"/>
  <c r="O106" i="62"/>
  <c r="AC106" i="62" s="1"/>
  <c r="AE106" i="62" s="1"/>
  <c r="O91" i="62"/>
  <c r="O24" i="62"/>
  <c r="O65" i="62"/>
  <c r="O152" i="62"/>
  <c r="O66" i="62"/>
  <c r="O99" i="62"/>
  <c r="AC99" i="62" s="1"/>
  <c r="AE99" i="62" s="1"/>
  <c r="O163" i="62"/>
  <c r="O122" i="62"/>
  <c r="O108" i="62"/>
  <c r="O167" i="62"/>
  <c r="O135" i="62"/>
  <c r="O141" i="62"/>
  <c r="O32" i="62"/>
  <c r="O111" i="62"/>
  <c r="O109" i="62"/>
  <c r="O95" i="62"/>
  <c r="O26" i="62"/>
  <c r="O71" i="62"/>
  <c r="AC71" i="62" s="1"/>
  <c r="AE71" i="62" s="1"/>
  <c r="O165" i="62"/>
  <c r="O94" i="62"/>
  <c r="O166" i="62"/>
  <c r="O96" i="62"/>
  <c r="O110" i="62"/>
  <c r="O169" i="62"/>
  <c r="AC169" i="62" s="1"/>
  <c r="AE169" i="62" s="1"/>
  <c r="O136" i="62"/>
  <c r="O142" i="62"/>
  <c r="O33" i="62"/>
  <c r="O130" i="62"/>
  <c r="O2" i="62"/>
  <c r="O34" i="62"/>
  <c r="AC34" i="62" s="1"/>
  <c r="AE34" i="62" s="1"/>
  <c r="I34" i="62"/>
  <c r="H34" i="62"/>
  <c r="X10" i="58"/>
  <c r="AC10" i="58"/>
  <c r="I10" i="58"/>
  <c r="Z6" i="52"/>
  <c r="X6" i="52"/>
  <c r="O6" i="52"/>
  <c r="R6" i="52" s="1"/>
  <c r="Q6" i="52" s="1"/>
  <c r="U6" i="52" s="1"/>
  <c r="V6" i="52" s="1"/>
  <c r="W6" i="52" s="1"/>
  <c r="I6" i="52"/>
  <c r="O140" i="59"/>
  <c r="AC140" i="59" s="1"/>
  <c r="O126" i="59"/>
  <c r="O115" i="59"/>
  <c r="O102" i="59"/>
  <c r="R102" i="59" s="1"/>
  <c r="Q102" i="59" s="1"/>
  <c r="U102" i="59" s="1"/>
  <c r="V102" i="59" s="1"/>
  <c r="W102" i="59" s="1"/>
  <c r="O91" i="59"/>
  <c r="T91" i="59" s="1"/>
  <c r="O79" i="59"/>
  <c r="R79" i="59" s="1"/>
  <c r="O68" i="59"/>
  <c r="R68" i="59" s="1"/>
  <c r="Q68" i="59" s="1"/>
  <c r="U68" i="59" s="1"/>
  <c r="V68" i="59" s="1"/>
  <c r="W68" i="59" s="1"/>
  <c r="O56" i="59"/>
  <c r="R56" i="59" s="1"/>
  <c r="O44" i="59"/>
  <c r="T44" i="59" s="1"/>
  <c r="O31" i="59"/>
  <c r="O131" i="59"/>
  <c r="T131" i="59" s="1"/>
  <c r="O83" i="59"/>
  <c r="R83" i="59" s="1"/>
  <c r="O72" i="59"/>
  <c r="R72" i="59" s="1"/>
  <c r="Q72" i="59" s="1"/>
  <c r="U72" i="59" s="1"/>
  <c r="V72" i="59" s="1"/>
  <c r="W72" i="59" s="1"/>
  <c r="O61" i="59"/>
  <c r="T61" i="59" s="1"/>
  <c r="O49" i="59"/>
  <c r="T49" i="59" s="1"/>
  <c r="O36" i="59"/>
  <c r="AC36" i="59" s="1"/>
  <c r="O146" i="59"/>
  <c r="AC146" i="59" s="1"/>
  <c r="O119" i="59"/>
  <c r="T119" i="59" s="1"/>
  <c r="O107" i="59"/>
  <c r="T107" i="59" s="1"/>
  <c r="O63" i="59"/>
  <c r="T63" i="59" s="1"/>
  <c r="O133" i="59"/>
  <c r="AC133" i="59" s="1"/>
  <c r="AE133" i="59" s="1"/>
  <c r="O51" i="59"/>
  <c r="T51" i="59" s="1"/>
  <c r="O26" i="59"/>
  <c r="T26" i="59" s="1"/>
  <c r="O78" i="59"/>
  <c r="AC78" i="59" s="1"/>
  <c r="O77" i="59"/>
  <c r="R77" i="59" s="1"/>
  <c r="Q77" i="59" s="1"/>
  <c r="U77" i="59" s="1"/>
  <c r="V77" i="59" s="1"/>
  <c r="W77" i="59" s="1"/>
  <c r="O14" i="59"/>
  <c r="R14" i="59" s="1"/>
  <c r="O65" i="59"/>
  <c r="O43" i="59"/>
  <c r="AC43" i="59" s="1"/>
  <c r="O2" i="59"/>
  <c r="R2" i="59" s="1"/>
  <c r="Q2" i="59" s="1"/>
  <c r="U2" i="59" s="1"/>
  <c r="O114" i="59"/>
  <c r="R114" i="59" s="1"/>
  <c r="Q114" i="59" s="1"/>
  <c r="U114" i="59" s="1"/>
  <c r="O101" i="59"/>
  <c r="T101" i="59" s="1"/>
  <c r="O90" i="59"/>
  <c r="AC90" i="59" s="1"/>
  <c r="O13" i="59"/>
  <c r="R13" i="59" s="1"/>
  <c r="Q13" i="59" s="1"/>
  <c r="U13" i="59" s="1"/>
  <c r="O55" i="59"/>
  <c r="R55" i="59" s="1"/>
  <c r="Q55" i="59" s="1"/>
  <c r="U55" i="59" s="1"/>
  <c r="V55" i="59" s="1"/>
  <c r="W55" i="59" s="1"/>
  <c r="O12" i="59"/>
  <c r="R12" i="59" s="1"/>
  <c r="O30" i="59"/>
  <c r="AC30" i="59" s="1"/>
  <c r="AE30" i="59" s="1"/>
  <c r="O137" i="59"/>
  <c r="R137" i="59" s="1"/>
  <c r="Q137" i="59" s="1"/>
  <c r="U137" i="59" s="1"/>
  <c r="V137" i="59" s="1"/>
  <c r="W137" i="59" s="1"/>
  <c r="O112" i="59"/>
  <c r="T112" i="59" s="1"/>
  <c r="O100" i="59"/>
  <c r="T100" i="59" s="1"/>
  <c r="O18" i="59"/>
  <c r="R18" i="59" s="1"/>
  <c r="Q18" i="59" s="1"/>
  <c r="U18" i="59" s="1"/>
  <c r="V18" i="59" s="1"/>
  <c r="W18" i="59" s="1"/>
  <c r="O17" i="59"/>
  <c r="T17" i="59" s="1"/>
  <c r="O8" i="59"/>
  <c r="AC8" i="59" s="1"/>
  <c r="AE8" i="59" s="1"/>
  <c r="O7" i="59"/>
  <c r="AC7" i="59" s="1"/>
  <c r="O62" i="59"/>
  <c r="T62" i="59" s="1"/>
  <c r="O50" i="59"/>
  <c r="R50" i="59" s="1"/>
  <c r="O23" i="59"/>
  <c r="AC23" i="59" s="1"/>
  <c r="O15" i="59"/>
  <c r="R15" i="59" s="1"/>
  <c r="Q15" i="59" s="1"/>
  <c r="U15" i="59" s="1"/>
  <c r="V15" i="59" s="1"/>
  <c r="W15" i="59" s="1"/>
  <c r="X13" i="58"/>
  <c r="T13" i="58"/>
  <c r="I13" i="58"/>
  <c r="G8" i="52"/>
  <c r="H8" i="52" s="1"/>
  <c r="Z8" i="52"/>
  <c r="X8" i="52"/>
  <c r="O8" i="52"/>
  <c r="L4" i="42"/>
  <c r="K4" i="42"/>
  <c r="J4" i="42"/>
  <c r="H4" i="42"/>
  <c r="X3" i="58"/>
  <c r="X8" i="58"/>
  <c r="X7" i="58"/>
  <c r="X17" i="58"/>
  <c r="X6" i="58"/>
  <c r="AC17" i="58"/>
  <c r="I17" i="58"/>
  <c r="T3" i="58"/>
  <c r="I3" i="58"/>
  <c r="X25" i="55"/>
  <c r="X9" i="55"/>
  <c r="X51" i="59"/>
  <c r="I51" i="59"/>
  <c r="H51" i="59"/>
  <c r="O80" i="59"/>
  <c r="T80" i="59" s="1"/>
  <c r="AB57" i="59"/>
  <c r="X57" i="59"/>
  <c r="O57" i="59"/>
  <c r="T57" i="59" s="1"/>
  <c r="I57" i="59"/>
  <c r="H57" i="59"/>
  <c r="AB45" i="59"/>
  <c r="X45" i="59"/>
  <c r="O45" i="59"/>
  <c r="I45" i="59"/>
  <c r="H45" i="59"/>
  <c r="AB32" i="59"/>
  <c r="X32" i="59"/>
  <c r="O32" i="59"/>
  <c r="AC32" i="59" s="1"/>
  <c r="AE32" i="59" s="1"/>
  <c r="I32" i="59"/>
  <c r="H32" i="59"/>
  <c r="L3" i="42"/>
  <c r="K3" i="42"/>
  <c r="I3" i="42"/>
  <c r="H3" i="42"/>
  <c r="G3" i="42"/>
  <c r="Z51" i="59" s="1"/>
  <c r="H4" i="59"/>
  <c r="I4" i="59"/>
  <c r="H5" i="59"/>
  <c r="I5" i="59"/>
  <c r="H6" i="59"/>
  <c r="I6" i="59"/>
  <c r="H7" i="59"/>
  <c r="I7" i="59"/>
  <c r="H8" i="59"/>
  <c r="I8" i="59"/>
  <c r="H65" i="59"/>
  <c r="I65" i="59"/>
  <c r="H10" i="59"/>
  <c r="I10" i="59"/>
  <c r="H11" i="59"/>
  <c r="I11" i="59"/>
  <c r="H43" i="59"/>
  <c r="I43" i="59"/>
  <c r="H9" i="59"/>
  <c r="I9" i="59"/>
  <c r="H14" i="59"/>
  <c r="I14" i="59"/>
  <c r="H15" i="59"/>
  <c r="I15" i="59"/>
  <c r="H16" i="59"/>
  <c r="I16" i="59"/>
  <c r="H17" i="59"/>
  <c r="I17" i="59"/>
  <c r="H18" i="59"/>
  <c r="I18" i="59"/>
  <c r="H78" i="59"/>
  <c r="I78" i="59"/>
  <c r="H20" i="59"/>
  <c r="I20" i="59"/>
  <c r="H21" i="59"/>
  <c r="I21" i="59"/>
  <c r="H22" i="59"/>
  <c r="I22" i="59"/>
  <c r="H23" i="59"/>
  <c r="I23" i="59"/>
  <c r="H77" i="59"/>
  <c r="I77" i="59"/>
  <c r="H25" i="59"/>
  <c r="I25" i="59"/>
  <c r="H26" i="59"/>
  <c r="I26" i="59"/>
  <c r="H3" i="59"/>
  <c r="I3" i="59"/>
  <c r="H27" i="59"/>
  <c r="I27" i="59"/>
  <c r="H28" i="59"/>
  <c r="I28" i="59"/>
  <c r="H41" i="59"/>
  <c r="I41" i="59"/>
  <c r="H19" i="59"/>
  <c r="I19" i="59"/>
  <c r="H30" i="59"/>
  <c r="I30" i="59"/>
  <c r="H31" i="59"/>
  <c r="I31" i="59"/>
  <c r="H116" i="59"/>
  <c r="I116" i="59"/>
  <c r="H33" i="59"/>
  <c r="I33" i="59"/>
  <c r="H34" i="59"/>
  <c r="I34" i="59"/>
  <c r="H35" i="59"/>
  <c r="I35" i="59"/>
  <c r="H36" i="59"/>
  <c r="I36" i="59"/>
  <c r="H37" i="59"/>
  <c r="I37" i="59"/>
  <c r="H39" i="59"/>
  <c r="I39" i="59"/>
  <c r="H40" i="59"/>
  <c r="I40" i="59"/>
  <c r="H42" i="59"/>
  <c r="I42" i="59"/>
  <c r="H12" i="59"/>
  <c r="I12" i="59"/>
  <c r="H44" i="59"/>
  <c r="I44" i="59"/>
  <c r="H127" i="59"/>
  <c r="I127" i="59"/>
  <c r="H46" i="59"/>
  <c r="I46" i="59"/>
  <c r="H47" i="59"/>
  <c r="I47" i="59"/>
  <c r="H48" i="59"/>
  <c r="I48" i="59"/>
  <c r="H49" i="59"/>
  <c r="I49" i="59"/>
  <c r="H50" i="59"/>
  <c r="I50" i="59"/>
  <c r="H38" i="59"/>
  <c r="I38" i="59"/>
  <c r="H52" i="59"/>
  <c r="I52" i="59"/>
  <c r="H53" i="59"/>
  <c r="I53" i="59"/>
  <c r="H54" i="59"/>
  <c r="I54" i="59"/>
  <c r="H55" i="59"/>
  <c r="I55" i="59"/>
  <c r="H56" i="59"/>
  <c r="I56" i="59"/>
  <c r="H141" i="59"/>
  <c r="I141" i="59"/>
  <c r="H58" i="59"/>
  <c r="I58" i="59"/>
  <c r="H59" i="59"/>
  <c r="I59" i="59"/>
  <c r="H60" i="59"/>
  <c r="I60" i="59"/>
  <c r="H61" i="59"/>
  <c r="I61" i="59"/>
  <c r="H62" i="59"/>
  <c r="I62" i="59"/>
  <c r="H63" i="59"/>
  <c r="I63" i="59"/>
  <c r="H64" i="59"/>
  <c r="I64" i="59"/>
  <c r="H24" i="59"/>
  <c r="I24" i="59"/>
  <c r="H66" i="59"/>
  <c r="I66" i="59"/>
  <c r="H67" i="59"/>
  <c r="I67" i="59"/>
  <c r="H68" i="59"/>
  <c r="I68" i="59"/>
  <c r="H69" i="59"/>
  <c r="I69" i="59"/>
  <c r="H70" i="59"/>
  <c r="I70" i="59"/>
  <c r="H71" i="59"/>
  <c r="I71" i="59"/>
  <c r="H72" i="59"/>
  <c r="I72" i="59"/>
  <c r="H73" i="59"/>
  <c r="I73" i="59"/>
  <c r="H74" i="59"/>
  <c r="I74" i="59"/>
  <c r="H75" i="59"/>
  <c r="I75" i="59"/>
  <c r="H76" i="59"/>
  <c r="I76" i="59"/>
  <c r="H29" i="59"/>
  <c r="I29" i="59"/>
  <c r="H13" i="59"/>
  <c r="I13" i="59"/>
  <c r="H79" i="59"/>
  <c r="I79" i="59"/>
  <c r="H80" i="59"/>
  <c r="I80" i="59"/>
  <c r="H81" i="59"/>
  <c r="I81" i="59"/>
  <c r="H82" i="59"/>
  <c r="I82" i="59"/>
  <c r="H83" i="59"/>
  <c r="I83" i="59"/>
  <c r="H84" i="59"/>
  <c r="I84" i="59"/>
  <c r="H85" i="59"/>
  <c r="I85" i="59"/>
  <c r="H86" i="59"/>
  <c r="I86" i="59"/>
  <c r="H87" i="59"/>
  <c r="I87" i="59"/>
  <c r="H88" i="59"/>
  <c r="I88" i="59"/>
  <c r="H89" i="59"/>
  <c r="I89" i="59"/>
  <c r="H90" i="59"/>
  <c r="I90" i="59"/>
  <c r="H91" i="59"/>
  <c r="I91" i="59"/>
  <c r="H92" i="59"/>
  <c r="I92" i="59"/>
  <c r="H93" i="59"/>
  <c r="I93" i="59"/>
  <c r="H94" i="59"/>
  <c r="I94" i="59"/>
  <c r="H95" i="59"/>
  <c r="I95" i="59"/>
  <c r="H96" i="59"/>
  <c r="I96" i="59"/>
  <c r="H97" i="59"/>
  <c r="I97" i="59"/>
  <c r="H98" i="59"/>
  <c r="I98" i="59"/>
  <c r="H99" i="59"/>
  <c r="I99" i="59"/>
  <c r="H100" i="59"/>
  <c r="I100" i="59"/>
  <c r="H101" i="59"/>
  <c r="I101" i="59"/>
  <c r="H102" i="59"/>
  <c r="I102" i="59"/>
  <c r="H103" i="59"/>
  <c r="I103" i="59"/>
  <c r="H104" i="59"/>
  <c r="I104" i="59"/>
  <c r="H105" i="59"/>
  <c r="I105" i="59"/>
  <c r="H106" i="59"/>
  <c r="I106" i="59"/>
  <c r="H107" i="59"/>
  <c r="I107" i="59"/>
  <c r="H108" i="59"/>
  <c r="I108" i="59"/>
  <c r="H109" i="59"/>
  <c r="I109" i="59"/>
  <c r="H110" i="59"/>
  <c r="I110" i="59"/>
  <c r="H111" i="59"/>
  <c r="I111" i="59"/>
  <c r="H112" i="59"/>
  <c r="I112" i="59"/>
  <c r="H113" i="59"/>
  <c r="I113" i="59"/>
  <c r="H114" i="59"/>
  <c r="I114" i="59"/>
  <c r="H115" i="59"/>
  <c r="I115" i="59"/>
  <c r="H117" i="59"/>
  <c r="I117" i="59"/>
  <c r="H118" i="59"/>
  <c r="I118" i="59"/>
  <c r="H119" i="59"/>
  <c r="I119" i="59"/>
  <c r="H120" i="59"/>
  <c r="I120" i="59"/>
  <c r="H121" i="59"/>
  <c r="I121" i="59"/>
  <c r="H122" i="59"/>
  <c r="I122" i="59"/>
  <c r="H123" i="59"/>
  <c r="I123" i="59"/>
  <c r="H124" i="59"/>
  <c r="I124" i="59"/>
  <c r="H125" i="59"/>
  <c r="I125" i="59"/>
  <c r="H126" i="59"/>
  <c r="I126" i="59"/>
  <c r="H128" i="59"/>
  <c r="I128" i="59"/>
  <c r="H129" i="59"/>
  <c r="I129" i="59"/>
  <c r="H130" i="59"/>
  <c r="I130" i="59"/>
  <c r="H131" i="59"/>
  <c r="I131" i="59"/>
  <c r="H132" i="59"/>
  <c r="I132" i="59"/>
  <c r="H133" i="59"/>
  <c r="I133" i="59"/>
  <c r="H134" i="59"/>
  <c r="I134" i="59"/>
  <c r="H135" i="59"/>
  <c r="I135" i="59"/>
  <c r="H136" i="59"/>
  <c r="I136" i="59"/>
  <c r="H137" i="59"/>
  <c r="I137" i="59"/>
  <c r="H138" i="59"/>
  <c r="I138" i="59"/>
  <c r="H139" i="59"/>
  <c r="I139" i="59"/>
  <c r="H140" i="59"/>
  <c r="I140" i="59"/>
  <c r="H142" i="59"/>
  <c r="I142" i="59"/>
  <c r="H143" i="59"/>
  <c r="I143" i="59"/>
  <c r="H144" i="59"/>
  <c r="I144" i="59"/>
  <c r="H145" i="59"/>
  <c r="I145" i="59"/>
  <c r="H146" i="59"/>
  <c r="I146" i="59"/>
  <c r="X11" i="55"/>
  <c r="X17" i="55"/>
  <c r="X12" i="55"/>
  <c r="AC12" i="55"/>
  <c r="AE12" i="55" s="1"/>
  <c r="X18" i="55"/>
  <c r="X8" i="55"/>
  <c r="X16" i="55"/>
  <c r="X15" i="55"/>
  <c r="T8" i="58"/>
  <c r="R6" i="58"/>
  <c r="N6" i="58" s="1"/>
  <c r="P6" i="58" s="1"/>
  <c r="T7" i="58"/>
  <c r="H16" i="54"/>
  <c r="H9" i="42"/>
  <c r="I9" i="42"/>
  <c r="L9" i="42"/>
  <c r="K9" i="42"/>
  <c r="H12" i="54"/>
  <c r="AC6" i="58"/>
  <c r="T12" i="55"/>
  <c r="G9" i="42"/>
  <c r="Z49" i="53" s="1"/>
  <c r="I65" i="53"/>
  <c r="I4" i="53"/>
  <c r="I5" i="53"/>
  <c r="I6" i="53"/>
  <c r="I7" i="53"/>
  <c r="I8" i="53"/>
  <c r="I9" i="53"/>
  <c r="I10" i="53"/>
  <c r="I11" i="53"/>
  <c r="I12" i="53"/>
  <c r="I13" i="53"/>
  <c r="I14" i="53"/>
  <c r="I15" i="53"/>
  <c r="I17" i="53"/>
  <c r="I3" i="53"/>
  <c r="H65" i="53"/>
  <c r="H4" i="53"/>
  <c r="H5" i="53"/>
  <c r="H6" i="53"/>
  <c r="H7" i="53"/>
  <c r="H8" i="53"/>
  <c r="H9" i="53"/>
  <c r="H10" i="53"/>
  <c r="H11" i="53"/>
  <c r="H12" i="53"/>
  <c r="H13" i="53"/>
  <c r="H14" i="53"/>
  <c r="H15" i="53"/>
  <c r="H17" i="53"/>
  <c r="H3" i="53"/>
  <c r="O65" i="53"/>
  <c r="R65" i="53" s="1"/>
  <c r="O4" i="53"/>
  <c r="R4" i="53" s="1"/>
  <c r="Q4" i="53" s="1"/>
  <c r="U4" i="53" s="1"/>
  <c r="V4" i="53" s="1"/>
  <c r="W4" i="53" s="1"/>
  <c r="O5" i="53"/>
  <c r="AC5" i="53" s="1"/>
  <c r="O6" i="53"/>
  <c r="AC6" i="53" s="1"/>
  <c r="O7" i="53"/>
  <c r="R7" i="53" s="1"/>
  <c r="N7" i="53" s="1"/>
  <c r="O8" i="53"/>
  <c r="O9" i="53"/>
  <c r="R9" i="53"/>
  <c r="Q9" i="53" s="1"/>
  <c r="U9" i="53" s="1"/>
  <c r="V9" i="53" s="1"/>
  <c r="W9" i="53" s="1"/>
  <c r="O10" i="53"/>
  <c r="AC10" i="53" s="1"/>
  <c r="O11" i="53"/>
  <c r="O12" i="53"/>
  <c r="R12" i="53" s="1"/>
  <c r="O13" i="53"/>
  <c r="O14" i="53"/>
  <c r="R14" i="53" s="1"/>
  <c r="N14" i="53" s="1"/>
  <c r="O15" i="53"/>
  <c r="T15" i="53" s="1"/>
  <c r="O17" i="53"/>
  <c r="O18" i="53"/>
  <c r="O20" i="53"/>
  <c r="R20" i="53" s="1"/>
  <c r="Q20" i="53" s="1"/>
  <c r="U20" i="53" s="1"/>
  <c r="O21" i="53"/>
  <c r="AC21" i="53" s="1"/>
  <c r="O72" i="53"/>
  <c r="R72" i="53" s="1"/>
  <c r="O73" i="53"/>
  <c r="AC73" i="53" s="1"/>
  <c r="O19" i="53"/>
  <c r="R19" i="53" s="1"/>
  <c r="N19" i="53" s="1"/>
  <c r="P19" i="53" s="1"/>
  <c r="O22" i="53"/>
  <c r="R22" i="53" s="1"/>
  <c r="O23" i="53"/>
  <c r="AC23" i="53" s="1"/>
  <c r="O66" i="53"/>
  <c r="R66" i="53"/>
  <c r="Q66" i="53" s="1"/>
  <c r="U66" i="53" s="1"/>
  <c r="V66" i="53" s="1"/>
  <c r="W66" i="53" s="1"/>
  <c r="O24" i="53"/>
  <c r="T24" i="53" s="1"/>
  <c r="O25" i="53"/>
  <c r="R25" i="53"/>
  <c r="Q25" i="53" s="1"/>
  <c r="U25" i="53" s="1"/>
  <c r="V25" i="53" s="1"/>
  <c r="W25" i="53" s="1"/>
  <c r="O26" i="53"/>
  <c r="AC26" i="53" s="1"/>
  <c r="O27" i="53"/>
  <c r="R27" i="53"/>
  <c r="O62" i="53"/>
  <c r="O64" i="53"/>
  <c r="R64" i="53" s="1"/>
  <c r="O2" i="53"/>
  <c r="AC2" i="53" s="1"/>
  <c r="O28" i="53"/>
  <c r="AC28" i="53" s="1"/>
  <c r="O77" i="53"/>
  <c r="R77" i="53" s="1"/>
  <c r="Q77" i="53" s="1"/>
  <c r="U77" i="53" s="1"/>
  <c r="O29" i="53"/>
  <c r="T29" i="53" s="1"/>
  <c r="O30" i="53"/>
  <c r="T30" i="53" s="1"/>
  <c r="O31" i="53"/>
  <c r="T31" i="53" s="1"/>
  <c r="O32" i="53"/>
  <c r="R32" i="53" s="1"/>
  <c r="N32" i="53" s="1"/>
  <c r="P32" i="53" s="1"/>
  <c r="O33" i="53"/>
  <c r="O34" i="53"/>
  <c r="R34" i="53"/>
  <c r="Q34" i="53" s="1"/>
  <c r="U34" i="53" s="1"/>
  <c r="V34" i="53" s="1"/>
  <c r="W34" i="53" s="1"/>
  <c r="O35" i="53"/>
  <c r="R35" i="53" s="1"/>
  <c r="N35" i="53" s="1"/>
  <c r="P35" i="53" s="1"/>
  <c r="O36" i="53"/>
  <c r="R36" i="53"/>
  <c r="O37" i="53"/>
  <c r="T37" i="53" s="1"/>
  <c r="O38" i="53"/>
  <c r="AC38" i="53" s="1"/>
  <c r="O39" i="53"/>
  <c r="R39" i="53" s="1"/>
  <c r="Q39" i="53" s="1"/>
  <c r="U39" i="53" s="1"/>
  <c r="V39" i="53" s="1"/>
  <c r="W39" i="53" s="1"/>
  <c r="O40" i="53"/>
  <c r="T40" i="53" s="1"/>
  <c r="O42" i="53"/>
  <c r="R42" i="53" s="1"/>
  <c r="O16" i="53"/>
  <c r="AC16" i="53" s="1"/>
  <c r="O44" i="53"/>
  <c r="AC44" i="53" s="1"/>
  <c r="O45" i="53"/>
  <c r="O46" i="53"/>
  <c r="R46" i="53" s="1"/>
  <c r="Q46" i="53" s="1"/>
  <c r="U46" i="53" s="1"/>
  <c r="O79" i="53"/>
  <c r="R79" i="53" s="1"/>
  <c r="Q79" i="53" s="1"/>
  <c r="U79" i="53" s="1"/>
  <c r="V79" i="53" s="1"/>
  <c r="W79" i="53" s="1"/>
  <c r="O71" i="53"/>
  <c r="R71" i="53" s="1"/>
  <c r="Q71" i="53" s="1"/>
  <c r="U71" i="53" s="1"/>
  <c r="V71" i="53" s="1"/>
  <c r="W71" i="53" s="1"/>
  <c r="O47" i="53"/>
  <c r="R47" i="53" s="1"/>
  <c r="Q47" i="53" s="1"/>
  <c r="U47" i="53" s="1"/>
  <c r="V47" i="53" s="1"/>
  <c r="W47" i="53" s="1"/>
  <c r="O48" i="53"/>
  <c r="T48" i="53" s="1"/>
  <c r="O49" i="53"/>
  <c r="R49" i="53" s="1"/>
  <c r="O50" i="53"/>
  <c r="T50" i="53" s="1"/>
  <c r="O51" i="53"/>
  <c r="R51" i="53" s="1"/>
  <c r="O52" i="53"/>
  <c r="R52" i="53" s="1"/>
  <c r="O53" i="53"/>
  <c r="R53" i="53" s="1"/>
  <c r="O54" i="53"/>
  <c r="R54" i="53" s="1"/>
  <c r="Q54" i="53" s="1"/>
  <c r="U54" i="53" s="1"/>
  <c r="O55" i="53"/>
  <c r="AC55" i="53" s="1"/>
  <c r="O56" i="53"/>
  <c r="R56" i="53" s="1"/>
  <c r="Q56" i="53" s="1"/>
  <c r="U56" i="53" s="1"/>
  <c r="V56" i="53" s="1"/>
  <c r="W56" i="53" s="1"/>
  <c r="O74" i="53"/>
  <c r="AC74" i="53" s="1"/>
  <c r="O41" i="53"/>
  <c r="R41" i="53" s="1"/>
  <c r="O75" i="53"/>
  <c r="T75" i="53" s="1"/>
  <c r="O57" i="53"/>
  <c r="R57" i="53" s="1"/>
  <c r="O58" i="53"/>
  <c r="T58" i="53" s="1"/>
  <c r="O76" i="53"/>
  <c r="R76" i="53" s="1"/>
  <c r="O59" i="53"/>
  <c r="R59" i="53" s="1"/>
  <c r="Q59" i="53" s="1"/>
  <c r="U59" i="53" s="1"/>
  <c r="V59" i="53" s="1"/>
  <c r="W59" i="53" s="1"/>
  <c r="O60" i="53"/>
  <c r="O61" i="53"/>
  <c r="T61" i="53" s="1"/>
  <c r="O43" i="53"/>
  <c r="T43" i="53" s="1"/>
  <c r="O63" i="53"/>
  <c r="T63" i="53" s="1"/>
  <c r="R63" i="53"/>
  <c r="N63" i="53" s="1"/>
  <c r="P63" i="53" s="1"/>
  <c r="O68" i="53"/>
  <c r="O69" i="53"/>
  <c r="R69" i="53" s="1"/>
  <c r="O108" i="53"/>
  <c r="R108" i="53" s="1"/>
  <c r="Q108" i="53" s="1"/>
  <c r="U108" i="53" s="1"/>
  <c r="V108" i="53" s="1"/>
  <c r="W108" i="53" s="1"/>
  <c r="O70" i="53"/>
  <c r="R70" i="53" s="1"/>
  <c r="Q70" i="53" s="1"/>
  <c r="U70" i="53" s="1"/>
  <c r="V70" i="53" s="1"/>
  <c r="W70" i="53" s="1"/>
  <c r="O100" i="53"/>
  <c r="R100" i="53" s="1"/>
  <c r="Q100" i="53" s="1"/>
  <c r="U100" i="53" s="1"/>
  <c r="V100" i="53" s="1"/>
  <c r="W100" i="53" s="1"/>
  <c r="O101" i="53"/>
  <c r="T101" i="53" s="1"/>
  <c r="O102" i="53"/>
  <c r="T102" i="53" s="1"/>
  <c r="O103" i="53"/>
  <c r="O104" i="53"/>
  <c r="R104" i="53" s="1"/>
  <c r="N104" i="53" s="1"/>
  <c r="P104" i="53" s="1"/>
  <c r="O106" i="53"/>
  <c r="O105" i="53"/>
  <c r="R105" i="53"/>
  <c r="N105" i="53" s="1"/>
  <c r="P105" i="53" s="1"/>
  <c r="O99" i="53"/>
  <c r="R99" i="53" s="1"/>
  <c r="O107" i="53"/>
  <c r="R107" i="53" s="1"/>
  <c r="N107" i="53" s="1"/>
  <c r="P107" i="53" s="1"/>
  <c r="O67" i="53"/>
  <c r="R67" i="53" s="1"/>
  <c r="Q67" i="53" s="1"/>
  <c r="U67" i="53" s="1"/>
  <c r="V67" i="53" s="1"/>
  <c r="W67" i="53" s="1"/>
  <c r="O109" i="53"/>
  <c r="O78" i="53"/>
  <c r="R78" i="53" s="1"/>
  <c r="Q78" i="53" s="1"/>
  <c r="U78" i="53" s="1"/>
  <c r="V78" i="53" s="1"/>
  <c r="W78" i="53" s="1"/>
  <c r="O110" i="53"/>
  <c r="O111" i="53"/>
  <c r="O112" i="53"/>
  <c r="AC112" i="53" s="1"/>
  <c r="O113" i="53"/>
  <c r="R113" i="53" s="1"/>
  <c r="Q113" i="53" s="1"/>
  <c r="U113" i="53" s="1"/>
  <c r="V113" i="53" s="1"/>
  <c r="W113" i="53" s="1"/>
  <c r="O114" i="53"/>
  <c r="O115" i="53"/>
  <c r="R115" i="53" s="1"/>
  <c r="N115" i="53" s="1"/>
  <c r="P115" i="53" s="1"/>
  <c r="O116" i="53"/>
  <c r="T116" i="53" s="1"/>
  <c r="O80" i="53"/>
  <c r="AC80" i="53" s="1"/>
  <c r="O128" i="53"/>
  <c r="R128" i="53" s="1"/>
  <c r="Q128" i="53" s="1"/>
  <c r="U128" i="53" s="1"/>
  <c r="V128" i="53" s="1"/>
  <c r="W128" i="53" s="1"/>
  <c r="O119" i="53"/>
  <c r="AC119" i="53" s="1"/>
  <c r="O129" i="53"/>
  <c r="O117" i="53"/>
  <c r="AC117" i="53" s="1"/>
  <c r="O118" i="53"/>
  <c r="R118" i="53" s="1"/>
  <c r="Q118" i="53" s="1"/>
  <c r="U118" i="53" s="1"/>
  <c r="V118" i="53" s="1"/>
  <c r="W118" i="53" s="1"/>
  <c r="O133" i="53"/>
  <c r="O134" i="53"/>
  <c r="R134" i="53" s="1"/>
  <c r="N134" i="53" s="1"/>
  <c r="P134" i="53" s="1"/>
  <c r="O120" i="53"/>
  <c r="R120" i="53" s="1"/>
  <c r="Q120" i="53" s="1"/>
  <c r="U120" i="53" s="1"/>
  <c r="O121" i="53"/>
  <c r="R121" i="53" s="1"/>
  <c r="Q121" i="53" s="1"/>
  <c r="U121" i="53" s="1"/>
  <c r="V121" i="53" s="1"/>
  <c r="W121" i="53" s="1"/>
  <c r="O126" i="53"/>
  <c r="R126" i="53" s="1"/>
  <c r="Q126" i="53" s="1"/>
  <c r="U126" i="53" s="1"/>
  <c r="V126" i="53" s="1"/>
  <c r="W126" i="53" s="1"/>
  <c r="O122" i="53"/>
  <c r="O123" i="53"/>
  <c r="O124" i="53"/>
  <c r="T124" i="53" s="1"/>
  <c r="O127" i="53"/>
  <c r="R127" i="53" s="1"/>
  <c r="O125" i="53"/>
  <c r="O81" i="53"/>
  <c r="R81" i="53" s="1"/>
  <c r="O85" i="53"/>
  <c r="R85" i="53" s="1"/>
  <c r="O82" i="53"/>
  <c r="O83" i="53"/>
  <c r="R83" i="53" s="1"/>
  <c r="Q83" i="53" s="1"/>
  <c r="O84" i="53"/>
  <c r="R84" i="53" s="1"/>
  <c r="Q84" i="53" s="1"/>
  <c r="U84" i="53" s="1"/>
  <c r="V84" i="53" s="1"/>
  <c r="W84" i="53" s="1"/>
  <c r="O86" i="53"/>
  <c r="T86" i="53" s="1"/>
  <c r="O87" i="53"/>
  <c r="R87" i="53" s="1"/>
  <c r="Q87" i="53" s="1"/>
  <c r="U87" i="53" s="1"/>
  <c r="V87" i="53" s="1"/>
  <c r="W87" i="53" s="1"/>
  <c r="O147" i="53"/>
  <c r="R147" i="53" s="1"/>
  <c r="N147" i="53" s="1"/>
  <c r="P147" i="53" s="1"/>
  <c r="O139" i="53"/>
  <c r="R139" i="53" s="1"/>
  <c r="Q139" i="53" s="1"/>
  <c r="U139" i="53" s="1"/>
  <c r="V139" i="53" s="1"/>
  <c r="W139" i="53" s="1"/>
  <c r="O140" i="53"/>
  <c r="R140" i="53" s="1"/>
  <c r="Q140" i="53" s="1"/>
  <c r="U140" i="53" s="1"/>
  <c r="V140" i="53" s="1"/>
  <c r="W140" i="53" s="1"/>
  <c r="O88" i="53"/>
  <c r="T88" i="53" s="1"/>
  <c r="O89" i="53"/>
  <c r="R89" i="53" s="1"/>
  <c r="N89" i="53" s="1"/>
  <c r="P89" i="53" s="1"/>
  <c r="O138" i="53"/>
  <c r="R138" i="53" s="1"/>
  <c r="Q138" i="53" s="1"/>
  <c r="U138" i="53" s="1"/>
  <c r="V138" i="53" s="1"/>
  <c r="W138" i="53" s="1"/>
  <c r="O141" i="53"/>
  <c r="R141" i="53" s="1"/>
  <c r="O142" i="53"/>
  <c r="AC142" i="53" s="1"/>
  <c r="O90" i="53"/>
  <c r="R90" i="53" s="1"/>
  <c r="Q90" i="53" s="1"/>
  <c r="U90" i="53" s="1"/>
  <c r="V90" i="53" s="1"/>
  <c r="W90" i="53" s="1"/>
  <c r="O131" i="53"/>
  <c r="R131" i="53" s="1"/>
  <c r="Q131" i="53" s="1"/>
  <c r="U131" i="53" s="1"/>
  <c r="V131" i="53" s="1"/>
  <c r="W131" i="53" s="1"/>
  <c r="O91" i="53"/>
  <c r="T91" i="53" s="1"/>
  <c r="O130" i="53"/>
  <c r="R130" i="53" s="1"/>
  <c r="O132" i="53"/>
  <c r="AC132" i="53" s="1"/>
  <c r="O135" i="53"/>
  <c r="AC135" i="53" s="1"/>
  <c r="O144" i="53"/>
  <c r="R144" i="53" s="1"/>
  <c r="Q144" i="53" s="1"/>
  <c r="U144" i="53" s="1"/>
  <c r="V144" i="53" s="1"/>
  <c r="W144" i="53" s="1"/>
  <c r="O92" i="53"/>
  <c r="R92" i="53" s="1"/>
  <c r="O94" i="53"/>
  <c r="O145" i="53"/>
  <c r="T145" i="53" s="1"/>
  <c r="O146" i="53"/>
  <c r="R146" i="53" s="1"/>
  <c r="N146" i="53" s="1"/>
  <c r="P146" i="53" s="1"/>
  <c r="O97" i="53"/>
  <c r="R97" i="53" s="1"/>
  <c r="Q97" i="53" s="1"/>
  <c r="U97" i="53" s="1"/>
  <c r="O96" i="53"/>
  <c r="O143" i="53"/>
  <c r="O148" i="53"/>
  <c r="R148" i="53" s="1"/>
  <c r="N148" i="53" s="1"/>
  <c r="P148" i="53" s="1"/>
  <c r="O95" i="53"/>
  <c r="R95" i="53" s="1"/>
  <c r="Q95" i="53" s="1"/>
  <c r="U95" i="53" s="1"/>
  <c r="O93" i="53"/>
  <c r="O136" i="53"/>
  <c r="R136" i="53" s="1"/>
  <c r="N136" i="53" s="1"/>
  <c r="P136" i="53" s="1"/>
  <c r="O137" i="53"/>
  <c r="R137" i="53" s="1"/>
  <c r="N137" i="53" s="1"/>
  <c r="P137" i="53" s="1"/>
  <c r="O98" i="53"/>
  <c r="N121" i="53"/>
  <c r="P121" i="53" s="1"/>
  <c r="H33" i="54"/>
  <c r="H32" i="54"/>
  <c r="H31" i="54"/>
  <c r="H30" i="54"/>
  <c r="K17" i="51"/>
  <c r="J17" i="51"/>
  <c r="I17" i="51"/>
  <c r="H17" i="51"/>
  <c r="F17" i="51"/>
  <c r="E17" i="51"/>
  <c r="D17" i="51"/>
  <c r="X4" i="59"/>
  <c r="X5" i="59"/>
  <c r="X6" i="59"/>
  <c r="X7" i="59"/>
  <c r="X8" i="59"/>
  <c r="X65" i="59"/>
  <c r="X10" i="59"/>
  <c r="X11" i="59"/>
  <c r="X43" i="59"/>
  <c r="X9" i="59"/>
  <c r="X14" i="59"/>
  <c r="X15" i="59"/>
  <c r="X16" i="59"/>
  <c r="X17" i="59"/>
  <c r="X18" i="59"/>
  <c r="X78" i="59"/>
  <c r="X20" i="59"/>
  <c r="X21" i="59"/>
  <c r="X22" i="59"/>
  <c r="X23" i="59"/>
  <c r="X77" i="59"/>
  <c r="X25" i="59"/>
  <c r="X26" i="59"/>
  <c r="X3" i="59"/>
  <c r="X27" i="59"/>
  <c r="X28" i="59"/>
  <c r="X41" i="59"/>
  <c r="X19" i="59"/>
  <c r="X30" i="59"/>
  <c r="X31" i="59"/>
  <c r="X116" i="59"/>
  <c r="X33" i="59"/>
  <c r="X34" i="59"/>
  <c r="X35" i="59"/>
  <c r="X36" i="59"/>
  <c r="X37" i="59"/>
  <c r="X39" i="59"/>
  <c r="X40" i="59"/>
  <c r="X42" i="59"/>
  <c r="X12" i="59"/>
  <c r="X44" i="59"/>
  <c r="X127" i="59"/>
  <c r="X46" i="59"/>
  <c r="X47" i="59"/>
  <c r="X48" i="59"/>
  <c r="X49" i="59"/>
  <c r="X50" i="59"/>
  <c r="X38" i="59"/>
  <c r="X52" i="59"/>
  <c r="X53" i="59"/>
  <c r="X54" i="59"/>
  <c r="X55" i="59"/>
  <c r="X56" i="59"/>
  <c r="X141" i="59"/>
  <c r="X58" i="59"/>
  <c r="X59" i="59"/>
  <c r="X60" i="59"/>
  <c r="X61" i="59"/>
  <c r="X62" i="59"/>
  <c r="X63" i="59"/>
  <c r="X64" i="59"/>
  <c r="X24" i="59"/>
  <c r="X66" i="59"/>
  <c r="X67" i="59"/>
  <c r="X68" i="59"/>
  <c r="X69" i="59"/>
  <c r="X70" i="59"/>
  <c r="X71" i="59"/>
  <c r="X72" i="59"/>
  <c r="X73" i="59"/>
  <c r="X74" i="59"/>
  <c r="X75" i="59"/>
  <c r="X76" i="59"/>
  <c r="X29" i="59"/>
  <c r="X13" i="59"/>
  <c r="X79" i="59"/>
  <c r="X80" i="59"/>
  <c r="X81" i="59"/>
  <c r="X82" i="59"/>
  <c r="X83" i="59"/>
  <c r="X84" i="59"/>
  <c r="X85" i="59"/>
  <c r="X86" i="59"/>
  <c r="X87" i="59"/>
  <c r="X88" i="59"/>
  <c r="X89" i="59"/>
  <c r="X90" i="59"/>
  <c r="X91" i="59"/>
  <c r="X92" i="59"/>
  <c r="X93" i="59"/>
  <c r="X94" i="59"/>
  <c r="X95" i="59"/>
  <c r="X96" i="59"/>
  <c r="X97" i="59"/>
  <c r="X98" i="59"/>
  <c r="X99" i="59"/>
  <c r="X100" i="59"/>
  <c r="X101" i="59"/>
  <c r="X102" i="59"/>
  <c r="X103" i="59"/>
  <c r="X104" i="59"/>
  <c r="X105" i="59"/>
  <c r="X106" i="59"/>
  <c r="X107" i="59"/>
  <c r="X108" i="59"/>
  <c r="X109" i="59"/>
  <c r="X110" i="59"/>
  <c r="X111" i="59"/>
  <c r="X112" i="59"/>
  <c r="X113" i="59"/>
  <c r="X114" i="59"/>
  <c r="X115" i="59"/>
  <c r="X117" i="59"/>
  <c r="X118" i="59"/>
  <c r="X119" i="59"/>
  <c r="X120" i="59"/>
  <c r="X121" i="59"/>
  <c r="X122" i="59"/>
  <c r="X123" i="59"/>
  <c r="X124" i="59"/>
  <c r="X125" i="59"/>
  <c r="X126" i="59"/>
  <c r="X128" i="59"/>
  <c r="X129" i="59"/>
  <c r="X130" i="59"/>
  <c r="X131" i="59"/>
  <c r="X132" i="59"/>
  <c r="X133" i="59"/>
  <c r="X134" i="59"/>
  <c r="X135" i="59"/>
  <c r="X136" i="59"/>
  <c r="X137" i="59"/>
  <c r="X138" i="59"/>
  <c r="X139" i="59"/>
  <c r="X140" i="59"/>
  <c r="X142" i="59"/>
  <c r="X143" i="59"/>
  <c r="X144" i="59"/>
  <c r="X145" i="59"/>
  <c r="X146" i="59"/>
  <c r="X2" i="59"/>
  <c r="AB15" i="59"/>
  <c r="AB134" i="59"/>
  <c r="AB135" i="59"/>
  <c r="AB76" i="59"/>
  <c r="AB122" i="59"/>
  <c r="AB4" i="59"/>
  <c r="AB41" i="59"/>
  <c r="AB136" i="59"/>
  <c r="AB89" i="59"/>
  <c r="AB5" i="59"/>
  <c r="AB138" i="59"/>
  <c r="AB20" i="59"/>
  <c r="AB6" i="59"/>
  <c r="AB21" i="59"/>
  <c r="AB80" i="59"/>
  <c r="AB92" i="59"/>
  <c r="AB113" i="59"/>
  <c r="AB58" i="59"/>
  <c r="AB33" i="59"/>
  <c r="AB22" i="59"/>
  <c r="AB59" i="59"/>
  <c r="AB93" i="59"/>
  <c r="AB34" i="59"/>
  <c r="AB46" i="59"/>
  <c r="AB23" i="59"/>
  <c r="AB82" i="59"/>
  <c r="AB104" i="59"/>
  <c r="AB94" i="59"/>
  <c r="AB35" i="59"/>
  <c r="AB47" i="59"/>
  <c r="AB105" i="59"/>
  <c r="AB129" i="59"/>
  <c r="AB10" i="59"/>
  <c r="AB95" i="59"/>
  <c r="AB117" i="59"/>
  <c r="AB64" i="59"/>
  <c r="AB144" i="59"/>
  <c r="AB48" i="59"/>
  <c r="AB25" i="59"/>
  <c r="AB106" i="59"/>
  <c r="AB130" i="59"/>
  <c r="AB11" i="59"/>
  <c r="AB118" i="59"/>
  <c r="AB66" i="59"/>
  <c r="AB145" i="59"/>
  <c r="AB39" i="59"/>
  <c r="AB3" i="59"/>
  <c r="AB69" i="59"/>
  <c r="AB98" i="59"/>
  <c r="AB70" i="59"/>
  <c r="AB40" i="59"/>
  <c r="AB27" i="59"/>
  <c r="AB71" i="59"/>
  <c r="AB87" i="59"/>
  <c r="AB99" i="59"/>
  <c r="AB52" i="59"/>
  <c r="AB28" i="59"/>
  <c r="AB73" i="59"/>
  <c r="AB110" i="59"/>
  <c r="J32" i="42"/>
  <c r="AB42" i="59" s="1"/>
  <c r="AB137" i="59"/>
  <c r="J33" i="42"/>
  <c r="AB51" i="59" s="1"/>
  <c r="J31" i="42"/>
  <c r="AB116" i="59"/>
  <c r="I2" i="59"/>
  <c r="H2" i="59"/>
  <c r="O73" i="59"/>
  <c r="R73" i="59" s="1"/>
  <c r="Q73" i="59" s="1"/>
  <c r="U73" i="59" s="1"/>
  <c r="O28" i="59"/>
  <c r="R28" i="59" s="1"/>
  <c r="Q28" i="59" s="1"/>
  <c r="U28" i="59" s="1"/>
  <c r="O42" i="59"/>
  <c r="O40" i="59"/>
  <c r="R40" i="59" s="1"/>
  <c r="Q40" i="59" s="1"/>
  <c r="U40" i="59" s="1"/>
  <c r="V40" i="59" s="1"/>
  <c r="W40" i="59" s="1"/>
  <c r="O70" i="59"/>
  <c r="T70" i="59" s="1"/>
  <c r="O120" i="59"/>
  <c r="AC120" i="59" s="1"/>
  <c r="O98" i="59"/>
  <c r="AC98" i="59" s="1"/>
  <c r="AE98" i="59" s="1"/>
  <c r="O9" i="59"/>
  <c r="T9" i="59" s="1"/>
  <c r="O132" i="59"/>
  <c r="R132" i="59" s="1"/>
  <c r="Q132" i="59" s="1"/>
  <c r="U132" i="59" s="1"/>
  <c r="V132" i="59" s="1"/>
  <c r="W132" i="59" s="1"/>
  <c r="O108" i="59"/>
  <c r="R108" i="59" s="1"/>
  <c r="N108" i="59" s="1"/>
  <c r="O86" i="59"/>
  <c r="T86" i="59" s="1"/>
  <c r="O69" i="59"/>
  <c r="AC69" i="59" s="1"/>
  <c r="AE69" i="59" s="1"/>
  <c r="O3" i="59"/>
  <c r="R3" i="59" s="1"/>
  <c r="Q3" i="59" s="1"/>
  <c r="U3" i="59" s="1"/>
  <c r="V3" i="59" s="1"/>
  <c r="W3" i="59" s="1"/>
  <c r="O97" i="59"/>
  <c r="O85" i="59"/>
  <c r="R85" i="59" s="1"/>
  <c r="O67" i="59"/>
  <c r="R67" i="59" s="1"/>
  <c r="Q67" i="59" s="1"/>
  <c r="U67" i="59" s="1"/>
  <c r="V67" i="59" s="1"/>
  <c r="W67" i="59" s="1"/>
  <c r="O37" i="59"/>
  <c r="AC37" i="59" s="1"/>
  <c r="AE37" i="59" s="1"/>
  <c r="O145" i="59"/>
  <c r="T145" i="59" s="1"/>
  <c r="O66" i="59"/>
  <c r="O118" i="59"/>
  <c r="AC118" i="59" s="1"/>
  <c r="AD118" i="59" s="1"/>
  <c r="O96" i="59"/>
  <c r="R96" i="59" s="1"/>
  <c r="Q96" i="59" s="1"/>
  <c r="U96" i="59" s="1"/>
  <c r="V96" i="59" s="1"/>
  <c r="W96" i="59" s="1"/>
  <c r="O11" i="59"/>
  <c r="O110" i="59"/>
  <c r="T110" i="59" s="1"/>
  <c r="O88" i="59"/>
  <c r="AC88" i="59" s="1"/>
  <c r="O52" i="59"/>
  <c r="O121" i="59"/>
  <c r="AC121" i="59" s="1"/>
  <c r="AE121" i="59" s="1"/>
  <c r="O99" i="59"/>
  <c r="AC99" i="59" s="1"/>
  <c r="AE99" i="59" s="1"/>
  <c r="O109" i="59"/>
  <c r="T109" i="59" s="1"/>
  <c r="O87" i="59"/>
  <c r="T87" i="59" s="1"/>
  <c r="O71" i="59"/>
  <c r="T71" i="59" s="1"/>
  <c r="O27" i="59"/>
  <c r="T27" i="59" s="1"/>
  <c r="O38" i="59"/>
  <c r="R38" i="59" s="1"/>
  <c r="Q38" i="59" s="1"/>
  <c r="U38" i="59" s="1"/>
  <c r="V38" i="59" s="1"/>
  <c r="W38" i="59" s="1"/>
  <c r="O39" i="59"/>
  <c r="T39" i="59" s="1"/>
  <c r="O130" i="59"/>
  <c r="AC130" i="59" s="1"/>
  <c r="AE130" i="59" s="1"/>
  <c r="O106" i="59"/>
  <c r="R106" i="59" s="1"/>
  <c r="Q106" i="59" s="1"/>
  <c r="U106" i="59" s="1"/>
  <c r="V106" i="59" s="1"/>
  <c r="W106" i="59" s="1"/>
  <c r="O84" i="59"/>
  <c r="R84" i="59" s="1"/>
  <c r="Q84" i="59" s="1"/>
  <c r="U84" i="59" s="1"/>
  <c r="V84" i="59" s="1"/>
  <c r="W84" i="59" s="1"/>
  <c r="O24" i="59"/>
  <c r="T24" i="59" s="1"/>
  <c r="O25" i="59"/>
  <c r="AC25" i="59" s="1"/>
  <c r="O48" i="59"/>
  <c r="AC48" i="59" s="1"/>
  <c r="AE48" i="59" s="1"/>
  <c r="O144" i="59"/>
  <c r="AC144" i="59" s="1"/>
  <c r="AE144" i="59" s="1"/>
  <c r="O64" i="59"/>
  <c r="R64" i="59" s="1"/>
  <c r="Q64" i="59" s="1"/>
  <c r="U64" i="59" s="1"/>
  <c r="V64" i="59" s="1"/>
  <c r="W64" i="59" s="1"/>
  <c r="Y64" i="59" s="1"/>
  <c r="O117" i="59"/>
  <c r="R117" i="59" s="1"/>
  <c r="Q117" i="59" s="1"/>
  <c r="U117" i="59" s="1"/>
  <c r="V117" i="59" s="1"/>
  <c r="W117" i="59" s="1"/>
  <c r="O95" i="59"/>
  <c r="T95" i="59" s="1"/>
  <c r="O10" i="59"/>
  <c r="T10" i="59" s="1"/>
  <c r="O129" i="59"/>
  <c r="R129" i="59" s="1"/>
  <c r="Q129" i="59" s="1"/>
  <c r="U129" i="59" s="1"/>
  <c r="V129" i="59" s="1"/>
  <c r="W129" i="59" s="1"/>
  <c r="O105" i="59"/>
  <c r="T105" i="59" s="1"/>
  <c r="O47" i="59"/>
  <c r="R47" i="59" s="1"/>
  <c r="Q47" i="59" s="1"/>
  <c r="U47" i="59" s="1"/>
  <c r="V47" i="59" s="1"/>
  <c r="W47" i="59" s="1"/>
  <c r="O35" i="59"/>
  <c r="AC35" i="59" s="1"/>
  <c r="AE35" i="59" s="1"/>
  <c r="O143" i="59"/>
  <c r="T143" i="59" s="1"/>
  <c r="O94" i="59"/>
  <c r="R94" i="59" s="1"/>
  <c r="O128" i="59"/>
  <c r="AC128" i="59" s="1"/>
  <c r="O104" i="59"/>
  <c r="R104" i="59" s="1"/>
  <c r="O82" i="59"/>
  <c r="R82" i="59" s="1"/>
  <c r="Q82" i="59" s="1"/>
  <c r="U82" i="59" s="1"/>
  <c r="V82" i="59" s="1"/>
  <c r="W82" i="59" s="1"/>
  <c r="O46" i="59"/>
  <c r="O34" i="59"/>
  <c r="R34" i="59" s="1"/>
  <c r="Q34" i="59" s="1"/>
  <c r="U34" i="59" s="1"/>
  <c r="O142" i="59"/>
  <c r="AC142" i="59" s="1"/>
  <c r="AE142" i="59" s="1"/>
  <c r="O60" i="59"/>
  <c r="R60" i="59" s="1"/>
  <c r="Q60" i="59" s="1"/>
  <c r="U60" i="59" s="1"/>
  <c r="V60" i="59" s="1"/>
  <c r="W60" i="59" s="1"/>
  <c r="O93" i="59"/>
  <c r="T93" i="59" s="1"/>
  <c r="O103" i="59"/>
  <c r="R103" i="59" s="1"/>
  <c r="Q103" i="59" s="1"/>
  <c r="U103" i="59" s="1"/>
  <c r="O81" i="59"/>
  <c r="AC81" i="59" s="1"/>
  <c r="AE81" i="59" s="1"/>
  <c r="O59" i="59"/>
  <c r="AC59" i="59" s="1"/>
  <c r="O22" i="59"/>
  <c r="AC22" i="59" s="1"/>
  <c r="O127" i="59"/>
  <c r="R127" i="59" s="1"/>
  <c r="O33" i="59"/>
  <c r="O58" i="59"/>
  <c r="R58" i="59" s="1"/>
  <c r="Q58" i="59" s="1"/>
  <c r="U58" i="59" s="1"/>
  <c r="V58" i="59" s="1"/>
  <c r="W58" i="59" s="1"/>
  <c r="O113" i="59"/>
  <c r="R113" i="59" s="1"/>
  <c r="Q113" i="59" s="1"/>
  <c r="U113" i="59" s="1"/>
  <c r="V113" i="59" s="1"/>
  <c r="W113" i="59" s="1"/>
  <c r="O92" i="59"/>
  <c r="O125" i="59"/>
  <c r="AC125" i="59" s="1"/>
  <c r="AE125" i="59" s="1"/>
  <c r="O141" i="59"/>
  <c r="T141" i="59" s="1"/>
  <c r="O21" i="59"/>
  <c r="T21" i="59" s="1"/>
  <c r="O116" i="59"/>
  <c r="T116" i="59" s="1"/>
  <c r="O139" i="59"/>
  <c r="R139" i="59" s="1"/>
  <c r="O6" i="59"/>
  <c r="T6" i="59" s="1"/>
  <c r="O124" i="59"/>
  <c r="T124" i="59" s="1"/>
  <c r="O20" i="59"/>
  <c r="AC20" i="59" s="1"/>
  <c r="O138" i="59"/>
  <c r="AC138" i="59" s="1"/>
  <c r="O54" i="59"/>
  <c r="T54" i="59" s="1"/>
  <c r="O111" i="59"/>
  <c r="T111" i="59" s="1"/>
  <c r="O5" i="59"/>
  <c r="T5" i="59" s="1"/>
  <c r="O123" i="59"/>
  <c r="AC123" i="59" s="1"/>
  <c r="AE123" i="59" s="1"/>
  <c r="O89" i="59"/>
  <c r="AC89" i="59" s="1"/>
  <c r="AE89" i="59" s="1"/>
  <c r="O29" i="59"/>
  <c r="AC29" i="59" s="1"/>
  <c r="AE29" i="59" s="1"/>
  <c r="O19" i="59"/>
  <c r="AC19" i="59" s="1"/>
  <c r="AE19" i="59" s="1"/>
  <c r="O136" i="59"/>
  <c r="T136" i="59" s="1"/>
  <c r="O41" i="59"/>
  <c r="R41" i="59" s="1"/>
  <c r="Q41" i="59" s="1"/>
  <c r="U41" i="59" s="1"/>
  <c r="O4" i="59"/>
  <c r="AC4" i="59" s="1"/>
  <c r="AE4" i="59" s="1"/>
  <c r="O122" i="59"/>
  <c r="R122" i="59" s="1"/>
  <c r="O76" i="59"/>
  <c r="R76" i="59" s="1"/>
  <c r="Q76" i="59" s="1"/>
  <c r="U76" i="59" s="1"/>
  <c r="V76" i="59" s="1"/>
  <c r="W76" i="59" s="1"/>
  <c r="O53" i="59"/>
  <c r="R53" i="59" s="1"/>
  <c r="Q53" i="59" s="1"/>
  <c r="U53" i="59" s="1"/>
  <c r="V53" i="59" s="1"/>
  <c r="W53" i="59" s="1"/>
  <c r="O16" i="59"/>
  <c r="T16" i="59" s="1"/>
  <c r="O135" i="59"/>
  <c r="T135" i="59" s="1"/>
  <c r="O134" i="59"/>
  <c r="R134" i="59" s="1"/>
  <c r="Q134" i="59" s="1"/>
  <c r="U134" i="59" s="1"/>
  <c r="V134" i="59" s="1"/>
  <c r="W134" i="59" s="1"/>
  <c r="O75" i="59"/>
  <c r="R75" i="59" s="1"/>
  <c r="Q75" i="59" s="1"/>
  <c r="U75" i="59" s="1"/>
  <c r="V75" i="59" s="1"/>
  <c r="W75" i="59" s="1"/>
  <c r="O74" i="59"/>
  <c r="R74" i="59" s="1"/>
  <c r="Q74" i="59" s="1"/>
  <c r="U74" i="59" s="1"/>
  <c r="AB123" i="59"/>
  <c r="AB36" i="59"/>
  <c r="AB143" i="59"/>
  <c r="AB142" i="59"/>
  <c r="AB103" i="59"/>
  <c r="AB139" i="59"/>
  <c r="AB101" i="59"/>
  <c r="AB78" i="59"/>
  <c r="AB86" i="59"/>
  <c r="AB60" i="59"/>
  <c r="AB81" i="59"/>
  <c r="AB54" i="59"/>
  <c r="AB141" i="59"/>
  <c r="AB112" i="59"/>
  <c r="AB55" i="59"/>
  <c r="AB111" i="59"/>
  <c r="AB53" i="59"/>
  <c r="AB75" i="59"/>
  <c r="AB100" i="59"/>
  <c r="AB18" i="59"/>
  <c r="AB74" i="59"/>
  <c r="AB127" i="59"/>
  <c r="AB12" i="59"/>
  <c r="AB19" i="59"/>
  <c r="AB13" i="59"/>
  <c r="AB16" i="59"/>
  <c r="AB128" i="59"/>
  <c r="R52" i="59"/>
  <c r="Q52" i="59" s="1"/>
  <c r="U52" i="59" s="1"/>
  <c r="R100" i="59"/>
  <c r="Q100" i="59" s="1"/>
  <c r="U100" i="59" s="1"/>
  <c r="V100" i="59" s="1"/>
  <c r="W100" i="59" s="1"/>
  <c r="R93" i="59"/>
  <c r="R49" i="59"/>
  <c r="Q49" i="59" s="1"/>
  <c r="U49" i="59" s="1"/>
  <c r="V49" i="59" s="1"/>
  <c r="W49" i="59" s="1"/>
  <c r="S17" i="51"/>
  <c r="G17" i="51"/>
  <c r="U17" i="51"/>
  <c r="Z98" i="59"/>
  <c r="Z60" i="59"/>
  <c r="Z133" i="59"/>
  <c r="Z97" i="59"/>
  <c r="Z132" i="59"/>
  <c r="Z22" i="59"/>
  <c r="Z141" i="59"/>
  <c r="M17" i="51"/>
  <c r="N3" i="59"/>
  <c r="AC3" i="59"/>
  <c r="AD3" i="59" s="1"/>
  <c r="T96" i="59"/>
  <c r="T65" i="59"/>
  <c r="AC49" i="59"/>
  <c r="AC100" i="59"/>
  <c r="AE100" i="59" s="1"/>
  <c r="AC102" i="59"/>
  <c r="AE102" i="59" s="1"/>
  <c r="T94" i="59"/>
  <c r="T115" i="59"/>
  <c r="T52" i="59"/>
  <c r="P17" i="51"/>
  <c r="L17" i="51"/>
  <c r="Q17" i="51"/>
  <c r="I7" i="58"/>
  <c r="H24" i="54"/>
  <c r="H25" i="54"/>
  <c r="H26" i="54"/>
  <c r="H27" i="54"/>
  <c r="I5" i="42"/>
  <c r="I7" i="42"/>
  <c r="L5" i="42"/>
  <c r="L7" i="42"/>
  <c r="K5" i="42"/>
  <c r="K7" i="42"/>
  <c r="H5" i="42"/>
  <c r="H7" i="42"/>
  <c r="G16" i="51"/>
  <c r="H10" i="42"/>
  <c r="AC3" i="50"/>
  <c r="AB3" i="50"/>
  <c r="K16" i="51"/>
  <c r="J16" i="51"/>
  <c r="I16" i="51"/>
  <c r="H16" i="51"/>
  <c r="F16" i="51"/>
  <c r="E16" i="51"/>
  <c r="D16" i="51"/>
  <c r="L10" i="42"/>
  <c r="K10" i="42"/>
  <c r="K13" i="51"/>
  <c r="J13" i="51"/>
  <c r="I13" i="51"/>
  <c r="H13" i="51"/>
  <c r="F13" i="51"/>
  <c r="E13" i="51"/>
  <c r="D13" i="51"/>
  <c r="X2" i="58"/>
  <c r="S13" i="51"/>
  <c r="O2" i="58"/>
  <c r="I2" i="58"/>
  <c r="I6" i="58"/>
  <c r="I8" i="58"/>
  <c r="H17" i="54"/>
  <c r="B30" i="51"/>
  <c r="G7" i="42"/>
  <c r="J22" i="42"/>
  <c r="J23" i="42"/>
  <c r="J21" i="42"/>
  <c r="X65" i="53"/>
  <c r="X4" i="53"/>
  <c r="X5" i="53"/>
  <c r="X6" i="53"/>
  <c r="X7" i="53"/>
  <c r="X8" i="53"/>
  <c r="X9" i="53"/>
  <c r="X10" i="53"/>
  <c r="X11" i="53"/>
  <c r="X12" i="53"/>
  <c r="X13" i="53"/>
  <c r="X14" i="53"/>
  <c r="X15" i="53"/>
  <c r="X17" i="53"/>
  <c r="X18" i="53"/>
  <c r="X20" i="53"/>
  <c r="X21" i="53"/>
  <c r="X72" i="53"/>
  <c r="X73" i="53"/>
  <c r="X19" i="53"/>
  <c r="X22" i="53"/>
  <c r="X23" i="53"/>
  <c r="X66" i="53"/>
  <c r="X24" i="53"/>
  <c r="X25" i="53"/>
  <c r="X26" i="53"/>
  <c r="X27" i="53"/>
  <c r="X62" i="53"/>
  <c r="X64" i="53"/>
  <c r="X2" i="53"/>
  <c r="X28" i="53"/>
  <c r="X77" i="53"/>
  <c r="X29" i="53"/>
  <c r="X30" i="53"/>
  <c r="X31" i="53"/>
  <c r="X32" i="53"/>
  <c r="X33" i="53"/>
  <c r="X34" i="53"/>
  <c r="X35" i="53"/>
  <c r="X36" i="53"/>
  <c r="X37" i="53"/>
  <c r="X38" i="53"/>
  <c r="X39" i="53"/>
  <c r="X40" i="53"/>
  <c r="X42" i="53"/>
  <c r="X16" i="53"/>
  <c r="X44" i="53"/>
  <c r="X45" i="53"/>
  <c r="X46" i="53"/>
  <c r="X79" i="53"/>
  <c r="X71" i="53"/>
  <c r="X47" i="53"/>
  <c r="X48" i="53"/>
  <c r="X49" i="53"/>
  <c r="X50" i="53"/>
  <c r="X51" i="53"/>
  <c r="X52" i="53"/>
  <c r="X53" i="53"/>
  <c r="X54" i="53"/>
  <c r="X55" i="53"/>
  <c r="X56" i="53"/>
  <c r="X74" i="53"/>
  <c r="X41" i="53"/>
  <c r="X75" i="53"/>
  <c r="X57" i="53"/>
  <c r="X58" i="53"/>
  <c r="X76" i="53"/>
  <c r="X59" i="53"/>
  <c r="X60" i="53"/>
  <c r="X61" i="53"/>
  <c r="X43" i="53"/>
  <c r="X63" i="53"/>
  <c r="X68" i="53"/>
  <c r="X69" i="53"/>
  <c r="X111" i="53"/>
  <c r="X112" i="53"/>
  <c r="X113" i="53"/>
  <c r="X114" i="53"/>
  <c r="X115" i="53"/>
  <c r="X116" i="53"/>
  <c r="X80" i="53"/>
  <c r="X128" i="53"/>
  <c r="X119" i="53"/>
  <c r="X129" i="53"/>
  <c r="X117" i="53"/>
  <c r="X118" i="53"/>
  <c r="X133" i="53"/>
  <c r="X120" i="53"/>
  <c r="X121" i="53"/>
  <c r="X126" i="53"/>
  <c r="X122" i="53"/>
  <c r="X123" i="53"/>
  <c r="X124" i="53"/>
  <c r="X127" i="53"/>
  <c r="X125" i="53"/>
  <c r="X81" i="53"/>
  <c r="X85" i="53"/>
  <c r="S15" i="51" s="1"/>
  <c r="X82" i="53"/>
  <c r="X83" i="53"/>
  <c r="X84" i="53"/>
  <c r="X86" i="53"/>
  <c r="X108" i="53"/>
  <c r="X70" i="53"/>
  <c r="X100" i="53"/>
  <c r="X101" i="53"/>
  <c r="X102" i="53"/>
  <c r="X103" i="53"/>
  <c r="X104" i="53"/>
  <c r="X106" i="53"/>
  <c r="X105" i="53"/>
  <c r="X110" i="53"/>
  <c r="X99" i="53"/>
  <c r="X107" i="53"/>
  <c r="X67" i="53"/>
  <c r="X109" i="53"/>
  <c r="X78" i="53"/>
  <c r="X134" i="53"/>
  <c r="X87" i="53"/>
  <c r="X147" i="53"/>
  <c r="X139" i="53"/>
  <c r="X140" i="53"/>
  <c r="X88" i="53"/>
  <c r="X89" i="53"/>
  <c r="X138" i="53"/>
  <c r="X141" i="53"/>
  <c r="X142" i="53"/>
  <c r="X90" i="53"/>
  <c r="X131" i="53"/>
  <c r="X91" i="53"/>
  <c r="X130" i="53"/>
  <c r="X132" i="53"/>
  <c r="X135" i="53"/>
  <c r="X144" i="53"/>
  <c r="X92" i="53"/>
  <c r="X94" i="53"/>
  <c r="X145" i="53"/>
  <c r="X146" i="53"/>
  <c r="X97" i="53"/>
  <c r="X96" i="53"/>
  <c r="X143" i="53"/>
  <c r="X148" i="53"/>
  <c r="X95" i="53"/>
  <c r="X93" i="53"/>
  <c r="X136" i="53"/>
  <c r="X137" i="53"/>
  <c r="X98" i="53"/>
  <c r="X3" i="53"/>
  <c r="K15" i="51"/>
  <c r="J15" i="51"/>
  <c r="I15" i="51"/>
  <c r="H15" i="51"/>
  <c r="G15" i="51"/>
  <c r="F15" i="51"/>
  <c r="E15" i="51"/>
  <c r="D15" i="51"/>
  <c r="K14" i="51"/>
  <c r="J14" i="51"/>
  <c r="I14" i="51"/>
  <c r="H14" i="51"/>
  <c r="F14" i="51"/>
  <c r="E14" i="51"/>
  <c r="D14" i="51"/>
  <c r="X3" i="55"/>
  <c r="X23" i="55"/>
  <c r="X14" i="55"/>
  <c r="X33" i="55"/>
  <c r="X32" i="55"/>
  <c r="X37" i="55"/>
  <c r="X44" i="55"/>
  <c r="X43" i="55"/>
  <c r="X47" i="55"/>
  <c r="X46" i="55"/>
  <c r="X21" i="55"/>
  <c r="X26" i="55"/>
  <c r="X38" i="55"/>
  <c r="X30" i="55"/>
  <c r="X36" i="55"/>
  <c r="X35" i="55"/>
  <c r="X45" i="55"/>
  <c r="S12" i="51"/>
  <c r="X5" i="55"/>
  <c r="U14" i="51"/>
  <c r="X31" i="56"/>
  <c r="X30" i="56"/>
  <c r="X45" i="56"/>
  <c r="T45" i="56"/>
  <c r="X36" i="56"/>
  <c r="X44" i="56"/>
  <c r="X35" i="56"/>
  <c r="X39" i="56"/>
  <c r="X20" i="56"/>
  <c r="X37" i="56"/>
  <c r="X38" i="56"/>
  <c r="X26" i="56"/>
  <c r="X21" i="56"/>
  <c r="X27" i="56"/>
  <c r="X41" i="56"/>
  <c r="X32" i="56"/>
  <c r="X17" i="56"/>
  <c r="X23" i="56"/>
  <c r="T23" i="56"/>
  <c r="X10" i="56"/>
  <c r="T10" i="56"/>
  <c r="X5" i="56"/>
  <c r="X4" i="56"/>
  <c r="X9" i="56"/>
  <c r="X6" i="56"/>
  <c r="X3" i="56"/>
  <c r="X2" i="56"/>
  <c r="I2" i="56"/>
  <c r="H2" i="56"/>
  <c r="P2" i="56" s="1"/>
  <c r="AB64" i="53"/>
  <c r="AB61" i="53"/>
  <c r="AB60" i="53"/>
  <c r="AB83" i="53"/>
  <c r="AB109" i="53"/>
  <c r="AB118" i="53"/>
  <c r="AB132" i="53"/>
  <c r="AB137" i="53"/>
  <c r="AB39" i="53"/>
  <c r="AB14" i="53"/>
  <c r="AB27" i="53"/>
  <c r="AB59" i="53"/>
  <c r="AB11" i="53"/>
  <c r="AB24" i="53"/>
  <c r="AB74" i="53"/>
  <c r="AB56" i="53"/>
  <c r="AB125" i="53"/>
  <c r="AB110" i="53"/>
  <c r="AB128" i="53"/>
  <c r="AB90" i="53"/>
  <c r="AB148" i="53"/>
  <c r="AB35" i="53"/>
  <c r="AB10" i="53"/>
  <c r="AB66" i="53"/>
  <c r="AB55" i="53"/>
  <c r="AB54" i="53"/>
  <c r="AB127" i="53"/>
  <c r="AB105" i="53"/>
  <c r="AB80" i="53"/>
  <c r="AB142" i="53"/>
  <c r="AB143" i="53"/>
  <c r="AB34" i="53"/>
  <c r="AB9" i="53"/>
  <c r="AB23" i="53"/>
  <c r="AB53" i="53"/>
  <c r="AB52" i="53"/>
  <c r="AB124" i="53"/>
  <c r="AB106" i="53"/>
  <c r="AB116" i="53"/>
  <c r="AB141" i="53"/>
  <c r="AB96" i="53"/>
  <c r="AB33" i="53"/>
  <c r="AB8" i="53"/>
  <c r="AB22" i="53"/>
  <c r="AB51" i="53"/>
  <c r="AB50" i="53"/>
  <c r="AB123" i="53"/>
  <c r="AB104" i="53"/>
  <c r="AB115" i="53"/>
  <c r="AB138" i="53"/>
  <c r="AB89" i="53"/>
  <c r="AB146" i="53"/>
  <c r="AB31" i="53"/>
  <c r="AB6" i="53"/>
  <c r="AB73" i="53"/>
  <c r="AB47" i="53"/>
  <c r="AB71" i="53"/>
  <c r="AB126" i="53"/>
  <c r="AB102" i="53"/>
  <c r="AB113" i="53"/>
  <c r="AB88" i="53"/>
  <c r="AB145" i="53"/>
  <c r="AB30" i="53"/>
  <c r="AB5" i="53"/>
  <c r="AB72" i="53"/>
  <c r="AB79" i="53"/>
  <c r="AB46" i="53"/>
  <c r="AB121" i="53"/>
  <c r="AB101" i="53"/>
  <c r="AB112" i="53"/>
  <c r="AB140" i="53"/>
  <c r="AB94" i="53"/>
  <c r="AB29" i="53"/>
  <c r="AB4" i="53"/>
  <c r="AB21" i="53"/>
  <c r="AB45" i="53"/>
  <c r="AB44" i="53"/>
  <c r="AB120" i="53"/>
  <c r="AB100" i="53"/>
  <c r="AB111" i="53"/>
  <c r="AB139" i="53"/>
  <c r="AB92" i="53"/>
  <c r="AB77" i="53"/>
  <c r="AB65" i="53"/>
  <c r="AB20" i="53"/>
  <c r="AB16" i="53"/>
  <c r="AB42" i="53"/>
  <c r="AB134" i="53"/>
  <c r="AB70" i="53"/>
  <c r="AB69" i="53"/>
  <c r="AB147" i="53"/>
  <c r="AB144" i="53"/>
  <c r="AB28" i="53"/>
  <c r="AB3" i="53"/>
  <c r="O3" i="53"/>
  <c r="R3" i="53" s="1"/>
  <c r="Q3" i="53" s="1"/>
  <c r="U3" i="53" s="1"/>
  <c r="V3" i="53" s="1"/>
  <c r="W3" i="53" s="1"/>
  <c r="AB18" i="53"/>
  <c r="AB108" i="53"/>
  <c r="AB68" i="53"/>
  <c r="AB129" i="53"/>
  <c r="AB91" i="53"/>
  <c r="AB93" i="53"/>
  <c r="AB37" i="53"/>
  <c r="AB12" i="53"/>
  <c r="AB25" i="53"/>
  <c r="AB75" i="53"/>
  <c r="AB41" i="53"/>
  <c r="AB81" i="53"/>
  <c r="AB99" i="53"/>
  <c r="AB119" i="53"/>
  <c r="AB131" i="53"/>
  <c r="AB95" i="53"/>
  <c r="AB36" i="53"/>
  <c r="AB97" i="53"/>
  <c r="AB32" i="53"/>
  <c r="AB7" i="53"/>
  <c r="AB19" i="53"/>
  <c r="AB49" i="53"/>
  <c r="AB48" i="53"/>
  <c r="AB122" i="53"/>
  <c r="AB103" i="53"/>
  <c r="AB114" i="53"/>
  <c r="AB86" i="53"/>
  <c r="AB82" i="53"/>
  <c r="AB67" i="53"/>
  <c r="AB117" i="53"/>
  <c r="AB130" i="53"/>
  <c r="AB136" i="53"/>
  <c r="AB38" i="53"/>
  <c r="AB13" i="53"/>
  <c r="AB26" i="53"/>
  <c r="AB58" i="53"/>
  <c r="AB57" i="53"/>
  <c r="AB85" i="53"/>
  <c r="U15" i="51" s="1"/>
  <c r="AB107" i="53"/>
  <c r="AB87" i="53"/>
  <c r="AB76" i="53"/>
  <c r="AB62" i="53"/>
  <c r="AB15" i="53"/>
  <c r="AB40" i="53"/>
  <c r="AB98" i="53"/>
  <c r="AB135" i="53"/>
  <c r="AB133" i="53"/>
  <c r="AB78" i="53"/>
  <c r="AB84" i="53"/>
  <c r="AB43" i="53"/>
  <c r="AB63" i="53"/>
  <c r="AB17" i="53"/>
  <c r="AB2" i="53"/>
  <c r="Z45" i="55"/>
  <c r="Z35" i="55"/>
  <c r="Z36" i="55"/>
  <c r="Z33" i="55"/>
  <c r="AC59" i="53"/>
  <c r="Z116" i="53"/>
  <c r="S14" i="51"/>
  <c r="AC14" i="55"/>
  <c r="AE14" i="55" s="1"/>
  <c r="AC26" i="55"/>
  <c r="AE26" i="55" s="1"/>
  <c r="K12" i="51"/>
  <c r="J12" i="51"/>
  <c r="I12" i="51"/>
  <c r="H12" i="51"/>
  <c r="F12" i="51"/>
  <c r="E12" i="51"/>
  <c r="D12" i="51"/>
  <c r="R5" i="55"/>
  <c r="Q5" i="55" s="1"/>
  <c r="I5" i="55"/>
  <c r="G12" i="51"/>
  <c r="H5" i="55"/>
  <c r="U12" i="51"/>
  <c r="H18" i="54"/>
  <c r="H19" i="54"/>
  <c r="H20" i="54"/>
  <c r="H8" i="54"/>
  <c r="H9" i="54"/>
  <c r="H10" i="54"/>
  <c r="H11" i="54"/>
  <c r="J5" i="42"/>
  <c r="B33" i="51"/>
  <c r="H7" i="54"/>
  <c r="G5" i="42"/>
  <c r="K1" i="51"/>
  <c r="AD34" i="50"/>
  <c r="AD36" i="50" s="1"/>
  <c r="AX49" i="50"/>
  <c r="AX48" i="50"/>
  <c r="AX47" i="50"/>
  <c r="AX38" i="50"/>
  <c r="AX37" i="50"/>
  <c r="AX36" i="50"/>
  <c r="AX27" i="50"/>
  <c r="AX26" i="50"/>
  <c r="AX25" i="50"/>
  <c r="AX16" i="50"/>
  <c r="AX15" i="50"/>
  <c r="AX14" i="50"/>
  <c r="AU52" i="50"/>
  <c r="AR52" i="50"/>
  <c r="AO52" i="50"/>
  <c r="AQ50" i="50"/>
  <c r="AM50" i="50"/>
  <c r="AU41" i="50"/>
  <c r="AR41" i="50"/>
  <c r="AO41" i="50"/>
  <c r="AQ39" i="50"/>
  <c r="AM39" i="50"/>
  <c r="AU30" i="50"/>
  <c r="AR30" i="50"/>
  <c r="AO30" i="50"/>
  <c r="AQ28" i="50"/>
  <c r="AM28" i="50"/>
  <c r="AR19" i="50"/>
  <c r="AO19" i="50"/>
  <c r="AQ17" i="50"/>
  <c r="AM17" i="50"/>
  <c r="AM6" i="50"/>
  <c r="X3" i="50"/>
  <c r="U13" i="51"/>
  <c r="G13" i="51"/>
  <c r="Z14" i="55"/>
  <c r="Z25" i="55"/>
  <c r="Z9" i="55"/>
  <c r="Z11" i="55"/>
  <c r="Z17" i="55"/>
  <c r="Z12" i="55"/>
  <c r="Z18" i="55"/>
  <c r="Z8" i="55"/>
  <c r="Z16" i="55"/>
  <c r="Z15" i="55"/>
  <c r="Z44" i="55"/>
  <c r="Z23" i="55"/>
  <c r="Z37" i="55"/>
  <c r="AC9" i="53"/>
  <c r="AC49" i="53"/>
  <c r="T70" i="53"/>
  <c r="T44" i="53"/>
  <c r="AC27" i="53"/>
  <c r="AC12" i="53"/>
  <c r="T9" i="53"/>
  <c r="T107" i="53"/>
  <c r="AC25" i="53"/>
  <c r="AC92" i="53"/>
  <c r="AC46" i="53"/>
  <c r="AC146" i="53"/>
  <c r="T128" i="53"/>
  <c r="U83" i="53"/>
  <c r="T36" i="53"/>
  <c r="AC66" i="53"/>
  <c r="AD66" i="53" s="1"/>
  <c r="AC65" i="53"/>
  <c r="T92" i="53"/>
  <c r="T134" i="53"/>
  <c r="AC4" i="53"/>
  <c r="AC71" i="53"/>
  <c r="T11" i="53"/>
  <c r="T136" i="53"/>
  <c r="T27" i="53"/>
  <c r="T103" i="53"/>
  <c r="T131" i="53"/>
  <c r="AC103" i="53"/>
  <c r="T12" i="53"/>
  <c r="T106" i="53"/>
  <c r="Z43" i="55"/>
  <c r="Z32" i="55"/>
  <c r="Z38" i="55"/>
  <c r="Z47" i="55"/>
  <c r="Z46" i="55"/>
  <c r="S16" i="51"/>
  <c r="U16" i="51"/>
  <c r="Z30" i="55"/>
  <c r="Z5" i="55"/>
  <c r="Z21" i="55"/>
  <c r="Z26" i="55"/>
  <c r="Z3" i="55"/>
  <c r="AC106" i="53"/>
  <c r="T4" i="53"/>
  <c r="T129" i="53"/>
  <c r="AC123" i="53"/>
  <c r="AC124" i="53"/>
  <c r="AC3" i="53"/>
  <c r="T147" i="53"/>
  <c r="AC147" i="53"/>
  <c r="T96" i="53"/>
  <c r="T66" i="53"/>
  <c r="T25" i="53"/>
  <c r="AC127" i="53"/>
  <c r="T45" i="53"/>
  <c r="T35" i="53"/>
  <c r="AC36" i="53"/>
  <c r="T51" i="53"/>
  <c r="AC51" i="53"/>
  <c r="T65" i="53"/>
  <c r="T146" i="53"/>
  <c r="Q146" i="53"/>
  <c r="U146" i="53" s="1"/>
  <c r="V146" i="53" s="1"/>
  <c r="W146" i="53" s="1"/>
  <c r="T33" i="53"/>
  <c r="T42" i="53"/>
  <c r="T52" i="53"/>
  <c r="AC52" i="53"/>
  <c r="T22" i="53"/>
  <c r="AC22" i="53"/>
  <c r="AC14" i="53"/>
  <c r="G14" i="51"/>
  <c r="M16" i="51"/>
  <c r="T14" i="55"/>
  <c r="M13" i="51"/>
  <c r="T39" i="56"/>
  <c r="M12" i="51"/>
  <c r="T26" i="55"/>
  <c r="P14" i="51"/>
  <c r="M14" i="51"/>
  <c r="Q92" i="53"/>
  <c r="U92" i="53" s="1"/>
  <c r="V92" i="53" s="1"/>
  <c r="W92" i="53" s="1"/>
  <c r="Q115" i="53"/>
  <c r="U115" i="53" s="1"/>
  <c r="V115" i="53" s="1"/>
  <c r="W115" i="53" s="1"/>
  <c r="P13" i="51"/>
  <c r="Q14" i="51"/>
  <c r="L12" i="51"/>
  <c r="P12" i="51"/>
  <c r="L14" i="51"/>
  <c r="L13" i="51"/>
  <c r="Q13" i="51"/>
  <c r="P16" i="51"/>
  <c r="L16" i="51"/>
  <c r="Q12" i="51"/>
  <c r="Q16" i="51"/>
  <c r="R33" i="62" l="1"/>
  <c r="Q33" i="62" s="1"/>
  <c r="U33" i="62" s="1"/>
  <c r="V33" i="62" s="1"/>
  <c r="W33" i="62" s="1"/>
  <c r="AA33" i="62" s="1"/>
  <c r="AC33" i="62"/>
  <c r="AE33" i="62" s="1"/>
  <c r="R109" i="62"/>
  <c r="AC109" i="62"/>
  <c r="AE109" i="62" s="1"/>
  <c r="R65" i="62"/>
  <c r="Q65" i="62" s="1"/>
  <c r="U65" i="62" s="1"/>
  <c r="V65" i="62" s="1"/>
  <c r="W65" i="62" s="1"/>
  <c r="AA65" i="62" s="1"/>
  <c r="AC65" i="62"/>
  <c r="AE65" i="62" s="1"/>
  <c r="R160" i="62"/>
  <c r="AC160" i="62"/>
  <c r="AE160" i="62" s="1"/>
  <c r="R70" i="62"/>
  <c r="Q70" i="62" s="1"/>
  <c r="U70" i="62" s="1"/>
  <c r="V70" i="62" s="1"/>
  <c r="W70" i="62" s="1"/>
  <c r="AC70" i="62"/>
  <c r="AE70" i="62" s="1"/>
  <c r="R13" i="62"/>
  <c r="Q13" i="62" s="1"/>
  <c r="U13" i="62" s="1"/>
  <c r="V13" i="62" s="1"/>
  <c r="W13" i="62" s="1"/>
  <c r="AC13" i="62"/>
  <c r="AE13" i="62" s="1"/>
  <c r="R67" i="62"/>
  <c r="Q67" i="62" s="1"/>
  <c r="U67" i="62" s="1"/>
  <c r="V67" i="62" s="1"/>
  <c r="W67" i="62" s="1"/>
  <c r="AC67" i="62"/>
  <c r="AE67" i="62" s="1"/>
  <c r="R149" i="62"/>
  <c r="Q149" i="62" s="1"/>
  <c r="U149" i="62" s="1"/>
  <c r="V149" i="62" s="1"/>
  <c r="W149" i="62" s="1"/>
  <c r="AA149" i="62" s="1"/>
  <c r="AC149" i="62"/>
  <c r="AE149" i="62" s="1"/>
  <c r="R43" i="62"/>
  <c r="N43" i="62" s="1"/>
  <c r="P43" i="62" s="1"/>
  <c r="AC43" i="62"/>
  <c r="AE43" i="62" s="1"/>
  <c r="R45" i="62"/>
  <c r="AC45" i="62"/>
  <c r="AE45" i="62" s="1"/>
  <c r="R47" i="62"/>
  <c r="Q47" i="62" s="1"/>
  <c r="U47" i="62" s="1"/>
  <c r="V47" i="62" s="1"/>
  <c r="W47" i="62" s="1"/>
  <c r="AA47" i="62" s="1"/>
  <c r="AC47" i="62"/>
  <c r="AE47" i="62" s="1"/>
  <c r="R142" i="62"/>
  <c r="AC142" i="62"/>
  <c r="AE142" i="62" s="1"/>
  <c r="R111" i="62"/>
  <c r="AC111" i="62"/>
  <c r="AE111" i="62" s="1"/>
  <c r="R24" i="62"/>
  <c r="Q24" i="62" s="1"/>
  <c r="U24" i="62" s="1"/>
  <c r="V24" i="62" s="1"/>
  <c r="W24" i="62" s="1"/>
  <c r="AC24" i="62"/>
  <c r="AE24" i="62" s="1"/>
  <c r="R93" i="62"/>
  <c r="Q93" i="62" s="1"/>
  <c r="U93" i="62" s="1"/>
  <c r="V93" i="62" s="1"/>
  <c r="W93" i="62" s="1"/>
  <c r="AA93" i="62" s="1"/>
  <c r="AC93" i="62"/>
  <c r="AE93" i="62" s="1"/>
  <c r="R69" i="62"/>
  <c r="AC69" i="62"/>
  <c r="AE69" i="62" s="1"/>
  <c r="R23" i="62"/>
  <c r="Q23" i="62" s="1"/>
  <c r="U23" i="62" s="1"/>
  <c r="V23" i="62" s="1"/>
  <c r="W23" i="62" s="1"/>
  <c r="AA23" i="62" s="1"/>
  <c r="AC23" i="62"/>
  <c r="AE23" i="62" s="1"/>
  <c r="R64" i="62"/>
  <c r="AC64" i="62"/>
  <c r="AE64" i="62" s="1"/>
  <c r="R57" i="62"/>
  <c r="AC57" i="62"/>
  <c r="AE57" i="62" s="1"/>
  <c r="R148" i="62"/>
  <c r="AC148" i="62"/>
  <c r="AE148" i="62" s="1"/>
  <c r="R42" i="62"/>
  <c r="Q42" i="62" s="1"/>
  <c r="U42" i="62" s="1"/>
  <c r="V42" i="62" s="1"/>
  <c r="W42" i="62" s="1"/>
  <c r="AA42" i="62" s="1"/>
  <c r="AC42" i="62"/>
  <c r="AE42" i="62" s="1"/>
  <c r="R12" i="62"/>
  <c r="AC12" i="62"/>
  <c r="AE12" i="62" s="1"/>
  <c r="R3" i="62"/>
  <c r="AC3" i="62"/>
  <c r="AE3" i="62" s="1"/>
  <c r="R143" i="62"/>
  <c r="AC143" i="62"/>
  <c r="AE143" i="62" s="1"/>
  <c r="R38" i="62"/>
  <c r="AC38" i="62"/>
  <c r="AE38" i="62" s="1"/>
  <c r="R7" i="62"/>
  <c r="N7" i="62" s="1"/>
  <c r="P7" i="62" s="1"/>
  <c r="AC7" i="62"/>
  <c r="AE7" i="62" s="1"/>
  <c r="R141" i="62"/>
  <c r="N141" i="62" s="1"/>
  <c r="P141" i="62" s="1"/>
  <c r="AC141" i="62"/>
  <c r="AE141" i="62" s="1"/>
  <c r="R15" i="62"/>
  <c r="AC15" i="62"/>
  <c r="AE15" i="62" s="1"/>
  <c r="R86" i="62"/>
  <c r="Q86" i="62" s="1"/>
  <c r="U86" i="62" s="1"/>
  <c r="V86" i="62" s="1"/>
  <c r="W86" i="62" s="1"/>
  <c r="AA86" i="62" s="1"/>
  <c r="AC86" i="62"/>
  <c r="AE86" i="62" s="1"/>
  <c r="R30" i="62"/>
  <c r="N30" i="62" s="1"/>
  <c r="P30" i="62" s="1"/>
  <c r="AC30" i="62"/>
  <c r="AE30" i="62" s="1"/>
  <c r="R40" i="62"/>
  <c r="Q40" i="62" s="1"/>
  <c r="U40" i="62" s="1"/>
  <c r="V40" i="62" s="1"/>
  <c r="W40" i="62" s="1"/>
  <c r="AA40" i="62" s="1"/>
  <c r="AC40" i="62"/>
  <c r="AE40" i="62" s="1"/>
  <c r="R10" i="62"/>
  <c r="Q10" i="62" s="1"/>
  <c r="U10" i="62" s="1"/>
  <c r="V10" i="62" s="1"/>
  <c r="W10" i="62" s="1"/>
  <c r="AA10" i="62" s="1"/>
  <c r="AC10" i="62"/>
  <c r="AE10" i="62" s="1"/>
  <c r="R35" i="62"/>
  <c r="N35" i="62" s="1"/>
  <c r="P35" i="62" s="1"/>
  <c r="AC35" i="62"/>
  <c r="AE35" i="62" s="1"/>
  <c r="R6" i="62"/>
  <c r="N6" i="62" s="1"/>
  <c r="P6" i="62" s="1"/>
  <c r="AC6" i="62"/>
  <c r="AE6" i="62" s="1"/>
  <c r="R52" i="62"/>
  <c r="AC52" i="62"/>
  <c r="AE52" i="62" s="1"/>
  <c r="R110" i="62"/>
  <c r="Q110" i="62" s="1"/>
  <c r="U110" i="62" s="1"/>
  <c r="V110" i="62" s="1"/>
  <c r="W110" i="62" s="1"/>
  <c r="AA110" i="62" s="1"/>
  <c r="AC110" i="62"/>
  <c r="AE110" i="62" s="1"/>
  <c r="R135" i="62"/>
  <c r="AC135" i="62"/>
  <c r="AE135" i="62" s="1"/>
  <c r="R31" i="62"/>
  <c r="AC31" i="62"/>
  <c r="AE31" i="62" s="1"/>
  <c r="R84" i="62"/>
  <c r="Q84" i="62" s="1"/>
  <c r="U84" i="62" s="1"/>
  <c r="V84" i="62" s="1"/>
  <c r="W84" i="62" s="1"/>
  <c r="AA84" i="62" s="1"/>
  <c r="AC84" i="62"/>
  <c r="AE84" i="62" s="1"/>
  <c r="R102" i="62"/>
  <c r="AC102" i="62"/>
  <c r="AE102" i="62" s="1"/>
  <c r="R29" i="62"/>
  <c r="AC29" i="62"/>
  <c r="AE29" i="62" s="1"/>
  <c r="R39" i="62"/>
  <c r="AC39" i="62"/>
  <c r="AE39" i="62" s="1"/>
  <c r="R9" i="62"/>
  <c r="AC9" i="62"/>
  <c r="AE9" i="62" s="1"/>
  <c r="R58" i="62"/>
  <c r="AC58" i="62"/>
  <c r="AE58" i="62" s="1"/>
  <c r="R82" i="62"/>
  <c r="Q82" i="62" s="1"/>
  <c r="U82" i="62" s="1"/>
  <c r="V82" i="62" s="1"/>
  <c r="W82" i="62" s="1"/>
  <c r="AA82" i="62" s="1"/>
  <c r="AC82" i="62"/>
  <c r="AE82" i="62" s="1"/>
  <c r="R21" i="62"/>
  <c r="AC21" i="62"/>
  <c r="AE21" i="62" s="1"/>
  <c r="R4" i="62"/>
  <c r="Q4" i="62" s="1"/>
  <c r="U4" i="62" s="1"/>
  <c r="V4" i="62" s="1"/>
  <c r="W4" i="62" s="1"/>
  <c r="AC4" i="62"/>
  <c r="AE4" i="62" s="1"/>
  <c r="R50" i="62"/>
  <c r="Q50" i="62" s="1"/>
  <c r="U50" i="62" s="1"/>
  <c r="V50" i="62" s="1"/>
  <c r="W50" i="62" s="1"/>
  <c r="AA50" i="62" s="1"/>
  <c r="AC50" i="62"/>
  <c r="AE50" i="62" s="1"/>
  <c r="R75" i="62"/>
  <c r="AC75" i="62"/>
  <c r="AE75" i="62" s="1"/>
  <c r="R94" i="62"/>
  <c r="AC94" i="62"/>
  <c r="AE94" i="62" s="1"/>
  <c r="R122" i="62"/>
  <c r="AC122" i="62"/>
  <c r="AE122" i="62" s="1"/>
  <c r="R172" i="62"/>
  <c r="AC172" i="62"/>
  <c r="AE172" i="62" s="1"/>
  <c r="R137" i="62"/>
  <c r="AC137" i="62"/>
  <c r="AE137" i="62" s="1"/>
  <c r="R132" i="62"/>
  <c r="AC132" i="62"/>
  <c r="AE132" i="62" s="1"/>
  <c r="R171" i="62"/>
  <c r="AC171" i="62"/>
  <c r="AE171" i="62" s="1"/>
  <c r="R76" i="62"/>
  <c r="N76" i="62" s="1"/>
  <c r="P76" i="62" s="1"/>
  <c r="AC76" i="62"/>
  <c r="AE76" i="62" s="1"/>
  <c r="R14" i="62"/>
  <c r="AC14" i="62"/>
  <c r="AE14" i="62" s="1"/>
  <c r="R127" i="62"/>
  <c r="AC127" i="62"/>
  <c r="AE127" i="62" s="1"/>
  <c r="R115" i="62"/>
  <c r="Q115" i="62" s="1"/>
  <c r="U115" i="62" s="1"/>
  <c r="V115" i="62" s="1"/>
  <c r="W115" i="62" s="1"/>
  <c r="AC115" i="62"/>
  <c r="AE115" i="62" s="1"/>
  <c r="R159" i="62"/>
  <c r="Q159" i="62" s="1"/>
  <c r="U159" i="62" s="1"/>
  <c r="V159" i="62" s="1"/>
  <c r="W159" i="62" s="1"/>
  <c r="AC159" i="62"/>
  <c r="AE159" i="62" s="1"/>
  <c r="R123" i="62"/>
  <c r="AC123" i="62"/>
  <c r="AE123" i="62" s="1"/>
  <c r="R118" i="62"/>
  <c r="AC118" i="62"/>
  <c r="AE118" i="62" s="1"/>
  <c r="R165" i="62"/>
  <c r="N165" i="62" s="1"/>
  <c r="P165" i="62" s="1"/>
  <c r="AC165" i="62"/>
  <c r="AE165" i="62" s="1"/>
  <c r="R163" i="62"/>
  <c r="Q163" i="62" s="1"/>
  <c r="U163" i="62" s="1"/>
  <c r="V163" i="62" s="1"/>
  <c r="W163" i="62" s="1"/>
  <c r="AC163" i="62"/>
  <c r="AE163" i="62" s="1"/>
  <c r="R107" i="62"/>
  <c r="Q107" i="62" s="1"/>
  <c r="U107" i="62" s="1"/>
  <c r="V107" i="62" s="1"/>
  <c r="W107" i="62" s="1"/>
  <c r="AC107" i="62"/>
  <c r="AE107" i="62" s="1"/>
  <c r="R131" i="62"/>
  <c r="Q131" i="62" s="1"/>
  <c r="U131" i="62" s="1"/>
  <c r="V131" i="62" s="1"/>
  <c r="W131" i="62" s="1"/>
  <c r="AA131" i="62" s="1"/>
  <c r="AC131" i="62"/>
  <c r="AE131" i="62" s="1"/>
  <c r="R170" i="62"/>
  <c r="AC170" i="62"/>
  <c r="AE170" i="62" s="1"/>
  <c r="R105" i="62"/>
  <c r="AC105" i="62"/>
  <c r="AE105" i="62" s="1"/>
  <c r="R18" i="62"/>
  <c r="Q18" i="62" s="1"/>
  <c r="U18" i="62" s="1"/>
  <c r="V18" i="62" s="1"/>
  <c r="W18" i="62" s="1"/>
  <c r="AA18" i="62" s="1"/>
  <c r="AC18" i="62"/>
  <c r="AE18" i="62" s="1"/>
  <c r="R126" i="62"/>
  <c r="Q126" i="62" s="1"/>
  <c r="U126" i="62" s="1"/>
  <c r="V126" i="62" s="1"/>
  <c r="W126" i="62" s="1"/>
  <c r="AC126" i="62"/>
  <c r="AE126" i="62" s="1"/>
  <c r="R158" i="62"/>
  <c r="Q158" i="62" s="1"/>
  <c r="U158" i="62" s="1"/>
  <c r="V158" i="62" s="1"/>
  <c r="W158" i="62" s="1"/>
  <c r="AC158" i="62"/>
  <c r="AE158" i="62" s="1"/>
  <c r="R98" i="62"/>
  <c r="Q98" i="62" s="1"/>
  <c r="U98" i="62" s="1"/>
  <c r="V98" i="62" s="1"/>
  <c r="W98" i="62" s="1"/>
  <c r="AA98" i="62" s="1"/>
  <c r="AC98" i="62"/>
  <c r="AE98" i="62" s="1"/>
  <c r="R92" i="62"/>
  <c r="Q92" i="62" s="1"/>
  <c r="U92" i="62" s="1"/>
  <c r="V92" i="62" s="1"/>
  <c r="W92" i="62" s="1"/>
  <c r="AC92" i="62"/>
  <c r="AE92" i="62" s="1"/>
  <c r="R168" i="62"/>
  <c r="AC168" i="62"/>
  <c r="AE168" i="62" s="1"/>
  <c r="R103" i="62"/>
  <c r="Q103" i="62" s="1"/>
  <c r="U103" i="62" s="1"/>
  <c r="V103" i="62" s="1"/>
  <c r="W103" i="62" s="1"/>
  <c r="AA103" i="62" s="1"/>
  <c r="AC103" i="62"/>
  <c r="AE103" i="62" s="1"/>
  <c r="R120" i="62"/>
  <c r="Q120" i="62" s="1"/>
  <c r="U120" i="62" s="1"/>
  <c r="V120" i="62" s="1"/>
  <c r="W120" i="62" s="1"/>
  <c r="AC120" i="62"/>
  <c r="AE120" i="62" s="1"/>
  <c r="R153" i="62"/>
  <c r="N153" i="62" s="1"/>
  <c r="P153" i="62" s="1"/>
  <c r="AC153" i="62"/>
  <c r="AE153" i="62" s="1"/>
  <c r="R97" i="62"/>
  <c r="Q97" i="62" s="1"/>
  <c r="U97" i="62" s="1"/>
  <c r="V97" i="62" s="1"/>
  <c r="W97" i="62" s="1"/>
  <c r="AA97" i="62" s="1"/>
  <c r="AC97" i="62"/>
  <c r="AE97" i="62" s="1"/>
  <c r="R63" i="62"/>
  <c r="AC63" i="62"/>
  <c r="AE63" i="62" s="1"/>
  <c r="R154" i="62"/>
  <c r="N154" i="62" s="1"/>
  <c r="P154" i="62" s="1"/>
  <c r="AC154" i="62"/>
  <c r="AE154" i="62" s="1"/>
  <c r="R72" i="62"/>
  <c r="N72" i="62" s="1"/>
  <c r="P72" i="62" s="1"/>
  <c r="AC72" i="62"/>
  <c r="AE72" i="62" s="1"/>
  <c r="R2" i="62"/>
  <c r="AC2" i="62"/>
  <c r="AE2" i="62" s="1"/>
  <c r="R26" i="62"/>
  <c r="AC26" i="62"/>
  <c r="AE26" i="62" s="1"/>
  <c r="R66" i="62"/>
  <c r="AC66" i="62"/>
  <c r="AE66" i="62" s="1"/>
  <c r="R164" i="62"/>
  <c r="AC164" i="62"/>
  <c r="AE164" i="62" s="1"/>
  <c r="R101" i="62"/>
  <c r="Q101" i="62" s="1"/>
  <c r="U101" i="62" s="1"/>
  <c r="V101" i="62" s="1"/>
  <c r="W101" i="62" s="1"/>
  <c r="AA101" i="62" s="1"/>
  <c r="AC101" i="62"/>
  <c r="AE101" i="62" s="1"/>
  <c r="R87" i="62"/>
  <c r="Q87" i="62" s="1"/>
  <c r="U87" i="62" s="1"/>
  <c r="V87" i="62" s="1"/>
  <c r="W87" i="62" s="1"/>
  <c r="AA87" i="62" s="1"/>
  <c r="AC87" i="62"/>
  <c r="AE87" i="62" s="1"/>
  <c r="R162" i="62"/>
  <c r="AC162" i="62"/>
  <c r="AE162" i="62" s="1"/>
  <c r="R119" i="62"/>
  <c r="AC119" i="62"/>
  <c r="AE119" i="62" s="1"/>
  <c r="R157" i="62"/>
  <c r="Q157" i="62" s="1"/>
  <c r="U157" i="62" s="1"/>
  <c r="V157" i="62" s="1"/>
  <c r="W157" i="62" s="1"/>
  <c r="AA157" i="62" s="1"/>
  <c r="AC157" i="62"/>
  <c r="AE157" i="62" s="1"/>
  <c r="R81" i="62"/>
  <c r="AC81" i="62"/>
  <c r="AE81" i="62" s="1"/>
  <c r="R60" i="62"/>
  <c r="AC60" i="62"/>
  <c r="AE60" i="62" s="1"/>
  <c r="R151" i="62"/>
  <c r="Q151" i="62" s="1"/>
  <c r="U151" i="62" s="1"/>
  <c r="V151" i="62" s="1"/>
  <c r="W151" i="62" s="1"/>
  <c r="AA151" i="62" s="1"/>
  <c r="AC151" i="62"/>
  <c r="AE151" i="62" s="1"/>
  <c r="R144" i="62"/>
  <c r="AC144" i="62"/>
  <c r="AE144" i="62" s="1"/>
  <c r="R74" i="62"/>
  <c r="AC74" i="62"/>
  <c r="AE74" i="62" s="1"/>
  <c r="R53" i="62"/>
  <c r="Q53" i="62" s="1"/>
  <c r="U53" i="62" s="1"/>
  <c r="V53" i="62" s="1"/>
  <c r="W53" i="62" s="1"/>
  <c r="AA53" i="62" s="1"/>
  <c r="AC53" i="62"/>
  <c r="AE53" i="62" s="1"/>
  <c r="R130" i="62"/>
  <c r="N130" i="62" s="1"/>
  <c r="P130" i="62" s="1"/>
  <c r="AC130" i="62"/>
  <c r="AE130" i="62" s="1"/>
  <c r="R95" i="62"/>
  <c r="Q95" i="62" s="1"/>
  <c r="U95" i="62" s="1"/>
  <c r="V95" i="62" s="1"/>
  <c r="W95" i="62" s="1"/>
  <c r="AA95" i="62" s="1"/>
  <c r="AC95" i="62"/>
  <c r="AE95" i="62" s="1"/>
  <c r="R152" i="62"/>
  <c r="N152" i="62" s="1"/>
  <c r="P152" i="62" s="1"/>
  <c r="AC152" i="62"/>
  <c r="AE152" i="62" s="1"/>
  <c r="R68" i="62"/>
  <c r="AC68" i="62"/>
  <c r="AE68" i="62" s="1"/>
  <c r="R85" i="62"/>
  <c r="Q85" i="62" s="1"/>
  <c r="U85" i="62" s="1"/>
  <c r="V85" i="62" s="1"/>
  <c r="W85" i="62" s="1"/>
  <c r="AC85" i="62"/>
  <c r="AE85" i="62" s="1"/>
  <c r="R161" i="62"/>
  <c r="Q161" i="62" s="1"/>
  <c r="U161" i="62" s="1"/>
  <c r="V161" i="62" s="1"/>
  <c r="W161" i="62" s="1"/>
  <c r="AA161" i="62" s="1"/>
  <c r="AC161" i="62"/>
  <c r="AE161" i="62" s="1"/>
  <c r="R44" i="62"/>
  <c r="Q44" i="62" s="1"/>
  <c r="U44" i="62" s="1"/>
  <c r="V44" i="62" s="1"/>
  <c r="W44" i="62" s="1"/>
  <c r="AC44" i="62"/>
  <c r="AE44" i="62" s="1"/>
  <c r="R156" i="62"/>
  <c r="N156" i="62" s="1"/>
  <c r="P156" i="62" s="1"/>
  <c r="AC156" i="62"/>
  <c r="AE156" i="62" s="1"/>
  <c r="R79" i="62"/>
  <c r="Q79" i="62" s="1"/>
  <c r="U79" i="62" s="1"/>
  <c r="V79" i="62" s="1"/>
  <c r="W79" i="62" s="1"/>
  <c r="AC79" i="62"/>
  <c r="AE79" i="62" s="1"/>
  <c r="R59" i="62"/>
  <c r="AC59" i="62"/>
  <c r="AE59" i="62" s="1"/>
  <c r="R36" i="62"/>
  <c r="AC36" i="62"/>
  <c r="AE36" i="62" s="1"/>
  <c r="R51" i="62"/>
  <c r="AC51" i="62"/>
  <c r="AE51" i="62" s="1"/>
  <c r="R136" i="62"/>
  <c r="N136" i="62" s="1"/>
  <c r="P136" i="62" s="1"/>
  <c r="AC136" i="62"/>
  <c r="AE136" i="62" s="1"/>
  <c r="R32" i="62"/>
  <c r="AC32" i="62"/>
  <c r="AE32" i="62" s="1"/>
  <c r="R91" i="62"/>
  <c r="N91" i="62" s="1"/>
  <c r="P91" i="62" s="1"/>
  <c r="AC91" i="62"/>
  <c r="AE91" i="62" s="1"/>
  <c r="R62" i="62"/>
  <c r="N62" i="62" s="1"/>
  <c r="P62" i="62" s="1"/>
  <c r="AC62" i="62"/>
  <c r="AE62" i="62" s="1"/>
  <c r="R88" i="62"/>
  <c r="N88" i="62" s="1"/>
  <c r="P88" i="62" s="1"/>
  <c r="AC88" i="62"/>
  <c r="AE88" i="62" s="1"/>
  <c r="R90" i="62"/>
  <c r="Q90" i="62" s="1"/>
  <c r="U90" i="62" s="1"/>
  <c r="V90" i="62" s="1"/>
  <c r="W90" i="62" s="1"/>
  <c r="AC90" i="62"/>
  <c r="AE90" i="62" s="1"/>
  <c r="R11" i="62"/>
  <c r="AC11" i="62"/>
  <c r="AE11" i="62" s="1"/>
  <c r="R112" i="62"/>
  <c r="Q112" i="62" s="1"/>
  <c r="U112" i="62" s="1"/>
  <c r="V112" i="62" s="1"/>
  <c r="W112" i="62" s="1"/>
  <c r="AA112" i="62" s="1"/>
  <c r="AC112" i="62"/>
  <c r="AE112" i="62" s="1"/>
  <c r="R96" i="62"/>
  <c r="N96" i="62" s="1"/>
  <c r="P96" i="62" s="1"/>
  <c r="AC96" i="62"/>
  <c r="AE96" i="62" s="1"/>
  <c r="R167" i="62"/>
  <c r="Q167" i="62" s="1"/>
  <c r="U167" i="62" s="1"/>
  <c r="V167" i="62" s="1"/>
  <c r="W167" i="62" s="1"/>
  <c r="AA167" i="62" s="1"/>
  <c r="AC167" i="62"/>
  <c r="AE167" i="62" s="1"/>
  <c r="R140" i="62"/>
  <c r="N140" i="62" s="1"/>
  <c r="P140" i="62" s="1"/>
  <c r="AC140" i="62"/>
  <c r="AE140" i="62" s="1"/>
  <c r="R100" i="62"/>
  <c r="Q100" i="62" s="1"/>
  <c r="U100" i="62" s="1"/>
  <c r="V100" i="62" s="1"/>
  <c r="W100" i="62" s="1"/>
  <c r="AC100" i="62"/>
  <c r="AE100" i="62" s="1"/>
  <c r="R28" i="62"/>
  <c r="Q28" i="62" s="1"/>
  <c r="U28" i="62" s="1"/>
  <c r="V28" i="62" s="1"/>
  <c r="W28" i="62" s="1"/>
  <c r="AC28" i="62"/>
  <c r="AE28" i="62" s="1"/>
  <c r="R56" i="62"/>
  <c r="Q56" i="62" s="1"/>
  <c r="U56" i="62" s="1"/>
  <c r="V56" i="62" s="1"/>
  <c r="W56" i="62" s="1"/>
  <c r="AC56" i="62"/>
  <c r="AE56" i="62" s="1"/>
  <c r="R129" i="62"/>
  <c r="Q129" i="62" s="1"/>
  <c r="U129" i="62" s="1"/>
  <c r="V129" i="62" s="1"/>
  <c r="W129" i="62" s="1"/>
  <c r="AC129" i="62"/>
  <c r="AE129" i="62" s="1"/>
  <c r="R46" i="62"/>
  <c r="Q46" i="62" s="1"/>
  <c r="U46" i="62" s="1"/>
  <c r="V46" i="62" s="1"/>
  <c r="W46" i="62" s="1"/>
  <c r="AC46" i="62"/>
  <c r="AE46" i="62" s="1"/>
  <c r="R17" i="62"/>
  <c r="AC17" i="62"/>
  <c r="AE17" i="62" s="1"/>
  <c r="R166" i="62"/>
  <c r="Q166" i="62" s="1"/>
  <c r="U166" i="62" s="1"/>
  <c r="V166" i="62" s="1"/>
  <c r="W166" i="62" s="1"/>
  <c r="AA166" i="62" s="1"/>
  <c r="AC166" i="62"/>
  <c r="AE166" i="62" s="1"/>
  <c r="R108" i="62"/>
  <c r="Q108" i="62" s="1"/>
  <c r="U108" i="62" s="1"/>
  <c r="V108" i="62" s="1"/>
  <c r="W108" i="62" s="1"/>
  <c r="AA108" i="62" s="1"/>
  <c r="AC108" i="62"/>
  <c r="AE108" i="62" s="1"/>
  <c r="R27" i="62"/>
  <c r="AC27" i="62"/>
  <c r="AE27" i="62" s="1"/>
  <c r="R138" i="62"/>
  <c r="Q138" i="62" s="1"/>
  <c r="U138" i="62" s="1"/>
  <c r="V138" i="62" s="1"/>
  <c r="W138" i="62" s="1"/>
  <c r="AA138" i="62" s="1"/>
  <c r="AC138" i="62"/>
  <c r="AE138" i="62" s="1"/>
  <c r="R133" i="62"/>
  <c r="AC133" i="62"/>
  <c r="AE133" i="62" s="1"/>
  <c r="R54" i="62"/>
  <c r="N54" i="62" s="1"/>
  <c r="P54" i="62" s="1"/>
  <c r="AC54" i="62"/>
  <c r="AE54" i="62" s="1"/>
  <c r="R19" i="62"/>
  <c r="Q19" i="62" s="1"/>
  <c r="U19" i="62" s="1"/>
  <c r="V19" i="62" s="1"/>
  <c r="W19" i="62" s="1"/>
  <c r="AA19" i="62" s="1"/>
  <c r="AC19" i="62"/>
  <c r="AE19" i="62" s="1"/>
  <c r="R128" i="62"/>
  <c r="N128" i="62" s="1"/>
  <c r="P128" i="62" s="1"/>
  <c r="AC128" i="62"/>
  <c r="AE128" i="62" s="1"/>
  <c r="R116" i="62"/>
  <c r="AC116" i="62"/>
  <c r="AE116" i="62" s="1"/>
  <c r="R48" i="62"/>
  <c r="AC48" i="62"/>
  <c r="AE48" i="62" s="1"/>
  <c r="R124" i="62"/>
  <c r="Q124" i="62" s="1"/>
  <c r="U124" i="62" s="1"/>
  <c r="V124" i="62" s="1"/>
  <c r="W124" i="62" s="1"/>
  <c r="AC124" i="62"/>
  <c r="AE124" i="62" s="1"/>
  <c r="AB38" i="59"/>
  <c r="AB17" i="59"/>
  <c r="AB102" i="59"/>
  <c r="AB124" i="59"/>
  <c r="AB77" i="59"/>
  <c r="AB83" i="59"/>
  <c r="AB14" i="59"/>
  <c r="AB125" i="59"/>
  <c r="AB65" i="59"/>
  <c r="AB96" i="59"/>
  <c r="AB24" i="59"/>
  <c r="AB84" i="59"/>
  <c r="AB88" i="59"/>
  <c r="AB72" i="59"/>
  <c r="AB79" i="59"/>
  <c r="AB97" i="59"/>
  <c r="AB109" i="59"/>
  <c r="AB44" i="59"/>
  <c r="AB7" i="59"/>
  <c r="AB61" i="59"/>
  <c r="AB140" i="59"/>
  <c r="AD46" i="53"/>
  <c r="AB31" i="59"/>
  <c r="AB91" i="59"/>
  <c r="AB115" i="59"/>
  <c r="AB62" i="59"/>
  <c r="AB8" i="59"/>
  <c r="AB63" i="59"/>
  <c r="AB126" i="59"/>
  <c r="AB49" i="59"/>
  <c r="AB67" i="59"/>
  <c r="AB85" i="59"/>
  <c r="AB107" i="59"/>
  <c r="AB131" i="59"/>
  <c r="AB121" i="59"/>
  <c r="AD121" i="59" s="1"/>
  <c r="AB26" i="59"/>
  <c r="AB114" i="59"/>
  <c r="AB119" i="59"/>
  <c r="AB2" i="59"/>
  <c r="AB50" i="59"/>
  <c r="AB30" i="59"/>
  <c r="AB120" i="59"/>
  <c r="AB108" i="59"/>
  <c r="AB56" i="59"/>
  <c r="AB37" i="59"/>
  <c r="AD37" i="59" s="1"/>
  <c r="AB90" i="59"/>
  <c r="AD90" i="59" s="1"/>
  <c r="AB132" i="59"/>
  <c r="AB43" i="59"/>
  <c r="AD43" i="59" s="1"/>
  <c r="AB68" i="59"/>
  <c r="AB146" i="59"/>
  <c r="AD52" i="53"/>
  <c r="AD65" i="53"/>
  <c r="AB9" i="59"/>
  <c r="AB29" i="59"/>
  <c r="AB133" i="59"/>
  <c r="Z44" i="53"/>
  <c r="Z15" i="58"/>
  <c r="AA15" i="58" s="1"/>
  <c r="Z14" i="58"/>
  <c r="AA14" i="58" s="1"/>
  <c r="Z16" i="56"/>
  <c r="AA16" i="56" s="1"/>
  <c r="Z43" i="56"/>
  <c r="AA43" i="56" s="1"/>
  <c r="Z11" i="56"/>
  <c r="AA11" i="56" s="1"/>
  <c r="Z28" i="56"/>
  <c r="AA28" i="56" s="1"/>
  <c r="Z34" i="56"/>
  <c r="AA34" i="56" s="1"/>
  <c r="Z33" i="56"/>
  <c r="AA33" i="56" s="1"/>
  <c r="Z42" i="56"/>
  <c r="AA42" i="56" s="1"/>
  <c r="Z13" i="56"/>
  <c r="AA13" i="56" s="1"/>
  <c r="Z15" i="56"/>
  <c r="AA15" i="56" s="1"/>
  <c r="Z47" i="56"/>
  <c r="AA47" i="56" s="1"/>
  <c r="Z19" i="56"/>
  <c r="AA19" i="56" s="1"/>
  <c r="BH11" i="50"/>
  <c r="M13" i="50"/>
  <c r="S6" i="42"/>
  <c r="T6" i="42" s="1"/>
  <c r="S5" i="42"/>
  <c r="T5" i="42" s="1"/>
  <c r="AV56" i="50"/>
  <c r="AD32" i="50"/>
  <c r="Z16" i="58"/>
  <c r="AA16" i="58" s="1"/>
  <c r="Z9" i="58"/>
  <c r="AA9" i="58" s="1"/>
  <c r="Z11" i="58"/>
  <c r="AA11" i="58" s="1"/>
  <c r="Z12" i="58"/>
  <c r="AA12" i="58" s="1"/>
  <c r="Y84" i="59"/>
  <c r="AC2" i="58"/>
  <c r="AE2" i="58" s="1"/>
  <c r="Z12" i="56"/>
  <c r="Z46" i="56"/>
  <c r="AA46" i="56" s="1"/>
  <c r="Z6" i="58"/>
  <c r="S18" i="51"/>
  <c r="G18" i="51"/>
  <c r="AD9" i="50"/>
  <c r="Q6" i="58"/>
  <c r="U6" i="58" s="1"/>
  <c r="V6" i="58" s="1"/>
  <c r="W6" i="58" s="1"/>
  <c r="Z69" i="53"/>
  <c r="Z99" i="53"/>
  <c r="Z38" i="56"/>
  <c r="Z26" i="56"/>
  <c r="Z63" i="59"/>
  <c r="Z27" i="59"/>
  <c r="Z138" i="59"/>
  <c r="Z103" i="59"/>
  <c r="Z146" i="59"/>
  <c r="Z72" i="59"/>
  <c r="Z110" i="59"/>
  <c r="Z93" i="59"/>
  <c r="Z58" i="59"/>
  <c r="AA58" i="59" s="1"/>
  <c r="Z25" i="59"/>
  <c r="Z135" i="59"/>
  <c r="Z53" i="59"/>
  <c r="AA53" i="59" s="1"/>
  <c r="Z134" i="59"/>
  <c r="AA134" i="59" s="1"/>
  <c r="Z41" i="59"/>
  <c r="Z20" i="59"/>
  <c r="Z99" i="59"/>
  <c r="Z64" i="59"/>
  <c r="Z19" i="59"/>
  <c r="Z142" i="59"/>
  <c r="Z29" i="59"/>
  <c r="Z2" i="59"/>
  <c r="Z66" i="59"/>
  <c r="Z92" i="59"/>
  <c r="Z21" i="59"/>
  <c r="Z131" i="59"/>
  <c r="Z94" i="59"/>
  <c r="Z61" i="59"/>
  <c r="Z59" i="59"/>
  <c r="Z54" i="59"/>
  <c r="Z26" i="59"/>
  <c r="Z128" i="59"/>
  <c r="Z68" i="59"/>
  <c r="Z65" i="59"/>
  <c r="Z3" i="59"/>
  <c r="AA3" i="59" s="1"/>
  <c r="Z137" i="59"/>
  <c r="Z100" i="59"/>
  <c r="AA100" i="59" s="1"/>
  <c r="Z67" i="59"/>
  <c r="AA67" i="59" s="1"/>
  <c r="Z71" i="59"/>
  <c r="Z140" i="59"/>
  <c r="Z36" i="59"/>
  <c r="Z143" i="59"/>
  <c r="T4" i="62"/>
  <c r="Z57" i="53"/>
  <c r="Z6" i="53"/>
  <c r="Z117" i="53"/>
  <c r="Z10" i="53"/>
  <c r="Z97" i="53"/>
  <c r="Z132" i="53"/>
  <c r="Z83" i="53"/>
  <c r="Z135" i="53"/>
  <c r="Z53" i="53"/>
  <c r="Z51" i="53"/>
  <c r="Z113" i="53"/>
  <c r="AA113" i="53" s="1"/>
  <c r="Z42" i="53"/>
  <c r="Z38" i="53"/>
  <c r="Z148" i="53"/>
  <c r="Z72" i="53"/>
  <c r="Z9" i="53"/>
  <c r="Z89" i="53"/>
  <c r="Z90" i="53"/>
  <c r="AA90" i="53" s="1"/>
  <c r="Z66" i="53"/>
  <c r="AA66" i="53" s="1"/>
  <c r="Z143" i="53"/>
  <c r="Z4" i="58"/>
  <c r="Z5" i="58"/>
  <c r="AA5" i="58" s="1"/>
  <c r="Z9" i="56"/>
  <c r="Z22" i="56"/>
  <c r="AA22" i="56" s="1"/>
  <c r="Z39" i="56"/>
  <c r="Z3" i="56"/>
  <c r="Z21" i="56"/>
  <c r="Z6" i="56"/>
  <c r="Z32" i="59"/>
  <c r="H6" i="52"/>
  <c r="T12" i="59"/>
  <c r="T55" i="59"/>
  <c r="T56" i="59"/>
  <c r="T73" i="59"/>
  <c r="AC73" i="59"/>
  <c r="AE73" i="59" s="1"/>
  <c r="N64" i="59"/>
  <c r="AC64" i="59"/>
  <c r="AD64" i="59" s="1"/>
  <c r="T58" i="59"/>
  <c r="R71" i="59"/>
  <c r="Q71" i="59" s="1"/>
  <c r="U71" i="59" s="1"/>
  <c r="V71" i="59" s="1"/>
  <c r="W71" i="59" s="1"/>
  <c r="AC117" i="59"/>
  <c r="AD117" i="59" s="1"/>
  <c r="Z141" i="53"/>
  <c r="Z142" i="53"/>
  <c r="Z147" i="53"/>
  <c r="Z107" i="53"/>
  <c r="Z54" i="53"/>
  <c r="Z7" i="53"/>
  <c r="Z127" i="53"/>
  <c r="Z36" i="53"/>
  <c r="Z94" i="53"/>
  <c r="Z80" i="53"/>
  <c r="Z27" i="53"/>
  <c r="Z88" i="53"/>
  <c r="Z74" i="53"/>
  <c r="Z96" i="53"/>
  <c r="Z46" i="53"/>
  <c r="Z104" i="53"/>
  <c r="Z14" i="53"/>
  <c r="Z105" i="53"/>
  <c r="Z77" i="53"/>
  <c r="Z114" i="53"/>
  <c r="Z24" i="53"/>
  <c r="Z43" i="53"/>
  <c r="Z92" i="53"/>
  <c r="Z48" i="53"/>
  <c r="Z95" i="53"/>
  <c r="Z120" i="53"/>
  <c r="Z30" i="53"/>
  <c r="Z91" i="53"/>
  <c r="Z111" i="53"/>
  <c r="Z22" i="53"/>
  <c r="Z78" i="53"/>
  <c r="AA78" i="53" s="1"/>
  <c r="Z79" i="53"/>
  <c r="Z106" i="53"/>
  <c r="Z33" i="53"/>
  <c r="Z81" i="53"/>
  <c r="Z86" i="53"/>
  <c r="Z21" i="53"/>
  <c r="Z102" i="53"/>
  <c r="Z3" i="53"/>
  <c r="AA3" i="53" s="1"/>
  <c r="Z124" i="53"/>
  <c r="Z35" i="53"/>
  <c r="Z59" i="53"/>
  <c r="AA59" i="53" s="1"/>
  <c r="Z76" i="53"/>
  <c r="Z32" i="53"/>
  <c r="Z115" i="53"/>
  <c r="AA115" i="53" s="1"/>
  <c r="Z98" i="53"/>
  <c r="Z75" i="53"/>
  <c r="Z146" i="53"/>
  <c r="AA146" i="53" s="1"/>
  <c r="Z56" i="53"/>
  <c r="AA56" i="53" s="1"/>
  <c r="Z131" i="53"/>
  <c r="AA131" i="53" s="1"/>
  <c r="Z16" i="53"/>
  <c r="Z55" i="53"/>
  <c r="Z118" i="53"/>
  <c r="AA118" i="53" s="1"/>
  <c r="Z136" i="53"/>
  <c r="Z126" i="53"/>
  <c r="Y92" i="53"/>
  <c r="Z45" i="53"/>
  <c r="Z109" i="53"/>
  <c r="Z29" i="53"/>
  <c r="Z84" i="53"/>
  <c r="AA84" i="53" s="1"/>
  <c r="Z2" i="53"/>
  <c r="Z85" i="53"/>
  <c r="Z18" i="53"/>
  <c r="Z128" i="53"/>
  <c r="AA128" i="53" s="1"/>
  <c r="Z67" i="53"/>
  <c r="AA67" i="53" s="1"/>
  <c r="Z50" i="53"/>
  <c r="Z65" i="53"/>
  <c r="Z103" i="53"/>
  <c r="Z129" i="53"/>
  <c r="Z4" i="53"/>
  <c r="AA4" i="53" s="1"/>
  <c r="Z60" i="53"/>
  <c r="Z145" i="53"/>
  <c r="Z58" i="53"/>
  <c r="Z144" i="53"/>
  <c r="AA144" i="53" s="1"/>
  <c r="Z71" i="53"/>
  <c r="AA71" i="53" s="1"/>
  <c r="Z87" i="53"/>
  <c r="AA87" i="53" s="1"/>
  <c r="Z73" i="53"/>
  <c r="Z140" i="53"/>
  <c r="Z125" i="53"/>
  <c r="Z37" i="53"/>
  <c r="Z130" i="53"/>
  <c r="Z112" i="53"/>
  <c r="Z23" i="53"/>
  <c r="Z134" i="53"/>
  <c r="Z41" i="53"/>
  <c r="Z11" i="53"/>
  <c r="Z100" i="53"/>
  <c r="AA100" i="53" s="1"/>
  <c r="Z26" i="53"/>
  <c r="Z70" i="53"/>
  <c r="AA70" i="53" s="1"/>
  <c r="Z28" i="53"/>
  <c r="Z63" i="53"/>
  <c r="Y139" i="53"/>
  <c r="Z39" i="53"/>
  <c r="AA39" i="53" s="1"/>
  <c r="Z62" i="53"/>
  <c r="Z25" i="53"/>
  <c r="AA25" i="53" s="1"/>
  <c r="Z123" i="53"/>
  <c r="Z12" i="53"/>
  <c r="Z119" i="53"/>
  <c r="Z8" i="53"/>
  <c r="Z47" i="53"/>
  <c r="AA47" i="53" s="1"/>
  <c r="Z137" i="53"/>
  <c r="Z139" i="53"/>
  <c r="Z34" i="53"/>
  <c r="AA34" i="53" s="1"/>
  <c r="Z101" i="53"/>
  <c r="Z64" i="53"/>
  <c r="Z108" i="53"/>
  <c r="AA108" i="53" s="1"/>
  <c r="Z19" i="53"/>
  <c r="Z133" i="53"/>
  <c r="Z13" i="53"/>
  <c r="Z68" i="53"/>
  <c r="Z40" i="53"/>
  <c r="Z93" i="53"/>
  <c r="Z121" i="53"/>
  <c r="AA121" i="53" s="1"/>
  <c r="Z31" i="53"/>
  <c r="Z138" i="53"/>
  <c r="AA138" i="53" s="1"/>
  <c r="Z61" i="53"/>
  <c r="Z20" i="53"/>
  <c r="Z110" i="53"/>
  <c r="Z52" i="53"/>
  <c r="Z5" i="53"/>
  <c r="Z82" i="53"/>
  <c r="Z17" i="53"/>
  <c r="Z122" i="53"/>
  <c r="Z15" i="53"/>
  <c r="Y3" i="53"/>
  <c r="Z7" i="58"/>
  <c r="Z3" i="58"/>
  <c r="Z23" i="56"/>
  <c r="Z2" i="56"/>
  <c r="Z44" i="56"/>
  <c r="Z27" i="56"/>
  <c r="Z17" i="56"/>
  <c r="Z20" i="56"/>
  <c r="Z31" i="56"/>
  <c r="Z37" i="56"/>
  <c r="Z5" i="56"/>
  <c r="Z4" i="56"/>
  <c r="Z30" i="56"/>
  <c r="Z35" i="56"/>
  <c r="Z36" i="56"/>
  <c r="Z41" i="56"/>
  <c r="Z45" i="56"/>
  <c r="Z18" i="56"/>
  <c r="AA18" i="56" s="1"/>
  <c r="Z14" i="56"/>
  <c r="AA14" i="56" s="1"/>
  <c r="Z29" i="56"/>
  <c r="AA29" i="56" s="1"/>
  <c r="Z25" i="56"/>
  <c r="AA25" i="56" s="1"/>
  <c r="Z7" i="56"/>
  <c r="AA7" i="56" s="1"/>
  <c r="Z40" i="56"/>
  <c r="AA40" i="56" s="1"/>
  <c r="Z24" i="56"/>
  <c r="Z10" i="56"/>
  <c r="Z31" i="59"/>
  <c r="Z69" i="59"/>
  <c r="Z105" i="59"/>
  <c r="Z144" i="59"/>
  <c r="Z116" i="59"/>
  <c r="Z70" i="59"/>
  <c r="Z106" i="59"/>
  <c r="AA106" i="59" s="1"/>
  <c r="Z145" i="59"/>
  <c r="Z35" i="59"/>
  <c r="Z73" i="59"/>
  <c r="Z109" i="59"/>
  <c r="Z11" i="59"/>
  <c r="Z83" i="59"/>
  <c r="Z5" i="59"/>
  <c r="Z89" i="59"/>
  <c r="Z43" i="59"/>
  <c r="Z84" i="59"/>
  <c r="Z24" i="59"/>
  <c r="Z50" i="59"/>
  <c r="Z123" i="59"/>
  <c r="Z13" i="59"/>
  <c r="Z30" i="59"/>
  <c r="Z56" i="59"/>
  <c r="Y117" i="59"/>
  <c r="Z45" i="59"/>
  <c r="Z37" i="59"/>
  <c r="Z75" i="59"/>
  <c r="AA75" i="59" s="1"/>
  <c r="Z111" i="59"/>
  <c r="Z4" i="59"/>
  <c r="Z39" i="59"/>
  <c r="Z76" i="59"/>
  <c r="AA76" i="59" s="1"/>
  <c r="Z112" i="59"/>
  <c r="Z7" i="59"/>
  <c r="Z12" i="59"/>
  <c r="Z79" i="59"/>
  <c r="Z115" i="59"/>
  <c r="Z23" i="59"/>
  <c r="Z95" i="59"/>
  <c r="Z17" i="59"/>
  <c r="Z101" i="59"/>
  <c r="Z77" i="59"/>
  <c r="AA77" i="59" s="1"/>
  <c r="Z96" i="59"/>
  <c r="AA96" i="59" s="1"/>
  <c r="Z126" i="59"/>
  <c r="Z62" i="59"/>
  <c r="Z136" i="59"/>
  <c r="Z90" i="59"/>
  <c r="Z8" i="59"/>
  <c r="Z104" i="59"/>
  <c r="Z57" i="59"/>
  <c r="Z127" i="59"/>
  <c r="Z81" i="59"/>
  <c r="Z118" i="59"/>
  <c r="Z10" i="59"/>
  <c r="Z46" i="59"/>
  <c r="Z82" i="59"/>
  <c r="AA82" i="59" s="1"/>
  <c r="Z119" i="59"/>
  <c r="Z9" i="59"/>
  <c r="Z49" i="59"/>
  <c r="AA49" i="59" s="1"/>
  <c r="Z85" i="59"/>
  <c r="Z122" i="59"/>
  <c r="Z33" i="59"/>
  <c r="Z107" i="59"/>
  <c r="Z28" i="59"/>
  <c r="Z113" i="59"/>
  <c r="AA113" i="59" s="1"/>
  <c r="Z34" i="59"/>
  <c r="Z108" i="59"/>
  <c r="Z42" i="59"/>
  <c r="Z74" i="59"/>
  <c r="Z6" i="59"/>
  <c r="Z102" i="59"/>
  <c r="AA102" i="59" s="1"/>
  <c r="Z80" i="59"/>
  <c r="Z44" i="59"/>
  <c r="Z15" i="59"/>
  <c r="Z38" i="59"/>
  <c r="AA38" i="59" s="1"/>
  <c r="Z87" i="59"/>
  <c r="Z124" i="59"/>
  <c r="Z16" i="59"/>
  <c r="Z52" i="59"/>
  <c r="Z88" i="59"/>
  <c r="Z125" i="59"/>
  <c r="Z78" i="59"/>
  <c r="Z55" i="59"/>
  <c r="AA55" i="59" s="1"/>
  <c r="Z91" i="59"/>
  <c r="Z129" i="59"/>
  <c r="Z47" i="59"/>
  <c r="AA47" i="59" s="1"/>
  <c r="Z120" i="59"/>
  <c r="Z40" i="59"/>
  <c r="AA40" i="59" s="1"/>
  <c r="Z139" i="59"/>
  <c r="Z48" i="59"/>
  <c r="Z121" i="59"/>
  <c r="Z14" i="59"/>
  <c r="Z86" i="59"/>
  <c r="Z18" i="59"/>
  <c r="AA18" i="59" s="1"/>
  <c r="Z114" i="59"/>
  <c r="Z117" i="59"/>
  <c r="AA117" i="59" s="1"/>
  <c r="Z130" i="59"/>
  <c r="N64" i="53"/>
  <c r="P64" i="53" s="1"/>
  <c r="Q64" i="53"/>
  <c r="U64" i="53" s="1"/>
  <c r="V64" i="53" s="1"/>
  <c r="W64" i="53" s="1"/>
  <c r="Y64" i="53" s="1"/>
  <c r="T81" i="53"/>
  <c r="AD106" i="53"/>
  <c r="AC20" i="53"/>
  <c r="AD20" i="53" s="1"/>
  <c r="T16" i="53"/>
  <c r="V46" i="53"/>
  <c r="W46" i="53" s="1"/>
  <c r="AC37" i="53"/>
  <c r="AD37" i="53" s="1"/>
  <c r="T49" i="53"/>
  <c r="AC35" i="53"/>
  <c r="AD35" i="53" s="1"/>
  <c r="AC78" i="53"/>
  <c r="AD78" i="53" s="1"/>
  <c r="Q14" i="53"/>
  <c r="U14" i="53" s="1"/>
  <c r="V14" i="53" s="1"/>
  <c r="W14" i="53" s="1"/>
  <c r="Y14" i="53" s="1"/>
  <c r="T14" i="53"/>
  <c r="T142" i="53"/>
  <c r="AC139" i="53"/>
  <c r="AD139" i="53" s="1"/>
  <c r="AC64" i="53"/>
  <c r="AD64" i="53" s="1"/>
  <c r="AD124" i="53"/>
  <c r="AC97" i="53"/>
  <c r="AD97" i="53" s="1"/>
  <c r="AC99" i="53"/>
  <c r="AD99" i="53" s="1"/>
  <c r="AC115" i="53"/>
  <c r="AD115" i="53" s="1"/>
  <c r="T64" i="53"/>
  <c r="AC131" i="53"/>
  <c r="AD131" i="53" s="1"/>
  <c r="T127" i="53"/>
  <c r="AC47" i="53"/>
  <c r="AD47" i="53" s="1"/>
  <c r="T99" i="53"/>
  <c r="Y56" i="53"/>
  <c r="Y4" i="53"/>
  <c r="AA126" i="53"/>
  <c r="Y121" i="53"/>
  <c r="Y25" i="53"/>
  <c r="Y128" i="53"/>
  <c r="Y71" i="53"/>
  <c r="N22" i="53"/>
  <c r="P22" i="53" s="1"/>
  <c r="Q22" i="53"/>
  <c r="U22" i="53" s="1"/>
  <c r="V22" i="53" s="1"/>
  <c r="W22" i="53" s="1"/>
  <c r="Y22" i="53" s="1"/>
  <c r="AC87" i="53"/>
  <c r="AD87" i="53" s="1"/>
  <c r="AC118" i="53"/>
  <c r="AD118" i="53" s="1"/>
  <c r="AC121" i="53"/>
  <c r="AD121" i="53" s="1"/>
  <c r="T118" i="53"/>
  <c r="N3" i="53"/>
  <c r="P3" i="53" s="1"/>
  <c r="AC81" i="53"/>
  <c r="AD81" i="53" s="1"/>
  <c r="AC77" i="53"/>
  <c r="AD77" i="53" s="1"/>
  <c r="T78" i="53"/>
  <c r="T89" i="53"/>
  <c r="AD2" i="53"/>
  <c r="AD14" i="53"/>
  <c r="T56" i="53"/>
  <c r="T2" i="53"/>
  <c r="T117" i="53"/>
  <c r="AC83" i="53"/>
  <c r="AD83" i="53" s="1"/>
  <c r="AC63" i="53"/>
  <c r="AD63" i="53" s="1"/>
  <c r="T67" i="53"/>
  <c r="AC86" i="53"/>
  <c r="AD86" i="53" s="1"/>
  <c r="AC136" i="53"/>
  <c r="AD136" i="53" s="1"/>
  <c r="AC89" i="53"/>
  <c r="AD89" i="53" s="1"/>
  <c r="T3" i="53"/>
  <c r="T121" i="53"/>
  <c r="T115" i="53"/>
  <c r="Q89" i="53"/>
  <c r="U89" i="53" s="1"/>
  <c r="V89" i="53" s="1"/>
  <c r="W89" i="53" s="1"/>
  <c r="Y89" i="53" s="1"/>
  <c r="AD26" i="53"/>
  <c r="AC56" i="53"/>
  <c r="AD56" i="53" s="1"/>
  <c r="AD36" i="53"/>
  <c r="T47" i="53"/>
  <c r="T83" i="53"/>
  <c r="T73" i="53"/>
  <c r="T108" i="53"/>
  <c r="Q127" i="53"/>
  <c r="U127" i="53" s="1"/>
  <c r="V127" i="53" s="1"/>
  <c r="W127" i="53" s="1"/>
  <c r="Y127" i="53" s="1"/>
  <c r="N127" i="53"/>
  <c r="P127" i="53" s="1"/>
  <c r="Q65" i="53"/>
  <c r="U65" i="53" s="1"/>
  <c r="V65" i="53" s="1"/>
  <c r="W65" i="53" s="1"/>
  <c r="Y65" i="53" s="1"/>
  <c r="N65" i="53"/>
  <c r="P65" i="53" s="1"/>
  <c r="N49" i="53"/>
  <c r="P49" i="53" s="1"/>
  <c r="Q49" i="53"/>
  <c r="U49" i="53" s="1"/>
  <c r="V49" i="53" s="1"/>
  <c r="W49" i="53" s="1"/>
  <c r="Y49" i="53" s="1"/>
  <c r="N41" i="53"/>
  <c r="P41" i="53" s="1"/>
  <c r="Q41" i="53"/>
  <c r="U41" i="53" s="1"/>
  <c r="V41" i="53" s="1"/>
  <c r="W41" i="53" s="1"/>
  <c r="Y41" i="53" s="1"/>
  <c r="N52" i="53"/>
  <c r="P52" i="53" s="1"/>
  <c r="Q52" i="53"/>
  <c r="U52" i="53" s="1"/>
  <c r="V52" i="53" s="1"/>
  <c r="W52" i="53" s="1"/>
  <c r="Y52" i="53" s="1"/>
  <c r="N99" i="53"/>
  <c r="P99" i="53" s="1"/>
  <c r="Q99" i="53"/>
  <c r="U99" i="53" s="1"/>
  <c r="V99" i="53" s="1"/>
  <c r="W99" i="53" s="1"/>
  <c r="AA99" i="53" s="1"/>
  <c r="Q51" i="53"/>
  <c r="U51" i="53" s="1"/>
  <c r="V51" i="53" s="1"/>
  <c r="W51" i="53" s="1"/>
  <c r="Y51" i="53" s="1"/>
  <c r="N51" i="53"/>
  <c r="P51" i="53" s="1"/>
  <c r="AD103" i="53"/>
  <c r="Q134" i="53"/>
  <c r="U134" i="53" s="1"/>
  <c r="V134" i="53" s="1"/>
  <c r="W134" i="53" s="1"/>
  <c r="Y134" i="53" s="1"/>
  <c r="T139" i="53"/>
  <c r="T57" i="53"/>
  <c r="T71" i="53"/>
  <c r="N108" i="53"/>
  <c r="P108" i="53" s="1"/>
  <c r="AD74" i="53"/>
  <c r="Q137" i="53"/>
  <c r="U137" i="53" s="1"/>
  <c r="V137" i="53" s="1"/>
  <c r="W137" i="53" s="1"/>
  <c r="Y137" i="53" s="1"/>
  <c r="AC113" i="53"/>
  <c r="AD113" i="53" s="1"/>
  <c r="AC108" i="53"/>
  <c r="AD108" i="53" s="1"/>
  <c r="AC39" i="53"/>
  <c r="AD39" i="53" s="1"/>
  <c r="T55" i="53"/>
  <c r="AC84" i="53"/>
  <c r="AD84" i="53" s="1"/>
  <c r="AC90" i="53"/>
  <c r="AD90" i="53" s="1"/>
  <c r="T59" i="53"/>
  <c r="Q63" i="53"/>
  <c r="U63" i="53" s="1"/>
  <c r="V63" i="53" s="1"/>
  <c r="W63" i="53" s="1"/>
  <c r="AA63" i="53" s="1"/>
  <c r="T113" i="53"/>
  <c r="N131" i="53"/>
  <c r="P131" i="53" s="1"/>
  <c r="AD117" i="53"/>
  <c r="T90" i="53"/>
  <c r="T21" i="53"/>
  <c r="AC141" i="53"/>
  <c r="AD141" i="53" s="1"/>
  <c r="T39" i="53"/>
  <c r="AC57" i="53"/>
  <c r="AD57" i="53" s="1"/>
  <c r="AC137" i="53"/>
  <c r="AD137" i="53" s="1"/>
  <c r="AC41" i="53"/>
  <c r="AD41" i="53" s="1"/>
  <c r="R142" i="53"/>
  <c r="Q142" i="53" s="1"/>
  <c r="U142" i="53" s="1"/>
  <c r="V142" i="53" s="1"/>
  <c r="W142" i="53" s="1"/>
  <c r="Y142" i="53" s="1"/>
  <c r="R86" i="53"/>
  <c r="N113" i="53"/>
  <c r="P113" i="53" s="1"/>
  <c r="AD22" i="53"/>
  <c r="T87" i="53"/>
  <c r="AD147" i="53"/>
  <c r="T41" i="53"/>
  <c r="T137" i="53"/>
  <c r="AC134" i="53"/>
  <c r="AD134" i="53" s="1"/>
  <c r="N118" i="53"/>
  <c r="P118" i="53" s="1"/>
  <c r="AD44" i="53"/>
  <c r="N85" i="53"/>
  <c r="Q85" i="53"/>
  <c r="U85" i="53" s="1"/>
  <c r="Q15" i="51" s="1"/>
  <c r="N53" i="53"/>
  <c r="P53" i="53" s="1"/>
  <c r="Q53" i="53"/>
  <c r="U53" i="53" s="1"/>
  <c r="V53" i="53" s="1"/>
  <c r="W53" i="53" s="1"/>
  <c r="N42" i="53"/>
  <c r="P42" i="53" s="1"/>
  <c r="Q42" i="53"/>
  <c r="U42" i="53" s="1"/>
  <c r="V42" i="53" s="1"/>
  <c r="W42" i="53" s="1"/>
  <c r="AD73" i="53"/>
  <c r="AC42" i="53"/>
  <c r="AD42" i="53" s="1"/>
  <c r="T72" i="53"/>
  <c r="T46" i="53"/>
  <c r="AC100" i="53"/>
  <c r="AD100" i="53" s="1"/>
  <c r="AC70" i="53"/>
  <c r="AD70" i="53" s="1"/>
  <c r="T141" i="53"/>
  <c r="T53" i="53"/>
  <c r="AC126" i="53"/>
  <c r="AD126" i="53" s="1"/>
  <c r="V77" i="53"/>
  <c r="W77" i="53" s="1"/>
  <c r="Y77" i="53" s="1"/>
  <c r="T148" i="53"/>
  <c r="AC148" i="53"/>
  <c r="AD148" i="53" s="1"/>
  <c r="N140" i="53"/>
  <c r="P140" i="53" s="1"/>
  <c r="N70" i="53"/>
  <c r="P70" i="53" s="1"/>
  <c r="AD28" i="53"/>
  <c r="AD6" i="53"/>
  <c r="Q32" i="53"/>
  <c r="U32" i="53" s="1"/>
  <c r="T32" i="53"/>
  <c r="T76" i="53"/>
  <c r="T140" i="53"/>
  <c r="AC53" i="53"/>
  <c r="AD53" i="53" s="1"/>
  <c r="T26" i="53"/>
  <c r="M15" i="51"/>
  <c r="T19" i="53"/>
  <c r="AC72" i="53"/>
  <c r="AD72" i="53" s="1"/>
  <c r="AC107" i="53"/>
  <c r="AD107" i="53" s="1"/>
  <c r="AC116" i="53"/>
  <c r="AD116" i="53" s="1"/>
  <c r="AC15" i="53"/>
  <c r="AD15" i="53" s="1"/>
  <c r="T104" i="53"/>
  <c r="T144" i="53"/>
  <c r="T74" i="53"/>
  <c r="AC76" i="53"/>
  <c r="AD76" i="53" s="1"/>
  <c r="AC88" i="53"/>
  <c r="AD88" i="53" s="1"/>
  <c r="AC140" i="53"/>
  <c r="AD140" i="53" s="1"/>
  <c r="AC32" i="53"/>
  <c r="AD32" i="53" s="1"/>
  <c r="N71" i="53"/>
  <c r="P71" i="53" s="1"/>
  <c r="AD142" i="53"/>
  <c r="N87" i="53"/>
  <c r="P87" i="53" s="1"/>
  <c r="R116" i="53"/>
  <c r="Q116" i="53" s="1"/>
  <c r="U116" i="53" s="1"/>
  <c r="V116" i="53" s="1"/>
  <c r="W116" i="53" s="1"/>
  <c r="Y116" i="53" s="1"/>
  <c r="R102" i="53"/>
  <c r="Q102" i="53" s="1"/>
  <c r="U102" i="53" s="1"/>
  <c r="V102" i="53" s="1"/>
  <c r="W102" i="53" s="1"/>
  <c r="R44" i="53"/>
  <c r="N44" i="53" s="1"/>
  <c r="P44" i="53" s="1"/>
  <c r="R30" i="53"/>
  <c r="Q30" i="53" s="1"/>
  <c r="U30" i="53" s="1"/>
  <c r="V30" i="53" s="1"/>
  <c r="W30" i="53" s="1"/>
  <c r="R2" i="53"/>
  <c r="R5" i="53"/>
  <c r="N5" i="53" s="1"/>
  <c r="P5" i="53" s="1"/>
  <c r="AC104" i="53"/>
  <c r="AD104" i="53" s="1"/>
  <c r="AC50" i="53"/>
  <c r="AD50" i="53" s="1"/>
  <c r="AC144" i="53"/>
  <c r="AD144" i="53" s="1"/>
  <c r="T130" i="53"/>
  <c r="AC128" i="53"/>
  <c r="AD128" i="53" s="1"/>
  <c r="Q7" i="53"/>
  <c r="U7" i="53" s="1"/>
  <c r="V7" i="53" s="1"/>
  <c r="W7" i="53" s="1"/>
  <c r="AA7" i="53" s="1"/>
  <c r="T126" i="53"/>
  <c r="T84" i="53"/>
  <c r="T5" i="53"/>
  <c r="AC7" i="53"/>
  <c r="AD7" i="53" s="1"/>
  <c r="AC130" i="53"/>
  <c r="AD130" i="53" s="1"/>
  <c r="Q104" i="53"/>
  <c r="U104" i="53" s="1"/>
  <c r="V104" i="53" s="1"/>
  <c r="W104" i="53" s="1"/>
  <c r="Y104" i="53" s="1"/>
  <c r="Q105" i="53"/>
  <c r="U105" i="53" s="1"/>
  <c r="V105" i="53" s="1"/>
  <c r="W105" i="53" s="1"/>
  <c r="Y105" i="53" s="1"/>
  <c r="V20" i="53"/>
  <c r="W20" i="53" s="1"/>
  <c r="V32" i="53"/>
  <c r="W32" i="53" s="1"/>
  <c r="Y32" i="53" s="1"/>
  <c r="T20" i="53"/>
  <c r="AC19" i="53"/>
  <c r="AD19" i="53" s="1"/>
  <c r="T7" i="53"/>
  <c r="T77" i="53"/>
  <c r="T100" i="53"/>
  <c r="N90" i="53"/>
  <c r="P90" i="53" s="1"/>
  <c r="N4" i="53"/>
  <c r="P4" i="53" s="1"/>
  <c r="R93" i="53"/>
  <c r="AC93" i="53"/>
  <c r="AD93" i="53" s="1"/>
  <c r="R82" i="53"/>
  <c r="AC82" i="53"/>
  <c r="AD82" i="53" s="1"/>
  <c r="N79" i="53"/>
  <c r="P79" i="53" s="1"/>
  <c r="AC79" i="53"/>
  <c r="AD79" i="53" s="1"/>
  <c r="T79" i="53"/>
  <c r="N34" i="53"/>
  <c r="P34" i="53" s="1"/>
  <c r="AC34" i="53"/>
  <c r="AD34" i="53" s="1"/>
  <c r="T34" i="53"/>
  <c r="R17" i="53"/>
  <c r="T17" i="53"/>
  <c r="R11" i="53"/>
  <c r="AC11" i="53"/>
  <c r="AD11" i="53" s="1"/>
  <c r="AC13" i="53"/>
  <c r="AD13" i="53" s="1"/>
  <c r="T85" i="53"/>
  <c r="V85" i="53"/>
  <c r="W85" i="53" s="1"/>
  <c r="N120" i="53"/>
  <c r="P120" i="53" s="1"/>
  <c r="T120" i="53"/>
  <c r="V120" i="53"/>
  <c r="W120" i="53" s="1"/>
  <c r="Y120" i="53" s="1"/>
  <c r="AC120" i="53"/>
  <c r="AD120" i="53" s="1"/>
  <c r="N54" i="53"/>
  <c r="P54" i="53" s="1"/>
  <c r="V54" i="53"/>
  <c r="W54" i="53" s="1"/>
  <c r="AC54" i="53"/>
  <c r="AD54" i="53" s="1"/>
  <c r="T54" i="53"/>
  <c r="R37" i="53"/>
  <c r="Q37" i="53" s="1"/>
  <c r="U37" i="53" s="1"/>
  <c r="V37" i="53" s="1"/>
  <c r="W37" i="53" s="1"/>
  <c r="R23" i="53"/>
  <c r="Q23" i="53" s="1"/>
  <c r="U23" i="53" s="1"/>
  <c r="V23" i="53" s="1"/>
  <c r="W23" i="53" s="1"/>
  <c r="Y23" i="53" s="1"/>
  <c r="R94" i="53"/>
  <c r="N94" i="53" s="1"/>
  <c r="P94" i="53" s="1"/>
  <c r="T94" i="53"/>
  <c r="R114" i="53"/>
  <c r="Q114" i="53" s="1"/>
  <c r="U114" i="53" s="1"/>
  <c r="V114" i="53" s="1"/>
  <c r="W114" i="53" s="1"/>
  <c r="Y114" i="53" s="1"/>
  <c r="T28" i="53"/>
  <c r="Q57" i="53"/>
  <c r="U57" i="53" s="1"/>
  <c r="V57" i="53" s="1"/>
  <c r="W57" i="53" s="1"/>
  <c r="Y57" i="53" s="1"/>
  <c r="N57" i="53"/>
  <c r="P57" i="53" s="1"/>
  <c r="AC17" i="53"/>
  <c r="AD17" i="53" s="1"/>
  <c r="AC85" i="53"/>
  <c r="AD85" i="53" s="1"/>
  <c r="Q147" i="53"/>
  <c r="U147" i="53" s="1"/>
  <c r="V147" i="53" s="1"/>
  <c r="W147" i="53" s="1"/>
  <c r="AC58" i="53"/>
  <c r="AD58" i="53" s="1"/>
  <c r="AD132" i="53"/>
  <c r="Q81" i="53"/>
  <c r="U81" i="53" s="1"/>
  <c r="V81" i="53" s="1"/>
  <c r="W81" i="53" s="1"/>
  <c r="Y81" i="53" s="1"/>
  <c r="N81" i="53"/>
  <c r="P81" i="53" s="1"/>
  <c r="R123" i="53"/>
  <c r="T123" i="53"/>
  <c r="R129" i="53"/>
  <c r="AC129" i="53"/>
  <c r="AD129" i="53" s="1"/>
  <c r="R45" i="53"/>
  <c r="AC45" i="53"/>
  <c r="AD45" i="53" s="1"/>
  <c r="N36" i="53"/>
  <c r="P36" i="53" s="1"/>
  <c r="Q36" i="53"/>
  <c r="U36" i="53" s="1"/>
  <c r="V36" i="53" s="1"/>
  <c r="W36" i="53" s="1"/>
  <c r="AA36" i="53" s="1"/>
  <c r="R143" i="53"/>
  <c r="Q143" i="53" s="1"/>
  <c r="U143" i="53" s="1"/>
  <c r="V143" i="53" s="1"/>
  <c r="W143" i="53" s="1"/>
  <c r="Y143" i="53" s="1"/>
  <c r="AC143" i="53"/>
  <c r="AD143" i="53" s="1"/>
  <c r="R91" i="53"/>
  <c r="Q91" i="53" s="1"/>
  <c r="U91" i="53" s="1"/>
  <c r="V91" i="53" s="1"/>
  <c r="W91" i="53" s="1"/>
  <c r="AC91" i="53"/>
  <c r="AD91" i="53" s="1"/>
  <c r="Q35" i="53"/>
  <c r="U35" i="53" s="1"/>
  <c r="V35" i="53" s="1"/>
  <c r="W35" i="53" s="1"/>
  <c r="T69" i="53"/>
  <c r="AC69" i="53"/>
  <c r="AD69" i="53" s="1"/>
  <c r="R96" i="53"/>
  <c r="AC30" i="53"/>
  <c r="AD30" i="53" s="1"/>
  <c r="Q12" i="53"/>
  <c r="U12" i="53" s="1"/>
  <c r="V12" i="53" s="1"/>
  <c r="W12" i="53" s="1"/>
  <c r="Y12" i="53" s="1"/>
  <c r="N12" i="53"/>
  <c r="P12" i="53" s="1"/>
  <c r="Q19" i="53"/>
  <c r="U19" i="53" s="1"/>
  <c r="V19" i="53" s="1"/>
  <c r="W19" i="53" s="1"/>
  <c r="Y19" i="53" s="1"/>
  <c r="T114" i="53"/>
  <c r="R135" i="53"/>
  <c r="T135" i="53"/>
  <c r="T82" i="53"/>
  <c r="AC94" i="53"/>
  <c r="AD94" i="53" s="1"/>
  <c r="AC114" i="53"/>
  <c r="AD114" i="53" s="1"/>
  <c r="T23" i="53"/>
  <c r="AD3" i="53"/>
  <c r="AC102" i="53"/>
  <c r="AD102" i="53" s="1"/>
  <c r="T13" i="53"/>
  <c r="T93" i="53"/>
  <c r="AC96" i="53"/>
  <c r="AD96" i="53" s="1"/>
  <c r="R145" i="53"/>
  <c r="AC145" i="53"/>
  <c r="AD145" i="53" s="1"/>
  <c r="Q130" i="53"/>
  <c r="U130" i="53" s="1"/>
  <c r="V130" i="53" s="1"/>
  <c r="W130" i="53" s="1"/>
  <c r="Y130" i="53" s="1"/>
  <c r="N130" i="53"/>
  <c r="P130" i="53" s="1"/>
  <c r="R88" i="53"/>
  <c r="Q88" i="53" s="1"/>
  <c r="U88" i="53" s="1"/>
  <c r="V88" i="53" s="1"/>
  <c r="W88" i="53" s="1"/>
  <c r="R125" i="53"/>
  <c r="T125" i="53"/>
  <c r="AC125" i="53"/>
  <c r="AD125" i="53" s="1"/>
  <c r="R133" i="53"/>
  <c r="T133" i="53"/>
  <c r="AC133" i="53"/>
  <c r="AD133" i="53" s="1"/>
  <c r="R111" i="53"/>
  <c r="T111" i="53"/>
  <c r="AC111" i="53"/>
  <c r="AD111" i="53" s="1"/>
  <c r="N67" i="53"/>
  <c r="P67" i="53" s="1"/>
  <c r="AC67" i="53"/>
  <c r="AD67" i="53" s="1"/>
  <c r="AC105" i="53"/>
  <c r="AD105" i="53" s="1"/>
  <c r="T105" i="53"/>
  <c r="R61" i="53"/>
  <c r="Q61" i="53" s="1"/>
  <c r="U61" i="53" s="1"/>
  <c r="V61" i="53" s="1"/>
  <c r="W61" i="53" s="1"/>
  <c r="AC61" i="53"/>
  <c r="AD61" i="53" s="1"/>
  <c r="R58" i="53"/>
  <c r="R28" i="53"/>
  <c r="N28" i="53" s="1"/>
  <c r="P28" i="53" s="1"/>
  <c r="R13" i="53"/>
  <c r="Q13" i="53" s="1"/>
  <c r="U13" i="53" s="1"/>
  <c r="V13" i="53" s="1"/>
  <c r="W13" i="53" s="1"/>
  <c r="Y13" i="53" s="1"/>
  <c r="N46" i="53"/>
  <c r="P46" i="53" s="1"/>
  <c r="N92" i="53"/>
  <c r="P92" i="53" s="1"/>
  <c r="N84" i="53"/>
  <c r="P84" i="53" s="1"/>
  <c r="N78" i="53"/>
  <c r="P78" i="53" s="1"/>
  <c r="N59" i="53"/>
  <c r="P59" i="53" s="1"/>
  <c r="N47" i="53"/>
  <c r="P47" i="53" s="1"/>
  <c r="N39" i="53"/>
  <c r="P39" i="53" s="1"/>
  <c r="N66" i="53"/>
  <c r="P66" i="53" s="1"/>
  <c r="N9" i="53"/>
  <c r="P9" i="53" s="1"/>
  <c r="AD38" i="53"/>
  <c r="N126" i="53"/>
  <c r="P126" i="53" s="1"/>
  <c r="N128" i="53"/>
  <c r="P128" i="53" s="1"/>
  <c r="N56" i="53"/>
  <c r="P56" i="53" s="1"/>
  <c r="N100" i="53"/>
  <c r="P100" i="53" s="1"/>
  <c r="N77" i="53"/>
  <c r="P77" i="53" s="1"/>
  <c r="N25" i="53"/>
  <c r="P25" i="53" s="1"/>
  <c r="N20" i="53"/>
  <c r="P20" i="53" s="1"/>
  <c r="Q72" i="53"/>
  <c r="U72" i="53" s="1"/>
  <c r="V72" i="53" s="1"/>
  <c r="W72" i="53" s="1"/>
  <c r="Y72" i="53" s="1"/>
  <c r="N72" i="53"/>
  <c r="P72" i="53" s="1"/>
  <c r="AC24" i="53"/>
  <c r="AD24" i="53" s="1"/>
  <c r="R132" i="53"/>
  <c r="Q132" i="53" s="1"/>
  <c r="U132" i="53" s="1"/>
  <c r="V132" i="53" s="1"/>
  <c r="W132" i="53" s="1"/>
  <c r="T132" i="53"/>
  <c r="R122" i="53"/>
  <c r="Q122" i="53" s="1"/>
  <c r="U122" i="53" s="1"/>
  <c r="V122" i="53" s="1"/>
  <c r="W122" i="53" s="1"/>
  <c r="AC122" i="53"/>
  <c r="AD122" i="53" s="1"/>
  <c r="R119" i="53"/>
  <c r="Q119" i="53" s="1"/>
  <c r="U119" i="53" s="1"/>
  <c r="V119" i="53" s="1"/>
  <c r="W119" i="53" s="1"/>
  <c r="T119" i="53"/>
  <c r="R110" i="53"/>
  <c r="Q110" i="53" s="1"/>
  <c r="U110" i="53" s="1"/>
  <c r="V110" i="53" s="1"/>
  <c r="W110" i="53" s="1"/>
  <c r="AA110" i="53" s="1"/>
  <c r="T110" i="53"/>
  <c r="AC110" i="53"/>
  <c r="AD110" i="53" s="1"/>
  <c r="R68" i="53"/>
  <c r="Q68" i="53" s="1"/>
  <c r="U68" i="53" s="1"/>
  <c r="V68" i="53" s="1"/>
  <c r="W68" i="53" s="1"/>
  <c r="Y68" i="53" s="1"/>
  <c r="AC68" i="53"/>
  <c r="AD68" i="53" s="1"/>
  <c r="T68" i="53"/>
  <c r="R60" i="53"/>
  <c r="Q60" i="53" s="1"/>
  <c r="U60" i="53" s="1"/>
  <c r="V60" i="53" s="1"/>
  <c r="W60" i="53" s="1"/>
  <c r="T60" i="53"/>
  <c r="AC60" i="53"/>
  <c r="AD60" i="53" s="1"/>
  <c r="N27" i="53"/>
  <c r="P27" i="53" s="1"/>
  <c r="Q27" i="53"/>
  <c r="U27" i="53" s="1"/>
  <c r="V27" i="53" s="1"/>
  <c r="W27" i="53" s="1"/>
  <c r="Y27" i="53" s="1"/>
  <c r="R10" i="53"/>
  <c r="Q10" i="53" s="1"/>
  <c r="U10" i="53" s="1"/>
  <c r="V10" i="53" s="1"/>
  <c r="W10" i="53" s="1"/>
  <c r="T10" i="53"/>
  <c r="R62" i="53"/>
  <c r="Q62" i="53" s="1"/>
  <c r="U62" i="53" s="1"/>
  <c r="V62" i="53" s="1"/>
  <c r="W62" i="53" s="1"/>
  <c r="AC62" i="53"/>
  <c r="AD62" i="53" s="1"/>
  <c r="R6" i="53"/>
  <c r="Q6" i="53" s="1"/>
  <c r="U6" i="53" s="1"/>
  <c r="V6" i="53" s="1"/>
  <c r="W6" i="53" s="1"/>
  <c r="N141" i="53"/>
  <c r="P141" i="53" s="1"/>
  <c r="Q141" i="53"/>
  <c r="U141" i="53" s="1"/>
  <c r="V141" i="53" s="1"/>
  <c r="W141" i="53" s="1"/>
  <c r="R106" i="53"/>
  <c r="Q106" i="53" s="1"/>
  <c r="U106" i="53" s="1"/>
  <c r="V106" i="53" s="1"/>
  <c r="W106" i="53" s="1"/>
  <c r="R101" i="53"/>
  <c r="Q101" i="53" s="1"/>
  <c r="U101" i="53" s="1"/>
  <c r="V101" i="53" s="1"/>
  <c r="W101" i="53" s="1"/>
  <c r="AC101" i="53"/>
  <c r="AD101" i="53" s="1"/>
  <c r="R33" i="53"/>
  <c r="Q33" i="53" s="1"/>
  <c r="U33" i="53" s="1"/>
  <c r="V33" i="53" s="1"/>
  <c r="W33" i="53" s="1"/>
  <c r="N33" i="53"/>
  <c r="P33" i="53" s="1"/>
  <c r="AC33" i="53"/>
  <c r="AD33" i="53" s="1"/>
  <c r="R29" i="53"/>
  <c r="Q29" i="53" s="1"/>
  <c r="U29" i="53" s="1"/>
  <c r="V29" i="53" s="1"/>
  <c r="W29" i="53" s="1"/>
  <c r="AC29" i="53"/>
  <c r="AD29" i="53" s="1"/>
  <c r="R15" i="53"/>
  <c r="Q15" i="53" s="1"/>
  <c r="U15" i="53" s="1"/>
  <c r="V15" i="53" s="1"/>
  <c r="W15" i="53" s="1"/>
  <c r="R98" i="53"/>
  <c r="Q98" i="53" s="1"/>
  <c r="U98" i="53" s="1"/>
  <c r="V98" i="53" s="1"/>
  <c r="W98" i="53" s="1"/>
  <c r="T98" i="53"/>
  <c r="N97" i="53"/>
  <c r="P97" i="53" s="1"/>
  <c r="V97" i="53"/>
  <c r="W97" i="53" s="1"/>
  <c r="Y97" i="53" s="1"/>
  <c r="Q107" i="53"/>
  <c r="U107" i="53" s="1"/>
  <c r="V107" i="53" s="1"/>
  <c r="W107" i="53" s="1"/>
  <c r="T62" i="53"/>
  <c r="T122" i="53"/>
  <c r="T97" i="53"/>
  <c r="N76" i="53"/>
  <c r="P76" i="53" s="1"/>
  <c r="Q76" i="53"/>
  <c r="U76" i="53" s="1"/>
  <c r="V76" i="53" s="1"/>
  <c r="W76" i="53" s="1"/>
  <c r="AA76" i="53" s="1"/>
  <c r="R24" i="53"/>
  <c r="Q24" i="53" s="1"/>
  <c r="U24" i="53" s="1"/>
  <c r="V24" i="53" s="1"/>
  <c r="W24" i="53" s="1"/>
  <c r="R18" i="53"/>
  <c r="Q18" i="53" s="1"/>
  <c r="U18" i="53" s="1"/>
  <c r="V18" i="53" s="1"/>
  <c r="W18" i="53" s="1"/>
  <c r="T18" i="53"/>
  <c r="AC18" i="53"/>
  <c r="AD18" i="53" s="1"/>
  <c r="AD127" i="53"/>
  <c r="N95" i="53"/>
  <c r="P95" i="53" s="1"/>
  <c r="V95" i="53"/>
  <c r="W95" i="53" s="1"/>
  <c r="T95" i="53"/>
  <c r="T6" i="53"/>
  <c r="AD51" i="53"/>
  <c r="AC98" i="53"/>
  <c r="AD98" i="53" s="1"/>
  <c r="AC95" i="53"/>
  <c r="AD95" i="53" s="1"/>
  <c r="Q148" i="53"/>
  <c r="U148" i="53" s="1"/>
  <c r="V148" i="53" s="1"/>
  <c r="W148" i="53" s="1"/>
  <c r="AA148" i="53" s="1"/>
  <c r="R75" i="53"/>
  <c r="Q75" i="53" s="1"/>
  <c r="U75" i="53" s="1"/>
  <c r="V75" i="53" s="1"/>
  <c r="W75" i="53" s="1"/>
  <c r="Y75" i="53" s="1"/>
  <c r="AC75" i="53"/>
  <c r="AD75" i="53" s="1"/>
  <c r="N138" i="53"/>
  <c r="P138" i="53" s="1"/>
  <c r="T138" i="53"/>
  <c r="AC138" i="53"/>
  <c r="AD138" i="53" s="1"/>
  <c r="R38" i="53"/>
  <c r="Q38" i="53" s="1"/>
  <c r="U38" i="53" s="1"/>
  <c r="V38" i="53" s="1"/>
  <c r="W38" i="53" s="1"/>
  <c r="Y38" i="53" s="1"/>
  <c r="T38" i="53"/>
  <c r="P14" i="53"/>
  <c r="R112" i="53"/>
  <c r="Q112" i="53" s="1"/>
  <c r="U112" i="53" s="1"/>
  <c r="V112" i="53" s="1"/>
  <c r="W112" i="53" s="1"/>
  <c r="Y112" i="53" s="1"/>
  <c r="R109" i="53"/>
  <c r="Q109" i="53" s="1"/>
  <c r="U109" i="53" s="1"/>
  <c r="V109" i="53" s="1"/>
  <c r="W109" i="53" s="1"/>
  <c r="AC109" i="53"/>
  <c r="AD109" i="53" s="1"/>
  <c r="R74" i="53"/>
  <c r="Q74" i="53" s="1"/>
  <c r="U74" i="53" s="1"/>
  <c r="V74" i="53" s="1"/>
  <c r="W74" i="53" s="1"/>
  <c r="AA74" i="53" s="1"/>
  <c r="R48" i="53"/>
  <c r="Q48" i="53" s="1"/>
  <c r="U48" i="53" s="1"/>
  <c r="V48" i="53" s="1"/>
  <c r="W48" i="53" s="1"/>
  <c r="AC48" i="53"/>
  <c r="AD48" i="53" s="1"/>
  <c r="R8" i="53"/>
  <c r="Q8" i="53" s="1"/>
  <c r="U8" i="53" s="1"/>
  <c r="V8" i="53" s="1"/>
  <c r="W8" i="53" s="1"/>
  <c r="AC8" i="53"/>
  <c r="AD8" i="53" s="1"/>
  <c r="Q136" i="53"/>
  <c r="U136" i="53" s="1"/>
  <c r="V136" i="53" s="1"/>
  <c r="W136" i="53" s="1"/>
  <c r="Y136" i="53" s="1"/>
  <c r="T8" i="53"/>
  <c r="T109" i="53"/>
  <c r="T112" i="53"/>
  <c r="AD27" i="53"/>
  <c r="R80" i="53"/>
  <c r="Q80" i="53" s="1"/>
  <c r="U80" i="53" s="1"/>
  <c r="V80" i="53" s="1"/>
  <c r="W80" i="53" s="1"/>
  <c r="Y80" i="53" s="1"/>
  <c r="T80" i="53"/>
  <c r="N69" i="53"/>
  <c r="P69" i="53" s="1"/>
  <c r="Q69" i="53"/>
  <c r="U69" i="53" s="1"/>
  <c r="V69" i="53" s="1"/>
  <c r="W69" i="53" s="1"/>
  <c r="Y69" i="53" s="1"/>
  <c r="R40" i="53"/>
  <c r="Q40" i="53" s="1"/>
  <c r="U40" i="53" s="1"/>
  <c r="V40" i="53" s="1"/>
  <c r="W40" i="53" s="1"/>
  <c r="Y40" i="53" s="1"/>
  <c r="AC40" i="53"/>
  <c r="AD40" i="53" s="1"/>
  <c r="R31" i="53"/>
  <c r="Q31" i="53" s="1"/>
  <c r="U31" i="53" s="1"/>
  <c r="V31" i="53" s="1"/>
  <c r="W31" i="53" s="1"/>
  <c r="Y31" i="53" s="1"/>
  <c r="AC31" i="53"/>
  <c r="AD31" i="53" s="1"/>
  <c r="R73" i="53"/>
  <c r="Q73" i="53" s="1"/>
  <c r="U73" i="53" s="1"/>
  <c r="V73" i="53" s="1"/>
  <c r="W73" i="53" s="1"/>
  <c r="P7" i="53"/>
  <c r="AD12" i="53"/>
  <c r="T143" i="53"/>
  <c r="N139" i="53"/>
  <c r="P139" i="53" s="1"/>
  <c r="R124" i="53"/>
  <c r="Q124" i="53" s="1"/>
  <c r="U124" i="53" s="1"/>
  <c r="V124" i="53" s="1"/>
  <c r="W124" i="53" s="1"/>
  <c r="Y124" i="53" s="1"/>
  <c r="R103" i="53"/>
  <c r="Q103" i="53" s="1"/>
  <c r="U103" i="53" s="1"/>
  <c r="V103" i="53" s="1"/>
  <c r="W103" i="53" s="1"/>
  <c r="R55" i="53"/>
  <c r="Q55" i="53" s="1"/>
  <c r="U55" i="53" s="1"/>
  <c r="V55" i="53" s="1"/>
  <c r="W55" i="53" s="1"/>
  <c r="Y55" i="53" s="1"/>
  <c r="R50" i="53"/>
  <c r="Q50" i="53" s="1"/>
  <c r="U50" i="53" s="1"/>
  <c r="V50" i="53" s="1"/>
  <c r="W50" i="53" s="1"/>
  <c r="R26" i="53"/>
  <c r="Q26" i="53" s="1"/>
  <c r="U26" i="53" s="1"/>
  <c r="V26" i="53" s="1"/>
  <c r="W26" i="53" s="1"/>
  <c r="AD55" i="53"/>
  <c r="N144" i="53"/>
  <c r="P144" i="53" s="1"/>
  <c r="N83" i="53"/>
  <c r="P83" i="53" s="1"/>
  <c r="V83" i="53"/>
  <c r="W83" i="53" s="1"/>
  <c r="R117" i="53"/>
  <c r="Q117" i="53" s="1"/>
  <c r="U117" i="53" s="1"/>
  <c r="V117" i="53" s="1"/>
  <c r="W117" i="53" s="1"/>
  <c r="AA117" i="53" s="1"/>
  <c r="R43" i="53"/>
  <c r="Q43" i="53" s="1"/>
  <c r="U43" i="53" s="1"/>
  <c r="V43" i="53" s="1"/>
  <c r="W43" i="53" s="1"/>
  <c r="AC43" i="53"/>
  <c r="AD43" i="53" s="1"/>
  <c r="R16" i="53"/>
  <c r="Q16" i="53" s="1"/>
  <c r="U16" i="53" s="1"/>
  <c r="V16" i="53" s="1"/>
  <c r="W16" i="53" s="1"/>
  <c r="Y16" i="53" s="1"/>
  <c r="R21" i="53"/>
  <c r="Q21" i="53" s="1"/>
  <c r="U21" i="53" s="1"/>
  <c r="V21" i="53" s="1"/>
  <c r="W21" i="53" s="1"/>
  <c r="AA21" i="53" s="1"/>
  <c r="Y113" i="53"/>
  <c r="Y146" i="53"/>
  <c r="T21" i="62"/>
  <c r="T60" i="62"/>
  <c r="T81" i="62"/>
  <c r="L9" i="50"/>
  <c r="T25" i="62"/>
  <c r="R25" i="62"/>
  <c r="N25" i="62" s="1"/>
  <c r="T80" i="62"/>
  <c r="R80" i="62"/>
  <c r="R150" i="62"/>
  <c r="N150" i="62" s="1"/>
  <c r="P150" i="62" s="1"/>
  <c r="R49" i="62"/>
  <c r="Q49" i="62" s="1"/>
  <c r="U49" i="62" s="1"/>
  <c r="V49" i="62" s="1"/>
  <c r="W49" i="62" s="1"/>
  <c r="AA49" i="62" s="1"/>
  <c r="T78" i="62"/>
  <c r="R78" i="62"/>
  <c r="Q78" i="62" s="1"/>
  <c r="U78" i="62" s="1"/>
  <c r="V78" i="62" s="1"/>
  <c r="W78" i="62" s="1"/>
  <c r="T5" i="62"/>
  <c r="R5" i="62"/>
  <c r="Q5" i="62" s="1"/>
  <c r="U5" i="62" s="1"/>
  <c r="V5" i="62" s="1"/>
  <c r="W5" i="62" s="1"/>
  <c r="R16" i="62"/>
  <c r="Q16" i="62" s="1"/>
  <c r="U16" i="62" s="1"/>
  <c r="V16" i="62" s="1"/>
  <c r="W16" i="62" s="1"/>
  <c r="AA16" i="62" s="1"/>
  <c r="T34" i="62"/>
  <c r="R34" i="62"/>
  <c r="N34" i="62" s="1"/>
  <c r="R169" i="62"/>
  <c r="Q169" i="62" s="1"/>
  <c r="U169" i="62" s="1"/>
  <c r="V169" i="62" s="1"/>
  <c r="W169" i="62" s="1"/>
  <c r="AA169" i="62" s="1"/>
  <c r="R71" i="62"/>
  <c r="Q71" i="62" s="1"/>
  <c r="U71" i="62" s="1"/>
  <c r="V71" i="62" s="1"/>
  <c r="W71" i="62" s="1"/>
  <c r="AA71" i="62" s="1"/>
  <c r="R99" i="62"/>
  <c r="Q99" i="62" s="1"/>
  <c r="U99" i="62" s="1"/>
  <c r="V99" i="62" s="1"/>
  <c r="W99" i="62" s="1"/>
  <c r="R106" i="62"/>
  <c r="N106" i="62" s="1"/>
  <c r="P106" i="62" s="1"/>
  <c r="R22" i="62"/>
  <c r="Q22" i="62" s="1"/>
  <c r="U22" i="62" s="1"/>
  <c r="V22" i="62" s="1"/>
  <c r="W22" i="62" s="1"/>
  <c r="AA22" i="62" s="1"/>
  <c r="T147" i="62"/>
  <c r="R147" i="62"/>
  <c r="Q147" i="62" s="1"/>
  <c r="U147" i="62" s="1"/>
  <c r="V147" i="62" s="1"/>
  <c r="W147" i="62" s="1"/>
  <c r="AA147" i="62" s="1"/>
  <c r="R41" i="62"/>
  <c r="Q41" i="62" s="1"/>
  <c r="U41" i="62" s="1"/>
  <c r="V41" i="62" s="1"/>
  <c r="W41" i="62" s="1"/>
  <c r="AA41" i="62" s="1"/>
  <c r="R121" i="62"/>
  <c r="Q121" i="62" s="1"/>
  <c r="U121" i="62" s="1"/>
  <c r="V121" i="62" s="1"/>
  <c r="W121" i="62" s="1"/>
  <c r="AA121" i="62" s="1"/>
  <c r="R61" i="62"/>
  <c r="N61" i="62" s="1"/>
  <c r="P61" i="62" s="1"/>
  <c r="R114" i="62"/>
  <c r="N114" i="62" s="1"/>
  <c r="P114" i="62" s="1"/>
  <c r="R37" i="62"/>
  <c r="Q37" i="62" s="1"/>
  <c r="U37" i="62" s="1"/>
  <c r="V37" i="62" s="1"/>
  <c r="W37" i="62" s="1"/>
  <c r="T117" i="62"/>
  <c r="R117" i="62"/>
  <c r="T155" i="62"/>
  <c r="R155" i="62"/>
  <c r="Q155" i="62" s="1"/>
  <c r="U155" i="62" s="1"/>
  <c r="V155" i="62" s="1"/>
  <c r="W155" i="62" s="1"/>
  <c r="R139" i="62"/>
  <c r="Q139" i="62" s="1"/>
  <c r="U139" i="62" s="1"/>
  <c r="V139" i="62" s="1"/>
  <c r="W139" i="62" s="1"/>
  <c r="R20" i="62"/>
  <c r="Q20" i="62" s="1"/>
  <c r="U20" i="62" s="1"/>
  <c r="V20" i="62" s="1"/>
  <c r="W20" i="62" s="1"/>
  <c r="AA20" i="62" s="1"/>
  <c r="R104" i="62"/>
  <c r="Q104" i="62" s="1"/>
  <c r="U104" i="62" s="1"/>
  <c r="V104" i="62" s="1"/>
  <c r="W104" i="62" s="1"/>
  <c r="AA104" i="62" s="1"/>
  <c r="R89" i="62"/>
  <c r="Q89" i="62" s="1"/>
  <c r="U89" i="62" s="1"/>
  <c r="V89" i="62" s="1"/>
  <c r="W89" i="62" s="1"/>
  <c r="AA89" i="62" s="1"/>
  <c r="R125" i="62"/>
  <c r="Q125" i="62" s="1"/>
  <c r="U125" i="62" s="1"/>
  <c r="V125" i="62" s="1"/>
  <c r="W125" i="62" s="1"/>
  <c r="AA125" i="62" s="1"/>
  <c r="R55" i="62"/>
  <c r="N55" i="62" s="1"/>
  <c r="P55" i="62" s="1"/>
  <c r="T83" i="62"/>
  <c r="R83" i="62"/>
  <c r="T113" i="62"/>
  <c r="R113" i="62"/>
  <c r="Q113" i="62" s="1"/>
  <c r="U113" i="62" s="1"/>
  <c r="V113" i="62" s="1"/>
  <c r="W113" i="62" s="1"/>
  <c r="R134" i="62"/>
  <c r="Q134" i="62" s="1"/>
  <c r="U134" i="62" s="1"/>
  <c r="V134" i="62" s="1"/>
  <c r="W134" i="62" s="1"/>
  <c r="AA134" i="62" s="1"/>
  <c r="R8" i="62"/>
  <c r="Q8" i="62" s="1"/>
  <c r="U8" i="62" s="1"/>
  <c r="V8" i="62" s="1"/>
  <c r="W8" i="62" s="1"/>
  <c r="AA8" i="62" s="1"/>
  <c r="T73" i="62"/>
  <c r="R73" i="62"/>
  <c r="Q73" i="62" s="1"/>
  <c r="U73" i="62" s="1"/>
  <c r="V73" i="62" s="1"/>
  <c r="W73" i="62" s="1"/>
  <c r="T146" i="62"/>
  <c r="R146" i="62"/>
  <c r="Q146" i="62" s="1"/>
  <c r="U146" i="62" s="1"/>
  <c r="V146" i="62" s="1"/>
  <c r="W146" i="62" s="1"/>
  <c r="AA146" i="62" s="1"/>
  <c r="T77" i="62"/>
  <c r="R77" i="62"/>
  <c r="Q77" i="62" s="1"/>
  <c r="U77" i="62" s="1"/>
  <c r="V77" i="62" s="1"/>
  <c r="W77" i="62" s="1"/>
  <c r="AA77" i="62" s="1"/>
  <c r="R145" i="62"/>
  <c r="Q145" i="62" s="1"/>
  <c r="U145" i="62" s="1"/>
  <c r="V145" i="62" s="1"/>
  <c r="W145" i="62" s="1"/>
  <c r="AA145" i="62" s="1"/>
  <c r="T130" i="62"/>
  <c r="M18" i="51"/>
  <c r="T137" i="62"/>
  <c r="T35" i="62"/>
  <c r="T161" i="62"/>
  <c r="T169" i="62"/>
  <c r="T18" i="62"/>
  <c r="U18" i="51"/>
  <c r="T152" i="62"/>
  <c r="T119" i="62"/>
  <c r="T104" i="62"/>
  <c r="T20" i="62"/>
  <c r="T54" i="62"/>
  <c r="T8" i="62"/>
  <c r="T125" i="62"/>
  <c r="T55" i="62"/>
  <c r="T49" i="62"/>
  <c r="T7" i="62"/>
  <c r="N45" i="62"/>
  <c r="P45" i="62" s="1"/>
  <c r="T69" i="62"/>
  <c r="T164" i="62"/>
  <c r="T56" i="62"/>
  <c r="T16" i="62"/>
  <c r="T71" i="62"/>
  <c r="T106" i="62"/>
  <c r="T45" i="62"/>
  <c r="R4" i="58"/>
  <c r="N4" i="58" s="1"/>
  <c r="P4" i="58" s="1"/>
  <c r="T4" i="58"/>
  <c r="R3" i="58"/>
  <c r="N3" i="58" s="1"/>
  <c r="P3" i="58" s="1"/>
  <c r="O16" i="51"/>
  <c r="N16" i="51" s="1"/>
  <c r="Y140" i="53"/>
  <c r="Y84" i="53"/>
  <c r="Y115" i="53"/>
  <c r="Y9" i="53"/>
  <c r="Y39" i="53"/>
  <c r="Y90" i="53"/>
  <c r="Y137" i="59"/>
  <c r="Y77" i="59"/>
  <c r="Y106" i="59"/>
  <c r="AV4" i="50"/>
  <c r="BD13" i="50"/>
  <c r="AD112" i="53"/>
  <c r="AD10" i="53"/>
  <c r="AD23" i="53"/>
  <c r="AD4" i="53"/>
  <c r="AD146" i="53"/>
  <c r="AD9" i="53"/>
  <c r="AD59" i="53"/>
  <c r="AD49" i="53"/>
  <c r="AD5" i="53"/>
  <c r="AD119" i="53"/>
  <c r="AD123" i="53"/>
  <c r="AD80" i="53"/>
  <c r="AD16" i="53"/>
  <c r="AD21" i="53"/>
  <c r="AD71" i="53"/>
  <c r="AD135" i="53"/>
  <c r="AD92" i="53"/>
  <c r="AD25" i="53"/>
  <c r="Z13" i="58"/>
  <c r="Z10" i="58"/>
  <c r="Z17" i="58"/>
  <c r="Z2" i="58"/>
  <c r="Z8" i="58"/>
  <c r="Z32" i="56"/>
  <c r="Z8" i="56"/>
  <c r="U21" i="56"/>
  <c r="V21" i="56" s="1"/>
  <c r="W21" i="56" s="1"/>
  <c r="U3" i="56"/>
  <c r="V3" i="56" s="1"/>
  <c r="W3" i="56" s="1"/>
  <c r="U12" i="56"/>
  <c r="V12" i="56" s="1"/>
  <c r="W12" i="56" s="1"/>
  <c r="U36" i="56"/>
  <c r="V36" i="56" s="1"/>
  <c r="W36" i="56" s="1"/>
  <c r="AD12" i="56"/>
  <c r="T21" i="56"/>
  <c r="AD6" i="56"/>
  <c r="AD4" i="56"/>
  <c r="AD41" i="56"/>
  <c r="AD21" i="56"/>
  <c r="AD20" i="56"/>
  <c r="T3" i="56"/>
  <c r="T37" i="56"/>
  <c r="T9" i="56"/>
  <c r="AD24" i="56"/>
  <c r="T12" i="56"/>
  <c r="T32" i="56"/>
  <c r="U45" i="55"/>
  <c r="V45" i="55" s="1"/>
  <c r="W45" i="55" s="1"/>
  <c r="U30" i="55"/>
  <c r="V30" i="55" s="1"/>
  <c r="W30" i="55" s="1"/>
  <c r="Y30" i="55" s="1"/>
  <c r="U17" i="55"/>
  <c r="V17" i="55" s="1"/>
  <c r="W17" i="55" s="1"/>
  <c r="U8" i="55"/>
  <c r="V8" i="55" s="1"/>
  <c r="W8" i="55" s="1"/>
  <c r="AA8" i="55" s="1"/>
  <c r="U15" i="55"/>
  <c r="V15" i="55" s="1"/>
  <c r="W15" i="55" s="1"/>
  <c r="U47" i="55"/>
  <c r="V47" i="55" s="1"/>
  <c r="W47" i="55" s="1"/>
  <c r="U43" i="55"/>
  <c r="V43" i="55" s="1"/>
  <c r="W43" i="55" s="1"/>
  <c r="AA43" i="55" s="1"/>
  <c r="U33" i="55"/>
  <c r="V33" i="55" s="1"/>
  <c r="W33" i="55" s="1"/>
  <c r="U25" i="55"/>
  <c r="V25" i="55" s="1"/>
  <c r="W25" i="55" s="1"/>
  <c r="U12" i="55"/>
  <c r="V12" i="55" s="1"/>
  <c r="W12" i="55" s="1"/>
  <c r="U46" i="55"/>
  <c r="V46" i="55" s="1"/>
  <c r="W46" i="55" s="1"/>
  <c r="U44" i="55"/>
  <c r="V44" i="55" s="1"/>
  <c r="W44" i="55" s="1"/>
  <c r="U32" i="55"/>
  <c r="V32" i="55" s="1"/>
  <c r="W32" i="55" s="1"/>
  <c r="Y32" i="55" s="1"/>
  <c r="U9" i="55"/>
  <c r="V9" i="55" s="1"/>
  <c r="W9" i="55" s="1"/>
  <c r="U21" i="55"/>
  <c r="V21" i="55" s="1"/>
  <c r="W21" i="55" s="1"/>
  <c r="U18" i="55"/>
  <c r="V18" i="55" s="1"/>
  <c r="W18" i="55" s="1"/>
  <c r="Y18" i="55" s="1"/>
  <c r="U16" i="55"/>
  <c r="V16" i="55" s="1"/>
  <c r="W16" i="55" s="1"/>
  <c r="U11" i="55"/>
  <c r="V11" i="55" s="1"/>
  <c r="W11" i="55" s="1"/>
  <c r="U3" i="55"/>
  <c r="V3" i="55" s="1"/>
  <c r="W3" i="55" s="1"/>
  <c r="AC5" i="55"/>
  <c r="AE5" i="55" s="1"/>
  <c r="T139" i="62"/>
  <c r="T57" i="62"/>
  <c r="T102" i="62"/>
  <c r="T61" i="62"/>
  <c r="T172" i="62"/>
  <c r="T3" i="62"/>
  <c r="T62" i="62"/>
  <c r="Q62" i="62"/>
  <c r="U62" i="62" s="1"/>
  <c r="V62" i="62" s="1"/>
  <c r="W62" i="62" s="1"/>
  <c r="AA62" i="62" s="1"/>
  <c r="T160" i="62"/>
  <c r="Q160" i="62"/>
  <c r="U160" i="62" s="1"/>
  <c r="V160" i="62" s="1"/>
  <c r="W160" i="62" s="1"/>
  <c r="AA160" i="62" s="1"/>
  <c r="T89" i="62"/>
  <c r="T43" i="62"/>
  <c r="Q116" i="62"/>
  <c r="U116" i="62" s="1"/>
  <c r="V116" i="62" s="1"/>
  <c r="W116" i="62" s="1"/>
  <c r="AA116" i="62" s="1"/>
  <c r="N168" i="62"/>
  <c r="P168" i="62" s="1"/>
  <c r="T44" i="62"/>
  <c r="T31" i="62"/>
  <c r="T103" i="62"/>
  <c r="T90" i="62"/>
  <c r="T157" i="62"/>
  <c r="Q11" i="62"/>
  <c r="U11" i="62" s="1"/>
  <c r="V11" i="62" s="1"/>
  <c r="W11" i="62" s="1"/>
  <c r="AA11" i="62" s="1"/>
  <c r="T129" i="62"/>
  <c r="T2" i="62"/>
  <c r="T22" i="62"/>
  <c r="T154" i="62"/>
  <c r="T96" i="62"/>
  <c r="T26" i="62"/>
  <c r="T131" i="62"/>
  <c r="T29" i="62"/>
  <c r="T162" i="62"/>
  <c r="T12" i="62"/>
  <c r="T37" i="62"/>
  <c r="T17" i="62"/>
  <c r="T145" i="62"/>
  <c r="T128" i="62"/>
  <c r="T94" i="62"/>
  <c r="T170" i="62"/>
  <c r="N133" i="62"/>
  <c r="P133" i="62" s="1"/>
  <c r="T126" i="62"/>
  <c r="T127" i="62"/>
  <c r="T63" i="62"/>
  <c r="Q63" i="62"/>
  <c r="U63" i="62" s="1"/>
  <c r="V63" i="62" s="1"/>
  <c r="W63" i="62" s="1"/>
  <c r="T19" i="62"/>
  <c r="T59" i="62"/>
  <c r="Q59" i="62"/>
  <c r="U59" i="62" s="1"/>
  <c r="V59" i="62" s="1"/>
  <c r="W59" i="62" s="1"/>
  <c r="AA59" i="62" s="1"/>
  <c r="T98" i="62"/>
  <c r="T48" i="62"/>
  <c r="T166" i="62"/>
  <c r="T32" i="62"/>
  <c r="T134" i="62"/>
  <c r="T11" i="62"/>
  <c r="T111" i="62"/>
  <c r="T107" i="62"/>
  <c r="T171" i="62"/>
  <c r="T40" i="62"/>
  <c r="T41" i="62"/>
  <c r="T114" i="62"/>
  <c r="P22" i="50"/>
  <c r="Q128" i="62"/>
  <c r="U128" i="62" s="1"/>
  <c r="V128" i="62" s="1"/>
  <c r="W128" i="62" s="1"/>
  <c r="T136" i="62"/>
  <c r="T99" i="62"/>
  <c r="T28" i="62"/>
  <c r="T72" i="62"/>
  <c r="T112" i="62"/>
  <c r="Q45" i="62"/>
  <c r="U45" i="62" s="1"/>
  <c r="V45" i="62" s="1"/>
  <c r="W45" i="62" s="1"/>
  <c r="T30" i="62"/>
  <c r="T23" i="62"/>
  <c r="T163" i="62"/>
  <c r="T65" i="62"/>
  <c r="Q38" i="62"/>
  <c r="U38" i="62" s="1"/>
  <c r="V38" i="62" s="1"/>
  <c r="W38" i="62" s="1"/>
  <c r="AA38" i="62" s="1"/>
  <c r="N38" i="62"/>
  <c r="P38" i="62" s="1"/>
  <c r="N135" i="62"/>
  <c r="P135" i="62" s="1"/>
  <c r="Q135" i="62"/>
  <c r="U135" i="62" s="1"/>
  <c r="V135" i="62" s="1"/>
  <c r="W135" i="62" s="1"/>
  <c r="AA135" i="62" s="1"/>
  <c r="T86" i="62"/>
  <c r="T120" i="62"/>
  <c r="T105" i="62"/>
  <c r="T10" i="62"/>
  <c r="T79" i="62"/>
  <c r="T109" i="62"/>
  <c r="T121" i="62"/>
  <c r="T15" i="62"/>
  <c r="T27" i="62"/>
  <c r="T68" i="62"/>
  <c r="T168" i="62"/>
  <c r="Q15" i="62"/>
  <c r="U15" i="62" s="1"/>
  <c r="V15" i="62" s="1"/>
  <c r="W15" i="62" s="1"/>
  <c r="AA15" i="62" s="1"/>
  <c r="T167" i="62"/>
  <c r="T100" i="62"/>
  <c r="T97" i="62"/>
  <c r="T135" i="62"/>
  <c r="T6" i="62"/>
  <c r="T133" i="62"/>
  <c r="T101" i="62"/>
  <c r="T67" i="62"/>
  <c r="AD104" i="62"/>
  <c r="T88" i="62"/>
  <c r="T158" i="62"/>
  <c r="T76" i="62"/>
  <c r="T70" i="62"/>
  <c r="T36" i="62"/>
  <c r="AC7" i="58"/>
  <c r="AE7" i="58" s="1"/>
  <c r="AC6" i="52"/>
  <c r="AE6" i="52" s="1"/>
  <c r="T6" i="52"/>
  <c r="AA6" i="52"/>
  <c r="AD6" i="58"/>
  <c r="AD10" i="58"/>
  <c r="AD17" i="58"/>
  <c r="R7" i="58"/>
  <c r="N7" i="58" s="1"/>
  <c r="P7" i="58" s="1"/>
  <c r="AC3" i="58"/>
  <c r="AD3" i="58" s="1"/>
  <c r="T6" i="58"/>
  <c r="T10" i="58"/>
  <c r="R10" i="58"/>
  <c r="N10" i="58" s="1"/>
  <c r="P10" i="58" s="1"/>
  <c r="R13" i="51"/>
  <c r="T13" i="51" s="1"/>
  <c r="R13" i="58"/>
  <c r="N13" i="58" s="1"/>
  <c r="P13" i="58" s="1"/>
  <c r="T2" i="58"/>
  <c r="AC13" i="58"/>
  <c r="AD13" i="58" s="1"/>
  <c r="R2" i="58"/>
  <c r="Q2" i="58" s="1"/>
  <c r="U2" i="58" s="1"/>
  <c r="V2" i="58" s="1"/>
  <c r="W2" i="58" s="1"/>
  <c r="AC8" i="58"/>
  <c r="AD8" i="58" s="1"/>
  <c r="R8" i="58"/>
  <c r="N8" i="58" s="1"/>
  <c r="P8" i="58" s="1"/>
  <c r="R17" i="58"/>
  <c r="N17" i="58" s="1"/>
  <c r="P17" i="58" s="1"/>
  <c r="T17" i="58"/>
  <c r="AD4" i="58"/>
  <c r="Y21" i="52"/>
  <c r="AA21" i="52"/>
  <c r="N6" i="52"/>
  <c r="AD21" i="52"/>
  <c r="T8" i="52"/>
  <c r="R8" i="52"/>
  <c r="Q8" i="52" s="1"/>
  <c r="U8" i="52" s="1"/>
  <c r="V8" i="52" s="1"/>
  <c r="W8" i="52" s="1"/>
  <c r="AC8" i="52"/>
  <c r="AE8" i="52" s="1"/>
  <c r="I8" i="52"/>
  <c r="Y10" i="52"/>
  <c r="AA10" i="52"/>
  <c r="AD10" i="52"/>
  <c r="AC134" i="59"/>
  <c r="AE134" i="59" s="1"/>
  <c r="R123" i="59"/>
  <c r="Q123" i="59" s="1"/>
  <c r="U123" i="59" s="1"/>
  <c r="V123" i="59" s="1"/>
  <c r="W123" i="59" s="1"/>
  <c r="Y123" i="59" s="1"/>
  <c r="T35" i="59"/>
  <c r="AC103" i="59"/>
  <c r="AD103" i="59" s="1"/>
  <c r="AC135" i="59"/>
  <c r="AD135" i="59" s="1"/>
  <c r="T77" i="59"/>
  <c r="T123" i="59"/>
  <c r="R89" i="59"/>
  <c r="Q89" i="59" s="1"/>
  <c r="U89" i="59" s="1"/>
  <c r="V89" i="59" s="1"/>
  <c r="W89" i="59" s="1"/>
  <c r="Y89" i="59" s="1"/>
  <c r="T50" i="59"/>
  <c r="AC50" i="59"/>
  <c r="AE50" i="59" s="1"/>
  <c r="N13" i="59"/>
  <c r="P13" i="59" s="1"/>
  <c r="T104" i="59"/>
  <c r="T128" i="59"/>
  <c r="AC44" i="59"/>
  <c r="AE44" i="59" s="1"/>
  <c r="N106" i="59"/>
  <c r="P106" i="59" s="1"/>
  <c r="T133" i="59"/>
  <c r="T13" i="59"/>
  <c r="R140" i="59"/>
  <c r="Q140" i="59" s="1"/>
  <c r="U140" i="59" s="1"/>
  <c r="V140" i="59" s="1"/>
  <c r="W140" i="59" s="1"/>
  <c r="R88" i="59"/>
  <c r="Q88" i="59" s="1"/>
  <c r="U88" i="59" s="1"/>
  <c r="V88" i="59" s="1"/>
  <c r="W88" i="59" s="1"/>
  <c r="T127" i="59"/>
  <c r="T118" i="59"/>
  <c r="AC106" i="59"/>
  <c r="AE106" i="59" s="1"/>
  <c r="T146" i="59"/>
  <c r="AC13" i="59"/>
  <c r="AE13" i="59" s="1"/>
  <c r="T18" i="59"/>
  <c r="T4" i="59"/>
  <c r="R99" i="59"/>
  <c r="Q99" i="59" s="1"/>
  <c r="U99" i="59" s="1"/>
  <c r="V99" i="59" s="1"/>
  <c r="W99" i="59" s="1"/>
  <c r="AA99" i="59" s="1"/>
  <c r="T140" i="59"/>
  <c r="R133" i="59"/>
  <c r="Q133" i="59" s="1"/>
  <c r="U133" i="59" s="1"/>
  <c r="V133" i="59" s="1"/>
  <c r="W133" i="59" s="1"/>
  <c r="Y133" i="59" s="1"/>
  <c r="R44" i="59"/>
  <c r="Q44" i="59" s="1"/>
  <c r="U44" i="59" s="1"/>
  <c r="V44" i="59" s="1"/>
  <c r="W44" i="59" s="1"/>
  <c r="Y44" i="59" s="1"/>
  <c r="R146" i="59"/>
  <c r="Q146" i="59" s="1"/>
  <c r="U146" i="59" s="1"/>
  <c r="V146" i="59" s="1"/>
  <c r="W146" i="59" s="1"/>
  <c r="Y146" i="59" s="1"/>
  <c r="N137" i="59"/>
  <c r="P137" i="59" s="1"/>
  <c r="T106" i="59"/>
  <c r="T64" i="59"/>
  <c r="T103" i="59"/>
  <c r="T89" i="59"/>
  <c r="T117" i="59"/>
  <c r="R62" i="59"/>
  <c r="N62" i="59" s="1"/>
  <c r="P62" i="59" s="1"/>
  <c r="R98" i="59"/>
  <c r="Q98" i="59" s="1"/>
  <c r="U98" i="59" s="1"/>
  <c r="V98" i="59" s="1"/>
  <c r="W98" i="59" s="1"/>
  <c r="Y98" i="59" s="1"/>
  <c r="V13" i="59"/>
  <c r="W13" i="59" s="1"/>
  <c r="BD11" i="50"/>
  <c r="BH13" i="50"/>
  <c r="M14" i="50" s="1"/>
  <c r="BH14" i="50"/>
  <c r="M15" i="50" s="1"/>
  <c r="T38" i="55"/>
  <c r="AD37" i="56"/>
  <c r="AD45" i="56"/>
  <c r="T4" i="56"/>
  <c r="T31" i="56"/>
  <c r="AD23" i="56"/>
  <c r="T24" i="56"/>
  <c r="T35" i="56"/>
  <c r="U2" i="56"/>
  <c r="V2" i="56" s="1"/>
  <c r="W2" i="56" s="1"/>
  <c r="Y2" i="56" s="1"/>
  <c r="AD44" i="56"/>
  <c r="T36" i="56"/>
  <c r="T2" i="56"/>
  <c r="T38" i="56"/>
  <c r="AD3" i="56"/>
  <c r="AD26" i="56"/>
  <c r="AD35" i="56"/>
  <c r="AD8" i="56"/>
  <c r="AD27" i="56"/>
  <c r="T41" i="56"/>
  <c r="AD17" i="56"/>
  <c r="R14" i="51"/>
  <c r="T14" i="51" s="1"/>
  <c r="T6" i="56"/>
  <c r="AD5" i="56"/>
  <c r="AD30" i="56"/>
  <c r="AC30" i="55"/>
  <c r="AE30" i="55" s="1"/>
  <c r="AX4" i="50"/>
  <c r="AX3" i="50"/>
  <c r="L18" i="50"/>
  <c r="AX5" i="50"/>
  <c r="N3" i="50"/>
  <c r="AA18" i="50"/>
  <c r="AB18" i="50"/>
  <c r="BG4" i="50"/>
  <c r="AA9" i="50"/>
  <c r="AQ6" i="50" s="1"/>
  <c r="R35" i="59"/>
  <c r="Q35" i="59" s="1"/>
  <c r="U35" i="59" s="1"/>
  <c r="V35" i="59" s="1"/>
  <c r="W35" i="59" s="1"/>
  <c r="Y15" i="59"/>
  <c r="AD36" i="59"/>
  <c r="R37" i="59"/>
  <c r="Q37" i="59" s="1"/>
  <c r="U37" i="59" s="1"/>
  <c r="V37" i="59" s="1"/>
  <c r="W37" i="59" s="1"/>
  <c r="Y37" i="59" s="1"/>
  <c r="AC18" i="59"/>
  <c r="AD18" i="59" s="1"/>
  <c r="T22" i="59"/>
  <c r="T102" i="59"/>
  <c r="AC136" i="59"/>
  <c r="AD136" i="59" s="1"/>
  <c r="R22" i="59"/>
  <c r="Q22" i="59" s="1"/>
  <c r="U22" i="59" s="1"/>
  <c r="V22" i="59" s="1"/>
  <c r="W22" i="59" s="1"/>
  <c r="Y22" i="59" s="1"/>
  <c r="R118" i="59"/>
  <c r="Q118" i="59" s="1"/>
  <c r="U118" i="59" s="1"/>
  <c r="V118" i="59" s="1"/>
  <c r="W118" i="59" s="1"/>
  <c r="R142" i="59"/>
  <c r="Q142" i="59" s="1"/>
  <c r="U142" i="59" s="1"/>
  <c r="V142" i="59" s="1"/>
  <c r="W142" i="59" s="1"/>
  <c r="Y142" i="59" s="1"/>
  <c r="AD25" i="59"/>
  <c r="AC91" i="59"/>
  <c r="AE91" i="59" s="1"/>
  <c r="AC85" i="59"/>
  <c r="AC108" i="59"/>
  <c r="AE108" i="59" s="1"/>
  <c r="R91" i="59"/>
  <c r="Q91" i="59" s="1"/>
  <c r="U91" i="59" s="1"/>
  <c r="V91" i="59" s="1"/>
  <c r="W91" i="59" s="1"/>
  <c r="Y91" i="59" s="1"/>
  <c r="R36" i="59"/>
  <c r="T142" i="59"/>
  <c r="N132" i="59"/>
  <c r="P132" i="59" s="1"/>
  <c r="T36" i="59"/>
  <c r="AC12" i="59"/>
  <c r="AD12" i="59" s="1"/>
  <c r="T2" i="59"/>
  <c r="AC17" i="59"/>
  <c r="AE17" i="59" s="1"/>
  <c r="AD49" i="59"/>
  <c r="R43" i="59"/>
  <c r="Q43" i="59" s="1"/>
  <c r="U43" i="59" s="1"/>
  <c r="V43" i="59" s="1"/>
  <c r="W43" i="59" s="1"/>
  <c r="Y43" i="59" s="1"/>
  <c r="V2" i="59"/>
  <c r="W2" i="59" s="1"/>
  <c r="Y2" i="59" s="1"/>
  <c r="N96" i="59"/>
  <c r="P96" i="59" s="1"/>
  <c r="N129" i="59"/>
  <c r="P129" i="59" s="1"/>
  <c r="T129" i="59"/>
  <c r="AC94" i="59"/>
  <c r="AD94" i="59" s="1"/>
  <c r="AC54" i="59"/>
  <c r="AD54" i="59" s="1"/>
  <c r="T43" i="59"/>
  <c r="R136" i="59"/>
  <c r="Q136" i="59" s="1"/>
  <c r="U136" i="59" s="1"/>
  <c r="V136" i="59" s="1"/>
  <c r="W136" i="59" s="1"/>
  <c r="Y136" i="59" s="1"/>
  <c r="N123" i="59"/>
  <c r="P123" i="59" s="1"/>
  <c r="Q139" i="59"/>
  <c r="U139" i="59" s="1"/>
  <c r="V139" i="59" s="1"/>
  <c r="W139" i="59" s="1"/>
  <c r="Y139" i="59" s="1"/>
  <c r="N139" i="59"/>
  <c r="P139" i="59" s="1"/>
  <c r="N49" i="59"/>
  <c r="P49" i="59" s="1"/>
  <c r="AC38" i="59"/>
  <c r="AD38" i="59" s="1"/>
  <c r="AC127" i="59"/>
  <c r="AD127" i="59" s="1"/>
  <c r="T98" i="59"/>
  <c r="T3" i="59"/>
  <c r="V73" i="59"/>
  <c r="W73" i="59" s="1"/>
  <c r="Y73" i="59" s="1"/>
  <c r="T37" i="59"/>
  <c r="R128" i="59"/>
  <c r="Q128" i="59" s="1"/>
  <c r="U128" i="59" s="1"/>
  <c r="V128" i="59" s="1"/>
  <c r="W128" i="59" s="1"/>
  <c r="Y128" i="59" s="1"/>
  <c r="AD78" i="59"/>
  <c r="N103" i="59"/>
  <c r="P103" i="59" s="1"/>
  <c r="AC60" i="59"/>
  <c r="AD60" i="59" s="1"/>
  <c r="AC122" i="59"/>
  <c r="AE122" i="59" s="1"/>
  <c r="R27" i="59"/>
  <c r="N102" i="59"/>
  <c r="P102" i="59" s="1"/>
  <c r="AC27" i="59"/>
  <c r="AD27" i="59" s="1"/>
  <c r="T84" i="59"/>
  <c r="AD20" i="59"/>
  <c r="N83" i="59"/>
  <c r="P83" i="59" s="1"/>
  <c r="Q83" i="59"/>
  <c r="U83" i="59" s="1"/>
  <c r="V83" i="59" s="1"/>
  <c r="W83" i="59" s="1"/>
  <c r="Y83" i="59" s="1"/>
  <c r="Q127" i="59"/>
  <c r="U127" i="59" s="1"/>
  <c r="V127" i="59" s="1"/>
  <c r="W127" i="59" s="1"/>
  <c r="N127" i="59"/>
  <c r="P127" i="59" s="1"/>
  <c r="T83" i="59"/>
  <c r="T81" i="59"/>
  <c r="R78" i="59"/>
  <c r="Q78" i="59" s="1"/>
  <c r="U78" i="59" s="1"/>
  <c r="V78" i="59" s="1"/>
  <c r="W78" i="59" s="1"/>
  <c r="R4" i="59"/>
  <c r="Q4" i="59" s="1"/>
  <c r="U4" i="59" s="1"/>
  <c r="V4" i="59" s="1"/>
  <c r="W4" i="59" s="1"/>
  <c r="AD146" i="59"/>
  <c r="N40" i="59"/>
  <c r="P40" i="59" s="1"/>
  <c r="R95" i="59"/>
  <c r="Q95" i="59" s="1"/>
  <c r="U95" i="59" s="1"/>
  <c r="V95" i="59" s="1"/>
  <c r="W95" i="59" s="1"/>
  <c r="Y95" i="59" s="1"/>
  <c r="T78" i="59"/>
  <c r="T30" i="59"/>
  <c r="AC83" i="59"/>
  <c r="AE83" i="59" s="1"/>
  <c r="T67" i="59"/>
  <c r="AC67" i="59"/>
  <c r="AD67" i="59" s="1"/>
  <c r="R30" i="59"/>
  <c r="AD88" i="59"/>
  <c r="AD120" i="59"/>
  <c r="AC39" i="59"/>
  <c r="AE39" i="59" s="1"/>
  <c r="T134" i="59"/>
  <c r="AC40" i="59"/>
  <c r="AD40" i="59" s="1"/>
  <c r="AD59" i="59"/>
  <c r="R109" i="59"/>
  <c r="Q109" i="59" s="1"/>
  <c r="U109" i="59" s="1"/>
  <c r="V109" i="59" s="1"/>
  <c r="W109" i="59" s="1"/>
  <c r="Y109" i="59" s="1"/>
  <c r="AD7" i="59"/>
  <c r="N77" i="59"/>
  <c r="AD140" i="59"/>
  <c r="AC36" i="55"/>
  <c r="AE36" i="55" s="1"/>
  <c r="U26" i="55"/>
  <c r="V26" i="55" s="1"/>
  <c r="W26" i="55" s="1"/>
  <c r="Y26" i="55" s="1"/>
  <c r="AC16" i="55"/>
  <c r="AE16" i="55" s="1"/>
  <c r="T30" i="55"/>
  <c r="T5" i="55"/>
  <c r="AC45" i="55"/>
  <c r="AE45" i="55" s="1"/>
  <c r="AC11" i="55"/>
  <c r="AE11" i="55" s="1"/>
  <c r="T45" i="55"/>
  <c r="AC21" i="55"/>
  <c r="AE21" i="55" s="1"/>
  <c r="T25" i="55"/>
  <c r="T46" i="55"/>
  <c r="AC46" i="55"/>
  <c r="AE46" i="55" s="1"/>
  <c r="AC25" i="55"/>
  <c r="AE25" i="55" s="1"/>
  <c r="T23" i="55"/>
  <c r="AC17" i="55"/>
  <c r="AE17" i="55" s="1"/>
  <c r="AC37" i="55"/>
  <c r="AE37" i="55" s="1"/>
  <c r="T17" i="55"/>
  <c r="T8" i="55"/>
  <c r="AD12" i="55"/>
  <c r="T37" i="55"/>
  <c r="AC35" i="55"/>
  <c r="AE35" i="55" s="1"/>
  <c r="AC23" i="55"/>
  <c r="AE23" i="55" s="1"/>
  <c r="AC8" i="55"/>
  <c r="AE8" i="55" s="1"/>
  <c r="AC32" i="55"/>
  <c r="AE32" i="55" s="1"/>
  <c r="T9" i="55"/>
  <c r="AC9" i="55"/>
  <c r="AE9" i="55" s="1"/>
  <c r="T32" i="55"/>
  <c r="T35" i="55"/>
  <c r="T44" i="55"/>
  <c r="AC15" i="55"/>
  <c r="AE15" i="55" s="1"/>
  <c r="AC44" i="55"/>
  <c r="AE44" i="55" s="1"/>
  <c r="T15" i="55"/>
  <c r="T21" i="55"/>
  <c r="AC33" i="55"/>
  <c r="AE33" i="55" s="1"/>
  <c r="AC47" i="55"/>
  <c r="AE47" i="55" s="1"/>
  <c r="AC3" i="55"/>
  <c r="AE3" i="55" s="1"/>
  <c r="T11" i="55"/>
  <c r="AC43" i="55"/>
  <c r="AE43" i="55" s="1"/>
  <c r="O12" i="51"/>
  <c r="N12" i="51" s="1"/>
  <c r="T43" i="55"/>
  <c r="AC38" i="55"/>
  <c r="AE38" i="55" s="1"/>
  <c r="T18" i="55"/>
  <c r="AC18" i="55"/>
  <c r="AE18" i="55" s="1"/>
  <c r="T47" i="55"/>
  <c r="T36" i="55"/>
  <c r="T16" i="55"/>
  <c r="T33" i="55"/>
  <c r="T3" i="55"/>
  <c r="T20" i="56"/>
  <c r="O14" i="51"/>
  <c r="N14" i="51" s="1"/>
  <c r="T5" i="56"/>
  <c r="T30" i="56"/>
  <c r="T27" i="56"/>
  <c r="AD2" i="56"/>
  <c r="AD9" i="56"/>
  <c r="AD32" i="56"/>
  <c r="AD38" i="56"/>
  <c r="AD39" i="56"/>
  <c r="AD36" i="56"/>
  <c r="AD31" i="56"/>
  <c r="T44" i="56"/>
  <c r="T26" i="56"/>
  <c r="T17" i="56"/>
  <c r="T8" i="56"/>
  <c r="R12" i="51"/>
  <c r="T12" i="51" s="1"/>
  <c r="AD14" i="55"/>
  <c r="AD26" i="55"/>
  <c r="AE6" i="58"/>
  <c r="O13" i="51"/>
  <c r="N13" i="51" s="1"/>
  <c r="AE4" i="58"/>
  <c r="AE17" i="58"/>
  <c r="AE10" i="58"/>
  <c r="R16" i="51"/>
  <c r="T16" i="51" s="1"/>
  <c r="P64" i="59"/>
  <c r="N53" i="59"/>
  <c r="P53" i="59" s="1"/>
  <c r="N73" i="59"/>
  <c r="P73" i="59" s="1"/>
  <c r="N91" i="59"/>
  <c r="P91" i="59" s="1"/>
  <c r="T99" i="59"/>
  <c r="T47" i="59"/>
  <c r="T48" i="59"/>
  <c r="AC104" i="59"/>
  <c r="AD104" i="59" s="1"/>
  <c r="T38" i="59"/>
  <c r="AC34" i="59"/>
  <c r="AD34" i="59" s="1"/>
  <c r="AC2" i="59"/>
  <c r="AE2" i="59" s="1"/>
  <c r="AC124" i="59"/>
  <c r="AE124" i="59" s="1"/>
  <c r="AC137" i="59"/>
  <c r="AE137" i="59" s="1"/>
  <c r="AC105" i="59"/>
  <c r="AD105" i="59" s="1"/>
  <c r="AC56" i="59"/>
  <c r="AE56" i="59" s="1"/>
  <c r="AC95" i="59"/>
  <c r="AE95" i="59" s="1"/>
  <c r="R81" i="59"/>
  <c r="Q81" i="59" s="1"/>
  <c r="U81" i="59" s="1"/>
  <c r="V81" i="59" s="1"/>
  <c r="W81" i="59" s="1"/>
  <c r="Y81" i="59" s="1"/>
  <c r="AC77" i="59"/>
  <c r="AE77" i="59" s="1"/>
  <c r="R90" i="59"/>
  <c r="Q90" i="59" s="1"/>
  <c r="U90" i="59" s="1"/>
  <c r="V90" i="59" s="1"/>
  <c r="W90" i="59" s="1"/>
  <c r="Y90" i="59" s="1"/>
  <c r="R48" i="59"/>
  <c r="Q48" i="59" s="1"/>
  <c r="U48" i="59" s="1"/>
  <c r="V48" i="59" s="1"/>
  <c r="W48" i="59" s="1"/>
  <c r="AC96" i="59"/>
  <c r="AE96" i="59" s="1"/>
  <c r="R54" i="59"/>
  <c r="Q54" i="59" s="1"/>
  <c r="U54" i="59" s="1"/>
  <c r="V54" i="59" s="1"/>
  <c r="W54" i="59" s="1"/>
  <c r="AA54" i="59" s="1"/>
  <c r="P108" i="59"/>
  <c r="N52" i="59"/>
  <c r="P52" i="59" s="1"/>
  <c r="T53" i="59"/>
  <c r="AC101" i="59"/>
  <c r="AD101" i="59" s="1"/>
  <c r="T88" i="59"/>
  <c r="AC72" i="59"/>
  <c r="AD72" i="59" s="1"/>
  <c r="T7" i="59"/>
  <c r="T90" i="59"/>
  <c r="R124" i="59"/>
  <c r="Q124" i="59" s="1"/>
  <c r="U124" i="59" s="1"/>
  <c r="V124" i="59" s="1"/>
  <c r="W124" i="59" s="1"/>
  <c r="AA124" i="59" s="1"/>
  <c r="N113" i="59"/>
  <c r="P113" i="59" s="1"/>
  <c r="T113" i="59"/>
  <c r="R20" i="59"/>
  <c r="N20" i="59" s="1"/>
  <c r="P20" i="59" s="1"/>
  <c r="AD128" i="59"/>
  <c r="N34" i="59"/>
  <c r="P34" i="59" s="1"/>
  <c r="N72" i="59"/>
  <c r="P72" i="59" s="1"/>
  <c r="V34" i="59"/>
  <c r="W34" i="59" s="1"/>
  <c r="Y34" i="59" s="1"/>
  <c r="T20" i="59"/>
  <c r="T72" i="59"/>
  <c r="R105" i="59"/>
  <c r="Q105" i="59" s="1"/>
  <c r="U105" i="59" s="1"/>
  <c r="V105" i="59" s="1"/>
  <c r="W105" i="59" s="1"/>
  <c r="Y105" i="59" s="1"/>
  <c r="N47" i="59"/>
  <c r="P47" i="59" s="1"/>
  <c r="N75" i="59"/>
  <c r="P75" i="59" s="1"/>
  <c r="T25" i="59"/>
  <c r="AC63" i="59"/>
  <c r="AE63" i="59" s="1"/>
  <c r="T34" i="59"/>
  <c r="V103" i="59"/>
  <c r="W103" i="59" s="1"/>
  <c r="AA103" i="59" s="1"/>
  <c r="AC53" i="59"/>
  <c r="AD53" i="59" s="1"/>
  <c r="T137" i="59"/>
  <c r="AC93" i="59"/>
  <c r="AE93" i="59" s="1"/>
  <c r="AC129" i="59"/>
  <c r="AD129" i="59" s="1"/>
  <c r="T19" i="59"/>
  <c r="AC82" i="59"/>
  <c r="AE82" i="59" s="1"/>
  <c r="T40" i="59"/>
  <c r="AC26" i="59"/>
  <c r="AE26" i="59" s="1"/>
  <c r="N58" i="59"/>
  <c r="P58" i="59" s="1"/>
  <c r="AC76" i="59"/>
  <c r="AD76" i="59" s="1"/>
  <c r="AC141" i="59"/>
  <c r="AE141" i="59" s="1"/>
  <c r="R107" i="59"/>
  <c r="Q107" i="59" s="1"/>
  <c r="U107" i="59" s="1"/>
  <c r="V107" i="59" s="1"/>
  <c r="W107" i="59" s="1"/>
  <c r="Y107" i="59" s="1"/>
  <c r="R25" i="59"/>
  <c r="R17" i="59"/>
  <c r="Q17" i="59" s="1"/>
  <c r="U17" i="59" s="1"/>
  <c r="V17" i="59" s="1"/>
  <c r="W17" i="59" s="1"/>
  <c r="Y17" i="59" s="1"/>
  <c r="R101" i="59"/>
  <c r="N101" i="59" s="1"/>
  <c r="P101" i="59" s="1"/>
  <c r="AC47" i="59"/>
  <c r="AE47" i="59" s="1"/>
  <c r="R19" i="59"/>
  <c r="N2" i="59"/>
  <c r="P2" i="59" s="1"/>
  <c r="AD138" i="59"/>
  <c r="R63" i="59"/>
  <c r="Q63" i="59" s="1"/>
  <c r="U63" i="59" s="1"/>
  <c r="V63" i="59" s="1"/>
  <c r="W63" i="59" s="1"/>
  <c r="Y63" i="59" s="1"/>
  <c r="AD23" i="59"/>
  <c r="T69" i="59"/>
  <c r="AC62" i="59"/>
  <c r="AD62" i="59" s="1"/>
  <c r="O3" i="50"/>
  <c r="S11" i="50" s="1"/>
  <c r="N38" i="59"/>
  <c r="P38" i="59" s="1"/>
  <c r="N67" i="59"/>
  <c r="P67" i="59" s="1"/>
  <c r="N18" i="59"/>
  <c r="P18" i="59" s="1"/>
  <c r="AC109" i="59"/>
  <c r="AE109" i="59" s="1"/>
  <c r="T122" i="59"/>
  <c r="AC58" i="59"/>
  <c r="AE58" i="59" s="1"/>
  <c r="AC113" i="59"/>
  <c r="AE113" i="59" s="1"/>
  <c r="T132" i="59"/>
  <c r="P3" i="59"/>
  <c r="R69" i="59"/>
  <c r="Q69" i="59" s="1"/>
  <c r="U69" i="59" s="1"/>
  <c r="V69" i="59" s="1"/>
  <c r="W69" i="59" s="1"/>
  <c r="AC107" i="59"/>
  <c r="AD107" i="59" s="1"/>
  <c r="AD22" i="59"/>
  <c r="AC132" i="59"/>
  <c r="R26" i="59"/>
  <c r="Q26" i="59" s="1"/>
  <c r="U26" i="59" s="1"/>
  <c r="V26" i="59" s="1"/>
  <c r="W26" i="59" s="1"/>
  <c r="Y26" i="59" s="1"/>
  <c r="N74" i="59"/>
  <c r="P74" i="59" s="1"/>
  <c r="AE128" i="59"/>
  <c r="AE20" i="59"/>
  <c r="AE140" i="59"/>
  <c r="AE78" i="59"/>
  <c r="AE25" i="59"/>
  <c r="AE23" i="59"/>
  <c r="AE138" i="59"/>
  <c r="AE120" i="59"/>
  <c r="AE49" i="59"/>
  <c r="AE43" i="59"/>
  <c r="AE118" i="59"/>
  <c r="AE36" i="59"/>
  <c r="AE90" i="59"/>
  <c r="AE7" i="59"/>
  <c r="AE88" i="59"/>
  <c r="AE59" i="59"/>
  <c r="AE146" i="59"/>
  <c r="AE22" i="59"/>
  <c r="AE3" i="59"/>
  <c r="AF18" i="50"/>
  <c r="AO8" i="50" s="1"/>
  <c r="O17" i="51"/>
  <c r="N17" i="51" s="1"/>
  <c r="S7" i="42"/>
  <c r="T7" i="42" s="1"/>
  <c r="N68" i="59"/>
  <c r="Q6" i="62"/>
  <c r="U6" i="62" s="1"/>
  <c r="V6" i="62" s="1"/>
  <c r="W6" i="62" s="1"/>
  <c r="AA6" i="62" s="1"/>
  <c r="Q68" i="62"/>
  <c r="U68" i="62" s="1"/>
  <c r="V68" i="62" s="1"/>
  <c r="W68" i="62" s="1"/>
  <c r="N68" i="62"/>
  <c r="P68" i="62" s="1"/>
  <c r="N56" i="62"/>
  <c r="P56" i="62" s="1"/>
  <c r="Q130" i="62"/>
  <c r="U130" i="62" s="1"/>
  <c r="V130" i="62" s="1"/>
  <c r="W130" i="62" s="1"/>
  <c r="AA130" i="62" s="1"/>
  <c r="N28" i="62"/>
  <c r="P28" i="62" s="1"/>
  <c r="T51" i="62"/>
  <c r="T108" i="62"/>
  <c r="T85" i="62"/>
  <c r="T92" i="62"/>
  <c r="T141" i="62"/>
  <c r="T153" i="62"/>
  <c r="T91" i="62"/>
  <c r="T140" i="62"/>
  <c r="T138" i="62"/>
  <c r="T33" i="62"/>
  <c r="T95" i="62"/>
  <c r="T13" i="62"/>
  <c r="T124" i="62"/>
  <c r="T150" i="62"/>
  <c r="T165" i="62"/>
  <c r="T156" i="62"/>
  <c r="T46" i="62"/>
  <c r="T52" i="62"/>
  <c r="T116" i="62"/>
  <c r="T149" i="62"/>
  <c r="T47" i="62"/>
  <c r="T39" i="62"/>
  <c r="T151" i="62"/>
  <c r="T142" i="62"/>
  <c r="T93" i="62"/>
  <c r="T132" i="62"/>
  <c r="T64" i="62"/>
  <c r="T14" i="62"/>
  <c r="T42" i="62"/>
  <c r="T159" i="62"/>
  <c r="T143" i="62"/>
  <c r="T118" i="62"/>
  <c r="T66" i="62"/>
  <c r="T53" i="62"/>
  <c r="T110" i="62"/>
  <c r="T122" i="62"/>
  <c r="T84" i="62"/>
  <c r="T82" i="62"/>
  <c r="T50" i="62"/>
  <c r="T87" i="62"/>
  <c r="T9" i="62"/>
  <c r="T144" i="62"/>
  <c r="T75" i="62"/>
  <c r="T38" i="62"/>
  <c r="T58" i="62"/>
  <c r="T74" i="62"/>
  <c r="T24" i="62"/>
  <c r="T148" i="62"/>
  <c r="T115" i="62"/>
  <c r="T123" i="62"/>
  <c r="BH19" i="50"/>
  <c r="AA140" i="53"/>
  <c r="Q122" i="59"/>
  <c r="U122" i="59" s="1"/>
  <c r="V122" i="59" s="1"/>
  <c r="W122" i="59" s="1"/>
  <c r="AA122" i="59" s="1"/>
  <c r="N122" i="59"/>
  <c r="P122" i="59" s="1"/>
  <c r="N84" i="59"/>
  <c r="P84" i="59" s="1"/>
  <c r="N114" i="59"/>
  <c r="P114" i="59" s="1"/>
  <c r="AD130" i="59"/>
  <c r="AC84" i="59"/>
  <c r="T74" i="59"/>
  <c r="T76" i="59"/>
  <c r="T114" i="59"/>
  <c r="AC55" i="59"/>
  <c r="R135" i="59"/>
  <c r="Q135" i="59" s="1"/>
  <c r="U135" i="59" s="1"/>
  <c r="V135" i="59" s="1"/>
  <c r="W135" i="59" s="1"/>
  <c r="M3" i="50"/>
  <c r="N82" i="59"/>
  <c r="P82" i="59" s="1"/>
  <c r="N4" i="59"/>
  <c r="P4" i="59" s="1"/>
  <c r="V114" i="59"/>
  <c r="W114" i="59" s="1"/>
  <c r="Y114" i="59" s="1"/>
  <c r="AD30" i="59"/>
  <c r="AC114" i="59"/>
  <c r="Q108" i="59"/>
  <c r="U108" i="59" s="1"/>
  <c r="V108" i="59" s="1"/>
  <c r="W108" i="59" s="1"/>
  <c r="T108" i="59"/>
  <c r="R61" i="59"/>
  <c r="Q61" i="59" s="1"/>
  <c r="U61" i="59" s="1"/>
  <c r="V61" i="59" s="1"/>
  <c r="W61" i="59" s="1"/>
  <c r="Y61" i="59" s="1"/>
  <c r="R39" i="59"/>
  <c r="Q39" i="59" s="1"/>
  <c r="U39" i="59" s="1"/>
  <c r="V39" i="59" s="1"/>
  <c r="W39" i="59" s="1"/>
  <c r="AD19" i="59"/>
  <c r="N76" i="59"/>
  <c r="P76" i="59" s="1"/>
  <c r="V74" i="59"/>
  <c r="W74" i="59" s="1"/>
  <c r="AC74" i="59"/>
  <c r="AC14" i="59"/>
  <c r="T82" i="59"/>
  <c r="T14" i="59"/>
  <c r="AC61" i="59"/>
  <c r="AD123" i="59"/>
  <c r="Q93" i="59"/>
  <c r="U93" i="59" s="1"/>
  <c r="V93" i="59" s="1"/>
  <c r="W93" i="59" s="1"/>
  <c r="AA93" i="59" s="1"/>
  <c r="N93" i="59"/>
  <c r="P93" i="59" s="1"/>
  <c r="R24" i="59"/>
  <c r="AC24" i="59"/>
  <c r="R110" i="59"/>
  <c r="Q110" i="59" s="1"/>
  <c r="U110" i="59" s="1"/>
  <c r="V110" i="59" s="1"/>
  <c r="W110" i="59" s="1"/>
  <c r="AA110" i="59" s="1"/>
  <c r="AC110" i="59"/>
  <c r="AC66" i="59"/>
  <c r="R66" i="59"/>
  <c r="Q66" i="59" s="1"/>
  <c r="U66" i="59" s="1"/>
  <c r="V66" i="59" s="1"/>
  <c r="W66" i="59" s="1"/>
  <c r="AA66" i="59" s="1"/>
  <c r="T66" i="59"/>
  <c r="AC42" i="59"/>
  <c r="T42" i="59"/>
  <c r="N117" i="59"/>
  <c r="P117" i="59" s="1"/>
  <c r="N100" i="59"/>
  <c r="P100" i="59" s="1"/>
  <c r="AD8" i="59"/>
  <c r="AD100" i="59"/>
  <c r="T85" i="59"/>
  <c r="R92" i="59"/>
  <c r="Q92" i="59" s="1"/>
  <c r="U92" i="59" s="1"/>
  <c r="V92" i="59" s="1"/>
  <c r="W92" i="59" s="1"/>
  <c r="AA92" i="59" s="1"/>
  <c r="T92" i="59"/>
  <c r="AC92" i="59"/>
  <c r="AC33" i="59"/>
  <c r="T33" i="59"/>
  <c r="R33" i="59"/>
  <c r="T59" i="59"/>
  <c r="R59" i="59"/>
  <c r="T60" i="59"/>
  <c r="N60" i="59"/>
  <c r="P60" i="59" s="1"/>
  <c r="R143" i="59"/>
  <c r="Q143" i="59" s="1"/>
  <c r="U143" i="59" s="1"/>
  <c r="V143" i="59" s="1"/>
  <c r="W143" i="59" s="1"/>
  <c r="Y143" i="59" s="1"/>
  <c r="R10" i="59"/>
  <c r="AC10" i="59"/>
  <c r="R144" i="59"/>
  <c r="T144" i="59"/>
  <c r="R87" i="59"/>
  <c r="AC87" i="59"/>
  <c r="T121" i="59"/>
  <c r="R121" i="59"/>
  <c r="Q121" i="59" s="1"/>
  <c r="U121" i="59" s="1"/>
  <c r="V121" i="59" s="1"/>
  <c r="W121" i="59" s="1"/>
  <c r="Y121" i="59" s="1"/>
  <c r="R11" i="59"/>
  <c r="Q11" i="59" s="1"/>
  <c r="U11" i="59" s="1"/>
  <c r="V11" i="59" s="1"/>
  <c r="W11" i="59" s="1"/>
  <c r="Y11" i="59" s="1"/>
  <c r="T11" i="59"/>
  <c r="AC11" i="59"/>
  <c r="R97" i="59"/>
  <c r="Q97" i="59" s="1"/>
  <c r="U97" i="59" s="1"/>
  <c r="V97" i="59" s="1"/>
  <c r="W97" i="59" s="1"/>
  <c r="Y97" i="59" s="1"/>
  <c r="T97" i="59"/>
  <c r="AC97" i="59"/>
  <c r="R120" i="59"/>
  <c r="Q120" i="59" s="1"/>
  <c r="U120" i="59" s="1"/>
  <c r="V120" i="59" s="1"/>
  <c r="W120" i="59" s="1"/>
  <c r="Y120" i="59" s="1"/>
  <c r="T120" i="59"/>
  <c r="AC28" i="59"/>
  <c r="V28" i="59"/>
  <c r="W28" i="59" s="1"/>
  <c r="N28" i="59"/>
  <c r="P28" i="59" s="1"/>
  <c r="P68" i="59"/>
  <c r="R45" i="59"/>
  <c r="Q45" i="59" s="1"/>
  <c r="U45" i="59" s="1"/>
  <c r="V45" i="59" s="1"/>
  <c r="W45" i="59" s="1"/>
  <c r="AC45" i="59"/>
  <c r="T45" i="59"/>
  <c r="R80" i="59"/>
  <c r="Q80" i="59" s="1"/>
  <c r="U80" i="59" s="1"/>
  <c r="V80" i="59" s="1"/>
  <c r="W80" i="59" s="1"/>
  <c r="AC80" i="59"/>
  <c r="N134" i="59"/>
  <c r="P134" i="59" s="1"/>
  <c r="AC143" i="59"/>
  <c r="AD81" i="59"/>
  <c r="T28" i="59"/>
  <c r="R42" i="59"/>
  <c r="Q42" i="59" s="1"/>
  <c r="U42" i="59" s="1"/>
  <c r="V42" i="59" s="1"/>
  <c r="W42" i="59" s="1"/>
  <c r="Y42" i="59" s="1"/>
  <c r="T75" i="59"/>
  <c r="AC75" i="59"/>
  <c r="AC16" i="59"/>
  <c r="R16" i="59"/>
  <c r="AC111" i="59"/>
  <c r="R111" i="59"/>
  <c r="Q111" i="59" s="1"/>
  <c r="U111" i="59" s="1"/>
  <c r="V111" i="59" s="1"/>
  <c r="W111" i="59" s="1"/>
  <c r="AA111" i="59" s="1"/>
  <c r="N12" i="59"/>
  <c r="P12" i="59" s="1"/>
  <c r="Q12" i="59"/>
  <c r="U12" i="59" s="1"/>
  <c r="V12" i="59" s="1"/>
  <c r="W12" i="59" s="1"/>
  <c r="Q56" i="59"/>
  <c r="U56" i="59" s="1"/>
  <c r="V56" i="59" s="1"/>
  <c r="W56" i="59" s="1"/>
  <c r="N56" i="59"/>
  <c r="P56" i="59" s="1"/>
  <c r="R141" i="59"/>
  <c r="AD89" i="59"/>
  <c r="AC139" i="59"/>
  <c r="T139" i="59"/>
  <c r="AC57" i="59"/>
  <c r="R57" i="59"/>
  <c r="AC15" i="59"/>
  <c r="N15" i="59"/>
  <c r="P15" i="59" s="1"/>
  <c r="T15" i="59"/>
  <c r="R7" i="59"/>
  <c r="Q7" i="59" s="1"/>
  <c r="U7" i="59" s="1"/>
  <c r="V7" i="59" s="1"/>
  <c r="W7" i="59" s="1"/>
  <c r="Y7" i="59" s="1"/>
  <c r="R65" i="59"/>
  <c r="Q65" i="59" s="1"/>
  <c r="U65" i="59" s="1"/>
  <c r="V65" i="59" s="1"/>
  <c r="W65" i="59" s="1"/>
  <c r="AC65" i="59"/>
  <c r="R131" i="59"/>
  <c r="AC131" i="59"/>
  <c r="AC68" i="59"/>
  <c r="T68" i="59"/>
  <c r="AC115" i="59"/>
  <c r="R115" i="59"/>
  <c r="AD102" i="59"/>
  <c r="R46" i="59"/>
  <c r="Q46" i="59" s="1"/>
  <c r="U46" i="59" s="1"/>
  <c r="V46" i="59" s="1"/>
  <c r="W46" i="59" s="1"/>
  <c r="AA46" i="59" s="1"/>
  <c r="T46" i="59"/>
  <c r="AC46" i="59"/>
  <c r="T130" i="59"/>
  <c r="R130" i="59"/>
  <c r="T23" i="59"/>
  <c r="R23" i="59"/>
  <c r="R8" i="59"/>
  <c r="N8" i="59" s="1"/>
  <c r="P8" i="59" s="1"/>
  <c r="T8" i="59"/>
  <c r="AC112" i="59"/>
  <c r="R112" i="59"/>
  <c r="AC51" i="59"/>
  <c r="R51" i="59"/>
  <c r="R119" i="59"/>
  <c r="AC119" i="59"/>
  <c r="R31" i="59"/>
  <c r="T31" i="59"/>
  <c r="AC31" i="59"/>
  <c r="T79" i="59"/>
  <c r="AC79" i="59"/>
  <c r="T126" i="59"/>
  <c r="R126" i="59"/>
  <c r="AC126" i="59"/>
  <c r="AD29" i="59"/>
  <c r="AD98" i="59"/>
  <c r="AD48" i="59"/>
  <c r="AD32" i="59"/>
  <c r="AD4" i="59"/>
  <c r="AD142" i="59"/>
  <c r="AA139" i="53"/>
  <c r="Y59" i="53"/>
  <c r="Y108" i="53"/>
  <c r="Y96" i="59"/>
  <c r="Y67" i="53"/>
  <c r="AD144" i="59"/>
  <c r="AA92" i="53"/>
  <c r="Y47" i="53"/>
  <c r="AA15" i="59"/>
  <c r="AA137" i="59"/>
  <c r="AD125" i="59"/>
  <c r="Y47" i="59"/>
  <c r="Y82" i="59"/>
  <c r="Y53" i="59"/>
  <c r="AA72" i="59"/>
  <c r="Y72" i="59"/>
  <c r="Y18" i="59"/>
  <c r="Y38" i="59"/>
  <c r="Y34" i="53"/>
  <c r="N55" i="59"/>
  <c r="P55" i="59" s="1"/>
  <c r="R17" i="51"/>
  <c r="T17" i="51" s="1"/>
  <c r="Y132" i="59"/>
  <c r="AA132" i="59"/>
  <c r="Q85" i="59"/>
  <c r="U85" i="59" s="1"/>
  <c r="V85" i="59" s="1"/>
  <c r="W85" i="59" s="1"/>
  <c r="Y85" i="59" s="1"/>
  <c r="N85" i="59"/>
  <c r="P85" i="59" s="1"/>
  <c r="Y66" i="53"/>
  <c r="Y70" i="53"/>
  <c r="Q50" i="59"/>
  <c r="U50" i="59" s="1"/>
  <c r="V50" i="59" s="1"/>
  <c r="W50" i="59" s="1"/>
  <c r="N50" i="59"/>
  <c r="P50" i="59" s="1"/>
  <c r="T41" i="59"/>
  <c r="V41" i="59"/>
  <c r="W41" i="59" s="1"/>
  <c r="AC41" i="59"/>
  <c r="N41" i="59"/>
  <c r="P41" i="59" s="1"/>
  <c r="T29" i="59"/>
  <c r="R29" i="59"/>
  <c r="R5" i="59"/>
  <c r="Q5" i="59" s="1"/>
  <c r="U5" i="59" s="1"/>
  <c r="V5" i="59" s="1"/>
  <c r="W5" i="59" s="1"/>
  <c r="Y5" i="59" s="1"/>
  <c r="AC5" i="59"/>
  <c r="T138" i="59"/>
  <c r="R138" i="59"/>
  <c r="R6" i="59"/>
  <c r="Q6" i="59" s="1"/>
  <c r="U6" i="59" s="1"/>
  <c r="V6" i="59" s="1"/>
  <c r="W6" i="59" s="1"/>
  <c r="AC6" i="59"/>
  <c r="AC21" i="59"/>
  <c r="R21" i="59"/>
  <c r="Q104" i="59"/>
  <c r="U104" i="59" s="1"/>
  <c r="V104" i="59" s="1"/>
  <c r="W104" i="59" s="1"/>
  <c r="Y104" i="59" s="1"/>
  <c r="N104" i="59"/>
  <c r="P104" i="59" s="1"/>
  <c r="Q94" i="59"/>
  <c r="U94" i="59" s="1"/>
  <c r="V94" i="59" s="1"/>
  <c r="W94" i="59" s="1"/>
  <c r="N94" i="59"/>
  <c r="P94" i="59" s="1"/>
  <c r="Y58" i="59"/>
  <c r="Y49" i="59"/>
  <c r="Q14" i="59"/>
  <c r="U14" i="59" s="1"/>
  <c r="V14" i="59" s="1"/>
  <c r="W14" i="59" s="1"/>
  <c r="N14" i="59"/>
  <c r="P14" i="59" s="1"/>
  <c r="Y75" i="59"/>
  <c r="Y76" i="59"/>
  <c r="P77" i="59"/>
  <c r="Q79" i="59"/>
  <c r="U79" i="59" s="1"/>
  <c r="V79" i="59" s="1"/>
  <c r="W79" i="59" s="1"/>
  <c r="N79" i="59"/>
  <c r="P79" i="59" s="1"/>
  <c r="Y144" i="53"/>
  <c r="AC52" i="59"/>
  <c r="V52" i="59"/>
  <c r="W52" i="59" s="1"/>
  <c r="Y52" i="59" s="1"/>
  <c r="AC145" i="59"/>
  <c r="R145" i="59"/>
  <c r="AC86" i="59"/>
  <c r="R86" i="59"/>
  <c r="AC9" i="59"/>
  <c r="R9" i="59"/>
  <c r="AC70" i="59"/>
  <c r="R70" i="59"/>
  <c r="AD35" i="59"/>
  <c r="AD69" i="59"/>
  <c r="AC71" i="59"/>
  <c r="AD99" i="59"/>
  <c r="AD133" i="59"/>
  <c r="R116" i="59"/>
  <c r="AC116" i="59"/>
  <c r="T125" i="59"/>
  <c r="R125" i="59"/>
  <c r="T32" i="59"/>
  <c r="R32" i="59"/>
  <c r="Y6" i="52"/>
  <c r="Y138" i="53"/>
  <c r="Y60" i="59"/>
  <c r="AA60" i="59"/>
  <c r="Y131" i="53"/>
  <c r="Y87" i="53"/>
  <c r="Y68" i="59"/>
  <c r="AA68" i="59"/>
  <c r="Y79" i="53"/>
  <c r="AA79" i="53"/>
  <c r="AA84" i="59"/>
  <c r="Y126" i="53"/>
  <c r="Y100" i="53"/>
  <c r="Y78" i="53"/>
  <c r="AA129" i="59"/>
  <c r="Y129" i="59"/>
  <c r="Y134" i="59"/>
  <c r="Y118" i="53"/>
  <c r="AA9" i="53"/>
  <c r="Y113" i="59"/>
  <c r="Y55" i="59"/>
  <c r="Y40" i="59"/>
  <c r="Y100" i="59"/>
  <c r="Y67" i="59"/>
  <c r="Y3" i="59"/>
  <c r="AA64" i="59"/>
  <c r="Y102" i="59"/>
  <c r="N167" i="62" l="1"/>
  <c r="P167" i="62" s="1"/>
  <c r="N158" i="62"/>
  <c r="P158" i="62" s="1"/>
  <c r="Q165" i="62"/>
  <c r="U165" i="62" s="1"/>
  <c r="V165" i="62" s="1"/>
  <c r="W165" i="62" s="1"/>
  <c r="AA165" i="62" s="1"/>
  <c r="Q54" i="62"/>
  <c r="U54" i="62" s="1"/>
  <c r="V54" i="62" s="1"/>
  <c r="W54" i="62" s="1"/>
  <c r="AA54" i="62" s="1"/>
  <c r="Q140" i="62"/>
  <c r="U140" i="62" s="1"/>
  <c r="V140" i="62" s="1"/>
  <c r="W140" i="62" s="1"/>
  <c r="AA140" i="62" s="1"/>
  <c r="N65" i="62"/>
  <c r="P65" i="62" s="1"/>
  <c r="Q91" i="62"/>
  <c r="U91" i="62" s="1"/>
  <c r="V91" i="62" s="1"/>
  <c r="W91" i="62" s="1"/>
  <c r="AA91" i="62" s="1"/>
  <c r="Q35" i="62"/>
  <c r="U35" i="62" s="1"/>
  <c r="V35" i="62" s="1"/>
  <c r="W35" i="62" s="1"/>
  <c r="AA35" i="62" s="1"/>
  <c r="Q7" i="62"/>
  <c r="U7" i="62" s="1"/>
  <c r="V7" i="62" s="1"/>
  <c r="W7" i="62" s="1"/>
  <c r="AA7" i="62" s="1"/>
  <c r="Q156" i="62"/>
  <c r="U156" i="62" s="1"/>
  <c r="V156" i="62" s="1"/>
  <c r="W156" i="62" s="1"/>
  <c r="AA156" i="62" s="1"/>
  <c r="N95" i="62"/>
  <c r="P95" i="62" s="1"/>
  <c r="Q154" i="62"/>
  <c r="U154" i="62" s="1"/>
  <c r="V154" i="62" s="1"/>
  <c r="W154" i="62" s="1"/>
  <c r="AA154" i="62" s="1"/>
  <c r="N161" i="62"/>
  <c r="P161" i="62" s="1"/>
  <c r="N97" i="62"/>
  <c r="P97" i="62" s="1"/>
  <c r="N67" i="62"/>
  <c r="P67" i="62" s="1"/>
  <c r="N115" i="62"/>
  <c r="P115" i="62" s="1"/>
  <c r="Q96" i="62"/>
  <c r="U96" i="62" s="1"/>
  <c r="V96" i="62" s="1"/>
  <c r="W96" i="62" s="1"/>
  <c r="Y96" i="62" s="1"/>
  <c r="Q152" i="62"/>
  <c r="U152" i="62" s="1"/>
  <c r="V152" i="62" s="1"/>
  <c r="W152" i="62" s="1"/>
  <c r="AA152" i="62" s="1"/>
  <c r="Q136" i="62"/>
  <c r="U136" i="62" s="1"/>
  <c r="V136" i="62" s="1"/>
  <c r="W136" i="62" s="1"/>
  <c r="AA136" i="62" s="1"/>
  <c r="N4" i="62"/>
  <c r="P4" i="62" s="1"/>
  <c r="D16" i="50"/>
  <c r="D18" i="50" s="1"/>
  <c r="S15" i="50"/>
  <c r="S16" i="50" s="1"/>
  <c r="S17" i="50" s="1"/>
  <c r="S18" i="50" s="1"/>
  <c r="S19" i="50" s="1"/>
  <c r="AA95" i="53"/>
  <c r="AA107" i="53"/>
  <c r="AA141" i="53"/>
  <c r="AD85" i="59"/>
  <c r="AA42" i="53"/>
  <c r="AA41" i="59"/>
  <c r="AA12" i="59"/>
  <c r="AD132" i="59"/>
  <c r="AA118" i="59"/>
  <c r="AA53" i="53"/>
  <c r="AA10" i="53"/>
  <c r="AA83" i="53"/>
  <c r="AA135" i="59"/>
  <c r="AD38" i="55"/>
  <c r="AD8" i="55"/>
  <c r="AD30" i="55"/>
  <c r="AD3" i="55"/>
  <c r="AD45" i="55"/>
  <c r="AD35" i="55"/>
  <c r="AD21" i="55"/>
  <c r="AD16" i="55"/>
  <c r="AD46" i="55"/>
  <c r="AD9" i="55"/>
  <c r="AD15" i="55"/>
  <c r="AD37" i="55"/>
  <c r="AD44" i="55"/>
  <c r="AD25" i="55"/>
  <c r="AD11" i="55"/>
  <c r="AD36" i="55"/>
  <c r="AD8" i="52"/>
  <c r="AD15" i="62"/>
  <c r="AD48" i="62"/>
  <c r="AD17" i="62"/>
  <c r="AD43" i="62"/>
  <c r="AD80" i="62"/>
  <c r="AD32" i="62"/>
  <c r="AD8" i="62"/>
  <c r="AD45" i="62"/>
  <c r="AD95" i="62"/>
  <c r="AD78" i="62"/>
  <c r="AD170" i="62"/>
  <c r="AD129" i="62"/>
  <c r="AD103" i="62"/>
  <c r="AD83" i="62"/>
  <c r="AD113" i="62"/>
  <c r="AD77" i="62"/>
  <c r="AD68" i="62"/>
  <c r="AD49" i="62"/>
  <c r="AD22" i="62"/>
  <c r="AD140" i="62"/>
  <c r="AD6" i="62"/>
  <c r="AD73" i="62"/>
  <c r="AD86" i="62"/>
  <c r="AD36" i="62"/>
  <c r="AD54" i="62"/>
  <c r="AD165" i="62"/>
  <c r="AD56" i="62"/>
  <c r="AD136" i="62"/>
  <c r="AD169" i="62"/>
  <c r="AD91" i="62"/>
  <c r="AD7" i="62"/>
  <c r="AD16" i="62"/>
  <c r="AD92" i="62"/>
  <c r="AD130" i="62"/>
  <c r="AD156" i="62"/>
  <c r="AD52" i="62"/>
  <c r="AD46" i="62"/>
  <c r="AD134" i="62"/>
  <c r="AD72" i="62"/>
  <c r="AD51" i="62"/>
  <c r="AD106" i="62"/>
  <c r="AD141" i="62"/>
  <c r="AD116" i="62"/>
  <c r="AD149" i="62"/>
  <c r="AD155" i="62"/>
  <c r="AD5" i="62"/>
  <c r="AD65" i="62"/>
  <c r="AD88" i="62"/>
  <c r="AD90" i="62"/>
  <c r="AD152" i="62"/>
  <c r="AD25" i="62"/>
  <c r="AD67" i="62"/>
  <c r="AD62" i="62"/>
  <c r="AD107" i="62"/>
  <c r="AD117" i="62"/>
  <c r="AD146" i="62"/>
  <c r="AD114" i="62"/>
  <c r="AD71" i="62"/>
  <c r="AD18" i="62"/>
  <c r="AD37" i="62"/>
  <c r="AD131" i="62"/>
  <c r="AD34" i="62"/>
  <c r="AD168" i="62"/>
  <c r="AD19" i="62"/>
  <c r="AD112" i="62"/>
  <c r="AD120" i="62"/>
  <c r="AD124" i="62"/>
  <c r="AD158" i="62"/>
  <c r="AD47" i="62"/>
  <c r="AD163" i="62"/>
  <c r="AD30" i="62"/>
  <c r="AD128" i="62"/>
  <c r="AD167" i="62"/>
  <c r="AD89" i="62"/>
  <c r="P25" i="62"/>
  <c r="AE18" i="50"/>
  <c r="Y92" i="62"/>
  <c r="AA92" i="62"/>
  <c r="Y159" i="62"/>
  <c r="AA159" i="62"/>
  <c r="Y28" i="62"/>
  <c r="AA28" i="62"/>
  <c r="Y68" i="62"/>
  <c r="AA68" i="62"/>
  <c r="Y45" i="62"/>
  <c r="AA45" i="62"/>
  <c r="Y120" i="62"/>
  <c r="AA120" i="62"/>
  <c r="Y107" i="62"/>
  <c r="AA107" i="62"/>
  <c r="Y124" i="62"/>
  <c r="AA124" i="62"/>
  <c r="Y126" i="62"/>
  <c r="AA126" i="62"/>
  <c r="Y90" i="62"/>
  <c r="AA90" i="62"/>
  <c r="Y163" i="62"/>
  <c r="AA163" i="62"/>
  <c r="Y44" i="62"/>
  <c r="AA44" i="62"/>
  <c r="Y113" i="62"/>
  <c r="AA113" i="62"/>
  <c r="Y155" i="62"/>
  <c r="AA155" i="62"/>
  <c r="Y78" i="62"/>
  <c r="AA78" i="62"/>
  <c r="Y4" i="62"/>
  <c r="AA4" i="62"/>
  <c r="Y70" i="62"/>
  <c r="AA70" i="62"/>
  <c r="Y63" i="62"/>
  <c r="AA63" i="62"/>
  <c r="Y73" i="62"/>
  <c r="AA73" i="62"/>
  <c r="Y24" i="62"/>
  <c r="AA24" i="62"/>
  <c r="Y85" i="62"/>
  <c r="AA85" i="62"/>
  <c r="Y13" i="62"/>
  <c r="AA13" i="62"/>
  <c r="Y100" i="62"/>
  <c r="AA100" i="62"/>
  <c r="Y129" i="62"/>
  <c r="AA129" i="62"/>
  <c r="Y99" i="62"/>
  <c r="AA99" i="62"/>
  <c r="Y158" i="62"/>
  <c r="AA158" i="62"/>
  <c r="Y56" i="62"/>
  <c r="AA56" i="62"/>
  <c r="Y67" i="62"/>
  <c r="AA67" i="62"/>
  <c r="Y115" i="62"/>
  <c r="AA115" i="62"/>
  <c r="Y128" i="62"/>
  <c r="AA128" i="62"/>
  <c r="Y46" i="62"/>
  <c r="AA46" i="62"/>
  <c r="Y79" i="62"/>
  <c r="AA79" i="62"/>
  <c r="Y139" i="62"/>
  <c r="AA139" i="62"/>
  <c r="Y37" i="62"/>
  <c r="AA37" i="62"/>
  <c r="Y5" i="62"/>
  <c r="AA5" i="62"/>
  <c r="AA147" i="53"/>
  <c r="AA30" i="53"/>
  <c r="AA46" i="53"/>
  <c r="AA35" i="53"/>
  <c r="AA54" i="53"/>
  <c r="AA12" i="56"/>
  <c r="AA140" i="59"/>
  <c r="AD2" i="58"/>
  <c r="N2" i="58"/>
  <c r="P2" i="58" s="1"/>
  <c r="AA6" i="58"/>
  <c r="AA85" i="53"/>
  <c r="P34" i="62"/>
  <c r="AV37" i="50"/>
  <c r="AW37" i="50" s="1"/>
  <c r="AY37" i="50" s="1"/>
  <c r="AV15" i="50"/>
  <c r="AW15" i="50" s="1"/>
  <c r="AY15" i="50" s="1"/>
  <c r="AV48" i="50"/>
  <c r="AW48" i="50" s="1"/>
  <c r="AY48" i="50" s="1"/>
  <c r="AV26" i="50"/>
  <c r="AW26" i="50" s="1"/>
  <c r="AY26" i="50" s="1"/>
  <c r="Q10" i="58"/>
  <c r="U10" i="58" s="1"/>
  <c r="V10" i="58" s="1"/>
  <c r="W10" i="58" s="1"/>
  <c r="Q3" i="58"/>
  <c r="U3" i="58" s="1"/>
  <c r="V3" i="58" s="1"/>
  <c r="W3" i="58" s="1"/>
  <c r="Y3" i="58" s="1"/>
  <c r="Q13" i="58"/>
  <c r="U13" i="58" s="1"/>
  <c r="V13" i="58" s="1"/>
  <c r="W13" i="58" s="1"/>
  <c r="Y13" i="58" s="1"/>
  <c r="Q17" i="58"/>
  <c r="U17" i="58" s="1"/>
  <c r="V17" i="58" s="1"/>
  <c r="W17" i="58" s="1"/>
  <c r="Y17" i="58" s="1"/>
  <c r="Q4" i="58"/>
  <c r="U4" i="58" s="1"/>
  <c r="V4" i="58" s="1"/>
  <c r="W4" i="58" s="1"/>
  <c r="Y4" i="58" s="1"/>
  <c r="Q8" i="58"/>
  <c r="U8" i="58" s="1"/>
  <c r="V8" i="58" s="1"/>
  <c r="W8" i="58" s="1"/>
  <c r="Q7" i="58"/>
  <c r="U7" i="58" s="1"/>
  <c r="V7" i="58" s="1"/>
  <c r="W7" i="58" s="1"/>
  <c r="P6" i="52"/>
  <c r="AA65" i="59"/>
  <c r="AA56" i="59"/>
  <c r="AA80" i="59"/>
  <c r="AA4" i="59"/>
  <c r="AA48" i="59"/>
  <c r="AA102" i="53"/>
  <c r="AA106" i="53"/>
  <c r="AA37" i="53"/>
  <c r="AA61" i="53"/>
  <c r="AA74" i="59"/>
  <c r="AA69" i="59"/>
  <c r="AA127" i="59"/>
  <c r="AW49" i="50"/>
  <c r="AY49" i="50" s="1"/>
  <c r="AW38" i="50"/>
  <c r="AY38" i="50" s="1"/>
  <c r="AW47" i="50"/>
  <c r="AY47" i="50" s="1"/>
  <c r="AW36" i="50"/>
  <c r="AY36" i="50" s="1"/>
  <c r="AW27" i="50"/>
  <c r="AY27" i="50" s="1"/>
  <c r="AW25" i="50"/>
  <c r="AY25" i="50" s="1"/>
  <c r="AW16" i="50"/>
  <c r="AY16" i="50" s="1"/>
  <c r="AW14" i="50"/>
  <c r="AY14" i="50" s="1"/>
  <c r="AD73" i="59"/>
  <c r="AE64" i="59"/>
  <c r="AA78" i="59"/>
  <c r="AA35" i="59"/>
  <c r="AA13" i="59"/>
  <c r="N69" i="59"/>
  <c r="P69" i="59" s="1"/>
  <c r="Q101" i="59"/>
  <c r="U101" i="59" s="1"/>
  <c r="V101" i="59" s="1"/>
  <c r="W101" i="59" s="1"/>
  <c r="AA101" i="59" s="1"/>
  <c r="N128" i="59"/>
  <c r="P128" i="59" s="1"/>
  <c r="N44" i="59"/>
  <c r="P44" i="59" s="1"/>
  <c r="N71" i="59"/>
  <c r="P71" i="59" s="1"/>
  <c r="AE117" i="59"/>
  <c r="N105" i="59"/>
  <c r="P105" i="59" s="1"/>
  <c r="N22" i="59"/>
  <c r="P22" i="59" s="1"/>
  <c r="AA36" i="56"/>
  <c r="AA98" i="53"/>
  <c r="AA122" i="53"/>
  <c r="AA20" i="53"/>
  <c r="AA109" i="53"/>
  <c r="AA43" i="53"/>
  <c r="AA26" i="53"/>
  <c r="AA8" i="53"/>
  <c r="N134" i="62"/>
  <c r="P134" i="62" s="1"/>
  <c r="N49" i="62"/>
  <c r="P49" i="62" s="1"/>
  <c r="AA14" i="53"/>
  <c r="AA22" i="53"/>
  <c r="Y26" i="53"/>
  <c r="Y46" i="53"/>
  <c r="AA64" i="53"/>
  <c r="AA40" i="53"/>
  <c r="Y99" i="53"/>
  <c r="N21" i="53"/>
  <c r="P21" i="53" s="1"/>
  <c r="N91" i="53"/>
  <c r="P91" i="53" s="1"/>
  <c r="N116" i="53"/>
  <c r="P116" i="53" s="1"/>
  <c r="AA134" i="53"/>
  <c r="AA52" i="53"/>
  <c r="Y61" i="53"/>
  <c r="N121" i="62"/>
  <c r="P121" i="62" s="1"/>
  <c r="AA89" i="53"/>
  <c r="AA137" i="53"/>
  <c r="AA127" i="53"/>
  <c r="Y141" i="53"/>
  <c r="AA38" i="53"/>
  <c r="Y83" i="53"/>
  <c r="Y63" i="53"/>
  <c r="AA51" i="53"/>
  <c r="AA104" i="53"/>
  <c r="AA105" i="53"/>
  <c r="Y10" i="53"/>
  <c r="AA65" i="53"/>
  <c r="AA41" i="53"/>
  <c r="Y7" i="53"/>
  <c r="AA124" i="53"/>
  <c r="N26" i="53"/>
  <c r="P26" i="53" s="1"/>
  <c r="N29" i="53"/>
  <c r="P29" i="53" s="1"/>
  <c r="N106" i="53"/>
  <c r="P106" i="53" s="1"/>
  <c r="AA97" i="53"/>
  <c r="Y53" i="53"/>
  <c r="N112" i="53"/>
  <c r="P112" i="53" s="1"/>
  <c r="AA77" i="53"/>
  <c r="N101" i="53"/>
  <c r="P101" i="53" s="1"/>
  <c r="AA49" i="53"/>
  <c r="N60" i="53"/>
  <c r="P60" i="53" s="1"/>
  <c r="Q5" i="53"/>
  <c r="U5" i="53" s="1"/>
  <c r="V5" i="53" s="1"/>
  <c r="W5" i="53" s="1"/>
  <c r="AA5" i="53" s="1"/>
  <c r="AA23" i="53"/>
  <c r="AA142" i="53"/>
  <c r="N143" i="53"/>
  <c r="P143" i="53" s="1"/>
  <c r="N142" i="53"/>
  <c r="P142" i="53" s="1"/>
  <c r="AA72" i="53"/>
  <c r="N124" i="53"/>
  <c r="P124" i="53" s="1"/>
  <c r="N38" i="53"/>
  <c r="P38" i="53" s="1"/>
  <c r="Q28" i="53"/>
  <c r="U28" i="53" s="1"/>
  <c r="V28" i="53" s="1"/>
  <c r="W28" i="53" s="1"/>
  <c r="Y28" i="53" s="1"/>
  <c r="R15" i="51"/>
  <c r="T15" i="51" s="1"/>
  <c r="N86" i="53"/>
  <c r="P86" i="53" s="1"/>
  <c r="Q86" i="53"/>
  <c r="U86" i="53" s="1"/>
  <c r="V86" i="53" s="1"/>
  <c r="W86" i="53" s="1"/>
  <c r="AA116" i="53"/>
  <c r="Y21" i="53"/>
  <c r="Y20" i="53"/>
  <c r="AA13" i="53"/>
  <c r="Y36" i="53"/>
  <c r="AA130" i="53"/>
  <c r="Y102" i="53"/>
  <c r="AA19" i="53"/>
  <c r="Y147" i="53"/>
  <c r="AA120" i="53"/>
  <c r="Y42" i="53"/>
  <c r="AA16" i="53"/>
  <c r="AA75" i="53"/>
  <c r="Y117" i="53"/>
  <c r="AA81" i="53"/>
  <c r="AA112" i="53"/>
  <c r="N98" i="53"/>
  <c r="P98" i="53" s="1"/>
  <c r="AA12" i="53"/>
  <c r="Y54" i="53"/>
  <c r="AA27" i="53"/>
  <c r="Y30" i="53"/>
  <c r="N30" i="53"/>
  <c r="P30" i="53" s="1"/>
  <c r="L15" i="51"/>
  <c r="P85" i="53"/>
  <c r="AA69" i="53"/>
  <c r="Y98" i="53"/>
  <c r="AA32" i="53"/>
  <c r="Y35" i="53"/>
  <c r="N50" i="53"/>
  <c r="P50" i="53" s="1"/>
  <c r="N2" i="53"/>
  <c r="P2" i="53" s="1"/>
  <c r="Q2" i="53"/>
  <c r="U2" i="53" s="1"/>
  <c r="V2" i="53" s="1"/>
  <c r="W2" i="53" s="1"/>
  <c r="Y85" i="53"/>
  <c r="P15" i="51"/>
  <c r="O15" i="51" s="1"/>
  <c r="N15" i="51" s="1"/>
  <c r="Y95" i="53"/>
  <c r="Y76" i="53"/>
  <c r="Y107" i="53"/>
  <c r="AA57" i="53"/>
  <c r="Q44" i="53"/>
  <c r="U44" i="53" s="1"/>
  <c r="V44" i="53" s="1"/>
  <c r="W44" i="53" s="1"/>
  <c r="N102" i="53"/>
  <c r="P102" i="53" s="1"/>
  <c r="AA62" i="53"/>
  <c r="Y62" i="53"/>
  <c r="Y60" i="53"/>
  <c r="AA60" i="53"/>
  <c r="Y88" i="53"/>
  <c r="AA88" i="53"/>
  <c r="Y91" i="53"/>
  <c r="AA91" i="53"/>
  <c r="N135" i="53"/>
  <c r="P135" i="53" s="1"/>
  <c r="Q135" i="53"/>
  <c r="U135" i="53" s="1"/>
  <c r="V135" i="53" s="1"/>
  <c r="W135" i="53" s="1"/>
  <c r="N17" i="53"/>
  <c r="P17" i="53" s="1"/>
  <c r="Q17" i="53"/>
  <c r="U17" i="53" s="1"/>
  <c r="V17" i="53" s="1"/>
  <c r="W17" i="53" s="1"/>
  <c r="Y148" i="53"/>
  <c r="AA114" i="53"/>
  <c r="N133" i="53"/>
  <c r="P133" i="53" s="1"/>
  <c r="Q133" i="53"/>
  <c r="U133" i="53" s="1"/>
  <c r="V133" i="53" s="1"/>
  <c r="W133" i="53" s="1"/>
  <c r="N129" i="53"/>
  <c r="P129" i="53" s="1"/>
  <c r="Q129" i="53"/>
  <c r="U129" i="53" s="1"/>
  <c r="V129" i="53" s="1"/>
  <c r="W129" i="53" s="1"/>
  <c r="N37" i="53"/>
  <c r="P37" i="53" s="1"/>
  <c r="N13" i="53"/>
  <c r="P13" i="53" s="1"/>
  <c r="Y8" i="53"/>
  <c r="AA31" i="53"/>
  <c r="Y110" i="53"/>
  <c r="Y122" i="53"/>
  <c r="N73" i="53"/>
  <c r="P73" i="53" s="1"/>
  <c r="N40" i="53"/>
  <c r="P40" i="53" s="1"/>
  <c r="N48" i="53"/>
  <c r="P48" i="53" s="1"/>
  <c r="N18" i="53"/>
  <c r="P18" i="53" s="1"/>
  <c r="N15" i="53"/>
  <c r="P15" i="53" s="1"/>
  <c r="N62" i="53"/>
  <c r="P62" i="53" s="1"/>
  <c r="N10" i="53"/>
  <c r="P10" i="53" s="1"/>
  <c r="N61" i="53"/>
  <c r="P61" i="53" s="1"/>
  <c r="N96" i="53"/>
  <c r="P96" i="53" s="1"/>
  <c r="Q96" i="53"/>
  <c r="U96" i="53" s="1"/>
  <c r="V96" i="53" s="1"/>
  <c r="W96" i="53" s="1"/>
  <c r="N82" i="53"/>
  <c r="P82" i="53" s="1"/>
  <c r="Q82" i="53"/>
  <c r="U82" i="53" s="1"/>
  <c r="V82" i="53" s="1"/>
  <c r="W82" i="53" s="1"/>
  <c r="N45" i="53"/>
  <c r="P45" i="53" s="1"/>
  <c r="Q45" i="53"/>
  <c r="U45" i="53" s="1"/>
  <c r="V45" i="53" s="1"/>
  <c r="W45" i="53" s="1"/>
  <c r="AA143" i="53"/>
  <c r="Q94" i="53"/>
  <c r="U94" i="53" s="1"/>
  <c r="V94" i="53" s="1"/>
  <c r="W94" i="53" s="1"/>
  <c r="Y94" i="53" s="1"/>
  <c r="N75" i="53"/>
  <c r="P75" i="53" s="1"/>
  <c r="N111" i="53"/>
  <c r="P111" i="53" s="1"/>
  <c r="Q111" i="53"/>
  <c r="U111" i="53" s="1"/>
  <c r="V111" i="53" s="1"/>
  <c r="W111" i="53" s="1"/>
  <c r="Q125" i="53"/>
  <c r="U125" i="53" s="1"/>
  <c r="V125" i="53" s="1"/>
  <c r="W125" i="53" s="1"/>
  <c r="N125" i="53"/>
  <c r="P125" i="53" s="1"/>
  <c r="N145" i="53"/>
  <c r="P145" i="53" s="1"/>
  <c r="Q145" i="53"/>
  <c r="U145" i="53" s="1"/>
  <c r="V145" i="53" s="1"/>
  <c r="W145" i="53" s="1"/>
  <c r="N123" i="53"/>
  <c r="P123" i="53" s="1"/>
  <c r="Q123" i="53"/>
  <c r="U123" i="53" s="1"/>
  <c r="V123" i="53" s="1"/>
  <c r="W123" i="53" s="1"/>
  <c r="N23" i="53"/>
  <c r="P23" i="53" s="1"/>
  <c r="N11" i="53"/>
  <c r="P11" i="53" s="1"/>
  <c r="Q11" i="53"/>
  <c r="U11" i="53" s="1"/>
  <c r="V11" i="53" s="1"/>
  <c r="W11" i="53" s="1"/>
  <c r="N93" i="53"/>
  <c r="P93" i="53" s="1"/>
  <c r="Q93" i="53"/>
  <c r="U93" i="53" s="1"/>
  <c r="V93" i="53" s="1"/>
  <c r="W93" i="53" s="1"/>
  <c r="N88" i="53"/>
  <c r="P88" i="53" s="1"/>
  <c r="Y37" i="53"/>
  <c r="N117" i="53"/>
  <c r="P117" i="53" s="1"/>
  <c r="N31" i="53"/>
  <c r="P31" i="53" s="1"/>
  <c r="N6" i="53"/>
  <c r="P6" i="53" s="1"/>
  <c r="N68" i="53"/>
  <c r="P68" i="53" s="1"/>
  <c r="N58" i="53"/>
  <c r="P58" i="53" s="1"/>
  <c r="Q58" i="53"/>
  <c r="U58" i="53" s="1"/>
  <c r="V58" i="53" s="1"/>
  <c r="W58" i="53" s="1"/>
  <c r="N114" i="53"/>
  <c r="P114" i="53" s="1"/>
  <c r="AA73" i="53"/>
  <c r="Y73" i="53"/>
  <c r="Y48" i="53"/>
  <c r="AA48" i="53"/>
  <c r="Y15" i="53"/>
  <c r="AA15" i="53"/>
  <c r="AA132" i="53"/>
  <c r="Y132" i="53"/>
  <c r="AA50" i="53"/>
  <c r="Y50" i="53"/>
  <c r="AA33" i="53"/>
  <c r="Y33" i="53"/>
  <c r="AA18" i="53"/>
  <c r="Y18" i="53"/>
  <c r="Y29" i="53"/>
  <c r="AA29" i="53"/>
  <c r="Y101" i="53"/>
  <c r="AA101" i="53"/>
  <c r="AA119" i="53"/>
  <c r="Y119" i="53"/>
  <c r="Y103" i="53"/>
  <c r="AA103" i="53"/>
  <c r="Y24" i="53"/>
  <c r="AA24" i="53"/>
  <c r="Y6" i="53"/>
  <c r="AA6" i="53"/>
  <c r="AA136" i="53"/>
  <c r="Y106" i="53"/>
  <c r="Y109" i="53"/>
  <c r="AA80" i="53"/>
  <c r="N109" i="53"/>
  <c r="P109" i="53" s="1"/>
  <c r="N110" i="53"/>
  <c r="P110" i="53" s="1"/>
  <c r="N132" i="53"/>
  <c r="P132" i="53" s="1"/>
  <c r="AA68" i="53"/>
  <c r="Y74" i="53"/>
  <c r="N43" i="53"/>
  <c r="P43" i="53" s="1"/>
  <c r="N103" i="53"/>
  <c r="P103" i="53" s="1"/>
  <c r="N122" i="53"/>
  <c r="P122" i="53" s="1"/>
  <c r="Y43" i="53"/>
  <c r="AA55" i="53"/>
  <c r="N80" i="53"/>
  <c r="P80" i="53" s="1"/>
  <c r="N16" i="53"/>
  <c r="P16" i="53" s="1"/>
  <c r="N55" i="53"/>
  <c r="P55" i="53" s="1"/>
  <c r="N8" i="53"/>
  <c r="P8" i="53" s="1"/>
  <c r="N74" i="53"/>
  <c r="P74" i="53" s="1"/>
  <c r="N24" i="53"/>
  <c r="P24" i="53" s="1"/>
  <c r="N119" i="53"/>
  <c r="P119" i="53" s="1"/>
  <c r="N125" i="62"/>
  <c r="P125" i="62" s="1"/>
  <c r="N71" i="62"/>
  <c r="P71" i="62" s="1"/>
  <c r="N16" i="62"/>
  <c r="P16" i="62" s="1"/>
  <c r="Q61" i="62"/>
  <c r="U61" i="62" s="1"/>
  <c r="V61" i="62" s="1"/>
  <c r="W61" i="62" s="1"/>
  <c r="N145" i="62"/>
  <c r="P145" i="62" s="1"/>
  <c r="N169" i="62"/>
  <c r="P169" i="62" s="1"/>
  <c r="AD99" i="62"/>
  <c r="AD160" i="62"/>
  <c r="AD101" i="62"/>
  <c r="N104" i="62"/>
  <c r="P104" i="62" s="1"/>
  <c r="Y125" i="62"/>
  <c r="N22" i="62"/>
  <c r="P22" i="62" s="1"/>
  <c r="N20" i="62"/>
  <c r="P20" i="62" s="1"/>
  <c r="N8" i="62"/>
  <c r="P8" i="62" s="1"/>
  <c r="Y20" i="62"/>
  <c r="Y145" i="62"/>
  <c r="AD28" i="62"/>
  <c r="AD139" i="62"/>
  <c r="AD161" i="62"/>
  <c r="AD41" i="62"/>
  <c r="Y71" i="62"/>
  <c r="Y16" i="62"/>
  <c r="Y104" i="62"/>
  <c r="Y169" i="62"/>
  <c r="Y8" i="62"/>
  <c r="Y22" i="62"/>
  <c r="Y134" i="62"/>
  <c r="Y121" i="62"/>
  <c r="Y49" i="62"/>
  <c r="Q55" i="62"/>
  <c r="U55" i="62" s="1"/>
  <c r="V55" i="62" s="1"/>
  <c r="W55" i="62" s="1"/>
  <c r="AA55" i="62" s="1"/>
  <c r="Q114" i="62"/>
  <c r="U114" i="62" s="1"/>
  <c r="V114" i="62" s="1"/>
  <c r="W114" i="62" s="1"/>
  <c r="AA114" i="62" s="1"/>
  <c r="Q106" i="62"/>
  <c r="U106" i="62" s="1"/>
  <c r="V106" i="62" s="1"/>
  <c r="W106" i="62" s="1"/>
  <c r="AA106" i="62" s="1"/>
  <c r="AD150" i="62"/>
  <c r="AD154" i="62"/>
  <c r="Q88" i="62"/>
  <c r="U88" i="62" s="1"/>
  <c r="V88" i="62" s="1"/>
  <c r="W88" i="62" s="1"/>
  <c r="N78" i="62"/>
  <c r="P78" i="62" s="1"/>
  <c r="N63" i="62"/>
  <c r="P63" i="62" s="1"/>
  <c r="N59" i="62"/>
  <c r="P59" i="62" s="1"/>
  <c r="N33" i="62"/>
  <c r="P33" i="62" s="1"/>
  <c r="N155" i="62"/>
  <c r="P155" i="62" s="1"/>
  <c r="N126" i="62"/>
  <c r="P126" i="62" s="1"/>
  <c r="Q43" i="62"/>
  <c r="U43" i="62" s="1"/>
  <c r="V43" i="62" s="1"/>
  <c r="W43" i="62" s="1"/>
  <c r="AA43" i="62" s="1"/>
  <c r="AD55" i="62"/>
  <c r="AD125" i="62"/>
  <c r="Q30" i="62"/>
  <c r="U30" i="62" s="1"/>
  <c r="V30" i="62" s="1"/>
  <c r="W30" i="62" s="1"/>
  <c r="AA30" i="62" s="1"/>
  <c r="N89" i="62"/>
  <c r="P89" i="62" s="1"/>
  <c r="N112" i="62"/>
  <c r="P112" i="62" s="1"/>
  <c r="N77" i="62"/>
  <c r="P77" i="62" s="1"/>
  <c r="Q168" i="62"/>
  <c r="U168" i="62" s="1"/>
  <c r="V168" i="62" s="1"/>
  <c r="W168" i="62" s="1"/>
  <c r="AA168" i="62" s="1"/>
  <c r="N5" i="62"/>
  <c r="P5" i="62" s="1"/>
  <c r="Q72" i="62"/>
  <c r="U72" i="62" s="1"/>
  <c r="V72" i="62" s="1"/>
  <c r="W72" i="62" s="1"/>
  <c r="Q150" i="62"/>
  <c r="U150" i="62" s="1"/>
  <c r="V150" i="62" s="1"/>
  <c r="W150" i="62" s="1"/>
  <c r="AA150" i="62" s="1"/>
  <c r="N99" i="62"/>
  <c r="P99" i="62" s="1"/>
  <c r="N146" i="62"/>
  <c r="P146" i="62" s="1"/>
  <c r="N90" i="62"/>
  <c r="P90" i="62" s="1"/>
  <c r="AD145" i="62"/>
  <c r="Y36" i="56"/>
  <c r="AA3" i="56"/>
  <c r="Y3" i="56"/>
  <c r="Y21" i="56"/>
  <c r="AA21" i="56"/>
  <c r="U44" i="56"/>
  <c r="V44" i="56" s="1"/>
  <c r="W44" i="56" s="1"/>
  <c r="U20" i="56"/>
  <c r="V20" i="56" s="1"/>
  <c r="W20" i="56" s="1"/>
  <c r="U31" i="56"/>
  <c r="V31" i="56" s="1"/>
  <c r="W31" i="56" s="1"/>
  <c r="U4" i="56"/>
  <c r="V4" i="56" s="1"/>
  <c r="W4" i="56" s="1"/>
  <c r="U5" i="56"/>
  <c r="V5" i="56" s="1"/>
  <c r="W5" i="56" s="1"/>
  <c r="Y5" i="56" s="1"/>
  <c r="U24" i="56"/>
  <c r="V24" i="56" s="1"/>
  <c r="W24" i="56" s="1"/>
  <c r="AA24" i="56" s="1"/>
  <c r="U45" i="56"/>
  <c r="V45" i="56" s="1"/>
  <c r="W45" i="56" s="1"/>
  <c r="Y45" i="56" s="1"/>
  <c r="U17" i="56"/>
  <c r="V17" i="56" s="1"/>
  <c r="W17" i="56" s="1"/>
  <c r="Y17" i="56" s="1"/>
  <c r="U8" i="56"/>
  <c r="V8" i="56" s="1"/>
  <c r="W8" i="56" s="1"/>
  <c r="AA8" i="56" s="1"/>
  <c r="U30" i="56"/>
  <c r="V30" i="56" s="1"/>
  <c r="W30" i="56" s="1"/>
  <c r="Y30" i="56" s="1"/>
  <c r="U23" i="56"/>
  <c r="V23" i="56" s="1"/>
  <c r="W23" i="56" s="1"/>
  <c r="U10" i="56"/>
  <c r="V10" i="56" s="1"/>
  <c r="W10" i="56" s="1"/>
  <c r="U6" i="56"/>
  <c r="V6" i="56" s="1"/>
  <c r="W6" i="56" s="1"/>
  <c r="U26" i="56"/>
  <c r="V26" i="56" s="1"/>
  <c r="W26" i="56" s="1"/>
  <c r="U41" i="56"/>
  <c r="V41" i="56" s="1"/>
  <c r="W41" i="56" s="1"/>
  <c r="U35" i="56"/>
  <c r="V35" i="56" s="1"/>
  <c r="W35" i="56" s="1"/>
  <c r="U37" i="56"/>
  <c r="V37" i="56" s="1"/>
  <c r="W37" i="56" s="1"/>
  <c r="AA37" i="56" s="1"/>
  <c r="U9" i="56"/>
  <c r="V9" i="56" s="1"/>
  <c r="W9" i="56" s="1"/>
  <c r="AA9" i="56" s="1"/>
  <c r="U32" i="56"/>
  <c r="V32" i="56" s="1"/>
  <c r="W32" i="56" s="1"/>
  <c r="U27" i="56"/>
  <c r="V27" i="56" s="1"/>
  <c r="W27" i="56" s="1"/>
  <c r="U38" i="56"/>
  <c r="V38" i="56" s="1"/>
  <c r="W38" i="56" s="1"/>
  <c r="U39" i="56"/>
  <c r="V39" i="56" s="1"/>
  <c r="W39" i="56" s="1"/>
  <c r="AD105" i="62"/>
  <c r="Y146" i="62"/>
  <c r="Y62" i="62"/>
  <c r="U37" i="55"/>
  <c r="V37" i="55" s="1"/>
  <c r="W37" i="55" s="1"/>
  <c r="Y37" i="55" s="1"/>
  <c r="U36" i="55"/>
  <c r="V36" i="55" s="1"/>
  <c r="W36" i="55" s="1"/>
  <c r="AD35" i="62"/>
  <c r="AD27" i="62"/>
  <c r="AA18" i="55"/>
  <c r="AD121" i="62"/>
  <c r="AD133" i="62"/>
  <c r="AD20" i="62"/>
  <c r="Y3" i="55"/>
  <c r="AA3" i="55"/>
  <c r="AA21" i="55"/>
  <c r="Y21" i="55"/>
  <c r="Y12" i="55"/>
  <c r="AA12" i="55"/>
  <c r="AA17" i="55"/>
  <c r="Y17" i="55"/>
  <c r="AA33" i="55"/>
  <c r="Y33" i="55"/>
  <c r="Y11" i="55"/>
  <c r="AA11" i="55"/>
  <c r="AA44" i="55"/>
  <c r="Y44" i="55"/>
  <c r="Y47" i="55"/>
  <c r="AA47" i="55"/>
  <c r="AA16" i="55"/>
  <c r="Y16" i="55"/>
  <c r="AA46" i="55"/>
  <c r="Y46" i="55"/>
  <c r="Y15" i="55"/>
  <c r="AA15" i="55"/>
  <c r="AA9" i="55"/>
  <c r="Y9" i="55"/>
  <c r="AA25" i="55"/>
  <c r="Y25" i="55"/>
  <c r="AA45" i="55"/>
  <c r="Y45" i="55"/>
  <c r="AA30" i="55"/>
  <c r="Y77" i="62"/>
  <c r="AD108" i="62"/>
  <c r="AD147" i="62"/>
  <c r="AD100" i="62"/>
  <c r="Y8" i="55"/>
  <c r="AD5" i="55"/>
  <c r="AD79" i="62"/>
  <c r="U23" i="55"/>
  <c r="V23" i="55" s="1"/>
  <c r="W23" i="55" s="1"/>
  <c r="AA32" i="55"/>
  <c r="AD10" i="62"/>
  <c r="AD33" i="62"/>
  <c r="Y43" i="55"/>
  <c r="U38" i="55"/>
  <c r="V38" i="55" s="1"/>
  <c r="W38" i="55" s="1"/>
  <c r="U14" i="55"/>
  <c r="V14" i="55" s="1"/>
  <c r="W14" i="55" s="1"/>
  <c r="U35" i="55"/>
  <c r="V35" i="55" s="1"/>
  <c r="W35" i="55" s="1"/>
  <c r="AD61" i="62"/>
  <c r="AD109" i="62"/>
  <c r="AD70" i="62"/>
  <c r="AD13" i="62"/>
  <c r="Y149" i="62"/>
  <c r="Y112" i="62"/>
  <c r="Y116" i="62"/>
  <c r="Y101" i="62"/>
  <c r="Q25" i="62"/>
  <c r="N11" i="62"/>
  <c r="P11" i="62" s="1"/>
  <c r="Q76" i="62"/>
  <c r="U76" i="62" s="1"/>
  <c r="V76" i="62" s="1"/>
  <c r="W76" i="62" s="1"/>
  <c r="AA76" i="62" s="1"/>
  <c r="Q153" i="62"/>
  <c r="U153" i="62" s="1"/>
  <c r="V153" i="62" s="1"/>
  <c r="W153" i="62" s="1"/>
  <c r="AA153" i="62" s="1"/>
  <c r="Q141" i="62"/>
  <c r="U141" i="62" s="1"/>
  <c r="V141" i="62" s="1"/>
  <c r="W141" i="62" s="1"/>
  <c r="AA141" i="62" s="1"/>
  <c r="Y103" i="62"/>
  <c r="N149" i="62"/>
  <c r="P149" i="62" s="1"/>
  <c r="N116" i="62"/>
  <c r="P116" i="62" s="1"/>
  <c r="N101" i="62"/>
  <c r="P101" i="62" s="1"/>
  <c r="Q34" i="62"/>
  <c r="AD11" i="62"/>
  <c r="Y147" i="62"/>
  <c r="AD166" i="62"/>
  <c r="AD44" i="62"/>
  <c r="N113" i="62"/>
  <c r="P113" i="62" s="1"/>
  <c r="N120" i="62"/>
  <c r="P120" i="62" s="1"/>
  <c r="N44" i="62"/>
  <c r="P44" i="62" s="1"/>
  <c r="N103" i="62"/>
  <c r="P103" i="62" s="1"/>
  <c r="N70" i="62"/>
  <c r="P70" i="62" s="1"/>
  <c r="Y11" i="62"/>
  <c r="Y131" i="62"/>
  <c r="AD138" i="62"/>
  <c r="AD85" i="62"/>
  <c r="N131" i="62"/>
  <c r="P131" i="62" s="1"/>
  <c r="N73" i="62"/>
  <c r="P73" i="62" s="1"/>
  <c r="N147" i="62"/>
  <c r="P147" i="62" s="1"/>
  <c r="AD98" i="62"/>
  <c r="AD40" i="62"/>
  <c r="AD126" i="62"/>
  <c r="Y19" i="62"/>
  <c r="Y59" i="62"/>
  <c r="AD59" i="62"/>
  <c r="N17" i="62"/>
  <c r="Q17" i="62"/>
  <c r="N107" i="62"/>
  <c r="P107" i="62" s="1"/>
  <c r="Y89" i="62"/>
  <c r="Q133" i="62"/>
  <c r="U133" i="62" s="1"/>
  <c r="V133" i="62" s="1"/>
  <c r="W133" i="62" s="1"/>
  <c r="AA133" i="62" s="1"/>
  <c r="N163" i="62"/>
  <c r="P163" i="62" s="1"/>
  <c r="N37" i="62"/>
  <c r="P37" i="62" s="1"/>
  <c r="N48" i="62"/>
  <c r="P48" i="62" s="1"/>
  <c r="Q48" i="62"/>
  <c r="U48" i="62" s="1"/>
  <c r="V48" i="62" s="1"/>
  <c r="W48" i="62" s="1"/>
  <c r="AA48" i="62" s="1"/>
  <c r="N23" i="62"/>
  <c r="P23" i="62" s="1"/>
  <c r="Y15" i="62"/>
  <c r="Y160" i="62"/>
  <c r="N110" i="62"/>
  <c r="P110" i="62" s="1"/>
  <c r="N19" i="62"/>
  <c r="P19" i="62" s="1"/>
  <c r="N160" i="62"/>
  <c r="P160" i="62" s="1"/>
  <c r="N159" i="62"/>
  <c r="P159" i="62" s="1"/>
  <c r="AD96" i="62"/>
  <c r="N46" i="62"/>
  <c r="P46" i="62" s="1"/>
  <c r="N124" i="62"/>
  <c r="P124" i="62" s="1"/>
  <c r="N79" i="62"/>
  <c r="P79" i="62" s="1"/>
  <c r="Y166" i="62"/>
  <c r="AD63" i="62"/>
  <c r="Y97" i="62"/>
  <c r="AE3" i="58"/>
  <c r="Y10" i="62"/>
  <c r="AD6" i="52"/>
  <c r="AD97" i="62"/>
  <c r="Y38" i="62"/>
  <c r="AD76" i="62"/>
  <c r="AD7" i="58"/>
  <c r="Y98" i="62"/>
  <c r="N108" i="62"/>
  <c r="P108" i="62" s="1"/>
  <c r="N83" i="62"/>
  <c r="P83" i="62" s="1"/>
  <c r="Q83" i="62"/>
  <c r="U83" i="62" s="1"/>
  <c r="V83" i="62" s="1"/>
  <c r="W83" i="62" s="1"/>
  <c r="AA83" i="62" s="1"/>
  <c r="N98" i="62"/>
  <c r="P98" i="62" s="1"/>
  <c r="N15" i="62"/>
  <c r="P15" i="62" s="1"/>
  <c r="AD153" i="62"/>
  <c r="N86" i="62"/>
  <c r="P86" i="62" s="1"/>
  <c r="Q32" i="62"/>
  <c r="U32" i="62" s="1"/>
  <c r="V32" i="62" s="1"/>
  <c r="W32" i="62" s="1"/>
  <c r="AA32" i="62" s="1"/>
  <c r="N32" i="62"/>
  <c r="P32" i="62" s="1"/>
  <c r="N166" i="62"/>
  <c r="P166" i="62" s="1"/>
  <c r="Y86" i="62"/>
  <c r="N138" i="62"/>
  <c r="P138" i="62" s="1"/>
  <c r="N10" i="62"/>
  <c r="P10" i="62" s="1"/>
  <c r="Q109" i="62"/>
  <c r="U109" i="62" s="1"/>
  <c r="V109" i="62" s="1"/>
  <c r="W109" i="62" s="1"/>
  <c r="AA109" i="62" s="1"/>
  <c r="N109" i="62"/>
  <c r="P109" i="62" s="1"/>
  <c r="Q27" i="62"/>
  <c r="U27" i="62" s="1"/>
  <c r="V27" i="62" s="1"/>
  <c r="W27" i="62" s="1"/>
  <c r="AA27" i="62" s="1"/>
  <c r="N27" i="62"/>
  <c r="P27" i="62" s="1"/>
  <c r="Q36" i="62"/>
  <c r="U36" i="62" s="1"/>
  <c r="V36" i="62" s="1"/>
  <c r="W36" i="62" s="1"/>
  <c r="AA36" i="62" s="1"/>
  <c r="N36" i="62"/>
  <c r="P36" i="62" s="1"/>
  <c r="N105" i="62"/>
  <c r="P105" i="62" s="1"/>
  <c r="Q105" i="62"/>
  <c r="U105" i="62" s="1"/>
  <c r="V105" i="62" s="1"/>
  <c r="W105" i="62" s="1"/>
  <c r="AA105" i="62" s="1"/>
  <c r="N92" i="62"/>
  <c r="P92" i="62" s="1"/>
  <c r="N52" i="62"/>
  <c r="P52" i="62" s="1"/>
  <c r="Q52" i="62"/>
  <c r="U52" i="62" s="1"/>
  <c r="V52" i="62" s="1"/>
  <c r="W52" i="62" s="1"/>
  <c r="AA52" i="62" s="1"/>
  <c r="N47" i="62"/>
  <c r="P47" i="62" s="1"/>
  <c r="N100" i="62"/>
  <c r="P100" i="62" s="1"/>
  <c r="Q170" i="62"/>
  <c r="U170" i="62" s="1"/>
  <c r="V170" i="62" s="1"/>
  <c r="W170" i="62" s="1"/>
  <c r="AA170" i="62" s="1"/>
  <c r="N170" i="62"/>
  <c r="P170" i="62" s="1"/>
  <c r="N129" i="62"/>
  <c r="P129" i="62" s="1"/>
  <c r="Y6" i="58"/>
  <c r="AD106" i="59"/>
  <c r="AE13" i="58"/>
  <c r="Y2" i="58"/>
  <c r="AA2" i="58"/>
  <c r="AE8" i="58"/>
  <c r="N8" i="52"/>
  <c r="P8" i="52" s="1"/>
  <c r="AE135" i="59"/>
  <c r="Y13" i="59"/>
  <c r="AD134" i="59"/>
  <c r="Y8" i="52"/>
  <c r="AA8" i="52"/>
  <c r="AA89" i="59"/>
  <c r="AA123" i="59"/>
  <c r="AA133" i="59"/>
  <c r="AA44" i="59"/>
  <c r="AE103" i="59"/>
  <c r="Y99" i="59"/>
  <c r="N98" i="59"/>
  <c r="P98" i="59" s="1"/>
  <c r="N35" i="59"/>
  <c r="P35" i="59" s="1"/>
  <c r="AA98" i="59"/>
  <c r="N88" i="59"/>
  <c r="P88" i="59" s="1"/>
  <c r="N37" i="59"/>
  <c r="P37" i="59" s="1"/>
  <c r="N142" i="59"/>
  <c r="P142" i="59" s="1"/>
  <c r="N146" i="59"/>
  <c r="P146" i="59" s="1"/>
  <c r="AA146" i="59"/>
  <c r="N89" i="59"/>
  <c r="P89" i="59" s="1"/>
  <c r="AD50" i="59"/>
  <c r="N99" i="59"/>
  <c r="P99" i="59" s="1"/>
  <c r="N95" i="59"/>
  <c r="P95" i="59" s="1"/>
  <c r="Q62" i="59"/>
  <c r="U62" i="59" s="1"/>
  <c r="V62" i="59" s="1"/>
  <c r="W62" i="59" s="1"/>
  <c r="Y62" i="59" s="1"/>
  <c r="AD44" i="59"/>
  <c r="N78" i="59"/>
  <c r="P78" i="59" s="1"/>
  <c r="Y140" i="59"/>
  <c r="N140" i="59"/>
  <c r="P140" i="59" s="1"/>
  <c r="N136" i="59"/>
  <c r="P136" i="59" s="1"/>
  <c r="AD13" i="59"/>
  <c r="N63" i="59"/>
  <c r="P63" i="59" s="1"/>
  <c r="N133" i="59"/>
  <c r="P133" i="59" s="1"/>
  <c r="N43" i="59"/>
  <c r="P43" i="59" s="1"/>
  <c r="AA2" i="56"/>
  <c r="AD10" i="56"/>
  <c r="AA136" i="59"/>
  <c r="AA37" i="59"/>
  <c r="Y35" i="59"/>
  <c r="AD91" i="59"/>
  <c r="AE136" i="59"/>
  <c r="AA2" i="59"/>
  <c r="AA73" i="59"/>
  <c r="AA43" i="59"/>
  <c r="AE54" i="59"/>
  <c r="AD108" i="59"/>
  <c r="AE12" i="59"/>
  <c r="AA128" i="59"/>
  <c r="AE85" i="59"/>
  <c r="AA91" i="59"/>
  <c r="Y118" i="59"/>
  <c r="AA95" i="59"/>
  <c r="AE18" i="59"/>
  <c r="N54" i="59"/>
  <c r="P54" i="59" s="1"/>
  <c r="N66" i="59"/>
  <c r="P66" i="59" s="1"/>
  <c r="N48" i="59"/>
  <c r="P48" i="59" s="1"/>
  <c r="AA142" i="59"/>
  <c r="AE94" i="59"/>
  <c r="Q36" i="59"/>
  <c r="U36" i="59" s="1"/>
  <c r="V36" i="59" s="1"/>
  <c r="W36" i="59" s="1"/>
  <c r="N36" i="59"/>
  <c r="P36" i="59" s="1"/>
  <c r="AD17" i="59"/>
  <c r="N118" i="59"/>
  <c r="P118" i="59" s="1"/>
  <c r="AE38" i="59"/>
  <c r="AA83" i="59"/>
  <c r="Y78" i="59"/>
  <c r="AE67" i="59"/>
  <c r="AD39" i="59"/>
  <c r="AD122" i="59"/>
  <c r="AE60" i="59"/>
  <c r="AA26" i="55"/>
  <c r="AD83" i="59"/>
  <c r="AA139" i="59"/>
  <c r="AE127" i="59"/>
  <c r="Y127" i="59"/>
  <c r="Y4" i="59"/>
  <c r="AE40" i="59"/>
  <c r="AE27" i="59"/>
  <c r="Q27" i="59"/>
  <c r="U27" i="59" s="1"/>
  <c r="V27" i="59" s="1"/>
  <c r="W27" i="59" s="1"/>
  <c r="N27" i="59"/>
  <c r="P27" i="59" s="1"/>
  <c r="N7" i="59"/>
  <c r="P7" i="59" s="1"/>
  <c r="N97" i="59"/>
  <c r="P97" i="59" s="1"/>
  <c r="N109" i="59"/>
  <c r="P109" i="59" s="1"/>
  <c r="Q20" i="59"/>
  <c r="U20" i="59" s="1"/>
  <c r="V20" i="59" s="1"/>
  <c r="W20" i="59" s="1"/>
  <c r="Y20" i="59" s="1"/>
  <c r="N30" i="59"/>
  <c r="P30" i="59" s="1"/>
  <c r="Q30" i="59"/>
  <c r="U30" i="59" s="1"/>
  <c r="V30" i="59" s="1"/>
  <c r="W30" i="59" s="1"/>
  <c r="AA109" i="59"/>
  <c r="N39" i="59"/>
  <c r="P39" i="59" s="1"/>
  <c r="AD47" i="55"/>
  <c r="AD17" i="55"/>
  <c r="AD32" i="55"/>
  <c r="AD23" i="55"/>
  <c r="AD18" i="55"/>
  <c r="AD33" i="55"/>
  <c r="AD43" i="55"/>
  <c r="N5" i="55"/>
  <c r="P5" i="55" s="1"/>
  <c r="U5" i="55"/>
  <c r="V5" i="55" s="1"/>
  <c r="W5" i="55" s="1"/>
  <c r="Y12" i="56"/>
  <c r="Y103" i="59"/>
  <c r="AA107" i="59"/>
  <c r="AD109" i="59"/>
  <c r="Y54" i="59"/>
  <c r="AA105" i="59"/>
  <c r="AE34" i="59"/>
  <c r="AA26" i="59"/>
  <c r="AD96" i="59"/>
  <c r="AD56" i="59"/>
  <c r="AD124" i="59"/>
  <c r="AD77" i="59"/>
  <c r="AA81" i="59"/>
  <c r="AE107" i="59"/>
  <c r="AD82" i="59"/>
  <c r="AD93" i="59"/>
  <c r="AD95" i="59"/>
  <c r="AE72" i="59"/>
  <c r="Y138" i="62"/>
  <c r="AE105" i="59"/>
  <c r="AE129" i="59"/>
  <c r="Y48" i="59"/>
  <c r="AA34" i="59"/>
  <c r="AE76" i="59"/>
  <c r="AE101" i="59"/>
  <c r="AD63" i="59"/>
  <c r="AE104" i="59"/>
  <c r="Y124" i="59"/>
  <c r="AD58" i="59"/>
  <c r="AD2" i="59"/>
  <c r="AD47" i="59"/>
  <c r="AE132" i="59"/>
  <c r="Q25" i="59"/>
  <c r="U25" i="59" s="1"/>
  <c r="V25" i="59" s="1"/>
  <c r="W25" i="59" s="1"/>
  <c r="N25" i="59"/>
  <c r="P25" i="59" s="1"/>
  <c r="Y69" i="59"/>
  <c r="N26" i="59"/>
  <c r="P26" i="59" s="1"/>
  <c r="N110" i="59"/>
  <c r="P110" i="59" s="1"/>
  <c r="Q19" i="59"/>
  <c r="U19" i="59" s="1"/>
  <c r="V19" i="59" s="1"/>
  <c r="W19" i="59" s="1"/>
  <c r="N19" i="59"/>
  <c r="P19" i="59" s="1"/>
  <c r="AE53" i="59"/>
  <c r="N124" i="59"/>
  <c r="P124" i="59" s="1"/>
  <c r="AA17" i="59"/>
  <c r="N90" i="59"/>
  <c r="P90" i="59" s="1"/>
  <c r="AA90" i="59"/>
  <c r="AD141" i="59"/>
  <c r="Y108" i="62"/>
  <c r="AD137" i="59"/>
  <c r="AD26" i="59"/>
  <c r="N81" i="59"/>
  <c r="P81" i="59" s="1"/>
  <c r="AD113" i="59"/>
  <c r="N107" i="59"/>
  <c r="P107" i="59" s="1"/>
  <c r="AE62" i="59"/>
  <c r="N17" i="59"/>
  <c r="P17" i="59" s="1"/>
  <c r="Y47" i="62"/>
  <c r="Y66" i="59"/>
  <c r="AD80" i="59"/>
  <c r="AE80" i="59"/>
  <c r="AD87" i="59"/>
  <c r="AE87" i="59"/>
  <c r="AD71" i="59"/>
  <c r="AE71" i="59"/>
  <c r="AD5" i="59"/>
  <c r="AE5" i="59"/>
  <c r="AD65" i="59"/>
  <c r="AE65" i="59"/>
  <c r="AD28" i="59"/>
  <c r="AE28" i="59"/>
  <c r="AD110" i="59"/>
  <c r="AE110" i="59"/>
  <c r="AD126" i="59"/>
  <c r="AE126" i="59"/>
  <c r="AD115" i="59"/>
  <c r="AE115" i="59"/>
  <c r="AD111" i="59"/>
  <c r="AE111" i="59"/>
  <c r="AD61" i="59"/>
  <c r="AE61" i="59"/>
  <c r="AD86" i="59"/>
  <c r="AE86" i="59"/>
  <c r="AD51" i="59"/>
  <c r="AE51" i="59"/>
  <c r="AD15" i="59"/>
  <c r="AE15" i="59"/>
  <c r="AD11" i="59"/>
  <c r="AE11" i="59"/>
  <c r="AD145" i="59"/>
  <c r="AE145" i="59"/>
  <c r="AD21" i="59"/>
  <c r="AE21" i="59"/>
  <c r="AD112" i="59"/>
  <c r="AE112" i="59"/>
  <c r="AD57" i="59"/>
  <c r="AE57" i="59"/>
  <c r="AD33" i="59"/>
  <c r="AE33" i="59"/>
  <c r="AD24" i="59"/>
  <c r="AE24" i="59"/>
  <c r="AD55" i="59"/>
  <c r="AE55" i="59"/>
  <c r="AD116" i="59"/>
  <c r="AE116" i="59"/>
  <c r="AD9" i="59"/>
  <c r="AE9" i="59"/>
  <c r="AD52" i="59"/>
  <c r="AE52" i="59"/>
  <c r="Y18" i="62"/>
  <c r="AD119" i="59"/>
  <c r="AE119" i="59"/>
  <c r="AD46" i="59"/>
  <c r="AE46" i="59"/>
  <c r="AD68" i="59"/>
  <c r="AE68" i="59"/>
  <c r="AD16" i="59"/>
  <c r="AE16" i="59"/>
  <c r="AD97" i="59"/>
  <c r="AE97" i="59"/>
  <c r="AD10" i="59"/>
  <c r="AE10" i="59"/>
  <c r="AD92" i="59"/>
  <c r="AE92" i="59"/>
  <c r="AD41" i="59"/>
  <c r="AE41" i="59"/>
  <c r="AD66" i="59"/>
  <c r="AE66" i="59"/>
  <c r="AD74" i="59"/>
  <c r="AE74" i="59"/>
  <c r="AD31" i="59"/>
  <c r="AE31" i="59"/>
  <c r="Y95" i="62"/>
  <c r="AD70" i="59"/>
  <c r="AE70" i="59"/>
  <c r="AD6" i="59"/>
  <c r="AE6" i="59"/>
  <c r="AD143" i="59"/>
  <c r="AE143" i="59"/>
  <c r="AD42" i="59"/>
  <c r="AE42" i="59"/>
  <c r="AD114" i="59"/>
  <c r="AE114" i="59"/>
  <c r="AD84" i="59"/>
  <c r="AE84" i="59"/>
  <c r="AD79" i="59"/>
  <c r="AE79" i="59"/>
  <c r="AD131" i="59"/>
  <c r="AE131" i="59"/>
  <c r="AD139" i="59"/>
  <c r="AE139" i="59"/>
  <c r="AD75" i="59"/>
  <c r="AE75" i="59"/>
  <c r="AD14" i="59"/>
  <c r="AE14" i="59"/>
  <c r="Y41" i="62"/>
  <c r="Y167" i="62"/>
  <c r="AD45" i="59"/>
  <c r="AE45" i="59"/>
  <c r="AF25" i="50"/>
  <c r="AF29" i="50"/>
  <c r="Y40" i="62"/>
  <c r="Y6" i="62"/>
  <c r="Y135" i="59"/>
  <c r="N111" i="59"/>
  <c r="P111" i="59" s="1"/>
  <c r="N80" i="59"/>
  <c r="P80" i="59" s="1"/>
  <c r="Q8" i="59"/>
  <c r="U8" i="59" s="1"/>
  <c r="V8" i="59" s="1"/>
  <c r="W8" i="59" s="1"/>
  <c r="Y8" i="59" s="1"/>
  <c r="N45" i="59"/>
  <c r="P45" i="59" s="1"/>
  <c r="Y165" i="62"/>
  <c r="Y65" i="62"/>
  <c r="Y33" i="62"/>
  <c r="Y130" i="62"/>
  <c r="Q51" i="62"/>
  <c r="U51" i="62" s="1"/>
  <c r="V51" i="62" s="1"/>
  <c r="W51" i="62" s="1"/>
  <c r="AA51" i="62" s="1"/>
  <c r="N51" i="62"/>
  <c r="P51" i="62" s="1"/>
  <c r="Q117" i="62"/>
  <c r="U117" i="62" s="1"/>
  <c r="V117" i="62" s="1"/>
  <c r="W117" i="62" s="1"/>
  <c r="AA117" i="62" s="1"/>
  <c r="N117" i="62"/>
  <c r="P117" i="62" s="1"/>
  <c r="N139" i="62"/>
  <c r="P139" i="62" s="1"/>
  <c r="N80" i="62"/>
  <c r="P80" i="62" s="1"/>
  <c r="Q80" i="62"/>
  <c r="U80" i="62" s="1"/>
  <c r="V80" i="62" s="1"/>
  <c r="W80" i="62" s="1"/>
  <c r="AA80" i="62" s="1"/>
  <c r="N13" i="62"/>
  <c r="P13" i="62" s="1"/>
  <c r="N41" i="62"/>
  <c r="P41" i="62" s="1"/>
  <c r="N42" i="62"/>
  <c r="P42" i="62" s="1"/>
  <c r="N85" i="62"/>
  <c r="P85" i="62" s="1"/>
  <c r="N40" i="62"/>
  <c r="P40" i="62" s="1"/>
  <c r="N18" i="62"/>
  <c r="P18" i="62" s="1"/>
  <c r="Y23" i="62"/>
  <c r="Y12" i="59"/>
  <c r="Y42" i="62"/>
  <c r="AD148" i="62"/>
  <c r="AD137" i="62"/>
  <c r="AD94" i="62"/>
  <c r="AD127" i="62"/>
  <c r="AD171" i="62"/>
  <c r="AD162" i="62"/>
  <c r="AD143" i="62"/>
  <c r="AD74" i="62"/>
  <c r="AD60" i="62"/>
  <c r="AD119" i="62"/>
  <c r="AD26" i="62"/>
  <c r="AD69" i="62"/>
  <c r="AD75" i="62"/>
  <c r="AD102" i="62"/>
  <c r="AD157" i="62"/>
  <c r="AD159" i="62"/>
  <c r="AD93" i="62"/>
  <c r="AD142" i="62"/>
  <c r="AD151" i="62"/>
  <c r="AD3" i="62"/>
  <c r="AD58" i="62"/>
  <c r="AD38" i="62"/>
  <c r="AD9" i="62"/>
  <c r="AD50" i="62"/>
  <c r="AD87" i="62"/>
  <c r="AD53" i="62"/>
  <c r="AD110" i="62"/>
  <c r="AD14" i="62"/>
  <c r="AD23" i="62"/>
  <c r="AD29" i="62"/>
  <c r="AD57" i="62"/>
  <c r="AD21" i="62"/>
  <c r="AD164" i="62"/>
  <c r="AD82" i="62"/>
  <c r="AD84" i="62"/>
  <c r="AD118" i="62"/>
  <c r="AD132" i="62"/>
  <c r="AD115" i="62"/>
  <c r="AD24" i="62"/>
  <c r="AD4" i="62"/>
  <c r="AD172" i="62"/>
  <c r="AD144" i="62"/>
  <c r="AD66" i="62"/>
  <c r="AD42" i="62"/>
  <c r="AD122" i="62"/>
  <c r="AD39" i="62"/>
  <c r="AD123" i="62"/>
  <c r="AD31" i="62"/>
  <c r="AD12" i="62"/>
  <c r="AD111" i="62"/>
  <c r="AD81" i="62"/>
  <c r="AD135" i="62"/>
  <c r="AD64" i="62"/>
  <c r="Y110" i="62"/>
  <c r="Y80" i="59"/>
  <c r="AA63" i="59"/>
  <c r="AA42" i="59"/>
  <c r="Y135" i="62"/>
  <c r="AD2" i="62"/>
  <c r="Y161" i="62"/>
  <c r="Y82" i="62"/>
  <c r="Y93" i="62"/>
  <c r="Y157" i="62"/>
  <c r="Y151" i="62"/>
  <c r="Y87" i="62"/>
  <c r="Y84" i="62"/>
  <c r="Y53" i="62"/>
  <c r="Q171" i="62"/>
  <c r="U171" i="62" s="1"/>
  <c r="V171" i="62" s="1"/>
  <c r="W171" i="62" s="1"/>
  <c r="AA171" i="62" s="1"/>
  <c r="N171" i="62"/>
  <c r="P171" i="62" s="1"/>
  <c r="Q172" i="62"/>
  <c r="U172" i="62" s="1"/>
  <c r="V172" i="62" s="1"/>
  <c r="W172" i="62" s="1"/>
  <c r="AA172" i="62" s="1"/>
  <c r="N172" i="62"/>
  <c r="P172" i="62" s="1"/>
  <c r="Q9" i="62"/>
  <c r="U9" i="62" s="1"/>
  <c r="V9" i="62" s="1"/>
  <c r="W9" i="62" s="1"/>
  <c r="AA9" i="62" s="1"/>
  <c r="N9" i="62"/>
  <c r="P9" i="62" s="1"/>
  <c r="N24" i="62"/>
  <c r="P24" i="62" s="1"/>
  <c r="N26" i="62"/>
  <c r="P26" i="62" s="1"/>
  <c r="Q26" i="62"/>
  <c r="U26" i="62" s="1"/>
  <c r="V26" i="62" s="1"/>
  <c r="W26" i="62" s="1"/>
  <c r="AA26" i="62" s="1"/>
  <c r="Q21" i="62"/>
  <c r="U21" i="62" s="1"/>
  <c r="V21" i="62" s="1"/>
  <c r="W21" i="62" s="1"/>
  <c r="AA21" i="62" s="1"/>
  <c r="N21" i="62"/>
  <c r="P21" i="62" s="1"/>
  <c r="Q81" i="62"/>
  <c r="U81" i="62" s="1"/>
  <c r="V81" i="62" s="1"/>
  <c r="W81" i="62" s="1"/>
  <c r="AA81" i="62" s="1"/>
  <c r="N81" i="62"/>
  <c r="P81" i="62" s="1"/>
  <c r="Q162" i="62"/>
  <c r="U162" i="62" s="1"/>
  <c r="V162" i="62" s="1"/>
  <c r="W162" i="62" s="1"/>
  <c r="AA162" i="62" s="1"/>
  <c r="N162" i="62"/>
  <c r="P162" i="62" s="1"/>
  <c r="Q164" i="62"/>
  <c r="U164" i="62" s="1"/>
  <c r="V164" i="62" s="1"/>
  <c r="W164" i="62" s="1"/>
  <c r="AA164" i="62" s="1"/>
  <c r="N164" i="62"/>
  <c r="P164" i="62" s="1"/>
  <c r="Q123" i="62"/>
  <c r="U123" i="62" s="1"/>
  <c r="V123" i="62" s="1"/>
  <c r="W123" i="62" s="1"/>
  <c r="AA123" i="62" s="1"/>
  <c r="N123" i="62"/>
  <c r="P123" i="62" s="1"/>
  <c r="Q74" i="62"/>
  <c r="U74" i="62" s="1"/>
  <c r="V74" i="62" s="1"/>
  <c r="W74" i="62" s="1"/>
  <c r="AA74" i="62" s="1"/>
  <c r="N74" i="62"/>
  <c r="P74" i="62" s="1"/>
  <c r="Q127" i="62"/>
  <c r="U127" i="62" s="1"/>
  <c r="V127" i="62" s="1"/>
  <c r="W127" i="62" s="1"/>
  <c r="AA127" i="62" s="1"/>
  <c r="N127" i="62"/>
  <c r="P127" i="62" s="1"/>
  <c r="N50" i="62"/>
  <c r="P50" i="62" s="1"/>
  <c r="N84" i="62"/>
  <c r="P84" i="62" s="1"/>
  <c r="N151" i="62"/>
  <c r="P151" i="62" s="1"/>
  <c r="Y50" i="62"/>
  <c r="Q3" i="62"/>
  <c r="U3" i="62" s="1"/>
  <c r="V3" i="62" s="1"/>
  <c r="W3" i="62" s="1"/>
  <c r="AA3" i="62" s="1"/>
  <c r="N3" i="62"/>
  <c r="P3" i="62" s="1"/>
  <c r="Q29" i="62"/>
  <c r="U29" i="62" s="1"/>
  <c r="V29" i="62" s="1"/>
  <c r="W29" i="62" s="1"/>
  <c r="AA29" i="62" s="1"/>
  <c r="N29" i="62"/>
  <c r="P29" i="62" s="1"/>
  <c r="Q57" i="62"/>
  <c r="U57" i="62" s="1"/>
  <c r="V57" i="62" s="1"/>
  <c r="W57" i="62" s="1"/>
  <c r="AA57" i="62" s="1"/>
  <c r="N57" i="62"/>
  <c r="P57" i="62" s="1"/>
  <c r="Q111" i="62"/>
  <c r="U111" i="62" s="1"/>
  <c r="V111" i="62" s="1"/>
  <c r="W111" i="62" s="1"/>
  <c r="AA111" i="62" s="1"/>
  <c r="N111" i="62"/>
  <c r="P111" i="62" s="1"/>
  <c r="N82" i="62"/>
  <c r="P82" i="62" s="1"/>
  <c r="Q66" i="62"/>
  <c r="U66" i="62" s="1"/>
  <c r="V66" i="62" s="1"/>
  <c r="W66" i="62" s="1"/>
  <c r="AA66" i="62" s="1"/>
  <c r="N66" i="62"/>
  <c r="P66" i="62" s="1"/>
  <c r="Q118" i="62"/>
  <c r="U118" i="62" s="1"/>
  <c r="V118" i="62" s="1"/>
  <c r="W118" i="62" s="1"/>
  <c r="AA118" i="62" s="1"/>
  <c r="N118" i="62"/>
  <c r="P118" i="62" s="1"/>
  <c r="Q64" i="62"/>
  <c r="U64" i="62" s="1"/>
  <c r="V64" i="62" s="1"/>
  <c r="W64" i="62" s="1"/>
  <c r="AA64" i="62" s="1"/>
  <c r="N64" i="62"/>
  <c r="P64" i="62" s="1"/>
  <c r="Q122" i="62"/>
  <c r="U122" i="62" s="1"/>
  <c r="V122" i="62" s="1"/>
  <c r="W122" i="62" s="1"/>
  <c r="AA122" i="62" s="1"/>
  <c r="N122" i="62"/>
  <c r="P122" i="62" s="1"/>
  <c r="Q142" i="62"/>
  <c r="U142" i="62" s="1"/>
  <c r="V142" i="62" s="1"/>
  <c r="W142" i="62" s="1"/>
  <c r="AA142" i="62" s="1"/>
  <c r="N142" i="62"/>
  <c r="P142" i="62" s="1"/>
  <c r="N157" i="62"/>
  <c r="P157" i="62" s="1"/>
  <c r="Q119" i="62"/>
  <c r="U119" i="62" s="1"/>
  <c r="V119" i="62" s="1"/>
  <c r="W119" i="62" s="1"/>
  <c r="AA119" i="62" s="1"/>
  <c r="N119" i="62"/>
  <c r="P119" i="62" s="1"/>
  <c r="Q39" i="62"/>
  <c r="U39" i="62" s="1"/>
  <c r="V39" i="62" s="1"/>
  <c r="W39" i="62" s="1"/>
  <c r="AA39" i="62" s="1"/>
  <c r="N39" i="62"/>
  <c r="P39" i="62" s="1"/>
  <c r="Q94" i="62"/>
  <c r="U94" i="62" s="1"/>
  <c r="V94" i="62" s="1"/>
  <c r="W94" i="62" s="1"/>
  <c r="AA94" i="62" s="1"/>
  <c r="N94" i="62"/>
  <c r="P94" i="62" s="1"/>
  <c r="Q58" i="62"/>
  <c r="U58" i="62" s="1"/>
  <c r="V58" i="62" s="1"/>
  <c r="W58" i="62" s="1"/>
  <c r="AA58" i="62" s="1"/>
  <c r="N58" i="62"/>
  <c r="P58" i="62" s="1"/>
  <c r="Q144" i="62"/>
  <c r="U144" i="62" s="1"/>
  <c r="V144" i="62" s="1"/>
  <c r="W144" i="62" s="1"/>
  <c r="AA144" i="62" s="1"/>
  <c r="N144" i="62"/>
  <c r="P144" i="62" s="1"/>
  <c r="Q102" i="62"/>
  <c r="U102" i="62" s="1"/>
  <c r="V102" i="62" s="1"/>
  <c r="W102" i="62" s="1"/>
  <c r="AA102" i="62" s="1"/>
  <c r="N102" i="62"/>
  <c r="P102" i="62" s="1"/>
  <c r="Q2" i="62"/>
  <c r="U2" i="62" s="1"/>
  <c r="V2" i="62" s="1"/>
  <c r="W2" i="62" s="1"/>
  <c r="AA2" i="62" s="1"/>
  <c r="N2" i="62"/>
  <c r="P2" i="62" s="1"/>
  <c r="N53" i="62"/>
  <c r="P53" i="62" s="1"/>
  <c r="Q14" i="62"/>
  <c r="U14" i="62" s="1"/>
  <c r="V14" i="62" s="1"/>
  <c r="W14" i="62" s="1"/>
  <c r="AA14" i="62" s="1"/>
  <c r="N14" i="62"/>
  <c r="P14" i="62" s="1"/>
  <c r="Q132" i="62"/>
  <c r="U132" i="62" s="1"/>
  <c r="V132" i="62" s="1"/>
  <c r="W132" i="62" s="1"/>
  <c r="AA132" i="62" s="1"/>
  <c r="N132" i="62"/>
  <c r="P132" i="62" s="1"/>
  <c r="N87" i="62"/>
  <c r="P87" i="62" s="1"/>
  <c r="Q148" i="62"/>
  <c r="U148" i="62" s="1"/>
  <c r="V148" i="62" s="1"/>
  <c r="W148" i="62" s="1"/>
  <c r="AA148" i="62" s="1"/>
  <c r="N148" i="62"/>
  <c r="P148" i="62" s="1"/>
  <c r="Q137" i="62"/>
  <c r="U137" i="62" s="1"/>
  <c r="V137" i="62" s="1"/>
  <c r="W137" i="62" s="1"/>
  <c r="AA137" i="62" s="1"/>
  <c r="N137" i="62"/>
  <c r="P137" i="62" s="1"/>
  <c r="Q60" i="62"/>
  <c r="U60" i="62" s="1"/>
  <c r="V60" i="62" s="1"/>
  <c r="W60" i="62" s="1"/>
  <c r="AA60" i="62" s="1"/>
  <c r="N60" i="62"/>
  <c r="P60" i="62" s="1"/>
  <c r="Q31" i="62"/>
  <c r="U31" i="62" s="1"/>
  <c r="V31" i="62" s="1"/>
  <c r="W31" i="62" s="1"/>
  <c r="AA31" i="62" s="1"/>
  <c r="N31" i="62"/>
  <c r="P31" i="62" s="1"/>
  <c r="Q12" i="62"/>
  <c r="U12" i="62" s="1"/>
  <c r="V12" i="62" s="1"/>
  <c r="W12" i="62" s="1"/>
  <c r="AA12" i="62" s="1"/>
  <c r="N12" i="62"/>
  <c r="P12" i="62" s="1"/>
  <c r="Q69" i="62"/>
  <c r="U69" i="62" s="1"/>
  <c r="V69" i="62" s="1"/>
  <c r="W69" i="62" s="1"/>
  <c r="AA69" i="62" s="1"/>
  <c r="N69" i="62"/>
  <c r="P69" i="62" s="1"/>
  <c r="Q75" i="62"/>
  <c r="U75" i="62" s="1"/>
  <c r="V75" i="62" s="1"/>
  <c r="W75" i="62" s="1"/>
  <c r="AA75" i="62" s="1"/>
  <c r="N75" i="62"/>
  <c r="P75" i="62" s="1"/>
  <c r="N93" i="62"/>
  <c r="P93" i="62" s="1"/>
  <c r="Q143" i="62"/>
  <c r="U143" i="62" s="1"/>
  <c r="V143" i="62" s="1"/>
  <c r="W143" i="62" s="1"/>
  <c r="AA143" i="62" s="1"/>
  <c r="N143" i="62"/>
  <c r="P143" i="62" s="1"/>
  <c r="Y93" i="59"/>
  <c r="Y110" i="59"/>
  <c r="Y111" i="59"/>
  <c r="AA11" i="59"/>
  <c r="AA22" i="59"/>
  <c r="Y122" i="59"/>
  <c r="AA7" i="59"/>
  <c r="AA114" i="59"/>
  <c r="Y46" i="59"/>
  <c r="Y56" i="59"/>
  <c r="AA97" i="59"/>
  <c r="Y92" i="59"/>
  <c r="Y45" i="59"/>
  <c r="AA45" i="59"/>
  <c r="Y39" i="59"/>
  <c r="AA39" i="59"/>
  <c r="Y65" i="59"/>
  <c r="N11" i="59"/>
  <c r="P11" i="59" s="1"/>
  <c r="N61" i="59"/>
  <c r="P61" i="59" s="1"/>
  <c r="Y74" i="59"/>
  <c r="N5" i="59"/>
  <c r="P5" i="59" s="1"/>
  <c r="N92" i="59"/>
  <c r="P92" i="59" s="1"/>
  <c r="Y108" i="59"/>
  <c r="AA108" i="59"/>
  <c r="N135" i="59"/>
  <c r="P135" i="59" s="1"/>
  <c r="N131" i="59"/>
  <c r="P131" i="59" s="1"/>
  <c r="Q131" i="59"/>
  <c r="U131" i="59" s="1"/>
  <c r="V131" i="59" s="1"/>
  <c r="W131" i="59" s="1"/>
  <c r="Q141" i="59"/>
  <c r="U141" i="59" s="1"/>
  <c r="V141" i="59" s="1"/>
  <c r="W141" i="59" s="1"/>
  <c r="N141" i="59"/>
  <c r="P141" i="59" s="1"/>
  <c r="Q16" i="59"/>
  <c r="U16" i="59" s="1"/>
  <c r="V16" i="59" s="1"/>
  <c r="W16" i="59" s="1"/>
  <c r="N16" i="59"/>
  <c r="P16" i="59" s="1"/>
  <c r="Y28" i="59"/>
  <c r="AA28" i="59"/>
  <c r="N10" i="59"/>
  <c r="P10" i="59" s="1"/>
  <c r="Q10" i="59"/>
  <c r="U10" i="59" s="1"/>
  <c r="V10" i="59" s="1"/>
  <c r="W10" i="59" s="1"/>
  <c r="N112" i="59"/>
  <c r="P112" i="59" s="1"/>
  <c r="Q112" i="59"/>
  <c r="U112" i="59" s="1"/>
  <c r="V112" i="59" s="1"/>
  <c r="W112" i="59" s="1"/>
  <c r="Q23" i="59"/>
  <c r="U23" i="59" s="1"/>
  <c r="V23" i="59" s="1"/>
  <c r="W23" i="59" s="1"/>
  <c r="N23" i="59"/>
  <c r="P23" i="59" s="1"/>
  <c r="Q57" i="59"/>
  <c r="U57" i="59" s="1"/>
  <c r="V57" i="59" s="1"/>
  <c r="W57" i="59" s="1"/>
  <c r="N57" i="59"/>
  <c r="P57" i="59" s="1"/>
  <c r="N33" i="59"/>
  <c r="P33" i="59" s="1"/>
  <c r="Q33" i="59"/>
  <c r="U33" i="59" s="1"/>
  <c r="V33" i="59" s="1"/>
  <c r="W33" i="59" s="1"/>
  <c r="Q31" i="59"/>
  <c r="U31" i="59" s="1"/>
  <c r="V31" i="59" s="1"/>
  <c r="W31" i="59" s="1"/>
  <c r="N31" i="59"/>
  <c r="P31" i="59" s="1"/>
  <c r="AA121" i="59"/>
  <c r="AA143" i="59"/>
  <c r="Q126" i="59"/>
  <c r="U126" i="59" s="1"/>
  <c r="V126" i="59" s="1"/>
  <c r="W126" i="59" s="1"/>
  <c r="N126" i="59"/>
  <c r="P126" i="59" s="1"/>
  <c r="Q119" i="59"/>
  <c r="U119" i="59" s="1"/>
  <c r="V119" i="59" s="1"/>
  <c r="W119" i="59" s="1"/>
  <c r="N119" i="59"/>
  <c r="P119" i="59" s="1"/>
  <c r="N46" i="59"/>
  <c r="P46" i="59" s="1"/>
  <c r="Q144" i="59"/>
  <c r="U144" i="59" s="1"/>
  <c r="V144" i="59" s="1"/>
  <c r="W144" i="59" s="1"/>
  <c r="N144" i="59"/>
  <c r="P144" i="59" s="1"/>
  <c r="N42" i="59"/>
  <c r="P42" i="59" s="1"/>
  <c r="AA120" i="59"/>
  <c r="N51" i="59"/>
  <c r="P51" i="59" s="1"/>
  <c r="Q51" i="59"/>
  <c r="U51" i="59" s="1"/>
  <c r="V51" i="59" s="1"/>
  <c r="W51" i="59" s="1"/>
  <c r="N130" i="59"/>
  <c r="P130" i="59" s="1"/>
  <c r="Q130" i="59"/>
  <c r="U130" i="59" s="1"/>
  <c r="V130" i="59" s="1"/>
  <c r="W130" i="59" s="1"/>
  <c r="Q115" i="59"/>
  <c r="U115" i="59" s="1"/>
  <c r="V115" i="59" s="1"/>
  <c r="W115" i="59" s="1"/>
  <c r="N115" i="59"/>
  <c r="P115" i="59" s="1"/>
  <c r="N65" i="59"/>
  <c r="P65" i="59" s="1"/>
  <c r="N120" i="59"/>
  <c r="P120" i="59" s="1"/>
  <c r="N121" i="59"/>
  <c r="P121" i="59" s="1"/>
  <c r="Q87" i="59"/>
  <c r="U87" i="59" s="1"/>
  <c r="V87" i="59" s="1"/>
  <c r="W87" i="59" s="1"/>
  <c r="N87" i="59"/>
  <c r="P87" i="59" s="1"/>
  <c r="N143" i="59"/>
  <c r="P143" i="59" s="1"/>
  <c r="Q59" i="59"/>
  <c r="U59" i="59" s="1"/>
  <c r="V59" i="59" s="1"/>
  <c r="W59" i="59" s="1"/>
  <c r="N59" i="59"/>
  <c r="P59" i="59" s="1"/>
  <c r="Q24" i="59"/>
  <c r="U24" i="59" s="1"/>
  <c r="V24" i="59" s="1"/>
  <c r="W24" i="59" s="1"/>
  <c r="N24" i="59"/>
  <c r="P24" i="59" s="1"/>
  <c r="AA5" i="59"/>
  <c r="AA52" i="59"/>
  <c r="Y41" i="59"/>
  <c r="AA61" i="59"/>
  <c r="AA85" i="59"/>
  <c r="Y6" i="59"/>
  <c r="AA6" i="59"/>
  <c r="Q86" i="59"/>
  <c r="U86" i="59" s="1"/>
  <c r="V86" i="59" s="1"/>
  <c r="W86" i="59" s="1"/>
  <c r="N86" i="59"/>
  <c r="P86" i="59" s="1"/>
  <c r="Y88" i="59"/>
  <c r="AA88" i="59"/>
  <c r="Y14" i="59"/>
  <c r="AA14" i="59"/>
  <c r="Y71" i="59"/>
  <c r="AA71" i="59"/>
  <c r="N9" i="59"/>
  <c r="P9" i="59" s="1"/>
  <c r="Q9" i="59"/>
  <c r="U9" i="59" s="1"/>
  <c r="V9" i="59" s="1"/>
  <c r="W9" i="59" s="1"/>
  <c r="N29" i="59"/>
  <c r="P29" i="59" s="1"/>
  <c r="Q29" i="59"/>
  <c r="U29" i="59" s="1"/>
  <c r="V29" i="59" s="1"/>
  <c r="W29" i="59" s="1"/>
  <c r="AA104" i="59"/>
  <c r="Q32" i="59"/>
  <c r="U32" i="59" s="1"/>
  <c r="V32" i="59" s="1"/>
  <c r="W32" i="59" s="1"/>
  <c r="N32" i="59"/>
  <c r="P32" i="59" s="1"/>
  <c r="Q116" i="59"/>
  <c r="U116" i="59" s="1"/>
  <c r="V116" i="59" s="1"/>
  <c r="W116" i="59" s="1"/>
  <c r="N116" i="59"/>
  <c r="P116" i="59" s="1"/>
  <c r="Q70" i="59"/>
  <c r="U70" i="59" s="1"/>
  <c r="V70" i="59" s="1"/>
  <c r="W70" i="59" s="1"/>
  <c r="N70" i="59"/>
  <c r="P70" i="59" s="1"/>
  <c r="Y79" i="59"/>
  <c r="AA79" i="59"/>
  <c r="AA94" i="59"/>
  <c r="Y94" i="59"/>
  <c r="N6" i="59"/>
  <c r="P6" i="59" s="1"/>
  <c r="Q138" i="59"/>
  <c r="U138" i="59" s="1"/>
  <c r="V138" i="59" s="1"/>
  <c r="W138" i="59" s="1"/>
  <c r="N138" i="59"/>
  <c r="P138" i="59" s="1"/>
  <c r="Y50" i="59"/>
  <c r="AA50" i="59"/>
  <c r="N125" i="59"/>
  <c r="P125" i="59" s="1"/>
  <c r="Q125" i="59"/>
  <c r="U125" i="59" s="1"/>
  <c r="V125" i="59" s="1"/>
  <c r="W125" i="59" s="1"/>
  <c r="N145" i="59"/>
  <c r="P145" i="59" s="1"/>
  <c r="Q145" i="59"/>
  <c r="U145" i="59" s="1"/>
  <c r="V145" i="59" s="1"/>
  <c r="W145" i="59" s="1"/>
  <c r="Q21" i="59"/>
  <c r="U21" i="59" s="1"/>
  <c r="V21" i="59" s="1"/>
  <c r="W21" i="59" s="1"/>
  <c r="N21" i="59"/>
  <c r="P21" i="59" s="1"/>
  <c r="Y91" i="62" l="1"/>
  <c r="Y35" i="62"/>
  <c r="Y54" i="62"/>
  <c r="Y140" i="62"/>
  <c r="Y7" i="62"/>
  <c r="Y156" i="62"/>
  <c r="Y154" i="62"/>
  <c r="Y152" i="62"/>
  <c r="Y136" i="62"/>
  <c r="AA96" i="62"/>
  <c r="BI4" i="50"/>
  <c r="L10" i="50"/>
  <c r="C22" i="51"/>
  <c r="U25" i="62"/>
  <c r="Y72" i="62"/>
  <c r="AA72" i="62"/>
  <c r="Y61" i="62"/>
  <c r="AA61" i="62"/>
  <c r="Y88" i="62"/>
  <c r="AA88" i="62"/>
  <c r="U34" i="62"/>
  <c r="AA13" i="58"/>
  <c r="AA4" i="58"/>
  <c r="Y8" i="58"/>
  <c r="AA8" i="58"/>
  <c r="AA17" i="58"/>
  <c r="AA3" i="58"/>
  <c r="Y101" i="59"/>
  <c r="AA28" i="53"/>
  <c r="Y5" i="53"/>
  <c r="AA86" i="53"/>
  <c r="Y86" i="53"/>
  <c r="AA94" i="53"/>
  <c r="Y44" i="53"/>
  <c r="AA44" i="53"/>
  <c r="AA2" i="53"/>
  <c r="Y2" i="53"/>
  <c r="Y93" i="53"/>
  <c r="AA93" i="53"/>
  <c r="AA82" i="53"/>
  <c r="Y82" i="53"/>
  <c r="Y129" i="53"/>
  <c r="AA129" i="53"/>
  <c r="Y17" i="53"/>
  <c r="AA17" i="53"/>
  <c r="AA145" i="53"/>
  <c r="Y145" i="53"/>
  <c r="AA125" i="53"/>
  <c r="Y125" i="53"/>
  <c r="Y11" i="53"/>
  <c r="AA11" i="53"/>
  <c r="Y96" i="53"/>
  <c r="AA96" i="53"/>
  <c r="Y133" i="53"/>
  <c r="AA133" i="53"/>
  <c r="AA135" i="53"/>
  <c r="Y135" i="53"/>
  <c r="AA58" i="53"/>
  <c r="Y58" i="53"/>
  <c r="AA45" i="53"/>
  <c r="Y45" i="53"/>
  <c r="Y123" i="53"/>
  <c r="AA123" i="53"/>
  <c r="Y111" i="53"/>
  <c r="AA111" i="53"/>
  <c r="Y106" i="62"/>
  <c r="Y114" i="62"/>
  <c r="Y55" i="62"/>
  <c r="Y30" i="62"/>
  <c r="Y43" i="62"/>
  <c r="Y150" i="62"/>
  <c r="Y168" i="62"/>
  <c r="AA17" i="56"/>
  <c r="Y39" i="56"/>
  <c r="AA39" i="56"/>
  <c r="Y35" i="56"/>
  <c r="AA35" i="56"/>
  <c r="Y8" i="56"/>
  <c r="Y41" i="56"/>
  <c r="AA41" i="56"/>
  <c r="AA38" i="56"/>
  <c r="Y38" i="56"/>
  <c r="Y26" i="56"/>
  <c r="AA26" i="56"/>
  <c r="Y20" i="56"/>
  <c r="AA20" i="56"/>
  <c r="AA27" i="56"/>
  <c r="Y27" i="56"/>
  <c r="Y32" i="56"/>
  <c r="AA32" i="56"/>
  <c r="Y6" i="56"/>
  <c r="AA6" i="56"/>
  <c r="AA44" i="56"/>
  <c r="Y44" i="56"/>
  <c r="Y9" i="56"/>
  <c r="AA45" i="56"/>
  <c r="AA5" i="56"/>
  <c r="AA30" i="56"/>
  <c r="Y4" i="56"/>
  <c r="AA4" i="56"/>
  <c r="Y24" i="56"/>
  <c r="Y37" i="56"/>
  <c r="AA37" i="55"/>
  <c r="Y36" i="55"/>
  <c r="AA36" i="55"/>
  <c r="Y14" i="55"/>
  <c r="AA14" i="55"/>
  <c r="Y35" i="55"/>
  <c r="AA35" i="55"/>
  <c r="AA23" i="55"/>
  <c r="Y23" i="55"/>
  <c r="Y38" i="55"/>
  <c r="AA38" i="55"/>
  <c r="Y76" i="62"/>
  <c r="Y141" i="62"/>
  <c r="Y153" i="62"/>
  <c r="Y133" i="62"/>
  <c r="U17" i="62"/>
  <c r="P18" i="51"/>
  <c r="L18" i="51"/>
  <c r="P17" i="62"/>
  <c r="Y48" i="62"/>
  <c r="Y170" i="62"/>
  <c r="Y36" i="62"/>
  <c r="Y83" i="62"/>
  <c r="Y105" i="62"/>
  <c r="Y52" i="62"/>
  <c r="Y32" i="62"/>
  <c r="Y27" i="62"/>
  <c r="Y109" i="62"/>
  <c r="Y7" i="58"/>
  <c r="AA7" i="58"/>
  <c r="Y10" i="58"/>
  <c r="AA10" i="58"/>
  <c r="AA62" i="59"/>
  <c r="AA31" i="56"/>
  <c r="Y31" i="56"/>
  <c r="Y10" i="56"/>
  <c r="AA10" i="56"/>
  <c r="Y23" i="56"/>
  <c r="AA23" i="56"/>
  <c r="Y36" i="59"/>
  <c r="AA36" i="59"/>
  <c r="AA20" i="59"/>
  <c r="AA27" i="59"/>
  <c r="Y27" i="59"/>
  <c r="AA30" i="59"/>
  <c r="Y30" i="59"/>
  <c r="Y5" i="55"/>
  <c r="AA5" i="55"/>
  <c r="AA19" i="59"/>
  <c r="Y19" i="59"/>
  <c r="AA25" i="59"/>
  <c r="Y25" i="59"/>
  <c r="AA8" i="59"/>
  <c r="Y51" i="62"/>
  <c r="Y80" i="62"/>
  <c r="Y117" i="62"/>
  <c r="Y31" i="62"/>
  <c r="Y142" i="62"/>
  <c r="Y26" i="62"/>
  <c r="Y39" i="62"/>
  <c r="Y57" i="62"/>
  <c r="Y162" i="62"/>
  <c r="Y172" i="62"/>
  <c r="Y69" i="62"/>
  <c r="Y60" i="62"/>
  <c r="Y2" i="62"/>
  <c r="Y58" i="62"/>
  <c r="Y122" i="62"/>
  <c r="Y66" i="62"/>
  <c r="Y118" i="62"/>
  <c r="Y74" i="62"/>
  <c r="Y143" i="62"/>
  <c r="Y132" i="62"/>
  <c r="Y119" i="62"/>
  <c r="Y29" i="62"/>
  <c r="Y123" i="62"/>
  <c r="Y81" i="62"/>
  <c r="Y171" i="62"/>
  <c r="Y75" i="62"/>
  <c r="Y144" i="62"/>
  <c r="Y12" i="62"/>
  <c r="Y137" i="62"/>
  <c r="Y102" i="62"/>
  <c r="Y94" i="62"/>
  <c r="Y64" i="62"/>
  <c r="Y148" i="62"/>
  <c r="Y14" i="62"/>
  <c r="Y111" i="62"/>
  <c r="Y3" i="62"/>
  <c r="Y127" i="62"/>
  <c r="Y164" i="62"/>
  <c r="Y21" i="62"/>
  <c r="Y9" i="62"/>
  <c r="Y126" i="59"/>
  <c r="AA126" i="59"/>
  <c r="AA112" i="59"/>
  <c r="Y112" i="59"/>
  <c r="AA24" i="59"/>
  <c r="Y24" i="59"/>
  <c r="AA57" i="59"/>
  <c r="Y57" i="59"/>
  <c r="AA141" i="59"/>
  <c r="Y141" i="59"/>
  <c r="Y87" i="59"/>
  <c r="AA87" i="59"/>
  <c r="Y51" i="59"/>
  <c r="AA51" i="59"/>
  <c r="AA119" i="59"/>
  <c r="Y119" i="59"/>
  <c r="AA33" i="59"/>
  <c r="Y33" i="59"/>
  <c r="AA10" i="59"/>
  <c r="Y10" i="59"/>
  <c r="Y131" i="59"/>
  <c r="AA131" i="59"/>
  <c r="Y130" i="59"/>
  <c r="AA130" i="59"/>
  <c r="AA31" i="59"/>
  <c r="Y31" i="59"/>
  <c r="Y59" i="59"/>
  <c r="AA59" i="59"/>
  <c r="Y115" i="59"/>
  <c r="AA115" i="59"/>
  <c r="Y144" i="59"/>
  <c r="AA144" i="59"/>
  <c r="Y23" i="59"/>
  <c r="AA23" i="59"/>
  <c r="Y16" i="59"/>
  <c r="AA16" i="59"/>
  <c r="Y9" i="59"/>
  <c r="AA9" i="59"/>
  <c r="AA116" i="59"/>
  <c r="Y116" i="59"/>
  <c r="Y21" i="59"/>
  <c r="AA21" i="59"/>
  <c r="AA138" i="59"/>
  <c r="Y138" i="59"/>
  <c r="Y145" i="59"/>
  <c r="AA145" i="59"/>
  <c r="AA29" i="59"/>
  <c r="Y29" i="59"/>
  <c r="AA86" i="59"/>
  <c r="Y86" i="59"/>
  <c r="Y125" i="59"/>
  <c r="AA125" i="59"/>
  <c r="Y70" i="59"/>
  <c r="AA70" i="59"/>
  <c r="AA32" i="59"/>
  <c r="Y32" i="59"/>
  <c r="O8" i="42" l="1"/>
  <c r="P8" i="42" s="1"/>
  <c r="R8" i="42"/>
  <c r="Q8" i="42" s="1"/>
  <c r="V25" i="62"/>
  <c r="W25" i="62" s="1"/>
  <c r="Q3" i="50"/>
  <c r="AI18" i="50"/>
  <c r="V34" i="62"/>
  <c r="W34" i="62" s="1"/>
  <c r="AA34" i="62" s="1"/>
  <c r="V17" i="62"/>
  <c r="W17" i="62" s="1"/>
  <c r="AA17" i="62" s="1"/>
  <c r="Q18" i="51"/>
  <c r="R18" i="51" s="1"/>
  <c r="T18" i="51" s="1"/>
  <c r="R6" i="42" l="1"/>
  <c r="R5" i="42"/>
  <c r="AA25" i="62"/>
  <c r="Y25" i="62"/>
  <c r="Y34" i="62"/>
  <c r="R3" i="50"/>
  <c r="AJ18" i="50"/>
  <c r="Y17" i="62"/>
  <c r="O18" i="51"/>
  <c r="N18" i="51" s="1"/>
  <c r="O3" i="42" l="1"/>
  <c r="Q3" i="42"/>
  <c r="O6" i="42"/>
  <c r="Q5" i="42"/>
  <c r="O10" i="42"/>
  <c r="P10" i="42" s="1"/>
  <c r="AK18" i="50"/>
  <c r="AK25" i="50" s="1"/>
  <c r="O5" i="42"/>
  <c r="P5" i="42" s="1"/>
  <c r="S4" i="42"/>
  <c r="T4" i="42" s="1"/>
  <c r="O9" i="42"/>
  <c r="R7" i="42"/>
  <c r="Q7" i="42" s="1"/>
  <c r="S10" i="42"/>
  <c r="O7" i="42"/>
  <c r="P7" i="42" s="1"/>
  <c r="Q9" i="42"/>
  <c r="S3" i="50"/>
  <c r="S9" i="50" s="1"/>
  <c r="O4" i="42"/>
  <c r="P4" i="42" s="1"/>
  <c r="AG18" i="50"/>
  <c r="AR8" i="50" s="1"/>
  <c r="AH18" i="50"/>
  <c r="M18" i="50"/>
  <c r="N18" i="50" s="1"/>
  <c r="Q21" i="50" s="1"/>
  <c r="P3" i="50"/>
  <c r="C33" i="51" l="1"/>
  <c r="T10" i="42"/>
  <c r="D33" i="51" s="1"/>
  <c r="BJ14" i="50" s="1"/>
  <c r="O15" i="50" s="1"/>
  <c r="L11" i="50"/>
  <c r="S21" i="50"/>
  <c r="BE4" i="50"/>
  <c r="BG8" i="50" s="1"/>
  <c r="AK29" i="50"/>
  <c r="R3" i="42"/>
  <c r="P3" i="42"/>
  <c r="AW5" i="50"/>
  <c r="AY5" i="50" s="1"/>
  <c r="AW4" i="50"/>
  <c r="AY4" i="50" s="1"/>
  <c r="AU8" i="50"/>
  <c r="AW3" i="50"/>
  <c r="AY3" i="50" s="1"/>
  <c r="P9" i="42"/>
  <c r="R9" i="42"/>
  <c r="C27" i="51"/>
  <c r="P6" i="42"/>
  <c r="D27" i="51" s="1"/>
  <c r="BF13" i="50" s="1"/>
  <c r="BJ15" i="50" l="1"/>
  <c r="D32" i="51"/>
  <c r="Q6" i="42"/>
  <c r="C32" i="51" s="1"/>
  <c r="BI13" i="50" s="1"/>
  <c r="BE13" i="50"/>
  <c r="L14" i="50"/>
  <c r="D34" i="51" l="1"/>
  <c r="BH20" i="50"/>
  <c r="N14" i="50" l="1"/>
  <c r="BJ13" i="50"/>
  <c r="O14" i="50" l="1"/>
  <c r="BI14" i="50"/>
  <c r="N15" i="5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<sst xmlns="http://schemas.openxmlformats.org/spreadsheetml/2006/main" count="2747" uniqueCount="313">
  <si>
    <t>Estado</t>
  </si>
  <si>
    <t>Descuento</t>
  </si>
  <si>
    <t>P.Final</t>
  </si>
  <si>
    <t>Cuota Mensual $</t>
  </si>
  <si>
    <t>Disponible</t>
  </si>
  <si>
    <t>N° Depto.</t>
  </si>
  <si>
    <t>Sup. Pond.</t>
  </si>
  <si>
    <t>P.Lista</t>
  </si>
  <si>
    <t xml:space="preserve">Tipologia </t>
  </si>
  <si>
    <t xml:space="preserve">Orientacion </t>
  </si>
  <si>
    <t>RESERVA</t>
  </si>
  <si>
    <t>PIE</t>
  </si>
  <si>
    <t>PIE ($)</t>
  </si>
  <si>
    <t>PIE (%)</t>
  </si>
  <si>
    <t>Bono</t>
  </si>
  <si>
    <t>Fecha</t>
  </si>
  <si>
    <t>P. de Escrituración</t>
  </si>
  <si>
    <t>Arriendo</t>
  </si>
  <si>
    <t>Flujo</t>
  </si>
  <si>
    <t>Dividendo</t>
  </si>
  <si>
    <t>N° Cuotas Cheques</t>
  </si>
  <si>
    <t>Cuota Mensual TC</t>
  </si>
  <si>
    <t>PIE (UF)</t>
  </si>
  <si>
    <t>Bono UF</t>
  </si>
  <si>
    <t>Años</t>
  </si>
  <si>
    <t>Est.</t>
  </si>
  <si>
    <t>Bod.</t>
  </si>
  <si>
    <t>Crédito Hip. UF</t>
  </si>
  <si>
    <t>Departamento</t>
  </si>
  <si>
    <t>Años Crédito</t>
  </si>
  <si>
    <t>Sup. Util</t>
  </si>
  <si>
    <t>Sup. Terraza</t>
  </si>
  <si>
    <t>Proyecto</t>
  </si>
  <si>
    <t>Tipología</t>
  </si>
  <si>
    <t>Tipo</t>
  </si>
  <si>
    <t>Valor Lista</t>
  </si>
  <si>
    <t>Dcto</t>
  </si>
  <si>
    <t>Precio Final</t>
  </si>
  <si>
    <t>Precio de Escrituración</t>
  </si>
  <si>
    <t>Pie (%)</t>
  </si>
  <si>
    <t>Pie ($)</t>
  </si>
  <si>
    <t>Cuotas</t>
  </si>
  <si>
    <t>Valor Cuota</t>
  </si>
  <si>
    <t>Arriendo aprox.</t>
  </si>
  <si>
    <t>Total</t>
  </si>
  <si>
    <t>Bono %</t>
  </si>
  <si>
    <t>Ori.</t>
  </si>
  <si>
    <t>Planta</t>
  </si>
  <si>
    <t>Monto Crédito</t>
  </si>
  <si>
    <t>C. Hip.</t>
  </si>
  <si>
    <t>Proyectos</t>
  </si>
  <si>
    <t>Bod</t>
  </si>
  <si>
    <t>Monto a solicitar</t>
  </si>
  <si>
    <t>Sup. Total</t>
  </si>
  <si>
    <t>Reserva $</t>
  </si>
  <si>
    <t>Abono Inicial</t>
  </si>
  <si>
    <t>Forma de Pago</t>
  </si>
  <si>
    <t>Monto</t>
  </si>
  <si>
    <t>Crédito Hip. Máximo</t>
  </si>
  <si>
    <t>Reserva</t>
  </si>
  <si>
    <t>Cheques</t>
  </si>
  <si>
    <t>Cheques y/o TC</t>
  </si>
  <si>
    <t>Opción 1</t>
  </si>
  <si>
    <t>Opción 2 CH</t>
  </si>
  <si>
    <t>Opción 2 TC</t>
  </si>
  <si>
    <t>INGRESE LOS SIGUIENTES DATOS</t>
  </si>
  <si>
    <t>Escenario Express (NO MODIFICAR)</t>
  </si>
  <si>
    <t>Inmobiliaria:</t>
  </si>
  <si>
    <t>Proyecto:</t>
  </si>
  <si>
    <t>Comuna:</t>
  </si>
  <si>
    <t>Entrega Estimada:</t>
  </si>
  <si>
    <t>Depto</t>
  </si>
  <si>
    <t>N° Depto</t>
  </si>
  <si>
    <t>Precio Escr.</t>
  </si>
  <si>
    <t>Crédito (%)</t>
  </si>
  <si>
    <t>Bono (%)</t>
  </si>
  <si>
    <t>Nombre Cliente</t>
  </si>
  <si>
    <t>PARA 1° DEPTO</t>
  </si>
  <si>
    <t>Nombre Cliente:</t>
  </si>
  <si>
    <t>Precio de Escrituración:</t>
  </si>
  <si>
    <t>Monto Crédito:</t>
  </si>
  <si>
    <t>Crédito (%):</t>
  </si>
  <si>
    <t># Departamentos:</t>
  </si>
  <si>
    <t>PIE TOTAL</t>
  </si>
  <si>
    <t>ABONO</t>
  </si>
  <si>
    <t>PIE PENDIENTE</t>
  </si>
  <si>
    <t>N° depto:</t>
  </si>
  <si>
    <t>Cuota</t>
  </si>
  <si>
    <t>PARA 2° DEPTO</t>
  </si>
  <si>
    <t>Plazo Crédito (años):</t>
  </si>
  <si>
    <t>Flujo Total:</t>
  </si>
  <si>
    <t>PARA 3° DEPTO</t>
  </si>
  <si>
    <t>UF HOY</t>
  </si>
  <si>
    <t>PARA 4° DEPTO</t>
  </si>
  <si>
    <t>PARA 5° DEPTO</t>
  </si>
  <si>
    <t>* Valores referenciales, sujeto a evaluación bancaria y tasa de interés obtenida al momento del crédito.</t>
  </si>
  <si>
    <t>Comuna</t>
  </si>
  <si>
    <t>Entrega</t>
  </si>
  <si>
    <t>NO MODIFICAR NADA DE ESTA HOJA</t>
  </si>
  <si>
    <t>Orientación</t>
  </si>
  <si>
    <t>Superficie Total.</t>
  </si>
  <si>
    <t>TC</t>
  </si>
  <si>
    <t>Opción 2</t>
  </si>
  <si>
    <t>O</t>
  </si>
  <si>
    <t>Arriendo sin est.</t>
  </si>
  <si>
    <t>Arriendo con est.</t>
  </si>
  <si>
    <t>Tasa Banco</t>
  </si>
  <si>
    <t>* El Abono Inicial y el Monto de Reserva se abona al pie de los deptos.</t>
  </si>
  <si>
    <t>La Cisterna</t>
  </si>
  <si>
    <t>Superficie Total</t>
  </si>
  <si>
    <t>PATRIMONIO TOTAL</t>
  </si>
  <si>
    <t>Precio Escritura</t>
  </si>
  <si>
    <t>Crédito Hip.</t>
  </si>
  <si>
    <t>Cuotas Cheque + Cuotón</t>
  </si>
  <si>
    <t>Ingresar plusvalía:</t>
  </si>
  <si>
    <t>Año 1</t>
  </si>
  <si>
    <t>Año 2</t>
  </si>
  <si>
    <t>Año 3</t>
  </si>
  <si>
    <t>Año 4</t>
  </si>
  <si>
    <t>Año 5</t>
  </si>
  <si>
    <t>GANANCIA</t>
  </si>
  <si>
    <t>SO</t>
  </si>
  <si>
    <t>SP</t>
  </si>
  <si>
    <t>NP</t>
  </si>
  <si>
    <t>NO</t>
  </si>
  <si>
    <t>2D 2B</t>
  </si>
  <si>
    <t>2D 1B</t>
  </si>
  <si>
    <t>1D 1B</t>
  </si>
  <si>
    <t>Carvajal - La Cisterna</t>
  </si>
  <si>
    <t>S</t>
  </si>
  <si>
    <t>N</t>
  </si>
  <si>
    <t>P</t>
  </si>
  <si>
    <t>Tasa Futura</t>
  </si>
  <si>
    <t>Don Claudio</t>
  </si>
  <si>
    <t>Don Claudio - La Cisterna</t>
  </si>
  <si>
    <t>Delabase</t>
  </si>
  <si>
    <t>Carvajal</t>
  </si>
  <si>
    <t>Sin Est.</t>
  </si>
  <si>
    <t>Con Est.</t>
  </si>
  <si>
    <t>Don Claudio - La Cisterna (Ext)</t>
  </si>
  <si>
    <t>DON CLAUDIO</t>
  </si>
  <si>
    <t>CARVAJAL</t>
  </si>
  <si>
    <t>INFO GENERAL</t>
  </si>
  <si>
    <t>Entrega Estimada</t>
  </si>
  <si>
    <t>Cuotas TC</t>
  </si>
  <si>
    <t>Enviar reserva a</t>
  </si>
  <si>
    <t>Beneficios</t>
  </si>
  <si>
    <t>Rut</t>
  </si>
  <si>
    <t>77.060.514-8</t>
  </si>
  <si>
    <t>77.474.855-5</t>
  </si>
  <si>
    <t>Razón Social</t>
  </si>
  <si>
    <t>Delabase Carvajal Spa</t>
  </si>
  <si>
    <t>Delabase Goycolea Spa</t>
  </si>
  <si>
    <t>Banco</t>
  </si>
  <si>
    <t>Banco de Chile</t>
  </si>
  <si>
    <t>Banco Santander</t>
  </si>
  <si>
    <t>Número cuenta</t>
  </si>
  <si>
    <t>LINK WEBPAY</t>
  </si>
  <si>
    <t>https://www.webpay.cl/portalpagodirecto/pages/institucion.jsf?idEstablecimiento=109057492</t>
  </si>
  <si>
    <t>Monto Reserva</t>
  </si>
  <si>
    <t>Abono inicial</t>
  </si>
  <si>
    <t>Estacionamientos</t>
  </si>
  <si>
    <t>Bodegas</t>
  </si>
  <si>
    <t>Devoluciones</t>
  </si>
  <si>
    <t>Opcional para toda tipología</t>
  </si>
  <si>
    <t>PROMESA</t>
  </si>
  <si>
    <t>Qué se debe firmar</t>
  </si>
  <si>
    <t>Formato</t>
  </si>
  <si>
    <t>Tipo de cuenta</t>
  </si>
  <si>
    <t>CUENTA CORRIENTE INMOBILIARIA</t>
  </si>
  <si>
    <t>Corriente</t>
  </si>
  <si>
    <t>Bloqueado</t>
  </si>
  <si>
    <t>Requisitos</t>
  </si>
  <si>
    <t>Ajuste de UF</t>
  </si>
  <si>
    <t>La inmobiliaria hace un ajuste de UF proyectado a la firma de la promesa, para que el cliente, al momento de escriturar, no tenga que pagar el diferencial. En caso de existir un excedente, la inmobiliaria lo devuelve</t>
  </si>
  <si>
    <t>Don Diego - Temuco</t>
  </si>
  <si>
    <t>Don Diego</t>
  </si>
  <si>
    <t>Temuco</t>
  </si>
  <si>
    <t>Gastos notariales no se cobrarán</t>
  </si>
  <si>
    <t>Inmobiliaria y Constructora De La Barra Serrano S.A.</t>
  </si>
  <si>
    <t>96.872.460-6</t>
  </si>
  <si>
    <t>Banco Itaú</t>
  </si>
  <si>
    <t>UF/m2</t>
  </si>
  <si>
    <t>Tasa Media</t>
  </si>
  <si>
    <t>Carvajal - La Cisterna (Ext)</t>
  </si>
  <si>
    <t>-</t>
  </si>
  <si>
    <t>Inmediata</t>
  </si>
  <si>
    <t xml:space="preserve">Carvajal </t>
  </si>
  <si>
    <t>Estacionamiento desde UF 390</t>
  </si>
  <si>
    <t>Brochure</t>
  </si>
  <si>
    <t>LINK TOKU</t>
  </si>
  <si>
    <t>Cuotas TOKU</t>
  </si>
  <si>
    <t>https://delabase.trytoku.com/</t>
  </si>
  <si>
    <t>SM</t>
  </si>
  <si>
    <t>2D2B</t>
  </si>
  <si>
    <t>1D1B</t>
  </si>
  <si>
    <t>2D1B</t>
  </si>
  <si>
    <t>San Nicolás - San Miguel</t>
  </si>
  <si>
    <t>San Nicolás</t>
  </si>
  <si>
    <t>San Miguel</t>
  </si>
  <si>
    <t>2do Semestre 2026</t>
  </si>
  <si>
    <t>INMOBILIARIA Y CONSTRUCTORA DELABASE III S.A</t>
  </si>
  <si>
    <t>96.958.360-7</t>
  </si>
  <si>
    <t>Banco Estado</t>
  </si>
  <si>
    <t>San Nicolas</t>
  </si>
  <si>
    <t>Bodega desde UF 170</t>
  </si>
  <si>
    <t>ACUMULADO</t>
  </si>
  <si>
    <t>ESTACIONAMIENTOS</t>
  </si>
  <si>
    <t>VALOR</t>
  </si>
  <si>
    <t>SUB -1</t>
  </si>
  <si>
    <t>SUB -2</t>
  </si>
  <si>
    <t>SUB -3</t>
  </si>
  <si>
    <t>TOTAL</t>
  </si>
  <si>
    <t>LISTA DE PRECIOS ESTACIONAMIENTOS Y BODEGAS</t>
  </si>
  <si>
    <t>PISO</t>
  </si>
  <si>
    <t>ESTAC. #</t>
  </si>
  <si>
    <t>ESTAC.
(UF)</t>
  </si>
  <si>
    <t>BODEGA #</t>
  </si>
  <si>
    <t>BODEGA
(UF)</t>
  </si>
  <si>
    <t>PRECIO LISTA
(UF)</t>
  </si>
  <si>
    <t>BODEGA</t>
  </si>
  <si>
    <t>Sup.</t>
  </si>
  <si>
    <t>Precio</t>
  </si>
  <si>
    <t>HOLA</t>
  </si>
  <si>
    <t>Estacionamientos desde UF 400</t>
  </si>
  <si>
    <t>Estacionamientos desde UF 390</t>
  </si>
  <si>
    <t>Bodegas desde UF 110</t>
  </si>
  <si>
    <t>Bodegas desde UF 80</t>
  </si>
  <si>
    <t>Estacionamientos desde UF 380</t>
  </si>
  <si>
    <t>Cheque Bono pie</t>
  </si>
  <si>
    <t>Cheque Contra escritura</t>
  </si>
  <si>
    <t>No se deja</t>
  </si>
  <si>
    <t>Bono 15% no dejan cheque / Bono 10% si dejan cheque</t>
  </si>
  <si>
    <t>Cuoton</t>
  </si>
  <si>
    <t>PROMESA - ANEXOS - CARNET DE IDENTIDAD - ACUERDO COMERCIAL ACTIVO MÁS</t>
  </si>
  <si>
    <t>Online (Promesa y Anexos). Físico (Carnet y Acuerdo Comercial Activo Más)</t>
  </si>
  <si>
    <t>El cliente debe pagar hacia la inmobiliaria (cuenta corriente o cheque) un monto de $125.000 por dpto al momento de firmar promesa. Este monto es por concepto de bono pie y gastos notariales.</t>
  </si>
  <si>
    <t xml:space="preserve">Don Claudio </t>
  </si>
  <si>
    <t>Fecha de cobro</t>
  </si>
  <si>
    <t>Bodegas desde UF 160</t>
  </si>
  <si>
    <t>EDIFICIO SAN NICOLÁS TORRE 1</t>
  </si>
  <si>
    <t>SUPERFICIE</t>
  </si>
  <si>
    <t xml:space="preserve"> </t>
  </si>
  <si>
    <t>VENTA CONJUNTA EST.</t>
  </si>
  <si>
    <t>SUB 1</t>
  </si>
  <si>
    <t>BODEGAS</t>
  </si>
  <si>
    <t>Biaut</t>
  </si>
  <si>
    <t>Biaut - La Cisterna</t>
  </si>
  <si>
    <t>1er Semestre 2027</t>
  </si>
  <si>
    <t>Estacionamiento desde UF 370</t>
  </si>
  <si>
    <t>Bodega desde UF 110</t>
  </si>
  <si>
    <t>Obligatorio para 2D</t>
  </si>
  <si>
    <t>2do Semestre 2027</t>
  </si>
  <si>
    <t>Correo</t>
  </si>
  <si>
    <t>msilva@delabase.cl</t>
  </si>
  <si>
    <t>Renta mínima</t>
  </si>
  <si>
    <t>A.G</t>
  </si>
  <si>
    <t>1er Semestre 2026</t>
  </si>
  <si>
    <t>Recepción Final</t>
  </si>
  <si>
    <t>Seguros</t>
  </si>
  <si>
    <t>Arriendo garantizado por sobre el valor de mercado por 1 año.</t>
  </si>
  <si>
    <t>Bono Pie</t>
  </si>
  <si>
    <t>Arriendo Garantizado</t>
  </si>
  <si>
    <t>Montos Arriendo Garantizado</t>
  </si>
  <si>
    <t>Condiciones Adicionales</t>
  </si>
  <si>
    <t xml:space="preserve">1D1B: $380.000 // 2D1B: $450.000 // 2D2B: $500.000 </t>
  </si>
  <si>
    <r>
      <rPr>
        <b/>
        <sz val="12"/>
        <color theme="4" tint="-0.499984740745262"/>
        <rFont val="Calibri"/>
        <family val="2"/>
        <scheme val="minor"/>
      </rPr>
      <t>Arriendo garantizado:</t>
    </r>
    <r>
      <rPr>
        <sz val="12"/>
        <color theme="4" tint="-0.499984740745262"/>
        <rFont val="Calibri"/>
        <family val="2"/>
        <scheme val="minor"/>
      </rPr>
      <t xml:space="preserve">
Es un beneficio otorgado por la inmobiliaria en alianza con la administradora, que asegura el pago mensual de un arriendo, incluso si la unidad no tiene arrendatario. Este monto es superior al valor de mercado y se paga de forma continua mientras el departamento esté bajo su administración.</t>
    </r>
  </si>
  <si>
    <t>1 año</t>
  </si>
  <si>
    <t>Opcional para 1D / Obligatorio para 2D</t>
  </si>
  <si>
    <t>Tasa Inmediata</t>
  </si>
  <si>
    <t>1D1B: $320.000 // 2D1B: $380.000 // 2D2B: $420.000 // Estacionamiento: +$40.000</t>
  </si>
  <si>
    <t>1D1B: $340.000 // 2D1B: $390.000 // 2D2B: $440.000 // Estacionamiento: +$40.000</t>
  </si>
  <si>
    <t>Montos Arriendo de Mercado</t>
  </si>
  <si>
    <t>Bono 15% / SIN ABONO</t>
  </si>
  <si>
    <t>Cuotón Máximo:</t>
  </si>
  <si>
    <t>Reserva de $100.000 + Sin abono inicial</t>
  </si>
  <si>
    <t xml:space="preserve">Reserva de $100.000 + Sin abono inicial + UF 100 DE DESCUENTO </t>
  </si>
  <si>
    <t>5 de cada mes</t>
  </si>
  <si>
    <t>Si agrega estacionamiento o bodega, debe llevar ambos. No es posible agregar solo uno de los dos. Se aplica un descuento de UF 100.</t>
  </si>
  <si>
    <t>Opcional para toda tipología / Si agrega estacionamiento o bodega, debe llevar ambos. No es posible agregar solo uno de los dos. Se aplica un descuento de UF 100.</t>
  </si>
  <si>
    <t>Bodega desde UF 130</t>
  </si>
  <si>
    <t>Estacionamiento desde UF 360</t>
  </si>
  <si>
    <t>Bono 15%</t>
  </si>
  <si>
    <t>Extendido</t>
  </si>
  <si>
    <t>Sí, a 10 meses</t>
  </si>
  <si>
    <t>El cliente debe pagar hacia la inmobiliaria (cuenta corriente o cheque) un monto entre $45.000 a $50.000 por dpto al momento de firmar promesa. Este monto es por concepto de bono pie y gastos notariales.</t>
  </si>
  <si>
    <t>Tipologia</t>
  </si>
  <si>
    <t>3D3B</t>
  </si>
  <si>
    <t>Volcan</t>
  </si>
  <si>
    <t>Villarrica</t>
  </si>
  <si>
    <t>Volcan - Villarrica</t>
  </si>
  <si>
    <t>2do Semestre 2028</t>
  </si>
  <si>
    <t>VILLARRICA</t>
  </si>
  <si>
    <t>Abono mínimo:</t>
  </si>
  <si>
    <t>Abono extra:</t>
  </si>
  <si>
    <t>Abono total:</t>
  </si>
  <si>
    <t>1% para Biaut // 2% para Don Claudio Extendido // 3% para Volcan.</t>
  </si>
  <si>
    <t>3% del precio</t>
  </si>
  <si>
    <t>Obligatorio para toda tipología</t>
  </si>
  <si>
    <t>Inmobiliaria y Constructora Delabase Centro S.A.</t>
  </si>
  <si>
    <t xml:space="preserve">76.206.525-8 </t>
  </si>
  <si>
    <t>Itaú</t>
  </si>
  <si>
    <t>Bodegas desde UF 70</t>
  </si>
  <si>
    <t>* Vista directa al volcán: líneas 03 y 04.
* Vista parcial al volcán (desde terraza): líneas 05, 06, 07, 08, 09 y 10.
* Sin vista al volcán, pero con vista al lago: líneas 01, 02, 11, 12 y 13.</t>
  </si>
  <si>
    <t>ACTIVO MÁS</t>
  </si>
  <si>
    <t xml:space="preserve">CUENTA CORRIENTE </t>
  </si>
  <si>
    <t>Activo Más S.A</t>
  </si>
  <si>
    <t>76.926.589-9</t>
  </si>
  <si>
    <t>30 días</t>
  </si>
  <si>
    <t>3D4B</t>
  </si>
  <si>
    <t>1 y 8</t>
  </si>
  <si>
    <t>El cliente debe pagar hacia la inmobiliaria (cuenta corriente o cheque) un monto de $45.000 por dpto al momento de firmar promesa. Este monto es por concepto de bono pie y gastos notariales.</t>
  </si>
  <si>
    <t>* Dividendos incluyen los seguros obligatorios, equivalentes a UF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</si>
</sst>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2" formatCode="_ &quot;$&quot;* #,##0_ ;_ &quot;$&quot;* \-#,##0_ ;_ &quot;$&quot;* &quot;-&quot;_ ;_ @_ "/>
    <numFmt numFmtId="41" formatCode="_ * #,##0_ ;_ * \-#,##0_ ;_ * &quot;-&quot;_ ;_ @_ "/>
    <numFmt numFmtId="44" formatCode="_ &quot;$&quot;* #,##0.00_ ;_ &quot;$&quot;* \-#,##0.00_ ;_ &quot;$&quot;* &quot;-&quot;??_ ;_ @_ "/>
    <numFmt numFmtId="164" formatCode="_-&quot;$&quot;* #,##0_-;\-&quot;$&quot;* #,##0_-;_-&quot;$&quot;* &quot;-&quot;_-;_-@_-"/>
    <numFmt numFmtId="165" formatCode="\U\F\ #,##0.00"/>
    <numFmt numFmtId="166" formatCode="0;[Red]0"/>
    <numFmt numFmtId="167" formatCode="&quot;$&quot;#,##0"/>
    <numFmt numFmtId="168" formatCode="\U\F\ #,##0"/>
    <numFmt numFmtId="169" formatCode="0.0%"/>
    <numFmt numFmtId="170" formatCode="_-&quot;$&quot;* #,##0.00_-;\-&quot;$&quot;* #,##0.00_-;_-&quot;$&quot;* &quot;-&quot;_-;_-@_-"/>
    <numFmt numFmtId="171" formatCode="#,##0_ ;\-#,##0\ "/>
    <numFmt numFmtId="172" formatCode="_ * #,##0.00_ ;_ * \-#,##0.00_ ;_ * &quot;-&quot;_ ;_ @_ "/>
    <numFmt numFmtId="173" formatCode="_-* #,##0.00_-;\-* #,##0.00_-;_-* &quot;-&quot;??_-;_-@_-"/>
    <numFmt numFmtId="174" formatCode="_-* #,##0.0_-;\-* #,##0.0_-;_-* &quot;-&quot;??_-;_-@_-"/>
    <numFmt numFmtId="175" formatCode="_-* #,##0_-;\-* #,##0_-;_-* &quot;-&quot;??_-;_-@_-"/>
    <numFmt numFmtId="176" formatCode="#,##0.0_ ;\-#,##0.0\ "/>
    <numFmt numFmtId="177" formatCode="\U\F\ #,##0.000"/>
    <numFmt numFmtId="178" formatCode="0.0"/>
  </numFmts>
  <fonts count="96">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8"/>
      <color theme="1"/>
      <name val="Calibri"/>
      <family val="2"/>
      <scheme val="minor"/>
    </font>
    <font>
      <b/>
      <sz val="12"/>
      <color rgb="FF000000"/>
      <name val="Arial"/>
      <family val="2"/>
    </font>
    <font>
      <sz val="12"/>
      <color rgb="FF706F6F"/>
      <name val="Arial"/>
      <family val="2"/>
    </font>
    <font>
      <sz val="8"/>
      <color theme="1"/>
      <name val="Arial"/>
      <family val="2"/>
    </font>
    <font>
      <sz val="8"/>
      <name val="Calibri"/>
      <family val="2"/>
      <scheme val="minor"/>
    </font>
    <font>
      <sz val="11"/>
      <color rgb="FF006100"/>
      <name val="Calibri"/>
      <family val="2"/>
      <scheme val="minor"/>
    </font>
    <font>
      <sz val="11"/>
      <color theme="0"/>
      <name val="Calibri"/>
      <family val="2"/>
      <scheme val="minor"/>
    </font>
    <font>
      <sz val="11"/>
      <color theme="1"/>
      <name val="Calibri"/>
      <family val="2"/>
    </font>
    <font>
      <b/>
      <sz val="12"/>
      <color theme="1"/>
      <name val="Calibri"/>
      <family val="2"/>
      <scheme val="minor"/>
    </font>
    <font>
      <b/>
      <sz val="22"/>
      <color theme="0"/>
      <name val="Calibri"/>
      <family val="2"/>
      <scheme val="minor"/>
    </font>
    <font>
      <sz val="10"/>
      <name val="Arial"/>
      <family val="2"/>
    </font>
    <font>
      <sz val="11"/>
      <color rgb="FF000000"/>
      <name val="Calibri"/>
      <family val="2"/>
    </font>
    <font>
      <sz val="12"/>
      <color theme="4" tint="-0.499984740745262"/>
      <name val="Calibri"/>
      <family val="2"/>
      <scheme val="minor"/>
    </font>
    <font>
      <sz val="12"/>
      <color theme="4" tint="-0.249977111117893"/>
      <name val="Calibri"/>
      <family val="2"/>
      <scheme val="minor"/>
    </font>
    <font>
      <i/>
      <sz val="10"/>
      <color theme="1"/>
      <name val="Calibri"/>
      <family val="2"/>
      <scheme val="minor"/>
    </font>
    <font>
      <b/>
      <sz val="12"/>
      <color theme="4" tint="-0.249977111117893"/>
      <name val="Calibri"/>
      <family val="2"/>
      <scheme val="minor"/>
    </font>
    <font>
      <b/>
      <sz val="15"/>
      <color theme="3"/>
      <name val="Calibri"/>
      <family val="2"/>
      <scheme val="minor"/>
    </font>
    <font>
      <sz val="12"/>
      <color theme="0"/>
      <name val="Calibri"/>
      <family val="2"/>
      <scheme val="minor"/>
    </font>
    <font>
      <b/>
      <sz val="12"/>
      <color theme="0"/>
      <name val="Calibri"/>
      <family val="2"/>
      <scheme val="minor"/>
    </font>
    <font>
      <b/>
      <sz val="10"/>
      <color theme="4" tint="-0.249977111117893"/>
      <name val="Tahoma"/>
      <family val="2"/>
    </font>
    <font>
      <sz val="10"/>
      <color theme="4" tint="-0.249977111117893"/>
      <name val="Tahoma"/>
      <family val="2"/>
    </font>
    <font>
      <b/>
      <sz val="11"/>
      <color theme="1"/>
      <name val="Arial"/>
      <family val="2"/>
    </font>
    <font>
      <b/>
      <sz val="12"/>
      <color theme="4" tint="-0.249977111117893"/>
      <name val="Arial"/>
      <family val="2"/>
    </font>
    <font>
      <b/>
      <sz val="12"/>
      <color rgb="FF2D2E83"/>
      <name val="Tahoma"/>
      <family val="2"/>
    </font>
    <font>
      <b/>
      <sz val="12"/>
      <color theme="8" tint="-0.499984740745262"/>
      <name val="Calibri"/>
      <family val="2"/>
      <scheme val="minor"/>
    </font>
    <font>
      <b/>
      <sz val="9"/>
      <color theme="4" tint="-0.249977111117893"/>
      <name val="Tahoma"/>
      <family val="2"/>
    </font>
    <font>
      <sz val="12"/>
      <color theme="1"/>
      <name val="Arial"/>
      <family val="2"/>
    </font>
    <font>
      <b/>
      <sz val="12"/>
      <color theme="0"/>
      <name val="Tahoma"/>
      <family val="2"/>
    </font>
    <font>
      <sz val="12"/>
      <color theme="8" tint="0.39997558519241921"/>
      <name val="Calibri"/>
      <family val="2"/>
      <scheme val="minor"/>
    </font>
    <font>
      <sz val="12"/>
      <name val="Arial"/>
      <family val="2"/>
    </font>
    <font>
      <b/>
      <sz val="12"/>
      <color theme="4" tint="-0.249977111117893"/>
      <name val="Tahoma"/>
      <family val="2"/>
    </font>
    <font>
      <sz val="12"/>
      <color theme="4" tint="-0.249977111117893"/>
      <name val="Arial"/>
      <family val="2"/>
    </font>
    <font>
      <sz val="12"/>
      <color rgb="FF2D2E83"/>
      <name val="Tahoma"/>
      <family val="2"/>
    </font>
    <font>
      <sz val="11"/>
      <color rgb="FF2D2E83"/>
      <name val="Tahoma"/>
      <family val="2"/>
    </font>
    <font>
      <b/>
      <sz val="12"/>
      <color rgb="FF0095EB"/>
      <name val="Tahoma"/>
      <family val="2"/>
    </font>
    <font>
      <b/>
      <sz val="12"/>
      <color theme="1"/>
      <name val="Arial"/>
      <family val="2"/>
    </font>
    <font>
      <sz val="12"/>
      <name val="Calibri"/>
      <family val="2"/>
      <scheme val="minor"/>
    </font>
    <font>
      <b/>
      <sz val="14"/>
      <color theme="0"/>
      <name val="Arial"/>
      <family val="2"/>
    </font>
    <font>
      <sz val="12"/>
      <color rgb="FF2D2E83"/>
      <name val="Calibri"/>
      <family val="2"/>
      <scheme val="minor"/>
    </font>
    <font>
      <sz val="12"/>
      <color rgb="FF2D2E83"/>
      <name val="Arial"/>
      <family val="2"/>
    </font>
    <font>
      <sz val="12"/>
      <color theme="8" tint="-0.499984740745262"/>
      <name val="Calibri"/>
      <family val="2"/>
      <scheme val="minor"/>
    </font>
    <font>
      <sz val="12"/>
      <color rgb="FF0095EB"/>
      <name val="Tahoma"/>
      <family val="2"/>
    </font>
    <font>
      <i/>
      <sz val="8"/>
      <color rgb="FF2D2E83"/>
      <name val="Tahoma"/>
      <family val="2"/>
    </font>
    <font>
      <i/>
      <sz val="8"/>
      <color theme="4" tint="-0.499984740745262"/>
      <name val="Arial"/>
      <family val="2"/>
    </font>
    <font>
      <b/>
      <sz val="12"/>
      <name val="Calibri"/>
      <family val="2"/>
      <scheme val="minor"/>
    </font>
    <font>
      <sz val="12"/>
      <color theme="4" tint="-0.249977111117893"/>
      <name val="Tahoma"/>
      <family val="2"/>
    </font>
    <font>
      <b/>
      <sz val="12"/>
      <color theme="0"/>
      <name val="Arial"/>
      <family val="2"/>
    </font>
    <font>
      <b/>
      <sz val="11"/>
      <color rgb="FF2D2E83"/>
      <name val="Tahoma"/>
      <family val="2"/>
    </font>
    <font>
      <sz val="12"/>
      <color theme="1"/>
      <name val="Tahoma"/>
      <family val="2"/>
    </font>
    <font>
      <b/>
      <sz val="11"/>
      <color theme="4" tint="-0.249977111117893"/>
      <name val="Arial"/>
      <family val="2"/>
    </font>
    <font>
      <b/>
      <sz val="12"/>
      <color theme="4" tint="-0.499984740745262"/>
      <name val="Tahoma"/>
      <family val="2"/>
    </font>
    <font>
      <sz val="12"/>
      <color theme="4" tint="-0.499984740745262"/>
      <name val="Tahoma"/>
      <family val="2"/>
    </font>
    <font>
      <b/>
      <sz val="10"/>
      <color rgb="FF2D2E83"/>
      <name val="Tahoma"/>
      <family val="2"/>
    </font>
    <font>
      <sz val="12"/>
      <color rgb="FF1E1E1E"/>
      <name val="Segoe UI"/>
      <family val="2"/>
    </font>
    <font>
      <b/>
      <sz val="20"/>
      <color theme="1"/>
      <name val="Calibri"/>
      <family val="2"/>
      <scheme val="minor"/>
    </font>
    <font>
      <sz val="16"/>
      <color theme="1"/>
      <name val="Calibri"/>
      <family val="2"/>
      <scheme val="minor"/>
    </font>
    <font>
      <sz val="12"/>
      <color rgb="FFFF0000"/>
      <name val="Calibri"/>
      <family val="2"/>
      <scheme val="minor"/>
    </font>
    <font>
      <sz val="8"/>
      <name val="Arial"/>
      <family val="2"/>
    </font>
    <font>
      <b/>
      <sz val="8"/>
      <color theme="1"/>
      <name val="Arial"/>
      <family val="2"/>
    </font>
    <font>
      <b/>
      <sz val="12"/>
      <color theme="4" tint="-0.499984740745262"/>
      <name val="Calibri"/>
      <family val="2"/>
      <scheme val="minor"/>
    </font>
    <font>
      <sz val="11"/>
      <name val="Calibri"/>
      <family val="2"/>
      <scheme val="minor"/>
    </font>
    <font>
      <sz val="11"/>
      <name val="Calibri"/>
      <family val="2"/>
    </font>
    <font>
      <b/>
      <sz val="10"/>
      <name val="Calibri"/>
      <family val="2"/>
      <scheme val="minor"/>
    </font>
    <font>
      <u/>
      <sz val="12"/>
      <color theme="10"/>
      <name val="Calibri"/>
      <family val="2"/>
      <scheme val="minor"/>
    </font>
    <font>
      <b/>
      <sz val="16"/>
      <color rgb="FF2D2E83"/>
      <name val="Calibri"/>
      <family val="2"/>
      <scheme val="minor"/>
    </font>
    <font>
      <sz val="11"/>
      <color theme="4" tint="-0.249977111117893"/>
      <name val="Calibri"/>
      <family val="2"/>
      <scheme val="minor"/>
    </font>
    <font>
      <sz val="11"/>
      <color rgb="FFFF0000"/>
      <name val="Wingdings 2"/>
      <family val="1"/>
      <charset val="2"/>
    </font>
    <font>
      <u/>
      <sz val="11"/>
      <color theme="10"/>
      <name val="Calibri"/>
      <family val="2"/>
      <scheme val="minor"/>
    </font>
    <font>
      <sz val="11"/>
      <color theme="10"/>
      <name val="Calibri"/>
      <family val="2"/>
      <scheme val="minor"/>
    </font>
    <font>
      <b/>
      <sz val="18"/>
      <color theme="0"/>
      <name val="Calibri"/>
      <family val="2"/>
      <scheme val="minor"/>
    </font>
    <font>
      <b/>
      <sz val="14"/>
      <name val="Arial"/>
      <family val="2"/>
    </font>
    <font>
      <b/>
      <u/>
      <sz val="16"/>
      <name val="Arial"/>
      <family val="2"/>
    </font>
    <font>
      <sz val="16"/>
      <name val="Arial"/>
      <family val="2"/>
    </font>
    <font>
      <sz val="14"/>
      <name val="Arial"/>
      <family val="2"/>
    </font>
    <font>
      <b/>
      <sz val="14"/>
      <name val="Geneva"/>
      <family val="2"/>
    </font>
    <font>
      <sz val="8"/>
      <color rgb="FFFF0000"/>
      <name val="Arial"/>
      <family val="2"/>
    </font>
    <font>
      <b/>
      <sz val="14"/>
      <color theme="1"/>
      <name val="Arial"/>
      <family val="2"/>
    </font>
    <font>
      <b/>
      <sz val="18"/>
      <color theme="4" tint="-0.499984740745262"/>
      <name val="Calibri"/>
      <family val="2"/>
      <scheme val="minor"/>
    </font>
    <font>
      <b/>
      <u/>
      <sz val="18"/>
      <color theme="4" tint="-0.499984740745262"/>
      <name val="Calibri"/>
      <family val="2"/>
      <scheme val="minor"/>
    </font>
    <font>
      <u/>
      <sz val="12"/>
      <color theme="4" tint="-0.499984740745262"/>
      <name val="Calibri"/>
      <family val="2"/>
      <scheme val="minor"/>
    </font>
    <font>
      <b/>
      <sz val="16"/>
      <color theme="4" tint="-0.499984740745262"/>
      <name val="Calibri"/>
      <family val="2"/>
      <scheme val="minor"/>
    </font>
    <font>
      <b/>
      <sz val="14"/>
      <color theme="8" tint="-0.499984740745262"/>
      <name val="Calibri"/>
      <family val="2"/>
      <scheme val="minor"/>
    </font>
    <font>
      <i/>
      <sz val="10"/>
      <color theme="8" tint="-0.499984740745262"/>
      <name val="Calibri"/>
      <family val="2"/>
      <scheme val="minor"/>
    </font>
    <font>
      <b/>
      <sz val="8"/>
      <color rgb="FF00B050"/>
      <name val="Arial"/>
      <family val="2"/>
    </font>
    <font>
      <b/>
      <sz val="11"/>
      <color theme="4" tint="-0.249977111117893"/>
      <name val="Calibri"/>
      <family val="2"/>
      <scheme val="minor"/>
    </font>
    <font>
      <sz val="18"/>
      <color theme="4" tint="-0.499984740745262"/>
      <name val="Calibri"/>
      <family val="2"/>
      <scheme val="minor"/>
    </font>
  </fonts>
  <fills count="26">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rgb="FFFFFFFF"/>
        <bgColor indexed="64"/>
      </patternFill>
    </fill>
    <fill>
      <patternFill patternType="solid">
        <fgColor rgb="FFEDEDED"/>
        <bgColor indexed="64"/>
      </patternFill>
    </fill>
    <fill>
      <patternFill patternType="solid">
        <fgColor theme="4" tint="0.79998168889431442"/>
        <bgColor indexed="64"/>
      </patternFill>
    </fill>
    <fill>
      <patternFill patternType="solid">
        <fgColor rgb="FFC6EFCE"/>
      </patternFill>
    </fill>
    <fill>
      <patternFill patternType="solid">
        <fgColor theme="4" tint="-0.249977111117893"/>
        <bgColor indexed="64"/>
      </patternFill>
    </fill>
    <fill>
      <patternFill patternType="solid">
        <fgColor theme="0"/>
        <bgColor theme="4" tint="0.79998168889431442"/>
      </patternFill>
    </fill>
    <fill>
      <patternFill patternType="solid">
        <fgColor theme="4" tint="0.39997558519241921"/>
        <bgColor indexed="65"/>
      </patternFill>
    </fill>
    <fill>
      <patternFill patternType="solid">
        <fgColor theme="4" tint="0.59999389629810485"/>
        <bgColor indexed="64"/>
      </patternFill>
    </fill>
    <fill>
      <patternFill patternType="solid">
        <fgColor rgb="FF0095EB"/>
        <bgColor indexed="64"/>
      </patternFill>
    </fill>
    <fill>
      <patternFill patternType="solid">
        <fgColor rgb="FFFF0000"/>
        <bgColor indexed="64"/>
      </patternFill>
    </fill>
    <fill>
      <patternFill patternType="solid">
        <fgColor theme="6" tint="0.59999389629810485"/>
        <bgColor indexed="64"/>
      </patternFill>
    </fill>
    <fill>
      <patternFill patternType="solid">
        <fgColor rgb="FFC6EFCE"/>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theme="0" tint="-0.14999847407452621"/>
        <bgColor indexed="64"/>
      </patternFill>
    </fill>
    <fill>
      <patternFill patternType="solid">
        <fgColor rgb="FF00B050"/>
        <bgColor indexed="64"/>
      </patternFill>
    </fill>
    <fill>
      <patternFill patternType="solid">
        <fgColor rgb="FF92D050"/>
        <bgColor indexed="64"/>
      </patternFill>
    </fill>
    <fill>
      <patternFill patternType="solid">
        <fgColor rgb="FF99CCFF"/>
        <bgColor indexed="64"/>
      </patternFill>
    </fill>
    <fill>
      <patternFill patternType="solid">
        <fgColor rgb="FF00CCFF"/>
        <bgColor indexed="64"/>
      </patternFill>
    </fill>
    <fill>
      <patternFill patternType="solid">
        <fgColor rgb="FFFFFF00"/>
        <bgColor indexed="64"/>
      </patternFill>
    </fill>
  </fills>
  <borders count="84">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rgb="FFDDDDDD"/>
      </left>
      <right style="medium">
        <color rgb="FFDDDDDD"/>
      </right>
      <top style="medium">
        <color rgb="FFDDDDDD"/>
      </top>
      <bottom style="medium">
        <color rgb="FFDDDDDD"/>
      </bottom>
      <diagonal/>
    </border>
    <border>
      <left style="medium">
        <color rgb="FFDDDDDD"/>
      </left>
      <right style="medium">
        <color rgb="FFCCCCCC"/>
      </right>
      <top style="medium">
        <color rgb="FFDDDDDD"/>
      </top>
      <bottom style="medium">
        <color rgb="FFCCCCCC"/>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style="thin">
        <color auto="1"/>
      </right>
      <top style="thin">
        <color auto="1"/>
      </top>
      <bottom/>
      <diagonal/>
    </border>
    <border>
      <left/>
      <right/>
      <top/>
      <bottom style="thick">
        <color theme="4"/>
      </bottom>
      <diagonal/>
    </border>
    <border>
      <left style="medium">
        <color indexed="64"/>
      </left>
      <right/>
      <top/>
      <bottom/>
      <diagonal/>
    </border>
    <border>
      <left/>
      <right style="thin">
        <color indexed="64"/>
      </right>
      <top/>
      <bottom/>
      <diagonal/>
    </border>
    <border>
      <left style="thin">
        <color indexed="64"/>
      </left>
      <right/>
      <top/>
      <bottom/>
      <diagonal/>
    </border>
    <border>
      <left/>
      <right style="thin">
        <color theme="4" tint="-0.249977111117893"/>
      </right>
      <top/>
      <bottom/>
      <diagonal/>
    </border>
    <border>
      <left style="thin">
        <color theme="4" tint="-0.249977111117893"/>
      </left>
      <right/>
      <top style="thin">
        <color theme="4" tint="-0.249977111117893"/>
      </top>
      <bottom style="thin">
        <color theme="4" tint="-0.249977111117893"/>
      </bottom>
      <diagonal/>
    </border>
    <border>
      <left/>
      <right/>
      <top style="thin">
        <color theme="4" tint="-0.249977111117893"/>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style="medium">
        <color indexed="64"/>
      </left>
      <right style="thin">
        <color indexed="64"/>
      </right>
      <top/>
      <bottom/>
      <diagonal/>
    </border>
    <border>
      <left style="thin">
        <color indexed="64"/>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top/>
      <bottom style="thin">
        <color theme="4" tint="-0.249977111117893"/>
      </bottom>
      <diagonal/>
    </border>
    <border>
      <left style="thin">
        <color rgb="FF2D2E83"/>
      </left>
      <right style="thin">
        <color rgb="FF2D2E83"/>
      </right>
      <top style="thin">
        <color rgb="FF2D2E83"/>
      </top>
      <bottom style="thin">
        <color rgb="FF2D2E83"/>
      </bottom>
      <diagonal/>
    </border>
    <border>
      <left style="thin">
        <color rgb="FF2D2E83"/>
      </left>
      <right/>
      <top/>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top style="thin">
        <color theme="4" tint="-0.249977111117893"/>
      </top>
      <bottom/>
      <diagonal/>
    </border>
    <border>
      <left style="thin">
        <color theme="4" tint="-0.249977111117893"/>
      </left>
      <right style="thin">
        <color indexed="64"/>
      </right>
      <top/>
      <bottom/>
      <diagonal/>
    </border>
    <border>
      <left style="thin">
        <color rgb="FF2D2E83"/>
      </left>
      <right style="thin">
        <color rgb="FF2D2E83"/>
      </right>
      <top/>
      <bottom/>
      <diagonal/>
    </border>
    <border>
      <left/>
      <right/>
      <top style="thin">
        <color theme="4" tint="-0.249977111117893"/>
      </top>
      <bottom/>
      <diagonal/>
    </border>
    <border>
      <left/>
      <right/>
      <top style="thin">
        <color rgb="FF2D2E83"/>
      </top>
      <bottom/>
      <diagonal/>
    </border>
    <border>
      <left/>
      <right style="thin">
        <color theme="4" tint="-0.24994659260841701"/>
      </right>
      <top/>
      <bottom/>
      <diagonal/>
    </border>
    <border>
      <left/>
      <right/>
      <top style="medium">
        <color indexed="64"/>
      </top>
      <bottom/>
      <diagonal/>
    </border>
    <border>
      <left/>
      <right/>
      <top/>
      <bottom style="medium">
        <color indexed="64"/>
      </bottom>
      <diagonal/>
    </border>
    <border>
      <left style="thin">
        <color theme="4" tint="-0.249977111117893"/>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theme="8" tint="-0.499984740745262"/>
      </left>
      <right style="thin">
        <color theme="8" tint="-0.499984740745262"/>
      </right>
      <top style="thin">
        <color theme="8" tint="-0.499984740745262"/>
      </top>
      <bottom style="thin">
        <color theme="8" tint="-0.499984740745262"/>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auto="1"/>
      </left>
      <right style="medium">
        <color auto="1"/>
      </right>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auto="1"/>
      </left>
      <right style="medium">
        <color auto="1"/>
      </right>
      <top/>
      <bottom style="medium">
        <color auto="1"/>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theme="4" tint="0.59996337778862885"/>
      </left>
      <right style="thin">
        <color theme="4" tint="0.59996337778862885"/>
      </right>
      <top style="thin">
        <color theme="4" tint="0.59996337778862885"/>
      </top>
      <bottom/>
      <diagonal/>
    </border>
    <border>
      <left style="thin">
        <color theme="4" tint="0.59996337778862885"/>
      </left>
      <right style="thin">
        <color theme="4" tint="0.59996337778862885"/>
      </right>
      <top style="medium">
        <color theme="4" tint="0.59996337778862885"/>
      </top>
      <bottom style="thin">
        <color theme="4" tint="0.59996337778862885"/>
      </bottom>
      <diagonal/>
    </border>
    <border>
      <left style="thin">
        <color theme="4" tint="0.59996337778862885"/>
      </left>
      <right style="medium">
        <color theme="4" tint="0.59996337778862885"/>
      </right>
      <top style="medium">
        <color theme="4" tint="0.59996337778862885"/>
      </top>
      <bottom style="thin">
        <color theme="4" tint="0.59996337778862885"/>
      </bottom>
      <diagonal/>
    </border>
    <border>
      <left style="thin">
        <color theme="4" tint="0.59996337778862885"/>
      </left>
      <right style="medium">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medium">
        <color theme="4" tint="0.59996337778862885"/>
      </bottom>
      <diagonal/>
    </border>
    <border>
      <left style="thin">
        <color theme="4" tint="0.59996337778862885"/>
      </left>
      <right style="medium">
        <color theme="4" tint="0.59996337778862885"/>
      </right>
      <top style="thin">
        <color theme="4" tint="0.59996337778862885"/>
      </top>
      <bottom style="medium">
        <color theme="4" tint="0.59996337778862885"/>
      </bottom>
      <diagonal/>
    </border>
    <border>
      <left style="medium">
        <color theme="4" tint="0.59996337778862885"/>
      </left>
      <right style="thin">
        <color theme="4" tint="0.59996337778862885"/>
      </right>
      <top style="medium">
        <color theme="4" tint="0.59996337778862885"/>
      </top>
      <bottom style="medium">
        <color theme="4" tint="0.59996337778862885"/>
      </bottom>
      <diagonal/>
    </border>
    <border>
      <left style="thin">
        <color theme="4" tint="0.59996337778862885"/>
      </left>
      <right style="thin">
        <color theme="4" tint="0.59996337778862885"/>
      </right>
      <top style="medium">
        <color theme="4" tint="0.59996337778862885"/>
      </top>
      <bottom style="medium">
        <color theme="4" tint="0.59996337778862885"/>
      </bottom>
      <diagonal/>
    </border>
    <border>
      <left style="thin">
        <color theme="4" tint="0.59996337778862885"/>
      </left>
      <right style="medium">
        <color theme="4" tint="0.59996337778862885"/>
      </right>
      <top style="medium">
        <color theme="4" tint="0.59996337778862885"/>
      </top>
      <bottom style="medium">
        <color theme="4" tint="0.59996337778862885"/>
      </bottom>
      <diagonal/>
    </border>
    <border>
      <left style="medium">
        <color theme="4" tint="0.59996337778862885"/>
      </left>
      <right style="thin">
        <color theme="4" tint="0.59996337778862885"/>
      </right>
      <top style="medium">
        <color theme="4" tint="0.59996337778862885"/>
      </top>
      <bottom/>
      <diagonal/>
    </border>
    <border>
      <left style="medium">
        <color theme="4" tint="0.59996337778862885"/>
      </left>
      <right style="thin">
        <color theme="4" tint="0.59996337778862885"/>
      </right>
      <top/>
      <bottom/>
      <diagonal/>
    </border>
    <border>
      <left style="medium">
        <color theme="4" tint="0.59996337778862885"/>
      </left>
      <right style="thin">
        <color theme="4" tint="0.59996337778862885"/>
      </right>
      <top/>
      <bottom style="medium">
        <color theme="4" tint="0.59996337778862885"/>
      </bottom>
      <diagonal/>
    </border>
    <border>
      <left style="thin">
        <color theme="4" tint="0.59996337778862885"/>
      </left>
      <right/>
      <top style="thin">
        <color theme="4" tint="0.59996337778862885"/>
      </top>
      <bottom style="medium">
        <color theme="4" tint="0.59996337778862885"/>
      </bottom>
      <diagonal/>
    </border>
    <border>
      <left/>
      <right style="thin">
        <color theme="4" tint="0.59996337778862885"/>
      </right>
      <top style="thin">
        <color theme="4" tint="0.59996337778862885"/>
      </top>
      <bottom style="medium">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top style="thin">
        <color theme="4" tint="0.59996337778862885"/>
      </top>
      <bottom style="thin">
        <color theme="4" tint="0.59996337778862885"/>
      </bottom>
      <diagonal/>
    </border>
    <border>
      <left/>
      <right style="medium">
        <color theme="4" tint="0.59996337778862885"/>
      </right>
      <top style="thin">
        <color theme="4" tint="0.59996337778862885"/>
      </top>
      <bottom style="thin">
        <color theme="4" tint="0.59996337778862885"/>
      </bottom>
      <diagonal/>
    </border>
    <border>
      <left/>
      <right/>
      <top style="thin">
        <color theme="4" tint="0.59996337778862885"/>
      </top>
      <bottom style="medium">
        <color theme="4" tint="0.59996337778862885"/>
      </bottom>
      <diagonal/>
    </border>
    <border>
      <left/>
      <right style="medium">
        <color theme="4" tint="0.59996337778862885"/>
      </right>
      <top style="thin">
        <color theme="4" tint="0.59996337778862885"/>
      </top>
      <bottom style="medium">
        <color theme="4" tint="0.59996337778862885"/>
      </bottom>
      <diagonal/>
    </border>
    <border>
      <left style="thin">
        <color theme="4" tint="0.59996337778862885"/>
      </left>
      <right style="thin">
        <color theme="4" tint="0.59996337778862885"/>
      </right>
      <top/>
      <bottom style="medium">
        <color theme="4" tint="0.59996337778862885"/>
      </bottom>
      <diagonal/>
    </border>
  </borders>
  <cellStyleXfs count="41">
    <xf numFmtId="0" fontId="0" fillId="0" borderId="0"/>
    <xf numFmtId="164" fontId="9" fillId="0" borderId="0" applyFont="0" applyFill="0" applyBorder="0" applyAlignment="0" applyProtection="0"/>
    <xf numFmtId="9" fontId="9" fillId="0" borderId="0" applyFont="0" applyFill="0" applyBorder="0" applyAlignment="0" applyProtection="0"/>
    <xf numFmtId="0" fontId="8" fillId="0" borderId="0"/>
    <xf numFmtId="9" fontId="8" fillId="0" borderId="0" applyFont="0" applyFill="0" applyBorder="0" applyAlignment="0" applyProtection="0"/>
    <xf numFmtId="42" fontId="8" fillId="0" borderId="0" applyFont="0" applyFill="0" applyBorder="0" applyAlignment="0" applyProtection="0"/>
    <xf numFmtId="41" fontId="8" fillId="0" borderId="0" applyFont="0" applyFill="0" applyBorder="0" applyAlignment="0" applyProtection="0"/>
    <xf numFmtId="41" fontId="9" fillId="0" borderId="0" applyFont="0" applyFill="0" applyBorder="0" applyAlignment="0" applyProtection="0"/>
    <xf numFmtId="0" fontId="15" fillId="7" borderId="0" applyNumberFormat="0" applyBorder="0" applyAlignment="0" applyProtection="0"/>
    <xf numFmtId="0" fontId="9" fillId="0" borderId="0"/>
    <xf numFmtId="9" fontId="9" fillId="0" borderId="0" applyFont="0" applyFill="0" applyBorder="0" applyAlignment="0" applyProtection="0"/>
    <xf numFmtId="0" fontId="7" fillId="0" borderId="0"/>
    <xf numFmtId="9" fontId="7" fillId="0" borderId="0" applyFont="0" applyFill="0" applyBorder="0" applyAlignment="0" applyProtection="0"/>
    <xf numFmtId="164" fontId="9" fillId="0" borderId="0" applyFont="0" applyFill="0" applyBorder="0" applyAlignment="0" applyProtection="0"/>
    <xf numFmtId="0" fontId="7" fillId="0" borderId="0"/>
    <xf numFmtId="42" fontId="7" fillId="0" borderId="0" applyFont="0" applyFill="0" applyBorder="0" applyAlignment="0" applyProtection="0"/>
    <xf numFmtId="0" fontId="9" fillId="0" borderId="0"/>
    <xf numFmtId="0" fontId="7" fillId="0" borderId="0"/>
    <xf numFmtId="9" fontId="7" fillId="0" borderId="0" applyFont="0" applyFill="0" applyBorder="0" applyAlignment="0" applyProtection="0"/>
    <xf numFmtId="0" fontId="7" fillId="0" borderId="0"/>
    <xf numFmtId="42" fontId="7" fillId="0" borderId="0" applyFont="0" applyFill="0" applyBorder="0" applyAlignment="0" applyProtection="0"/>
    <xf numFmtId="42" fontId="6" fillId="0" borderId="0" applyFont="0" applyFill="0" applyBorder="0" applyAlignment="0" applyProtection="0"/>
    <xf numFmtId="0" fontId="6" fillId="0" borderId="0"/>
    <xf numFmtId="0" fontId="20" fillId="0" borderId="0"/>
    <xf numFmtId="0" fontId="21" fillId="0" borderId="0"/>
    <xf numFmtId="9" fontId="6" fillId="0" borderId="0" applyFont="0" applyFill="0" applyBorder="0" applyAlignment="0" applyProtection="0"/>
    <xf numFmtId="0" fontId="5" fillId="0" borderId="0"/>
    <xf numFmtId="42" fontId="5" fillId="0" borderId="0" applyFont="0" applyFill="0" applyBorder="0" applyAlignment="0" applyProtection="0"/>
    <xf numFmtId="0" fontId="26" fillId="0" borderId="17" applyNumberFormat="0" applyFill="0" applyAlignment="0" applyProtection="0"/>
    <xf numFmtId="0" fontId="16" fillId="10" borderId="0" applyNumberFormat="0" applyBorder="0" applyAlignment="0" applyProtection="0"/>
    <xf numFmtId="42" fontId="4" fillId="0" borderId="0" applyFont="0" applyFill="0" applyBorder="0" applyAlignment="0" applyProtection="0"/>
    <xf numFmtId="0" fontId="4" fillId="0" borderId="0"/>
    <xf numFmtId="9" fontId="4" fillId="0" borderId="0" applyFont="0" applyFill="0" applyBorder="0" applyAlignment="0" applyProtection="0"/>
    <xf numFmtId="42" fontId="3" fillId="0" borderId="0" applyFont="0" applyFill="0" applyBorder="0" applyAlignment="0" applyProtection="0"/>
    <xf numFmtId="0" fontId="73" fillId="0" borderId="0" applyNumberFormat="0" applyFill="0" applyBorder="0" applyAlignment="0" applyProtection="0"/>
    <xf numFmtId="0" fontId="2" fillId="0" borderId="0"/>
    <xf numFmtId="0" fontId="77" fillId="0" borderId="0" applyNumberFormat="0" applyFill="0" applyBorder="0" applyAlignment="0" applyProtection="0"/>
    <xf numFmtId="0" fontId="2" fillId="0" borderId="0"/>
    <xf numFmtId="173" fontId="20" fillId="0" borderId="0" applyFont="0" applyFill="0" applyBorder="0" applyAlignment="0" applyProtection="0"/>
    <xf numFmtId="0" fontId="21" fillId="0" borderId="0"/>
    <xf numFmtId="0" fontId="1" fillId="0" borderId="0"/>
  </cellStyleXfs>
  <cellXfs count="533">
    <xf numFmtId="0" fontId="0" fillId="0" borderId="0" xfId="0"/>
    <xf numFmtId="0" fontId="0" fillId="3" borderId="0" xfId="0" applyFill="1" applyAlignment="1">
      <alignment horizontal="center" vertical="center"/>
    </xf>
    <xf numFmtId="3" fontId="12" fillId="4" borderId="6" xfId="0" applyNumberFormat="1" applyFont="1" applyFill="1" applyBorder="1" applyAlignment="1">
      <alignment horizontal="center" vertical="center" wrapText="1"/>
    </xf>
    <xf numFmtId="14" fontId="11" fillId="5" borderId="7" xfId="0" applyNumberFormat="1" applyFont="1" applyFill="1" applyBorder="1" applyAlignment="1">
      <alignment horizontal="center" vertical="center" wrapText="1"/>
    </xf>
    <xf numFmtId="0" fontId="0" fillId="3" borderId="0" xfId="0" applyFill="1"/>
    <xf numFmtId="0" fontId="13" fillId="0" borderId="0" xfId="0" applyFont="1" applyAlignment="1">
      <alignment horizontal="center" vertical="center" wrapText="1"/>
    </xf>
    <xf numFmtId="165" fontId="13" fillId="0" borderId="0" xfId="0" applyNumberFormat="1" applyFont="1" applyAlignment="1">
      <alignment horizontal="center" vertical="center" wrapText="1"/>
    </xf>
    <xf numFmtId="1" fontId="13" fillId="0" borderId="0" xfId="0" applyNumberFormat="1" applyFont="1" applyAlignment="1">
      <alignment horizontal="center" vertical="center" wrapText="1"/>
    </xf>
    <xf numFmtId="0" fontId="9" fillId="3" borderId="0" xfId="9" applyFill="1"/>
    <xf numFmtId="9" fontId="0" fillId="3" borderId="0" xfId="10" applyFont="1" applyFill="1"/>
    <xf numFmtId="0" fontId="0" fillId="3" borderId="1" xfId="9" applyFont="1" applyFill="1" applyBorder="1" applyAlignment="1">
      <alignment horizontal="center"/>
    </xf>
    <xf numFmtId="0" fontId="17" fillId="9" borderId="1" xfId="9" applyFont="1" applyFill="1" applyBorder="1" applyAlignment="1">
      <alignment horizontal="center"/>
    </xf>
    <xf numFmtId="168" fontId="7" fillId="0" borderId="13" xfId="11" applyNumberFormat="1" applyBorder="1" applyAlignment="1">
      <alignment horizontal="center" wrapText="1"/>
    </xf>
    <xf numFmtId="9" fontId="17" fillId="9" borderId="1" xfId="12" applyFont="1" applyFill="1" applyBorder="1" applyAlignment="1">
      <alignment horizontal="center"/>
    </xf>
    <xf numFmtId="169" fontId="17" fillId="9" borderId="1" xfId="12" applyNumberFormat="1" applyFont="1" applyFill="1" applyBorder="1" applyAlignment="1">
      <alignment horizontal="center"/>
    </xf>
    <xf numFmtId="167" fontId="7" fillId="0" borderId="1" xfId="13" applyNumberFormat="1" applyFont="1" applyBorder="1" applyAlignment="1">
      <alignment horizontal="center"/>
    </xf>
    <xf numFmtId="0" fontId="9" fillId="0" borderId="1" xfId="9" applyBorder="1" applyAlignment="1">
      <alignment horizontal="center"/>
    </xf>
    <xf numFmtId="167" fontId="9" fillId="0" borderId="1" xfId="9" applyNumberFormat="1" applyBorder="1" applyAlignment="1">
      <alignment horizontal="center"/>
    </xf>
    <xf numFmtId="0" fontId="9" fillId="3" borderId="0" xfId="16" applyFill="1"/>
    <xf numFmtId="0" fontId="9" fillId="3" borderId="0" xfId="16" applyFill="1" applyAlignment="1">
      <alignment horizontal="center"/>
    </xf>
    <xf numFmtId="0" fontId="23" fillId="3" borderId="0" xfId="0" applyFont="1" applyFill="1" applyAlignment="1">
      <alignment horizontal="center" vertical="center"/>
    </xf>
    <xf numFmtId="0" fontId="17" fillId="9" borderId="0" xfId="16" applyFont="1" applyFill="1" applyAlignment="1">
      <alignment horizontal="center" vertical="center"/>
    </xf>
    <xf numFmtId="0" fontId="25" fillId="3" borderId="0" xfId="0" applyFont="1" applyFill="1" applyAlignment="1">
      <alignment horizontal="center" vertical="center"/>
    </xf>
    <xf numFmtId="10" fontId="23" fillId="3" borderId="0" xfId="2" applyNumberFormat="1" applyFont="1" applyFill="1" applyAlignment="1">
      <alignment horizontal="center" vertical="center"/>
    </xf>
    <xf numFmtId="10" fontId="25" fillId="3" borderId="0" xfId="2" applyNumberFormat="1" applyFont="1" applyFill="1" applyAlignment="1">
      <alignment horizontal="center" vertical="center"/>
    </xf>
    <xf numFmtId="41" fontId="13" fillId="0" borderId="0" xfId="7" applyFont="1" applyAlignment="1">
      <alignment horizontal="center" vertical="center" wrapText="1"/>
    </xf>
    <xf numFmtId="1" fontId="17" fillId="9" borderId="1" xfId="9" applyNumberFormat="1" applyFont="1" applyFill="1" applyBorder="1" applyAlignment="1">
      <alignment horizontal="center"/>
    </xf>
    <xf numFmtId="0" fontId="46" fillId="3" borderId="0" xfId="16" applyFont="1" applyFill="1"/>
    <xf numFmtId="0" fontId="27" fillId="3" borderId="0" xfId="16" applyFont="1" applyFill="1"/>
    <xf numFmtId="0" fontId="46" fillId="3" borderId="0" xfId="16" applyFont="1" applyFill="1" applyAlignment="1">
      <alignment horizontal="center"/>
    </xf>
    <xf numFmtId="167" fontId="9" fillId="3" borderId="0" xfId="9" applyNumberFormat="1" applyFill="1" applyAlignment="1">
      <alignment horizontal="center"/>
    </xf>
    <xf numFmtId="42" fontId="15" fillId="3" borderId="0" xfId="8" applyNumberFormat="1" applyFill="1" applyBorder="1" applyAlignment="1">
      <alignment horizontal="center" vertical="center" wrapText="1"/>
    </xf>
    <xf numFmtId="0" fontId="18" fillId="3" borderId="0" xfId="16" applyFont="1" applyFill="1" applyAlignment="1">
      <alignment horizontal="center" vertical="center"/>
    </xf>
    <xf numFmtId="164" fontId="9" fillId="3" borderId="0" xfId="1" applyFill="1" applyAlignment="1">
      <alignment horizontal="center" vertical="center"/>
    </xf>
    <xf numFmtId="0" fontId="9" fillId="3" borderId="0" xfId="16" applyFill="1" applyAlignment="1">
      <alignment horizontal="center" vertical="center"/>
    </xf>
    <xf numFmtId="164" fontId="9" fillId="3" borderId="0" xfId="1" applyFill="1"/>
    <xf numFmtId="164" fontId="18" fillId="3" borderId="0" xfId="1" applyFont="1" applyFill="1" applyAlignment="1">
      <alignment horizontal="center" vertical="center"/>
    </xf>
    <xf numFmtId="167" fontId="9" fillId="0" borderId="0" xfId="9" applyNumberFormat="1" applyAlignment="1">
      <alignment horizontal="center"/>
    </xf>
    <xf numFmtId="0" fontId="65" fillId="3" borderId="0" xfId="16" applyFont="1" applyFill="1"/>
    <xf numFmtId="0" fontId="66" fillId="3" borderId="0" xfId="16" applyFont="1" applyFill="1"/>
    <xf numFmtId="0" fontId="66" fillId="3" borderId="0" xfId="16" applyFont="1" applyFill="1" applyAlignment="1">
      <alignment horizontal="center"/>
    </xf>
    <xf numFmtId="164" fontId="23" fillId="3" borderId="0" xfId="1" applyFont="1" applyFill="1" applyAlignment="1">
      <alignment horizontal="center" vertical="center"/>
    </xf>
    <xf numFmtId="164" fontId="0" fillId="3" borderId="0" xfId="0" applyNumberFormat="1" applyFill="1"/>
    <xf numFmtId="164" fontId="9" fillId="3" borderId="0" xfId="16" applyNumberFormat="1" applyFill="1"/>
    <xf numFmtId="0" fontId="36" fillId="0" borderId="0" xfId="0" applyFont="1" applyAlignment="1">
      <alignment horizontal="center" vertical="center"/>
    </xf>
    <xf numFmtId="164" fontId="36" fillId="0" borderId="0" xfId="0" applyNumberFormat="1" applyFont="1" applyAlignment="1">
      <alignment horizontal="center" vertical="center"/>
    </xf>
    <xf numFmtId="0" fontId="13" fillId="0" borderId="0" xfId="0" applyFont="1" applyAlignment="1">
      <alignment horizontal="center" vertical="center"/>
    </xf>
    <xf numFmtId="2" fontId="36" fillId="0" borderId="0" xfId="0" applyNumberFormat="1" applyFont="1" applyAlignment="1">
      <alignment horizontal="left" vertical="center"/>
    </xf>
    <xf numFmtId="0" fontId="36" fillId="0" borderId="0" xfId="0" applyFont="1" applyAlignment="1">
      <alignment horizontal="left" vertical="center"/>
    </xf>
    <xf numFmtId="164" fontId="36" fillId="0" borderId="0" xfId="1" applyFont="1" applyAlignment="1">
      <alignment horizontal="center" vertical="center"/>
    </xf>
    <xf numFmtId="170" fontId="36" fillId="0" borderId="0" xfId="1" applyNumberFormat="1" applyFont="1" applyAlignment="1">
      <alignment horizontal="center" vertical="center"/>
    </xf>
    <xf numFmtId="44" fontId="36" fillId="0" borderId="0" xfId="0" applyNumberFormat="1" applyFont="1" applyAlignment="1">
      <alignment horizontal="center" vertical="center"/>
    </xf>
    <xf numFmtId="41" fontId="36" fillId="0" borderId="0" xfId="7" applyFont="1" applyAlignment="1">
      <alignment horizontal="center" vertical="center"/>
    </xf>
    <xf numFmtId="10" fontId="36" fillId="0" borderId="0" xfId="0" applyNumberFormat="1" applyFont="1" applyAlignment="1">
      <alignment horizontal="center" vertical="center"/>
    </xf>
    <xf numFmtId="0" fontId="0" fillId="16" borderId="0" xfId="0" applyFill="1"/>
    <xf numFmtId="0" fontId="23" fillId="3" borderId="41" xfId="0" applyFont="1" applyFill="1" applyBorder="1" applyAlignment="1">
      <alignment horizontal="center" vertical="center"/>
    </xf>
    <xf numFmtId="0" fontId="23" fillId="3" borderId="31" xfId="0" applyFont="1" applyFill="1" applyBorder="1" applyAlignment="1">
      <alignment horizontal="center" vertical="center"/>
    </xf>
    <xf numFmtId="4" fontId="23" fillId="3" borderId="41" xfId="0" applyNumberFormat="1" applyFont="1" applyFill="1" applyBorder="1" applyAlignment="1">
      <alignment horizontal="center" vertical="center"/>
    </xf>
    <xf numFmtId="164" fontId="0" fillId="0" borderId="0" xfId="1" applyFont="1"/>
    <xf numFmtId="9" fontId="9" fillId="3" borderId="0" xfId="2" applyFill="1"/>
    <xf numFmtId="9" fontId="23" fillId="3" borderId="31" xfId="2" applyFont="1" applyFill="1" applyBorder="1" applyAlignment="1">
      <alignment horizontal="center" vertical="center"/>
    </xf>
    <xf numFmtId="2" fontId="68" fillId="0" borderId="0" xfId="0" applyNumberFormat="1" applyFont="1" applyAlignment="1">
      <alignment horizontal="left" vertical="center"/>
    </xf>
    <xf numFmtId="4" fontId="36" fillId="0" borderId="0" xfId="0" applyNumberFormat="1" applyFont="1" applyAlignment="1">
      <alignment horizontal="center" vertical="center"/>
    </xf>
    <xf numFmtId="9" fontId="13" fillId="11" borderId="41" xfId="0" applyNumberFormat="1" applyFont="1" applyFill="1" applyBorder="1" applyAlignment="1">
      <alignment horizontal="center" vertical="center" wrapText="1"/>
    </xf>
    <xf numFmtId="0" fontId="13" fillId="11" borderId="41" xfId="0" applyFont="1" applyFill="1" applyBorder="1" applyAlignment="1">
      <alignment horizontal="center" vertical="center" wrapText="1"/>
    </xf>
    <xf numFmtId="0" fontId="13" fillId="14" borderId="41" xfId="0" applyFont="1" applyFill="1" applyBorder="1" applyAlignment="1">
      <alignment horizontal="center" vertical="center" wrapText="1"/>
    </xf>
    <xf numFmtId="0" fontId="13" fillId="0" borderId="41" xfId="0" applyFont="1" applyBorder="1" applyAlignment="1">
      <alignment horizontal="center" vertical="center"/>
    </xf>
    <xf numFmtId="0" fontId="13" fillId="0" borderId="41" xfId="0" applyFont="1" applyBorder="1" applyAlignment="1">
      <alignment horizontal="center" vertical="center" wrapText="1"/>
    </xf>
    <xf numFmtId="2" fontId="13" fillId="0" borderId="41" xfId="0" applyNumberFormat="1" applyFont="1" applyBorder="1" applyAlignment="1">
      <alignment horizontal="center" vertical="center"/>
    </xf>
    <xf numFmtId="165" fontId="13" fillId="0" borderId="41" xfId="0" applyNumberFormat="1" applyFont="1" applyBorder="1" applyAlignment="1">
      <alignment horizontal="center" vertical="center" wrapText="1"/>
    </xf>
    <xf numFmtId="9" fontId="13" fillId="0" borderId="41" xfId="0" applyNumberFormat="1" applyFont="1" applyBorder="1" applyAlignment="1">
      <alignment horizontal="center" vertical="center" wrapText="1"/>
    </xf>
    <xf numFmtId="168" fontId="13" fillId="3" borderId="41" xfId="0" applyNumberFormat="1" applyFont="1" applyFill="1" applyBorder="1" applyAlignment="1">
      <alignment horizontal="center" vertical="center" wrapText="1"/>
    </xf>
    <xf numFmtId="165" fontId="13" fillId="3" borderId="41" xfId="0" applyNumberFormat="1" applyFont="1" applyFill="1" applyBorder="1" applyAlignment="1">
      <alignment horizontal="center" vertical="center" wrapText="1"/>
    </xf>
    <xf numFmtId="165" fontId="13" fillId="11" borderId="41" xfId="0" applyNumberFormat="1" applyFont="1" applyFill="1" applyBorder="1" applyAlignment="1">
      <alignment horizontal="center" vertical="center" wrapText="1"/>
    </xf>
    <xf numFmtId="9" fontId="13" fillId="3" borderId="41" xfId="2" applyFont="1" applyFill="1" applyBorder="1" applyAlignment="1">
      <alignment horizontal="center" vertical="center"/>
    </xf>
    <xf numFmtId="165" fontId="67" fillId="3" borderId="41" xfId="0" applyNumberFormat="1" applyFont="1" applyFill="1" applyBorder="1" applyAlignment="1">
      <alignment horizontal="center" vertical="center"/>
    </xf>
    <xf numFmtId="10" fontId="13" fillId="3" borderId="41" xfId="2" applyNumberFormat="1" applyFont="1" applyFill="1" applyBorder="1" applyAlignment="1">
      <alignment horizontal="center" vertical="center"/>
    </xf>
    <xf numFmtId="164" fontId="13" fillId="3" borderId="41" xfId="1" applyFont="1" applyFill="1" applyBorder="1" applyAlignment="1">
      <alignment horizontal="center" vertical="center"/>
    </xf>
    <xf numFmtId="166" fontId="13" fillId="0" borderId="41" xfId="0" applyNumberFormat="1" applyFont="1" applyBorder="1" applyAlignment="1">
      <alignment horizontal="center" vertical="center"/>
    </xf>
    <xf numFmtId="164" fontId="13" fillId="0" borderId="41" xfId="1" applyFont="1" applyBorder="1" applyAlignment="1">
      <alignment horizontal="center" vertical="center"/>
    </xf>
    <xf numFmtId="0" fontId="25" fillId="6" borderId="41" xfId="0" applyFont="1" applyFill="1" applyBorder="1" applyAlignment="1">
      <alignment horizontal="center" vertical="center"/>
    </xf>
    <xf numFmtId="164" fontId="69" fillId="6" borderId="41" xfId="1" applyFont="1" applyFill="1" applyBorder="1" applyAlignment="1">
      <alignment horizontal="center" vertical="center"/>
    </xf>
    <xf numFmtId="0" fontId="23" fillId="6" borderId="41" xfId="0" applyFont="1" applyFill="1" applyBorder="1" applyAlignment="1">
      <alignment horizontal="center" vertical="center"/>
    </xf>
    <xf numFmtId="164" fontId="23" fillId="6" borderId="41" xfId="1" applyFont="1" applyFill="1" applyBorder="1" applyAlignment="1">
      <alignment horizontal="center" vertical="center"/>
    </xf>
    <xf numFmtId="1" fontId="23" fillId="6" borderId="41" xfId="1" applyNumberFormat="1" applyFont="1" applyFill="1" applyBorder="1" applyAlignment="1">
      <alignment horizontal="center" vertical="center"/>
    </xf>
    <xf numFmtId="10" fontId="23" fillId="6" borderId="41" xfId="2" applyNumberFormat="1" applyFont="1" applyFill="1" applyBorder="1" applyAlignment="1">
      <alignment horizontal="center" vertical="center"/>
    </xf>
    <xf numFmtId="0" fontId="67" fillId="0" borderId="41" xfId="0" applyFont="1" applyBorder="1" applyAlignment="1">
      <alignment horizontal="center" vertical="center"/>
    </xf>
    <xf numFmtId="165" fontId="67" fillId="0" borderId="41" xfId="0" applyNumberFormat="1" applyFont="1" applyBorder="1" applyAlignment="1">
      <alignment horizontal="center" vertical="center"/>
    </xf>
    <xf numFmtId="10" fontId="13" fillId="0" borderId="41" xfId="2" applyNumberFormat="1" applyFont="1" applyFill="1" applyBorder="1" applyAlignment="1">
      <alignment horizontal="center" vertical="center"/>
    </xf>
    <xf numFmtId="164" fontId="13" fillId="0" borderId="41" xfId="1" applyFont="1" applyFill="1" applyBorder="1" applyAlignment="1">
      <alignment horizontal="center" vertical="center"/>
    </xf>
    <xf numFmtId="0" fontId="70" fillId="11" borderId="13" xfId="8" applyFont="1" applyFill="1" applyBorder="1" applyAlignment="1">
      <alignment horizontal="center" vertical="center" wrapText="1"/>
    </xf>
    <xf numFmtId="0" fontId="70" fillId="11" borderId="1" xfId="8" applyFont="1" applyFill="1" applyBorder="1" applyAlignment="1">
      <alignment horizontal="center" vertical="center" wrapText="1"/>
    </xf>
    <xf numFmtId="0" fontId="70" fillId="11" borderId="1" xfId="8" applyFont="1" applyFill="1" applyBorder="1" applyAlignment="1">
      <alignment horizontal="center" vertical="center"/>
    </xf>
    <xf numFmtId="9" fontId="70" fillId="11" borderId="1" xfId="10" applyFont="1" applyFill="1" applyBorder="1" applyAlignment="1">
      <alignment horizontal="center" vertical="center" wrapText="1"/>
    </xf>
    <xf numFmtId="42" fontId="70" fillId="11" borderId="1" xfId="8" applyNumberFormat="1" applyFont="1" applyFill="1" applyBorder="1" applyAlignment="1">
      <alignment horizontal="center" vertical="center" wrapText="1"/>
    </xf>
    <xf numFmtId="0" fontId="46" fillId="3" borderId="1" xfId="9" applyFont="1" applyFill="1" applyBorder="1" applyAlignment="1">
      <alignment horizontal="center"/>
    </xf>
    <xf numFmtId="0" fontId="71" fillId="9" borderId="1" xfId="9" applyFont="1" applyFill="1" applyBorder="1" applyAlignment="1">
      <alignment horizontal="center"/>
    </xf>
    <xf numFmtId="0" fontId="71" fillId="9" borderId="0" xfId="16" applyFont="1" applyFill="1" applyAlignment="1">
      <alignment horizontal="center"/>
    </xf>
    <xf numFmtId="1" fontId="46" fillId="3" borderId="0" xfId="16" applyNumberFormat="1" applyFont="1" applyFill="1" applyAlignment="1">
      <alignment horizontal="center"/>
    </xf>
    <xf numFmtId="165" fontId="46" fillId="3" borderId="0" xfId="16" applyNumberFormat="1" applyFont="1" applyFill="1" applyAlignment="1">
      <alignment horizontal="center"/>
    </xf>
    <xf numFmtId="167" fontId="46" fillId="3" borderId="0" xfId="16" applyNumberFormat="1" applyFont="1" applyFill="1" applyAlignment="1">
      <alignment horizontal="center"/>
    </xf>
    <xf numFmtId="9" fontId="13" fillId="0" borderId="41" xfId="2" applyFont="1" applyFill="1" applyBorder="1" applyAlignment="1">
      <alignment horizontal="center" vertical="center"/>
    </xf>
    <xf numFmtId="41" fontId="72" fillId="0" borderId="0" xfId="7" applyFont="1" applyAlignment="1">
      <alignment horizontal="left" vertical="center"/>
    </xf>
    <xf numFmtId="0" fontId="74" fillId="0" borderId="0" xfId="35" applyFont="1" applyAlignment="1">
      <alignment vertical="center"/>
    </xf>
    <xf numFmtId="0" fontId="2" fillId="0" borderId="0" xfId="35"/>
    <xf numFmtId="0" fontId="75" fillId="0" borderId="0" xfId="35" applyFont="1" applyAlignment="1">
      <alignment horizontal="center" vertical="center"/>
    </xf>
    <xf numFmtId="17" fontId="75" fillId="0" borderId="0" xfId="35" applyNumberFormat="1" applyFont="1" applyAlignment="1">
      <alignment horizontal="center" vertical="center"/>
    </xf>
    <xf numFmtId="14" fontId="2" fillId="0" borderId="0" xfId="35" applyNumberFormat="1"/>
    <xf numFmtId="167" fontId="75" fillId="0" borderId="0" xfId="35" applyNumberFormat="1" applyFont="1" applyAlignment="1">
      <alignment horizontal="center" vertical="center"/>
    </xf>
    <xf numFmtId="172" fontId="76" fillId="0" borderId="0" xfId="35" applyNumberFormat="1" applyFont="1" applyAlignment="1">
      <alignment horizontal="center"/>
    </xf>
    <xf numFmtId="0" fontId="2" fillId="0" borderId="0" xfId="35" applyAlignment="1">
      <alignment horizontal="center"/>
    </xf>
    <xf numFmtId="0" fontId="75" fillId="0" borderId="0" xfId="35" applyFont="1" applyAlignment="1">
      <alignment horizontal="center" vertical="center" wrapText="1"/>
    </xf>
    <xf numFmtId="0" fontId="78" fillId="0" borderId="0" xfId="36" applyFont="1" applyFill="1" applyBorder="1" applyAlignment="1">
      <alignment horizontal="center" vertical="center" wrapText="1"/>
    </xf>
    <xf numFmtId="0" fontId="77" fillId="0" borderId="0" xfId="36" applyFill="1" applyBorder="1" applyAlignment="1">
      <alignment horizontal="center" vertical="center" wrapText="1"/>
    </xf>
    <xf numFmtId="0" fontId="2" fillId="0" borderId="0" xfId="37"/>
    <xf numFmtId="0" fontId="69" fillId="20" borderId="43" xfId="35" applyFont="1" applyFill="1" applyBorder="1" applyAlignment="1">
      <alignment horizontal="center" vertical="center"/>
    </xf>
    <xf numFmtId="0" fontId="79" fillId="19" borderId="43" xfId="35" applyFont="1" applyFill="1" applyBorder="1" applyAlignment="1">
      <alignment horizontal="center" vertical="center"/>
    </xf>
    <xf numFmtId="0" fontId="69" fillId="16" borderId="43" xfId="35" applyFont="1" applyFill="1" applyBorder="1" applyAlignment="1">
      <alignment horizontal="center" vertical="center"/>
    </xf>
    <xf numFmtId="0" fontId="22" fillId="16" borderId="43" xfId="36" applyFont="1" applyFill="1" applyBorder="1" applyAlignment="1">
      <alignment horizontal="center" vertical="center" wrapText="1"/>
    </xf>
    <xf numFmtId="167" fontId="22" fillId="16" borderId="43" xfId="36" applyNumberFormat="1" applyFont="1" applyFill="1" applyBorder="1" applyAlignment="1">
      <alignment horizontal="center" vertical="center" wrapText="1"/>
    </xf>
    <xf numFmtId="0" fontId="13" fillId="20" borderId="41" xfId="0" applyFont="1" applyFill="1" applyBorder="1" applyAlignment="1">
      <alignment horizontal="center" vertical="center" wrapText="1"/>
    </xf>
    <xf numFmtId="165" fontId="13" fillId="20" borderId="41" xfId="0" applyNumberFormat="1" applyFont="1" applyFill="1" applyBorder="1" applyAlignment="1">
      <alignment horizontal="center" vertical="center" wrapText="1"/>
    </xf>
    <xf numFmtId="0" fontId="22" fillId="20" borderId="43" xfId="35" applyFont="1" applyFill="1" applyBorder="1" applyAlignment="1">
      <alignment horizontal="center" vertical="center"/>
    </xf>
    <xf numFmtId="0" fontId="68" fillId="0" borderId="0" xfId="0" applyFont="1" applyAlignment="1">
      <alignment horizontal="left" vertical="center"/>
    </xf>
    <xf numFmtId="168" fontId="13" fillId="11" borderId="41" xfId="0" applyNumberFormat="1" applyFont="1" applyFill="1" applyBorder="1" applyAlignment="1">
      <alignment horizontal="center" vertical="center" wrapText="1"/>
    </xf>
    <xf numFmtId="174" fontId="80" fillId="0" borderId="0" xfId="38" applyNumberFormat="1" applyFont="1"/>
    <xf numFmtId="3" fontId="80" fillId="0" borderId="0" xfId="16" applyNumberFormat="1" applyFont="1" applyAlignment="1">
      <alignment horizontal="center"/>
    </xf>
    <xf numFmtId="175" fontId="80" fillId="0" borderId="0" xfId="38" applyNumberFormat="1" applyFont="1" applyAlignment="1">
      <alignment horizontal="center"/>
    </xf>
    <xf numFmtId="0" fontId="80" fillId="0" borderId="0" xfId="16" applyFont="1"/>
    <xf numFmtId="173" fontId="80" fillId="0" borderId="0" xfId="16" applyNumberFormat="1" applyFont="1" applyAlignment="1">
      <alignment horizontal="center"/>
    </xf>
    <xf numFmtId="175" fontId="80" fillId="0" borderId="0" xfId="16" applyNumberFormat="1" applyFont="1" applyAlignment="1">
      <alignment horizontal="center"/>
    </xf>
    <xf numFmtId="174" fontId="80" fillId="0" borderId="0" xfId="38" applyNumberFormat="1" applyFont="1" applyAlignment="1">
      <alignment horizontal="center"/>
    </xf>
    <xf numFmtId="0" fontId="80" fillId="0" borderId="0" xfId="16" applyFont="1" applyAlignment="1">
      <alignment horizontal="center"/>
    </xf>
    <xf numFmtId="175" fontId="80" fillId="0" borderId="44" xfId="38" applyNumberFormat="1" applyFont="1" applyBorder="1" applyAlignment="1">
      <alignment horizontal="center"/>
    </xf>
    <xf numFmtId="174" fontId="81" fillId="0" borderId="0" xfId="16" applyNumberFormat="1" applyFont="1"/>
    <xf numFmtId="0" fontId="82" fillId="0" borderId="0" xfId="16" applyFont="1"/>
    <xf numFmtId="0" fontId="83" fillId="0" borderId="0" xfId="16" applyFont="1"/>
    <xf numFmtId="175" fontId="80" fillId="0" borderId="0" xfId="38" applyNumberFormat="1" applyFont="1"/>
    <xf numFmtId="174" fontId="80" fillId="0" borderId="45" xfId="38" applyNumberFormat="1" applyFont="1" applyBorder="1" applyAlignment="1">
      <alignment vertical="center"/>
    </xf>
    <xf numFmtId="3" fontId="80" fillId="0" borderId="46" xfId="16" applyNumberFormat="1" applyFont="1" applyBorder="1" applyAlignment="1">
      <alignment horizontal="center" vertical="center"/>
    </xf>
    <xf numFmtId="175" fontId="80" fillId="0" borderId="3" xfId="38" applyNumberFormat="1" applyFont="1" applyBorder="1" applyAlignment="1">
      <alignment horizontal="center" vertical="center" wrapText="1"/>
    </xf>
    <xf numFmtId="175" fontId="80" fillId="0" borderId="0" xfId="38" applyNumberFormat="1" applyFont="1" applyAlignment="1">
      <alignment horizontal="center" vertical="center" wrapText="1"/>
    </xf>
    <xf numFmtId="171" fontId="80" fillId="0" borderId="0" xfId="38" applyNumberFormat="1" applyFont="1" applyAlignment="1">
      <alignment horizontal="center"/>
    </xf>
    <xf numFmtId="173" fontId="80" fillId="0" borderId="0" xfId="38" applyFont="1" applyAlignment="1">
      <alignment vertical="center"/>
    </xf>
    <xf numFmtId="175" fontId="80" fillId="0" borderId="0" xfId="38" applyNumberFormat="1" applyFont="1" applyAlignment="1">
      <alignment vertical="center"/>
    </xf>
    <xf numFmtId="174" fontId="80" fillId="0" borderId="45" xfId="16" applyNumberFormat="1" applyFont="1" applyBorder="1" applyAlignment="1">
      <alignment vertical="center" textRotation="90"/>
    </xf>
    <xf numFmtId="3" fontId="80" fillId="0" borderId="46" xfId="16" applyNumberFormat="1" applyFont="1" applyBorder="1" applyAlignment="1">
      <alignment horizontal="center"/>
    </xf>
    <xf numFmtId="171" fontId="80" fillId="0" borderId="47" xfId="38" applyNumberFormat="1" applyFont="1" applyBorder="1" applyAlignment="1">
      <alignment horizontal="center"/>
    </xf>
    <xf numFmtId="3" fontId="80" fillId="20" borderId="46" xfId="16" applyNumberFormat="1" applyFont="1" applyFill="1" applyBorder="1" applyAlignment="1">
      <alignment horizontal="center"/>
    </xf>
    <xf numFmtId="171" fontId="80" fillId="0" borderId="3" xfId="38" applyNumberFormat="1" applyFont="1" applyBorder="1" applyAlignment="1">
      <alignment horizontal="center"/>
    </xf>
    <xf numFmtId="173" fontId="80" fillId="0" borderId="0" xfId="38" applyFont="1"/>
    <xf numFmtId="3" fontId="80" fillId="20" borderId="8" xfId="16" applyNumberFormat="1" applyFont="1" applyFill="1" applyBorder="1" applyAlignment="1">
      <alignment horizontal="center"/>
    </xf>
    <xf numFmtId="0" fontId="84" fillId="0" borderId="0" xfId="16" applyFont="1" applyAlignment="1" applyProtection="1">
      <alignment horizontal="center"/>
      <protection locked="0"/>
    </xf>
    <xf numFmtId="3" fontId="80" fillId="13" borderId="52" xfId="16" applyNumberFormat="1" applyFont="1" applyFill="1" applyBorder="1" applyAlignment="1">
      <alignment horizontal="center"/>
    </xf>
    <xf numFmtId="171" fontId="80" fillId="13" borderId="53" xfId="38" applyNumberFormat="1" applyFont="1" applyFill="1" applyBorder="1" applyAlignment="1">
      <alignment horizontal="center"/>
    </xf>
    <xf numFmtId="3" fontId="80" fillId="13" borderId="8" xfId="16" applyNumberFormat="1" applyFont="1" applyFill="1" applyBorder="1" applyAlignment="1">
      <alignment horizontal="center"/>
    </xf>
    <xf numFmtId="173" fontId="80" fillId="13" borderId="1" xfId="16" applyNumberFormat="1" applyFont="1" applyFill="1" applyBorder="1" applyAlignment="1">
      <alignment horizontal="center"/>
    </xf>
    <xf numFmtId="176" fontId="80" fillId="0" borderId="0" xfId="16" applyNumberFormat="1" applyFont="1" applyAlignment="1">
      <alignment horizontal="center" vertical="center"/>
    </xf>
    <xf numFmtId="174" fontId="80" fillId="0" borderId="0" xfId="16" applyNumberFormat="1" applyFont="1" applyAlignment="1">
      <alignment horizontal="center" vertical="center" textRotation="90"/>
    </xf>
    <xf numFmtId="171" fontId="80" fillId="13" borderId="57" xfId="38" applyNumberFormat="1" applyFont="1" applyFill="1" applyBorder="1" applyAlignment="1">
      <alignment horizontal="center"/>
    </xf>
    <xf numFmtId="175" fontId="80" fillId="0" borderId="0" xfId="38" applyNumberFormat="1" applyFont="1" applyFill="1"/>
    <xf numFmtId="3" fontId="80" fillId="21" borderId="50" xfId="16" applyNumberFormat="1" applyFont="1" applyFill="1" applyBorder="1" applyAlignment="1">
      <alignment horizontal="center"/>
    </xf>
    <xf numFmtId="3" fontId="80" fillId="21" borderId="8" xfId="16" applyNumberFormat="1" applyFont="1" applyFill="1" applyBorder="1" applyAlignment="1">
      <alignment horizontal="center"/>
    </xf>
    <xf numFmtId="3" fontId="80" fillId="21" borderId="52" xfId="16" applyNumberFormat="1" applyFont="1" applyFill="1" applyBorder="1" applyAlignment="1">
      <alignment horizontal="center"/>
    </xf>
    <xf numFmtId="171" fontId="80" fillId="21" borderId="53" xfId="38" applyNumberFormat="1" applyFont="1" applyFill="1" applyBorder="1" applyAlignment="1">
      <alignment horizontal="center"/>
    </xf>
    <xf numFmtId="173" fontId="80" fillId="21" borderId="1" xfId="16" applyNumberFormat="1" applyFont="1" applyFill="1" applyBorder="1" applyAlignment="1">
      <alignment horizontal="center"/>
    </xf>
    <xf numFmtId="171" fontId="80" fillId="21" borderId="57" xfId="38" applyNumberFormat="1" applyFont="1" applyFill="1" applyBorder="1" applyAlignment="1">
      <alignment horizontal="center"/>
    </xf>
    <xf numFmtId="3" fontId="80" fillId="21" borderId="59" xfId="16" applyNumberFormat="1" applyFont="1" applyFill="1" applyBorder="1" applyAlignment="1">
      <alignment horizontal="center"/>
    </xf>
    <xf numFmtId="3" fontId="80" fillId="13" borderId="59" xfId="16" applyNumberFormat="1" applyFont="1" applyFill="1" applyBorder="1" applyAlignment="1">
      <alignment horizontal="center"/>
    </xf>
    <xf numFmtId="0" fontId="13" fillId="22" borderId="41" xfId="0" applyFont="1" applyFill="1" applyBorder="1" applyAlignment="1">
      <alignment horizontal="center" vertical="center"/>
    </xf>
    <xf numFmtId="0" fontId="67" fillId="22" borderId="41" xfId="0" applyFont="1" applyFill="1" applyBorder="1" applyAlignment="1">
      <alignment horizontal="center" vertical="center"/>
    </xf>
    <xf numFmtId="3" fontId="80" fillId="13" borderId="55" xfId="16" applyNumberFormat="1" applyFont="1" applyFill="1" applyBorder="1" applyAlignment="1">
      <alignment horizontal="center"/>
    </xf>
    <xf numFmtId="173" fontId="80" fillId="13" borderId="56" xfId="16" applyNumberFormat="1" applyFont="1" applyFill="1" applyBorder="1" applyAlignment="1">
      <alignment horizontal="center"/>
    </xf>
    <xf numFmtId="0" fontId="85" fillId="0" borderId="41" xfId="0" applyFont="1" applyBorder="1" applyAlignment="1">
      <alignment horizontal="center" vertical="center"/>
    </xf>
    <xf numFmtId="0" fontId="22" fillId="20" borderId="43" xfId="35" applyFont="1" applyFill="1" applyBorder="1" applyAlignment="1">
      <alignment horizontal="center" vertical="center" wrapText="1"/>
    </xf>
    <xf numFmtId="0" fontId="25" fillId="23" borderId="0" xfId="0" applyFont="1" applyFill="1" applyAlignment="1">
      <alignment horizontal="center" vertical="center"/>
    </xf>
    <xf numFmtId="164" fontId="25" fillId="23" borderId="0" xfId="1" applyFont="1" applyFill="1" applyAlignment="1">
      <alignment horizontal="center" vertical="center"/>
    </xf>
    <xf numFmtId="0" fontId="25" fillId="20" borderId="0" xfId="0" applyFont="1" applyFill="1" applyAlignment="1">
      <alignment horizontal="center" vertical="center"/>
    </xf>
    <xf numFmtId="164" fontId="25" fillId="20" borderId="0" xfId="1" applyFont="1" applyFill="1" applyAlignment="1">
      <alignment horizontal="center" vertical="center"/>
    </xf>
    <xf numFmtId="2" fontId="13" fillId="0" borderId="41" xfId="0" applyNumberFormat="1" applyFont="1" applyBorder="1" applyAlignment="1">
      <alignment horizontal="center" vertical="center" wrapText="1"/>
    </xf>
    <xf numFmtId="177" fontId="13" fillId="11" borderId="41" xfId="0" applyNumberFormat="1" applyFont="1" applyFill="1" applyBorder="1" applyAlignment="1">
      <alignment horizontal="center" vertical="center" wrapText="1"/>
    </xf>
    <xf numFmtId="0" fontId="80" fillId="0" borderId="0" xfId="16" applyFont="1" applyAlignment="1">
      <alignment horizontal="left"/>
    </xf>
    <xf numFmtId="0" fontId="82" fillId="0" borderId="0" xfId="16" applyFont="1" applyAlignment="1">
      <alignment horizontal="left"/>
    </xf>
    <xf numFmtId="175" fontId="80" fillId="0" borderId="0" xfId="38" applyNumberFormat="1" applyFont="1" applyAlignment="1">
      <alignment horizontal="left"/>
    </xf>
    <xf numFmtId="0" fontId="80" fillId="0" borderId="0" xfId="16" applyFont="1" applyAlignment="1">
      <alignment vertical="center"/>
    </xf>
    <xf numFmtId="0" fontId="80" fillId="0" borderId="0" xfId="16" applyFont="1" applyAlignment="1">
      <alignment horizontal="left" vertical="center"/>
    </xf>
    <xf numFmtId="175" fontId="80" fillId="0" borderId="0" xfId="38" applyNumberFormat="1" applyFont="1" applyAlignment="1">
      <alignment horizontal="left" vertical="center"/>
    </xf>
    <xf numFmtId="3" fontId="80" fillId="20" borderId="3" xfId="16" applyNumberFormat="1" applyFont="1" applyFill="1" applyBorder="1" applyAlignment="1">
      <alignment horizontal="center"/>
    </xf>
    <xf numFmtId="171" fontId="80" fillId="21" borderId="48" xfId="38" applyNumberFormat="1" applyFont="1" applyFill="1" applyBorder="1" applyAlignment="1">
      <alignment horizontal="center"/>
    </xf>
    <xf numFmtId="3" fontId="80" fillId="20" borderId="48" xfId="16" applyNumberFormat="1" applyFont="1" applyFill="1" applyBorder="1" applyAlignment="1">
      <alignment horizontal="center"/>
    </xf>
    <xf numFmtId="171" fontId="80" fillId="21" borderId="1" xfId="38" applyNumberFormat="1" applyFont="1" applyFill="1" applyBorder="1" applyAlignment="1">
      <alignment horizontal="center"/>
    </xf>
    <xf numFmtId="3" fontId="80" fillId="20" borderId="1" xfId="16" applyNumberFormat="1" applyFont="1" applyFill="1" applyBorder="1" applyAlignment="1">
      <alignment horizontal="center"/>
    </xf>
    <xf numFmtId="3" fontId="80" fillId="21" borderId="60" xfId="16" applyNumberFormat="1" applyFont="1" applyFill="1" applyBorder="1" applyAlignment="1">
      <alignment horizontal="center"/>
    </xf>
    <xf numFmtId="171" fontId="80" fillId="0" borderId="0" xfId="38" applyNumberFormat="1" applyFont="1" applyFill="1" applyAlignment="1">
      <alignment horizontal="center"/>
    </xf>
    <xf numFmtId="171" fontId="80" fillId="21" borderId="56" xfId="38" applyNumberFormat="1" applyFont="1" applyFill="1" applyBorder="1" applyAlignment="1">
      <alignment horizontal="center"/>
    </xf>
    <xf numFmtId="3" fontId="80" fillId="20" borderId="56" xfId="16" applyNumberFormat="1" applyFont="1" applyFill="1" applyBorder="1" applyAlignment="1">
      <alignment horizontal="center"/>
    </xf>
    <xf numFmtId="3" fontId="80" fillId="0" borderId="50" xfId="16" applyNumberFormat="1" applyFont="1" applyBorder="1" applyAlignment="1">
      <alignment horizontal="center"/>
    </xf>
    <xf numFmtId="173" fontId="80" fillId="0" borderId="48" xfId="16" applyNumberFormat="1" applyFont="1" applyBorder="1" applyAlignment="1">
      <alignment horizontal="center"/>
    </xf>
    <xf numFmtId="171" fontId="80" fillId="0" borderId="49" xfId="38" applyNumberFormat="1" applyFont="1" applyFill="1" applyBorder="1" applyAlignment="1">
      <alignment horizontal="center"/>
    </xf>
    <xf numFmtId="3" fontId="80" fillId="0" borderId="50" xfId="16" applyNumberFormat="1" applyFont="1" applyBorder="1" applyAlignment="1">
      <alignment horizontal="center" vertical="center"/>
    </xf>
    <xf numFmtId="3" fontId="80" fillId="0" borderId="49" xfId="16" applyNumberFormat="1" applyFont="1" applyBorder="1" applyAlignment="1">
      <alignment horizontal="center" vertical="center"/>
    </xf>
    <xf numFmtId="0" fontId="0" fillId="0" borderId="52" xfId="0" applyBorder="1" applyAlignment="1">
      <alignment horizontal="center"/>
    </xf>
    <xf numFmtId="0" fontId="0" fillId="0" borderId="53" xfId="0" applyBorder="1" applyAlignment="1">
      <alignment horizontal="center"/>
    </xf>
    <xf numFmtId="171" fontId="80" fillId="13" borderId="1" xfId="38" applyNumberFormat="1" applyFont="1" applyFill="1" applyBorder="1" applyAlignment="1">
      <alignment horizontal="center"/>
    </xf>
    <xf numFmtId="3" fontId="80" fillId="21" borderId="1" xfId="16" applyNumberFormat="1" applyFont="1" applyFill="1" applyBorder="1" applyAlignment="1">
      <alignment horizontal="center"/>
    </xf>
    <xf numFmtId="3" fontId="80" fillId="13" borderId="1" xfId="16" applyNumberFormat="1" applyFont="1" applyFill="1" applyBorder="1" applyAlignment="1">
      <alignment horizontal="center"/>
    </xf>
    <xf numFmtId="0" fontId="0" fillId="0" borderId="59" xfId="0" applyBorder="1" applyAlignment="1">
      <alignment horizontal="center"/>
    </xf>
    <xf numFmtId="0" fontId="0" fillId="0" borderId="57" xfId="0" applyBorder="1" applyAlignment="1">
      <alignment horizontal="center"/>
    </xf>
    <xf numFmtId="3" fontId="80" fillId="0" borderId="0" xfId="16" applyNumberFormat="1" applyFont="1" applyAlignment="1">
      <alignment horizontal="left"/>
    </xf>
    <xf numFmtId="171" fontId="86" fillId="21" borderId="53" xfId="38" applyNumberFormat="1" applyFont="1" applyFill="1" applyBorder="1" applyAlignment="1">
      <alignment horizontal="center"/>
    </xf>
    <xf numFmtId="3" fontId="80" fillId="13" borderId="14" xfId="16" applyNumberFormat="1" applyFont="1" applyFill="1" applyBorder="1" applyAlignment="1">
      <alignment horizontal="center"/>
    </xf>
    <xf numFmtId="175" fontId="80" fillId="0" borderId="0" xfId="38" applyNumberFormat="1" applyFont="1" applyFill="1" applyAlignment="1">
      <alignment horizontal="right"/>
    </xf>
    <xf numFmtId="171" fontId="80" fillId="13" borderId="56" xfId="38" applyNumberFormat="1" applyFont="1" applyFill="1" applyBorder="1" applyAlignment="1">
      <alignment horizontal="center"/>
    </xf>
    <xf numFmtId="3" fontId="80" fillId="13" borderId="56" xfId="16" applyNumberFormat="1" applyFont="1" applyFill="1" applyBorder="1" applyAlignment="1">
      <alignment horizontal="center"/>
    </xf>
    <xf numFmtId="174" fontId="80" fillId="0" borderId="0" xfId="16" applyNumberFormat="1" applyFont="1" applyAlignment="1">
      <alignment horizontal="left" vertical="center" textRotation="90"/>
    </xf>
    <xf numFmtId="3" fontId="80" fillId="21" borderId="51" xfId="16" applyNumberFormat="1" applyFont="1" applyFill="1" applyBorder="1" applyAlignment="1">
      <alignment horizontal="center"/>
    </xf>
    <xf numFmtId="173" fontId="80" fillId="21" borderId="48" xfId="16" applyNumberFormat="1" applyFont="1" applyFill="1" applyBorder="1" applyAlignment="1">
      <alignment horizontal="center"/>
    </xf>
    <xf numFmtId="171" fontId="80" fillId="21" borderId="49" xfId="38" applyNumberFormat="1" applyFont="1" applyFill="1" applyBorder="1" applyAlignment="1">
      <alignment horizontal="center"/>
    </xf>
    <xf numFmtId="3" fontId="80" fillId="21" borderId="48" xfId="16" applyNumberFormat="1" applyFont="1" applyFill="1" applyBorder="1" applyAlignment="1">
      <alignment horizontal="center"/>
    </xf>
    <xf numFmtId="0" fontId="68" fillId="11" borderId="41" xfId="0" applyFont="1" applyFill="1" applyBorder="1" applyAlignment="1">
      <alignment horizontal="center" vertical="center" wrapText="1"/>
    </xf>
    <xf numFmtId="164" fontId="68" fillId="11" borderId="41" xfId="1" applyFont="1" applyFill="1" applyBorder="1" applyAlignment="1">
      <alignment horizontal="center" vertical="center" wrapText="1"/>
    </xf>
    <xf numFmtId="164" fontId="13" fillId="24" borderId="41" xfId="1" applyFont="1" applyFill="1" applyBorder="1" applyAlignment="1">
      <alignment horizontal="center" vertical="center"/>
    </xf>
    <xf numFmtId="14" fontId="22" fillId="16" borderId="43" xfId="36" applyNumberFormat="1" applyFont="1" applyFill="1" applyBorder="1" applyAlignment="1">
      <alignment horizontal="center" vertical="center" wrapText="1"/>
    </xf>
    <xf numFmtId="0" fontId="69" fillId="16" borderId="43" xfId="36" applyFont="1" applyFill="1" applyBorder="1" applyAlignment="1">
      <alignment horizontal="center" vertical="center" wrapText="1"/>
    </xf>
    <xf numFmtId="0" fontId="22" fillId="16" borderId="43" xfId="39" applyFont="1" applyFill="1" applyBorder="1" applyAlignment="1">
      <alignment horizontal="center" vertical="center" wrapText="1"/>
    </xf>
    <xf numFmtId="0" fontId="22" fillId="6" borderId="43" xfId="39" applyFont="1" applyFill="1" applyBorder="1" applyAlignment="1">
      <alignment horizontal="center" vertical="center" wrapText="1"/>
    </xf>
    <xf numFmtId="0" fontId="22" fillId="0" borderId="0" xfId="0" applyFont="1" applyAlignment="1">
      <alignment vertical="center" wrapText="1"/>
    </xf>
    <xf numFmtId="0" fontId="79" fillId="19" borderId="43" xfId="39" applyFont="1" applyFill="1" applyBorder="1" applyAlignment="1">
      <alignment horizontal="center" vertical="center" wrapText="1"/>
    </xf>
    <xf numFmtId="0" fontId="1" fillId="0" borderId="0" xfId="40" applyAlignment="1">
      <alignment horizontal="center" wrapText="1"/>
    </xf>
    <xf numFmtId="0" fontId="69" fillId="16" borderId="43" xfId="39" applyFont="1" applyFill="1" applyBorder="1" applyAlignment="1">
      <alignment horizontal="center" vertical="center" wrapText="1"/>
    </xf>
    <xf numFmtId="9" fontId="22" fillId="16" borderId="43" xfId="2" applyFont="1" applyFill="1" applyBorder="1" applyAlignment="1">
      <alignment horizontal="center" vertical="center" wrapText="1"/>
    </xf>
    <xf numFmtId="0" fontId="69" fillId="6" borderId="43" xfId="39" applyFont="1" applyFill="1" applyBorder="1" applyAlignment="1">
      <alignment horizontal="center" vertical="center" wrapText="1"/>
    </xf>
    <xf numFmtId="9" fontId="22" fillId="6" borderId="43" xfId="2" applyFont="1" applyFill="1" applyBorder="1" applyAlignment="1">
      <alignment horizontal="center" vertical="center" wrapText="1"/>
    </xf>
    <xf numFmtId="0" fontId="88" fillId="3" borderId="61" xfId="35" applyFont="1" applyFill="1" applyBorder="1" applyAlignment="1">
      <alignment horizontal="center" vertical="center" wrapText="1"/>
    </xf>
    <xf numFmtId="0" fontId="69" fillId="16" borderId="62" xfId="35" applyFont="1" applyFill="1" applyBorder="1" applyAlignment="1">
      <alignment horizontal="center" vertical="center"/>
    </xf>
    <xf numFmtId="0" fontId="22" fillId="16" borderId="62" xfId="36" applyFont="1" applyFill="1" applyBorder="1" applyAlignment="1">
      <alignment horizontal="center" vertical="center" wrapText="1"/>
    </xf>
    <xf numFmtId="0" fontId="22" fillId="16" borderId="63" xfId="36" applyFont="1" applyFill="1" applyBorder="1" applyAlignment="1">
      <alignment horizontal="center" vertical="center" wrapText="1"/>
    </xf>
    <xf numFmtId="14" fontId="22" fillId="16" borderId="64" xfId="36" applyNumberFormat="1" applyFont="1" applyFill="1" applyBorder="1" applyAlignment="1">
      <alignment horizontal="center" vertical="center" wrapText="1"/>
    </xf>
    <xf numFmtId="0" fontId="22" fillId="16" borderId="64" xfId="36" applyFont="1" applyFill="1" applyBorder="1" applyAlignment="1">
      <alignment horizontal="center" vertical="center" wrapText="1"/>
    </xf>
    <xf numFmtId="167" fontId="22" fillId="16" borderId="64" xfId="36" applyNumberFormat="1" applyFont="1" applyFill="1" applyBorder="1" applyAlignment="1">
      <alignment horizontal="center" vertical="center" wrapText="1"/>
    </xf>
    <xf numFmtId="0" fontId="69" fillId="16" borderId="65" xfId="35" applyFont="1" applyFill="1" applyBorder="1" applyAlignment="1">
      <alignment horizontal="center" vertical="center"/>
    </xf>
    <xf numFmtId="0" fontId="69" fillId="16" borderId="66" xfId="36" applyFont="1" applyFill="1" applyBorder="1" applyAlignment="1">
      <alignment horizontal="center" vertical="center" wrapText="1"/>
    </xf>
    <xf numFmtId="0" fontId="69" fillId="20" borderId="62" xfId="35" applyFont="1" applyFill="1" applyBorder="1" applyAlignment="1">
      <alignment horizontal="center" vertical="center"/>
    </xf>
    <xf numFmtId="0" fontId="22" fillId="20" borderId="62" xfId="35" applyFont="1" applyFill="1" applyBorder="1" applyAlignment="1">
      <alignment horizontal="center" vertical="center"/>
    </xf>
    <xf numFmtId="0" fontId="22" fillId="20" borderId="62" xfId="36" applyFont="1" applyFill="1" applyBorder="1" applyAlignment="1">
      <alignment horizontal="center" vertical="center" wrapText="1"/>
    </xf>
    <xf numFmtId="0" fontId="22" fillId="20" borderId="63" xfId="36" applyFont="1" applyFill="1" applyBorder="1" applyAlignment="1">
      <alignment horizontal="center" vertical="center" wrapText="1"/>
    </xf>
    <xf numFmtId="0" fontId="22" fillId="20" borderId="64" xfId="35" applyFont="1" applyFill="1" applyBorder="1" applyAlignment="1">
      <alignment horizontal="center" vertical="center"/>
    </xf>
    <xf numFmtId="0" fontId="69" fillId="20" borderId="65" xfId="35" applyFont="1" applyFill="1" applyBorder="1" applyAlignment="1">
      <alignment horizontal="center" vertical="center"/>
    </xf>
    <xf numFmtId="0" fontId="22" fillId="16" borderId="65" xfId="36" applyFont="1" applyFill="1" applyBorder="1" applyAlignment="1">
      <alignment horizontal="center" vertical="center" wrapText="1"/>
    </xf>
    <xf numFmtId="0" fontId="22" fillId="16" borderId="66" xfId="36" applyFont="1" applyFill="1" applyBorder="1" applyAlignment="1">
      <alignment horizontal="center" vertical="center" wrapText="1"/>
    </xf>
    <xf numFmtId="0" fontId="69" fillId="20" borderId="68" xfId="35" applyFont="1" applyFill="1" applyBorder="1" applyAlignment="1">
      <alignment horizontal="center" vertical="center"/>
    </xf>
    <xf numFmtId="0" fontId="89" fillId="20" borderId="68" xfId="34" applyFont="1" applyFill="1" applyBorder="1" applyAlignment="1">
      <alignment horizontal="center" vertical="center" wrapText="1"/>
    </xf>
    <xf numFmtId="0" fontId="22" fillId="20" borderId="69" xfId="36" applyFont="1" applyFill="1" applyBorder="1" applyAlignment="1">
      <alignment horizontal="center" vertical="center" wrapText="1"/>
    </xf>
    <xf numFmtId="0" fontId="69" fillId="16" borderId="68" xfId="35" applyFont="1" applyFill="1" applyBorder="1" applyAlignment="1">
      <alignment horizontal="center" vertical="center"/>
    </xf>
    <xf numFmtId="0" fontId="89" fillId="16" borderId="69" xfId="34" applyFont="1" applyFill="1" applyBorder="1" applyAlignment="1">
      <alignment horizontal="center" vertical="center" wrapText="1"/>
    </xf>
    <xf numFmtId="0" fontId="90" fillId="20" borderId="67" xfId="35" applyFont="1" applyFill="1" applyBorder="1" applyAlignment="1">
      <alignment horizontal="center" vertical="center" wrapText="1"/>
    </xf>
    <xf numFmtId="0" fontId="90" fillId="16" borderId="67" xfId="35" applyFont="1" applyFill="1" applyBorder="1" applyAlignment="1">
      <alignment horizontal="center" vertical="center" wrapText="1"/>
    </xf>
    <xf numFmtId="0" fontId="65" fillId="0" borderId="0" xfId="37" applyFont="1"/>
    <xf numFmtId="0" fontId="23" fillId="25" borderId="41" xfId="0" applyFont="1" applyFill="1" applyBorder="1" applyAlignment="1">
      <alignment horizontal="center" vertical="center"/>
    </xf>
    <xf numFmtId="164" fontId="25" fillId="25" borderId="0" xfId="1" applyFont="1" applyFill="1" applyAlignment="1">
      <alignment horizontal="center" vertical="center"/>
    </xf>
    <xf numFmtId="0" fontId="23" fillId="25" borderId="0" xfId="0" applyFont="1" applyFill="1" applyAlignment="1">
      <alignment horizontal="center" vertical="center"/>
    </xf>
    <xf numFmtId="0" fontId="25" fillId="25" borderId="41" xfId="0" applyFont="1" applyFill="1" applyBorder="1" applyAlignment="1">
      <alignment horizontal="center" vertical="center"/>
    </xf>
    <xf numFmtId="0" fontId="25" fillId="25" borderId="0" xfId="0" applyFont="1" applyFill="1" applyAlignment="1">
      <alignment horizontal="center" vertical="center"/>
    </xf>
    <xf numFmtId="165" fontId="93" fillId="0" borderId="41" xfId="0" applyNumberFormat="1" applyFont="1" applyBorder="1" applyAlignment="1">
      <alignment horizontal="center" vertical="center" wrapText="1"/>
    </xf>
    <xf numFmtId="164" fontId="25" fillId="6" borderId="41" xfId="1" applyFont="1" applyFill="1" applyBorder="1" applyAlignment="1">
      <alignment horizontal="center" vertical="center"/>
    </xf>
    <xf numFmtId="0" fontId="94" fillId="0" borderId="0" xfId="0" applyFont="1" applyAlignment="1">
      <alignment wrapText="1"/>
    </xf>
    <xf numFmtId="0" fontId="27" fillId="3" borderId="18" xfId="0" applyFont="1" applyFill="1" applyBorder="1" applyProtection="1">
      <protection locked="0"/>
    </xf>
    <xf numFmtId="0" fontId="27" fillId="3" borderId="0" xfId="0" applyFont="1" applyFill="1" applyProtection="1">
      <protection locked="0"/>
    </xf>
    <xf numFmtId="0" fontId="0" fillId="3" borderId="0" xfId="0" applyFill="1" applyProtection="1">
      <protection locked="0"/>
    </xf>
    <xf numFmtId="0" fontId="0" fillId="0" borderId="0" xfId="0" applyProtection="1">
      <protection locked="0"/>
    </xf>
    <xf numFmtId="0" fontId="32" fillId="3" borderId="0" xfId="0" applyFont="1" applyFill="1" applyAlignment="1" applyProtection="1">
      <alignment horizontal="center" vertical="center"/>
      <protection locked="0"/>
    </xf>
    <xf numFmtId="0" fontId="0" fillId="3" borderId="15" xfId="0" applyFill="1" applyBorder="1" applyProtection="1">
      <protection locked="0"/>
    </xf>
    <xf numFmtId="0" fontId="0" fillId="3" borderId="19" xfId="0" applyFill="1" applyBorder="1" applyProtection="1">
      <protection locked="0"/>
    </xf>
    <xf numFmtId="0" fontId="34" fillId="3" borderId="15" xfId="0" applyFont="1" applyFill="1" applyBorder="1" applyAlignment="1" applyProtection="1">
      <alignment horizontal="center" vertical="center"/>
      <protection locked="0"/>
    </xf>
    <xf numFmtId="0" fontId="34" fillId="3" borderId="0" xfId="0" applyFont="1" applyFill="1" applyAlignment="1" applyProtection="1">
      <alignment horizontal="center" vertical="center"/>
      <protection locked="0"/>
    </xf>
    <xf numFmtId="0" fontId="36" fillId="3" borderId="0" xfId="0" applyFont="1" applyFill="1" applyAlignment="1" applyProtection="1">
      <alignment horizontal="center" vertical="center"/>
      <protection locked="0"/>
    </xf>
    <xf numFmtId="0" fontId="52" fillId="0" borderId="0" xfId="0" applyFont="1" applyAlignment="1" applyProtection="1">
      <alignment horizontal="left" vertical="center" readingOrder="1"/>
      <protection locked="0"/>
    </xf>
    <xf numFmtId="0" fontId="0" fillId="3" borderId="0" xfId="0" applyFill="1" applyAlignment="1" applyProtection="1">
      <alignment wrapText="1"/>
      <protection locked="0"/>
    </xf>
    <xf numFmtId="0" fontId="38" fillId="0" borderId="0" xfId="0" applyFont="1" applyProtection="1">
      <protection locked="0"/>
    </xf>
    <xf numFmtId="0" fontId="18" fillId="0" borderId="0" xfId="0" applyFont="1" applyProtection="1">
      <protection locked="0"/>
    </xf>
    <xf numFmtId="0" fontId="34" fillId="3" borderId="20" xfId="0" applyFont="1" applyFill="1" applyBorder="1" applyAlignment="1" applyProtection="1">
      <alignment horizontal="center"/>
      <protection locked="0"/>
    </xf>
    <xf numFmtId="0" fontId="0" fillId="3" borderId="20" xfId="0" applyFill="1" applyBorder="1" applyAlignment="1" applyProtection="1">
      <alignment horizontal="center" vertical="center"/>
      <protection locked="0"/>
    </xf>
    <xf numFmtId="0" fontId="0" fillId="3" borderId="0" xfId="0" applyFill="1" applyAlignment="1" applyProtection="1">
      <alignment horizontal="center" vertical="center"/>
      <protection locked="0"/>
    </xf>
    <xf numFmtId="1" fontId="0" fillId="3" borderId="0" xfId="0" applyNumberFormat="1" applyFill="1" applyAlignment="1" applyProtection="1">
      <alignment horizontal="center" vertical="center"/>
      <protection locked="0"/>
    </xf>
    <xf numFmtId="168" fontId="0" fillId="3" borderId="0" xfId="1" applyNumberFormat="1" applyFont="1" applyFill="1" applyBorder="1" applyAlignment="1" applyProtection="1">
      <alignment horizontal="center" vertical="center"/>
      <protection locked="0"/>
    </xf>
    <xf numFmtId="9" fontId="0" fillId="3" borderId="0" xfId="2" applyFont="1" applyFill="1" applyBorder="1" applyAlignment="1" applyProtection="1">
      <alignment horizontal="center"/>
      <protection locked="0"/>
    </xf>
    <xf numFmtId="164" fontId="0" fillId="3" borderId="0" xfId="1" applyFont="1" applyFill="1" applyBorder="1" applyAlignment="1" applyProtection="1">
      <alignment horizontal="center" vertical="center"/>
      <protection locked="0"/>
    </xf>
    <xf numFmtId="0" fontId="34" fillId="3" borderId="19" xfId="0" applyFont="1" applyFill="1" applyBorder="1" applyAlignment="1" applyProtection="1">
      <alignment horizontal="center"/>
      <protection locked="0"/>
    </xf>
    <xf numFmtId="14" fontId="30" fillId="0" borderId="0" xfId="0" applyNumberFormat="1" applyFont="1" applyAlignment="1" applyProtection="1">
      <alignment horizontal="center" vertical="center"/>
      <protection locked="0"/>
    </xf>
    <xf numFmtId="0" fontId="29" fillId="0" borderId="0" xfId="0" applyFont="1" applyAlignment="1" applyProtection="1">
      <alignment horizontal="center" vertical="center"/>
      <protection locked="0"/>
    </xf>
    <xf numFmtId="0" fontId="29" fillId="0" borderId="0" xfId="0" applyFont="1" applyAlignment="1" applyProtection="1">
      <alignment horizontal="center" vertical="center" wrapText="1"/>
      <protection locked="0"/>
    </xf>
    <xf numFmtId="0" fontId="36" fillId="3" borderId="0" xfId="0" applyFont="1" applyFill="1" applyProtection="1">
      <protection locked="0"/>
    </xf>
    <xf numFmtId="0" fontId="36" fillId="0" borderId="0" xfId="0" applyFont="1" applyProtection="1">
      <protection locked="0"/>
    </xf>
    <xf numFmtId="0" fontId="41" fillId="3" borderId="1" xfId="0" applyFont="1" applyFill="1" applyBorder="1" applyAlignment="1" applyProtection="1">
      <alignment horizontal="center"/>
      <protection locked="0"/>
    </xf>
    <xf numFmtId="168" fontId="41" fillId="3" borderId="0" xfId="0" applyNumberFormat="1" applyFont="1" applyFill="1" applyAlignment="1" applyProtection="1">
      <alignment horizontal="center"/>
      <protection locked="0"/>
    </xf>
    <xf numFmtId="0" fontId="36" fillId="3" borderId="0" xfId="0" applyFont="1" applyFill="1" applyAlignment="1" applyProtection="1">
      <alignment horizontal="center"/>
      <protection locked="0"/>
    </xf>
    <xf numFmtId="169" fontId="42" fillId="0" borderId="0" xfId="0" applyNumberFormat="1" applyFont="1" applyAlignment="1" applyProtection="1">
      <alignment horizontal="center" vertical="center"/>
      <protection locked="0"/>
    </xf>
    <xf numFmtId="164" fontId="42" fillId="0" borderId="0" xfId="1" applyFont="1" applyFill="1" applyBorder="1" applyAlignment="1" applyProtection="1">
      <alignment horizontal="center" vertical="center"/>
      <protection locked="0"/>
    </xf>
    <xf numFmtId="167" fontId="43" fillId="0" borderId="0" xfId="33" applyNumberFormat="1" applyFont="1" applyFill="1" applyBorder="1" applyAlignment="1" applyProtection="1">
      <alignment horizontal="center" vertical="center"/>
      <protection locked="0"/>
    </xf>
    <xf numFmtId="167" fontId="43" fillId="0" borderId="0" xfId="33" applyNumberFormat="1" applyFont="1" applyFill="1" applyBorder="1" applyAlignment="1" applyProtection="1">
      <alignment vertical="center"/>
      <protection locked="0"/>
    </xf>
    <xf numFmtId="0" fontId="32" fillId="0" borderId="0" xfId="0" applyFont="1" applyAlignment="1" applyProtection="1">
      <alignment horizontal="left" vertical="center" wrapText="1"/>
      <protection locked="0"/>
    </xf>
    <xf numFmtId="171" fontId="44" fillId="0" borderId="0" xfId="0" applyNumberFormat="1" applyFont="1" applyAlignment="1" applyProtection="1">
      <alignment horizontal="left" vertical="center"/>
      <protection locked="0"/>
    </xf>
    <xf numFmtId="167" fontId="41" fillId="0" borderId="0" xfId="0" applyNumberFormat="1" applyFont="1" applyAlignment="1" applyProtection="1">
      <alignment horizontal="center" vertical="center"/>
      <protection locked="0"/>
    </xf>
    <xf numFmtId="0" fontId="45" fillId="0" borderId="0" xfId="0" applyFont="1" applyProtection="1">
      <protection locked="0"/>
    </xf>
    <xf numFmtId="3" fontId="33" fillId="0" borderId="0" xfId="0" applyNumberFormat="1" applyFont="1" applyAlignment="1" applyProtection="1">
      <alignment horizontal="left" vertical="center"/>
      <protection locked="0"/>
    </xf>
    <xf numFmtId="0" fontId="34" fillId="3" borderId="20" xfId="0" applyFont="1" applyFill="1" applyBorder="1" applyProtection="1">
      <protection locked="0"/>
    </xf>
    <xf numFmtId="0" fontId="34" fillId="3" borderId="0" xfId="0" applyFont="1" applyFill="1" applyProtection="1">
      <protection locked="0"/>
    </xf>
    <xf numFmtId="0" fontId="46" fillId="3" borderId="0" xfId="0" applyFont="1" applyFill="1" applyProtection="1">
      <protection locked="0"/>
    </xf>
    <xf numFmtId="0" fontId="30" fillId="3" borderId="0" xfId="0" applyFont="1" applyFill="1" applyAlignment="1" applyProtection="1">
      <alignment horizontal="center" vertical="center"/>
      <protection locked="0"/>
    </xf>
    <xf numFmtId="0" fontId="30" fillId="3" borderId="0" xfId="0" applyFont="1" applyFill="1" applyAlignment="1" applyProtection="1">
      <alignment horizontal="center" vertical="center" wrapText="1"/>
      <protection locked="0"/>
    </xf>
    <xf numFmtId="169" fontId="42" fillId="11" borderId="0" xfId="0" applyNumberFormat="1" applyFont="1" applyFill="1" applyAlignment="1" applyProtection="1">
      <alignment horizontal="center" vertical="center"/>
      <protection locked="0"/>
    </xf>
    <xf numFmtId="164" fontId="42" fillId="11" borderId="0" xfId="1" applyFont="1" applyFill="1" applyBorder="1" applyAlignment="1" applyProtection="1">
      <alignment horizontal="center" vertical="center"/>
      <protection locked="0"/>
    </xf>
    <xf numFmtId="0" fontId="41" fillId="0" borderId="0" xfId="0" applyFont="1" applyAlignment="1" applyProtection="1">
      <alignment horizontal="center" vertical="center"/>
      <protection locked="0"/>
    </xf>
    <xf numFmtId="41" fontId="44" fillId="0" borderId="0" xfId="0" applyNumberFormat="1" applyFont="1" applyAlignment="1" applyProtection="1">
      <alignment horizontal="left" vertical="center"/>
      <protection locked="0"/>
    </xf>
    <xf numFmtId="41" fontId="33" fillId="0" borderId="0" xfId="0" applyNumberFormat="1" applyFont="1" applyAlignment="1" applyProtection="1">
      <alignment horizontal="left" vertical="center"/>
      <protection locked="0"/>
    </xf>
    <xf numFmtId="0" fontId="0" fillId="0" borderId="0" xfId="0" applyAlignment="1" applyProtection="1">
      <alignment wrapText="1"/>
      <protection locked="0"/>
    </xf>
    <xf numFmtId="167" fontId="37" fillId="0" borderId="0" xfId="33" applyNumberFormat="1" applyFont="1" applyFill="1" applyBorder="1" applyAlignment="1" applyProtection="1">
      <alignment vertical="center"/>
      <protection locked="0"/>
    </xf>
    <xf numFmtId="167" fontId="43" fillId="0" borderId="0" xfId="30" applyNumberFormat="1" applyFont="1" applyFill="1" applyBorder="1" applyAlignment="1" applyProtection="1">
      <alignment horizontal="center" vertical="center"/>
      <protection locked="0"/>
    </xf>
    <xf numFmtId="0" fontId="36" fillId="0" borderId="0" xfId="0" applyFont="1" applyAlignment="1" applyProtection="1">
      <alignment horizontal="left"/>
      <protection locked="0"/>
    </xf>
    <xf numFmtId="41" fontId="44" fillId="0" borderId="0" xfId="0" applyNumberFormat="1" applyFont="1" applyAlignment="1" applyProtection="1">
      <alignment horizontal="left"/>
      <protection locked="0"/>
    </xf>
    <xf numFmtId="41" fontId="33" fillId="0" borderId="0" xfId="0" applyNumberFormat="1" applyFont="1" applyAlignment="1" applyProtection="1">
      <alignment horizontal="left"/>
      <protection locked="0"/>
    </xf>
    <xf numFmtId="0" fontId="34" fillId="3" borderId="0" xfId="0" applyFont="1" applyFill="1" applyAlignment="1" applyProtection="1">
      <alignment horizontal="center"/>
      <protection locked="0"/>
    </xf>
    <xf numFmtId="0" fontId="10" fillId="3" borderId="0" xfId="0" applyFont="1" applyFill="1" applyProtection="1">
      <protection locked="0"/>
    </xf>
    <xf numFmtId="0" fontId="33" fillId="0" borderId="0" xfId="0" applyFont="1" applyProtection="1">
      <protection locked="0"/>
    </xf>
    <xf numFmtId="0" fontId="48" fillId="0" borderId="0" xfId="0" applyFont="1" applyProtection="1">
      <protection locked="0"/>
    </xf>
    <xf numFmtId="0" fontId="49" fillId="0" borderId="0" xfId="0" applyFont="1" applyAlignment="1" applyProtection="1">
      <alignment horizontal="center" vertical="center"/>
      <protection locked="0"/>
    </xf>
    <xf numFmtId="3" fontId="33" fillId="0" borderId="0" xfId="1" applyNumberFormat="1" applyFont="1" applyFill="1" applyBorder="1" applyAlignment="1" applyProtection="1">
      <alignment horizontal="left" vertical="center"/>
      <protection locked="0"/>
    </xf>
    <xf numFmtId="0" fontId="50" fillId="3" borderId="20" xfId="0" applyFont="1" applyFill="1" applyBorder="1" applyProtection="1">
      <protection locked="0"/>
    </xf>
    <xf numFmtId="0" fontId="44" fillId="0" borderId="0" xfId="0" applyFont="1" applyAlignment="1" applyProtection="1">
      <alignment horizontal="center" vertical="center"/>
      <protection locked="0"/>
    </xf>
    <xf numFmtId="168" fontId="51" fillId="0" borderId="0" xfId="0" applyNumberFormat="1" applyFont="1" applyAlignment="1" applyProtection="1">
      <alignment horizontal="left" vertical="center"/>
      <protection locked="0"/>
    </xf>
    <xf numFmtId="9" fontId="51" fillId="0" borderId="0" xfId="2" applyFont="1" applyFill="1" applyBorder="1" applyAlignment="1" applyProtection="1">
      <alignment horizontal="left" vertical="center"/>
      <protection locked="0"/>
    </xf>
    <xf numFmtId="0" fontId="52" fillId="0" borderId="0" xfId="0" applyFont="1" applyAlignment="1" applyProtection="1">
      <alignment vertical="top" wrapText="1"/>
      <protection locked="0"/>
    </xf>
    <xf numFmtId="0" fontId="23" fillId="0" borderId="0" xfId="0" applyFont="1" applyAlignment="1" applyProtection="1">
      <alignment horizontal="center" vertical="center"/>
      <protection locked="0"/>
    </xf>
    <xf numFmtId="168" fontId="41" fillId="0" borderId="0" xfId="1" applyNumberFormat="1" applyFont="1" applyFill="1" applyBorder="1" applyAlignment="1" applyProtection="1">
      <alignment horizontal="center" vertical="center"/>
      <protection locked="0"/>
    </xf>
    <xf numFmtId="0" fontId="27" fillId="3" borderId="25" xfId="0" applyFont="1" applyFill="1" applyBorder="1" applyProtection="1">
      <protection locked="0"/>
    </xf>
    <xf numFmtId="0" fontId="34" fillId="3" borderId="20" xfId="0" applyFont="1" applyFill="1" applyBorder="1" applyAlignment="1" applyProtection="1">
      <alignment horizontal="center" vertical="center"/>
      <protection locked="0"/>
    </xf>
    <xf numFmtId="164" fontId="0" fillId="3" borderId="0" xfId="0" applyNumberFormat="1" applyFill="1" applyAlignment="1" applyProtection="1">
      <alignment horizontal="center" vertical="center"/>
      <protection locked="0"/>
    </xf>
    <xf numFmtId="164" fontId="0" fillId="3" borderId="1" xfId="0" applyNumberFormat="1" applyFill="1" applyBorder="1" applyAlignment="1" applyProtection="1">
      <alignment horizontal="center" vertical="center"/>
      <protection locked="0"/>
    </xf>
    <xf numFmtId="0" fontId="42" fillId="0" borderId="0" xfId="0" applyFont="1" applyAlignment="1" applyProtection="1">
      <alignment horizontal="center"/>
      <protection locked="0"/>
    </xf>
    <xf numFmtId="0" fontId="53" fillId="0" borderId="0" xfId="0" applyFont="1" applyProtection="1">
      <protection locked="0"/>
    </xf>
    <xf numFmtId="0" fontId="34" fillId="3" borderId="26" xfId="0" applyFont="1" applyFill="1" applyBorder="1" applyAlignment="1" applyProtection="1">
      <alignment horizontal="center" vertical="center"/>
      <protection locked="0"/>
    </xf>
    <xf numFmtId="164" fontId="0" fillId="3" borderId="27" xfId="0" applyNumberFormat="1" applyFill="1" applyBorder="1" applyAlignment="1" applyProtection="1">
      <alignment horizontal="center" vertical="center"/>
      <protection locked="0"/>
    </xf>
    <xf numFmtId="0" fontId="34" fillId="3" borderId="19" xfId="0" applyFont="1" applyFill="1" applyBorder="1" applyProtection="1">
      <protection locked="0"/>
    </xf>
    <xf numFmtId="0" fontId="0" fillId="15" borderId="0" xfId="0" applyFill="1" applyProtection="1">
      <protection locked="0"/>
    </xf>
    <xf numFmtId="0" fontId="36" fillId="15" borderId="0" xfId="0" applyFont="1" applyFill="1" applyProtection="1">
      <protection locked="0"/>
    </xf>
    <xf numFmtId="0" fontId="0" fillId="3" borderId="28" xfId="0" applyFill="1" applyBorder="1" applyProtection="1">
      <protection locked="0"/>
    </xf>
    <xf numFmtId="164" fontId="0" fillId="3" borderId="0" xfId="0" applyNumberFormat="1" applyFill="1" applyProtection="1">
      <protection locked="0"/>
    </xf>
    <xf numFmtId="164" fontId="0" fillId="3" borderId="0" xfId="1" applyFont="1" applyFill="1" applyProtection="1">
      <protection locked="0"/>
    </xf>
    <xf numFmtId="0" fontId="55" fillId="3" borderId="0" xfId="0" applyFont="1" applyFill="1" applyAlignment="1" applyProtection="1">
      <alignment horizontal="center"/>
      <protection locked="0"/>
    </xf>
    <xf numFmtId="0" fontId="36" fillId="0" borderId="30" xfId="0" applyFont="1" applyBorder="1" applyProtection="1">
      <protection locked="0"/>
    </xf>
    <xf numFmtId="0" fontId="0" fillId="3" borderId="32" xfId="0" applyFill="1" applyBorder="1" applyAlignment="1" applyProtection="1">
      <alignment horizontal="center"/>
      <protection locked="0"/>
    </xf>
    <xf numFmtId="0" fontId="0" fillId="3" borderId="31" xfId="0" applyFill="1" applyBorder="1" applyAlignment="1" applyProtection="1">
      <alignment horizontal="center"/>
      <protection locked="0"/>
    </xf>
    <xf numFmtId="0" fontId="0" fillId="3" borderId="22" xfId="0" applyFill="1" applyBorder="1" applyAlignment="1" applyProtection="1">
      <alignment horizontal="center"/>
      <protection locked="0"/>
    </xf>
    <xf numFmtId="0" fontId="13" fillId="0" borderId="41" xfId="0" applyFont="1" applyBorder="1" applyAlignment="1" applyProtection="1">
      <alignment horizontal="center" vertical="center"/>
      <protection locked="0"/>
    </xf>
    <xf numFmtId="0" fontId="0" fillId="3" borderId="33" xfId="0" applyFill="1" applyBorder="1" applyProtection="1">
      <protection locked="0"/>
    </xf>
    <xf numFmtId="0" fontId="18" fillId="11" borderId="1" xfId="1" applyNumberFormat="1" applyFont="1" applyFill="1" applyBorder="1" applyAlignment="1" applyProtection="1">
      <alignment horizontal="center" vertical="center"/>
      <protection locked="0"/>
    </xf>
    <xf numFmtId="0" fontId="57" fillId="0" borderId="29" xfId="16" applyFont="1" applyBorder="1" applyAlignment="1" applyProtection="1">
      <alignment horizontal="center" vertical="center"/>
      <protection locked="0"/>
    </xf>
    <xf numFmtId="0" fontId="41" fillId="0" borderId="34" xfId="0" applyFont="1" applyBorder="1" applyAlignment="1" applyProtection="1">
      <alignment horizontal="center" vertical="center"/>
      <protection locked="0"/>
    </xf>
    <xf numFmtId="0" fontId="0" fillId="3" borderId="35" xfId="0" applyFill="1" applyBorder="1" applyAlignment="1" applyProtection="1">
      <alignment horizontal="center"/>
      <protection locked="0"/>
    </xf>
    <xf numFmtId="164" fontId="0" fillId="11" borderId="1" xfId="1" applyFont="1" applyFill="1" applyBorder="1" applyAlignment="1" applyProtection="1">
      <alignment horizontal="center" vertical="center"/>
      <protection locked="0"/>
    </xf>
    <xf numFmtId="0" fontId="69" fillId="0" borderId="0" xfId="0" applyFont="1" applyAlignment="1" applyProtection="1">
      <alignment horizontal="center"/>
      <protection locked="0"/>
    </xf>
    <xf numFmtId="9" fontId="69" fillId="2" borderId="42" xfId="2" applyFont="1" applyFill="1" applyBorder="1" applyAlignment="1" applyProtection="1">
      <alignment horizontal="center"/>
      <protection locked="0"/>
    </xf>
    <xf numFmtId="0" fontId="43" fillId="0" borderId="29" xfId="16" applyFont="1" applyBorder="1" applyAlignment="1" applyProtection="1">
      <alignment horizontal="center" vertical="center"/>
      <protection locked="0"/>
    </xf>
    <xf numFmtId="164" fontId="43" fillId="0" borderId="29" xfId="1" applyFont="1" applyBorder="1" applyAlignment="1" applyProtection="1">
      <alignment horizontal="center" vertical="center"/>
      <protection locked="0"/>
    </xf>
    <xf numFmtId="164" fontId="57" fillId="0" borderId="29" xfId="1" applyFont="1" applyBorder="1" applyAlignment="1" applyProtection="1">
      <alignment horizontal="center" vertical="center"/>
      <protection locked="0"/>
    </xf>
    <xf numFmtId="0" fontId="18" fillId="3" borderId="0" xfId="0" applyFont="1" applyFill="1" applyProtection="1">
      <protection locked="0"/>
    </xf>
    <xf numFmtId="0" fontId="0" fillId="3" borderId="0" xfId="0" applyFill="1" applyAlignment="1" applyProtection="1">
      <alignment horizontal="center"/>
      <protection locked="0"/>
    </xf>
    <xf numFmtId="0" fontId="0" fillId="6" borderId="1" xfId="0" applyFill="1" applyBorder="1" applyAlignment="1" applyProtection="1">
      <alignment horizontal="center" vertical="center"/>
      <protection locked="0"/>
    </xf>
    <xf numFmtId="164" fontId="0" fillId="6" borderId="1" xfId="1" applyFont="1" applyFill="1" applyBorder="1" applyAlignment="1" applyProtection="1">
      <alignment horizontal="center" vertical="center"/>
      <protection locked="0"/>
    </xf>
    <xf numFmtId="0" fontId="33" fillId="3" borderId="0" xfId="0" applyFont="1" applyFill="1" applyAlignment="1" applyProtection="1">
      <alignment vertical="center"/>
      <protection locked="0"/>
    </xf>
    <xf numFmtId="0" fontId="41" fillId="0" borderId="36" xfId="0" applyFont="1" applyBorder="1" applyAlignment="1" applyProtection="1">
      <alignment horizontal="center" vertical="center"/>
      <protection locked="0"/>
    </xf>
    <xf numFmtId="0" fontId="69" fillId="17" borderId="0" xfId="0" applyFont="1" applyFill="1" applyAlignment="1" applyProtection="1">
      <alignment horizontal="center"/>
      <protection locked="0"/>
    </xf>
    <xf numFmtId="164" fontId="22" fillId="17" borderId="0" xfId="1" applyFont="1" applyFill="1" applyBorder="1" applyAlignment="1" applyProtection="1">
      <alignment horizontal="center"/>
      <protection locked="0"/>
    </xf>
    <xf numFmtId="0" fontId="36" fillId="0" borderId="0" xfId="0" applyFont="1" applyAlignment="1" applyProtection="1">
      <alignment horizontal="center"/>
      <protection locked="0"/>
    </xf>
    <xf numFmtId="164" fontId="36" fillId="0" borderId="0" xfId="0" applyNumberFormat="1" applyFont="1" applyProtection="1">
      <protection locked="0"/>
    </xf>
    <xf numFmtId="0" fontId="18" fillId="3" borderId="35" xfId="0" applyFont="1" applyFill="1" applyBorder="1" applyProtection="1">
      <protection locked="0"/>
    </xf>
    <xf numFmtId="0" fontId="0" fillId="0" borderId="0" xfId="0" applyAlignment="1" applyProtection="1">
      <alignment horizontal="center" vertical="center"/>
      <protection locked="0"/>
    </xf>
    <xf numFmtId="0" fontId="23" fillId="3" borderId="0" xfId="0" applyFont="1" applyFill="1" applyAlignment="1" applyProtection="1">
      <alignment horizontal="center" vertical="center"/>
      <protection locked="0"/>
    </xf>
    <xf numFmtId="0" fontId="41" fillId="3" borderId="0" xfId="0" applyFont="1" applyFill="1" applyAlignment="1" applyProtection="1">
      <alignment horizontal="center" vertical="center"/>
      <protection locked="0"/>
    </xf>
    <xf numFmtId="0" fontId="52" fillId="0" borderId="0" xfId="0" applyFont="1" applyProtection="1">
      <protection locked="0"/>
    </xf>
    <xf numFmtId="0" fontId="58" fillId="0" borderId="0" xfId="0" applyFont="1" applyProtection="1">
      <protection locked="0"/>
    </xf>
    <xf numFmtId="0" fontId="0" fillId="3" borderId="20" xfId="0" applyFill="1" applyBorder="1" applyProtection="1">
      <protection locked="0"/>
    </xf>
    <xf numFmtId="168" fontId="42" fillId="0" borderId="0" xfId="0" applyNumberFormat="1" applyFont="1" applyAlignment="1" applyProtection="1">
      <alignment horizontal="center"/>
      <protection locked="0"/>
    </xf>
    <xf numFmtId="1" fontId="42" fillId="0" borderId="0" xfId="0" applyNumberFormat="1" applyFont="1" applyAlignment="1" applyProtection="1">
      <alignment horizontal="center"/>
      <protection locked="0"/>
    </xf>
    <xf numFmtId="9" fontId="42" fillId="0" borderId="0" xfId="2" applyFont="1" applyFill="1" applyBorder="1" applyAlignment="1" applyProtection="1">
      <alignment horizontal="center"/>
      <protection locked="0"/>
    </xf>
    <xf numFmtId="169" fontId="42" fillId="0" borderId="0" xfId="2" applyNumberFormat="1" applyFont="1" applyFill="1" applyBorder="1" applyAlignment="1" applyProtection="1">
      <alignment horizontal="center"/>
      <protection locked="0"/>
    </xf>
    <xf numFmtId="164" fontId="42" fillId="0" borderId="0" xfId="1" applyFont="1" applyFill="1" applyBorder="1" applyAlignment="1" applyProtection="1">
      <alignment horizontal="center"/>
      <protection locked="0"/>
    </xf>
    <xf numFmtId="0" fontId="52" fillId="0" borderId="0" xfId="0" applyFont="1" applyAlignment="1" applyProtection="1">
      <alignment vertical="center" wrapText="1"/>
      <protection locked="0"/>
    </xf>
    <xf numFmtId="167" fontId="59" fillId="0" borderId="0" xfId="16" applyNumberFormat="1" applyFont="1" applyAlignment="1" applyProtection="1">
      <alignment horizontal="center" vertical="center"/>
      <protection locked="0"/>
    </xf>
    <xf numFmtId="169" fontId="0" fillId="3" borderId="31" xfId="2" applyNumberFormat="1" applyFont="1" applyFill="1" applyBorder="1" applyAlignment="1" applyProtection="1">
      <alignment horizontal="center"/>
      <protection locked="0"/>
    </xf>
    <xf numFmtId="169" fontId="0" fillId="3" borderId="0" xfId="2" applyNumberFormat="1" applyFont="1" applyFill="1" applyBorder="1" applyAlignment="1" applyProtection="1">
      <alignment horizontal="center"/>
      <protection locked="0"/>
    </xf>
    <xf numFmtId="9" fontId="42" fillId="0" borderId="0" xfId="0" applyNumberFormat="1" applyFont="1" applyAlignment="1" applyProtection="1">
      <alignment horizontal="center"/>
      <protection locked="0"/>
    </xf>
    <xf numFmtId="0" fontId="34" fillId="3" borderId="0" xfId="0" applyFont="1" applyFill="1" applyAlignment="1" applyProtection="1">
      <alignment horizontal="left" vertical="center"/>
      <protection locked="0"/>
    </xf>
    <xf numFmtId="167" fontId="0" fillId="3" borderId="0" xfId="0" applyNumberFormat="1" applyFill="1" applyAlignment="1" applyProtection="1">
      <alignment horizontal="left" vertical="center"/>
      <protection locked="0"/>
    </xf>
    <xf numFmtId="0" fontId="28" fillId="18" borderId="0" xfId="0" applyFont="1" applyFill="1" applyAlignment="1" applyProtection="1">
      <alignment horizontal="center"/>
      <protection locked="0"/>
    </xf>
    <xf numFmtId="167" fontId="28" fillId="18" borderId="0" xfId="1" applyNumberFormat="1" applyFont="1" applyFill="1" applyBorder="1" applyAlignment="1" applyProtection="1">
      <alignment horizontal="center"/>
      <protection locked="0"/>
    </xf>
    <xf numFmtId="0" fontId="0" fillId="3" borderId="10" xfId="0" applyFill="1" applyBorder="1" applyAlignment="1" applyProtection="1">
      <alignment horizontal="center" vertical="center"/>
      <protection locked="0"/>
    </xf>
    <xf numFmtId="164" fontId="0" fillId="3" borderId="11" xfId="1" applyFont="1" applyFill="1" applyBorder="1" applyAlignment="1" applyProtection="1">
      <alignment horizontal="center" vertical="center"/>
      <protection locked="0"/>
    </xf>
    <xf numFmtId="0" fontId="0" fillId="3" borderId="11" xfId="0" applyFill="1" applyBorder="1" applyAlignment="1" applyProtection="1">
      <alignment horizontal="center" vertical="center"/>
      <protection locked="0"/>
    </xf>
    <xf numFmtId="0" fontId="24" fillId="3" borderId="11" xfId="0" applyFont="1" applyFill="1" applyBorder="1" applyAlignment="1" applyProtection="1">
      <alignment horizontal="left" vertical="center"/>
      <protection locked="0"/>
    </xf>
    <xf numFmtId="0" fontId="0" fillId="3" borderId="11" xfId="0" applyFill="1" applyBorder="1" applyAlignment="1" applyProtection="1">
      <alignment horizontal="left" vertical="center"/>
      <protection locked="0"/>
    </xf>
    <xf numFmtId="0" fontId="0" fillId="3" borderId="14" xfId="0" applyFill="1" applyBorder="1" applyProtection="1">
      <protection locked="0"/>
    </xf>
    <xf numFmtId="0" fontId="0" fillId="3" borderId="11" xfId="0" applyFill="1" applyBorder="1" applyProtection="1">
      <protection locked="0"/>
    </xf>
    <xf numFmtId="168" fontId="60" fillId="0" borderId="0" xfId="28" applyNumberFormat="1" applyFont="1" applyFill="1" applyBorder="1" applyAlignment="1" applyProtection="1">
      <alignment vertical="center"/>
      <protection locked="0"/>
    </xf>
    <xf numFmtId="0" fontId="61" fillId="0" borderId="0" xfId="0" applyFont="1" applyAlignment="1" applyProtection="1">
      <alignment horizontal="center"/>
      <protection locked="0"/>
    </xf>
    <xf numFmtId="169" fontId="0" fillId="0" borderId="0" xfId="0" applyNumberFormat="1" applyProtection="1">
      <protection locked="0"/>
    </xf>
    <xf numFmtId="164" fontId="60" fillId="3" borderId="0" xfId="1" applyFont="1" applyFill="1" applyBorder="1" applyAlignment="1" applyProtection="1">
      <alignment vertical="center"/>
      <protection locked="0"/>
    </xf>
    <xf numFmtId="0" fontId="28" fillId="3" borderId="0" xfId="0" applyFont="1" applyFill="1" applyProtection="1">
      <protection locked="0"/>
    </xf>
    <xf numFmtId="0" fontId="28" fillId="3" borderId="0" xfId="0" applyFont="1" applyFill="1" applyAlignment="1" applyProtection="1">
      <alignment horizontal="center"/>
      <protection locked="0"/>
    </xf>
    <xf numFmtId="167" fontId="33" fillId="0" borderId="0" xfId="1" applyNumberFormat="1" applyFont="1" applyFill="1" applyBorder="1" applyAlignment="1" applyProtection="1">
      <alignment vertical="center"/>
      <protection locked="0"/>
    </xf>
    <xf numFmtId="0" fontId="69" fillId="3" borderId="0" xfId="0" applyFont="1" applyFill="1" applyAlignment="1" applyProtection="1">
      <alignment horizontal="center"/>
      <protection locked="0"/>
    </xf>
    <xf numFmtId="9" fontId="69" fillId="3" borderId="0" xfId="2" applyFont="1" applyFill="1" applyBorder="1" applyAlignment="1" applyProtection="1">
      <alignment horizontal="center"/>
      <protection locked="0"/>
    </xf>
    <xf numFmtId="0" fontId="69" fillId="3" borderId="0" xfId="0" applyFont="1" applyFill="1" applyProtection="1">
      <protection locked="0"/>
    </xf>
    <xf numFmtId="1" fontId="69" fillId="3" borderId="0" xfId="2" applyNumberFormat="1" applyFont="1" applyFill="1" applyBorder="1" applyAlignment="1" applyProtection="1">
      <alignment horizontal="center"/>
      <protection locked="0"/>
    </xf>
    <xf numFmtId="164" fontId="22" fillId="3" borderId="0" xfId="1" applyFont="1" applyFill="1" applyBorder="1" applyAlignment="1" applyProtection="1">
      <alignment horizontal="center"/>
      <protection locked="0"/>
    </xf>
    <xf numFmtId="178" fontId="28" fillId="3" borderId="0" xfId="0" applyNumberFormat="1" applyFont="1" applyFill="1" applyAlignment="1" applyProtection="1">
      <alignment horizontal="center"/>
      <protection locked="0"/>
    </xf>
    <xf numFmtId="168" fontId="62" fillId="0" borderId="0" xfId="1" applyNumberFormat="1" applyFont="1" applyFill="1" applyBorder="1" applyAlignment="1" applyProtection="1">
      <alignment horizontal="center" vertical="center"/>
      <protection locked="0"/>
    </xf>
    <xf numFmtId="168" fontId="62" fillId="0" borderId="0" xfId="1" applyNumberFormat="1" applyFont="1" applyFill="1" applyBorder="1" applyAlignment="1" applyProtection="1">
      <alignment vertical="center"/>
      <protection locked="0"/>
    </xf>
    <xf numFmtId="0" fontId="44" fillId="0" borderId="0" xfId="0" applyFont="1" applyAlignment="1" applyProtection="1">
      <alignment vertical="center"/>
      <protection locked="0"/>
    </xf>
    <xf numFmtId="9" fontId="51" fillId="0" borderId="0" xfId="2" applyFont="1" applyFill="1" applyAlignment="1" applyProtection="1">
      <alignment horizontal="left" vertical="center"/>
      <protection locked="0"/>
    </xf>
    <xf numFmtId="14" fontId="0" fillId="3" borderId="0" xfId="0" applyNumberFormat="1" applyFill="1" applyProtection="1">
      <protection locked="0"/>
    </xf>
    <xf numFmtId="167" fontId="28" fillId="3" borderId="0" xfId="1" applyNumberFormat="1" applyFont="1" applyFill="1" applyBorder="1" applyAlignment="1" applyProtection="1">
      <alignment horizontal="center"/>
      <protection locked="0"/>
    </xf>
    <xf numFmtId="164" fontId="29" fillId="0" borderId="0" xfId="1" applyFont="1" applyAlignment="1" applyProtection="1">
      <alignment horizontal="center" vertical="center"/>
      <protection locked="0"/>
    </xf>
    <xf numFmtId="1" fontId="29" fillId="0" borderId="0" xfId="1" applyNumberFormat="1" applyFont="1" applyAlignment="1" applyProtection="1">
      <alignment horizontal="center" vertical="center"/>
      <protection locked="0"/>
    </xf>
    <xf numFmtId="42" fontId="0" fillId="3" borderId="0" xfId="0" applyNumberFormat="1" applyFill="1" applyProtection="1">
      <protection locked="0"/>
    </xf>
    <xf numFmtId="0" fontId="63" fillId="0" borderId="0" xfId="0" applyFont="1" applyProtection="1">
      <protection locked="0"/>
    </xf>
    <xf numFmtId="0" fontId="57" fillId="0" borderId="0" xfId="0" applyFont="1" applyAlignment="1" applyProtection="1">
      <alignment horizontal="center"/>
      <protection locked="0"/>
    </xf>
    <xf numFmtId="168" fontId="43" fillId="0" borderId="0" xfId="0" applyNumberFormat="1" applyFont="1" applyAlignment="1" applyProtection="1">
      <alignment horizontal="left"/>
      <protection locked="0"/>
    </xf>
    <xf numFmtId="0" fontId="52" fillId="0" borderId="0" xfId="0" applyFont="1" applyAlignment="1" applyProtection="1">
      <alignment horizontal="left" vertical="center"/>
      <protection locked="0"/>
    </xf>
    <xf numFmtId="0" fontId="58"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52" fillId="0" borderId="0" xfId="0" applyFont="1" applyAlignment="1" applyProtection="1">
      <alignment horizontal="left" vertical="center" wrapText="1"/>
      <protection locked="0"/>
    </xf>
    <xf numFmtId="169" fontId="0" fillId="3" borderId="31" xfId="2" applyNumberFormat="1" applyFont="1" applyFill="1" applyBorder="1" applyAlignment="1" applyProtection="1">
      <alignment horizontal="center"/>
    </xf>
    <xf numFmtId="0" fontId="0" fillId="3" borderId="0" xfId="9" applyFont="1" applyFill="1" applyAlignment="1">
      <alignment horizontal="center"/>
    </xf>
    <xf numFmtId="0" fontId="17" fillId="9" borderId="0" xfId="9" applyFont="1" applyFill="1" applyAlignment="1">
      <alignment horizontal="center"/>
    </xf>
    <xf numFmtId="168" fontId="7" fillId="0" borderId="0" xfId="11" applyNumberFormat="1" applyAlignment="1">
      <alignment horizontal="center" wrapText="1"/>
    </xf>
    <xf numFmtId="9" fontId="17" fillId="9" borderId="0" xfId="12" applyFont="1" applyFill="1" applyBorder="1" applyAlignment="1">
      <alignment horizontal="center"/>
    </xf>
    <xf numFmtId="1" fontId="17" fillId="9" borderId="0" xfId="9" applyNumberFormat="1" applyFont="1" applyFill="1" applyAlignment="1">
      <alignment horizontal="center"/>
    </xf>
    <xf numFmtId="169" fontId="17" fillId="9" borderId="0" xfId="12" applyNumberFormat="1" applyFont="1" applyFill="1" applyBorder="1" applyAlignment="1">
      <alignment horizontal="center"/>
    </xf>
    <xf numFmtId="167" fontId="7" fillId="0" borderId="0" xfId="13" applyNumberFormat="1" applyFont="1" applyBorder="1" applyAlignment="1">
      <alignment horizontal="center"/>
    </xf>
    <xf numFmtId="0" fontId="9" fillId="0" borderId="0" xfId="9" applyAlignment="1">
      <alignment horizontal="center"/>
    </xf>
    <xf numFmtId="0" fontId="13" fillId="0" borderId="0" xfId="0" applyFont="1" applyAlignment="1" applyProtection="1">
      <alignment horizontal="center" vertical="center"/>
      <protection locked="0"/>
    </xf>
    <xf numFmtId="9" fontId="0" fillId="0" borderId="0" xfId="2" applyFont="1" applyProtection="1">
      <protection locked="0"/>
    </xf>
    <xf numFmtId="0" fontId="34" fillId="3" borderId="20" xfId="0" applyFont="1" applyFill="1" applyBorder="1" applyAlignment="1" applyProtection="1">
      <alignment horizontal="center" vertical="center"/>
      <protection locked="0"/>
    </xf>
    <xf numFmtId="0" fontId="34" fillId="3" borderId="37" xfId="0" applyFont="1" applyFill="1" applyBorder="1" applyAlignment="1" applyProtection="1">
      <alignment horizontal="center" vertical="center"/>
      <protection locked="0"/>
    </xf>
    <xf numFmtId="0" fontId="91" fillId="15" borderId="0" xfId="0" applyFont="1" applyFill="1" applyAlignment="1" applyProtection="1">
      <alignment horizontal="center" vertical="center"/>
      <protection locked="0"/>
    </xf>
    <xf numFmtId="0" fontId="92" fillId="3" borderId="20" xfId="0" applyFont="1" applyFill="1" applyBorder="1" applyAlignment="1" applyProtection="1">
      <alignment horizontal="center" vertical="center" wrapText="1"/>
      <protection locked="0"/>
    </xf>
    <xf numFmtId="0" fontId="92" fillId="3" borderId="0" xfId="0" applyFont="1" applyFill="1" applyAlignment="1" applyProtection="1">
      <alignment horizontal="center" vertical="center" wrapText="1"/>
      <protection locked="0"/>
    </xf>
    <xf numFmtId="0" fontId="92" fillId="3" borderId="10" xfId="0" applyFont="1" applyFill="1" applyBorder="1" applyAlignment="1" applyProtection="1">
      <alignment horizontal="center" vertical="center" wrapText="1"/>
      <protection locked="0"/>
    </xf>
    <xf numFmtId="0" fontId="92" fillId="3" borderId="11" xfId="0" applyFont="1" applyFill="1" applyBorder="1" applyAlignment="1" applyProtection="1">
      <alignment horizontal="center" vertical="center" wrapText="1"/>
      <protection locked="0"/>
    </xf>
    <xf numFmtId="0" fontId="52" fillId="0" borderId="0" xfId="0" applyFont="1" applyAlignment="1" applyProtection="1">
      <alignment horizontal="left" vertical="center" wrapText="1"/>
      <protection locked="0"/>
    </xf>
    <xf numFmtId="0" fontId="34" fillId="3" borderId="20" xfId="0" applyFont="1" applyFill="1" applyBorder="1" applyAlignment="1" applyProtection="1">
      <alignment horizontal="center"/>
      <protection locked="0"/>
    </xf>
    <xf numFmtId="0" fontId="34" fillId="3" borderId="0" xfId="0" applyFont="1" applyFill="1" applyAlignment="1" applyProtection="1">
      <alignment horizontal="center"/>
      <protection locked="0"/>
    </xf>
    <xf numFmtId="0" fontId="33" fillId="0" borderId="0" xfId="0" applyFont="1" applyAlignment="1" applyProtection="1">
      <alignment horizontal="center" vertical="center" wrapText="1"/>
      <protection locked="0"/>
    </xf>
    <xf numFmtId="0" fontId="33" fillId="0" borderId="0" xfId="0" applyFont="1" applyAlignment="1" applyProtection="1">
      <alignment horizontal="center" vertical="center"/>
      <protection locked="0"/>
    </xf>
    <xf numFmtId="0" fontId="35" fillId="3" borderId="0" xfId="0" applyFont="1" applyFill="1" applyAlignment="1" applyProtection="1">
      <alignment horizontal="center" vertical="center"/>
      <protection locked="0"/>
    </xf>
    <xf numFmtId="0" fontId="33" fillId="0" borderId="0" xfId="0" applyFont="1" applyAlignment="1" applyProtection="1">
      <alignment horizontal="center"/>
      <protection locked="0"/>
    </xf>
    <xf numFmtId="0" fontId="47" fillId="0" borderId="0" xfId="29" applyFont="1" applyFill="1" applyBorder="1" applyAlignment="1" applyProtection="1">
      <alignment horizontal="center" vertical="center"/>
      <protection locked="0"/>
    </xf>
    <xf numFmtId="0" fontId="47" fillId="0" borderId="0" xfId="29" applyFont="1" applyFill="1" applyBorder="1" applyAlignment="1" applyProtection="1">
      <alignment horizontal="center" vertical="center" wrapText="1"/>
      <protection locked="0"/>
    </xf>
    <xf numFmtId="0" fontId="44" fillId="0" borderId="0" xfId="0" applyFont="1" applyAlignment="1" applyProtection="1">
      <alignment horizontal="center" vertical="center"/>
      <protection locked="0"/>
    </xf>
    <xf numFmtId="0" fontId="34" fillId="3" borderId="0" xfId="0" applyFont="1" applyFill="1" applyAlignment="1" applyProtection="1">
      <alignment horizontal="center" vertical="center"/>
      <protection locked="0"/>
    </xf>
    <xf numFmtId="0" fontId="34" fillId="3" borderId="19" xfId="0" applyFont="1" applyFill="1" applyBorder="1" applyAlignment="1" applyProtection="1">
      <alignment horizontal="center" vertical="center"/>
      <protection locked="0"/>
    </xf>
    <xf numFmtId="0" fontId="34" fillId="3" borderId="21" xfId="0" applyFont="1" applyFill="1" applyBorder="1" applyAlignment="1" applyProtection="1">
      <alignment horizontal="center"/>
      <protection locked="0"/>
    </xf>
    <xf numFmtId="167" fontId="37" fillId="0" borderId="0" xfId="33" applyNumberFormat="1" applyFont="1" applyFill="1" applyBorder="1" applyAlignment="1" applyProtection="1">
      <alignment horizontal="center" vertical="center"/>
      <protection locked="0"/>
    </xf>
    <xf numFmtId="0" fontId="39" fillId="3" borderId="22" xfId="0" applyFont="1" applyFill="1" applyBorder="1" applyAlignment="1" applyProtection="1">
      <alignment horizontal="center" vertical="center"/>
      <protection locked="0"/>
    </xf>
    <xf numFmtId="0" fontId="39" fillId="3" borderId="23" xfId="0" applyFont="1" applyFill="1" applyBorder="1" applyAlignment="1" applyProtection="1">
      <alignment horizontal="center" vertical="center"/>
      <protection locked="0"/>
    </xf>
    <xf numFmtId="0" fontId="39" fillId="3" borderId="24" xfId="0" applyFont="1" applyFill="1" applyBorder="1" applyAlignment="1" applyProtection="1">
      <alignment horizontal="center" vertical="center"/>
      <protection locked="0"/>
    </xf>
    <xf numFmtId="0" fontId="40" fillId="0" borderId="0" xfId="0" applyFont="1" applyAlignment="1" applyProtection="1">
      <alignment horizontal="center" vertical="center" wrapText="1"/>
      <protection locked="0"/>
    </xf>
    <xf numFmtId="0" fontId="30" fillId="0" borderId="0" xfId="0" applyFont="1" applyAlignment="1" applyProtection="1">
      <alignment horizontal="center" wrapText="1"/>
      <protection locked="0"/>
    </xf>
    <xf numFmtId="0" fontId="31" fillId="3" borderId="16" xfId="29" applyFont="1" applyFill="1" applyBorder="1" applyAlignment="1" applyProtection="1">
      <alignment horizontal="center" vertical="center"/>
      <protection locked="0"/>
    </xf>
    <xf numFmtId="0" fontId="31" fillId="3" borderId="13" xfId="29" applyFont="1" applyFill="1" applyBorder="1" applyAlignment="1" applyProtection="1">
      <alignment horizontal="center" vertical="center"/>
      <protection locked="0"/>
    </xf>
    <xf numFmtId="0" fontId="31" fillId="3" borderId="0" xfId="29" applyFont="1" applyFill="1" applyBorder="1" applyAlignment="1" applyProtection="1">
      <alignment horizontal="center" vertical="center" wrapText="1"/>
      <protection locked="0"/>
    </xf>
    <xf numFmtId="0" fontId="32" fillId="3" borderId="0" xfId="0" applyFont="1" applyFill="1" applyAlignment="1" applyProtection="1">
      <alignment horizontal="center" vertical="center"/>
      <protection locked="0"/>
    </xf>
    <xf numFmtId="0" fontId="28" fillId="8" borderId="12" xfId="0" applyFont="1" applyFill="1" applyBorder="1" applyAlignment="1" applyProtection="1">
      <alignment horizontal="center"/>
      <protection locked="0"/>
    </xf>
    <xf numFmtId="0" fontId="28" fillId="8" borderId="9" xfId="0" applyFont="1" applyFill="1" applyBorder="1" applyAlignment="1" applyProtection="1">
      <alignment horizontal="center"/>
      <protection locked="0"/>
    </xf>
    <xf numFmtId="0" fontId="28" fillId="8" borderId="8"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30" fillId="0" borderId="0" xfId="0" applyFont="1" applyAlignment="1" applyProtection="1">
      <alignment horizontal="center"/>
      <protection locked="0"/>
    </xf>
    <xf numFmtId="0" fontId="37" fillId="12" borderId="29" xfId="16" applyFont="1" applyFill="1" applyBorder="1" applyAlignment="1" applyProtection="1">
      <alignment horizontal="center" vertical="center"/>
      <protection locked="0"/>
    </xf>
    <xf numFmtId="0" fontId="45" fillId="3" borderId="1" xfId="29" applyFont="1" applyFill="1" applyBorder="1" applyAlignment="1" applyProtection="1">
      <alignment horizontal="center" vertical="center"/>
      <protection locked="0"/>
    </xf>
    <xf numFmtId="0" fontId="56" fillId="3" borderId="0" xfId="29" applyFont="1" applyFill="1" applyBorder="1" applyAlignment="1" applyProtection="1">
      <alignment horizontal="center" vertical="center" wrapText="1"/>
      <protection locked="0"/>
    </xf>
    <xf numFmtId="0" fontId="54" fillId="6" borderId="12" xfId="0" applyFont="1" applyFill="1" applyBorder="1" applyAlignment="1" applyProtection="1">
      <alignment horizontal="center" vertical="center"/>
      <protection locked="0"/>
    </xf>
    <xf numFmtId="0" fontId="54" fillId="6" borderId="8" xfId="0" applyFont="1" applyFill="1" applyBorder="1" applyAlignment="1" applyProtection="1">
      <alignment horizontal="center" vertical="center"/>
      <protection locked="0"/>
    </xf>
    <xf numFmtId="0" fontId="32" fillId="3" borderId="0" xfId="0" applyFont="1" applyFill="1" applyAlignment="1" applyProtection="1">
      <alignment horizontal="center" vertical="center" wrapText="1"/>
      <protection locked="0"/>
    </xf>
    <xf numFmtId="0" fontId="54" fillId="11" borderId="1" xfId="0" applyFont="1" applyFill="1" applyBorder="1" applyAlignment="1" applyProtection="1">
      <alignment horizontal="center" vertical="center"/>
      <protection locked="0"/>
    </xf>
    <xf numFmtId="0" fontId="56" fillId="0" borderId="0" xfId="29" applyFont="1" applyFill="1" applyBorder="1" applyAlignment="1" applyProtection="1">
      <alignment horizontal="center" vertical="center"/>
      <protection locked="0"/>
    </xf>
    <xf numFmtId="0" fontId="34" fillId="3" borderId="40" xfId="0" applyFont="1" applyFill="1" applyBorder="1" applyAlignment="1" applyProtection="1">
      <alignment horizontal="center"/>
      <protection locked="0"/>
    </xf>
    <xf numFmtId="164" fontId="0" fillId="3" borderId="77" xfId="1" applyFont="1" applyFill="1" applyBorder="1" applyAlignment="1" applyProtection="1">
      <alignment horizontal="center" vertical="center"/>
      <protection locked="0"/>
    </xf>
    <xf numFmtId="164" fontId="0" fillId="3" borderId="78" xfId="1" applyFont="1" applyFill="1" applyBorder="1" applyAlignment="1" applyProtection="1">
      <alignment horizontal="center" vertical="center"/>
      <protection locked="0"/>
    </xf>
    <xf numFmtId="164" fontId="0" fillId="3" borderId="77" xfId="0" applyNumberFormat="1" applyFill="1" applyBorder="1" applyAlignment="1" applyProtection="1">
      <alignment horizontal="center"/>
      <protection locked="0"/>
    </xf>
    <xf numFmtId="0" fontId="0" fillId="3" borderId="78" xfId="0" applyFill="1" applyBorder="1" applyAlignment="1" applyProtection="1">
      <alignment horizontal="center"/>
      <protection locked="0"/>
    </xf>
    <xf numFmtId="0" fontId="33" fillId="0" borderId="0" xfId="28" applyFont="1" applyFill="1" applyBorder="1" applyAlignment="1" applyProtection="1">
      <alignment horizontal="center" vertical="center"/>
      <protection locked="0"/>
    </xf>
    <xf numFmtId="167" fontId="33" fillId="0" borderId="0" xfId="1" applyNumberFormat="1" applyFont="1" applyFill="1" applyBorder="1" applyAlignment="1" applyProtection="1">
      <alignment horizontal="center" vertical="center"/>
      <protection locked="0"/>
    </xf>
    <xf numFmtId="0" fontId="60" fillId="0" borderId="0" xfId="0" applyFont="1" applyAlignment="1" applyProtection="1">
      <alignment horizontal="center" vertical="center"/>
      <protection locked="0"/>
    </xf>
    <xf numFmtId="0" fontId="0" fillId="3" borderId="31" xfId="0" applyFill="1" applyBorder="1" applyAlignment="1" applyProtection="1">
      <alignment horizontal="center"/>
      <protection locked="0"/>
    </xf>
    <xf numFmtId="0" fontId="56" fillId="0" borderId="0" xfId="29" applyFont="1" applyFill="1" applyBorder="1" applyAlignment="1" applyProtection="1">
      <alignment horizontal="center" vertical="center" wrapText="1"/>
      <protection locked="0"/>
    </xf>
    <xf numFmtId="0" fontId="52" fillId="0" borderId="0" xfId="0" applyFont="1" applyAlignment="1" applyProtection="1">
      <alignment horizontal="left" vertical="center" readingOrder="1"/>
      <protection locked="0"/>
    </xf>
    <xf numFmtId="0" fontId="90" fillId="16" borderId="70" xfId="35" applyFont="1" applyFill="1" applyBorder="1" applyAlignment="1">
      <alignment horizontal="center" vertical="center" wrapText="1"/>
    </xf>
    <xf numFmtId="0" fontId="90" fillId="16" borderId="71" xfId="35" applyFont="1" applyFill="1" applyBorder="1" applyAlignment="1">
      <alignment horizontal="center" vertical="center" wrapText="1"/>
    </xf>
    <xf numFmtId="0" fontId="90" fillId="16" borderId="72" xfId="35" applyFont="1" applyFill="1" applyBorder="1" applyAlignment="1">
      <alignment horizontal="center" vertical="center" wrapText="1"/>
    </xf>
    <xf numFmtId="0" fontId="22" fillId="20" borderId="73" xfId="35" applyFont="1" applyFill="1" applyBorder="1" applyAlignment="1">
      <alignment horizontal="center" vertical="center"/>
    </xf>
    <xf numFmtId="0" fontId="22" fillId="20" borderId="81" xfId="35" applyFont="1" applyFill="1" applyBorder="1" applyAlignment="1">
      <alignment horizontal="center" vertical="center"/>
    </xf>
    <xf numFmtId="0" fontId="22" fillId="20" borderId="82" xfId="35" applyFont="1" applyFill="1" applyBorder="1" applyAlignment="1">
      <alignment horizontal="center" vertical="center"/>
    </xf>
    <xf numFmtId="0" fontId="87" fillId="19" borderId="75" xfId="35" applyFont="1" applyFill="1" applyBorder="1" applyAlignment="1">
      <alignment horizontal="center" vertical="center"/>
    </xf>
    <xf numFmtId="0" fontId="87" fillId="19" borderId="76" xfId="35" applyFont="1" applyFill="1" applyBorder="1" applyAlignment="1">
      <alignment horizontal="center" vertical="center"/>
    </xf>
    <xf numFmtId="0" fontId="87" fillId="0" borderId="73" xfId="35" applyFont="1" applyBorder="1" applyAlignment="1">
      <alignment horizontal="center" vertical="center"/>
    </xf>
    <xf numFmtId="0" fontId="87" fillId="0" borderId="74" xfId="35" applyFont="1" applyBorder="1" applyAlignment="1">
      <alignment horizontal="center" vertical="center"/>
    </xf>
    <xf numFmtId="0" fontId="90" fillId="20" borderId="70" xfId="35" applyFont="1" applyFill="1" applyBorder="1" applyAlignment="1">
      <alignment horizontal="center" vertical="center" wrapText="1"/>
    </xf>
    <xf numFmtId="0" fontId="90" fillId="20" borderId="71" xfId="35" applyFont="1" applyFill="1" applyBorder="1" applyAlignment="1">
      <alignment horizontal="center" vertical="center" wrapText="1"/>
    </xf>
    <xf numFmtId="0" fontId="90" fillId="20" borderId="72" xfId="35" applyFont="1" applyFill="1" applyBorder="1" applyAlignment="1">
      <alignment horizontal="center" vertical="center" wrapText="1"/>
    </xf>
    <xf numFmtId="0" fontId="95" fillId="16" borderId="75" xfId="36" applyFont="1" applyFill="1" applyBorder="1" applyAlignment="1">
      <alignment horizontal="center" vertical="center" wrapText="1"/>
    </xf>
    <xf numFmtId="0" fontId="95" fillId="16" borderId="79" xfId="36" applyFont="1" applyFill="1" applyBorder="1" applyAlignment="1">
      <alignment horizontal="center" vertical="center" wrapText="1"/>
    </xf>
    <xf numFmtId="0" fontId="95" fillId="16" borderId="80" xfId="36" applyFont="1" applyFill="1" applyBorder="1" applyAlignment="1">
      <alignment horizontal="center" vertical="center" wrapText="1"/>
    </xf>
    <xf numFmtId="0" fontId="22" fillId="16" borderId="61" xfId="36" applyFont="1" applyFill="1" applyBorder="1" applyAlignment="1">
      <alignment horizontal="center" vertical="center" wrapText="1"/>
    </xf>
    <xf numFmtId="0" fontId="22" fillId="16" borderId="83" xfId="36" applyFont="1" applyFill="1" applyBorder="1" applyAlignment="1">
      <alignment horizontal="center" vertical="center" wrapText="1"/>
    </xf>
    <xf numFmtId="0" fontId="22" fillId="20" borderId="75" xfId="36" applyFont="1" applyFill="1" applyBorder="1" applyAlignment="1">
      <alignment horizontal="center" vertical="center" wrapText="1"/>
    </xf>
    <xf numFmtId="0" fontId="22" fillId="20" borderId="79" xfId="36" applyFont="1" applyFill="1" applyBorder="1" applyAlignment="1">
      <alignment horizontal="center" vertical="center" wrapText="1"/>
    </xf>
    <xf numFmtId="0" fontId="22" fillId="20" borderId="80" xfId="36" applyFont="1" applyFill="1" applyBorder="1" applyAlignment="1">
      <alignment horizontal="center" vertical="center" wrapText="1"/>
    </xf>
    <xf numFmtId="0" fontId="22" fillId="0" borderId="0" xfId="0" applyFont="1" applyAlignment="1">
      <alignment horizontal="left" vertical="center" wrapText="1"/>
    </xf>
    <xf numFmtId="174" fontId="80" fillId="0" borderId="45" xfId="16" applyNumberFormat="1" applyFont="1" applyBorder="1" applyAlignment="1">
      <alignment horizontal="center" vertical="center" textRotation="90"/>
    </xf>
    <xf numFmtId="174" fontId="80" fillId="0" borderId="54" xfId="16" applyNumberFormat="1" applyFont="1" applyBorder="1" applyAlignment="1">
      <alignment horizontal="center" vertical="center" textRotation="90"/>
    </xf>
    <xf numFmtId="174" fontId="80" fillId="0" borderId="58" xfId="16" applyNumberFormat="1" applyFont="1" applyBorder="1" applyAlignment="1">
      <alignment horizontal="center" vertical="center" textRotation="90"/>
    </xf>
    <xf numFmtId="0" fontId="94" fillId="23" borderId="0" xfId="0" applyFont="1" applyFill="1" applyAlignment="1">
      <alignment horizontal="left" wrapText="1"/>
    </xf>
    <xf numFmtId="0" fontId="64" fillId="13" borderId="2" xfId="16" applyFont="1" applyFill="1" applyBorder="1" applyAlignment="1">
      <alignment horizontal="center" vertical="center"/>
    </xf>
    <xf numFmtId="0" fontId="64" fillId="13" borderId="38" xfId="16" applyFont="1" applyFill="1" applyBorder="1" applyAlignment="1">
      <alignment horizontal="center" vertical="center"/>
    </xf>
    <xf numFmtId="0" fontId="64" fillId="13" borderId="3" xfId="16" applyFont="1" applyFill="1" applyBorder="1" applyAlignment="1">
      <alignment horizontal="center" vertical="center"/>
    </xf>
    <xf numFmtId="0" fontId="64" fillId="13" borderId="4" xfId="16" applyFont="1" applyFill="1" applyBorder="1" applyAlignment="1">
      <alignment horizontal="center" vertical="center"/>
    </xf>
    <xf numFmtId="0" fontId="64" fillId="13" borderId="39" xfId="16" applyFont="1" applyFill="1" applyBorder="1" applyAlignment="1">
      <alignment horizontal="center" vertical="center"/>
    </xf>
    <xf numFmtId="0" fontId="64" fillId="13" borderId="5" xfId="16" applyFont="1" applyFill="1" applyBorder="1" applyAlignment="1">
      <alignment horizontal="center" vertical="center"/>
    </xf>
    <xf numFmtId="0" fontId="19" fillId="8" borderId="12" xfId="16" applyFont="1" applyFill="1" applyBorder="1" applyAlignment="1">
      <alignment horizontal="center" vertical="center"/>
    </xf>
    <xf numFmtId="0" fontId="19" fillId="8" borderId="9" xfId="16" applyFont="1" applyFill="1" applyBorder="1" applyAlignment="1">
      <alignment horizontal="center" vertical="center"/>
    </xf>
    <xf numFmtId="0" fontId="19" fillId="8" borderId="8" xfId="16" applyFont="1" applyFill="1" applyBorder="1" applyAlignment="1">
      <alignment horizontal="center" vertical="center"/>
    </xf>
    <xf numFmtId="0" fontId="18" fillId="3" borderId="0" xfId="16" applyFont="1" applyFill="1" applyAlignment="1">
      <alignment horizontal="center" vertical="center"/>
    </xf>
  </cellXfs>
  <cellStyles count="41">
    <cellStyle name="60% - Énfasis1 2" xfId="29" xr:uid="{8C9A2EAB-543E-4913-9964-7DB4834629B7}"/>
    <cellStyle name="Bueno" xfId="8" builtinId="26"/>
    <cellStyle name="Encabezado 1" xfId="28" builtinId="16"/>
    <cellStyle name="Hipervínculo" xfId="34" builtinId="8"/>
    <cellStyle name="Hipervínculo 2" xfId="36" xr:uid="{3263CB49-349E-4D7E-9623-5A808E0FABB4}"/>
    <cellStyle name="Millares [0]" xfId="7" builtinId="6"/>
    <cellStyle name="Millares [0] 2" xfId="6" xr:uid="{00000000-0005-0000-0000-000002000000}"/>
    <cellStyle name="Millares 2 3" xfId="38" xr:uid="{3E3917B8-C562-4E52-A92C-9F2183386F7A}"/>
    <cellStyle name="Moneda [0]" xfId="1" builtinId="7"/>
    <cellStyle name="Moneda [0] 2" xfId="5" xr:uid="{00000000-0005-0000-0000-000004000000}"/>
    <cellStyle name="Moneda [0] 2 2" xfId="13" xr:uid="{00000000-0005-0000-0000-000005000000}"/>
    <cellStyle name="Moneda [0] 3 2" xfId="15" xr:uid="{00000000-0005-0000-0000-000006000000}"/>
    <cellStyle name="Moneda [0] 3 2 2" xfId="20" xr:uid="{00000000-0005-0000-0000-000007000000}"/>
    <cellStyle name="Moneda [0] 3 2 2 2" xfId="27" xr:uid="{03702636-0C40-4B45-AF57-6E89D6337A7F}"/>
    <cellStyle name="Moneda [0] 3 2 2 2 2" xfId="33" xr:uid="{4B4605EF-35BD-44E3-B257-E90F73A29DE3}"/>
    <cellStyle name="Moneda [0] 3 2 2 3" xfId="30" xr:uid="{0FB2C1A7-B17A-4AAD-8EA5-5CFEE7F2CBE8}"/>
    <cellStyle name="Moneda [0] 3 2 3" xfId="21" xr:uid="{00000000-0005-0000-0000-000008000000}"/>
    <cellStyle name="Normal" xfId="0" builtinId="0"/>
    <cellStyle name="Normal 2" xfId="3" xr:uid="{00000000-0005-0000-0000-00000A000000}"/>
    <cellStyle name="Normal 2 2" xfId="9" xr:uid="{00000000-0005-0000-0000-00000B000000}"/>
    <cellStyle name="Normal 2 2 2" xfId="16" xr:uid="{00000000-0005-0000-0000-00000C000000}"/>
    <cellStyle name="Normal 2 2 3" xfId="23" xr:uid="{00000000-0005-0000-0000-00000D000000}"/>
    <cellStyle name="Normal 3" xfId="11" xr:uid="{00000000-0005-0000-0000-00000E000000}"/>
    <cellStyle name="Normal 3 2" xfId="14" xr:uid="{00000000-0005-0000-0000-00000F000000}"/>
    <cellStyle name="Normal 3 2 2" xfId="19" xr:uid="{00000000-0005-0000-0000-000010000000}"/>
    <cellStyle name="Normal 3 2 2 2" xfId="26" xr:uid="{69F43A5F-B2EF-49DF-A3B8-4C66A10467D0}"/>
    <cellStyle name="Normal 3 2 3" xfId="22" xr:uid="{00000000-0005-0000-0000-000011000000}"/>
    <cellStyle name="Normal 3 3" xfId="17" xr:uid="{00000000-0005-0000-0000-000012000000}"/>
    <cellStyle name="Normal 3 4" xfId="24" xr:uid="{00000000-0005-0000-0000-000013000000}"/>
    <cellStyle name="Normal 3 5" xfId="31" xr:uid="{B839693D-A091-4E81-9F4C-3AA815B5C475}"/>
    <cellStyle name="Normal 4" xfId="35" xr:uid="{ED2D08B8-75A1-4E8B-84F5-6246275999D3}"/>
    <cellStyle name="Normal 4 2" xfId="39" xr:uid="{B612A0F0-F316-41E2-BFF0-BF1ECC3A2E1A}"/>
    <cellStyle name="Normal 7" xfId="37" xr:uid="{F4AA10F3-37EE-402E-95A8-25E7EDA71B01}"/>
    <cellStyle name="Normal 7 2" xfId="40" xr:uid="{5A66394A-7F40-40AF-9A8A-F81915350EB8}"/>
    <cellStyle name="Porcentaje" xfId="2" builtinId="5"/>
    <cellStyle name="Porcentaje 2" xfId="4" xr:uid="{00000000-0005-0000-0000-000015000000}"/>
    <cellStyle name="Porcentaje 2 2" xfId="10" xr:uid="{00000000-0005-0000-0000-000016000000}"/>
    <cellStyle name="Porcentaje 3" xfId="12" xr:uid="{00000000-0005-0000-0000-000017000000}"/>
    <cellStyle name="Porcentaje 3 2" xfId="18" xr:uid="{00000000-0005-0000-0000-000018000000}"/>
    <cellStyle name="Porcentaje 3 3" xfId="25" xr:uid="{00000000-0005-0000-0000-000019000000}"/>
    <cellStyle name="Porcentaje 3 4" xfId="32" xr:uid="{12AD830D-A700-4EB6-B26E-4F0E82FF2B5D}"/>
  </cellStyles>
  <dxfs count="146">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ont>
        <color rgb="FFFF0000"/>
      </font>
    </dxf>
    <dxf>
      <font>
        <color rgb="FF00B050"/>
      </font>
    </dxf>
  </dxfs>
  <tableStyles count="0" defaultTableStyle="TableStyleMedium9" defaultPivotStyle="PivotStyleMedium7"/>
  <colors>
    <mruColors>
      <color rgb="FF99CCFF"/>
      <color rgb="FF00CCFF"/>
      <color rgb="FFFFCCCC"/>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206952</xdr:colOff>
      <xdr:row>7</xdr:row>
      <xdr:rowOff>102177</xdr:rowOff>
    </xdr:from>
    <xdr:to>
      <xdr:col>3</xdr:col>
      <xdr:colOff>637309</xdr:colOff>
      <xdr:row>9</xdr:row>
      <xdr:rowOff>121227</xdr:rowOff>
    </xdr:to>
    <xdr:sp macro="[0]!Uno" textlink="">
      <xdr:nvSpPr>
        <xdr:cNvPr id="4" name="Elipse 3">
          <a:extLst>
            <a:ext uri="{FF2B5EF4-FFF2-40B4-BE49-F238E27FC236}">
              <a16:creationId xmlns:a16="http://schemas.microsoft.com/office/drawing/2014/main" id="{4C2AC21F-19C8-459E-9076-492107CDFF74}"/>
            </a:ext>
          </a:extLst>
        </xdr:cNvPr>
        <xdr:cNvSpPr/>
      </xdr:nvSpPr>
      <xdr:spPr>
        <a:xfrm>
          <a:off x="1950027" y="1502352"/>
          <a:ext cx="430357" cy="419100"/>
        </a:xfrm>
        <a:prstGeom prst="ellipse">
          <a:avLst/>
        </a:prstGeom>
        <a:solidFill>
          <a:schemeClr val="accent1">
            <a:lumMod val="40000"/>
            <a:lumOff val="60000"/>
          </a:schemeClr>
        </a:solidFill>
        <a:ln>
          <a:solidFill>
            <a:schemeClr val="accent1">
              <a:lumMod val="40000"/>
              <a:lumOff val="60000"/>
            </a:schemeClr>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100" b="0">
              <a:ln>
                <a:solidFill>
                  <a:sysClr val="windowText" lastClr="000000"/>
                </a:solidFill>
              </a:ln>
              <a:solidFill>
                <a:sysClr val="windowText" lastClr="000000"/>
              </a:solidFill>
              <a:latin typeface="+mj-lt"/>
            </a:rPr>
            <a:t>1</a:t>
          </a:r>
        </a:p>
      </xdr:txBody>
    </xdr:sp>
    <xdr:clientData/>
  </xdr:twoCellAnchor>
  <xdr:twoCellAnchor>
    <xdr:from>
      <xdr:col>4</xdr:col>
      <xdr:colOff>169717</xdr:colOff>
      <xdr:row>7</xdr:row>
      <xdr:rowOff>119496</xdr:rowOff>
    </xdr:from>
    <xdr:to>
      <xdr:col>4</xdr:col>
      <xdr:colOff>598342</xdr:colOff>
      <xdr:row>9</xdr:row>
      <xdr:rowOff>138546</xdr:rowOff>
    </xdr:to>
    <xdr:sp macro="[0]!Dos" textlink="">
      <xdr:nvSpPr>
        <xdr:cNvPr id="5" name="Elipse 4">
          <a:extLst>
            <a:ext uri="{FF2B5EF4-FFF2-40B4-BE49-F238E27FC236}">
              <a16:creationId xmlns:a16="http://schemas.microsoft.com/office/drawing/2014/main" id="{6DD50A20-0804-4175-A36F-248CBEB9C903}"/>
            </a:ext>
          </a:extLst>
        </xdr:cNvPr>
        <xdr:cNvSpPr/>
      </xdr:nvSpPr>
      <xdr:spPr>
        <a:xfrm>
          <a:off x="2836717" y="1531437"/>
          <a:ext cx="428625" cy="422462"/>
        </a:xfrm>
        <a:prstGeom prst="ellipse">
          <a:avLst/>
        </a:prstGeom>
        <a:solidFill>
          <a:schemeClr val="accent1">
            <a:lumMod val="40000"/>
            <a:lumOff val="60000"/>
          </a:schemeClr>
        </a:solidFill>
        <a:ln>
          <a:solidFill>
            <a:schemeClr val="accent1">
              <a:lumMod val="40000"/>
              <a:lumOff val="60000"/>
            </a:schemeClr>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100" b="0">
              <a:ln>
                <a:solidFill>
                  <a:sysClr val="windowText" lastClr="000000"/>
                </a:solidFill>
              </a:ln>
              <a:solidFill>
                <a:sysClr val="windowText" lastClr="000000"/>
              </a:solidFill>
              <a:latin typeface="+mj-lt"/>
              <a:ea typeface="+mn-ea"/>
              <a:cs typeface="+mn-cs"/>
            </a:rPr>
            <a:t>2</a:t>
          </a:r>
        </a:p>
      </xdr:txBody>
    </xdr:sp>
    <xdr:clientData/>
  </xdr:twoCellAnchor>
  <xdr:twoCellAnchor>
    <xdr:from>
      <xdr:col>5</xdr:col>
      <xdr:colOff>167120</xdr:colOff>
      <xdr:row>7</xdr:row>
      <xdr:rowOff>119495</xdr:rowOff>
    </xdr:from>
    <xdr:to>
      <xdr:col>5</xdr:col>
      <xdr:colOff>595745</xdr:colOff>
      <xdr:row>9</xdr:row>
      <xdr:rowOff>138545</xdr:rowOff>
    </xdr:to>
    <xdr:sp macro="[0]!Tres" textlink="">
      <xdr:nvSpPr>
        <xdr:cNvPr id="6" name="Elipse 5">
          <a:extLst>
            <a:ext uri="{FF2B5EF4-FFF2-40B4-BE49-F238E27FC236}">
              <a16:creationId xmlns:a16="http://schemas.microsoft.com/office/drawing/2014/main" id="{AB48C5C4-97A3-4864-B221-63C3254F82EF}"/>
            </a:ext>
          </a:extLst>
        </xdr:cNvPr>
        <xdr:cNvSpPr/>
      </xdr:nvSpPr>
      <xdr:spPr>
        <a:xfrm>
          <a:off x="3672320" y="1519670"/>
          <a:ext cx="428625" cy="419100"/>
        </a:xfrm>
        <a:prstGeom prst="ellipse">
          <a:avLst/>
        </a:prstGeom>
        <a:solidFill>
          <a:schemeClr val="accent1">
            <a:lumMod val="40000"/>
            <a:lumOff val="60000"/>
          </a:schemeClr>
        </a:solidFill>
        <a:ln>
          <a:solidFill>
            <a:schemeClr val="accent1">
              <a:lumMod val="40000"/>
              <a:lumOff val="60000"/>
            </a:schemeClr>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100" b="0">
              <a:ln>
                <a:solidFill>
                  <a:sysClr val="windowText" lastClr="000000"/>
                </a:solidFill>
              </a:ln>
              <a:solidFill>
                <a:sysClr val="windowText" lastClr="000000"/>
              </a:solidFill>
              <a:latin typeface="+mj-lt"/>
              <a:ea typeface="+mn-ea"/>
              <a:cs typeface="+mn-cs"/>
            </a:rPr>
            <a:t>3</a:t>
          </a:r>
        </a:p>
      </xdr:txBody>
    </xdr:sp>
    <xdr:clientData/>
  </xdr:twoCellAnchor>
  <xdr:twoCellAnchor>
    <xdr:from>
      <xdr:col>6</xdr:col>
      <xdr:colOff>163657</xdr:colOff>
      <xdr:row>7</xdr:row>
      <xdr:rowOff>129021</xdr:rowOff>
    </xdr:from>
    <xdr:to>
      <xdr:col>6</xdr:col>
      <xdr:colOff>594014</xdr:colOff>
      <xdr:row>9</xdr:row>
      <xdr:rowOff>148071</xdr:rowOff>
    </xdr:to>
    <xdr:sp macro="[0]!Cuatro" textlink="">
      <xdr:nvSpPr>
        <xdr:cNvPr id="7" name="Elipse 6">
          <a:extLst>
            <a:ext uri="{FF2B5EF4-FFF2-40B4-BE49-F238E27FC236}">
              <a16:creationId xmlns:a16="http://schemas.microsoft.com/office/drawing/2014/main" id="{5442C03A-2C0D-4C32-A73C-8DBE38201DED}"/>
            </a:ext>
          </a:extLst>
        </xdr:cNvPr>
        <xdr:cNvSpPr/>
      </xdr:nvSpPr>
      <xdr:spPr>
        <a:xfrm>
          <a:off x="4507057" y="1529196"/>
          <a:ext cx="430357" cy="419100"/>
        </a:xfrm>
        <a:prstGeom prst="ellipse">
          <a:avLst/>
        </a:prstGeom>
        <a:solidFill>
          <a:schemeClr val="accent1">
            <a:lumMod val="40000"/>
            <a:lumOff val="60000"/>
          </a:schemeClr>
        </a:solidFill>
        <a:ln>
          <a:solidFill>
            <a:schemeClr val="accent1">
              <a:lumMod val="40000"/>
              <a:lumOff val="60000"/>
            </a:schemeClr>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100" b="0">
              <a:ln>
                <a:solidFill>
                  <a:sysClr val="windowText" lastClr="000000"/>
                </a:solidFill>
              </a:ln>
              <a:solidFill>
                <a:sysClr val="windowText" lastClr="000000"/>
              </a:solidFill>
              <a:latin typeface="+mj-lt"/>
              <a:ea typeface="+mn-ea"/>
              <a:cs typeface="+mn-cs"/>
            </a:rPr>
            <a:t>4</a:t>
          </a:r>
        </a:p>
      </xdr:txBody>
    </xdr:sp>
    <xdr:clientData/>
  </xdr:twoCellAnchor>
  <xdr:twoCellAnchor>
    <xdr:from>
      <xdr:col>7</xdr:col>
      <xdr:colOff>178593</xdr:colOff>
      <xdr:row>7</xdr:row>
      <xdr:rowOff>119063</xdr:rowOff>
    </xdr:from>
    <xdr:to>
      <xdr:col>7</xdr:col>
      <xdr:colOff>608950</xdr:colOff>
      <xdr:row>9</xdr:row>
      <xdr:rowOff>138113</xdr:rowOff>
    </xdr:to>
    <xdr:sp macro="[0]!Cinco" textlink="">
      <xdr:nvSpPr>
        <xdr:cNvPr id="9" name="Elipse 8">
          <a:extLst>
            <a:ext uri="{FF2B5EF4-FFF2-40B4-BE49-F238E27FC236}">
              <a16:creationId xmlns:a16="http://schemas.microsoft.com/office/drawing/2014/main" id="{2F04E90F-6E7E-4108-AAAB-0E6237820E32}"/>
            </a:ext>
          </a:extLst>
        </xdr:cNvPr>
        <xdr:cNvSpPr/>
      </xdr:nvSpPr>
      <xdr:spPr>
        <a:xfrm>
          <a:off x="5360193" y="1519238"/>
          <a:ext cx="430357" cy="419100"/>
        </a:xfrm>
        <a:prstGeom prst="ellipse">
          <a:avLst/>
        </a:prstGeom>
        <a:solidFill>
          <a:schemeClr val="accent1">
            <a:lumMod val="40000"/>
            <a:lumOff val="60000"/>
          </a:schemeClr>
        </a:solidFill>
        <a:ln>
          <a:solidFill>
            <a:schemeClr val="accent1">
              <a:lumMod val="40000"/>
              <a:lumOff val="60000"/>
            </a:schemeClr>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100" b="0">
              <a:ln>
                <a:solidFill>
                  <a:sysClr val="windowText" lastClr="000000"/>
                </a:solidFill>
              </a:ln>
              <a:solidFill>
                <a:sysClr val="windowText" lastClr="000000"/>
              </a:solidFill>
              <a:latin typeface="+mj-lt"/>
              <a:ea typeface="+mn-ea"/>
              <a:cs typeface="+mn-cs"/>
            </a:rPr>
            <a:t>5</a:t>
          </a:r>
        </a:p>
      </xdr:txBody>
    </xdr:sp>
    <xdr:clientData/>
  </xdr:twoCellAnchor>
  <xdr:twoCellAnchor>
    <xdr:from>
      <xdr:col>25</xdr:col>
      <xdr:colOff>21431</xdr:colOff>
      <xdr:row>5</xdr:row>
      <xdr:rowOff>129885</xdr:rowOff>
    </xdr:from>
    <xdr:to>
      <xdr:col>25</xdr:col>
      <xdr:colOff>1059656</xdr:colOff>
      <xdr:row>7</xdr:row>
      <xdr:rowOff>187307</xdr:rowOff>
    </xdr:to>
    <xdr:sp macro="" textlink="">
      <xdr:nvSpPr>
        <xdr:cNvPr id="11" name="Rectángulo: esquinas redondeadas 10">
          <a:extLst>
            <a:ext uri="{FF2B5EF4-FFF2-40B4-BE49-F238E27FC236}">
              <a16:creationId xmlns:a16="http://schemas.microsoft.com/office/drawing/2014/main" id="{3901FFBA-8C39-4CC2-BEAA-E76976453C4C}"/>
            </a:ext>
          </a:extLst>
        </xdr:cNvPr>
        <xdr:cNvSpPr/>
      </xdr:nvSpPr>
      <xdr:spPr>
        <a:xfrm>
          <a:off x="20995481" y="1130010"/>
          <a:ext cx="1038225" cy="457472"/>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Dpto.</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26</xdr:col>
      <xdr:colOff>14655</xdr:colOff>
      <xdr:row>5</xdr:row>
      <xdr:rowOff>129886</xdr:rowOff>
    </xdr:from>
    <xdr:to>
      <xdr:col>26</xdr:col>
      <xdr:colOff>1083469</xdr:colOff>
      <xdr:row>7</xdr:row>
      <xdr:rowOff>186071</xdr:rowOff>
    </xdr:to>
    <xdr:sp macro="" textlink="">
      <xdr:nvSpPr>
        <xdr:cNvPr id="12" name="Rectángulo: esquinas redondeadas 11">
          <a:extLst>
            <a:ext uri="{FF2B5EF4-FFF2-40B4-BE49-F238E27FC236}">
              <a16:creationId xmlns:a16="http://schemas.microsoft.com/office/drawing/2014/main" id="{033ECA0D-BC58-4991-B803-680C6C67A64E}"/>
            </a:ext>
          </a:extLst>
        </xdr:cNvPr>
        <xdr:cNvSpPr/>
      </xdr:nvSpPr>
      <xdr:spPr>
        <a:xfrm>
          <a:off x="22055505" y="1130011"/>
          <a:ext cx="1068814" cy="456235"/>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Tipología</a:t>
          </a:r>
        </a:p>
      </xdr:txBody>
    </xdr:sp>
    <xdr:clientData/>
  </xdr:twoCellAnchor>
  <xdr:twoCellAnchor>
    <xdr:from>
      <xdr:col>27</xdr:col>
      <xdr:colOff>14655</xdr:colOff>
      <xdr:row>5</xdr:row>
      <xdr:rowOff>129887</xdr:rowOff>
    </xdr:from>
    <xdr:to>
      <xdr:col>27</xdr:col>
      <xdr:colOff>1084385</xdr:colOff>
      <xdr:row>7</xdr:row>
      <xdr:rowOff>187309</xdr:rowOff>
    </xdr:to>
    <xdr:sp macro="" textlink="">
      <xdr:nvSpPr>
        <xdr:cNvPr id="13" name="Rectángulo: esquinas redondeadas 12">
          <a:extLst>
            <a:ext uri="{FF2B5EF4-FFF2-40B4-BE49-F238E27FC236}">
              <a16:creationId xmlns:a16="http://schemas.microsoft.com/office/drawing/2014/main" id="{C4588007-5EBC-455A-95BE-937874322C56}"/>
            </a:ext>
          </a:extLst>
        </xdr:cNvPr>
        <xdr:cNvSpPr/>
      </xdr:nvSpPr>
      <xdr:spPr>
        <a:xfrm>
          <a:off x="23150880" y="1130012"/>
          <a:ext cx="1069730" cy="457472"/>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Orientación</a:t>
          </a:r>
        </a:p>
      </xdr:txBody>
    </xdr:sp>
    <xdr:clientData/>
  </xdr:twoCellAnchor>
  <xdr:twoCellAnchor>
    <xdr:from>
      <xdr:col>27</xdr:col>
      <xdr:colOff>1100666</xdr:colOff>
      <xdr:row>5</xdr:row>
      <xdr:rowOff>133350</xdr:rowOff>
    </xdr:from>
    <xdr:to>
      <xdr:col>28</xdr:col>
      <xdr:colOff>1375833</xdr:colOff>
      <xdr:row>7</xdr:row>
      <xdr:rowOff>188673</xdr:rowOff>
    </xdr:to>
    <xdr:sp macro="" textlink="">
      <xdr:nvSpPr>
        <xdr:cNvPr id="14" name="Rectángulo: esquinas redondeadas 13">
          <a:extLst>
            <a:ext uri="{FF2B5EF4-FFF2-40B4-BE49-F238E27FC236}">
              <a16:creationId xmlns:a16="http://schemas.microsoft.com/office/drawing/2014/main" id="{464E6095-1ED5-423A-9C8B-A14A8130ECD9}"/>
            </a:ext>
          </a:extLst>
        </xdr:cNvPr>
        <xdr:cNvSpPr/>
      </xdr:nvSpPr>
      <xdr:spPr>
        <a:xfrm>
          <a:off x="24236891" y="1133475"/>
          <a:ext cx="1465792" cy="455373"/>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Tipo de Planta</a:t>
          </a:r>
        </a:p>
      </xdr:txBody>
    </xdr:sp>
    <xdr:clientData/>
  </xdr:twoCellAnchor>
  <xdr:twoCellAnchor>
    <xdr:from>
      <xdr:col>29</xdr:col>
      <xdr:colOff>28574</xdr:colOff>
      <xdr:row>5</xdr:row>
      <xdr:rowOff>137464</xdr:rowOff>
    </xdr:from>
    <xdr:to>
      <xdr:col>29</xdr:col>
      <xdr:colOff>971549</xdr:colOff>
      <xdr:row>7</xdr:row>
      <xdr:rowOff>193649</xdr:rowOff>
    </xdr:to>
    <xdr:sp macro="" textlink="">
      <xdr:nvSpPr>
        <xdr:cNvPr id="15" name="Rectángulo: esquinas redondeadas 14">
          <a:extLst>
            <a:ext uri="{FF2B5EF4-FFF2-40B4-BE49-F238E27FC236}">
              <a16:creationId xmlns:a16="http://schemas.microsoft.com/office/drawing/2014/main" id="{392D8E26-470F-436A-856B-3A8036EFF049}"/>
            </a:ext>
          </a:extLst>
        </xdr:cNvPr>
        <xdr:cNvSpPr/>
      </xdr:nvSpPr>
      <xdr:spPr>
        <a:xfrm>
          <a:off x="25727024" y="1137589"/>
          <a:ext cx="942975" cy="456235"/>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Sup. Total (m2)</a:t>
          </a:r>
        </a:p>
      </xdr:txBody>
    </xdr:sp>
    <xdr:clientData/>
  </xdr:twoCellAnchor>
  <xdr:twoCellAnchor>
    <xdr:from>
      <xdr:col>26</xdr:col>
      <xdr:colOff>17318</xdr:colOff>
      <xdr:row>14</xdr:row>
      <xdr:rowOff>138865</xdr:rowOff>
    </xdr:from>
    <xdr:to>
      <xdr:col>26</xdr:col>
      <xdr:colOff>1086518</xdr:colOff>
      <xdr:row>16</xdr:row>
      <xdr:rowOff>195051</xdr:rowOff>
    </xdr:to>
    <xdr:sp macro="" textlink="">
      <xdr:nvSpPr>
        <xdr:cNvPr id="16" name="Rectángulo: esquinas redondeadas 15">
          <a:extLst>
            <a:ext uri="{FF2B5EF4-FFF2-40B4-BE49-F238E27FC236}">
              <a16:creationId xmlns:a16="http://schemas.microsoft.com/office/drawing/2014/main" id="{BE3E1303-D9DA-4A0C-B41A-20FC39DCF453}"/>
            </a:ext>
          </a:extLst>
        </xdr:cNvPr>
        <xdr:cNvSpPr/>
      </xdr:nvSpPr>
      <xdr:spPr>
        <a:xfrm>
          <a:off x="22148936" y="2962747"/>
          <a:ext cx="1069200" cy="459598"/>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Precio Lista</a:t>
          </a:r>
        </a:p>
      </xdr:txBody>
    </xdr:sp>
    <xdr:clientData/>
  </xdr:twoCellAnchor>
  <xdr:twoCellAnchor>
    <xdr:from>
      <xdr:col>27</xdr:col>
      <xdr:colOff>17318</xdr:colOff>
      <xdr:row>14</xdr:row>
      <xdr:rowOff>136070</xdr:rowOff>
    </xdr:from>
    <xdr:to>
      <xdr:col>27</xdr:col>
      <xdr:colOff>1120588</xdr:colOff>
      <xdr:row>16</xdr:row>
      <xdr:rowOff>192256</xdr:rowOff>
    </xdr:to>
    <xdr:sp macro="" textlink="">
      <xdr:nvSpPr>
        <xdr:cNvPr id="17" name="Rectángulo: esquinas redondeadas 16">
          <a:extLst>
            <a:ext uri="{FF2B5EF4-FFF2-40B4-BE49-F238E27FC236}">
              <a16:creationId xmlns:a16="http://schemas.microsoft.com/office/drawing/2014/main" id="{AE16F94E-9BDF-48E8-A3DC-7EA1888C7A50}"/>
            </a:ext>
          </a:extLst>
        </xdr:cNvPr>
        <xdr:cNvSpPr/>
      </xdr:nvSpPr>
      <xdr:spPr>
        <a:xfrm>
          <a:off x="23247112" y="2959952"/>
          <a:ext cx="1103270" cy="459598"/>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Descuento</a:t>
          </a:r>
        </a:p>
      </xdr:txBody>
    </xdr:sp>
    <xdr:clientData/>
  </xdr:twoCellAnchor>
  <xdr:twoCellAnchor>
    <xdr:from>
      <xdr:col>27</xdr:col>
      <xdr:colOff>1153583</xdr:colOff>
      <xdr:row>14</xdr:row>
      <xdr:rowOff>136072</xdr:rowOff>
    </xdr:from>
    <xdr:to>
      <xdr:col>28</xdr:col>
      <xdr:colOff>1344085</xdr:colOff>
      <xdr:row>16</xdr:row>
      <xdr:rowOff>192258</xdr:rowOff>
    </xdr:to>
    <xdr:sp macro="" textlink="">
      <xdr:nvSpPr>
        <xdr:cNvPr id="18" name="Rectángulo: esquinas redondeadas 17">
          <a:extLst>
            <a:ext uri="{FF2B5EF4-FFF2-40B4-BE49-F238E27FC236}">
              <a16:creationId xmlns:a16="http://schemas.microsoft.com/office/drawing/2014/main" id="{42BA821B-F257-41D7-8446-8D154C432F3C}"/>
            </a:ext>
          </a:extLst>
        </xdr:cNvPr>
        <xdr:cNvSpPr/>
      </xdr:nvSpPr>
      <xdr:spPr>
        <a:xfrm>
          <a:off x="24289808" y="2936422"/>
          <a:ext cx="1381127" cy="456236"/>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Estacionamiento</a:t>
          </a:r>
        </a:p>
      </xdr:txBody>
    </xdr:sp>
    <xdr:clientData/>
  </xdr:twoCellAnchor>
  <xdr:twoCellAnchor>
    <xdr:from>
      <xdr:col>25</xdr:col>
      <xdr:colOff>8659</xdr:colOff>
      <xdr:row>14</xdr:row>
      <xdr:rowOff>136070</xdr:rowOff>
    </xdr:from>
    <xdr:to>
      <xdr:col>25</xdr:col>
      <xdr:colOff>1045459</xdr:colOff>
      <xdr:row>16</xdr:row>
      <xdr:rowOff>192256</xdr:rowOff>
    </xdr:to>
    <xdr:sp macro="" textlink="">
      <xdr:nvSpPr>
        <xdr:cNvPr id="19" name="Rectángulo: esquinas redondeadas 18">
          <a:extLst>
            <a:ext uri="{FF2B5EF4-FFF2-40B4-BE49-F238E27FC236}">
              <a16:creationId xmlns:a16="http://schemas.microsoft.com/office/drawing/2014/main" id="{CEAAA3C2-5A1A-4D63-89EA-0E878B4D5485}"/>
            </a:ext>
          </a:extLst>
        </xdr:cNvPr>
        <xdr:cNvSpPr/>
      </xdr:nvSpPr>
      <xdr:spPr>
        <a:xfrm>
          <a:off x="20982709" y="2936420"/>
          <a:ext cx="1036800" cy="456236"/>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Dpto.</a:t>
          </a:r>
        </a:p>
      </xdr:txBody>
    </xdr:sp>
    <xdr:clientData/>
  </xdr:twoCellAnchor>
  <xdr:twoCellAnchor>
    <xdr:from>
      <xdr:col>29</xdr:col>
      <xdr:colOff>13852</xdr:colOff>
      <xdr:row>14</xdr:row>
      <xdr:rowOff>136071</xdr:rowOff>
    </xdr:from>
    <xdr:to>
      <xdr:col>29</xdr:col>
      <xdr:colOff>986117</xdr:colOff>
      <xdr:row>16</xdr:row>
      <xdr:rowOff>192257</xdr:rowOff>
    </xdr:to>
    <xdr:sp macro="" textlink="">
      <xdr:nvSpPr>
        <xdr:cNvPr id="20" name="Rectángulo: esquinas redondeadas 19">
          <a:extLst>
            <a:ext uri="{FF2B5EF4-FFF2-40B4-BE49-F238E27FC236}">
              <a16:creationId xmlns:a16="http://schemas.microsoft.com/office/drawing/2014/main" id="{E7A18B7C-74F7-4D6A-AA91-085E609AE350}"/>
            </a:ext>
          </a:extLst>
        </xdr:cNvPr>
        <xdr:cNvSpPr/>
      </xdr:nvSpPr>
      <xdr:spPr>
        <a:xfrm>
          <a:off x="25798587" y="2959953"/>
          <a:ext cx="972265" cy="459598"/>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Bodega</a:t>
          </a:r>
        </a:p>
      </xdr:txBody>
    </xdr:sp>
    <xdr:clientData/>
  </xdr:twoCellAnchor>
  <xdr:twoCellAnchor>
    <xdr:from>
      <xdr:col>30</xdr:col>
      <xdr:colOff>17318</xdr:colOff>
      <xdr:row>14</xdr:row>
      <xdr:rowOff>136071</xdr:rowOff>
    </xdr:from>
    <xdr:to>
      <xdr:col>30</xdr:col>
      <xdr:colOff>1066305</xdr:colOff>
      <xdr:row>16</xdr:row>
      <xdr:rowOff>193493</xdr:rowOff>
    </xdr:to>
    <xdr:sp macro="" textlink="">
      <xdr:nvSpPr>
        <xdr:cNvPr id="21" name="Rectángulo: esquinas redondeadas 20">
          <a:extLst>
            <a:ext uri="{FF2B5EF4-FFF2-40B4-BE49-F238E27FC236}">
              <a16:creationId xmlns:a16="http://schemas.microsoft.com/office/drawing/2014/main" id="{A2472BF3-E9C6-464E-9053-06A2A553C02B}"/>
            </a:ext>
          </a:extLst>
        </xdr:cNvPr>
        <xdr:cNvSpPr/>
      </xdr:nvSpPr>
      <xdr:spPr>
        <a:xfrm>
          <a:off x="26696843" y="2936421"/>
          <a:ext cx="1048987" cy="457472"/>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Precio Final</a:t>
          </a:r>
        </a:p>
      </xdr:txBody>
    </xdr:sp>
    <xdr:clientData/>
  </xdr:twoCellAnchor>
  <xdr:twoCellAnchor>
    <xdr:from>
      <xdr:col>31</xdr:col>
      <xdr:colOff>17318</xdr:colOff>
      <xdr:row>14</xdr:row>
      <xdr:rowOff>133350</xdr:rowOff>
    </xdr:from>
    <xdr:to>
      <xdr:col>31</xdr:col>
      <xdr:colOff>1154906</xdr:colOff>
      <xdr:row>16</xdr:row>
      <xdr:rowOff>188771</xdr:rowOff>
    </xdr:to>
    <xdr:sp macro="" textlink="">
      <xdr:nvSpPr>
        <xdr:cNvPr id="22" name="Rectángulo: esquinas redondeadas 21">
          <a:extLst>
            <a:ext uri="{FF2B5EF4-FFF2-40B4-BE49-F238E27FC236}">
              <a16:creationId xmlns:a16="http://schemas.microsoft.com/office/drawing/2014/main" id="{458193D2-9392-4350-A5D0-1578B60455C5}"/>
            </a:ext>
          </a:extLst>
        </xdr:cNvPr>
        <xdr:cNvSpPr/>
      </xdr:nvSpPr>
      <xdr:spPr>
        <a:xfrm>
          <a:off x="27782693" y="2933700"/>
          <a:ext cx="1137588" cy="455471"/>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Precio de Escrituración</a:t>
          </a:r>
        </a:p>
      </xdr:txBody>
    </xdr:sp>
    <xdr:clientData/>
  </xdr:twoCellAnchor>
  <xdr:twoCellAnchor>
    <xdr:from>
      <xdr:col>32</xdr:col>
      <xdr:colOff>6928</xdr:colOff>
      <xdr:row>14</xdr:row>
      <xdr:rowOff>142873</xdr:rowOff>
    </xdr:from>
    <xdr:to>
      <xdr:col>32</xdr:col>
      <xdr:colOff>1038226</xdr:colOff>
      <xdr:row>16</xdr:row>
      <xdr:rowOff>190554</xdr:rowOff>
    </xdr:to>
    <xdr:sp macro="" textlink="">
      <xdr:nvSpPr>
        <xdr:cNvPr id="23" name="Rectángulo: esquinas redondeadas 22">
          <a:extLst>
            <a:ext uri="{FF2B5EF4-FFF2-40B4-BE49-F238E27FC236}">
              <a16:creationId xmlns:a16="http://schemas.microsoft.com/office/drawing/2014/main" id="{B0FF74F7-AA36-462D-AFCE-C68E97C39C4C}"/>
            </a:ext>
          </a:extLst>
        </xdr:cNvPr>
        <xdr:cNvSpPr/>
      </xdr:nvSpPr>
      <xdr:spPr>
        <a:xfrm>
          <a:off x="28943878" y="2943223"/>
          <a:ext cx="1031298" cy="447731"/>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Crédito Hip.</a:t>
          </a:r>
        </a:p>
      </xdr:txBody>
    </xdr:sp>
    <xdr:clientData/>
  </xdr:twoCellAnchor>
  <xdr:twoCellAnchor>
    <xdr:from>
      <xdr:col>33</xdr:col>
      <xdr:colOff>17008</xdr:colOff>
      <xdr:row>14</xdr:row>
      <xdr:rowOff>142874</xdr:rowOff>
    </xdr:from>
    <xdr:to>
      <xdr:col>33</xdr:col>
      <xdr:colOff>1059655</xdr:colOff>
      <xdr:row>16</xdr:row>
      <xdr:rowOff>190555</xdr:rowOff>
    </xdr:to>
    <xdr:sp macro="" textlink="">
      <xdr:nvSpPr>
        <xdr:cNvPr id="24" name="Rectángulo: esquinas redondeadas 23">
          <a:extLst>
            <a:ext uri="{FF2B5EF4-FFF2-40B4-BE49-F238E27FC236}">
              <a16:creationId xmlns:a16="http://schemas.microsoft.com/office/drawing/2014/main" id="{0BA4902A-AD3B-4283-8FB7-D8B9597CD07E}"/>
            </a:ext>
          </a:extLst>
        </xdr:cNvPr>
        <xdr:cNvSpPr/>
      </xdr:nvSpPr>
      <xdr:spPr>
        <a:xfrm>
          <a:off x="30020758" y="2943224"/>
          <a:ext cx="1042647" cy="447731"/>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Crédito</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a:t>
          </a:r>
          <a:endPar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34</xdr:col>
      <xdr:colOff>8658</xdr:colOff>
      <xdr:row>14</xdr:row>
      <xdr:rowOff>142875</xdr:rowOff>
    </xdr:from>
    <xdr:to>
      <xdr:col>34</xdr:col>
      <xdr:colOff>865909</xdr:colOff>
      <xdr:row>16</xdr:row>
      <xdr:rowOff>190556</xdr:rowOff>
    </xdr:to>
    <xdr:sp macro="" textlink="">
      <xdr:nvSpPr>
        <xdr:cNvPr id="25" name="Rectángulo: esquinas redondeadas 24">
          <a:extLst>
            <a:ext uri="{FF2B5EF4-FFF2-40B4-BE49-F238E27FC236}">
              <a16:creationId xmlns:a16="http://schemas.microsoft.com/office/drawing/2014/main" id="{7E1E5718-B0A6-49C9-9BA0-3DE05FF75D54}"/>
            </a:ext>
          </a:extLst>
        </xdr:cNvPr>
        <xdr:cNvSpPr/>
      </xdr:nvSpPr>
      <xdr:spPr>
        <a:xfrm>
          <a:off x="31172217" y="2966757"/>
          <a:ext cx="857251" cy="451093"/>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Bono</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a:t>
          </a:r>
          <a:endPar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35</xdr:col>
      <xdr:colOff>17319</xdr:colOff>
      <xdr:row>14</xdr:row>
      <xdr:rowOff>142874</xdr:rowOff>
    </xdr:from>
    <xdr:to>
      <xdr:col>35</xdr:col>
      <xdr:colOff>822615</xdr:colOff>
      <xdr:row>16</xdr:row>
      <xdr:rowOff>190555</xdr:rowOff>
    </xdr:to>
    <xdr:sp macro="" textlink="">
      <xdr:nvSpPr>
        <xdr:cNvPr id="26" name="Rectángulo: esquinas redondeadas 25">
          <a:extLst>
            <a:ext uri="{FF2B5EF4-FFF2-40B4-BE49-F238E27FC236}">
              <a16:creationId xmlns:a16="http://schemas.microsoft.com/office/drawing/2014/main" id="{3634E1BE-92B7-46AD-A7A3-68898A63F594}"/>
            </a:ext>
          </a:extLst>
        </xdr:cNvPr>
        <xdr:cNvSpPr/>
      </xdr:nvSpPr>
      <xdr:spPr>
        <a:xfrm>
          <a:off x="31964169" y="2943224"/>
          <a:ext cx="805296" cy="447731"/>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PIE (%)</a:t>
          </a:r>
          <a:endPar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36</xdr:col>
      <xdr:colOff>10390</xdr:colOff>
      <xdr:row>14</xdr:row>
      <xdr:rowOff>142873</xdr:rowOff>
    </xdr:from>
    <xdr:to>
      <xdr:col>36</xdr:col>
      <xdr:colOff>1329171</xdr:colOff>
      <xdr:row>16</xdr:row>
      <xdr:rowOff>190554</xdr:rowOff>
    </xdr:to>
    <xdr:sp macro="" textlink="">
      <xdr:nvSpPr>
        <xdr:cNvPr id="27" name="Rectángulo: esquinas redondeadas 26">
          <a:extLst>
            <a:ext uri="{FF2B5EF4-FFF2-40B4-BE49-F238E27FC236}">
              <a16:creationId xmlns:a16="http://schemas.microsoft.com/office/drawing/2014/main" id="{1345B015-1050-4A02-A52B-D955822494B1}"/>
            </a:ext>
          </a:extLst>
        </xdr:cNvPr>
        <xdr:cNvSpPr/>
      </xdr:nvSpPr>
      <xdr:spPr>
        <a:xfrm>
          <a:off x="32795440" y="2943223"/>
          <a:ext cx="1318781" cy="447731"/>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PIE ($)</a:t>
          </a:r>
        </a:p>
      </xdr:txBody>
    </xdr:sp>
    <xdr:clientData/>
  </xdr:twoCellAnchor>
  <xdr:twoCellAnchor>
    <xdr:from>
      <xdr:col>46</xdr:col>
      <xdr:colOff>831272</xdr:colOff>
      <xdr:row>11</xdr:row>
      <xdr:rowOff>3896</xdr:rowOff>
    </xdr:from>
    <xdr:to>
      <xdr:col>48</xdr:col>
      <xdr:colOff>8659</xdr:colOff>
      <xdr:row>12</xdr:row>
      <xdr:rowOff>191205</xdr:rowOff>
    </xdr:to>
    <xdr:sp macro="" textlink="">
      <xdr:nvSpPr>
        <xdr:cNvPr id="28" name="Rectángulo: esquinas redondeadas 27">
          <a:extLst>
            <a:ext uri="{FF2B5EF4-FFF2-40B4-BE49-F238E27FC236}">
              <a16:creationId xmlns:a16="http://schemas.microsoft.com/office/drawing/2014/main" id="{375432F3-62D5-4804-9FE5-5147E85BBE95}"/>
            </a:ext>
          </a:extLst>
        </xdr:cNvPr>
        <xdr:cNvSpPr/>
      </xdr:nvSpPr>
      <xdr:spPr>
        <a:xfrm>
          <a:off x="42417422" y="2204171"/>
          <a:ext cx="1196687"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Tasa</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Referencial</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47</xdr:col>
      <xdr:colOff>1174172</xdr:colOff>
      <xdr:row>11</xdr:row>
      <xdr:rowOff>5195</xdr:rowOff>
    </xdr:from>
    <xdr:to>
      <xdr:col>49</xdr:col>
      <xdr:colOff>8659</xdr:colOff>
      <xdr:row>12</xdr:row>
      <xdr:rowOff>192504</xdr:rowOff>
    </xdr:to>
    <xdr:sp macro="" textlink="">
      <xdr:nvSpPr>
        <xdr:cNvPr id="29" name="Rectángulo: esquinas redondeadas 28">
          <a:extLst>
            <a:ext uri="{FF2B5EF4-FFF2-40B4-BE49-F238E27FC236}">
              <a16:creationId xmlns:a16="http://schemas.microsoft.com/office/drawing/2014/main" id="{F48D47C9-16B3-42AE-9E62-B93530EBC1DB}"/>
            </a:ext>
          </a:extLst>
        </xdr:cNvPr>
        <xdr:cNvSpPr/>
      </xdr:nvSpPr>
      <xdr:spPr>
        <a:xfrm>
          <a:off x="43598522" y="2205470"/>
          <a:ext cx="863312"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Dividendo</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48</xdr:col>
      <xdr:colOff>1194953</xdr:colOff>
      <xdr:row>11</xdr:row>
      <xdr:rowOff>8659</xdr:rowOff>
    </xdr:from>
    <xdr:to>
      <xdr:col>50</xdr:col>
      <xdr:colOff>21085</xdr:colOff>
      <xdr:row>12</xdr:row>
      <xdr:rowOff>195968</xdr:rowOff>
    </xdr:to>
    <xdr:sp macro="" textlink="">
      <xdr:nvSpPr>
        <xdr:cNvPr id="30" name="Rectángulo: esquinas redondeadas 29">
          <a:extLst>
            <a:ext uri="{FF2B5EF4-FFF2-40B4-BE49-F238E27FC236}">
              <a16:creationId xmlns:a16="http://schemas.microsoft.com/office/drawing/2014/main" id="{CD6B4C3F-1412-4302-ACCF-CECA3D77F924}"/>
            </a:ext>
          </a:extLst>
        </xdr:cNvPr>
        <xdr:cNvSpPr/>
      </xdr:nvSpPr>
      <xdr:spPr>
        <a:xfrm>
          <a:off x="44457503" y="2208934"/>
          <a:ext cx="864482"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Arriendo</a:t>
          </a:r>
        </a:p>
      </xdr:txBody>
    </xdr:sp>
    <xdr:clientData/>
  </xdr:twoCellAnchor>
  <xdr:twoCellAnchor>
    <xdr:from>
      <xdr:col>49</xdr:col>
      <xdr:colOff>851646</xdr:colOff>
      <xdr:row>11</xdr:row>
      <xdr:rowOff>9958</xdr:rowOff>
    </xdr:from>
    <xdr:to>
      <xdr:col>51</xdr:col>
      <xdr:colOff>3882</xdr:colOff>
      <xdr:row>12</xdr:row>
      <xdr:rowOff>197267</xdr:rowOff>
    </xdr:to>
    <xdr:sp macro="" textlink="">
      <xdr:nvSpPr>
        <xdr:cNvPr id="31" name="Rectángulo: esquinas redondeadas 30">
          <a:extLst>
            <a:ext uri="{FF2B5EF4-FFF2-40B4-BE49-F238E27FC236}">
              <a16:creationId xmlns:a16="http://schemas.microsoft.com/office/drawing/2014/main" id="{EBE8215F-D697-4A63-AD68-DD78C699E5EC}"/>
            </a:ext>
          </a:extLst>
        </xdr:cNvPr>
        <xdr:cNvSpPr/>
      </xdr:nvSpPr>
      <xdr:spPr>
        <a:xfrm>
          <a:off x="45551911" y="2228723"/>
          <a:ext cx="990000" cy="389015"/>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Flujo</a:t>
          </a:r>
        </a:p>
      </xdr:txBody>
    </xdr:sp>
    <xdr:clientData/>
  </xdr:twoCellAnchor>
  <xdr:twoCellAnchor>
    <xdr:from>
      <xdr:col>46</xdr:col>
      <xdr:colOff>831272</xdr:colOff>
      <xdr:row>22</xdr:row>
      <xdr:rowOff>3896</xdr:rowOff>
    </xdr:from>
    <xdr:to>
      <xdr:col>48</xdr:col>
      <xdr:colOff>8659</xdr:colOff>
      <xdr:row>23</xdr:row>
      <xdr:rowOff>191205</xdr:rowOff>
    </xdr:to>
    <xdr:sp macro="" textlink="">
      <xdr:nvSpPr>
        <xdr:cNvPr id="32" name="Rectángulo: esquinas redondeadas 31">
          <a:extLst>
            <a:ext uri="{FF2B5EF4-FFF2-40B4-BE49-F238E27FC236}">
              <a16:creationId xmlns:a16="http://schemas.microsoft.com/office/drawing/2014/main" id="{A4598ED4-5F0C-46F5-BE63-7D4FF9F9115B}"/>
            </a:ext>
          </a:extLst>
        </xdr:cNvPr>
        <xdr:cNvSpPr/>
      </xdr:nvSpPr>
      <xdr:spPr>
        <a:xfrm>
          <a:off x="42417422" y="4404446"/>
          <a:ext cx="1196687"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Tasa</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Referencial</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47</xdr:col>
      <xdr:colOff>1174172</xdr:colOff>
      <xdr:row>22</xdr:row>
      <xdr:rowOff>5195</xdr:rowOff>
    </xdr:from>
    <xdr:to>
      <xdr:col>49</xdr:col>
      <xdr:colOff>8659</xdr:colOff>
      <xdr:row>23</xdr:row>
      <xdr:rowOff>192504</xdr:rowOff>
    </xdr:to>
    <xdr:sp macro="" textlink="">
      <xdr:nvSpPr>
        <xdr:cNvPr id="33" name="Rectángulo: esquinas redondeadas 32">
          <a:extLst>
            <a:ext uri="{FF2B5EF4-FFF2-40B4-BE49-F238E27FC236}">
              <a16:creationId xmlns:a16="http://schemas.microsoft.com/office/drawing/2014/main" id="{D330213F-5294-4407-A9F8-C46778FD4970}"/>
            </a:ext>
          </a:extLst>
        </xdr:cNvPr>
        <xdr:cNvSpPr/>
      </xdr:nvSpPr>
      <xdr:spPr>
        <a:xfrm>
          <a:off x="43598522" y="4405745"/>
          <a:ext cx="863312"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Dividendo</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48</xdr:col>
      <xdr:colOff>1194953</xdr:colOff>
      <xdr:row>22</xdr:row>
      <xdr:rowOff>8659</xdr:rowOff>
    </xdr:from>
    <xdr:to>
      <xdr:col>50</xdr:col>
      <xdr:colOff>21085</xdr:colOff>
      <xdr:row>23</xdr:row>
      <xdr:rowOff>195968</xdr:rowOff>
    </xdr:to>
    <xdr:sp macro="" textlink="">
      <xdr:nvSpPr>
        <xdr:cNvPr id="34" name="Rectángulo: esquinas redondeadas 33">
          <a:extLst>
            <a:ext uri="{FF2B5EF4-FFF2-40B4-BE49-F238E27FC236}">
              <a16:creationId xmlns:a16="http://schemas.microsoft.com/office/drawing/2014/main" id="{84EEEB5A-9417-4D8F-8FF0-FC7090D021AC}"/>
            </a:ext>
          </a:extLst>
        </xdr:cNvPr>
        <xdr:cNvSpPr/>
      </xdr:nvSpPr>
      <xdr:spPr>
        <a:xfrm>
          <a:off x="44457503" y="4409209"/>
          <a:ext cx="864482"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Arriendo</a:t>
          </a:r>
        </a:p>
      </xdr:txBody>
    </xdr:sp>
    <xdr:clientData/>
  </xdr:twoCellAnchor>
  <xdr:twoCellAnchor>
    <xdr:from>
      <xdr:col>49</xdr:col>
      <xdr:colOff>851646</xdr:colOff>
      <xdr:row>22</xdr:row>
      <xdr:rowOff>9958</xdr:rowOff>
    </xdr:from>
    <xdr:to>
      <xdr:col>51</xdr:col>
      <xdr:colOff>3882</xdr:colOff>
      <xdr:row>23</xdr:row>
      <xdr:rowOff>197267</xdr:rowOff>
    </xdr:to>
    <xdr:sp macro="" textlink="">
      <xdr:nvSpPr>
        <xdr:cNvPr id="35" name="Rectángulo: esquinas redondeadas 34">
          <a:extLst>
            <a:ext uri="{FF2B5EF4-FFF2-40B4-BE49-F238E27FC236}">
              <a16:creationId xmlns:a16="http://schemas.microsoft.com/office/drawing/2014/main" id="{12F1E1FE-F9BC-45AA-886F-DC25269FCFB6}"/>
            </a:ext>
          </a:extLst>
        </xdr:cNvPr>
        <xdr:cNvSpPr/>
      </xdr:nvSpPr>
      <xdr:spPr>
        <a:xfrm>
          <a:off x="45551911" y="4447487"/>
          <a:ext cx="990000" cy="389015"/>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Flujo</a:t>
          </a:r>
        </a:p>
      </xdr:txBody>
    </xdr:sp>
    <xdr:clientData/>
  </xdr:twoCellAnchor>
  <xdr:twoCellAnchor>
    <xdr:from>
      <xdr:col>46</xdr:col>
      <xdr:colOff>831272</xdr:colOff>
      <xdr:row>44</xdr:row>
      <xdr:rowOff>3896</xdr:rowOff>
    </xdr:from>
    <xdr:to>
      <xdr:col>48</xdr:col>
      <xdr:colOff>8659</xdr:colOff>
      <xdr:row>45</xdr:row>
      <xdr:rowOff>191205</xdr:rowOff>
    </xdr:to>
    <xdr:sp macro="" textlink="">
      <xdr:nvSpPr>
        <xdr:cNvPr id="36" name="Rectángulo: esquinas redondeadas 35">
          <a:extLst>
            <a:ext uri="{FF2B5EF4-FFF2-40B4-BE49-F238E27FC236}">
              <a16:creationId xmlns:a16="http://schemas.microsoft.com/office/drawing/2014/main" id="{10252B61-18FC-41F3-B7CF-A83D82E6BF44}"/>
            </a:ext>
          </a:extLst>
        </xdr:cNvPr>
        <xdr:cNvSpPr/>
      </xdr:nvSpPr>
      <xdr:spPr>
        <a:xfrm>
          <a:off x="42417422" y="8824046"/>
          <a:ext cx="1196687"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Tasa</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Referencial</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47</xdr:col>
      <xdr:colOff>1174172</xdr:colOff>
      <xdr:row>44</xdr:row>
      <xdr:rowOff>5195</xdr:rowOff>
    </xdr:from>
    <xdr:to>
      <xdr:col>49</xdr:col>
      <xdr:colOff>8659</xdr:colOff>
      <xdr:row>45</xdr:row>
      <xdr:rowOff>192504</xdr:rowOff>
    </xdr:to>
    <xdr:sp macro="" textlink="">
      <xdr:nvSpPr>
        <xdr:cNvPr id="37" name="Rectángulo: esquinas redondeadas 36">
          <a:extLst>
            <a:ext uri="{FF2B5EF4-FFF2-40B4-BE49-F238E27FC236}">
              <a16:creationId xmlns:a16="http://schemas.microsoft.com/office/drawing/2014/main" id="{D24BF269-8EF9-40E8-B7E6-F9D70A641E6B}"/>
            </a:ext>
          </a:extLst>
        </xdr:cNvPr>
        <xdr:cNvSpPr/>
      </xdr:nvSpPr>
      <xdr:spPr>
        <a:xfrm>
          <a:off x="43598522" y="8825345"/>
          <a:ext cx="863312"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Dividendo</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48</xdr:col>
      <xdr:colOff>1194955</xdr:colOff>
      <xdr:row>44</xdr:row>
      <xdr:rowOff>8659</xdr:rowOff>
    </xdr:from>
    <xdr:to>
      <xdr:col>50</xdr:col>
      <xdr:colOff>20411</xdr:colOff>
      <xdr:row>45</xdr:row>
      <xdr:rowOff>195968</xdr:rowOff>
    </xdr:to>
    <xdr:sp macro="" textlink="">
      <xdr:nvSpPr>
        <xdr:cNvPr id="38" name="Rectángulo: esquinas redondeadas 37">
          <a:extLst>
            <a:ext uri="{FF2B5EF4-FFF2-40B4-BE49-F238E27FC236}">
              <a16:creationId xmlns:a16="http://schemas.microsoft.com/office/drawing/2014/main" id="{206CC7FB-6C87-4045-A43E-88C3A85DD0F1}"/>
            </a:ext>
          </a:extLst>
        </xdr:cNvPr>
        <xdr:cNvSpPr/>
      </xdr:nvSpPr>
      <xdr:spPr>
        <a:xfrm>
          <a:off x="44457505" y="8828809"/>
          <a:ext cx="863806"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Arriendo</a:t>
          </a:r>
        </a:p>
      </xdr:txBody>
    </xdr:sp>
    <xdr:clientData/>
  </xdr:twoCellAnchor>
  <xdr:twoCellAnchor>
    <xdr:from>
      <xdr:col>49</xdr:col>
      <xdr:colOff>851646</xdr:colOff>
      <xdr:row>44</xdr:row>
      <xdr:rowOff>9958</xdr:rowOff>
    </xdr:from>
    <xdr:to>
      <xdr:col>51</xdr:col>
      <xdr:colOff>3882</xdr:colOff>
      <xdr:row>45</xdr:row>
      <xdr:rowOff>197267</xdr:rowOff>
    </xdr:to>
    <xdr:sp macro="" textlink="">
      <xdr:nvSpPr>
        <xdr:cNvPr id="39" name="Rectángulo: esquinas redondeadas 38">
          <a:extLst>
            <a:ext uri="{FF2B5EF4-FFF2-40B4-BE49-F238E27FC236}">
              <a16:creationId xmlns:a16="http://schemas.microsoft.com/office/drawing/2014/main" id="{E599E551-2CDF-4477-A193-714EDCFB77B7}"/>
            </a:ext>
          </a:extLst>
        </xdr:cNvPr>
        <xdr:cNvSpPr/>
      </xdr:nvSpPr>
      <xdr:spPr>
        <a:xfrm>
          <a:off x="45551911" y="8907429"/>
          <a:ext cx="990000" cy="38901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Flujo</a:t>
          </a:r>
        </a:p>
      </xdr:txBody>
    </xdr:sp>
    <xdr:clientData/>
  </xdr:twoCellAnchor>
  <xdr:twoCellAnchor>
    <xdr:from>
      <xdr:col>29</xdr:col>
      <xdr:colOff>38100</xdr:colOff>
      <xdr:row>24</xdr:row>
      <xdr:rowOff>0</xdr:rowOff>
    </xdr:from>
    <xdr:to>
      <xdr:col>30</xdr:col>
      <xdr:colOff>1076325</xdr:colOff>
      <xdr:row>26</xdr:row>
      <xdr:rowOff>0</xdr:rowOff>
    </xdr:to>
    <xdr:sp macro="" textlink="">
      <xdr:nvSpPr>
        <xdr:cNvPr id="43" name="Rectángulo: esquinas redondeadas 42">
          <a:extLst>
            <a:ext uri="{FF2B5EF4-FFF2-40B4-BE49-F238E27FC236}">
              <a16:creationId xmlns:a16="http://schemas.microsoft.com/office/drawing/2014/main" id="{4AA96EB3-B2E4-49B3-8A0D-BF581FABE9BC}"/>
            </a:ext>
          </a:extLst>
        </xdr:cNvPr>
        <xdr:cNvSpPr/>
      </xdr:nvSpPr>
      <xdr:spPr>
        <a:xfrm>
          <a:off x="25736550" y="4800600"/>
          <a:ext cx="2019300" cy="400050"/>
        </a:xfrm>
        <a:prstGeom prst="roundRect">
          <a:avLst/>
        </a:prstGeom>
        <a:solidFill>
          <a:srgbClr val="0095EB"/>
        </a:solidFill>
        <a:ln>
          <a:solidFill>
            <a:srgbClr val="2D2E83"/>
          </a:solidFill>
        </a:ln>
        <a:effectLst>
          <a:outerShdw blurRad="76200" dist="12700" dir="2700000" sy="-23000" kx="-8004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2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Patrimonio</a:t>
          </a:r>
          <a:r>
            <a:rPr lang="es-CL" sz="12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Total ($)</a:t>
          </a:r>
        </a:p>
      </xdr:txBody>
    </xdr:sp>
    <xdr:clientData/>
  </xdr:twoCellAnchor>
  <xdr:twoCellAnchor>
    <xdr:from>
      <xdr:col>33</xdr:col>
      <xdr:colOff>771525</xdr:colOff>
      <xdr:row>24</xdr:row>
      <xdr:rowOff>0</xdr:rowOff>
    </xdr:from>
    <xdr:to>
      <xdr:col>36</xdr:col>
      <xdr:colOff>9525</xdr:colOff>
      <xdr:row>25</xdr:row>
      <xdr:rowOff>200025</xdr:rowOff>
    </xdr:to>
    <xdr:sp macro="" textlink="">
      <xdr:nvSpPr>
        <xdr:cNvPr id="44" name="Rectángulo: esquinas redondeadas 43">
          <a:extLst>
            <a:ext uri="{FF2B5EF4-FFF2-40B4-BE49-F238E27FC236}">
              <a16:creationId xmlns:a16="http://schemas.microsoft.com/office/drawing/2014/main" id="{8ABEDDAB-DD20-4931-B552-77ED57CCF91E}"/>
            </a:ext>
          </a:extLst>
        </xdr:cNvPr>
        <xdr:cNvSpPr/>
      </xdr:nvSpPr>
      <xdr:spPr>
        <a:xfrm>
          <a:off x="30775275" y="4800600"/>
          <a:ext cx="2019300" cy="400050"/>
        </a:xfrm>
        <a:prstGeom prst="roundRect">
          <a:avLst/>
        </a:prstGeom>
        <a:solidFill>
          <a:srgbClr val="0095EB"/>
        </a:solidFill>
        <a:ln>
          <a:solidFill>
            <a:srgbClr val="2D2E83"/>
          </a:solidFill>
        </a:ln>
        <a:effectLst>
          <a:outerShdw blurRad="76200" dist="12700" dir="2700000" sy="-23000" kx="-8004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2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Pie Total ($)</a:t>
          </a:r>
        </a:p>
      </xdr:txBody>
    </xdr:sp>
    <xdr:clientData/>
  </xdr:twoCellAnchor>
  <xdr:twoCellAnchor>
    <xdr:from>
      <xdr:col>29</xdr:col>
      <xdr:colOff>38100</xdr:colOff>
      <xdr:row>27</xdr:row>
      <xdr:rowOff>171450</xdr:rowOff>
    </xdr:from>
    <xdr:to>
      <xdr:col>30</xdr:col>
      <xdr:colOff>1076325</xdr:colOff>
      <xdr:row>29</xdr:row>
      <xdr:rowOff>28575</xdr:rowOff>
    </xdr:to>
    <xdr:sp macro="" textlink="">
      <xdr:nvSpPr>
        <xdr:cNvPr id="45" name="Rectángulo: esquinas redondeadas 44">
          <a:extLst>
            <a:ext uri="{FF2B5EF4-FFF2-40B4-BE49-F238E27FC236}">
              <a16:creationId xmlns:a16="http://schemas.microsoft.com/office/drawing/2014/main" id="{7E9E0DB8-0637-4081-B69A-4F70C25CD9B0}"/>
            </a:ext>
          </a:extLst>
        </xdr:cNvPr>
        <xdr:cNvSpPr/>
      </xdr:nvSpPr>
      <xdr:spPr>
        <a:xfrm>
          <a:off x="25736550" y="5572125"/>
          <a:ext cx="2019300" cy="257175"/>
        </a:xfrm>
        <a:prstGeom prst="roundRect">
          <a:avLst/>
        </a:prstGeom>
        <a:solidFill>
          <a:srgbClr val="0095EB"/>
        </a:solidFill>
        <a:ln>
          <a:solidFill>
            <a:srgbClr val="2D2E83"/>
          </a:solidFill>
        </a:ln>
        <a:effectLst>
          <a:outerShdw blurRad="76200" dist="12700" dir="2700000" sy="-23000" kx="-8004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Patrimonio</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Total  (UF)</a:t>
          </a:r>
          <a:endPar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33</xdr:col>
      <xdr:colOff>771525</xdr:colOff>
      <xdr:row>27</xdr:row>
      <xdr:rowOff>161925</xdr:rowOff>
    </xdr:from>
    <xdr:to>
      <xdr:col>36</xdr:col>
      <xdr:colOff>9525</xdr:colOff>
      <xdr:row>29</xdr:row>
      <xdr:rowOff>19050</xdr:rowOff>
    </xdr:to>
    <xdr:sp macro="" textlink="">
      <xdr:nvSpPr>
        <xdr:cNvPr id="46" name="Rectángulo: esquinas redondeadas 45">
          <a:extLst>
            <a:ext uri="{FF2B5EF4-FFF2-40B4-BE49-F238E27FC236}">
              <a16:creationId xmlns:a16="http://schemas.microsoft.com/office/drawing/2014/main" id="{38D52F2D-22E6-46A4-94DE-E2E65EA089F4}"/>
            </a:ext>
          </a:extLst>
        </xdr:cNvPr>
        <xdr:cNvSpPr/>
      </xdr:nvSpPr>
      <xdr:spPr>
        <a:xfrm>
          <a:off x="30775275" y="5562600"/>
          <a:ext cx="2019300" cy="257175"/>
        </a:xfrm>
        <a:prstGeom prst="roundRect">
          <a:avLst/>
        </a:prstGeom>
        <a:solidFill>
          <a:srgbClr val="0095EB"/>
        </a:solidFill>
        <a:ln>
          <a:solidFill>
            <a:srgbClr val="2D2E83"/>
          </a:solidFill>
        </a:ln>
        <a:effectLst>
          <a:outerShdw blurRad="76200" dist="12700" dir="2700000" sy="-23000" kx="-8004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Pie </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Total  (UF)</a:t>
          </a:r>
          <a:endPar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46</xdr:col>
      <xdr:colOff>831272</xdr:colOff>
      <xdr:row>0</xdr:row>
      <xdr:rowOff>3896</xdr:rowOff>
    </xdr:from>
    <xdr:to>
      <xdr:col>48</xdr:col>
      <xdr:colOff>8659</xdr:colOff>
      <xdr:row>1</xdr:row>
      <xdr:rowOff>191205</xdr:rowOff>
    </xdr:to>
    <xdr:sp macro="" textlink="">
      <xdr:nvSpPr>
        <xdr:cNvPr id="47" name="Rectángulo: esquinas redondeadas 46">
          <a:extLst>
            <a:ext uri="{FF2B5EF4-FFF2-40B4-BE49-F238E27FC236}">
              <a16:creationId xmlns:a16="http://schemas.microsoft.com/office/drawing/2014/main" id="{24EDC134-FEB3-4245-9344-6B2B1AEA1227}"/>
            </a:ext>
          </a:extLst>
        </xdr:cNvPr>
        <xdr:cNvSpPr/>
      </xdr:nvSpPr>
      <xdr:spPr>
        <a:xfrm>
          <a:off x="42417422" y="3896"/>
          <a:ext cx="1196687"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Tasa</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Referencial</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47</xdr:col>
      <xdr:colOff>1174172</xdr:colOff>
      <xdr:row>0</xdr:row>
      <xdr:rowOff>5195</xdr:rowOff>
    </xdr:from>
    <xdr:to>
      <xdr:col>49</xdr:col>
      <xdr:colOff>8659</xdr:colOff>
      <xdr:row>1</xdr:row>
      <xdr:rowOff>192504</xdr:rowOff>
    </xdr:to>
    <xdr:sp macro="" textlink="">
      <xdr:nvSpPr>
        <xdr:cNvPr id="48" name="Rectángulo: esquinas redondeadas 47">
          <a:extLst>
            <a:ext uri="{FF2B5EF4-FFF2-40B4-BE49-F238E27FC236}">
              <a16:creationId xmlns:a16="http://schemas.microsoft.com/office/drawing/2014/main" id="{92C89D44-FFCA-4786-A60F-61445F2C477A}"/>
            </a:ext>
          </a:extLst>
        </xdr:cNvPr>
        <xdr:cNvSpPr/>
      </xdr:nvSpPr>
      <xdr:spPr>
        <a:xfrm>
          <a:off x="43598522" y="5195"/>
          <a:ext cx="863312"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Dividendo</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48</xdr:col>
      <xdr:colOff>1194953</xdr:colOff>
      <xdr:row>0</xdr:row>
      <xdr:rowOff>8659</xdr:rowOff>
    </xdr:from>
    <xdr:to>
      <xdr:col>50</xdr:col>
      <xdr:colOff>21085</xdr:colOff>
      <xdr:row>1</xdr:row>
      <xdr:rowOff>195968</xdr:rowOff>
    </xdr:to>
    <xdr:sp macro="" textlink="">
      <xdr:nvSpPr>
        <xdr:cNvPr id="49" name="Rectángulo: esquinas redondeadas 48">
          <a:extLst>
            <a:ext uri="{FF2B5EF4-FFF2-40B4-BE49-F238E27FC236}">
              <a16:creationId xmlns:a16="http://schemas.microsoft.com/office/drawing/2014/main" id="{6232B536-BFD8-4B85-A103-F2D76FAA9198}"/>
            </a:ext>
          </a:extLst>
        </xdr:cNvPr>
        <xdr:cNvSpPr/>
      </xdr:nvSpPr>
      <xdr:spPr>
        <a:xfrm>
          <a:off x="44457503" y="8659"/>
          <a:ext cx="864482"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Arriendo</a:t>
          </a:r>
        </a:p>
      </xdr:txBody>
    </xdr:sp>
    <xdr:clientData/>
  </xdr:twoCellAnchor>
  <xdr:twoCellAnchor>
    <xdr:from>
      <xdr:col>50</xdr:col>
      <xdr:colOff>0</xdr:colOff>
      <xdr:row>0</xdr:row>
      <xdr:rowOff>9958</xdr:rowOff>
    </xdr:from>
    <xdr:to>
      <xdr:col>51</xdr:col>
      <xdr:colOff>3031</xdr:colOff>
      <xdr:row>1</xdr:row>
      <xdr:rowOff>197267</xdr:rowOff>
    </xdr:to>
    <xdr:sp macro="" textlink="">
      <xdr:nvSpPr>
        <xdr:cNvPr id="50" name="Rectángulo: esquinas redondeadas 49">
          <a:extLst>
            <a:ext uri="{FF2B5EF4-FFF2-40B4-BE49-F238E27FC236}">
              <a16:creationId xmlns:a16="http://schemas.microsoft.com/office/drawing/2014/main" id="{7D2BB59F-0E68-4269-BBB6-11F0D28AA6F7}"/>
            </a:ext>
          </a:extLst>
        </xdr:cNvPr>
        <xdr:cNvSpPr/>
      </xdr:nvSpPr>
      <xdr:spPr>
        <a:xfrm>
          <a:off x="45300900" y="9958"/>
          <a:ext cx="841231"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Flujo</a:t>
          </a:r>
        </a:p>
      </xdr:txBody>
    </xdr:sp>
    <xdr:clientData/>
  </xdr:twoCellAnchor>
  <xdr:twoCellAnchor>
    <xdr:from>
      <xdr:col>46</xdr:col>
      <xdr:colOff>831272</xdr:colOff>
      <xdr:row>33</xdr:row>
      <xdr:rowOff>3896</xdr:rowOff>
    </xdr:from>
    <xdr:to>
      <xdr:col>48</xdr:col>
      <xdr:colOff>8659</xdr:colOff>
      <xdr:row>34</xdr:row>
      <xdr:rowOff>191205</xdr:rowOff>
    </xdr:to>
    <xdr:sp macro="" textlink="">
      <xdr:nvSpPr>
        <xdr:cNvPr id="56" name="Rectángulo: esquinas redondeadas 55">
          <a:extLst>
            <a:ext uri="{FF2B5EF4-FFF2-40B4-BE49-F238E27FC236}">
              <a16:creationId xmlns:a16="http://schemas.microsoft.com/office/drawing/2014/main" id="{6AF8D1A9-7CE5-459B-8CAA-3159C7782B25}"/>
            </a:ext>
          </a:extLst>
        </xdr:cNvPr>
        <xdr:cNvSpPr/>
      </xdr:nvSpPr>
      <xdr:spPr>
        <a:xfrm>
          <a:off x="42417422" y="6604721"/>
          <a:ext cx="1196687"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Tasa</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Referencial</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47</xdr:col>
      <xdr:colOff>1174172</xdr:colOff>
      <xdr:row>33</xdr:row>
      <xdr:rowOff>5195</xdr:rowOff>
    </xdr:from>
    <xdr:to>
      <xdr:col>49</xdr:col>
      <xdr:colOff>8659</xdr:colOff>
      <xdr:row>34</xdr:row>
      <xdr:rowOff>192504</xdr:rowOff>
    </xdr:to>
    <xdr:sp macro="" textlink="">
      <xdr:nvSpPr>
        <xdr:cNvPr id="57" name="Rectángulo: esquinas redondeadas 56">
          <a:extLst>
            <a:ext uri="{FF2B5EF4-FFF2-40B4-BE49-F238E27FC236}">
              <a16:creationId xmlns:a16="http://schemas.microsoft.com/office/drawing/2014/main" id="{9C9A0F12-1900-446F-8521-37563F4437FF}"/>
            </a:ext>
          </a:extLst>
        </xdr:cNvPr>
        <xdr:cNvSpPr/>
      </xdr:nvSpPr>
      <xdr:spPr>
        <a:xfrm>
          <a:off x="43598522" y="6606020"/>
          <a:ext cx="863312"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Dividendo</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48</xdr:col>
      <xdr:colOff>1194953</xdr:colOff>
      <xdr:row>33</xdr:row>
      <xdr:rowOff>8659</xdr:rowOff>
    </xdr:from>
    <xdr:to>
      <xdr:col>50</xdr:col>
      <xdr:colOff>21085</xdr:colOff>
      <xdr:row>34</xdr:row>
      <xdr:rowOff>195968</xdr:rowOff>
    </xdr:to>
    <xdr:sp macro="" textlink="">
      <xdr:nvSpPr>
        <xdr:cNvPr id="58" name="Rectángulo: esquinas redondeadas 57">
          <a:extLst>
            <a:ext uri="{FF2B5EF4-FFF2-40B4-BE49-F238E27FC236}">
              <a16:creationId xmlns:a16="http://schemas.microsoft.com/office/drawing/2014/main" id="{11449903-0197-4972-9760-97D7272286E9}"/>
            </a:ext>
          </a:extLst>
        </xdr:cNvPr>
        <xdr:cNvSpPr/>
      </xdr:nvSpPr>
      <xdr:spPr>
        <a:xfrm>
          <a:off x="44457503" y="6609484"/>
          <a:ext cx="864482"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Arriendo</a:t>
          </a:r>
        </a:p>
      </xdr:txBody>
    </xdr:sp>
    <xdr:clientData/>
  </xdr:twoCellAnchor>
  <xdr:twoCellAnchor>
    <xdr:from>
      <xdr:col>49</xdr:col>
      <xdr:colOff>851646</xdr:colOff>
      <xdr:row>33</xdr:row>
      <xdr:rowOff>9958</xdr:rowOff>
    </xdr:from>
    <xdr:to>
      <xdr:col>51</xdr:col>
      <xdr:colOff>3882</xdr:colOff>
      <xdr:row>34</xdr:row>
      <xdr:rowOff>197267</xdr:rowOff>
    </xdr:to>
    <xdr:sp macro="" textlink="">
      <xdr:nvSpPr>
        <xdr:cNvPr id="59" name="Rectángulo: esquinas redondeadas 58">
          <a:extLst>
            <a:ext uri="{FF2B5EF4-FFF2-40B4-BE49-F238E27FC236}">
              <a16:creationId xmlns:a16="http://schemas.microsoft.com/office/drawing/2014/main" id="{A5FF7101-AF95-45B1-8CA6-73FA80BEB658}"/>
            </a:ext>
          </a:extLst>
        </xdr:cNvPr>
        <xdr:cNvSpPr/>
      </xdr:nvSpPr>
      <xdr:spPr>
        <a:xfrm>
          <a:off x="45551911" y="6666252"/>
          <a:ext cx="990000" cy="389015"/>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Flujo</a:t>
          </a:r>
        </a:p>
      </xdr:txBody>
    </xdr:sp>
    <xdr:clientData/>
  </xdr:twoCellAnchor>
  <xdr:twoCellAnchor>
    <xdr:from>
      <xdr:col>55</xdr:col>
      <xdr:colOff>983458</xdr:colOff>
      <xdr:row>1</xdr:row>
      <xdr:rowOff>156367</xdr:rowOff>
    </xdr:from>
    <xdr:to>
      <xdr:col>57</xdr:col>
      <xdr:colOff>461739</xdr:colOff>
      <xdr:row>2</xdr:row>
      <xdr:rowOff>168638</xdr:rowOff>
    </xdr:to>
    <xdr:sp macro="" textlink="">
      <xdr:nvSpPr>
        <xdr:cNvPr id="61" name="Rectángulo: esquinas redondeadas 60">
          <a:extLst>
            <a:ext uri="{FF2B5EF4-FFF2-40B4-BE49-F238E27FC236}">
              <a16:creationId xmlns:a16="http://schemas.microsoft.com/office/drawing/2014/main" id="{7841BE82-B5CA-4CCF-A303-B11D6325FB00}"/>
            </a:ext>
          </a:extLst>
        </xdr:cNvPr>
        <xdr:cNvSpPr/>
      </xdr:nvSpPr>
      <xdr:spPr>
        <a:xfrm>
          <a:off x="50703958" y="356392"/>
          <a:ext cx="2269106" cy="212296"/>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1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Pie</a:t>
          </a:r>
          <a:r>
            <a:rPr lang="es-CL" sz="11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Total</a:t>
          </a:r>
          <a:endParaRPr lang="es-CL" sz="12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57</xdr:col>
      <xdr:colOff>679246</xdr:colOff>
      <xdr:row>1</xdr:row>
      <xdr:rowOff>146622</xdr:rowOff>
    </xdr:from>
    <xdr:to>
      <xdr:col>59</xdr:col>
      <xdr:colOff>718283</xdr:colOff>
      <xdr:row>2</xdr:row>
      <xdr:rowOff>160398</xdr:rowOff>
    </xdr:to>
    <xdr:sp macro="" textlink="">
      <xdr:nvSpPr>
        <xdr:cNvPr id="62" name="Rectángulo: esquinas redondeadas 61">
          <a:extLst>
            <a:ext uri="{FF2B5EF4-FFF2-40B4-BE49-F238E27FC236}">
              <a16:creationId xmlns:a16="http://schemas.microsoft.com/office/drawing/2014/main" id="{F974291B-2755-4B7E-AF36-4E7F1685C290}"/>
            </a:ext>
          </a:extLst>
        </xdr:cNvPr>
        <xdr:cNvSpPr/>
      </xdr:nvSpPr>
      <xdr:spPr>
        <a:xfrm>
          <a:off x="53190571" y="346647"/>
          <a:ext cx="2267887" cy="213801"/>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1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Monto</a:t>
          </a:r>
          <a:r>
            <a:rPr lang="es-CL" sz="11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Reserva Total</a:t>
          </a:r>
          <a:endParaRPr lang="es-CL" sz="12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59</xdr:col>
      <xdr:colOff>971820</xdr:colOff>
      <xdr:row>1</xdr:row>
      <xdr:rowOff>147010</xdr:rowOff>
    </xdr:from>
    <xdr:to>
      <xdr:col>61</xdr:col>
      <xdr:colOff>451264</xdr:colOff>
      <xdr:row>2</xdr:row>
      <xdr:rowOff>160786</xdr:rowOff>
    </xdr:to>
    <xdr:sp macro="" textlink="">
      <xdr:nvSpPr>
        <xdr:cNvPr id="63" name="Rectángulo: esquinas redondeadas 62">
          <a:extLst>
            <a:ext uri="{FF2B5EF4-FFF2-40B4-BE49-F238E27FC236}">
              <a16:creationId xmlns:a16="http://schemas.microsoft.com/office/drawing/2014/main" id="{8433EF92-2904-4DEC-9415-12FB477150EC}"/>
            </a:ext>
          </a:extLst>
        </xdr:cNvPr>
        <xdr:cNvSpPr/>
      </xdr:nvSpPr>
      <xdr:spPr>
        <a:xfrm>
          <a:off x="55711995" y="347035"/>
          <a:ext cx="2270269" cy="213801"/>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1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Abono Inicial</a:t>
          </a:r>
          <a:endParaRPr lang="es-CL" sz="12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57</xdr:col>
      <xdr:colOff>691647</xdr:colOff>
      <xdr:row>5</xdr:row>
      <xdr:rowOff>154782</xdr:rowOff>
    </xdr:from>
    <xdr:to>
      <xdr:col>59</xdr:col>
      <xdr:colOff>729578</xdr:colOff>
      <xdr:row>6</xdr:row>
      <xdr:rowOff>168375</xdr:rowOff>
    </xdr:to>
    <xdr:sp macro="" textlink="">
      <xdr:nvSpPr>
        <xdr:cNvPr id="64" name="Rectángulo: esquinas redondeadas 63">
          <a:extLst>
            <a:ext uri="{FF2B5EF4-FFF2-40B4-BE49-F238E27FC236}">
              <a16:creationId xmlns:a16="http://schemas.microsoft.com/office/drawing/2014/main" id="{856BE762-CCAB-410E-BFF5-A123A06AF9F9}"/>
            </a:ext>
          </a:extLst>
        </xdr:cNvPr>
        <xdr:cNvSpPr/>
      </xdr:nvSpPr>
      <xdr:spPr>
        <a:xfrm>
          <a:off x="53202972" y="1154907"/>
          <a:ext cx="2266781" cy="213618"/>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1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Pie Pendiente</a:t>
          </a:r>
        </a:p>
      </xdr:txBody>
    </xdr:sp>
    <xdr:clientData/>
  </xdr:twoCellAnchor>
  <xdr:twoCellAnchor>
    <xdr:from>
      <xdr:col>55</xdr:col>
      <xdr:colOff>1390585</xdr:colOff>
      <xdr:row>2</xdr:row>
      <xdr:rowOff>192032</xdr:rowOff>
    </xdr:from>
    <xdr:to>
      <xdr:col>56</xdr:col>
      <xdr:colOff>114301</xdr:colOff>
      <xdr:row>4</xdr:row>
      <xdr:rowOff>28575</xdr:rowOff>
    </xdr:to>
    <xdr:sp macro="" textlink="">
      <xdr:nvSpPr>
        <xdr:cNvPr id="65" name="Signo más 64">
          <a:extLst>
            <a:ext uri="{FF2B5EF4-FFF2-40B4-BE49-F238E27FC236}">
              <a16:creationId xmlns:a16="http://schemas.microsoft.com/office/drawing/2014/main" id="{DFFB4647-264E-430D-ADE3-6991DE3E32FF}"/>
            </a:ext>
          </a:extLst>
        </xdr:cNvPr>
        <xdr:cNvSpPr/>
      </xdr:nvSpPr>
      <xdr:spPr>
        <a:xfrm>
          <a:off x="51111085" y="592082"/>
          <a:ext cx="247716" cy="236593"/>
        </a:xfrm>
        <a:prstGeom prst="mathPlus">
          <a:avLst/>
        </a:prstGeom>
        <a:solidFill>
          <a:schemeClr val="accent1">
            <a:lumMod val="20000"/>
            <a:lumOff val="8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endParaRPr lang="es-CL" sz="1100">
            <a:ln>
              <a:solidFill>
                <a:schemeClr val="bg1"/>
              </a:solidFill>
            </a:ln>
            <a:solidFill>
              <a:schemeClr val="bg1"/>
            </a:solidFill>
            <a:latin typeface="+mj-lt"/>
          </a:endParaRPr>
        </a:p>
      </xdr:txBody>
    </xdr:sp>
    <xdr:clientData/>
  </xdr:twoCellAnchor>
  <xdr:twoCellAnchor>
    <xdr:from>
      <xdr:col>57</xdr:col>
      <xdr:colOff>1037558</xdr:colOff>
      <xdr:row>2</xdr:row>
      <xdr:rowOff>187453</xdr:rowOff>
    </xdr:from>
    <xdr:to>
      <xdr:col>58</xdr:col>
      <xdr:colOff>19133</xdr:colOff>
      <xdr:row>4</xdr:row>
      <xdr:rowOff>25003</xdr:rowOff>
    </xdr:to>
    <xdr:sp macro="" textlink="">
      <xdr:nvSpPr>
        <xdr:cNvPr id="66" name="Signo menos 65">
          <a:extLst>
            <a:ext uri="{FF2B5EF4-FFF2-40B4-BE49-F238E27FC236}">
              <a16:creationId xmlns:a16="http://schemas.microsoft.com/office/drawing/2014/main" id="{02D9697C-E5CF-4FE1-AEA2-D46A0B358EDE}"/>
            </a:ext>
          </a:extLst>
        </xdr:cNvPr>
        <xdr:cNvSpPr/>
      </xdr:nvSpPr>
      <xdr:spPr>
        <a:xfrm>
          <a:off x="53548883" y="587503"/>
          <a:ext cx="248400" cy="237600"/>
        </a:xfrm>
        <a:prstGeom prst="mathMinus">
          <a:avLst/>
        </a:prstGeom>
        <a:solidFill>
          <a:schemeClr val="accent1">
            <a:lumMod val="20000"/>
            <a:lumOff val="8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endParaRPr lang="es-CL" sz="1100">
            <a:ln>
              <a:solidFill>
                <a:schemeClr val="bg1"/>
              </a:solidFill>
            </a:ln>
            <a:solidFill>
              <a:schemeClr val="bg1"/>
            </a:solidFill>
            <a:latin typeface="+mj-lt"/>
          </a:endParaRPr>
        </a:p>
      </xdr:txBody>
    </xdr:sp>
    <xdr:clientData/>
  </xdr:twoCellAnchor>
  <xdr:twoCellAnchor>
    <xdr:from>
      <xdr:col>57</xdr:col>
      <xdr:colOff>1038224</xdr:colOff>
      <xdr:row>6</xdr:row>
      <xdr:rowOff>197918</xdr:rowOff>
    </xdr:from>
    <xdr:to>
      <xdr:col>58</xdr:col>
      <xdr:colOff>19799</xdr:colOff>
      <xdr:row>8</xdr:row>
      <xdr:rowOff>33087</xdr:rowOff>
    </xdr:to>
    <xdr:sp macro="" textlink="">
      <xdr:nvSpPr>
        <xdr:cNvPr id="67" name="Es igual a 66">
          <a:extLst>
            <a:ext uri="{FF2B5EF4-FFF2-40B4-BE49-F238E27FC236}">
              <a16:creationId xmlns:a16="http://schemas.microsoft.com/office/drawing/2014/main" id="{146FB685-FED3-4469-B19B-3D185C8E03BA}"/>
            </a:ext>
          </a:extLst>
        </xdr:cNvPr>
        <xdr:cNvSpPr/>
      </xdr:nvSpPr>
      <xdr:spPr>
        <a:xfrm>
          <a:off x="53549549" y="1398068"/>
          <a:ext cx="248400" cy="235219"/>
        </a:xfrm>
        <a:prstGeom prst="mathEqual">
          <a:avLst/>
        </a:prstGeom>
        <a:solidFill>
          <a:schemeClr val="accent1">
            <a:lumMod val="20000"/>
            <a:lumOff val="8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endParaRPr lang="es-CL" sz="1100">
            <a:ln>
              <a:solidFill>
                <a:schemeClr val="bg1"/>
              </a:solidFill>
            </a:ln>
            <a:solidFill>
              <a:schemeClr val="bg1"/>
            </a:solidFill>
            <a:latin typeface="+mj-lt"/>
          </a:endParaRPr>
        </a:p>
      </xdr:txBody>
    </xdr:sp>
    <xdr:clientData/>
  </xdr:twoCellAnchor>
  <xdr:twoCellAnchor>
    <xdr:from>
      <xdr:col>59</xdr:col>
      <xdr:colOff>1419225</xdr:colOff>
      <xdr:row>2</xdr:row>
      <xdr:rowOff>190500</xdr:rowOff>
    </xdr:from>
    <xdr:to>
      <xdr:col>60</xdr:col>
      <xdr:colOff>143625</xdr:colOff>
      <xdr:row>4</xdr:row>
      <xdr:rowOff>25669</xdr:rowOff>
    </xdr:to>
    <xdr:sp macro="" textlink="">
      <xdr:nvSpPr>
        <xdr:cNvPr id="68" name="Signo menos 67">
          <a:extLst>
            <a:ext uri="{FF2B5EF4-FFF2-40B4-BE49-F238E27FC236}">
              <a16:creationId xmlns:a16="http://schemas.microsoft.com/office/drawing/2014/main" id="{F5A17EA6-71D3-42BD-9388-C0678429BFE5}"/>
            </a:ext>
          </a:extLst>
        </xdr:cNvPr>
        <xdr:cNvSpPr/>
      </xdr:nvSpPr>
      <xdr:spPr>
        <a:xfrm>
          <a:off x="56159400" y="590550"/>
          <a:ext cx="248400" cy="235219"/>
        </a:xfrm>
        <a:prstGeom prst="mathMinus">
          <a:avLst/>
        </a:prstGeom>
        <a:solidFill>
          <a:schemeClr val="accent1">
            <a:lumMod val="20000"/>
            <a:lumOff val="8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endParaRPr lang="es-CL" sz="1100">
            <a:ln>
              <a:solidFill>
                <a:schemeClr val="bg1"/>
              </a:solidFill>
            </a:ln>
            <a:solidFill>
              <a:schemeClr val="bg1"/>
            </a:solidFill>
            <a:latin typeface="+mj-lt"/>
          </a:endParaRPr>
        </a:p>
      </xdr:txBody>
    </xdr:sp>
    <xdr:clientData/>
  </xdr:twoCellAnchor>
  <xdr:twoCellAnchor>
    <xdr:from>
      <xdr:col>6</xdr:col>
      <xdr:colOff>553197</xdr:colOff>
      <xdr:row>4</xdr:row>
      <xdr:rowOff>97631</xdr:rowOff>
    </xdr:from>
    <xdr:to>
      <xdr:col>8</xdr:col>
      <xdr:colOff>476250</xdr:colOff>
      <xdr:row>5</xdr:row>
      <xdr:rowOff>95250</xdr:rowOff>
    </xdr:to>
    <xdr:sp macro="[0]!donclaudio" textlink="">
      <xdr:nvSpPr>
        <xdr:cNvPr id="2" name="Rectángulo: esquinas redondeadas 1">
          <a:extLst>
            <a:ext uri="{FF2B5EF4-FFF2-40B4-BE49-F238E27FC236}">
              <a16:creationId xmlns:a16="http://schemas.microsoft.com/office/drawing/2014/main" id="{CD81C722-3CEE-4D94-BDEE-E69BF0F908AB}"/>
            </a:ext>
          </a:extLst>
        </xdr:cNvPr>
        <xdr:cNvSpPr/>
      </xdr:nvSpPr>
      <xdr:spPr>
        <a:xfrm>
          <a:off x="4851353" y="907256"/>
          <a:ext cx="1589928" cy="200025"/>
        </a:xfrm>
        <a:prstGeom prst="roundRect">
          <a:avLst/>
        </a:prstGeom>
        <a:solidFill>
          <a:srgbClr val="002060"/>
        </a:solidFill>
        <a:ln>
          <a:solidFill>
            <a:srgbClr val="002060"/>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100" b="0">
              <a:ln>
                <a:solidFill>
                  <a:schemeClr val="bg1"/>
                </a:solidFill>
              </a:ln>
              <a:solidFill>
                <a:schemeClr val="bg1"/>
              </a:solidFill>
              <a:latin typeface="+mj-lt"/>
            </a:rPr>
            <a:t>Don Claudio</a:t>
          </a:r>
        </a:p>
      </xdr:txBody>
    </xdr:sp>
    <xdr:clientData/>
  </xdr:twoCellAnchor>
  <xdr:twoCellAnchor>
    <xdr:from>
      <xdr:col>5</xdr:col>
      <xdr:colOff>266830</xdr:colOff>
      <xdr:row>4</xdr:row>
      <xdr:rowOff>93821</xdr:rowOff>
    </xdr:from>
    <xdr:to>
      <xdr:col>6</xdr:col>
      <xdr:colOff>464817</xdr:colOff>
      <xdr:row>6</xdr:row>
      <xdr:rowOff>96678</xdr:rowOff>
    </xdr:to>
    <xdr:sp macro="[0]!carvajal_inme" textlink="">
      <xdr:nvSpPr>
        <xdr:cNvPr id="8" name="Rectángulo: esquinas redondeadas 7">
          <a:extLst>
            <a:ext uri="{FF2B5EF4-FFF2-40B4-BE49-F238E27FC236}">
              <a16:creationId xmlns:a16="http://schemas.microsoft.com/office/drawing/2014/main" id="{6F1B0262-E6F3-4FAE-A970-C84CDEA5D5BA}"/>
            </a:ext>
          </a:extLst>
        </xdr:cNvPr>
        <xdr:cNvSpPr/>
      </xdr:nvSpPr>
      <xdr:spPr>
        <a:xfrm>
          <a:off x="3767268" y="903446"/>
          <a:ext cx="995705" cy="407670"/>
        </a:xfrm>
        <a:prstGeom prst="roundRect">
          <a:avLst/>
        </a:prstGeom>
        <a:solidFill>
          <a:srgbClr val="002060"/>
        </a:solidFill>
        <a:ln>
          <a:solidFill>
            <a:srgbClr val="002060"/>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100" b="0">
              <a:ln>
                <a:solidFill>
                  <a:schemeClr val="bg1"/>
                </a:solidFill>
              </a:ln>
              <a:solidFill>
                <a:schemeClr val="bg1"/>
              </a:solidFill>
              <a:latin typeface="+mj-lt"/>
            </a:rPr>
            <a:t>Carvajal</a:t>
          </a:r>
        </a:p>
      </xdr:txBody>
    </xdr:sp>
    <xdr:clientData/>
  </xdr:twoCellAnchor>
  <xdr:twoCellAnchor>
    <xdr:from>
      <xdr:col>4</xdr:col>
      <xdr:colOff>27620</xdr:colOff>
      <xdr:row>4</xdr:row>
      <xdr:rowOff>97631</xdr:rowOff>
    </xdr:from>
    <xdr:to>
      <xdr:col>5</xdr:col>
      <xdr:colOff>200499</xdr:colOff>
      <xdr:row>6</xdr:row>
      <xdr:rowOff>95249</xdr:rowOff>
    </xdr:to>
    <xdr:sp macro="[0]!biaut" textlink="">
      <xdr:nvSpPr>
        <xdr:cNvPr id="10" name="Rectángulo: esquinas redondeadas 9">
          <a:extLst>
            <a:ext uri="{FF2B5EF4-FFF2-40B4-BE49-F238E27FC236}">
              <a16:creationId xmlns:a16="http://schemas.microsoft.com/office/drawing/2014/main" id="{99B2EB05-E4D5-44BD-8D64-A6148A5D0EA6}"/>
            </a:ext>
          </a:extLst>
        </xdr:cNvPr>
        <xdr:cNvSpPr/>
      </xdr:nvSpPr>
      <xdr:spPr>
        <a:xfrm>
          <a:off x="2694620" y="907256"/>
          <a:ext cx="1006317" cy="402431"/>
        </a:xfrm>
        <a:prstGeom prst="roundRect">
          <a:avLst/>
        </a:prstGeom>
        <a:solidFill>
          <a:srgbClr val="002060"/>
        </a:solidFill>
        <a:ln>
          <a:solidFill>
            <a:srgbClr val="002060"/>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100" b="0">
              <a:ln>
                <a:solidFill>
                  <a:schemeClr val="bg1"/>
                </a:solidFill>
              </a:ln>
              <a:solidFill>
                <a:schemeClr val="bg1"/>
              </a:solidFill>
              <a:latin typeface="+mj-lt"/>
            </a:rPr>
            <a:t>Biaut</a:t>
          </a:r>
        </a:p>
      </xdr:txBody>
    </xdr:sp>
    <xdr:clientData/>
  </xdr:twoCellAnchor>
  <xdr:twoCellAnchor editAs="oneCell">
    <xdr:from>
      <xdr:col>7</xdr:col>
      <xdr:colOff>463181</xdr:colOff>
      <xdr:row>0</xdr:row>
      <xdr:rowOff>179294</xdr:rowOff>
    </xdr:from>
    <xdr:to>
      <xdr:col>9</xdr:col>
      <xdr:colOff>15333</xdr:colOff>
      <xdr:row>3</xdr:row>
      <xdr:rowOff>130660</xdr:rowOff>
    </xdr:to>
    <xdr:pic>
      <xdr:nvPicPr>
        <xdr:cNvPr id="42" name="Imagen 41" descr="Interfaz de usuario gráfica, Aplicación&#10;&#10;Descripción generada automáticamente">
          <a:extLst>
            <a:ext uri="{FF2B5EF4-FFF2-40B4-BE49-F238E27FC236}">
              <a16:creationId xmlns:a16="http://schemas.microsoft.com/office/drawing/2014/main" id="{B23210AC-3273-482A-86F9-E6EA88BA5904}"/>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1502" b="25182"/>
        <a:stretch/>
      </xdr:blipFill>
      <xdr:spPr bwMode="auto">
        <a:xfrm>
          <a:off x="5651505" y="179294"/>
          <a:ext cx="885427" cy="560294"/>
        </a:xfrm>
        <a:prstGeom prst="rect">
          <a:avLst/>
        </a:prstGeom>
        <a:noFill/>
        <a:ln>
          <a:noFill/>
        </a:ln>
        <a:extLst>
          <a:ext uri="{53640926-AAD7-44D8-BBD7-CCE9431645EC}">
            <a14:shadowObscured xmlns:a14="http://schemas.microsoft.com/office/drawing/2010/main"/>
          </a:ext>
        </a:extLst>
      </xdr:spPr>
    </xdr:pic>
    <xdr:clientData/>
  </xdr:twoCellAnchor>
  <xdr:twoCellAnchor>
    <xdr:from>
      <xdr:col>6</xdr:col>
      <xdr:colOff>547005</xdr:colOff>
      <xdr:row>5</xdr:row>
      <xdr:rowOff>152399</xdr:rowOff>
    </xdr:from>
    <xdr:to>
      <xdr:col>8</xdr:col>
      <xdr:colOff>469579</xdr:colOff>
      <xdr:row>6</xdr:row>
      <xdr:rowOff>167640</xdr:rowOff>
    </xdr:to>
    <xdr:sp macro="[0]!donclaudioext" textlink="">
      <xdr:nvSpPr>
        <xdr:cNvPr id="3" name="Rectángulo: esquinas redondeadas 2">
          <a:extLst>
            <a:ext uri="{FF2B5EF4-FFF2-40B4-BE49-F238E27FC236}">
              <a16:creationId xmlns:a16="http://schemas.microsoft.com/office/drawing/2014/main" id="{244EDE5A-8E0A-43B0-B222-7EC762ADE1D8}"/>
            </a:ext>
          </a:extLst>
        </xdr:cNvPr>
        <xdr:cNvSpPr/>
      </xdr:nvSpPr>
      <xdr:spPr>
        <a:xfrm>
          <a:off x="4845161" y="1164430"/>
          <a:ext cx="1589449" cy="217648"/>
        </a:xfrm>
        <a:prstGeom prst="roundRect">
          <a:avLst/>
        </a:prstGeom>
        <a:solidFill>
          <a:srgbClr val="002060"/>
        </a:solidFill>
        <a:ln>
          <a:solidFill>
            <a:srgbClr val="002060"/>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100" b="0">
              <a:ln>
                <a:solidFill>
                  <a:schemeClr val="bg1"/>
                </a:solidFill>
              </a:ln>
              <a:solidFill>
                <a:schemeClr val="bg1"/>
              </a:solidFill>
              <a:latin typeface="+mj-lt"/>
            </a:rPr>
            <a:t>Don Claudio</a:t>
          </a:r>
          <a:r>
            <a:rPr lang="es-CL" sz="1100" b="0" baseline="0">
              <a:ln>
                <a:solidFill>
                  <a:schemeClr val="bg1"/>
                </a:solidFill>
              </a:ln>
              <a:solidFill>
                <a:schemeClr val="bg1"/>
              </a:solidFill>
              <a:latin typeface="+mj-lt"/>
            </a:rPr>
            <a:t> Extendido</a:t>
          </a:r>
          <a:endParaRPr lang="es-CL" sz="1100" b="0">
            <a:ln>
              <a:solidFill>
                <a:schemeClr val="bg1"/>
              </a:solidFill>
            </a:ln>
            <a:solidFill>
              <a:schemeClr val="bg1"/>
            </a:solidFill>
            <a:latin typeface="+mj-lt"/>
          </a:endParaRPr>
        </a:p>
      </xdr:txBody>
    </xdr:sp>
    <xdr:clientData/>
  </xdr:twoCellAnchor>
  <xdr:twoCellAnchor>
    <xdr:from>
      <xdr:col>2</xdr:col>
      <xdr:colOff>503871</xdr:colOff>
      <xdr:row>4</xdr:row>
      <xdr:rowOff>136207</xdr:rowOff>
    </xdr:from>
    <xdr:to>
      <xdr:col>3</xdr:col>
      <xdr:colOff>896643</xdr:colOff>
      <xdr:row>6</xdr:row>
      <xdr:rowOff>99059</xdr:rowOff>
    </xdr:to>
    <xdr:sp macro="[0]!VOLCAN" textlink="">
      <xdr:nvSpPr>
        <xdr:cNvPr id="40" name="Rectángulo: esquinas redondeadas 39">
          <a:extLst>
            <a:ext uri="{FF2B5EF4-FFF2-40B4-BE49-F238E27FC236}">
              <a16:creationId xmlns:a16="http://schemas.microsoft.com/office/drawing/2014/main" id="{F9988734-03C6-4DA9-B125-E5B03943E40F}"/>
            </a:ext>
          </a:extLst>
        </xdr:cNvPr>
        <xdr:cNvSpPr/>
      </xdr:nvSpPr>
      <xdr:spPr>
        <a:xfrm>
          <a:off x="1408746" y="945832"/>
          <a:ext cx="1226210" cy="367665"/>
        </a:xfrm>
        <a:prstGeom prst="roundRect">
          <a:avLst/>
        </a:prstGeom>
        <a:solidFill>
          <a:srgbClr val="002060"/>
        </a:solidFill>
        <a:ln>
          <a:solidFill>
            <a:srgbClr val="002060"/>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100" b="0">
              <a:ln>
                <a:solidFill>
                  <a:schemeClr val="bg1"/>
                </a:solidFill>
              </a:ln>
              <a:solidFill>
                <a:schemeClr val="bg1"/>
              </a:solidFill>
              <a:latin typeface="+mj-lt"/>
            </a:rPr>
            <a:t>Volcán</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mailto:msilva@delabase.cl" TargetMode="External"/><Relationship Id="rId7" Type="http://schemas.openxmlformats.org/officeDocument/2006/relationships/hyperlink" Target="file:///C:\Users\rcobo\Activo%20M&#225;s%20Dropbox\Raimundo%20Cobo%20Lewin\Activo%20Mas%20-%20Ventas\Inmobiliarias\Delabase\Don%20Claudio\Brochure%20Don%20Claudio,%20La%20Cisterna.pdf" TargetMode="External"/><Relationship Id="rId2" Type="http://schemas.openxmlformats.org/officeDocument/2006/relationships/hyperlink" Target="https://delabase.trytoku.com/" TargetMode="External"/><Relationship Id="rId1" Type="http://schemas.openxmlformats.org/officeDocument/2006/relationships/hyperlink" Target="https://www.webpay.cl/portalpagodirecto/pages/institucion.jsf?idEstablecimiento=109057492" TargetMode="External"/><Relationship Id="rId6" Type="http://schemas.openxmlformats.org/officeDocument/2006/relationships/hyperlink" Target="file:///C:\Users\rcobo\Activo%20M&#225;s%20Dropbox\Raimundo%20Cobo%20Lewin\Activo%20Mas%20-%20Ventas\Inmobiliarias\Delabase\Carvajal\Brochure%20Carvajal,%20La%20Cisterna.pdf" TargetMode="External"/><Relationship Id="rId5" Type="http://schemas.openxmlformats.org/officeDocument/2006/relationships/hyperlink" Target="file:///C:\Users\rcobo\Activo%20M&#225;s%20Dropbox\Raimundo%20Cobo%20Lewin\Activo%20Mas%20-%20Ventas\Inmobiliarias\Delabase\Biaut\Brochure%20Biaut,%20La%20Cisterna.pdf" TargetMode="External"/><Relationship Id="rId4" Type="http://schemas.openxmlformats.org/officeDocument/2006/relationships/hyperlink" Target="file:///C:\Users\rcobo\Activo%20M&#225;s%20Dropbox\Raimundo%20Cobo%20Lewin\Activo%20Mas%20-%20Ventas\Inmobiliarias\Delabase\Volcan\Brochure%20Volc&#225;n,%20Villarrica.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E3752-8218-4BD7-8369-9642F33C5280}">
  <sheetPr codeName="Hoja2">
    <tabColor theme="4" tint="0.59999389629810485"/>
    <pageSetUpPr autoPageBreaks="0"/>
  </sheetPr>
  <dimension ref="A1:BW261"/>
  <sheetViews>
    <sheetView showGridLines="0" tabSelected="1" zoomScale="80" zoomScaleNormal="80" workbookViewId="0">
      <selection activeCell="I41" sqref="I41"/>
    </sheetView>
  </sheetViews>
  <sheetFormatPr baseColWidth="10" defaultColWidth="11" defaultRowHeight="15.5"/>
  <cols>
    <col min="1" max="1" width="0.83203125" style="269" customWidth="1"/>
    <col min="2" max="2" width="11" style="269"/>
    <col min="3" max="3" width="11" style="269" customWidth="1"/>
    <col min="4" max="4" width="12.08203125" style="269" bestFit="1" customWidth="1"/>
    <col min="5" max="5" width="11" style="269"/>
    <col min="6" max="6" width="10.5" style="269" customWidth="1"/>
    <col min="7" max="7" width="11" style="269"/>
    <col min="8" max="8" width="10.83203125" style="269" customWidth="1"/>
    <col min="9" max="9" width="6.75" style="269" customWidth="1"/>
    <col min="10" max="10" width="0.83203125" style="269" customWidth="1"/>
    <col min="11" max="11" width="16.33203125" style="269" bestFit="1" customWidth="1"/>
    <col min="12" max="12" width="16.83203125" style="269" bestFit="1" customWidth="1"/>
    <col min="13" max="13" width="16.08203125" style="269" customWidth="1"/>
    <col min="14" max="14" width="12.75" style="269" customWidth="1"/>
    <col min="15" max="15" width="15" style="269" bestFit="1" customWidth="1"/>
    <col min="16" max="16" width="14.83203125" style="269" customWidth="1"/>
    <col min="17" max="17" width="11.58203125" style="269" bestFit="1" customWidth="1"/>
    <col min="18" max="18" width="17" style="269" bestFit="1" customWidth="1"/>
    <col min="19" max="19" width="23.5" style="269" customWidth="1"/>
    <col min="20" max="20" width="3.25" style="269" customWidth="1"/>
    <col min="21" max="22" width="11" style="269"/>
    <col min="23" max="23" width="12.58203125" style="269" bestFit="1" customWidth="1"/>
    <col min="24" max="24" width="11" style="269"/>
    <col min="25" max="25" width="20.75" style="269" bestFit="1" customWidth="1"/>
    <col min="26" max="26" width="14" style="269" customWidth="1"/>
    <col min="27" max="27" width="14.33203125" style="269" customWidth="1"/>
    <col min="28" max="28" width="15.58203125" style="269" customWidth="1"/>
    <col min="29" max="29" width="18" style="269" customWidth="1"/>
    <col min="30" max="30" width="12.83203125" style="269" customWidth="1"/>
    <col min="31" max="31" width="14.25" style="269" customWidth="1"/>
    <col min="32" max="32" width="15.33203125" style="269" customWidth="1"/>
    <col min="33" max="34" width="14" style="269" customWidth="1"/>
    <col min="35" max="35" width="11.5" style="269" customWidth="1"/>
    <col min="36" max="36" width="11" style="269"/>
    <col min="37" max="37" width="17.5" style="269" customWidth="1"/>
    <col min="38" max="38" width="13.08203125" style="269" customWidth="1"/>
    <col min="39" max="39" width="11" style="269"/>
    <col min="40" max="40" width="15.33203125" style="269" customWidth="1"/>
    <col min="41" max="41" width="11" style="269"/>
    <col min="42" max="42" width="10.25" style="269" customWidth="1"/>
    <col min="43" max="43" width="8.33203125" style="269" customWidth="1"/>
    <col min="44" max="44" width="10.58203125" style="269" customWidth="1"/>
    <col min="45" max="45" width="12.83203125" style="269" customWidth="1"/>
    <col min="46" max="46" width="5.33203125" style="269" bestFit="1" customWidth="1"/>
    <col min="47" max="47" width="11" style="269" customWidth="1"/>
    <col min="48" max="48" width="15.5" style="269" customWidth="1"/>
    <col min="49" max="49" width="12.83203125" style="269" customWidth="1"/>
    <col min="50" max="50" width="11.08203125" style="269" bestFit="1" customWidth="1"/>
    <col min="51" max="51" width="13" style="269" customWidth="1"/>
    <col min="52" max="54" width="11" style="269"/>
    <col min="55" max="55" width="9.83203125" style="269" customWidth="1"/>
    <col min="56" max="56" width="20" style="269" customWidth="1"/>
    <col min="57" max="58" width="16.58203125" style="269" customWidth="1"/>
    <col min="59" max="59" width="12.58203125" style="269" customWidth="1"/>
    <col min="60" max="60" width="20" style="269" customWidth="1"/>
    <col min="61" max="62" width="16.58203125" style="269" customWidth="1"/>
    <col min="63" max="63" width="11" style="269" customWidth="1"/>
    <col min="64" max="65" width="11" style="269"/>
    <col min="66" max="66" width="10" style="269" customWidth="1"/>
    <col min="67" max="68" width="15.58203125" style="269" customWidth="1"/>
    <col min="69" max="69" width="11" style="269"/>
    <col min="70" max="70" width="18.33203125" style="269" bestFit="1" customWidth="1"/>
    <col min="71" max="71" width="17" style="269" bestFit="1" customWidth="1"/>
    <col min="72" max="16384" width="11" style="269"/>
  </cols>
  <sheetData>
    <row r="1" spans="1:75">
      <c r="A1" s="266"/>
      <c r="B1" s="473" t="s">
        <v>65</v>
      </c>
      <c r="C1" s="474"/>
      <c r="D1" s="474"/>
      <c r="E1" s="474"/>
      <c r="F1" s="474"/>
      <c r="G1" s="474"/>
      <c r="H1" s="474"/>
      <c r="I1" s="475"/>
      <c r="J1" s="267"/>
      <c r="K1" s="473" t="s">
        <v>66</v>
      </c>
      <c r="L1" s="474"/>
      <c r="M1" s="474"/>
      <c r="N1" s="474"/>
      <c r="O1" s="474"/>
      <c r="P1" s="474"/>
      <c r="Q1" s="474"/>
      <c r="R1" s="474"/>
      <c r="S1" s="474"/>
      <c r="T1" s="475"/>
      <c r="U1" s="268"/>
      <c r="V1" s="268"/>
      <c r="W1" s="476"/>
      <c r="X1" s="268"/>
      <c r="Z1" s="477" t="s">
        <v>67</v>
      </c>
      <c r="AA1" s="477" t="s">
        <v>68</v>
      </c>
      <c r="AB1" s="477" t="s">
        <v>69</v>
      </c>
      <c r="AC1" s="468" t="s">
        <v>70</v>
      </c>
      <c r="AD1" s="268"/>
      <c r="AH1" s="268"/>
      <c r="AI1" s="268"/>
      <c r="AJ1" s="268"/>
      <c r="AK1" s="268"/>
      <c r="AL1" s="268"/>
      <c r="AM1" s="268"/>
      <c r="AN1" s="268"/>
      <c r="AO1" s="469" t="s">
        <v>71</v>
      </c>
      <c r="AP1" s="471"/>
      <c r="AQ1" s="471"/>
      <c r="AR1" s="472"/>
      <c r="AS1" s="270"/>
      <c r="AT1" s="270"/>
      <c r="AU1" s="270"/>
      <c r="AV1" s="453"/>
      <c r="AW1" s="453"/>
      <c r="AX1" s="454"/>
      <c r="AY1" s="454"/>
      <c r="BA1" s="268"/>
      <c r="BB1" s="268"/>
      <c r="BC1" s="268"/>
      <c r="BL1" s="268"/>
      <c r="BT1" s="268"/>
      <c r="BU1" s="268"/>
      <c r="BV1" s="268"/>
      <c r="BW1" s="268"/>
    </row>
    <row r="2" spans="1:75">
      <c r="A2" s="266"/>
      <c r="B2" s="271"/>
      <c r="C2" s="268"/>
      <c r="D2" s="268"/>
      <c r="E2" s="268"/>
      <c r="F2" s="268"/>
      <c r="G2" s="268"/>
      <c r="H2" s="268"/>
      <c r="I2" s="272"/>
      <c r="J2" s="267"/>
      <c r="K2" s="273" t="s">
        <v>72</v>
      </c>
      <c r="L2" s="274" t="s">
        <v>33</v>
      </c>
      <c r="M2" s="274" t="s">
        <v>25</v>
      </c>
      <c r="N2" s="274" t="s">
        <v>26</v>
      </c>
      <c r="O2" s="274" t="s">
        <v>73</v>
      </c>
      <c r="P2" s="274" t="s">
        <v>74</v>
      </c>
      <c r="Q2" s="274" t="s">
        <v>75</v>
      </c>
      <c r="R2" s="274" t="s">
        <v>13</v>
      </c>
      <c r="S2" s="274" t="s">
        <v>11</v>
      </c>
      <c r="T2" s="272"/>
      <c r="U2" s="268"/>
      <c r="V2" s="268"/>
      <c r="W2" s="476"/>
      <c r="X2" s="455" t="s">
        <v>76</v>
      </c>
      <c r="Y2" s="455"/>
      <c r="Z2" s="477"/>
      <c r="AA2" s="477"/>
      <c r="AB2" s="477"/>
      <c r="AC2" s="468"/>
      <c r="AD2" s="275"/>
      <c r="AE2" s="276" t="str">
        <f ca="1">"Escenario enviado: "&amp;TEXT(TODAY(),"d ""de"" mmmm ""de"" yyyy"&amp;".")</f>
        <v>Escenario enviado: 18 de febrero de 2026.</v>
      </c>
      <c r="AH2" s="268"/>
      <c r="AI2" s="268"/>
      <c r="AJ2" s="268"/>
      <c r="AK2" s="268"/>
      <c r="AL2" s="268"/>
      <c r="AM2" s="268"/>
      <c r="AN2" s="277" t="s">
        <v>77</v>
      </c>
      <c r="AO2" s="470"/>
      <c r="AP2" s="471"/>
      <c r="AQ2" s="471"/>
      <c r="AR2" s="472"/>
      <c r="AS2" s="270"/>
      <c r="AT2" s="270"/>
      <c r="AU2" s="270"/>
      <c r="AV2" s="453"/>
      <c r="AW2" s="453"/>
      <c r="AX2" s="454"/>
      <c r="AY2" s="454"/>
      <c r="BA2" s="268"/>
      <c r="BB2" s="268"/>
      <c r="BF2" s="463"/>
      <c r="BG2" s="463"/>
      <c r="BH2" s="463"/>
      <c r="BO2" s="278"/>
      <c r="BS2" s="279"/>
      <c r="BT2" s="268"/>
      <c r="BU2" s="268"/>
      <c r="BV2" s="268"/>
      <c r="BW2" s="268"/>
    </row>
    <row r="3" spans="1:75" ht="15.75" customHeight="1">
      <c r="A3" s="266"/>
      <c r="B3" s="451" t="s">
        <v>78</v>
      </c>
      <c r="C3" s="462"/>
      <c r="D3" s="464"/>
      <c r="E3" s="465"/>
      <c r="F3" s="466"/>
      <c r="G3" s="268"/>
      <c r="H3" s="268"/>
      <c r="I3" s="272"/>
      <c r="J3" s="267"/>
      <c r="K3" s="281">
        <f>D12</f>
        <v>0</v>
      </c>
      <c r="L3" s="282" t="str">
        <f>SIMULACION!D4</f>
        <v>0</v>
      </c>
      <c r="M3" s="283" t="str">
        <f>SIMULACION!J4</f>
        <v>0</v>
      </c>
      <c r="N3" s="283" t="str">
        <f>SIMULACION!K4</f>
        <v>0</v>
      </c>
      <c r="O3" s="284" t="str">
        <f>SIMULACION!M4</f>
        <v>0</v>
      </c>
      <c r="P3" s="285">
        <f>SIMULACION!O4</f>
        <v>1</v>
      </c>
      <c r="Q3" s="285" t="str">
        <f>SIMULACION!P4</f>
        <v>0</v>
      </c>
      <c r="R3" s="285" t="str">
        <f>SIMULACION!Q4</f>
        <v>0</v>
      </c>
      <c r="S3" s="286">
        <f ca="1">SIMULACION!R4</f>
        <v>0</v>
      </c>
      <c r="T3" s="287"/>
      <c r="U3" s="268"/>
      <c r="V3" s="268"/>
      <c r="W3" s="288"/>
      <c r="X3" s="467">
        <f>D3</f>
        <v>0</v>
      </c>
      <c r="Y3" s="467"/>
      <c r="Z3" s="289" t="s">
        <v>135</v>
      </c>
      <c r="AA3" s="289" t="s">
        <v>288</v>
      </c>
      <c r="AB3" s="289" t="str">
        <f>VLOOKUP(AA3,Datos!A2:B10,2,0)</f>
        <v>Villarrica</v>
      </c>
      <c r="AC3" s="290" t="str">
        <f>VLOOKUP(AA3,Datos!A2:M10,13,0)</f>
        <v>2do Semestre 2028</v>
      </c>
      <c r="AD3" s="291"/>
      <c r="AE3" s="292"/>
      <c r="AH3" s="268"/>
      <c r="AI3" s="268"/>
      <c r="AJ3" s="268"/>
      <c r="AK3" s="268"/>
      <c r="AL3" s="268"/>
      <c r="AM3" s="268"/>
      <c r="AN3" s="277"/>
      <c r="AO3" s="293">
        <f>D12</f>
        <v>0</v>
      </c>
      <c r="AP3" s="294"/>
      <c r="AQ3" s="294"/>
      <c r="AR3" s="295"/>
      <c r="AS3" s="295"/>
      <c r="AT3" s="295"/>
      <c r="AU3" s="295"/>
      <c r="AV3" s="296">
        <f>IF(OR(AA3="Don Claudio",AA3="Don Diego",AA3="Carvajal",AA3="San Nicolás",AA3="Biaut"),3%,3.5%)</f>
        <v>3.5000000000000003E-2</v>
      </c>
      <c r="AW3" s="297">
        <f ca="1">((AH18*PMT(AV3,D20,-AO8)*VLOOKUP(TODAY(),'UF HOY'!$A$2:$B$36,2,0))/12)+$AD$36</f>
        <v>39734</v>
      </c>
      <c r="AX3" s="297" t="str">
        <f>SIMULACION!$U$4</f>
        <v>0</v>
      </c>
      <c r="AY3" s="297">
        <f ca="1">AX3-AW3</f>
        <v>-39734</v>
      </c>
      <c r="BA3" s="268"/>
      <c r="BB3" s="268"/>
      <c r="BC3" s="268"/>
      <c r="BG3" s="298"/>
      <c r="BH3" s="299"/>
      <c r="BK3" s="291"/>
      <c r="BN3" s="300"/>
      <c r="BO3" s="301"/>
      <c r="BP3" s="302"/>
      <c r="BQ3" s="303"/>
      <c r="BR3" s="300"/>
      <c r="BS3" s="304"/>
      <c r="BT3" s="268"/>
      <c r="BU3" s="268"/>
      <c r="BV3" s="268"/>
      <c r="BW3" s="268"/>
    </row>
    <row r="4" spans="1:75" ht="15.75" customHeight="1">
      <c r="A4" s="266"/>
      <c r="B4" s="305"/>
      <c r="C4" s="306"/>
      <c r="D4" s="307"/>
      <c r="E4" s="307"/>
      <c r="F4" s="307"/>
      <c r="G4" s="268"/>
      <c r="H4" s="268"/>
      <c r="I4" s="272"/>
      <c r="J4" s="267"/>
      <c r="K4" s="281"/>
      <c r="L4" s="282"/>
      <c r="M4" s="283"/>
      <c r="N4" s="283"/>
      <c r="O4" s="284"/>
      <c r="P4" s="285"/>
      <c r="Q4" s="285"/>
      <c r="R4" s="285"/>
      <c r="S4" s="286"/>
      <c r="T4" s="272"/>
      <c r="U4" s="268"/>
      <c r="V4" s="268"/>
      <c r="W4" s="268"/>
      <c r="X4" s="467"/>
      <c r="Y4" s="467"/>
      <c r="Z4" s="308"/>
      <c r="AA4" s="308"/>
      <c r="AB4" s="308"/>
      <c r="AC4" s="309"/>
      <c r="AD4" s="268"/>
      <c r="AE4" s="292"/>
      <c r="AH4" s="268"/>
      <c r="AI4" s="268"/>
      <c r="AJ4" s="268"/>
      <c r="AK4" s="268"/>
      <c r="AL4" s="268"/>
      <c r="AM4" s="268"/>
      <c r="AN4" s="277"/>
      <c r="AO4" s="268"/>
      <c r="AP4" s="268"/>
      <c r="AQ4" s="268"/>
      <c r="AR4" s="268"/>
      <c r="AS4" s="268"/>
      <c r="AT4" s="268"/>
      <c r="AU4" s="268"/>
      <c r="AV4" s="310">
        <f>$H$20</f>
        <v>0.04</v>
      </c>
      <c r="AW4" s="311">
        <f ca="1">((AH18*PMT(AV4,D20,-AO8)*VLOOKUP(TODAY(),'UF HOY'!$A$2:$B$36,2,0))/12)+$AD$36</f>
        <v>39734</v>
      </c>
      <c r="AX4" s="311" t="str">
        <f>SIMULACION!$U$4</f>
        <v>0</v>
      </c>
      <c r="AY4" s="311">
        <f t="shared" ref="AY4:AY5" ca="1" si="0">AX4-AW4</f>
        <v>-39734</v>
      </c>
      <c r="BA4" s="268"/>
      <c r="BB4" s="268"/>
      <c r="BC4" s="268"/>
      <c r="BE4" s="298">
        <f ca="1">AK25</f>
        <v>0</v>
      </c>
      <c r="BF4" s="312"/>
      <c r="BG4" s="298">
        <f>SIMULACION!C21</f>
        <v>250000</v>
      </c>
      <c r="BH4" s="312"/>
      <c r="BI4" s="298">
        <f ca="1">D18</f>
        <v>-250000</v>
      </c>
      <c r="BJ4" s="292"/>
      <c r="BK4" s="291"/>
      <c r="BN4" s="300"/>
      <c r="BO4" s="313"/>
      <c r="BP4" s="312"/>
      <c r="BQ4" s="303"/>
      <c r="BR4" s="300"/>
      <c r="BS4" s="314"/>
      <c r="BT4" s="268"/>
      <c r="BU4" s="268"/>
      <c r="BV4" s="268"/>
      <c r="BW4" s="268"/>
    </row>
    <row r="5" spans="1:75">
      <c r="A5" s="266"/>
      <c r="B5" s="305"/>
      <c r="C5" s="306"/>
      <c r="D5" s="268"/>
      <c r="E5" s="268"/>
      <c r="F5" s="268"/>
      <c r="G5" s="268"/>
      <c r="H5" s="268"/>
      <c r="I5" s="272"/>
      <c r="J5" s="267"/>
      <c r="K5" s="281"/>
      <c r="L5" s="282"/>
      <c r="M5" s="283"/>
      <c r="N5" s="283"/>
      <c r="O5" s="284"/>
      <c r="P5" s="285"/>
      <c r="Q5" s="285"/>
      <c r="R5" s="285"/>
      <c r="S5" s="286"/>
      <c r="T5" s="272"/>
      <c r="U5" s="268"/>
      <c r="V5" s="268"/>
      <c r="W5" s="268"/>
      <c r="X5" s="268"/>
      <c r="Y5" s="268"/>
      <c r="Z5" s="268"/>
      <c r="AA5" s="268"/>
      <c r="AB5" s="268"/>
      <c r="AC5" s="268"/>
      <c r="AD5" s="268"/>
      <c r="AE5" s="291"/>
      <c r="AF5" s="268"/>
      <c r="AG5" s="268"/>
      <c r="AH5" s="268"/>
      <c r="AI5" s="268"/>
      <c r="AJ5" s="268"/>
      <c r="AK5" s="268"/>
      <c r="AL5" s="268"/>
      <c r="AN5" s="315"/>
      <c r="AV5" s="296">
        <f>IF(OR(AA3="Don Claudio",AA3="Don Diego",AA3="Carvajal",AA3="San Nicolás",AA3="Biaut"),5%,4.5%)</f>
        <v>4.4999999999999998E-2</v>
      </c>
      <c r="AW5" s="297">
        <f ca="1">((AH18*PMT(AV5,D20,-AO8)*VLOOKUP(TODAY(),'UF HOY'!$A$2:$B$36,2,0))/12)+$AD$36</f>
        <v>39734</v>
      </c>
      <c r="AX5" s="297" t="str">
        <f>SIMULACION!$U$4</f>
        <v>0</v>
      </c>
      <c r="AY5" s="297">
        <f t="shared" ca="1" si="0"/>
        <v>-39734</v>
      </c>
      <c r="BA5" s="268"/>
      <c r="BB5" s="268"/>
      <c r="BC5" s="268"/>
      <c r="BD5" s="312"/>
      <c r="BE5" s="312"/>
      <c r="BF5" s="316"/>
      <c r="BG5" s="316"/>
      <c r="BH5" s="316"/>
      <c r="BI5" s="292"/>
      <c r="BJ5" s="292"/>
      <c r="BK5" s="291"/>
      <c r="BM5" s="317"/>
      <c r="BN5" s="318"/>
      <c r="BO5" s="319"/>
      <c r="BP5" s="292"/>
      <c r="BQ5" s="303"/>
      <c r="BR5" s="318"/>
      <c r="BS5" s="320"/>
      <c r="BT5" s="268"/>
      <c r="BU5" s="268"/>
      <c r="BV5" s="268"/>
      <c r="BW5" s="268"/>
    </row>
    <row r="6" spans="1:75">
      <c r="A6" s="266"/>
      <c r="B6" s="451" t="s">
        <v>68</v>
      </c>
      <c r="C6" s="452"/>
      <c r="D6" s="268"/>
      <c r="E6" s="268"/>
      <c r="F6" s="268"/>
      <c r="G6" s="322"/>
      <c r="H6" s="268"/>
      <c r="I6" s="272"/>
      <c r="J6" s="267"/>
      <c r="K6" s="281"/>
      <c r="L6" s="282"/>
      <c r="M6" s="283"/>
      <c r="N6" s="283"/>
      <c r="O6" s="284"/>
      <c r="P6" s="285"/>
      <c r="Q6" s="285"/>
      <c r="R6" s="285"/>
      <c r="S6" s="286"/>
      <c r="T6" s="272"/>
      <c r="U6" s="268"/>
      <c r="V6" s="268"/>
      <c r="W6" s="268"/>
      <c r="X6" s="268"/>
      <c r="AE6" s="291"/>
      <c r="AF6" s="268"/>
      <c r="AG6" s="268"/>
      <c r="AH6" s="268"/>
      <c r="AI6" s="268"/>
      <c r="AJ6" s="268"/>
      <c r="AK6" s="268"/>
      <c r="AL6" s="268"/>
      <c r="AM6" s="456" t="str">
        <f>"Simulación departamento: "&amp;AO3</f>
        <v>Simulación departamento: 0</v>
      </c>
      <c r="AN6" s="456"/>
      <c r="AO6" s="456"/>
      <c r="AP6" s="456"/>
      <c r="AQ6" s="454" t="str">
        <f>"Tipología: "&amp;AA9</f>
        <v>Tipología: 0</v>
      </c>
      <c r="AR6" s="454"/>
      <c r="AS6" s="454"/>
      <c r="AT6" s="454"/>
      <c r="AU6" s="323"/>
      <c r="BC6" s="268"/>
      <c r="BD6" s="312"/>
      <c r="BE6" s="312"/>
      <c r="BG6" s="298"/>
      <c r="BH6" s="299"/>
      <c r="BI6" s="292"/>
      <c r="BJ6" s="292"/>
      <c r="BK6" s="291"/>
      <c r="BL6" s="268"/>
      <c r="BN6" s="318"/>
      <c r="BO6" s="319"/>
      <c r="BP6" s="292"/>
      <c r="BQ6" s="303"/>
      <c r="BR6" s="318"/>
      <c r="BS6" s="320"/>
      <c r="BT6" s="268"/>
      <c r="BU6" s="268"/>
      <c r="BV6" s="268"/>
      <c r="BW6" s="268"/>
    </row>
    <row r="7" spans="1:75" ht="15.75" customHeight="1">
      <c r="A7" s="266"/>
      <c r="B7" s="305"/>
      <c r="C7" s="306"/>
      <c r="D7" s="268"/>
      <c r="E7" s="268"/>
      <c r="F7" s="268"/>
      <c r="G7" s="268"/>
      <c r="H7" s="268"/>
      <c r="I7" s="272"/>
      <c r="J7" s="267"/>
      <c r="K7" s="281"/>
      <c r="L7" s="282"/>
      <c r="M7" s="283"/>
      <c r="N7" s="283"/>
      <c r="O7" s="284"/>
      <c r="P7" s="285"/>
      <c r="Q7" s="285"/>
      <c r="R7" s="285"/>
      <c r="S7" s="286"/>
      <c r="T7" s="272"/>
      <c r="U7" s="268"/>
      <c r="V7" s="268"/>
      <c r="W7" s="268"/>
      <c r="X7" s="268"/>
      <c r="Z7" s="457"/>
      <c r="AA7" s="457"/>
      <c r="AB7" s="457"/>
      <c r="AC7" s="457"/>
      <c r="AD7" s="458"/>
      <c r="AE7" s="268"/>
      <c r="AF7" s="268"/>
      <c r="AG7" s="268"/>
      <c r="AH7" s="268"/>
      <c r="AI7" s="268"/>
      <c r="AJ7" s="268"/>
      <c r="AK7" s="268"/>
      <c r="AL7" s="268"/>
      <c r="AM7" s="324"/>
      <c r="AN7" s="324"/>
      <c r="AO7" s="324"/>
      <c r="AP7" s="324"/>
      <c r="AQ7" s="324"/>
      <c r="AR7" s="324"/>
      <c r="AS7" s="324"/>
      <c r="AT7" s="324"/>
      <c r="BC7" s="268"/>
      <c r="BD7" s="312"/>
      <c r="BE7" s="312"/>
      <c r="BF7" s="325"/>
      <c r="BG7" s="325"/>
      <c r="BJ7" s="292"/>
      <c r="BK7" s="291"/>
      <c r="BL7" s="268"/>
      <c r="BN7" s="300"/>
      <c r="BO7" s="301"/>
      <c r="BP7" s="302"/>
      <c r="BQ7" s="303"/>
      <c r="BR7" s="300"/>
      <c r="BS7" s="326"/>
      <c r="BT7" s="268"/>
      <c r="BU7" s="268"/>
      <c r="BV7" s="268"/>
      <c r="BW7" s="268"/>
    </row>
    <row r="8" spans="1:75">
      <c r="A8" s="266"/>
      <c r="B8" s="327"/>
      <c r="C8" s="306"/>
      <c r="D8" s="268"/>
      <c r="E8" s="268"/>
      <c r="F8" s="268"/>
      <c r="G8" s="268"/>
      <c r="H8" s="268"/>
      <c r="I8" s="272"/>
      <c r="J8" s="267"/>
      <c r="K8" s="281"/>
      <c r="L8" s="282"/>
      <c r="M8" s="282"/>
      <c r="N8" s="282"/>
      <c r="O8" s="282"/>
      <c r="P8" s="282"/>
      <c r="Q8" s="282"/>
      <c r="R8" s="282"/>
      <c r="S8" s="282"/>
      <c r="T8" s="272"/>
      <c r="U8" s="268"/>
      <c r="V8" s="268"/>
      <c r="W8" s="268"/>
      <c r="X8" s="268"/>
      <c r="Z8" s="457"/>
      <c r="AA8" s="457"/>
      <c r="AB8" s="457"/>
      <c r="AC8" s="457"/>
      <c r="AD8" s="458"/>
      <c r="AE8" s="268"/>
      <c r="AF8" s="268"/>
      <c r="AG8" s="268"/>
      <c r="AH8" s="268"/>
      <c r="AI8" s="268"/>
      <c r="AJ8" s="268"/>
      <c r="AK8" s="268"/>
      <c r="AL8" s="268"/>
      <c r="AM8" s="459" t="s">
        <v>79</v>
      </c>
      <c r="AN8" s="459"/>
      <c r="AO8" s="329" t="str">
        <f>AF18</f>
        <v>0</v>
      </c>
      <c r="AP8" s="459" t="s">
        <v>80</v>
      </c>
      <c r="AQ8" s="459"/>
      <c r="AR8" s="329">
        <f>AG18</f>
        <v>0</v>
      </c>
      <c r="AS8" s="459" t="s">
        <v>81</v>
      </c>
      <c r="AT8" s="459"/>
      <c r="AU8" s="330">
        <f>AH18</f>
        <v>1</v>
      </c>
      <c r="AX8" s="331"/>
      <c r="AY8" s="331"/>
      <c r="AZ8" s="331"/>
      <c r="BA8" s="331"/>
      <c r="BB8" s="332"/>
      <c r="BC8" s="332"/>
      <c r="BD8" s="312"/>
      <c r="BE8" s="312"/>
      <c r="BF8" s="316"/>
      <c r="BG8" s="298">
        <f ca="1">IF((BE4-BG4-BI4)&gt;0,(BE4-BG4-BI4),0)</f>
        <v>0</v>
      </c>
      <c r="BH8" s="316"/>
      <c r="BI8" s="292"/>
      <c r="BJ8" s="292"/>
      <c r="BK8" s="291"/>
      <c r="BL8" s="268"/>
      <c r="BN8" s="300"/>
      <c r="BO8" s="328"/>
      <c r="BP8" s="312"/>
      <c r="BQ8" s="303"/>
      <c r="BR8" s="300"/>
      <c r="BS8" s="333"/>
      <c r="BT8" s="268"/>
      <c r="BU8" s="268"/>
      <c r="BV8" s="268"/>
      <c r="BW8" s="268"/>
    </row>
    <row r="9" spans="1:75">
      <c r="A9" s="334"/>
      <c r="B9" s="452" t="s">
        <v>82</v>
      </c>
      <c r="C9" s="452"/>
      <c r="D9" s="268"/>
      <c r="E9" s="268"/>
      <c r="F9" s="268"/>
      <c r="G9" s="268"/>
      <c r="H9" s="268"/>
      <c r="I9" s="272"/>
      <c r="J9" s="267"/>
      <c r="K9" s="335" t="s">
        <v>10</v>
      </c>
      <c r="L9" s="336">
        <f>SIMULACION!C21</f>
        <v>250000</v>
      </c>
      <c r="M9" s="282"/>
      <c r="N9" s="282"/>
      <c r="Q9" s="460" t="s">
        <v>83</v>
      </c>
      <c r="R9" s="461"/>
      <c r="S9" s="337">
        <f ca="1">SUM(S3:S7)</f>
        <v>0</v>
      </c>
      <c r="T9" s="272"/>
      <c r="U9" s="268"/>
      <c r="V9" s="268"/>
      <c r="W9" s="268"/>
      <c r="X9" s="268"/>
      <c r="Z9" s="338">
        <f>D12</f>
        <v>0</v>
      </c>
      <c r="AA9" s="338" t="str">
        <f>SIMULACION!D4</f>
        <v>0</v>
      </c>
      <c r="AB9" s="338" t="str">
        <f>SIMULACION!E4</f>
        <v>0</v>
      </c>
      <c r="AC9" s="338" t="str">
        <f>SIMULACION!F4</f>
        <v>0</v>
      </c>
      <c r="AD9" s="338" t="str">
        <f>SIMULACION!G4</f>
        <v>0</v>
      </c>
      <c r="AE9" s="268"/>
      <c r="AF9" s="268"/>
      <c r="AG9" s="268"/>
      <c r="AH9" s="268"/>
      <c r="AI9" s="268"/>
      <c r="AJ9" s="268"/>
      <c r="AK9" s="268"/>
      <c r="AL9" s="268"/>
      <c r="AU9" s="339"/>
      <c r="AW9" s="268"/>
      <c r="AX9" s="268"/>
      <c r="AY9" s="268"/>
      <c r="AZ9" s="268"/>
      <c r="BA9" s="268"/>
      <c r="BB9" s="332"/>
      <c r="BC9" s="332"/>
      <c r="BD9" s="312"/>
      <c r="BE9" s="312"/>
      <c r="BG9" s="298"/>
      <c r="BH9" s="299"/>
      <c r="BI9" s="292"/>
      <c r="BJ9" s="292"/>
      <c r="BK9" s="291"/>
      <c r="BL9" s="268"/>
      <c r="BT9" s="268"/>
      <c r="BU9" s="268"/>
      <c r="BV9" s="268"/>
      <c r="BW9" s="268"/>
    </row>
    <row r="10" spans="1:75" ht="15.75" customHeight="1">
      <c r="A10" s="266"/>
      <c r="B10" s="280"/>
      <c r="C10" s="321"/>
      <c r="D10" s="268"/>
      <c r="E10" s="268"/>
      <c r="F10" s="268"/>
      <c r="G10" s="268"/>
      <c r="H10" s="268"/>
      <c r="I10" s="272"/>
      <c r="J10" s="267"/>
      <c r="K10" s="340" t="s">
        <v>84</v>
      </c>
      <c r="L10" s="341">
        <f ca="1">D18</f>
        <v>-250000</v>
      </c>
      <c r="M10" s="268"/>
      <c r="N10" s="268"/>
      <c r="O10" s="268"/>
      <c r="P10" s="268"/>
      <c r="T10" s="342"/>
      <c r="U10" s="306"/>
      <c r="V10" s="268"/>
      <c r="W10" s="268"/>
      <c r="X10" s="268"/>
      <c r="Z10" s="338"/>
      <c r="AA10" s="338"/>
      <c r="AB10" s="338"/>
      <c r="AC10" s="338"/>
      <c r="AD10" s="338"/>
      <c r="AE10" s="268"/>
      <c r="AF10" s="268"/>
      <c r="AG10" s="268"/>
      <c r="AH10" s="268"/>
      <c r="AI10" s="268"/>
      <c r="AJ10" s="268"/>
      <c r="AK10" s="268"/>
      <c r="AL10" s="268"/>
      <c r="AM10" s="343"/>
      <c r="AN10" s="343"/>
      <c r="AO10" s="343"/>
      <c r="AP10" s="343"/>
      <c r="AQ10" s="343"/>
      <c r="AR10" s="343"/>
      <c r="AS10" s="343"/>
      <c r="AT10" s="343"/>
      <c r="AU10" s="343"/>
      <c r="AV10" s="344"/>
      <c r="AW10" s="343"/>
      <c r="AX10" s="343"/>
      <c r="AY10" s="343"/>
      <c r="AZ10" s="343"/>
      <c r="BA10" s="343"/>
      <c r="BB10" s="332"/>
      <c r="BC10" s="332"/>
      <c r="BD10" s="312"/>
      <c r="BE10" s="312"/>
      <c r="BF10" s="312"/>
      <c r="BG10" s="312"/>
      <c r="BH10" s="312"/>
      <c r="BI10" s="292"/>
      <c r="BJ10" s="292"/>
      <c r="BK10" s="292"/>
      <c r="BT10" s="268"/>
      <c r="BU10" s="268"/>
      <c r="BV10" s="268"/>
      <c r="BW10" s="268"/>
    </row>
    <row r="11" spans="1:75">
      <c r="A11" s="266"/>
      <c r="B11" s="305"/>
      <c r="C11" s="306"/>
      <c r="D11" s="268"/>
      <c r="E11" s="345"/>
      <c r="F11" s="268"/>
      <c r="G11" s="268"/>
      <c r="H11" s="268"/>
      <c r="I11" s="272"/>
      <c r="J11" s="267"/>
      <c r="K11" s="335" t="s">
        <v>85</v>
      </c>
      <c r="L11" s="336">
        <f ca="1">IF((S9-L10-L9)&gt;0,(S9-L10-L9),0)</f>
        <v>0</v>
      </c>
      <c r="M11" s="346"/>
      <c r="N11" s="346"/>
      <c r="O11" s="268"/>
      <c r="P11" s="268"/>
      <c r="Q11" s="460" t="s">
        <v>110</v>
      </c>
      <c r="R11" s="461"/>
      <c r="S11" s="337">
        <f ca="1">SUM(O3:O7)*VLOOKUP(TODAY(),'UF HOY'!$A$2:$B$36,2,0)</f>
        <v>0</v>
      </c>
      <c r="T11" s="272"/>
      <c r="U11" s="347"/>
      <c r="V11" s="268"/>
      <c r="W11" s="268"/>
      <c r="X11" s="268"/>
      <c r="Z11" s="338"/>
      <c r="AA11" s="338"/>
      <c r="AB11" s="338"/>
      <c r="AC11" s="338"/>
      <c r="AD11" s="338"/>
      <c r="AE11" s="268"/>
      <c r="AF11" s="270"/>
      <c r="AG11" s="348"/>
      <c r="AH11" s="268"/>
      <c r="AI11" s="268"/>
      <c r="AJ11" s="268"/>
      <c r="AK11" s="268"/>
      <c r="AL11" s="268"/>
      <c r="AM11" s="268"/>
      <c r="AN11" s="268"/>
      <c r="AO11" s="268"/>
      <c r="AP11" s="268"/>
      <c r="AQ11" s="268"/>
      <c r="AR11" s="268"/>
      <c r="AS11" s="268"/>
      <c r="AT11" s="268"/>
      <c r="AU11" s="268"/>
      <c r="AV11" s="291"/>
      <c r="AW11" s="268"/>
      <c r="AX11" s="268"/>
      <c r="AY11" s="268"/>
      <c r="AZ11" s="268"/>
      <c r="BA11" s="268"/>
      <c r="BD11" s="478" t="str">
        <f>SIMULACION!B25</f>
        <v>Opción 1: 28 Cuotas (Sólo TOKU)</v>
      </c>
      <c r="BE11" s="478"/>
      <c r="BF11" s="478"/>
      <c r="BG11" s="312"/>
      <c r="BH11" s="478" t="str">
        <f>SIMULACION!B30</f>
        <v>Opción 2: 46 Cuotas (TOKU + TC)</v>
      </c>
      <c r="BI11" s="478"/>
      <c r="BJ11" s="478"/>
      <c r="BK11" s="349"/>
      <c r="BT11" s="268"/>
      <c r="BU11" s="268"/>
      <c r="BV11" s="268"/>
      <c r="BW11" s="268"/>
    </row>
    <row r="12" spans="1:75" ht="15.75" customHeight="1">
      <c r="A12" s="266"/>
      <c r="B12" s="451" t="s">
        <v>86</v>
      </c>
      <c r="C12" s="462"/>
      <c r="D12" s="350"/>
      <c r="E12" s="350"/>
      <c r="F12" s="351"/>
      <c r="G12" s="352"/>
      <c r="H12" s="353"/>
      <c r="I12" s="354"/>
      <c r="J12" s="267"/>
      <c r="K12" s="335"/>
      <c r="L12" s="336"/>
      <c r="P12" s="268"/>
      <c r="Q12" s="268"/>
      <c r="R12" s="268"/>
      <c r="S12" s="268"/>
      <c r="T12" s="272"/>
      <c r="U12" s="268"/>
      <c r="V12" s="268"/>
      <c r="W12" s="268"/>
      <c r="X12" s="268"/>
      <c r="Z12" s="338"/>
      <c r="AA12" s="338"/>
      <c r="AB12" s="338"/>
      <c r="AC12" s="338"/>
      <c r="AD12" s="338"/>
      <c r="AE12" s="268"/>
      <c r="AF12" s="268"/>
      <c r="AG12" s="268"/>
      <c r="AH12" s="268"/>
      <c r="AI12" s="268"/>
      <c r="AJ12" s="268"/>
      <c r="AK12" s="268"/>
      <c r="AL12" s="268"/>
      <c r="AM12" s="268"/>
      <c r="AN12" s="277"/>
      <c r="AO12" s="479" t="s">
        <v>71</v>
      </c>
      <c r="AP12" s="480"/>
      <c r="AQ12" s="480"/>
      <c r="AR12" s="472"/>
      <c r="AS12" s="270"/>
      <c r="AT12" s="270"/>
      <c r="AU12" s="270"/>
      <c r="AV12" s="453"/>
      <c r="AW12" s="453"/>
      <c r="AX12" s="454"/>
      <c r="AY12" s="454"/>
      <c r="BA12" s="268"/>
      <c r="BD12" s="356" t="s">
        <v>56</v>
      </c>
      <c r="BE12" s="356" t="s">
        <v>87</v>
      </c>
      <c r="BF12" s="356" t="s">
        <v>44</v>
      </c>
      <c r="BG12" s="357"/>
      <c r="BH12" s="356" t="s">
        <v>56</v>
      </c>
      <c r="BI12" s="356" t="s">
        <v>87</v>
      </c>
      <c r="BJ12" s="356" t="s">
        <v>44</v>
      </c>
      <c r="BK12" s="349"/>
      <c r="BT12" s="268"/>
      <c r="BU12" s="268"/>
      <c r="BV12" s="268"/>
      <c r="BW12" s="268"/>
    </row>
    <row r="13" spans="1:75">
      <c r="A13" s="266"/>
      <c r="B13" s="305"/>
      <c r="C13" s="306"/>
      <c r="D13" s="358"/>
      <c r="E13" s="351"/>
      <c r="F13" s="352"/>
      <c r="G13" s="351"/>
      <c r="H13" s="353"/>
      <c r="I13" s="272"/>
      <c r="J13" s="267"/>
      <c r="K13" s="481" t="str">
        <f>SIMULACION!B25</f>
        <v>Opción 1: 28 Cuotas (Sólo TOKU)</v>
      </c>
      <c r="L13" s="482"/>
      <c r="M13" s="484" t="str">
        <f>SIMULACION!B30</f>
        <v>Opción 2: 46 Cuotas (TOKU + TC)</v>
      </c>
      <c r="N13" s="484"/>
      <c r="O13" s="355" t="s">
        <v>212</v>
      </c>
      <c r="R13" s="360" t="s">
        <v>114</v>
      </c>
      <c r="S13" s="361">
        <v>0</v>
      </c>
      <c r="T13" s="272"/>
      <c r="U13" s="268"/>
      <c r="V13" s="268"/>
      <c r="W13" s="268"/>
      <c r="X13" s="268"/>
      <c r="Z13" s="338"/>
      <c r="AA13" s="338"/>
      <c r="AB13" s="338"/>
      <c r="AC13" s="338"/>
      <c r="AD13" s="338"/>
      <c r="AE13" s="472"/>
      <c r="AF13" s="483"/>
      <c r="AG13" s="472"/>
      <c r="AH13" s="472"/>
      <c r="AI13" s="472"/>
      <c r="AJ13" s="472"/>
      <c r="AK13" s="472"/>
      <c r="AL13" s="268"/>
      <c r="AM13" s="268"/>
      <c r="AN13" s="277" t="s">
        <v>88</v>
      </c>
      <c r="AO13" s="479"/>
      <c r="AP13" s="480"/>
      <c r="AQ13" s="480"/>
      <c r="AR13" s="472"/>
      <c r="AS13" s="270"/>
      <c r="AT13" s="270"/>
      <c r="AU13" s="270"/>
      <c r="AV13" s="453"/>
      <c r="AW13" s="453"/>
      <c r="AX13" s="454"/>
      <c r="AY13" s="454"/>
      <c r="BA13" s="268"/>
      <c r="BD13" s="362" t="str">
        <f>SIMULACION!B27</f>
        <v>28 Cuotas TOKU</v>
      </c>
      <c r="BE13" s="363">
        <f ca="1">SIMULACION!C27</f>
        <v>0</v>
      </c>
      <c r="BF13" s="364">
        <f ca="1">SIMULACION!D27</f>
        <v>0</v>
      </c>
      <c r="BG13" s="312"/>
      <c r="BH13" s="362" t="str">
        <f>SIMULACION!B32</f>
        <v>28 Cuotas</v>
      </c>
      <c r="BI13" s="363">
        <f ca="1">IF(AA3="biaut",(BG8-BJ14)/20,SIMULACION!C32)</f>
        <v>0</v>
      </c>
      <c r="BJ13" s="363">
        <f ca="1">IF(AA3="biaut",BI13*20,SIMULACION!D32)</f>
        <v>0</v>
      </c>
      <c r="BK13" s="292"/>
      <c r="BT13" s="268"/>
      <c r="BU13" s="268"/>
      <c r="BV13" s="268"/>
      <c r="BW13" s="268"/>
    </row>
    <row r="14" spans="1:75" ht="15.75" customHeight="1">
      <c r="A14" s="334"/>
      <c r="B14" s="365"/>
      <c r="C14" s="365"/>
      <c r="D14" s="366"/>
      <c r="E14" s="358"/>
      <c r="F14" s="352"/>
      <c r="G14" s="351"/>
      <c r="H14" s="353"/>
      <c r="I14" s="354"/>
      <c r="J14" s="267"/>
      <c r="K14" s="367" t="str">
        <f>SIMULACION!B27</f>
        <v>28 Cuotas TOKU</v>
      </c>
      <c r="L14" s="368">
        <f ca="1">SIMULACION!C27</f>
        <v>0</v>
      </c>
      <c r="M14" s="359" t="str">
        <f>BH13</f>
        <v>28 Cuotas</v>
      </c>
      <c r="N14" s="359">
        <f ca="1">IF($F$22="todo está ok",BI13,"Bajar %")</f>
        <v>0</v>
      </c>
      <c r="O14" s="359">
        <f ca="1">IF($F$22="todo está ok",BJ13,"Bajar %")</f>
        <v>0</v>
      </c>
      <c r="T14" s="272"/>
      <c r="U14" s="268"/>
      <c r="V14" s="268"/>
      <c r="W14" s="268"/>
      <c r="X14" s="268"/>
      <c r="Z14" s="369"/>
      <c r="AA14" s="369"/>
      <c r="AB14" s="369"/>
      <c r="AC14" s="369"/>
      <c r="AD14" s="369"/>
      <c r="AE14" s="472"/>
      <c r="AF14" s="483"/>
      <c r="AG14" s="472"/>
      <c r="AH14" s="472"/>
      <c r="AI14" s="472"/>
      <c r="AJ14" s="472"/>
      <c r="AK14" s="472"/>
      <c r="AL14" s="268"/>
      <c r="AM14" s="268"/>
      <c r="AO14" s="293"/>
      <c r="AP14" s="294"/>
      <c r="AQ14" s="294"/>
      <c r="AR14" s="295"/>
      <c r="AS14" s="295"/>
      <c r="AT14" s="295"/>
      <c r="AU14" s="295"/>
      <c r="AV14" s="296">
        <f>$AV$3</f>
        <v>3.5000000000000003E-2</v>
      </c>
      <c r="AW14" s="297">
        <f ca="1">((AH19*PMT(AV14,D20,-AO19)*VLOOKUP(TODAY(),'UF HOY'!$A$2:$B$36,2,0))/12)+$AD$36</f>
        <v>39734</v>
      </c>
      <c r="AX14" s="297">
        <f>SIMULACION!$U$5</f>
        <v>0</v>
      </c>
      <c r="AY14" s="297">
        <f ca="1">AX14-AW14</f>
        <v>-39734</v>
      </c>
      <c r="AZ14" s="268"/>
      <c r="BA14" s="268"/>
      <c r="BD14" s="370"/>
      <c r="BE14" s="312"/>
      <c r="BF14" s="370"/>
      <c r="BG14" s="312"/>
      <c r="BH14" s="362" t="str">
        <f>SIMULACION!B33</f>
        <v>18 Cuotas TC</v>
      </c>
      <c r="BI14" s="363">
        <f ca="1">IF(AA3="biaut",(BG8-BJ13)/12,SIMULACION!C33)</f>
        <v>0</v>
      </c>
      <c r="BJ14" s="363">
        <f ca="1">SIMULACION!D33</f>
        <v>0</v>
      </c>
      <c r="BK14" s="292"/>
      <c r="BM14" s="268"/>
      <c r="BN14" s="268"/>
      <c r="BO14" s="268"/>
      <c r="BP14" s="268"/>
      <c r="BQ14" s="268"/>
      <c r="BR14" s="268"/>
      <c r="BS14" s="268"/>
      <c r="BT14" s="268"/>
      <c r="BU14" s="268"/>
      <c r="BV14" s="268"/>
      <c r="BW14" s="268"/>
    </row>
    <row r="15" spans="1:75">
      <c r="A15" s="266"/>
      <c r="B15" s="305"/>
      <c r="C15" s="306"/>
      <c r="D15" s="366"/>
      <c r="E15" s="366"/>
      <c r="F15" s="358"/>
      <c r="G15" s="351"/>
      <c r="H15" s="353"/>
      <c r="I15" s="272"/>
      <c r="J15" s="267"/>
      <c r="K15" s="281"/>
      <c r="L15" s="282"/>
      <c r="M15" s="359" t="str">
        <f>BH14</f>
        <v>18 Cuotas TC</v>
      </c>
      <c r="N15" s="359">
        <f ca="1">IF($F$22="todo está ok",BI14,"Bajar %")</f>
        <v>0</v>
      </c>
      <c r="O15" s="359">
        <f ca="1">IF($F$22="todo está ok",BJ14,"Bajar %")</f>
        <v>0</v>
      </c>
      <c r="P15" s="442"/>
      <c r="R15" s="371" t="s">
        <v>115</v>
      </c>
      <c r="S15" s="372">
        <f ca="1">S11+S11*S13</f>
        <v>0</v>
      </c>
      <c r="T15" s="272"/>
      <c r="U15" s="268"/>
      <c r="V15" s="268"/>
      <c r="W15" s="268"/>
      <c r="X15" s="268"/>
      <c r="Z15" s="373"/>
      <c r="AA15" s="373"/>
      <c r="AB15" s="373"/>
      <c r="AC15" s="373"/>
      <c r="AD15" s="373"/>
      <c r="AL15" s="268"/>
      <c r="AM15" s="268"/>
      <c r="AN15" s="277"/>
      <c r="AO15" s="295"/>
      <c r="AP15" s="295"/>
      <c r="AQ15" s="295"/>
      <c r="AR15" s="295"/>
      <c r="AS15" s="295"/>
      <c r="AT15" s="295"/>
      <c r="AU15" s="295"/>
      <c r="AV15" s="310">
        <f>$AV$4</f>
        <v>0.04</v>
      </c>
      <c r="AW15" s="311">
        <f ca="1">((AH19*PMT(AV15,D20,-AO19)*VLOOKUP(TODAY(),'UF HOY'!$A$2:$B$36,2,0))/12)+$AD$36</f>
        <v>39734</v>
      </c>
      <c r="AX15" s="311">
        <f>SIMULACION!$U$5</f>
        <v>0</v>
      </c>
      <c r="AY15" s="311">
        <f t="shared" ref="AY15:AY16" ca="1" si="1">AX15-AW15</f>
        <v>-39734</v>
      </c>
      <c r="AZ15" s="268"/>
      <c r="BA15" s="268"/>
      <c r="BD15" s="312"/>
      <c r="BE15" s="303"/>
      <c r="BF15" s="292"/>
      <c r="BG15" s="312"/>
      <c r="BI15" s="356" t="s">
        <v>44</v>
      </c>
      <c r="BJ15" s="364">
        <f ca="1">BG8</f>
        <v>0</v>
      </c>
      <c r="BK15" s="374"/>
      <c r="BM15" s="268"/>
      <c r="BN15" s="268"/>
      <c r="BO15" s="268"/>
      <c r="BP15" s="268"/>
      <c r="BQ15" s="268"/>
      <c r="BR15" s="268"/>
      <c r="BS15" s="268"/>
      <c r="BT15" s="268"/>
      <c r="BU15" s="268"/>
      <c r="BV15" s="268"/>
      <c r="BW15" s="268"/>
    </row>
    <row r="16" spans="1:75">
      <c r="A16" s="266"/>
      <c r="B16" s="443" t="s">
        <v>293</v>
      </c>
      <c r="C16" s="444"/>
      <c r="D16" s="487">
        <f ca="1">IF(AA3="volcan",3%*S11-L9,0)</f>
        <v>-250000</v>
      </c>
      <c r="E16" s="488"/>
      <c r="F16" s="268"/>
      <c r="G16" s="375"/>
      <c r="H16" s="353"/>
      <c r="I16" s="272"/>
      <c r="J16" s="267"/>
      <c r="K16" s="281"/>
      <c r="L16" s="282"/>
      <c r="M16" s="282"/>
      <c r="N16" s="282"/>
      <c r="O16" s="376"/>
      <c r="R16" s="371" t="s">
        <v>116</v>
      </c>
      <c r="S16" s="372">
        <f ca="1">S15+S15*$S$13</f>
        <v>0</v>
      </c>
      <c r="T16" s="272"/>
      <c r="U16" s="268"/>
      <c r="V16" s="268"/>
      <c r="W16" s="268"/>
      <c r="X16" s="268"/>
      <c r="Z16" s="485"/>
      <c r="AA16" s="485"/>
      <c r="AB16" s="485"/>
      <c r="AC16" s="485"/>
      <c r="AD16" s="485"/>
      <c r="AE16" s="485"/>
      <c r="AF16" s="495"/>
      <c r="AG16" s="485"/>
      <c r="AH16" s="485"/>
      <c r="AI16" s="485"/>
      <c r="AJ16" s="485"/>
      <c r="AK16" s="485"/>
      <c r="AL16" s="268"/>
      <c r="AM16" s="268"/>
      <c r="AN16" s="277"/>
      <c r="AO16" s="268"/>
      <c r="AP16" s="268"/>
      <c r="AQ16" s="268"/>
      <c r="AR16" s="268"/>
      <c r="AS16" s="268"/>
      <c r="AT16" s="268"/>
      <c r="AU16" s="268"/>
      <c r="AV16" s="296">
        <f>$AV$5</f>
        <v>4.4999999999999998E-2</v>
      </c>
      <c r="AW16" s="297">
        <f ca="1">((AH19*PMT(AV16,D20,-AO19)*VLOOKUP(TODAY(),'UF HOY'!$A$2:$B$36,2,0))/12)+$AD$36</f>
        <v>39734</v>
      </c>
      <c r="AX16" s="297">
        <f>SIMULACION!$U$5</f>
        <v>0</v>
      </c>
      <c r="AY16" s="297">
        <f t="shared" ca="1" si="1"/>
        <v>-39734</v>
      </c>
      <c r="AZ16" s="268"/>
      <c r="BA16" s="268"/>
      <c r="BC16" s="377"/>
      <c r="BD16" s="378"/>
      <c r="BE16" s="291"/>
      <c r="BF16" s="291"/>
      <c r="BG16" s="378"/>
      <c r="BK16" s="268"/>
      <c r="BM16" s="268"/>
      <c r="BN16" s="268"/>
      <c r="BO16" s="268"/>
      <c r="BP16" s="268"/>
      <c r="BQ16" s="268"/>
      <c r="BR16" s="268"/>
      <c r="BS16" s="268"/>
      <c r="BT16" s="268"/>
      <c r="BU16" s="268"/>
      <c r="BV16" s="268"/>
      <c r="BW16" s="268"/>
    </row>
    <row r="17" spans="1:75">
      <c r="A17" s="266"/>
      <c r="B17" s="443" t="s">
        <v>294</v>
      </c>
      <c r="C17" s="444"/>
      <c r="D17" s="487">
        <v>0</v>
      </c>
      <c r="E17" s="488"/>
      <c r="F17" s="268"/>
      <c r="G17" s="365"/>
      <c r="H17" s="441"/>
      <c r="I17" s="272"/>
      <c r="J17" s="267"/>
      <c r="K17" s="335" t="s">
        <v>72</v>
      </c>
      <c r="L17" s="274" t="s">
        <v>17</v>
      </c>
      <c r="M17" s="274" t="s">
        <v>19</v>
      </c>
      <c r="N17" s="274" t="s">
        <v>18</v>
      </c>
      <c r="O17" s="282"/>
      <c r="R17" s="371" t="s">
        <v>117</v>
      </c>
      <c r="S17" s="372">
        <f ca="1">S16+S16*$S$13</f>
        <v>0</v>
      </c>
      <c r="T17" s="272"/>
      <c r="U17" s="268"/>
      <c r="V17" s="268"/>
      <c r="W17" s="268"/>
      <c r="X17" s="268"/>
      <c r="Z17" s="485"/>
      <c r="AA17" s="485"/>
      <c r="AB17" s="485"/>
      <c r="AC17" s="485"/>
      <c r="AD17" s="485"/>
      <c r="AE17" s="485"/>
      <c r="AF17" s="495"/>
      <c r="AG17" s="485"/>
      <c r="AH17" s="485"/>
      <c r="AI17" s="485"/>
      <c r="AJ17" s="485"/>
      <c r="AK17" s="485"/>
      <c r="AL17" s="268"/>
      <c r="AM17" s="456" t="str">
        <f>"Simulación departamento: "&amp;AO14</f>
        <v xml:space="preserve">Simulación departamento: </v>
      </c>
      <c r="AN17" s="456"/>
      <c r="AO17" s="456"/>
      <c r="AP17" s="456"/>
      <c r="AQ17" s="456" t="str">
        <f>"Tipología: "&amp;AA10</f>
        <v xml:space="preserve">Tipología: </v>
      </c>
      <c r="AR17" s="456"/>
      <c r="AS17" s="456"/>
      <c r="AT17" s="456"/>
      <c r="AU17" s="323"/>
      <c r="AV17" s="379"/>
      <c r="AW17" s="380"/>
      <c r="AX17" s="380"/>
      <c r="AY17" s="380"/>
      <c r="AZ17" s="268"/>
      <c r="BA17" s="268"/>
      <c r="BB17" s="268"/>
      <c r="BC17" s="268"/>
      <c r="BD17" s="377"/>
      <c r="BE17" s="268"/>
      <c r="BF17" s="268"/>
      <c r="BG17" s="268"/>
      <c r="BH17" s="378"/>
      <c r="BI17" s="378"/>
      <c r="BJ17" s="378"/>
      <c r="BM17" s="268"/>
      <c r="BN17" s="268"/>
      <c r="BO17" s="268"/>
      <c r="BP17" s="268"/>
      <c r="BQ17" s="268"/>
      <c r="BR17" s="268"/>
      <c r="BS17" s="268"/>
      <c r="BT17" s="268"/>
      <c r="BV17" s="268"/>
      <c r="BW17" s="268"/>
    </row>
    <row r="18" spans="1:75">
      <c r="A18" s="266"/>
      <c r="B18" s="443" t="s">
        <v>295</v>
      </c>
      <c r="C18" s="444"/>
      <c r="D18" s="489">
        <f ca="1">D16+D17</f>
        <v>-250000</v>
      </c>
      <c r="E18" s="490"/>
      <c r="F18" s="268"/>
      <c r="G18" s="268"/>
      <c r="H18" s="268"/>
      <c r="I18" s="272"/>
      <c r="J18" s="267"/>
      <c r="K18" s="281">
        <f>D12</f>
        <v>0</v>
      </c>
      <c r="L18" s="286" t="str">
        <f>SIMULACION!U4</f>
        <v>0</v>
      </c>
      <c r="M18" s="286">
        <f ca="1">IF(SIMULACION!O4&gt;0,(SIMULACION!O4*PMT($H$20,$D$20,-O3)*VLOOKUP(TODAY(),'UF HOY'!$A$2:$B$36,2,0)/12)+$AD$36," ")</f>
        <v>39734</v>
      </c>
      <c r="N18" s="286">
        <f ca="1">L18-M18</f>
        <v>-39734</v>
      </c>
      <c r="O18" s="282"/>
      <c r="R18" s="371" t="s">
        <v>118</v>
      </c>
      <c r="S18" s="372">
        <f ca="1">S17+S17*$S$13</f>
        <v>0</v>
      </c>
      <c r="T18" s="272"/>
      <c r="U18" s="268"/>
      <c r="V18" s="268"/>
      <c r="W18" s="268"/>
      <c r="X18" s="268"/>
      <c r="Z18" s="338">
        <f>D12</f>
        <v>0</v>
      </c>
      <c r="AA18" s="382" t="str">
        <f>SIMULACION!H4</f>
        <v>0</v>
      </c>
      <c r="AB18" s="383" t="str">
        <f>SIMULACION!I4</f>
        <v>0</v>
      </c>
      <c r="AC18" s="382" t="str">
        <f>SIMULACION!J4</f>
        <v>0</v>
      </c>
      <c r="AD18" s="382" t="str">
        <f>SIMULACION!K4</f>
        <v>0</v>
      </c>
      <c r="AE18" s="382" t="str">
        <f>SIMULACION!L4</f>
        <v>0</v>
      </c>
      <c r="AF18" s="382" t="str">
        <f>SIMULACION!M4</f>
        <v>0</v>
      </c>
      <c r="AG18" s="382">
        <f>SIMULACION!N4</f>
        <v>0</v>
      </c>
      <c r="AH18" s="384">
        <f>SIMULACION!O4</f>
        <v>1</v>
      </c>
      <c r="AI18" s="385" t="str">
        <f>SIMULACION!P4</f>
        <v>0</v>
      </c>
      <c r="AJ18" s="385" t="str">
        <f>SIMULACION!Q4</f>
        <v>0</v>
      </c>
      <c r="AK18" s="386">
        <f ca="1">SIMULACION!R4</f>
        <v>0</v>
      </c>
      <c r="AL18" s="366"/>
      <c r="AM18" s="324"/>
      <c r="AN18" s="324"/>
      <c r="AO18" s="324"/>
      <c r="AP18" s="324"/>
      <c r="AQ18" s="324"/>
      <c r="AR18" s="324"/>
      <c r="AS18" s="324"/>
      <c r="AT18" s="324"/>
      <c r="AV18" s="387"/>
      <c r="AW18" s="387"/>
      <c r="AX18" s="387"/>
      <c r="AY18" s="387"/>
      <c r="AZ18" s="268"/>
      <c r="BA18" s="268"/>
      <c r="BB18" s="268"/>
      <c r="BC18" s="268"/>
      <c r="BD18" s="377"/>
      <c r="BE18" s="268"/>
      <c r="BF18" s="268"/>
      <c r="BG18" s="268"/>
      <c r="BH18" s="276" t="s">
        <v>107</v>
      </c>
      <c r="BI18" s="388"/>
      <c r="BM18" s="268"/>
      <c r="BN18" s="268"/>
      <c r="BO18" s="268"/>
      <c r="BP18" s="268"/>
      <c r="BQ18" s="268"/>
      <c r="BR18" s="268"/>
      <c r="BS18" s="268"/>
      <c r="BT18" s="268"/>
    </row>
    <row r="19" spans="1:75">
      <c r="A19" s="266"/>
      <c r="B19" s="381"/>
      <c r="C19" s="268"/>
      <c r="D19" s="268"/>
      <c r="E19" s="268"/>
      <c r="F19" s="268"/>
      <c r="G19" s="268"/>
      <c r="H19" s="268"/>
      <c r="I19" s="272"/>
      <c r="J19" s="267"/>
      <c r="K19" s="281"/>
      <c r="L19" s="286"/>
      <c r="M19" s="286"/>
      <c r="N19" s="286"/>
      <c r="O19" s="282"/>
      <c r="R19" s="371" t="s">
        <v>119</v>
      </c>
      <c r="S19" s="372">
        <f ca="1">S18+S18*$S$13</f>
        <v>0</v>
      </c>
      <c r="T19" s="272"/>
      <c r="U19" s="268"/>
      <c r="V19" s="268"/>
      <c r="W19" s="268"/>
      <c r="X19" s="268"/>
      <c r="Z19" s="338"/>
      <c r="AA19" s="382"/>
      <c r="AB19" s="383"/>
      <c r="AC19" s="382"/>
      <c r="AD19" s="382"/>
      <c r="AE19" s="382"/>
      <c r="AF19" s="382"/>
      <c r="AG19" s="382"/>
      <c r="AH19" s="384"/>
      <c r="AI19" s="385"/>
      <c r="AJ19" s="385"/>
      <c r="AK19" s="386"/>
      <c r="AL19" s="268"/>
      <c r="AM19" s="459" t="s">
        <v>79</v>
      </c>
      <c r="AN19" s="459"/>
      <c r="AO19" s="329">
        <f>AF19</f>
        <v>0</v>
      </c>
      <c r="AP19" s="459" t="s">
        <v>80</v>
      </c>
      <c r="AQ19" s="459"/>
      <c r="AR19" s="329">
        <f>AG19</f>
        <v>0</v>
      </c>
      <c r="AS19" s="459" t="s">
        <v>81</v>
      </c>
      <c r="AT19" s="459"/>
      <c r="AU19" s="330">
        <f>AH19</f>
        <v>0</v>
      </c>
      <c r="AX19" s="387"/>
      <c r="AY19" s="387"/>
      <c r="AZ19" s="268"/>
      <c r="BA19" s="268"/>
      <c r="BB19" s="268"/>
      <c r="BC19" s="268"/>
      <c r="BD19" s="268"/>
      <c r="BE19" s="268"/>
      <c r="BF19" s="268"/>
      <c r="BG19" s="268"/>
      <c r="BH19" s="276" t="str">
        <f ca="1" xml:space="preserve"> CONCATENATE("* Monto en pesos referenciales considerando UF de hoy ($ ",  TEXT(AD34,"##.###"), ").")</f>
        <v>* Monto en pesos referenciales considerando UF de hoy ($ 39.734).</v>
      </c>
      <c r="BK19" s="268"/>
      <c r="BL19" s="268"/>
      <c r="BM19" s="268"/>
      <c r="BN19" s="268"/>
      <c r="BO19" s="268"/>
      <c r="BP19" s="268"/>
      <c r="BQ19" s="268"/>
      <c r="BR19" s="268"/>
      <c r="BS19" s="268"/>
      <c r="BT19" s="268"/>
    </row>
    <row r="20" spans="1:75" ht="15.75" customHeight="1">
      <c r="A20" s="266"/>
      <c r="B20" s="451" t="s">
        <v>89</v>
      </c>
      <c r="C20" s="462"/>
      <c r="D20" s="494">
        <v>30</v>
      </c>
      <c r="E20" s="494"/>
      <c r="F20" s="486" t="s">
        <v>106</v>
      </c>
      <c r="G20" s="462"/>
      <c r="H20" s="432">
        <v>0.04</v>
      </c>
      <c r="I20" s="272"/>
      <c r="J20" s="267"/>
      <c r="K20" s="281"/>
      <c r="L20" s="286"/>
      <c r="M20" s="286"/>
      <c r="N20" s="286"/>
      <c r="O20" s="282"/>
      <c r="R20" s="282"/>
      <c r="S20" s="282"/>
      <c r="T20" s="272"/>
      <c r="U20" s="268"/>
      <c r="V20" s="268"/>
      <c r="W20" s="268"/>
      <c r="X20" s="268"/>
      <c r="Z20" s="338"/>
      <c r="AA20" s="382"/>
      <c r="AB20" s="383"/>
      <c r="AC20" s="382"/>
      <c r="AD20" s="382"/>
      <c r="AE20" s="382"/>
      <c r="AF20" s="382"/>
      <c r="AG20" s="382"/>
      <c r="AH20" s="384"/>
      <c r="AI20" s="385"/>
      <c r="AJ20" s="385"/>
      <c r="AK20" s="386"/>
      <c r="AL20" s="268"/>
      <c r="AU20" s="339"/>
      <c r="AW20" s="268"/>
      <c r="AX20" s="268"/>
      <c r="AY20" s="268"/>
      <c r="AZ20" s="268"/>
      <c r="BA20" s="268"/>
      <c r="BB20" s="268"/>
      <c r="BC20" s="268"/>
      <c r="BD20" s="268"/>
      <c r="BE20" s="268"/>
      <c r="BF20" s="268"/>
      <c r="BG20" s="268"/>
      <c r="BH20" s="276" t="e">
        <f ca="1">"* El cuotón final considera un " &amp;ROUND(BJ14/AF25*100,2) &amp; "% del Precio de Escritura."</f>
        <v>#DIV/0!</v>
      </c>
      <c r="BK20" s="268"/>
      <c r="BL20" s="268"/>
      <c r="BM20" s="268"/>
      <c r="BN20" s="268"/>
      <c r="BO20" s="268"/>
      <c r="BP20" s="268"/>
      <c r="BQ20" s="268"/>
      <c r="BR20" s="268"/>
      <c r="BS20" s="268"/>
      <c r="BT20" s="268"/>
    </row>
    <row r="21" spans="1:75" ht="15.75" customHeight="1">
      <c r="A21" s="267"/>
      <c r="B21" s="280"/>
      <c r="C21" s="321"/>
      <c r="D21" s="366"/>
      <c r="E21" s="366"/>
      <c r="F21" s="321"/>
      <c r="G21" s="321"/>
      <c r="H21" s="390"/>
      <c r="I21" s="272"/>
      <c r="J21" s="267"/>
      <c r="K21" s="281"/>
      <c r="L21" s="286"/>
      <c r="M21" s="286"/>
      <c r="N21" s="286"/>
      <c r="O21" s="282"/>
      <c r="P21" s="392" t="s">
        <v>90</v>
      </c>
      <c r="Q21" s="393">
        <f ca="1">SUM(N18:N22)</f>
        <v>-39734</v>
      </c>
      <c r="R21" s="394" t="s">
        <v>120</v>
      </c>
      <c r="S21" s="395">
        <f ca="1">IF((S19-S11-S9)&gt;0,(S19-S11-S9),0)</f>
        <v>0</v>
      </c>
      <c r="T21" s="272"/>
      <c r="U21" s="268"/>
      <c r="V21" s="268"/>
      <c r="W21" s="268"/>
      <c r="X21" s="268"/>
      <c r="Z21" s="338"/>
      <c r="AA21" s="382"/>
      <c r="AB21" s="391"/>
      <c r="AC21" s="382"/>
      <c r="AD21" s="382"/>
      <c r="AE21" s="382"/>
      <c r="AF21" s="382"/>
      <c r="AG21" s="382"/>
      <c r="AH21" s="384"/>
      <c r="AI21" s="385"/>
      <c r="AJ21" s="385"/>
      <c r="AK21" s="386"/>
      <c r="AL21" s="268"/>
      <c r="AM21" s="343"/>
      <c r="AN21" s="343"/>
      <c r="AO21" s="343"/>
      <c r="AP21" s="343"/>
      <c r="AQ21" s="343"/>
      <c r="AR21" s="343"/>
      <c r="AS21" s="343"/>
      <c r="AT21" s="343"/>
      <c r="AU21" s="343"/>
      <c r="AV21" s="344"/>
      <c r="AW21" s="343"/>
      <c r="AX21" s="343"/>
      <c r="AY21" s="343"/>
      <c r="AZ21" s="343"/>
      <c r="BA21" s="343"/>
      <c r="BB21" s="268"/>
      <c r="BC21" s="268"/>
      <c r="BD21" s="268"/>
      <c r="BE21" s="268"/>
      <c r="BF21" s="268"/>
      <c r="BG21" s="268"/>
      <c r="BK21" s="268"/>
      <c r="BL21" s="268"/>
      <c r="BM21" s="268"/>
      <c r="BN21" s="268"/>
      <c r="BO21" s="268"/>
      <c r="BP21" s="268"/>
      <c r="BQ21" s="268"/>
      <c r="BR21" s="268"/>
      <c r="BS21" s="268"/>
      <c r="BT21" s="268"/>
    </row>
    <row r="22" spans="1:75" ht="15.75" customHeight="1">
      <c r="A22" s="268"/>
      <c r="B22" s="451" t="s">
        <v>274</v>
      </c>
      <c r="C22" s="462"/>
      <c r="D22" s="389">
        <v>0.01</v>
      </c>
      <c r="E22" s="268"/>
      <c r="F22" s="445" t="str">
        <f>IF(OR(AND(AA3="Biaut",D22&gt;1%),AND(AA3="Don Claudio ",D22&gt;2%),,AND(AA3="Volcan",D22&gt;3%)),"Bajar % de cuotón","Todo está ok")</f>
        <v>Todo está ok</v>
      </c>
      <c r="G22" s="445"/>
      <c r="H22" s="445"/>
      <c r="I22" s="272"/>
      <c r="J22" s="268"/>
      <c r="K22" s="396"/>
      <c r="L22" s="397"/>
      <c r="M22" s="397"/>
      <c r="N22" s="397"/>
      <c r="O22" s="398"/>
      <c r="P22" s="399" t="str">
        <f>"* Tasa Referencial del "&amp;H20*100&amp;"%."</f>
        <v>* Tasa Referencial del 4%.</v>
      </c>
      <c r="Q22" s="400"/>
      <c r="R22" s="398"/>
      <c r="S22" s="268"/>
      <c r="T22" s="401"/>
      <c r="U22" s="268"/>
      <c r="V22" s="268"/>
      <c r="W22" s="268"/>
      <c r="X22" s="268"/>
      <c r="Z22" s="338"/>
      <c r="AA22" s="382"/>
      <c r="AB22" s="391"/>
      <c r="AC22" s="382"/>
      <c r="AD22" s="382"/>
      <c r="AE22" s="382"/>
      <c r="AF22" s="382"/>
      <c r="AG22" s="382"/>
      <c r="AH22" s="384"/>
      <c r="AI22" s="385"/>
      <c r="AJ22" s="385"/>
      <c r="AK22" s="386"/>
      <c r="AL22" s="268"/>
      <c r="AM22" s="268"/>
      <c r="AN22" s="268"/>
      <c r="AO22" s="268"/>
      <c r="AP22" s="268"/>
      <c r="AQ22" s="268"/>
      <c r="AR22" s="268"/>
      <c r="AS22" s="268"/>
      <c r="AT22" s="268"/>
      <c r="AU22" s="268"/>
      <c r="AV22" s="268"/>
      <c r="AW22" s="268"/>
      <c r="AX22" s="268"/>
      <c r="AY22" s="268"/>
      <c r="AZ22" s="268"/>
      <c r="BA22" s="268"/>
      <c r="BB22" s="268"/>
      <c r="BC22" s="268"/>
      <c r="BD22" s="268"/>
      <c r="BE22" s="268"/>
      <c r="BF22" s="268"/>
      <c r="BG22" s="268"/>
      <c r="BH22" s="268"/>
      <c r="BI22" s="268"/>
      <c r="BJ22" s="268"/>
      <c r="BK22" s="268"/>
      <c r="BL22" s="268"/>
      <c r="BM22" s="268"/>
      <c r="BN22" s="268"/>
      <c r="BO22" s="268"/>
      <c r="BP22" s="268"/>
      <c r="BQ22" s="268"/>
      <c r="BR22" s="268"/>
      <c r="BS22" s="268"/>
      <c r="BT22" s="268"/>
    </row>
    <row r="23" spans="1:75" ht="15.75" customHeight="1">
      <c r="A23" s="268"/>
      <c r="B23" s="446" t="s">
        <v>296</v>
      </c>
      <c r="C23" s="447"/>
      <c r="D23" s="447"/>
      <c r="E23" s="447"/>
      <c r="F23" s="445"/>
      <c r="G23" s="445"/>
      <c r="H23" s="445"/>
      <c r="I23" s="272"/>
      <c r="J23" s="268"/>
      <c r="K23" s="268"/>
      <c r="L23" s="268"/>
      <c r="M23" s="268"/>
      <c r="N23" s="268"/>
      <c r="O23" s="268"/>
      <c r="P23" s="268"/>
      <c r="Q23" s="268"/>
      <c r="R23" s="268"/>
      <c r="T23" s="268"/>
      <c r="U23" s="268"/>
      <c r="V23" s="268"/>
      <c r="W23" s="268"/>
      <c r="X23" s="268"/>
      <c r="Z23" s="295"/>
      <c r="AA23" s="295"/>
      <c r="AB23" s="295"/>
      <c r="AC23" s="295"/>
      <c r="AG23" s="403"/>
      <c r="AH23" s="404"/>
      <c r="AI23" s="405"/>
      <c r="AJ23" s="405"/>
      <c r="AL23" s="406"/>
      <c r="AM23" s="268"/>
      <c r="AN23" s="277"/>
      <c r="AO23" s="479" t="s">
        <v>71</v>
      </c>
      <c r="AP23" s="480"/>
      <c r="AQ23" s="480"/>
      <c r="AR23" s="472"/>
      <c r="AS23" s="270"/>
      <c r="AT23" s="270"/>
      <c r="AU23" s="270"/>
      <c r="AV23" s="453"/>
      <c r="AW23" s="453"/>
      <c r="AX23" s="454"/>
      <c r="AY23" s="454"/>
      <c r="BA23" s="268"/>
      <c r="BB23" s="268"/>
      <c r="BC23" s="268"/>
      <c r="BD23" s="268"/>
      <c r="BE23" s="268"/>
      <c r="BF23" s="268"/>
      <c r="BG23" s="268"/>
      <c r="BH23" s="268"/>
      <c r="BI23" s="268"/>
      <c r="BJ23" s="268"/>
      <c r="BK23" s="268"/>
      <c r="BL23" s="268"/>
      <c r="BM23" s="268"/>
      <c r="BN23" s="268"/>
      <c r="BO23" s="268"/>
      <c r="BP23" s="268"/>
      <c r="BQ23" s="268"/>
      <c r="BR23" s="268"/>
      <c r="BS23" s="268"/>
      <c r="BT23" s="268"/>
    </row>
    <row r="24" spans="1:75">
      <c r="A24" s="268"/>
      <c r="B24" s="448"/>
      <c r="C24" s="449"/>
      <c r="D24" s="449"/>
      <c r="E24" s="449"/>
      <c r="F24" s="402"/>
      <c r="G24" s="402"/>
      <c r="H24" s="402"/>
      <c r="I24" s="401"/>
      <c r="J24" s="268"/>
      <c r="K24" s="407"/>
      <c r="L24" s="407"/>
      <c r="M24" s="407"/>
      <c r="N24" s="407"/>
      <c r="O24" s="407"/>
      <c r="P24" s="407"/>
      <c r="Q24" s="407"/>
      <c r="R24" s="268"/>
      <c r="S24" s="268"/>
      <c r="T24" s="268"/>
      <c r="U24" s="268"/>
      <c r="V24" s="268"/>
      <c r="W24" s="268"/>
      <c r="X24" s="268"/>
      <c r="Z24" s="268"/>
      <c r="AA24" s="268"/>
      <c r="AB24" s="268"/>
      <c r="AC24" s="268"/>
      <c r="AI24" s="405"/>
      <c r="AJ24" s="405"/>
      <c r="AL24" s="268"/>
      <c r="AM24" s="268"/>
      <c r="AN24" s="277" t="s">
        <v>91</v>
      </c>
      <c r="AO24" s="479"/>
      <c r="AP24" s="480"/>
      <c r="AQ24" s="480"/>
      <c r="AR24" s="472"/>
      <c r="AS24" s="270"/>
      <c r="AT24" s="270"/>
      <c r="AU24" s="270"/>
      <c r="AV24" s="453"/>
      <c r="AW24" s="453"/>
      <c r="AX24" s="454"/>
      <c r="AY24" s="454"/>
      <c r="BA24" s="268"/>
      <c r="BB24" s="268"/>
      <c r="BC24" s="268"/>
      <c r="BD24" s="268"/>
      <c r="BE24" s="268"/>
      <c r="BF24" s="268"/>
      <c r="BG24" s="268"/>
      <c r="BH24" s="268"/>
      <c r="BI24" s="268"/>
      <c r="BJ24" s="268"/>
      <c r="BK24" s="268"/>
      <c r="BL24" s="268"/>
      <c r="BM24" s="268"/>
      <c r="BN24" s="268"/>
      <c r="BO24" s="268"/>
      <c r="BP24" s="268"/>
      <c r="BQ24" s="268"/>
      <c r="BR24" s="268"/>
      <c r="BS24" s="268"/>
      <c r="BT24" s="268"/>
    </row>
    <row r="25" spans="1:75">
      <c r="A25" s="268"/>
      <c r="B25" s="268"/>
      <c r="C25" s="268"/>
      <c r="D25" s="268"/>
      <c r="E25" s="268"/>
      <c r="F25" s="268"/>
      <c r="G25" s="268"/>
      <c r="H25" s="268"/>
      <c r="I25" s="268"/>
      <c r="J25" s="268"/>
      <c r="K25" s="408"/>
      <c r="L25" s="408"/>
      <c r="M25" s="408"/>
      <c r="N25" s="408"/>
      <c r="O25" s="408"/>
      <c r="P25" s="408"/>
      <c r="Q25" s="408"/>
      <c r="R25" s="268"/>
      <c r="S25" s="268"/>
      <c r="T25" s="268"/>
      <c r="U25" s="268"/>
      <c r="V25" s="268"/>
      <c r="W25" s="268"/>
      <c r="X25" s="268"/>
      <c r="Y25" s="268"/>
      <c r="Z25" s="268"/>
      <c r="AA25" s="268"/>
      <c r="AB25" s="268"/>
      <c r="AC25" s="268"/>
      <c r="AD25" s="491"/>
      <c r="AE25" s="491"/>
      <c r="AF25" s="492">
        <f ca="1">SUM(AF18:AF22)*VLOOKUP(TODAY(),'UF HOY'!$A$2:$B$36,2,0)</f>
        <v>0</v>
      </c>
      <c r="AG25" s="409"/>
      <c r="AI25" s="493"/>
      <c r="AJ25" s="493"/>
      <c r="AK25" s="492">
        <f ca="1">SUM(AK18:AK22)</f>
        <v>0</v>
      </c>
      <c r="AL25" s="268"/>
      <c r="AM25" s="268"/>
      <c r="AO25" s="293"/>
      <c r="AP25" s="294"/>
      <c r="AQ25" s="294"/>
      <c r="AR25" s="295"/>
      <c r="AS25" s="295"/>
      <c r="AT25" s="295"/>
      <c r="AU25" s="295"/>
      <c r="AV25" s="296">
        <f>$AV$3</f>
        <v>3.5000000000000003E-2</v>
      </c>
      <c r="AW25" s="297">
        <f ca="1">((AH20*PMT(AV25,D20,-AO30)*VLOOKUP(TODAY(),'UF HOY'!$A$2:$B$36,2,0))/12)+$AD$36</f>
        <v>39734</v>
      </c>
      <c r="AX25" s="297">
        <f>SIMULACION!$U$6</f>
        <v>0</v>
      </c>
      <c r="AY25" s="297">
        <f ca="1">AX25-AW25</f>
        <v>-39734</v>
      </c>
      <c r="AZ25" s="268"/>
      <c r="BA25" s="268"/>
      <c r="BC25" s="268"/>
      <c r="BD25" s="268"/>
      <c r="BE25" s="268"/>
      <c r="BF25" s="268"/>
      <c r="BG25" s="268"/>
      <c r="BH25" s="268"/>
      <c r="BI25" s="268"/>
      <c r="BJ25" s="268"/>
      <c r="BK25" s="268"/>
      <c r="BL25" s="268"/>
      <c r="BM25" s="268"/>
      <c r="BN25" s="268"/>
      <c r="BO25" s="268"/>
      <c r="BP25" s="268"/>
      <c r="BQ25" s="268"/>
      <c r="BR25" s="268"/>
      <c r="BS25" s="268"/>
      <c r="BT25" s="268"/>
    </row>
    <row r="26" spans="1:75">
      <c r="A26" s="268"/>
      <c r="B26" s="268"/>
      <c r="C26" s="268"/>
      <c r="D26" s="268"/>
      <c r="E26" s="268"/>
      <c r="F26" s="268"/>
      <c r="G26" s="268"/>
      <c r="H26" s="268"/>
      <c r="I26" s="268"/>
      <c r="J26" s="268"/>
      <c r="K26" s="410"/>
      <c r="L26" s="411"/>
      <c r="M26" s="268"/>
      <c r="N26" s="412"/>
      <c r="O26" s="412"/>
      <c r="P26" s="413"/>
      <c r="Q26" s="268"/>
      <c r="R26" s="268"/>
      <c r="S26" s="268"/>
      <c r="T26" s="268"/>
      <c r="U26" s="268"/>
      <c r="V26" s="268"/>
      <c r="W26" s="268"/>
      <c r="X26" s="268"/>
      <c r="Y26" s="268"/>
      <c r="Z26" s="268"/>
      <c r="AA26" s="268"/>
      <c r="AB26" s="268"/>
      <c r="AC26" s="268"/>
      <c r="AD26" s="491"/>
      <c r="AE26" s="491"/>
      <c r="AF26" s="492"/>
      <c r="AG26" s="409"/>
      <c r="AI26" s="493"/>
      <c r="AJ26" s="493"/>
      <c r="AK26" s="492"/>
      <c r="AL26" s="268"/>
      <c r="AM26" s="268"/>
      <c r="AN26" s="277"/>
      <c r="AO26" s="295"/>
      <c r="AP26" s="295"/>
      <c r="AQ26" s="295"/>
      <c r="AR26" s="295"/>
      <c r="AS26" s="295"/>
      <c r="AT26" s="295"/>
      <c r="AU26" s="295"/>
      <c r="AV26" s="310">
        <f>$AV$4</f>
        <v>0.04</v>
      </c>
      <c r="AW26" s="311">
        <f ca="1">((AH20*PMT(AV26,D20,-AO30)*VLOOKUP(TODAY(),'UF HOY'!$A$2:$B$36,2,0))/12)+$AD$36</f>
        <v>39734</v>
      </c>
      <c r="AX26" s="311">
        <f>SIMULACION!$U$6</f>
        <v>0</v>
      </c>
      <c r="AY26" s="311">
        <f ca="1">AX26-AW26</f>
        <v>-39734</v>
      </c>
      <c r="AZ26" s="268"/>
      <c r="BA26" s="268"/>
      <c r="BC26" s="268"/>
      <c r="BD26" s="268"/>
      <c r="BE26" s="268"/>
      <c r="BF26" s="268"/>
      <c r="BG26" s="268"/>
      <c r="BH26" s="268"/>
      <c r="BI26" s="268"/>
      <c r="BJ26" s="268"/>
      <c r="BK26" s="268"/>
      <c r="BL26" s="268"/>
      <c r="BM26" s="268"/>
      <c r="BN26" s="268"/>
      <c r="BO26" s="268"/>
      <c r="BP26" s="268"/>
      <c r="BQ26" s="268"/>
      <c r="BR26" s="268"/>
      <c r="BS26" s="268"/>
      <c r="BT26" s="268"/>
    </row>
    <row r="27" spans="1:75">
      <c r="A27" s="268"/>
      <c r="B27" s="268"/>
      <c r="C27" s="268"/>
      <c r="D27" s="268"/>
      <c r="E27" s="268"/>
      <c r="F27" s="268"/>
      <c r="G27" s="268"/>
      <c r="H27" s="268"/>
      <c r="I27" s="268"/>
      <c r="J27" s="268"/>
      <c r="K27" s="268"/>
      <c r="L27" s="268"/>
      <c r="M27" s="268"/>
      <c r="N27" s="268"/>
      <c r="O27" s="268"/>
      <c r="P27" s="268"/>
      <c r="Q27" s="268"/>
      <c r="R27" s="268"/>
      <c r="S27" s="268"/>
      <c r="T27" s="268"/>
      <c r="U27" s="268"/>
      <c r="V27" s="268"/>
      <c r="W27" s="268"/>
      <c r="X27" s="268"/>
      <c r="Y27" s="268"/>
      <c r="Z27" s="268"/>
      <c r="AA27" s="268"/>
      <c r="AB27" s="268"/>
      <c r="AC27" s="268"/>
      <c r="AN27" s="315"/>
      <c r="AV27" s="296">
        <f>$AV$5</f>
        <v>4.4999999999999998E-2</v>
      </c>
      <c r="AW27" s="297">
        <f ca="1">((AH20*PMT(AV27,D20,-AO30)*VLOOKUP(TODAY(),'UF HOY'!$A$2:$B$36,2,0))/12)+$AD$36</f>
        <v>39734</v>
      </c>
      <c r="AX27" s="297">
        <f>SIMULACION!$U$6</f>
        <v>0</v>
      </c>
      <c r="AY27" s="297">
        <f ca="1">AX27-AW27</f>
        <v>-39734</v>
      </c>
      <c r="AZ27" s="268"/>
      <c r="BA27" s="268"/>
      <c r="BB27" s="268"/>
      <c r="BC27" s="268"/>
      <c r="BD27" s="268"/>
      <c r="BE27" s="268"/>
      <c r="BF27" s="268"/>
      <c r="BG27" s="268"/>
      <c r="BH27" s="268"/>
      <c r="BI27" s="268"/>
      <c r="BJ27" s="268"/>
      <c r="BK27" s="268"/>
      <c r="BL27" s="268"/>
      <c r="BM27" s="268"/>
      <c r="BN27" s="268"/>
      <c r="BO27" s="268"/>
      <c r="BP27" s="268"/>
      <c r="BQ27" s="268"/>
      <c r="BR27" s="268"/>
      <c r="BS27" s="268"/>
      <c r="BT27" s="268"/>
    </row>
    <row r="28" spans="1:75">
      <c r="A28" s="268"/>
      <c r="B28" s="268"/>
      <c r="C28" s="268"/>
      <c r="D28" s="268"/>
      <c r="E28" s="268"/>
      <c r="F28" s="268"/>
      <c r="G28" s="268"/>
      <c r="H28" s="268"/>
      <c r="I28" s="268"/>
      <c r="J28" s="268"/>
      <c r="K28" s="410"/>
      <c r="L28" s="414"/>
      <c r="M28" s="268"/>
      <c r="N28" s="407"/>
      <c r="O28" s="407"/>
      <c r="P28" s="415"/>
      <c r="Q28" s="268"/>
      <c r="R28" s="268"/>
      <c r="S28" s="268"/>
      <c r="T28" s="268"/>
      <c r="U28" s="268"/>
      <c r="V28" s="268"/>
      <c r="W28" s="268"/>
      <c r="X28" s="268"/>
      <c r="Y28" s="268"/>
      <c r="Z28" s="268"/>
      <c r="AA28" s="268"/>
      <c r="AB28" s="268"/>
      <c r="AC28" s="268"/>
      <c r="AM28" s="456" t="str">
        <f>"Simulación departamento: "&amp;AO25</f>
        <v xml:space="preserve">Simulación departamento: </v>
      </c>
      <c r="AN28" s="456"/>
      <c r="AO28" s="456"/>
      <c r="AP28" s="456"/>
      <c r="AQ28" s="456" t="str">
        <f>"Tipología: "&amp;AA11</f>
        <v xml:space="preserve">Tipología: </v>
      </c>
      <c r="AR28" s="456"/>
      <c r="AS28" s="456"/>
      <c r="AT28" s="456"/>
      <c r="AV28" s="379"/>
      <c r="AW28" s="373"/>
      <c r="AX28" s="373"/>
      <c r="AZ28" s="268"/>
      <c r="BA28" s="268"/>
      <c r="BB28" s="268"/>
      <c r="BC28" s="268"/>
      <c r="BD28" s="268"/>
      <c r="BE28" s="268"/>
      <c r="BF28" s="268"/>
      <c r="BG28" s="268"/>
      <c r="BH28" s="268"/>
      <c r="BI28" s="268"/>
      <c r="BJ28" s="268"/>
      <c r="BK28" s="268"/>
      <c r="BL28" s="268"/>
      <c r="BM28" s="268"/>
      <c r="BN28" s="268"/>
      <c r="BO28" s="268"/>
      <c r="BP28" s="268"/>
      <c r="BQ28" s="268"/>
      <c r="BR28" s="268"/>
      <c r="BS28" s="268"/>
      <c r="BT28" s="268"/>
    </row>
    <row r="29" spans="1:75">
      <c r="A29" s="268"/>
      <c r="B29" s="268"/>
      <c r="C29" s="268"/>
      <c r="D29" s="268"/>
      <c r="E29" s="268"/>
      <c r="F29" s="268"/>
      <c r="G29" s="268"/>
      <c r="H29" s="268"/>
      <c r="I29" s="268"/>
      <c r="J29" s="268"/>
      <c r="K29" s="410"/>
      <c r="L29" s="414"/>
      <c r="M29" s="268"/>
      <c r="N29" s="268"/>
      <c r="O29" s="268"/>
      <c r="P29" s="268"/>
      <c r="Q29" s="268"/>
      <c r="R29" s="268"/>
      <c r="S29" s="268"/>
      <c r="T29" s="268"/>
      <c r="U29" s="268"/>
      <c r="V29" s="268"/>
      <c r="W29" s="268"/>
      <c r="X29" s="268"/>
      <c r="Y29" s="268"/>
      <c r="Z29" s="268"/>
      <c r="AA29" s="268"/>
      <c r="AB29" s="268"/>
      <c r="AC29" s="268"/>
      <c r="AE29" s="485"/>
      <c r="AF29" s="416">
        <f>SUM(AF18:AF22)</f>
        <v>0</v>
      </c>
      <c r="AG29" s="485"/>
      <c r="AH29" s="485"/>
      <c r="AI29" s="485"/>
      <c r="AJ29" s="485"/>
      <c r="AK29" s="416">
        <f ca="1">AK25/VLOOKUP(TODAY(),'UF HOY'!$A$2:$B$36,2,0)</f>
        <v>0</v>
      </c>
      <c r="AM29" s="324"/>
      <c r="AN29" s="324"/>
      <c r="AO29" s="324"/>
      <c r="AP29" s="324"/>
      <c r="AQ29" s="324"/>
      <c r="AR29" s="324"/>
      <c r="AS29" s="324"/>
      <c r="AT29" s="324"/>
      <c r="AV29" s="387"/>
      <c r="AW29" s="387"/>
      <c r="AX29" s="387"/>
      <c r="AY29" s="387"/>
      <c r="AZ29" s="268"/>
      <c r="BA29" s="268"/>
      <c r="BB29" s="268"/>
      <c r="BC29" s="268"/>
      <c r="BD29" s="268"/>
      <c r="BE29" s="268"/>
      <c r="BF29" s="268"/>
      <c r="BG29" s="268"/>
      <c r="BH29" s="268"/>
      <c r="BI29" s="268"/>
      <c r="BJ29" s="268"/>
      <c r="BK29" s="268"/>
      <c r="BL29" s="268"/>
      <c r="BM29" s="268"/>
      <c r="BN29" s="268"/>
      <c r="BO29" s="268"/>
      <c r="BP29" s="268"/>
      <c r="BQ29" s="268"/>
      <c r="BR29" s="268"/>
      <c r="BS29" s="268"/>
      <c r="BT29" s="268"/>
    </row>
    <row r="30" spans="1:75">
      <c r="A30" s="268"/>
      <c r="B30" s="268"/>
      <c r="C30" s="268"/>
      <c r="D30" s="268"/>
      <c r="E30" s="268"/>
      <c r="F30" s="268"/>
      <c r="G30" s="268"/>
      <c r="H30" s="268"/>
      <c r="I30" s="268"/>
      <c r="J30" s="268"/>
      <c r="K30" s="410"/>
      <c r="L30" s="414"/>
      <c r="M30" s="268"/>
      <c r="N30" s="268"/>
      <c r="O30" s="268"/>
      <c r="P30" s="268"/>
      <c r="Q30" s="268"/>
      <c r="R30" s="268"/>
      <c r="S30" s="268"/>
      <c r="T30" s="268"/>
      <c r="U30" s="268"/>
      <c r="V30" s="268"/>
      <c r="W30" s="268"/>
      <c r="X30" s="268"/>
      <c r="Y30" s="268"/>
      <c r="Z30" s="268"/>
      <c r="AA30" s="268"/>
      <c r="AB30" s="268"/>
      <c r="AC30" s="268"/>
      <c r="AE30" s="485"/>
      <c r="AF30" s="417"/>
      <c r="AG30" s="485"/>
      <c r="AH30" s="485"/>
      <c r="AI30" s="485"/>
      <c r="AJ30" s="485"/>
      <c r="AK30" s="417"/>
      <c r="AM30" s="459" t="s">
        <v>79</v>
      </c>
      <c r="AN30" s="459"/>
      <c r="AO30" s="329">
        <f>AF20</f>
        <v>0</v>
      </c>
      <c r="AP30" s="459" t="s">
        <v>80</v>
      </c>
      <c r="AQ30" s="459"/>
      <c r="AR30" s="329">
        <f>AG20</f>
        <v>0</v>
      </c>
      <c r="AS30" s="459" t="s">
        <v>81</v>
      </c>
      <c r="AT30" s="459"/>
      <c r="AU30" s="330">
        <f>AH20</f>
        <v>0</v>
      </c>
      <c r="AV30" s="418"/>
      <c r="AW30" s="419"/>
      <c r="AX30" s="387"/>
      <c r="AY30" s="387"/>
      <c r="AZ30" s="268"/>
      <c r="BA30" s="268"/>
      <c r="BB30" s="268"/>
      <c r="BC30" s="268"/>
      <c r="BD30" s="268"/>
      <c r="BE30" s="268"/>
      <c r="BF30" s="268"/>
      <c r="BG30" s="268"/>
      <c r="BH30" s="268"/>
      <c r="BI30" s="268"/>
      <c r="BJ30" s="268"/>
      <c r="BK30" s="268"/>
      <c r="BL30" s="268"/>
      <c r="BM30" s="268"/>
      <c r="BN30" s="268"/>
      <c r="BO30" s="268"/>
      <c r="BP30" s="268"/>
      <c r="BQ30" s="268"/>
      <c r="BR30" s="268"/>
      <c r="BS30" s="268"/>
      <c r="BT30" s="268"/>
    </row>
    <row r="31" spans="1:75">
      <c r="A31" s="268"/>
      <c r="B31" s="268"/>
      <c r="C31" s="268"/>
      <c r="D31" s="268"/>
      <c r="E31" s="268"/>
      <c r="F31" s="268"/>
      <c r="G31" s="268"/>
      <c r="H31" s="268"/>
      <c r="I31" s="268"/>
      <c r="J31" s="268"/>
      <c r="K31" s="410"/>
      <c r="L31" s="414"/>
      <c r="M31" s="268"/>
      <c r="N31" s="268"/>
      <c r="O31" s="268"/>
      <c r="P31" s="268"/>
      <c r="Q31" s="268"/>
      <c r="R31" s="268"/>
      <c r="S31" s="268"/>
      <c r="T31" s="268"/>
      <c r="U31" s="268"/>
      <c r="V31" s="268"/>
      <c r="W31" s="268"/>
      <c r="X31" s="268"/>
      <c r="Y31" s="268"/>
      <c r="Z31" s="268"/>
      <c r="AA31" s="268"/>
      <c r="AB31" s="268"/>
      <c r="AC31" s="268"/>
      <c r="AN31" s="315"/>
      <c r="AO31" s="373"/>
      <c r="AP31" s="373"/>
      <c r="AQ31" s="373"/>
      <c r="AR31" s="373"/>
      <c r="AS31" s="373"/>
      <c r="AT31" s="373"/>
      <c r="AU31" s="339"/>
      <c r="AV31" s="373"/>
      <c r="AW31" s="295"/>
      <c r="AX31" s="295"/>
      <c r="AY31" s="268"/>
      <c r="AZ31" s="268"/>
      <c r="BA31" s="268"/>
      <c r="BB31" s="268"/>
      <c r="BC31" s="268"/>
      <c r="BD31" s="268"/>
      <c r="BE31" s="268"/>
      <c r="BF31" s="268"/>
      <c r="BG31" s="268"/>
      <c r="BH31" s="268"/>
      <c r="BI31" s="268"/>
      <c r="BJ31" s="268"/>
      <c r="BK31" s="268"/>
      <c r="BL31" s="268"/>
      <c r="BM31" s="268"/>
      <c r="BN31" s="268"/>
      <c r="BO31" s="268"/>
      <c r="BP31" s="268"/>
      <c r="BQ31" s="268"/>
      <c r="BR31" s="268"/>
      <c r="BS31" s="268"/>
      <c r="BT31" s="268"/>
    </row>
    <row r="32" spans="1:75">
      <c r="A32" s="268"/>
      <c r="B32" s="268"/>
      <c r="C32" s="268"/>
      <c r="D32" s="268"/>
      <c r="E32" s="268"/>
      <c r="F32" s="268"/>
      <c r="G32" s="268"/>
      <c r="H32" s="268"/>
      <c r="I32" s="268"/>
      <c r="J32" s="268"/>
      <c r="K32" s="410"/>
      <c r="L32" s="414"/>
      <c r="M32" s="268"/>
      <c r="N32" s="268"/>
      <c r="O32" s="268"/>
      <c r="P32" s="268"/>
      <c r="Q32" s="268"/>
      <c r="R32" s="268"/>
      <c r="S32" s="268"/>
      <c r="T32" s="268"/>
      <c r="U32" s="268"/>
      <c r="V32" s="268"/>
      <c r="W32" s="268"/>
      <c r="X32" s="268"/>
      <c r="Y32" s="268"/>
      <c r="Z32" s="268"/>
      <c r="AA32" s="268"/>
      <c r="AB32" s="268"/>
      <c r="AC32" s="268"/>
      <c r="AD32" s="496" t="str">
        <f ca="1">CONCATENATE("* Monto en pesos referenciales considerando UF de hoy ($ ", TEXT(AD34,"##.###"), ") al ", TEXT(TODAY(),"dd-mm-yy"), ".")</f>
        <v>* Monto en pesos referenciales considerando UF de hoy ($ 39.734) al 18-02-26.</v>
      </c>
      <c r="AE32" s="496"/>
      <c r="AF32" s="496"/>
      <c r="AG32" s="496"/>
      <c r="AL32" s="268"/>
      <c r="AM32" s="343"/>
      <c r="AN32" s="343"/>
      <c r="AO32" s="343"/>
      <c r="AP32" s="343"/>
      <c r="AQ32" s="343"/>
      <c r="AR32" s="343"/>
      <c r="AS32" s="343"/>
      <c r="AT32" s="343"/>
      <c r="AU32" s="343"/>
      <c r="AV32" s="344"/>
      <c r="AW32" s="343"/>
      <c r="AX32" s="343"/>
      <c r="AY32" s="343"/>
      <c r="AZ32" s="343"/>
      <c r="BA32" s="343"/>
      <c r="BB32" s="268"/>
      <c r="BC32" s="268"/>
      <c r="BD32" s="268"/>
      <c r="BE32" s="268"/>
      <c r="BF32" s="268"/>
      <c r="BG32" s="268"/>
      <c r="BH32" s="268"/>
      <c r="BI32" s="268"/>
      <c r="BJ32" s="268"/>
      <c r="BK32" s="268"/>
      <c r="BL32" s="268"/>
      <c r="BM32" s="268"/>
      <c r="BN32" s="268"/>
      <c r="BO32" s="268"/>
      <c r="BP32" s="268"/>
      <c r="BQ32" s="268"/>
      <c r="BR32" s="268"/>
      <c r="BS32" s="268"/>
      <c r="BT32" s="268"/>
    </row>
    <row r="33" spans="1:72" ht="15.75" customHeight="1">
      <c r="A33" s="268"/>
      <c r="B33" s="268"/>
      <c r="C33" s="268"/>
      <c r="D33" s="268"/>
      <c r="E33" s="268"/>
      <c r="F33" s="268"/>
      <c r="G33" s="268"/>
      <c r="H33" s="268"/>
      <c r="I33" s="268"/>
      <c r="J33" s="268"/>
      <c r="K33" s="282"/>
      <c r="L33" s="282"/>
      <c r="M33" s="268"/>
      <c r="N33" s="268"/>
      <c r="O33" s="268"/>
      <c r="P33" s="268"/>
      <c r="Q33" s="268"/>
      <c r="R33" s="268"/>
      <c r="S33" s="268"/>
      <c r="T33" s="268"/>
      <c r="U33" s="268"/>
      <c r="V33" s="268"/>
      <c r="W33" s="268"/>
      <c r="X33" s="268"/>
      <c r="Y33" s="268"/>
      <c r="Z33" s="268"/>
      <c r="AA33" s="268"/>
      <c r="AB33" s="268"/>
      <c r="AC33" s="268"/>
      <c r="AD33" s="268"/>
      <c r="AE33" s="268"/>
      <c r="AF33" s="268"/>
      <c r="AG33" s="268"/>
      <c r="AH33" s="420"/>
      <c r="AI33" s="268"/>
      <c r="AJ33" s="268"/>
      <c r="AK33" s="366"/>
      <c r="AL33" s="268"/>
      <c r="AM33" s="268"/>
      <c r="AN33" s="277"/>
      <c r="AO33" s="268"/>
      <c r="AP33" s="268"/>
      <c r="AQ33" s="268"/>
      <c r="AR33" s="268"/>
      <c r="AS33" s="268"/>
      <c r="AT33" s="268"/>
      <c r="AU33" s="268"/>
      <c r="AV33" s="295"/>
      <c r="AW33" s="295"/>
      <c r="AX33" s="295"/>
      <c r="AY33" s="268"/>
      <c r="AZ33" s="268"/>
      <c r="BA33" s="268"/>
      <c r="BB33" s="268"/>
      <c r="BC33" s="268"/>
      <c r="BD33" s="268"/>
      <c r="BE33" s="268"/>
      <c r="BF33" s="268"/>
      <c r="BG33" s="268"/>
      <c r="BH33" s="268"/>
      <c r="BI33" s="268"/>
      <c r="BJ33" s="268"/>
      <c r="BK33" s="268"/>
      <c r="BL33" s="268"/>
      <c r="BM33" s="268"/>
      <c r="BN33" s="268"/>
      <c r="BO33" s="268"/>
      <c r="BP33" s="268"/>
      <c r="BQ33" s="268"/>
      <c r="BR33" s="268"/>
      <c r="BS33" s="268"/>
      <c r="BT33" s="268"/>
    </row>
    <row r="34" spans="1:72">
      <c r="A34" s="268"/>
      <c r="B34" s="268"/>
      <c r="C34" s="268"/>
      <c r="D34" s="268"/>
      <c r="E34" s="268"/>
      <c r="F34" s="268"/>
      <c r="G34" s="268"/>
      <c r="H34" s="268"/>
      <c r="I34" s="268"/>
      <c r="J34" s="268"/>
      <c r="K34" s="408"/>
      <c r="L34" s="421"/>
      <c r="M34" s="268"/>
      <c r="N34" s="268"/>
      <c r="O34" s="268"/>
      <c r="P34" s="268"/>
      <c r="Q34" s="268"/>
      <c r="R34" s="268"/>
      <c r="S34" s="268"/>
      <c r="T34" s="268"/>
      <c r="U34" s="268"/>
      <c r="V34" s="268"/>
      <c r="W34" s="268"/>
      <c r="X34" s="268"/>
      <c r="Y34" s="268"/>
      <c r="Z34" s="268"/>
      <c r="AA34" s="268"/>
      <c r="AB34" s="289"/>
      <c r="AC34" s="289" t="s">
        <v>92</v>
      </c>
      <c r="AD34" s="422">
        <f ca="1">ROUNDUP(VLOOKUP(TODAY(),'UF HOY'!$A$2:$B$36,2,0),0)</f>
        <v>39734</v>
      </c>
      <c r="AE34" s="268"/>
      <c r="AF34" s="268"/>
      <c r="AG34" s="268"/>
      <c r="AH34" s="268"/>
      <c r="AI34" s="268"/>
      <c r="AJ34" s="268"/>
      <c r="AK34" s="268"/>
      <c r="AL34" s="268"/>
      <c r="AM34" s="268"/>
      <c r="AN34" s="277"/>
      <c r="AO34" s="479" t="s">
        <v>71</v>
      </c>
      <c r="AP34" s="480"/>
      <c r="AQ34" s="480"/>
      <c r="AR34" s="472"/>
      <c r="AS34" s="270"/>
      <c r="AT34" s="270"/>
      <c r="AU34" s="270"/>
      <c r="AV34" s="453"/>
      <c r="AW34" s="453"/>
      <c r="AX34" s="454"/>
      <c r="AY34" s="454"/>
      <c r="BA34" s="268"/>
      <c r="BB34" s="268"/>
      <c r="BC34" s="268"/>
      <c r="BD34" s="268"/>
      <c r="BE34" s="268"/>
      <c r="BF34" s="268"/>
      <c r="BG34" s="268"/>
      <c r="BH34" s="268"/>
      <c r="BI34" s="268"/>
      <c r="BJ34" s="268"/>
      <c r="BK34" s="268"/>
      <c r="BL34" s="268"/>
      <c r="BM34" s="268"/>
      <c r="BN34" s="268"/>
      <c r="BO34" s="268"/>
      <c r="BP34" s="268"/>
      <c r="BQ34" s="268"/>
      <c r="BR34" s="268"/>
      <c r="BS34" s="268"/>
      <c r="BT34" s="268"/>
    </row>
    <row r="35" spans="1:72">
      <c r="A35" s="268"/>
      <c r="B35" s="268"/>
      <c r="C35" s="268"/>
      <c r="D35" s="268"/>
      <c r="E35" s="268"/>
      <c r="F35" s="268"/>
      <c r="G35" s="268"/>
      <c r="H35" s="268"/>
      <c r="I35" s="268"/>
      <c r="J35" s="268"/>
      <c r="K35" s="268"/>
      <c r="L35" s="268"/>
      <c r="M35" s="268"/>
      <c r="N35" s="268"/>
      <c r="O35" s="268"/>
      <c r="P35" s="268"/>
      <c r="Q35" s="268"/>
      <c r="R35" s="268"/>
      <c r="S35" s="268"/>
      <c r="T35" s="268"/>
      <c r="U35" s="268"/>
      <c r="V35" s="268"/>
      <c r="W35" s="268"/>
      <c r="X35" s="268"/>
      <c r="Y35" s="268"/>
      <c r="Z35" s="268"/>
      <c r="AA35" s="268"/>
      <c r="AB35" s="268"/>
      <c r="AC35" s="289"/>
      <c r="AD35" s="423"/>
      <c r="AE35" s="268"/>
      <c r="AF35" s="268"/>
      <c r="AG35" s="268"/>
      <c r="AH35" s="424"/>
      <c r="AI35" s="268"/>
      <c r="AJ35" s="268"/>
      <c r="AK35" s="268"/>
      <c r="AL35" s="268"/>
      <c r="AM35" s="268"/>
      <c r="AN35" s="277" t="s">
        <v>93</v>
      </c>
      <c r="AO35" s="479"/>
      <c r="AP35" s="480"/>
      <c r="AQ35" s="480"/>
      <c r="AR35" s="472"/>
      <c r="AS35" s="270"/>
      <c r="AT35" s="270"/>
      <c r="AU35" s="270"/>
      <c r="AV35" s="453"/>
      <c r="AW35" s="453"/>
      <c r="AX35" s="454"/>
      <c r="AY35" s="454"/>
      <c r="BA35" s="268"/>
      <c r="BB35" s="268"/>
      <c r="BC35" s="268"/>
      <c r="BD35" s="268"/>
      <c r="BE35" s="268"/>
      <c r="BF35" s="268"/>
      <c r="BG35" s="268"/>
      <c r="BH35" s="268"/>
      <c r="BI35" s="268"/>
      <c r="BJ35" s="268"/>
      <c r="BK35" s="268"/>
      <c r="BL35" s="268"/>
      <c r="BM35" s="268"/>
      <c r="BN35" s="268"/>
      <c r="BO35" s="268"/>
      <c r="BP35" s="268"/>
      <c r="BQ35" s="268"/>
      <c r="BR35" s="268"/>
      <c r="BS35" s="268"/>
      <c r="BT35" s="268"/>
    </row>
    <row r="36" spans="1:72" ht="15.75" customHeight="1">
      <c r="A36" s="268"/>
      <c r="B36" s="268"/>
      <c r="C36" s="268"/>
      <c r="D36" s="268"/>
      <c r="E36" s="268"/>
      <c r="F36" s="268"/>
      <c r="G36" s="268"/>
      <c r="H36" s="268"/>
      <c r="I36" s="268"/>
      <c r="J36" s="268"/>
      <c r="K36" s="268"/>
      <c r="L36" s="268"/>
      <c r="M36" s="268"/>
      <c r="N36" s="268"/>
      <c r="O36" s="268"/>
      <c r="P36" s="268"/>
      <c r="Q36" s="268"/>
      <c r="R36" s="268"/>
      <c r="S36" s="268"/>
      <c r="T36" s="268"/>
      <c r="U36" s="268"/>
      <c r="V36" s="268"/>
      <c r="W36" s="268"/>
      <c r="X36" s="268"/>
      <c r="Y36" s="268"/>
      <c r="Z36" s="268"/>
      <c r="AA36" s="268"/>
      <c r="AB36" s="268"/>
      <c r="AC36" s="289" t="s">
        <v>259</v>
      </c>
      <c r="AD36" s="422">
        <f ca="1">AD34</f>
        <v>39734</v>
      </c>
      <c r="AE36" s="268"/>
      <c r="AF36" s="268"/>
      <c r="AG36" s="268"/>
      <c r="AH36" s="268"/>
      <c r="AI36" s="268"/>
      <c r="AJ36" s="268"/>
      <c r="AK36" s="268"/>
      <c r="AL36" s="268"/>
      <c r="AM36" s="268"/>
      <c r="AO36" s="293"/>
      <c r="AP36" s="294"/>
      <c r="AQ36" s="294"/>
      <c r="AR36" s="295"/>
      <c r="AS36" s="295"/>
      <c r="AT36" s="295"/>
      <c r="AU36" s="295"/>
      <c r="AV36" s="296">
        <f>$AV$3</f>
        <v>3.5000000000000003E-2</v>
      </c>
      <c r="AW36" s="297">
        <f ca="1">((AH21*PMT(AV36,D20,-AO41)*VLOOKUP(TODAY(),'UF HOY'!$A$2:$B$36,2,0))/12)+$AD$36</f>
        <v>39734</v>
      </c>
      <c r="AX36" s="297">
        <f>SIMULACION!$U$7</f>
        <v>0</v>
      </c>
      <c r="AY36" s="297">
        <f ca="1">AX36-AW36</f>
        <v>-39734</v>
      </c>
      <c r="AZ36" s="268"/>
      <c r="BA36" s="268"/>
      <c r="BB36" s="268"/>
      <c r="BC36" s="268"/>
      <c r="BD36" s="268"/>
      <c r="BE36" s="268"/>
      <c r="BF36" s="268"/>
      <c r="BG36" s="268"/>
      <c r="BH36" s="268"/>
      <c r="BI36" s="268"/>
      <c r="BJ36" s="268"/>
      <c r="BK36" s="268"/>
      <c r="BL36" s="268"/>
      <c r="BM36" s="268"/>
      <c r="BN36" s="268"/>
      <c r="BO36" s="268"/>
      <c r="BP36" s="268"/>
      <c r="BQ36" s="268"/>
      <c r="BR36" s="268"/>
      <c r="BS36" s="268"/>
      <c r="BT36" s="268"/>
    </row>
    <row r="37" spans="1:72" ht="15.75" customHeight="1">
      <c r="A37" s="268"/>
      <c r="B37" s="268"/>
      <c r="C37" s="268"/>
      <c r="D37" s="268"/>
      <c r="E37" s="268"/>
      <c r="F37" s="268"/>
      <c r="G37" s="268"/>
      <c r="H37" s="268"/>
      <c r="I37" s="268"/>
      <c r="J37" s="268"/>
      <c r="K37" s="268"/>
      <c r="L37" s="268"/>
      <c r="M37" s="268"/>
      <c r="N37" s="268"/>
      <c r="O37" s="268"/>
      <c r="P37" s="268"/>
      <c r="Q37" s="268"/>
      <c r="R37" s="268"/>
      <c r="S37" s="268"/>
      <c r="T37" s="268"/>
      <c r="U37" s="268"/>
      <c r="V37" s="268"/>
      <c r="W37" s="268"/>
      <c r="X37" s="268"/>
      <c r="Y37" s="268"/>
      <c r="Z37" s="268"/>
      <c r="AA37" s="268"/>
      <c r="AB37" s="268"/>
      <c r="AC37" s="268"/>
      <c r="AD37" s="425"/>
      <c r="AE37" s="268"/>
      <c r="AF37" s="268"/>
      <c r="AG37" s="268"/>
      <c r="AH37" s="268"/>
      <c r="AI37" s="268"/>
      <c r="AJ37" s="268"/>
      <c r="AK37" s="268"/>
      <c r="AL37" s="268"/>
      <c r="AM37" s="268"/>
      <c r="AN37" s="277"/>
      <c r="AO37" s="295"/>
      <c r="AP37" s="295"/>
      <c r="AQ37" s="295"/>
      <c r="AR37" s="295"/>
      <c r="AS37" s="295"/>
      <c r="AT37" s="295"/>
      <c r="AU37" s="295"/>
      <c r="AV37" s="310">
        <f>$AV$4</f>
        <v>0.04</v>
      </c>
      <c r="AW37" s="311">
        <f ca="1">((AH21*PMT(AV37,D20,-AO41)*VLOOKUP(TODAY(),'UF HOY'!$A$2:$B$36,2,0))/12)+$AD$36</f>
        <v>39734</v>
      </c>
      <c r="AX37" s="311">
        <f>SIMULACION!$U$7</f>
        <v>0</v>
      </c>
      <c r="AY37" s="311">
        <f t="shared" ref="AY37:AY38" ca="1" si="2">AX37-AW37</f>
        <v>-39734</v>
      </c>
      <c r="AZ37" s="268"/>
      <c r="BA37" s="268"/>
      <c r="BB37" s="268"/>
      <c r="BC37" s="268"/>
      <c r="BD37" s="268"/>
      <c r="BE37" s="268"/>
      <c r="BF37" s="268"/>
      <c r="BG37" s="268"/>
      <c r="BH37" s="268"/>
      <c r="BI37" s="268"/>
      <c r="BJ37" s="268"/>
      <c r="BK37" s="268"/>
      <c r="BL37" s="268"/>
      <c r="BM37" s="268"/>
      <c r="BN37" s="268"/>
      <c r="BO37" s="268"/>
      <c r="BP37" s="268"/>
      <c r="BQ37" s="268"/>
      <c r="BR37" s="268"/>
      <c r="BS37" s="268"/>
      <c r="BT37" s="268"/>
    </row>
    <row r="38" spans="1:72">
      <c r="A38" s="268"/>
      <c r="B38" s="268"/>
      <c r="C38" s="268"/>
      <c r="D38" s="268"/>
      <c r="E38" s="268"/>
      <c r="F38" s="268"/>
      <c r="G38" s="268"/>
      <c r="H38" s="268"/>
      <c r="I38" s="268"/>
      <c r="J38" s="268"/>
      <c r="K38" s="268"/>
      <c r="L38" s="268"/>
      <c r="M38" s="268"/>
      <c r="N38" s="268"/>
      <c r="O38" s="268"/>
      <c r="P38" s="268"/>
      <c r="Q38" s="268"/>
      <c r="R38" s="268"/>
      <c r="S38" s="268"/>
      <c r="T38" s="268"/>
      <c r="U38" s="268"/>
      <c r="V38" s="268"/>
      <c r="W38" s="268"/>
      <c r="X38" s="268"/>
      <c r="Y38" s="268"/>
      <c r="Z38" s="268"/>
      <c r="AA38" s="268"/>
      <c r="AB38" s="268"/>
      <c r="AC38" s="268"/>
      <c r="AD38" s="268"/>
      <c r="AE38" s="268"/>
      <c r="AF38" s="268"/>
      <c r="AG38" s="268"/>
      <c r="AH38" s="268"/>
      <c r="AI38" s="268"/>
      <c r="AJ38" s="268"/>
      <c r="AK38" s="268"/>
      <c r="AL38" s="268"/>
      <c r="AN38" s="315"/>
      <c r="AV38" s="296">
        <f>$AV$5</f>
        <v>4.4999999999999998E-2</v>
      </c>
      <c r="AW38" s="297">
        <f ca="1">((AH21*PMT(AV38,D20,-AO41)*VLOOKUP(TODAY(),'UF HOY'!$A$2:$B$36,2,0))/12)+$AD$36</f>
        <v>39734</v>
      </c>
      <c r="AX38" s="297">
        <f>SIMULACION!$U$7</f>
        <v>0</v>
      </c>
      <c r="AY38" s="297">
        <f t="shared" ca="1" si="2"/>
        <v>-39734</v>
      </c>
      <c r="AZ38" s="268"/>
      <c r="BA38" s="268"/>
      <c r="BB38" s="268"/>
      <c r="BC38" s="268"/>
      <c r="BD38" s="268"/>
      <c r="BE38" s="268"/>
      <c r="BF38" s="268"/>
      <c r="BG38" s="268"/>
      <c r="BH38" s="268"/>
      <c r="BI38" s="268"/>
      <c r="BJ38" s="268"/>
      <c r="BK38" s="268"/>
      <c r="BL38" s="268"/>
      <c r="BM38" s="268"/>
      <c r="BN38" s="268"/>
      <c r="BO38" s="268"/>
      <c r="BP38" s="268"/>
      <c r="BQ38" s="268"/>
      <c r="BR38" s="268"/>
      <c r="BS38" s="268"/>
      <c r="BT38" s="268"/>
    </row>
    <row r="39" spans="1:72" ht="15.75" customHeight="1">
      <c r="A39" s="268"/>
      <c r="B39" s="268"/>
      <c r="C39" s="268"/>
      <c r="D39" s="268"/>
      <c r="E39" s="268"/>
      <c r="F39" s="268"/>
      <c r="G39" s="268"/>
      <c r="H39" s="268"/>
      <c r="I39" s="268"/>
      <c r="J39" s="268"/>
      <c r="K39" s="268"/>
      <c r="L39" s="268"/>
      <c r="M39" s="268"/>
      <c r="N39" s="268"/>
      <c r="O39" s="268"/>
      <c r="P39" s="268"/>
      <c r="Q39" s="268"/>
      <c r="R39" s="268"/>
      <c r="S39" s="268"/>
      <c r="T39" s="268"/>
      <c r="U39" s="268"/>
      <c r="V39" s="268"/>
      <c r="W39" s="268"/>
      <c r="X39" s="268"/>
      <c r="Y39" s="268"/>
      <c r="Z39" s="268"/>
      <c r="AA39" s="268"/>
      <c r="AB39" s="268"/>
      <c r="AC39" s="268"/>
      <c r="AD39" s="268"/>
      <c r="AE39" s="268"/>
      <c r="AF39" s="268"/>
      <c r="AG39" s="268"/>
      <c r="AH39" s="268"/>
      <c r="AI39" s="268"/>
      <c r="AJ39" s="268"/>
      <c r="AK39" s="268"/>
      <c r="AL39" s="268"/>
      <c r="AM39" s="456" t="str">
        <f>"Simulación departamento: "&amp;AO36</f>
        <v xml:space="preserve">Simulación departamento: </v>
      </c>
      <c r="AN39" s="456"/>
      <c r="AO39" s="456"/>
      <c r="AP39" s="456"/>
      <c r="AQ39" s="456" t="str">
        <f>"Tipología: "&amp;AA12</f>
        <v xml:space="preserve">Tipología: </v>
      </c>
      <c r="AR39" s="456"/>
      <c r="AS39" s="456"/>
      <c r="AT39" s="456"/>
      <c r="AV39" s="379"/>
      <c r="AW39" s="324"/>
      <c r="AX39" s="324"/>
      <c r="AY39" s="324"/>
      <c r="AZ39" s="268"/>
      <c r="BA39" s="268"/>
      <c r="BB39" s="268"/>
      <c r="BC39" s="268"/>
      <c r="BD39" s="268"/>
      <c r="BE39" s="268"/>
      <c r="BF39" s="268"/>
      <c r="BG39" s="268"/>
      <c r="BH39" s="268"/>
      <c r="BI39" s="268"/>
      <c r="BJ39" s="268"/>
      <c r="BK39" s="268"/>
      <c r="BL39" s="268"/>
      <c r="BM39" s="268"/>
      <c r="BN39" s="268"/>
      <c r="BO39" s="268"/>
      <c r="BP39" s="268"/>
      <c r="BQ39" s="268"/>
      <c r="BR39" s="268"/>
      <c r="BS39" s="268"/>
      <c r="BT39" s="268"/>
    </row>
    <row r="40" spans="1:72">
      <c r="A40" s="268"/>
      <c r="B40" s="268"/>
      <c r="C40" s="268"/>
      <c r="D40" s="268"/>
      <c r="E40" s="268"/>
      <c r="F40" s="268"/>
      <c r="G40" s="268"/>
      <c r="H40" s="268"/>
      <c r="I40" s="268"/>
      <c r="J40" s="268"/>
      <c r="K40" s="268"/>
      <c r="L40" s="268"/>
      <c r="M40" s="268"/>
      <c r="N40" s="268"/>
      <c r="O40" s="268"/>
      <c r="P40" s="268"/>
      <c r="Q40" s="268"/>
      <c r="R40" s="268"/>
      <c r="S40" s="268"/>
      <c r="T40" s="268"/>
      <c r="U40" s="268"/>
      <c r="V40" s="268"/>
      <c r="W40" s="268"/>
      <c r="X40" s="268"/>
      <c r="Y40" s="268"/>
      <c r="Z40" s="268"/>
      <c r="AA40" s="268"/>
      <c r="AB40" s="268"/>
      <c r="AC40" s="268"/>
      <c r="AD40" s="268"/>
      <c r="AE40" s="268"/>
      <c r="AF40" s="268"/>
      <c r="AG40" s="268"/>
      <c r="AH40" s="268"/>
      <c r="AI40" s="268"/>
      <c r="AJ40" s="268"/>
      <c r="AK40" s="268"/>
      <c r="AL40" s="268"/>
      <c r="AM40" s="324"/>
      <c r="AN40" s="324"/>
      <c r="AO40" s="324"/>
      <c r="AP40" s="324"/>
      <c r="AQ40" s="324"/>
      <c r="AR40" s="324"/>
      <c r="AS40" s="324"/>
      <c r="AT40" s="324"/>
      <c r="AV40" s="387"/>
      <c r="AW40" s="387"/>
      <c r="AX40" s="387"/>
      <c r="AY40" s="387"/>
      <c r="AZ40" s="268"/>
      <c r="BA40" s="268"/>
      <c r="BB40" s="268"/>
      <c r="BC40" s="268"/>
      <c r="BD40" s="268"/>
      <c r="BE40" s="268"/>
      <c r="BF40" s="268"/>
      <c r="BG40" s="268"/>
      <c r="BH40" s="268"/>
      <c r="BI40" s="268"/>
      <c r="BJ40" s="268"/>
      <c r="BK40" s="268"/>
      <c r="BL40" s="268"/>
      <c r="BM40" s="268"/>
      <c r="BN40" s="268"/>
      <c r="BO40" s="268"/>
      <c r="BP40" s="268"/>
      <c r="BQ40" s="268"/>
      <c r="BR40" s="268"/>
      <c r="BS40" s="268"/>
      <c r="BT40" s="268"/>
    </row>
    <row r="41" spans="1:72">
      <c r="A41" s="268"/>
      <c r="B41" s="268"/>
      <c r="C41" s="268"/>
      <c r="D41" s="268"/>
      <c r="E41" s="268"/>
      <c r="F41" s="268"/>
      <c r="G41" s="268"/>
      <c r="H41" s="268"/>
      <c r="I41" s="268"/>
      <c r="J41" s="268"/>
      <c r="K41" s="268"/>
      <c r="L41" s="268"/>
      <c r="M41" s="268"/>
      <c r="N41" s="268"/>
      <c r="O41" s="268"/>
      <c r="P41" s="268"/>
      <c r="Q41" s="268"/>
      <c r="R41" s="268"/>
      <c r="S41" s="268"/>
      <c r="T41" s="268"/>
      <c r="U41" s="268"/>
      <c r="V41" s="268"/>
      <c r="W41" s="268"/>
      <c r="X41" s="268"/>
      <c r="Y41" s="268"/>
      <c r="Z41" s="268"/>
      <c r="AA41" s="268"/>
      <c r="AB41" s="268"/>
      <c r="AC41" s="268"/>
      <c r="AD41" s="268"/>
      <c r="AE41" s="268"/>
      <c r="AF41" s="268"/>
      <c r="AG41" s="268"/>
      <c r="AH41" s="268"/>
      <c r="AI41" s="268"/>
      <c r="AJ41" s="268"/>
      <c r="AK41" s="268"/>
      <c r="AL41" s="268"/>
      <c r="AM41" s="459" t="s">
        <v>79</v>
      </c>
      <c r="AN41" s="459"/>
      <c r="AO41" s="329">
        <f>AF21</f>
        <v>0</v>
      </c>
      <c r="AP41" s="459" t="s">
        <v>80</v>
      </c>
      <c r="AQ41" s="459"/>
      <c r="AR41" s="329">
        <f>AG21</f>
        <v>0</v>
      </c>
      <c r="AS41" s="459" t="s">
        <v>81</v>
      </c>
      <c r="AT41" s="459"/>
      <c r="AU41" s="330">
        <f>AH21</f>
        <v>0</v>
      </c>
      <c r="AV41" s="418"/>
      <c r="AW41" s="419"/>
      <c r="AX41" s="387"/>
      <c r="AY41" s="387"/>
      <c r="AZ41" s="268"/>
      <c r="BA41" s="268"/>
      <c r="BB41" s="268"/>
      <c r="BC41" s="268"/>
      <c r="BD41" s="268"/>
      <c r="BE41" s="268"/>
      <c r="BF41" s="268"/>
      <c r="BG41" s="268"/>
      <c r="BH41" s="268"/>
      <c r="BI41" s="268"/>
      <c r="BJ41" s="268"/>
      <c r="BK41" s="268"/>
      <c r="BL41" s="268"/>
      <c r="BM41" s="268"/>
      <c r="BN41" s="268"/>
      <c r="BO41" s="268"/>
      <c r="BP41" s="268"/>
      <c r="BQ41" s="268"/>
      <c r="BR41" s="268"/>
      <c r="BS41" s="268"/>
      <c r="BT41" s="268"/>
    </row>
    <row r="42" spans="1:72" ht="16.5" customHeight="1">
      <c r="A42" s="268"/>
      <c r="B42" s="268"/>
      <c r="C42" s="268"/>
      <c r="D42" s="268"/>
      <c r="E42" s="268"/>
      <c r="F42" s="268"/>
      <c r="G42" s="268"/>
      <c r="H42" s="268"/>
      <c r="I42" s="268"/>
      <c r="J42" s="268"/>
      <c r="K42" s="268"/>
      <c r="L42" s="268"/>
      <c r="M42" s="268"/>
      <c r="N42" s="268"/>
      <c r="O42" s="268"/>
      <c r="P42" s="268"/>
      <c r="Q42" s="268"/>
      <c r="R42" s="268"/>
      <c r="S42" s="268"/>
      <c r="T42" s="268"/>
      <c r="U42" s="268"/>
      <c r="V42" s="268"/>
      <c r="W42" s="268"/>
      <c r="X42" s="268"/>
      <c r="Y42" s="268"/>
      <c r="Z42" s="268"/>
      <c r="AA42" s="268"/>
      <c r="AB42" s="268"/>
      <c r="AC42" s="268"/>
      <c r="AD42" s="268"/>
      <c r="AE42" s="268"/>
      <c r="AF42" s="268"/>
      <c r="AG42" s="268"/>
      <c r="AH42" s="268"/>
      <c r="AI42" s="268"/>
      <c r="AJ42" s="268"/>
      <c r="AK42" s="268"/>
      <c r="AL42" s="268"/>
      <c r="AM42" s="426"/>
      <c r="AN42" s="426"/>
      <c r="AO42" s="427"/>
      <c r="AP42" s="426"/>
      <c r="AQ42" s="426"/>
      <c r="AR42" s="427"/>
      <c r="AS42" s="427"/>
      <c r="AT42" s="427"/>
      <c r="AV42" s="292"/>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row>
    <row r="43" spans="1:72" ht="16.5" customHeight="1">
      <c r="A43" s="268"/>
      <c r="B43" s="268"/>
      <c r="C43" s="268"/>
      <c r="D43" s="268"/>
      <c r="E43" s="268"/>
      <c r="F43" s="268"/>
      <c r="G43" s="268"/>
      <c r="H43" s="268"/>
      <c r="I43" s="268"/>
      <c r="J43" s="268"/>
      <c r="K43" s="268"/>
      <c r="L43" s="268"/>
      <c r="M43" s="268"/>
      <c r="N43" s="268"/>
      <c r="O43" s="268"/>
      <c r="P43" s="268"/>
      <c r="Q43" s="268"/>
      <c r="R43" s="268"/>
      <c r="S43" s="268"/>
      <c r="T43" s="268"/>
      <c r="U43" s="268"/>
      <c r="V43" s="268"/>
      <c r="W43" s="268"/>
      <c r="X43" s="268"/>
      <c r="Y43" s="268"/>
      <c r="Z43" s="268"/>
      <c r="AA43" s="268"/>
      <c r="AB43" s="268"/>
      <c r="AC43" s="268"/>
      <c r="AD43" s="268"/>
      <c r="AE43" s="268"/>
      <c r="AF43" s="268"/>
      <c r="AG43" s="268"/>
      <c r="AH43" s="268"/>
      <c r="AI43" s="268"/>
      <c r="AJ43" s="268"/>
      <c r="AK43" s="268"/>
      <c r="AL43" s="268"/>
      <c r="AM43" s="343"/>
      <c r="AN43" s="343"/>
      <c r="AO43" s="343"/>
      <c r="AP43" s="343"/>
      <c r="AQ43" s="343"/>
      <c r="AR43" s="343"/>
      <c r="AS43" s="343"/>
      <c r="AT43" s="343"/>
      <c r="AU43" s="343"/>
      <c r="AV43" s="344"/>
      <c r="AW43" s="343"/>
      <c r="AX43" s="343"/>
      <c r="AY43" s="343"/>
      <c r="AZ43" s="343"/>
      <c r="BA43" s="343"/>
      <c r="BB43" s="268"/>
      <c r="BC43" s="268"/>
      <c r="BD43" s="268"/>
      <c r="BE43" s="268"/>
      <c r="BF43" s="268"/>
      <c r="BG43" s="268"/>
      <c r="BH43" s="268"/>
      <c r="BI43" s="268"/>
      <c r="BJ43" s="268"/>
      <c r="BK43" s="268"/>
      <c r="BL43" s="268"/>
      <c r="BM43" s="268"/>
      <c r="BN43" s="268"/>
      <c r="BO43" s="268"/>
      <c r="BP43" s="268"/>
      <c r="BQ43" s="268"/>
      <c r="BR43" s="268"/>
      <c r="BS43" s="268"/>
      <c r="BT43" s="268"/>
    </row>
    <row r="44" spans="1:72">
      <c r="A44" s="268"/>
      <c r="B44" s="268"/>
      <c r="C44" s="268"/>
      <c r="D44" s="268"/>
      <c r="E44" s="268"/>
      <c r="F44" s="268"/>
      <c r="G44" s="268"/>
      <c r="H44" s="268"/>
      <c r="I44" s="268"/>
      <c r="J44" s="268"/>
      <c r="K44" s="268"/>
      <c r="L44" s="268"/>
      <c r="M44" s="268"/>
      <c r="N44" s="268"/>
      <c r="O44" s="268"/>
      <c r="P44" s="268"/>
      <c r="Q44" s="268"/>
      <c r="R44" s="268"/>
      <c r="S44" s="268"/>
      <c r="T44" s="268"/>
      <c r="U44" s="268"/>
      <c r="V44" s="268"/>
      <c r="W44" s="268"/>
      <c r="X44" s="268"/>
      <c r="Y44" s="268"/>
      <c r="Z44" s="268"/>
      <c r="AA44" s="268"/>
      <c r="AB44" s="268"/>
      <c r="AC44" s="268"/>
      <c r="AD44" s="268"/>
      <c r="AE44" s="268"/>
      <c r="AF44" s="268"/>
      <c r="AG44" s="268"/>
      <c r="AH44" s="268"/>
      <c r="AI44" s="268"/>
      <c r="AJ44" s="268"/>
      <c r="AK44" s="268"/>
      <c r="AL44" s="268"/>
      <c r="AM44" s="268"/>
      <c r="AN44" s="268"/>
      <c r="AO44" s="268"/>
      <c r="AP44" s="268"/>
      <c r="AQ44" s="268"/>
      <c r="AR44" s="268"/>
      <c r="AS44" s="268"/>
      <c r="AT44" s="268"/>
      <c r="AU44" s="268"/>
      <c r="AV44" s="291"/>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row>
    <row r="45" spans="1:72">
      <c r="A45" s="268"/>
      <c r="B45" s="268"/>
      <c r="C45" s="268"/>
      <c r="D45" s="268"/>
      <c r="E45" s="268"/>
      <c r="F45" s="268"/>
      <c r="G45" s="268"/>
      <c r="H45" s="268"/>
      <c r="I45" s="268"/>
      <c r="J45" s="268"/>
      <c r="K45" s="268"/>
      <c r="L45" s="268"/>
      <c r="M45" s="268"/>
      <c r="N45" s="268"/>
      <c r="O45" s="268"/>
      <c r="P45" s="268"/>
      <c r="Q45" s="268"/>
      <c r="R45" s="268"/>
      <c r="S45" s="268"/>
      <c r="T45" s="268"/>
      <c r="U45" s="268"/>
      <c r="V45" s="268"/>
      <c r="W45" s="268"/>
      <c r="X45" s="268"/>
      <c r="Y45" s="268"/>
      <c r="Z45" s="268"/>
      <c r="AA45" s="268"/>
      <c r="AB45" s="268"/>
      <c r="AC45" s="268"/>
      <c r="AD45" s="268"/>
      <c r="AE45" s="268"/>
      <c r="AF45" s="268"/>
      <c r="AG45" s="268"/>
      <c r="AH45" s="268"/>
      <c r="AI45" s="268"/>
      <c r="AJ45" s="268"/>
      <c r="AK45" s="268"/>
      <c r="AL45" s="268"/>
      <c r="AM45" s="268"/>
      <c r="AN45" s="277"/>
      <c r="AO45" s="479" t="s">
        <v>71</v>
      </c>
      <c r="AP45" s="480"/>
      <c r="AQ45" s="480"/>
      <c r="AR45" s="472"/>
      <c r="AS45" s="270"/>
      <c r="AT45" s="270"/>
      <c r="AU45" s="270"/>
      <c r="AV45" s="453"/>
      <c r="AW45" s="453"/>
      <c r="AX45" s="454"/>
      <c r="AY45" s="454"/>
      <c r="BA45" s="268"/>
      <c r="BB45" s="268"/>
      <c r="BC45" s="268"/>
      <c r="BD45" s="268"/>
      <c r="BE45" s="268"/>
      <c r="BF45" s="268"/>
      <c r="BG45" s="268"/>
      <c r="BH45" s="268"/>
      <c r="BI45" s="268"/>
      <c r="BJ45" s="268"/>
      <c r="BK45" s="268"/>
      <c r="BL45" s="268"/>
      <c r="BM45" s="268"/>
      <c r="BN45" s="268"/>
      <c r="BO45" s="268"/>
      <c r="BP45" s="268"/>
      <c r="BQ45" s="268"/>
      <c r="BR45" s="268"/>
      <c r="BS45" s="268"/>
      <c r="BT45" s="268"/>
    </row>
    <row r="46" spans="1:72">
      <c r="A46" s="268"/>
      <c r="B46" s="268"/>
      <c r="C46" s="268"/>
      <c r="D46" s="268"/>
      <c r="E46" s="268"/>
      <c r="F46" s="268"/>
      <c r="G46" s="268"/>
      <c r="H46" s="268"/>
      <c r="I46" s="268"/>
      <c r="J46" s="268"/>
      <c r="K46" s="268"/>
      <c r="L46" s="268"/>
      <c r="M46" s="268"/>
      <c r="N46" s="268"/>
      <c r="O46" s="268"/>
      <c r="P46" s="268"/>
      <c r="Q46" s="268"/>
      <c r="R46" s="268"/>
      <c r="S46" s="268"/>
      <c r="T46" s="268"/>
      <c r="U46" s="268"/>
      <c r="V46" s="268"/>
      <c r="W46" s="268"/>
      <c r="X46" s="268"/>
      <c r="Y46" s="268"/>
      <c r="Z46" s="268"/>
      <c r="AA46" s="268"/>
      <c r="AB46" s="268"/>
      <c r="AC46" s="268"/>
      <c r="AD46" s="268"/>
      <c r="AE46" s="268"/>
      <c r="AF46" s="268"/>
      <c r="AG46" s="268"/>
      <c r="AH46" s="268"/>
      <c r="AI46" s="268"/>
      <c r="AJ46" s="268"/>
      <c r="AK46" s="268"/>
      <c r="AL46" s="268"/>
      <c r="AM46" s="268"/>
      <c r="AN46" s="277" t="s">
        <v>94</v>
      </c>
      <c r="AO46" s="479"/>
      <c r="AP46" s="480"/>
      <c r="AQ46" s="480"/>
      <c r="AR46" s="472"/>
      <c r="AS46" s="270"/>
      <c r="AT46" s="270"/>
      <c r="AU46" s="270"/>
      <c r="AV46" s="453"/>
      <c r="AW46" s="453"/>
      <c r="AX46" s="454"/>
      <c r="AY46" s="454"/>
      <c r="BA46" s="268"/>
      <c r="BB46" s="268"/>
      <c r="BC46" s="268"/>
      <c r="BD46" s="268"/>
      <c r="BE46" s="268"/>
      <c r="BF46" s="268"/>
      <c r="BG46" s="268"/>
      <c r="BH46" s="268"/>
      <c r="BI46" s="268"/>
      <c r="BJ46" s="268"/>
      <c r="BK46" s="268"/>
      <c r="BL46" s="268"/>
      <c r="BM46" s="268"/>
      <c r="BN46" s="268"/>
      <c r="BO46" s="268"/>
      <c r="BP46" s="268"/>
      <c r="BQ46" s="268"/>
      <c r="BR46" s="268"/>
      <c r="BS46" s="268"/>
      <c r="BT46" s="268"/>
    </row>
    <row r="47" spans="1:72">
      <c r="A47" s="268"/>
      <c r="B47" s="268"/>
      <c r="C47" s="268"/>
      <c r="D47" s="268"/>
      <c r="E47" s="268"/>
      <c r="F47" s="268"/>
      <c r="G47" s="268"/>
      <c r="H47" s="268"/>
      <c r="I47" s="268"/>
      <c r="J47" s="268"/>
      <c r="K47" s="268"/>
      <c r="L47" s="268"/>
      <c r="M47" s="268"/>
      <c r="N47" s="268"/>
      <c r="O47" s="268"/>
      <c r="P47" s="268"/>
      <c r="Q47" s="268"/>
      <c r="R47" s="268"/>
      <c r="S47" s="268"/>
      <c r="T47" s="268"/>
      <c r="U47" s="268"/>
      <c r="V47" s="268"/>
      <c r="W47" s="268"/>
      <c r="X47" s="268"/>
      <c r="Y47" s="268"/>
      <c r="Z47" s="268"/>
      <c r="AA47" s="268"/>
      <c r="AB47" s="268"/>
      <c r="AC47" s="268"/>
      <c r="AD47" s="268"/>
      <c r="AE47" s="268"/>
      <c r="AF47" s="268"/>
      <c r="AG47" s="268"/>
      <c r="AH47" s="268"/>
      <c r="AI47" s="268"/>
      <c r="AJ47" s="268"/>
      <c r="AK47" s="268"/>
      <c r="AL47" s="268"/>
      <c r="AM47" s="268"/>
      <c r="AO47" s="293"/>
      <c r="AP47" s="294"/>
      <c r="AQ47" s="294"/>
      <c r="AR47" s="295"/>
      <c r="AS47" s="295"/>
      <c r="AT47" s="295"/>
      <c r="AU47" s="295"/>
      <c r="AV47" s="296">
        <f>$AV$3</f>
        <v>3.5000000000000003E-2</v>
      </c>
      <c r="AW47" s="297">
        <f ca="1">((AH22*PMT(AV47,D20,-AO52)*VLOOKUP(TODAY(),'UF HOY'!$A$2:$B$36,2,0))/12)+$AD$36</f>
        <v>39734</v>
      </c>
      <c r="AX47" s="297">
        <f>SIMULACION!$U$8</f>
        <v>0</v>
      </c>
      <c r="AY47" s="297">
        <f ca="1">AX47-AW47</f>
        <v>-39734</v>
      </c>
      <c r="AZ47" s="268"/>
      <c r="BA47" s="268"/>
      <c r="BB47" s="268"/>
      <c r="BC47" s="268"/>
      <c r="BD47" s="268"/>
      <c r="BE47" s="268"/>
      <c r="BF47" s="268"/>
      <c r="BG47" s="268"/>
      <c r="BH47" s="268"/>
      <c r="BI47" s="268"/>
      <c r="BJ47" s="268"/>
      <c r="BK47" s="268"/>
      <c r="BL47" s="268"/>
      <c r="BM47" s="268"/>
      <c r="BN47" s="268"/>
      <c r="BO47" s="268"/>
      <c r="BP47" s="268"/>
      <c r="BQ47" s="268"/>
      <c r="BR47" s="268"/>
      <c r="BS47" s="268"/>
      <c r="BT47" s="268"/>
    </row>
    <row r="48" spans="1:72">
      <c r="A48" s="268"/>
      <c r="B48" s="268"/>
      <c r="C48" s="268"/>
      <c r="D48" s="268"/>
      <c r="E48" s="268"/>
      <c r="F48" s="268"/>
      <c r="G48" s="268"/>
      <c r="H48" s="268"/>
      <c r="I48" s="268"/>
      <c r="J48" s="268"/>
      <c r="K48" s="268"/>
      <c r="L48" s="268"/>
      <c r="M48" s="268"/>
      <c r="N48" s="268"/>
      <c r="O48" s="268"/>
      <c r="P48" s="268"/>
      <c r="Q48" s="268"/>
      <c r="R48" s="268"/>
      <c r="S48" s="268"/>
      <c r="T48" s="268"/>
      <c r="U48" s="268"/>
      <c r="V48" s="268"/>
      <c r="W48" s="268"/>
      <c r="X48" s="268"/>
      <c r="Y48" s="268"/>
      <c r="Z48" s="268"/>
      <c r="AA48" s="268"/>
      <c r="AB48" s="268"/>
      <c r="AC48" s="268"/>
      <c r="AD48" s="268"/>
      <c r="AE48" s="268"/>
      <c r="AF48" s="268"/>
      <c r="AG48" s="268"/>
      <c r="AH48" s="268"/>
      <c r="AI48" s="268"/>
      <c r="AJ48" s="268"/>
      <c r="AK48" s="268"/>
      <c r="AL48" s="268"/>
      <c r="AM48" s="268"/>
      <c r="AN48" s="277"/>
      <c r="AO48" s="295"/>
      <c r="AP48" s="295"/>
      <c r="AQ48" s="295"/>
      <c r="AR48" s="295"/>
      <c r="AS48" s="295"/>
      <c r="AT48" s="295"/>
      <c r="AU48" s="295"/>
      <c r="AV48" s="310">
        <f>$AV$4</f>
        <v>0.04</v>
      </c>
      <c r="AW48" s="311">
        <f ca="1">((AH22*PMT(AV48,D20,-AO52)*VLOOKUP(TODAY(),'UF HOY'!$A$2:$B$36,2,0))/12)+$AD$36</f>
        <v>39734</v>
      </c>
      <c r="AX48" s="311">
        <f>SIMULACION!$U$8</f>
        <v>0</v>
      </c>
      <c r="AY48" s="311">
        <f ca="1">AX48-AW48</f>
        <v>-39734</v>
      </c>
      <c r="AZ48" s="268"/>
      <c r="BA48" s="268"/>
      <c r="BB48" s="268"/>
      <c r="BC48" s="268"/>
      <c r="BD48" s="268"/>
      <c r="BE48" s="268"/>
      <c r="BF48" s="268"/>
      <c r="BG48" s="268"/>
      <c r="BH48" s="268"/>
      <c r="BI48" s="268"/>
      <c r="BJ48" s="268"/>
      <c r="BK48" s="268"/>
      <c r="BL48" s="268"/>
      <c r="BM48" s="268"/>
      <c r="BN48" s="268"/>
      <c r="BO48" s="268"/>
      <c r="BP48" s="268"/>
      <c r="BQ48" s="268"/>
      <c r="BR48" s="268"/>
      <c r="BS48" s="268"/>
      <c r="BT48" s="268"/>
    </row>
    <row r="49" spans="1:72">
      <c r="A49" s="268"/>
      <c r="B49" s="268"/>
      <c r="C49" s="268"/>
      <c r="D49" s="268"/>
      <c r="E49" s="268"/>
      <c r="F49" s="268"/>
      <c r="G49" s="268"/>
      <c r="H49" s="268"/>
      <c r="I49" s="268"/>
      <c r="J49" s="268"/>
      <c r="K49" s="268"/>
      <c r="L49" s="268"/>
      <c r="M49" s="268"/>
      <c r="N49" s="268"/>
      <c r="O49" s="268"/>
      <c r="P49" s="268"/>
      <c r="Q49" s="268"/>
      <c r="R49" s="268"/>
      <c r="S49" s="268"/>
      <c r="T49" s="268"/>
      <c r="U49" s="268"/>
      <c r="V49" s="268"/>
      <c r="W49" s="268"/>
      <c r="X49" s="268"/>
      <c r="Y49" s="268"/>
      <c r="Z49" s="268"/>
      <c r="AA49" s="268"/>
      <c r="AB49" s="268"/>
      <c r="AC49" s="268"/>
      <c r="AD49" s="268"/>
      <c r="AE49" s="268"/>
      <c r="AF49" s="268"/>
      <c r="AG49" s="268"/>
      <c r="AH49" s="268"/>
      <c r="AI49" s="268"/>
      <c r="AJ49" s="268"/>
      <c r="AK49" s="268"/>
      <c r="AN49" s="315"/>
      <c r="AV49" s="296">
        <f>$AV$5</f>
        <v>4.4999999999999998E-2</v>
      </c>
      <c r="AW49" s="297">
        <f ca="1">((AH22*PMT(AV49,D20,-AO52)*VLOOKUP(TODAY(),'UF HOY'!$A$2:$B$36,2,0))/12)+$AD$36</f>
        <v>39734</v>
      </c>
      <c r="AX49" s="297">
        <f>SIMULACION!$U$8</f>
        <v>0</v>
      </c>
      <c r="AY49" s="297">
        <f t="shared" ref="AY49" ca="1" si="3">AX49-AW49</f>
        <v>-39734</v>
      </c>
      <c r="AZ49" s="268"/>
      <c r="BA49" s="268"/>
      <c r="BB49" s="268"/>
      <c r="BC49" s="268"/>
      <c r="BD49" s="268"/>
      <c r="BE49" s="268"/>
      <c r="BF49" s="268"/>
      <c r="BG49" s="268"/>
      <c r="BH49" s="268"/>
      <c r="BI49" s="268"/>
      <c r="BJ49" s="268"/>
      <c r="BK49" s="268"/>
      <c r="BL49" s="268"/>
      <c r="BM49" s="268"/>
      <c r="BN49" s="268"/>
      <c r="BO49" s="268"/>
      <c r="BP49" s="268"/>
      <c r="BQ49" s="268"/>
      <c r="BR49" s="268"/>
      <c r="BS49" s="268"/>
      <c r="BT49" s="268"/>
    </row>
    <row r="50" spans="1:72">
      <c r="A50" s="268"/>
      <c r="B50" s="268"/>
      <c r="C50" s="268"/>
      <c r="D50" s="268"/>
      <c r="E50" s="268"/>
      <c r="F50" s="268"/>
      <c r="G50" s="268"/>
      <c r="H50" s="268"/>
      <c r="I50" s="268"/>
      <c r="J50" s="268"/>
      <c r="K50" s="268"/>
      <c r="L50" s="268"/>
      <c r="M50" s="268"/>
      <c r="N50" s="268"/>
      <c r="O50" s="268"/>
      <c r="P50" s="268"/>
      <c r="Q50" s="268"/>
      <c r="R50" s="268"/>
      <c r="S50" s="268"/>
      <c r="T50" s="268"/>
      <c r="U50" s="268"/>
      <c r="V50" s="268"/>
      <c r="W50" s="268"/>
      <c r="X50" s="268"/>
      <c r="Y50" s="268"/>
      <c r="Z50" s="268"/>
      <c r="AA50" s="268"/>
      <c r="AB50" s="268"/>
      <c r="AC50" s="268"/>
      <c r="AD50" s="268"/>
      <c r="AE50" s="268"/>
      <c r="AF50" s="268"/>
      <c r="AG50" s="268"/>
      <c r="AH50" s="268"/>
      <c r="AI50" s="268"/>
      <c r="AJ50" s="268"/>
      <c r="AK50" s="268"/>
      <c r="AM50" s="456" t="str">
        <f>"Simulación departamento: "&amp;AO47</f>
        <v xml:space="preserve">Simulación departamento: </v>
      </c>
      <c r="AN50" s="456"/>
      <c r="AO50" s="456"/>
      <c r="AP50" s="456"/>
      <c r="AQ50" s="456" t="str">
        <f>"Tipología: "&amp;AA13</f>
        <v xml:space="preserve">Tipología: </v>
      </c>
      <c r="AR50" s="456"/>
      <c r="AS50" s="456"/>
      <c r="AT50" s="456"/>
      <c r="AV50" s="379"/>
      <c r="AW50" s="324"/>
      <c r="AX50" s="324"/>
      <c r="AY50" s="324"/>
      <c r="AZ50" s="268"/>
      <c r="BA50" s="268"/>
      <c r="BB50" s="268"/>
      <c r="BC50" s="268"/>
      <c r="BD50" s="268"/>
      <c r="BE50" s="268"/>
      <c r="BF50" s="268"/>
      <c r="BG50" s="268"/>
      <c r="BH50" s="268"/>
      <c r="BI50" s="268"/>
      <c r="BJ50" s="268"/>
      <c r="BK50" s="268"/>
      <c r="BL50" s="268"/>
      <c r="BM50" s="268"/>
      <c r="BN50" s="268"/>
      <c r="BO50" s="268"/>
      <c r="BP50" s="268"/>
      <c r="BQ50" s="268"/>
      <c r="BR50" s="268"/>
      <c r="BS50" s="268"/>
      <c r="BT50" s="268"/>
    </row>
    <row r="51" spans="1:72">
      <c r="A51" s="268"/>
      <c r="B51" s="268"/>
      <c r="C51" s="268"/>
      <c r="D51" s="268"/>
      <c r="E51" s="268"/>
      <c r="F51" s="268"/>
      <c r="G51" s="268"/>
      <c r="H51" s="268"/>
      <c r="I51" s="268"/>
      <c r="J51" s="268"/>
      <c r="K51" s="268"/>
      <c r="L51" s="268"/>
      <c r="M51" s="268"/>
      <c r="N51" s="268"/>
      <c r="O51" s="268"/>
      <c r="P51" s="268"/>
      <c r="Q51" s="268"/>
      <c r="R51" s="268"/>
      <c r="S51" s="268"/>
      <c r="T51" s="268"/>
      <c r="U51" s="268"/>
      <c r="V51" s="268"/>
      <c r="W51" s="268"/>
      <c r="X51" s="268"/>
      <c r="Y51" s="268"/>
      <c r="Z51" s="268"/>
      <c r="AA51" s="268"/>
      <c r="AB51" s="268"/>
      <c r="AC51" s="268"/>
      <c r="AD51" s="268"/>
      <c r="AE51" s="268"/>
      <c r="AF51" s="268"/>
      <c r="AG51" s="268"/>
      <c r="AH51" s="268"/>
      <c r="AI51" s="268"/>
      <c r="AJ51" s="268"/>
      <c r="AK51" s="268"/>
      <c r="AM51" s="324"/>
      <c r="AN51" s="324"/>
      <c r="AO51" s="324"/>
      <c r="AP51" s="324"/>
      <c r="AQ51" s="324"/>
      <c r="AR51" s="324"/>
      <c r="AS51" s="324"/>
      <c r="AT51" s="324"/>
      <c r="AV51" s="387"/>
      <c r="AW51" s="387"/>
      <c r="AX51" s="387"/>
      <c r="AY51" s="387"/>
      <c r="AZ51" s="268"/>
      <c r="BA51" s="268"/>
      <c r="BB51" s="268"/>
      <c r="BC51" s="268"/>
      <c r="BD51" s="268"/>
      <c r="BE51" s="268"/>
      <c r="BF51" s="268"/>
      <c r="BG51" s="268"/>
      <c r="BH51" s="268"/>
      <c r="BI51" s="268"/>
      <c r="BJ51" s="268"/>
      <c r="BK51" s="268"/>
      <c r="BL51" s="268"/>
      <c r="BM51" s="268"/>
      <c r="BN51" s="268"/>
      <c r="BO51" s="268"/>
      <c r="BP51" s="268"/>
      <c r="BQ51" s="268"/>
      <c r="BR51" s="268"/>
      <c r="BS51" s="268"/>
      <c r="BT51" s="268"/>
    </row>
    <row r="52" spans="1:72">
      <c r="A52" s="268"/>
      <c r="B52" s="268"/>
      <c r="C52" s="268"/>
      <c r="D52" s="268"/>
      <c r="E52" s="268"/>
      <c r="F52" s="268"/>
      <c r="G52" s="268"/>
      <c r="H52" s="268"/>
      <c r="I52" s="268"/>
      <c r="J52" s="268"/>
      <c r="K52" s="268"/>
      <c r="L52" s="268"/>
      <c r="M52" s="268"/>
      <c r="N52" s="268"/>
      <c r="O52" s="268"/>
      <c r="P52" s="268"/>
      <c r="Q52" s="268"/>
      <c r="R52" s="268"/>
      <c r="S52" s="268"/>
      <c r="T52" s="268"/>
      <c r="U52" s="268"/>
      <c r="V52" s="268"/>
      <c r="W52" s="268"/>
      <c r="X52" s="268"/>
      <c r="Y52" s="268"/>
      <c r="Z52" s="268"/>
      <c r="AA52" s="268"/>
      <c r="AB52" s="268"/>
      <c r="AC52" s="268"/>
      <c r="AD52" s="268"/>
      <c r="AE52" s="268"/>
      <c r="AF52" s="268"/>
      <c r="AG52" s="268"/>
      <c r="AH52" s="268"/>
      <c r="AI52" s="268"/>
      <c r="AJ52" s="268"/>
      <c r="AK52" s="268"/>
      <c r="AM52" s="459" t="s">
        <v>79</v>
      </c>
      <c r="AN52" s="459"/>
      <c r="AO52" s="329">
        <f>AF22</f>
        <v>0</v>
      </c>
      <c r="AP52" s="459" t="s">
        <v>80</v>
      </c>
      <c r="AQ52" s="459"/>
      <c r="AR52" s="329">
        <f>AG22</f>
        <v>0</v>
      </c>
      <c r="AS52" s="459" t="s">
        <v>81</v>
      </c>
      <c r="AT52" s="459"/>
      <c r="AU52" s="330">
        <f>AH22</f>
        <v>0</v>
      </c>
      <c r="AV52" s="418"/>
      <c r="AW52" s="419"/>
      <c r="AX52" s="387"/>
      <c r="AY52" s="387"/>
      <c r="AZ52" s="268"/>
      <c r="BA52" s="268"/>
      <c r="BB52" s="268"/>
      <c r="BC52" s="268"/>
      <c r="BD52" s="268"/>
      <c r="BE52" s="268"/>
      <c r="BF52" s="268"/>
      <c r="BG52" s="268"/>
      <c r="BH52" s="268"/>
      <c r="BI52" s="268"/>
      <c r="BJ52" s="268"/>
      <c r="BK52" s="268"/>
      <c r="BL52" s="268"/>
      <c r="BM52" s="268"/>
      <c r="BN52" s="268"/>
      <c r="BO52" s="268"/>
      <c r="BP52" s="268"/>
      <c r="BQ52" s="268"/>
      <c r="BR52" s="268"/>
      <c r="BS52" s="268"/>
      <c r="BT52" s="268"/>
    </row>
    <row r="53" spans="1:72">
      <c r="A53" s="268"/>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M53" s="426"/>
      <c r="AN53" s="426"/>
      <c r="AO53" s="427"/>
      <c r="AP53" s="426"/>
      <c r="AQ53" s="426"/>
      <c r="AR53" s="427"/>
      <c r="AS53" s="427"/>
      <c r="AT53" s="427"/>
      <c r="AV53" s="292"/>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row>
    <row r="54" spans="1:72">
      <c r="A54" s="268"/>
      <c r="B54" s="268"/>
      <c r="C54" s="268"/>
      <c r="D54" s="268"/>
      <c r="E54" s="268"/>
      <c r="F54" s="268"/>
      <c r="G54" s="268"/>
      <c r="H54" s="268"/>
      <c r="I54" s="268"/>
      <c r="J54" s="268"/>
      <c r="K54" s="268"/>
      <c r="L54" s="268"/>
      <c r="M54" s="268"/>
      <c r="N54" s="268"/>
      <c r="O54" s="268"/>
      <c r="P54" s="268"/>
      <c r="Q54" s="268"/>
      <c r="R54" s="268"/>
      <c r="S54" s="268"/>
      <c r="T54" s="268"/>
      <c r="U54" s="268"/>
      <c r="V54" s="268"/>
      <c r="W54" s="268"/>
      <c r="X54" s="268"/>
      <c r="Y54" s="268"/>
      <c r="Z54" s="268"/>
      <c r="AA54" s="268"/>
      <c r="AB54" s="268"/>
      <c r="AC54" s="268"/>
      <c r="AD54" s="268"/>
      <c r="AE54" s="268"/>
      <c r="AF54" s="268"/>
      <c r="AG54" s="268"/>
      <c r="AH54" s="268"/>
      <c r="AI54" s="268"/>
      <c r="AJ54" s="268"/>
      <c r="AK54" s="268"/>
      <c r="AV54" s="292"/>
      <c r="BB54" s="268"/>
      <c r="BC54" s="268"/>
      <c r="BD54" s="268"/>
      <c r="BE54" s="268"/>
      <c r="BF54" s="268"/>
      <c r="BG54" s="268"/>
      <c r="BH54" s="268"/>
      <c r="BI54" s="268"/>
      <c r="BJ54" s="268"/>
      <c r="BK54" s="268"/>
      <c r="BL54" s="268"/>
      <c r="BM54" s="268"/>
      <c r="BN54" s="268"/>
      <c r="BO54" s="268"/>
      <c r="BP54" s="268"/>
      <c r="BQ54" s="268"/>
      <c r="BR54" s="268"/>
      <c r="BS54" s="268"/>
      <c r="BT54" s="268"/>
    </row>
    <row r="55" spans="1:72">
      <c r="A55" s="268"/>
      <c r="B55" s="268"/>
      <c r="C55" s="268"/>
      <c r="D55" s="268"/>
      <c r="E55" s="268"/>
      <c r="F55" s="268"/>
      <c r="G55" s="268"/>
      <c r="H55" s="268"/>
      <c r="I55" s="268"/>
      <c r="J55" s="268"/>
      <c r="K55" s="268"/>
      <c r="L55" s="268"/>
      <c r="M55" s="268"/>
      <c r="N55" s="268"/>
      <c r="O55" s="268"/>
      <c r="P55" s="268"/>
      <c r="Q55" s="268"/>
      <c r="R55" s="268"/>
      <c r="S55" s="268"/>
      <c r="T55" s="268"/>
      <c r="U55" s="268"/>
      <c r="V55" s="268"/>
      <c r="W55" s="268"/>
      <c r="X55" s="268"/>
      <c r="Y55" s="268"/>
      <c r="Z55" s="268"/>
      <c r="AA55" s="268"/>
      <c r="AB55" s="268"/>
      <c r="AC55" s="268"/>
      <c r="AD55" s="268"/>
      <c r="AE55" s="268"/>
      <c r="AF55" s="268"/>
      <c r="AG55" s="268"/>
      <c r="AH55" s="268"/>
      <c r="AI55" s="268"/>
      <c r="AJ55" s="268"/>
      <c r="AK55" s="268"/>
      <c r="AV55" s="292"/>
      <c r="BB55" s="268"/>
      <c r="BC55" s="268"/>
      <c r="BD55" s="268"/>
      <c r="BE55" s="268"/>
      <c r="BF55" s="268"/>
      <c r="BG55" s="268"/>
      <c r="BH55" s="268"/>
      <c r="BI55" s="268"/>
      <c r="BJ55" s="268"/>
      <c r="BK55" s="268"/>
      <c r="BL55" s="268"/>
      <c r="BM55" s="268"/>
      <c r="BN55" s="268"/>
      <c r="BO55" s="268"/>
      <c r="BP55" s="268"/>
      <c r="BQ55" s="268"/>
      <c r="BR55" s="268"/>
      <c r="BS55" s="268"/>
      <c r="BT55" s="268"/>
    </row>
    <row r="56" spans="1:72">
      <c r="A56" s="268"/>
      <c r="B56" s="268"/>
      <c r="C56" s="268"/>
      <c r="D56" s="268"/>
      <c r="E56" s="268"/>
      <c r="F56" s="268"/>
      <c r="G56" s="268"/>
      <c r="H56" s="268"/>
      <c r="I56" s="268"/>
      <c r="J56" s="268"/>
      <c r="K56" s="268"/>
      <c r="L56" s="268"/>
      <c r="M56" s="268"/>
      <c r="N56" s="268"/>
      <c r="O56" s="268"/>
      <c r="P56" s="268"/>
      <c r="Q56" s="268"/>
      <c r="R56" s="268"/>
      <c r="S56" s="268"/>
      <c r="T56" s="268"/>
      <c r="U56" s="268"/>
      <c r="V56" s="268"/>
      <c r="W56" s="268"/>
      <c r="X56" s="268"/>
      <c r="Y56" s="268"/>
      <c r="Z56" s="268"/>
      <c r="AA56" s="268"/>
      <c r="AB56" s="268"/>
      <c r="AC56" s="268"/>
      <c r="AD56" s="268"/>
      <c r="AE56" s="268"/>
      <c r="AF56" s="268"/>
      <c r="AG56" s="268"/>
      <c r="AH56" s="268"/>
      <c r="AI56" s="268"/>
      <c r="AJ56" s="268"/>
      <c r="AK56" s="268"/>
      <c r="AL56" s="268"/>
      <c r="AM56" s="268"/>
      <c r="AN56" s="268"/>
      <c r="AO56" s="268"/>
      <c r="AP56" s="268"/>
      <c r="AQ56" s="268"/>
      <c r="AR56" s="268"/>
      <c r="AS56" s="268"/>
      <c r="AT56" s="268"/>
      <c r="AU56" s="268"/>
      <c r="AV56" s="428" t="str">
        <f ca="1">CONCATENATE("* Simulación a ",D20," años considerando la UF de hoy (UF ", TEXT(AD34,"##.###"),").")</f>
        <v>* Simulación a 30 años considerando la UF de hoy (UF 39.734).</v>
      </c>
      <c r="AW56" s="429"/>
      <c r="AX56" s="429"/>
      <c r="AY56" s="429"/>
      <c r="AZ56" s="430"/>
      <c r="BA56" s="430"/>
      <c r="BB56" s="268"/>
      <c r="BC56" s="268"/>
      <c r="BD56" s="268"/>
      <c r="BE56" s="268"/>
      <c r="BF56" s="268"/>
      <c r="BG56" s="268"/>
      <c r="BH56" s="268"/>
      <c r="BI56" s="268"/>
      <c r="BJ56" s="268"/>
      <c r="BK56" s="268"/>
      <c r="BL56" s="268"/>
      <c r="BM56" s="268"/>
      <c r="BN56" s="268"/>
      <c r="BO56" s="268"/>
      <c r="BP56" s="268"/>
      <c r="BQ56" s="268"/>
      <c r="BR56" s="268"/>
      <c r="BS56" s="268"/>
      <c r="BT56" s="268"/>
    </row>
    <row r="57" spans="1:72">
      <c r="A57" s="268"/>
      <c r="B57" s="268"/>
      <c r="C57" s="268"/>
      <c r="D57" s="268"/>
      <c r="E57" s="268"/>
      <c r="F57" s="268"/>
      <c r="G57" s="268"/>
      <c r="H57" s="268"/>
      <c r="I57" s="268"/>
      <c r="J57" s="268"/>
      <c r="K57" s="268"/>
      <c r="L57" s="268"/>
      <c r="M57" s="268"/>
      <c r="N57" s="268"/>
      <c r="O57" s="268"/>
      <c r="P57" s="268"/>
      <c r="Q57" s="268"/>
      <c r="R57" s="268"/>
      <c r="S57" s="268"/>
      <c r="T57" s="268"/>
      <c r="U57" s="268"/>
      <c r="V57" s="268"/>
      <c r="W57" s="268"/>
      <c r="X57" s="268"/>
      <c r="Y57" s="268"/>
      <c r="Z57" s="268"/>
      <c r="AA57" s="268"/>
      <c r="AB57" s="268"/>
      <c r="AC57" s="268"/>
      <c r="AD57" s="268"/>
      <c r="AE57" s="268"/>
      <c r="AF57" s="268"/>
      <c r="AG57" s="268"/>
      <c r="AH57" s="268"/>
      <c r="AI57" s="268"/>
      <c r="AJ57" s="268"/>
      <c r="AK57" s="268"/>
      <c r="AL57" s="268"/>
      <c r="AM57" s="268"/>
      <c r="AN57" s="268"/>
      <c r="AO57" s="268"/>
      <c r="AP57" s="268"/>
      <c r="AQ57" s="268"/>
      <c r="AR57" s="268"/>
      <c r="AS57" s="268"/>
      <c r="AT57" s="268"/>
      <c r="AU57" s="268"/>
      <c r="AV57" s="450" t="s">
        <v>95</v>
      </c>
      <c r="AW57" s="450"/>
      <c r="AX57" s="450"/>
      <c r="AY57" s="450"/>
      <c r="AZ57" s="450"/>
      <c r="BA57" s="450"/>
      <c r="BB57" s="268"/>
      <c r="BC57" s="268"/>
      <c r="BD57" s="268"/>
      <c r="BE57" s="268"/>
      <c r="BF57" s="268"/>
      <c r="BG57" s="268"/>
      <c r="BH57" s="268"/>
      <c r="BI57" s="268"/>
      <c r="BJ57" s="268"/>
      <c r="BK57" s="268"/>
      <c r="BL57" s="268"/>
      <c r="BM57" s="268"/>
      <c r="BN57" s="268"/>
      <c r="BO57" s="268"/>
      <c r="BP57" s="268"/>
      <c r="BQ57" s="268"/>
      <c r="BR57" s="268"/>
      <c r="BS57" s="268"/>
      <c r="BT57" s="268"/>
    </row>
    <row r="58" spans="1:72">
      <c r="A58" s="268"/>
      <c r="B58" s="268"/>
      <c r="C58" s="268"/>
      <c r="D58" s="268"/>
      <c r="E58" s="268"/>
      <c r="F58" s="268"/>
      <c r="G58" s="268"/>
      <c r="H58" s="268"/>
      <c r="I58" s="268"/>
      <c r="J58" s="268"/>
      <c r="K58" s="268"/>
      <c r="L58" s="268"/>
      <c r="M58" s="268"/>
      <c r="N58" s="268"/>
      <c r="O58" s="268"/>
      <c r="P58" s="268"/>
      <c r="Q58" s="268"/>
      <c r="R58" s="268"/>
      <c r="S58" s="268"/>
      <c r="T58" s="268"/>
      <c r="U58" s="268"/>
      <c r="V58" s="268"/>
      <c r="W58" s="268"/>
      <c r="X58" s="268"/>
      <c r="Y58" s="268"/>
      <c r="Z58" s="268"/>
      <c r="AA58" s="268"/>
      <c r="AB58" s="268"/>
      <c r="AC58" s="268"/>
      <c r="AD58" s="268"/>
      <c r="AE58" s="268"/>
      <c r="AF58" s="268"/>
      <c r="AG58" s="268"/>
      <c r="AH58" s="268"/>
      <c r="AI58" s="268"/>
      <c r="AJ58" s="268"/>
      <c r="AK58" s="268"/>
      <c r="AL58" s="268"/>
      <c r="AM58" s="268"/>
      <c r="AN58" s="268"/>
      <c r="AO58" s="268"/>
      <c r="AP58" s="268"/>
      <c r="AQ58" s="268"/>
      <c r="AR58" s="268"/>
      <c r="AS58" s="268"/>
      <c r="AT58" s="268"/>
      <c r="AU58" s="268"/>
      <c r="AV58" s="450" t="s">
        <v>312</v>
      </c>
      <c r="AW58" s="450"/>
      <c r="AX58" s="450"/>
      <c r="AY58" s="450"/>
      <c r="AZ58" s="450"/>
      <c r="BA58" s="450"/>
      <c r="BB58" s="268"/>
      <c r="BC58" s="268"/>
      <c r="BD58" s="268"/>
      <c r="BE58" s="268"/>
      <c r="BF58" s="268"/>
      <c r="BG58" s="268"/>
      <c r="BH58" s="268"/>
      <c r="BI58" s="268"/>
      <c r="BJ58" s="268"/>
      <c r="BK58" s="268"/>
      <c r="BL58" s="268"/>
      <c r="BM58" s="268"/>
      <c r="BN58" s="268"/>
      <c r="BO58" s="268"/>
      <c r="BP58" s="268"/>
      <c r="BQ58" s="268"/>
      <c r="BR58" s="268"/>
      <c r="BS58" s="268"/>
      <c r="BT58" s="268"/>
    </row>
    <row r="59" spans="1:72">
      <c r="A59" s="268"/>
      <c r="B59" s="268"/>
      <c r="C59" s="268"/>
      <c r="D59" s="268"/>
      <c r="E59" s="268"/>
      <c r="F59" s="268"/>
      <c r="G59" s="268"/>
      <c r="H59" s="268"/>
      <c r="I59" s="268"/>
      <c r="J59" s="268"/>
      <c r="K59" s="268"/>
      <c r="L59" s="268"/>
      <c r="M59" s="268"/>
      <c r="N59" s="268"/>
      <c r="O59" s="268"/>
      <c r="P59" s="268"/>
      <c r="Q59" s="268"/>
      <c r="R59" s="268"/>
      <c r="S59" s="268"/>
      <c r="T59" s="268"/>
      <c r="U59" s="268"/>
      <c r="V59" s="268"/>
      <c r="W59" s="268"/>
      <c r="X59" s="268"/>
      <c r="Y59" s="268"/>
      <c r="Z59" s="268"/>
      <c r="AA59" s="268"/>
      <c r="AB59" s="268"/>
      <c r="AC59" s="268"/>
      <c r="AD59" s="268"/>
      <c r="AE59" s="268"/>
      <c r="AF59" s="268"/>
      <c r="AG59" s="268"/>
      <c r="AH59" s="268"/>
      <c r="AI59" s="268"/>
      <c r="AJ59" s="268"/>
      <c r="AK59" s="268"/>
      <c r="AL59" s="268"/>
      <c r="AM59" s="268"/>
      <c r="AN59" s="268"/>
      <c r="AO59" s="268"/>
      <c r="AP59" s="268"/>
      <c r="AQ59" s="268"/>
      <c r="AR59" s="268"/>
      <c r="AS59" s="268"/>
      <c r="AT59" s="268"/>
      <c r="AU59" s="268"/>
      <c r="AV59" s="450" t="str" cm="1">
        <f t="array" ref="AV59">IFERROR(_xlfn.IFS(AA3="Biaut","* Dptos cuentan con arriendo garantizado por 1 año.",AA3="Carvajal ","* Dptos cuentan con arriendo garantizado por 1 año.",AA3="Don Claudio","* Dptos cuentan con arriendo garantizado por 1 año.",AA3="Don Claudio ","* Dptos cuentan con arriendo garantizado por 1 año."),"")</f>
        <v/>
      </c>
      <c r="AW59" s="450"/>
      <c r="AX59" s="450"/>
      <c r="AY59" s="450"/>
      <c r="AZ59" s="450"/>
      <c r="BA59" s="450"/>
      <c r="BB59" s="431"/>
      <c r="BC59" s="268"/>
      <c r="BD59" s="268"/>
      <c r="BE59" s="268"/>
      <c r="BF59" s="268"/>
      <c r="BG59" s="268"/>
      <c r="BH59" s="268"/>
      <c r="BI59" s="268"/>
      <c r="BJ59" s="268"/>
      <c r="BK59" s="268"/>
      <c r="BL59" s="268"/>
      <c r="BM59" s="268"/>
      <c r="BN59" s="268"/>
      <c r="BO59" s="268"/>
      <c r="BP59" s="268"/>
      <c r="BQ59" s="268"/>
      <c r="BR59" s="268"/>
      <c r="BS59" s="268"/>
      <c r="BT59" s="268"/>
    </row>
    <row r="60" spans="1:72">
      <c r="A60" s="268"/>
      <c r="B60" s="268"/>
      <c r="C60" s="268"/>
      <c r="D60" s="268"/>
      <c r="E60" s="268"/>
      <c r="F60" s="268"/>
      <c r="G60" s="268"/>
      <c r="H60" s="268"/>
      <c r="I60" s="268"/>
      <c r="J60" s="268"/>
      <c r="K60" s="268"/>
      <c r="L60" s="268"/>
      <c r="M60" s="268"/>
      <c r="N60" s="268"/>
      <c r="O60" s="268"/>
      <c r="P60" s="268"/>
      <c r="Q60" s="268"/>
      <c r="R60" s="268"/>
      <c r="S60" s="268"/>
      <c r="T60" s="268"/>
      <c r="U60" s="268"/>
      <c r="V60" s="268"/>
      <c r="W60" s="268"/>
      <c r="X60" s="268"/>
      <c r="Y60" s="268"/>
      <c r="Z60" s="268"/>
      <c r="AA60" s="268"/>
      <c r="AB60" s="268"/>
      <c r="AC60" s="268"/>
      <c r="AD60" s="268"/>
      <c r="AE60" s="268"/>
      <c r="AF60" s="268"/>
      <c r="AG60" s="268"/>
      <c r="AH60" s="268"/>
      <c r="AI60" s="268"/>
      <c r="AJ60" s="268"/>
      <c r="AK60" s="268"/>
      <c r="AL60" s="268"/>
      <c r="AM60" s="268"/>
      <c r="AN60" s="268"/>
      <c r="AO60" s="268"/>
      <c r="AP60" s="268"/>
      <c r="AQ60" s="268"/>
      <c r="AR60" s="268"/>
      <c r="AS60" s="268"/>
      <c r="AT60" s="268"/>
      <c r="AU60" s="268"/>
      <c r="AV60" s="292"/>
      <c r="BB60" s="268"/>
      <c r="BC60" s="268"/>
      <c r="BD60" s="268"/>
      <c r="BE60" s="268"/>
      <c r="BF60" s="268"/>
      <c r="BG60" s="268"/>
      <c r="BH60" s="268"/>
      <c r="BI60" s="268"/>
      <c r="BJ60" s="268"/>
      <c r="BK60" s="268"/>
      <c r="BL60" s="268"/>
      <c r="BM60" s="268"/>
      <c r="BN60" s="268"/>
      <c r="BO60" s="268"/>
      <c r="BP60" s="268"/>
      <c r="BQ60" s="268"/>
      <c r="BR60" s="268"/>
      <c r="BS60" s="268"/>
      <c r="BT60" s="268"/>
    </row>
    <row r="61" spans="1:72">
      <c r="A61" s="268"/>
      <c r="B61" s="268"/>
      <c r="C61" s="268"/>
      <c r="D61" s="268"/>
      <c r="E61" s="268"/>
      <c r="F61" s="268"/>
      <c r="G61" s="268"/>
      <c r="H61" s="268"/>
      <c r="I61" s="268"/>
      <c r="J61" s="268"/>
      <c r="K61" s="268"/>
      <c r="L61" s="268"/>
      <c r="M61" s="268"/>
      <c r="N61" s="268"/>
      <c r="O61" s="268"/>
      <c r="P61" s="268"/>
      <c r="Q61" s="268"/>
      <c r="R61" s="268"/>
      <c r="S61" s="268"/>
      <c r="T61" s="268"/>
      <c r="U61" s="268"/>
      <c r="V61" s="268"/>
      <c r="W61" s="268"/>
      <c r="X61" s="268"/>
      <c r="Y61" s="268"/>
      <c r="Z61" s="268"/>
      <c r="AA61" s="268"/>
      <c r="AB61" s="268"/>
      <c r="AC61" s="268"/>
      <c r="AD61" s="268"/>
      <c r="AE61" s="268"/>
      <c r="AF61" s="268"/>
      <c r="AG61" s="268"/>
      <c r="AH61" s="268"/>
      <c r="AI61" s="268"/>
      <c r="AJ61" s="268"/>
      <c r="AK61" s="268"/>
      <c r="AL61" s="268"/>
      <c r="AM61" s="268"/>
      <c r="AN61" s="268"/>
      <c r="AO61" s="268"/>
      <c r="AP61" s="268"/>
      <c r="AQ61" s="268"/>
      <c r="AR61" s="268"/>
      <c r="AS61" s="268"/>
      <c r="AT61" s="268"/>
      <c r="AU61" s="268"/>
      <c r="AV61" s="292"/>
      <c r="BB61" s="268"/>
      <c r="BD61" s="268"/>
      <c r="BE61" s="268"/>
      <c r="BF61" s="268"/>
      <c r="BG61" s="268"/>
      <c r="BH61" s="268"/>
      <c r="BI61" s="268"/>
      <c r="BJ61" s="268"/>
      <c r="BK61" s="268"/>
    </row>
    <row r="62" spans="1:72">
      <c r="A62" s="268"/>
      <c r="B62" s="268"/>
      <c r="C62" s="268"/>
      <c r="D62" s="268"/>
      <c r="E62" s="268"/>
      <c r="F62" s="268"/>
      <c r="G62" s="268"/>
      <c r="H62" s="268"/>
      <c r="I62" s="268"/>
      <c r="J62" s="268"/>
      <c r="K62" s="268"/>
      <c r="L62" s="268"/>
      <c r="M62" s="268"/>
      <c r="N62" s="268"/>
      <c r="O62" s="268"/>
      <c r="P62" s="268"/>
      <c r="Q62" s="268"/>
      <c r="R62" s="268"/>
      <c r="S62" s="268"/>
      <c r="T62" s="268"/>
      <c r="U62" s="268"/>
      <c r="V62" s="268"/>
      <c r="W62" s="268"/>
      <c r="X62" s="268"/>
      <c r="Y62" s="268"/>
      <c r="Z62" s="268"/>
      <c r="AA62" s="268"/>
      <c r="AB62" s="268"/>
      <c r="AC62" s="268"/>
      <c r="AD62" s="268"/>
      <c r="AE62" s="268"/>
      <c r="AF62" s="268"/>
      <c r="AG62" s="268"/>
      <c r="AH62" s="268"/>
      <c r="AI62" s="268"/>
      <c r="AJ62" s="268"/>
      <c r="AK62" s="268"/>
      <c r="AL62" s="268"/>
      <c r="AM62" s="268"/>
      <c r="AN62" s="268"/>
      <c r="AO62" s="268"/>
      <c r="AP62" s="268"/>
      <c r="AQ62" s="268"/>
      <c r="AR62" s="268"/>
      <c r="AS62" s="268"/>
      <c r="AT62" s="268"/>
      <c r="AU62" s="268"/>
      <c r="AV62" s="292"/>
      <c r="BB62" s="268"/>
      <c r="BC62" s="268"/>
      <c r="BD62" s="268"/>
      <c r="BE62" s="268"/>
      <c r="BF62" s="268"/>
      <c r="BG62" s="268"/>
      <c r="BH62" s="268"/>
      <c r="BI62" s="268"/>
      <c r="BJ62" s="268"/>
      <c r="BK62" s="268"/>
    </row>
    <row r="63" spans="1:72">
      <c r="A63" s="268"/>
      <c r="B63" s="268"/>
      <c r="C63" s="268"/>
      <c r="D63" s="268"/>
      <c r="E63" s="268"/>
      <c r="F63" s="268"/>
      <c r="G63" s="268"/>
      <c r="H63" s="268"/>
      <c r="I63" s="268"/>
      <c r="J63" s="268"/>
      <c r="K63" s="268"/>
      <c r="L63" s="268"/>
      <c r="M63" s="268"/>
      <c r="N63" s="268"/>
      <c r="O63" s="268"/>
      <c r="P63" s="268"/>
      <c r="Q63" s="268"/>
      <c r="R63" s="268"/>
      <c r="S63" s="268"/>
      <c r="T63" s="268"/>
      <c r="U63" s="268"/>
      <c r="V63" s="268"/>
      <c r="W63" s="268"/>
      <c r="X63" s="268"/>
      <c r="Y63" s="268"/>
      <c r="Z63" s="268"/>
      <c r="AA63" s="268"/>
      <c r="AB63" s="268"/>
      <c r="AC63" s="268"/>
      <c r="AD63" s="268"/>
      <c r="AE63" s="268"/>
      <c r="AF63" s="268"/>
      <c r="AG63" s="268"/>
      <c r="AH63" s="268"/>
      <c r="AI63" s="268"/>
      <c r="AJ63" s="268"/>
      <c r="AK63" s="268"/>
      <c r="AL63" s="268"/>
      <c r="AM63" s="268"/>
      <c r="AN63" s="268"/>
      <c r="AO63" s="268"/>
      <c r="AP63" s="268"/>
      <c r="AQ63" s="268"/>
      <c r="AR63" s="268"/>
      <c r="AS63" s="268"/>
      <c r="AT63" s="268"/>
      <c r="AU63" s="268"/>
      <c r="AV63" s="292"/>
      <c r="BB63" s="268"/>
      <c r="BC63" s="268"/>
      <c r="BD63" s="268"/>
      <c r="BE63" s="268"/>
      <c r="BF63" s="268"/>
      <c r="BG63" s="268"/>
      <c r="BH63" s="268"/>
      <c r="BI63" s="268"/>
      <c r="BJ63" s="268"/>
    </row>
    <row r="64" spans="1:72">
      <c r="A64" s="268"/>
      <c r="B64" s="268"/>
      <c r="C64" s="268"/>
      <c r="D64" s="268"/>
      <c r="E64" s="268"/>
      <c r="F64" s="268"/>
      <c r="G64" s="268"/>
      <c r="H64" s="268"/>
      <c r="I64" s="268"/>
      <c r="J64" s="268"/>
      <c r="K64" s="268"/>
      <c r="L64" s="268"/>
      <c r="M64" s="268"/>
      <c r="N64" s="268"/>
      <c r="O64" s="268"/>
      <c r="P64" s="268"/>
      <c r="Q64" s="268"/>
      <c r="R64" s="268"/>
      <c r="S64" s="268"/>
      <c r="T64" s="268"/>
      <c r="U64" s="268"/>
      <c r="V64" s="268"/>
      <c r="W64" s="268"/>
      <c r="X64" s="268"/>
      <c r="Y64" s="268"/>
      <c r="Z64" s="268"/>
      <c r="AA64" s="268"/>
      <c r="AB64" s="268"/>
      <c r="AC64" s="268"/>
      <c r="AD64" s="268"/>
      <c r="AE64" s="268"/>
      <c r="AF64" s="268"/>
      <c r="AG64" s="268"/>
      <c r="AH64" s="268"/>
      <c r="AI64" s="268"/>
      <c r="AJ64" s="268"/>
      <c r="AK64" s="268"/>
      <c r="AL64" s="268"/>
      <c r="AM64" s="268"/>
      <c r="AN64" s="268"/>
      <c r="AO64" s="268"/>
      <c r="AP64" s="268"/>
      <c r="AQ64" s="268"/>
      <c r="AR64" s="268"/>
      <c r="AS64" s="268"/>
      <c r="AT64" s="268"/>
      <c r="AU64" s="268"/>
      <c r="AV64" s="291"/>
      <c r="AW64" s="268"/>
      <c r="AX64" s="268"/>
      <c r="AY64" s="268"/>
      <c r="AZ64" s="268"/>
      <c r="BA64" s="268"/>
      <c r="BB64" s="268"/>
      <c r="BC64" s="268"/>
      <c r="BH64" s="268"/>
      <c r="BI64" s="268"/>
      <c r="BJ64" s="268"/>
    </row>
    <row r="65" spans="1:55">
      <c r="A65" s="268"/>
      <c r="B65" s="268"/>
      <c r="C65" s="268"/>
      <c r="D65" s="268"/>
      <c r="E65" s="268"/>
      <c r="F65" s="268"/>
      <c r="G65" s="268"/>
      <c r="H65" s="268"/>
      <c r="I65" s="268"/>
      <c r="J65" s="268"/>
      <c r="K65" s="268"/>
      <c r="L65" s="268"/>
      <c r="M65" s="268"/>
      <c r="N65" s="268"/>
      <c r="O65" s="268"/>
      <c r="P65" s="268"/>
      <c r="Q65" s="268"/>
      <c r="R65" s="268"/>
      <c r="S65" s="268"/>
      <c r="T65" s="268"/>
      <c r="U65" s="268"/>
      <c r="V65" s="268"/>
      <c r="W65" s="268"/>
      <c r="X65" s="268"/>
      <c r="Y65" s="268"/>
      <c r="Z65" s="268"/>
      <c r="AA65" s="268"/>
      <c r="AB65" s="268"/>
      <c r="AC65" s="268"/>
      <c r="AD65" s="268"/>
      <c r="AE65" s="268"/>
      <c r="AF65" s="268"/>
      <c r="AG65" s="268"/>
      <c r="AH65" s="268"/>
      <c r="AI65" s="268"/>
      <c r="AJ65" s="268"/>
      <c r="AK65" s="268"/>
      <c r="AL65" s="268"/>
      <c r="AM65" s="268"/>
      <c r="AN65" s="268"/>
      <c r="AO65" s="268"/>
      <c r="AP65" s="268"/>
      <c r="AQ65" s="268"/>
      <c r="AR65" s="268"/>
      <c r="AS65" s="268"/>
      <c r="AT65" s="268"/>
      <c r="AU65" s="268"/>
      <c r="AV65" s="291"/>
      <c r="AW65" s="268"/>
      <c r="AX65" s="268"/>
      <c r="AY65" s="268"/>
      <c r="AZ65" s="268"/>
      <c r="BA65" s="268"/>
      <c r="BB65" s="268"/>
      <c r="BC65" s="268"/>
    </row>
    <row r="66" spans="1:55">
      <c r="A66" s="268"/>
      <c r="B66" s="268"/>
      <c r="C66" s="268"/>
      <c r="D66" s="268"/>
      <c r="E66" s="268"/>
      <c r="F66" s="268"/>
      <c r="G66" s="268"/>
      <c r="H66" s="268"/>
      <c r="I66" s="268"/>
      <c r="J66" s="268"/>
      <c r="K66" s="268"/>
      <c r="L66" s="268"/>
      <c r="M66" s="268"/>
      <c r="N66" s="268"/>
      <c r="O66" s="268"/>
      <c r="P66" s="268"/>
      <c r="Q66" s="268"/>
      <c r="R66" s="268"/>
      <c r="S66" s="268"/>
      <c r="T66" s="268"/>
      <c r="U66" s="268"/>
      <c r="V66" s="268"/>
      <c r="W66" s="268"/>
      <c r="X66" s="268"/>
      <c r="Y66" s="268"/>
      <c r="Z66" s="268"/>
      <c r="AA66" s="268"/>
      <c r="AB66" s="268"/>
      <c r="AC66" s="268"/>
      <c r="AD66" s="268"/>
      <c r="AE66" s="268"/>
      <c r="AF66" s="268"/>
      <c r="AG66" s="268"/>
      <c r="AH66" s="268"/>
      <c r="AI66" s="268"/>
      <c r="AJ66" s="268"/>
      <c r="AK66" s="268"/>
      <c r="AL66" s="268"/>
      <c r="AM66" s="268"/>
      <c r="AN66" s="268"/>
      <c r="AO66" s="268"/>
      <c r="AP66" s="268"/>
      <c r="AQ66" s="268"/>
      <c r="AR66" s="268"/>
      <c r="AS66" s="268"/>
      <c r="AT66" s="268"/>
      <c r="AU66" s="268"/>
      <c r="AV66" s="291"/>
      <c r="AW66" s="268"/>
      <c r="AX66" s="268"/>
      <c r="AY66" s="268"/>
      <c r="AZ66" s="268"/>
      <c r="BA66" s="268"/>
      <c r="BB66" s="268"/>
      <c r="BC66" s="268"/>
    </row>
    <row r="67" spans="1:55">
      <c r="A67" s="268"/>
      <c r="B67" s="268"/>
      <c r="C67" s="268"/>
      <c r="D67" s="268"/>
      <c r="E67" s="268"/>
      <c r="F67" s="268"/>
      <c r="G67" s="268"/>
      <c r="H67" s="268"/>
      <c r="I67" s="268"/>
      <c r="J67" s="268"/>
      <c r="K67" s="268"/>
      <c r="L67" s="268"/>
      <c r="M67" s="268"/>
      <c r="N67" s="268"/>
      <c r="O67" s="268"/>
      <c r="P67" s="268"/>
      <c r="Q67" s="268"/>
      <c r="R67" s="268"/>
      <c r="S67" s="268"/>
      <c r="T67" s="268"/>
      <c r="U67" s="268"/>
      <c r="V67" s="268"/>
      <c r="W67" s="268"/>
      <c r="X67" s="268"/>
      <c r="Y67" s="268"/>
      <c r="Z67" s="268"/>
      <c r="AA67" s="268"/>
      <c r="AB67" s="268"/>
      <c r="AC67" s="268"/>
      <c r="AD67" s="268"/>
      <c r="AE67" s="268"/>
      <c r="AF67" s="268"/>
      <c r="AG67" s="268"/>
      <c r="AH67" s="268"/>
      <c r="AI67" s="268"/>
      <c r="AJ67" s="268"/>
      <c r="AK67" s="268"/>
      <c r="AL67" s="268"/>
      <c r="AM67" s="268"/>
      <c r="AN67" s="268"/>
      <c r="AO67" s="268"/>
      <c r="AP67" s="268"/>
      <c r="AQ67" s="268"/>
      <c r="AR67" s="268"/>
      <c r="AS67" s="268"/>
      <c r="AT67" s="268"/>
      <c r="AU67" s="268"/>
      <c r="AV67" s="291"/>
      <c r="AW67" s="268"/>
      <c r="AX67" s="268"/>
      <c r="AY67" s="268"/>
      <c r="AZ67" s="268"/>
      <c r="BA67" s="268"/>
      <c r="BB67" s="268"/>
      <c r="BC67" s="268"/>
    </row>
    <row r="68" spans="1:55">
      <c r="A68" s="268"/>
      <c r="B68" s="268"/>
      <c r="C68" s="268"/>
      <c r="D68" s="268"/>
      <c r="E68" s="268"/>
      <c r="F68" s="268"/>
      <c r="G68" s="268"/>
      <c r="H68" s="268"/>
      <c r="I68" s="268"/>
      <c r="J68" s="268"/>
      <c r="K68" s="268"/>
      <c r="L68" s="268"/>
      <c r="M68" s="268"/>
      <c r="N68" s="268"/>
      <c r="O68" s="268"/>
      <c r="P68" s="268"/>
      <c r="Q68" s="268"/>
      <c r="R68" s="268"/>
      <c r="S68" s="268"/>
      <c r="T68" s="268"/>
      <c r="U68" s="268"/>
      <c r="V68" s="268"/>
      <c r="W68" s="268"/>
      <c r="X68" s="268"/>
      <c r="Y68" s="268"/>
      <c r="Z68" s="268"/>
      <c r="AA68" s="268"/>
      <c r="AB68" s="268"/>
      <c r="AC68" s="268"/>
      <c r="AD68" s="268"/>
      <c r="AE68" s="268"/>
      <c r="AF68" s="268"/>
      <c r="AG68" s="268"/>
      <c r="AH68" s="268"/>
      <c r="AI68" s="268"/>
      <c r="AJ68" s="268"/>
      <c r="AK68" s="268"/>
      <c r="AL68" s="268"/>
      <c r="AM68" s="268"/>
      <c r="AN68" s="268"/>
      <c r="AO68" s="268"/>
      <c r="AP68" s="268"/>
      <c r="AQ68" s="268"/>
      <c r="AR68" s="268"/>
      <c r="AS68" s="268"/>
      <c r="AT68" s="268"/>
      <c r="AU68" s="268"/>
      <c r="AV68" s="291"/>
      <c r="AW68" s="268"/>
      <c r="AX68" s="268"/>
      <c r="AY68" s="268"/>
      <c r="AZ68" s="268"/>
      <c r="BA68" s="268"/>
      <c r="BB68" s="268"/>
      <c r="BC68" s="268"/>
    </row>
    <row r="69" spans="1:55">
      <c r="A69" s="268"/>
      <c r="B69" s="268"/>
      <c r="C69" s="268"/>
      <c r="D69" s="268"/>
      <c r="E69" s="268"/>
      <c r="F69" s="268"/>
      <c r="G69" s="268"/>
      <c r="H69" s="268"/>
      <c r="I69" s="268"/>
      <c r="J69" s="268"/>
      <c r="K69" s="268"/>
      <c r="L69" s="268"/>
      <c r="M69" s="268"/>
      <c r="N69" s="268"/>
      <c r="O69" s="268"/>
      <c r="P69" s="268"/>
      <c r="Q69" s="268"/>
      <c r="R69" s="268"/>
      <c r="S69" s="268"/>
      <c r="T69" s="268"/>
      <c r="U69" s="268"/>
      <c r="V69" s="268"/>
      <c r="W69" s="268"/>
      <c r="X69" s="268"/>
      <c r="Y69" s="268"/>
      <c r="Z69" s="268"/>
      <c r="AA69" s="268"/>
      <c r="AB69" s="268"/>
      <c r="AC69" s="268"/>
      <c r="AD69" s="268"/>
      <c r="AE69" s="268"/>
      <c r="AF69" s="268"/>
      <c r="AG69" s="268"/>
      <c r="AH69" s="268"/>
      <c r="AI69" s="268"/>
      <c r="AJ69" s="268"/>
      <c r="AK69" s="268"/>
      <c r="AL69" s="268"/>
      <c r="AM69" s="268"/>
      <c r="AN69" s="268"/>
      <c r="AO69" s="268"/>
      <c r="AP69" s="268"/>
      <c r="AQ69" s="268"/>
      <c r="AR69" s="268"/>
      <c r="AS69" s="268"/>
      <c r="AT69" s="268"/>
      <c r="AU69" s="268"/>
      <c r="AV69" s="291"/>
      <c r="AW69" s="268"/>
      <c r="AX69" s="268"/>
      <c r="AY69" s="268"/>
      <c r="AZ69" s="268"/>
      <c r="BA69" s="268"/>
      <c r="BB69" s="268"/>
      <c r="BC69" s="268"/>
    </row>
    <row r="70" spans="1:55">
      <c r="A70" s="268"/>
      <c r="B70" s="268"/>
      <c r="C70" s="268"/>
      <c r="D70" s="268"/>
      <c r="E70" s="268"/>
      <c r="F70" s="268"/>
      <c r="G70" s="268"/>
      <c r="H70" s="268"/>
      <c r="I70" s="268"/>
      <c r="J70" s="268"/>
      <c r="K70" s="268"/>
      <c r="L70" s="268"/>
      <c r="M70" s="268"/>
      <c r="N70" s="268"/>
      <c r="O70" s="268"/>
      <c r="P70" s="268"/>
      <c r="Q70" s="268"/>
      <c r="R70" s="268"/>
      <c r="S70" s="268"/>
      <c r="T70" s="268"/>
      <c r="U70" s="268"/>
      <c r="V70" s="268"/>
      <c r="W70" s="268"/>
      <c r="X70" s="268"/>
      <c r="Y70" s="268"/>
      <c r="Z70" s="268"/>
      <c r="AA70" s="268"/>
      <c r="AB70" s="268"/>
      <c r="AC70" s="268"/>
      <c r="AD70" s="268"/>
      <c r="AE70" s="268"/>
      <c r="AF70" s="268"/>
      <c r="AG70" s="268"/>
      <c r="AH70" s="268"/>
      <c r="AI70" s="268"/>
      <c r="AJ70" s="268"/>
      <c r="AK70" s="268"/>
      <c r="AL70" s="268"/>
      <c r="AM70" s="268"/>
      <c r="AN70" s="268"/>
      <c r="AO70" s="268"/>
      <c r="AP70" s="268"/>
      <c r="AQ70" s="268"/>
      <c r="AR70" s="268"/>
      <c r="AS70" s="268"/>
      <c r="AT70" s="268"/>
      <c r="AU70" s="268"/>
      <c r="AV70" s="291"/>
      <c r="AW70" s="268"/>
      <c r="AX70" s="268"/>
      <c r="AY70" s="268"/>
      <c r="AZ70" s="268"/>
      <c r="BA70" s="268"/>
      <c r="BB70" s="268"/>
      <c r="BC70" s="268"/>
    </row>
    <row r="71" spans="1:55">
      <c r="A71" s="268"/>
      <c r="B71" s="268"/>
      <c r="C71" s="268"/>
      <c r="D71" s="268"/>
      <c r="E71" s="268"/>
      <c r="F71" s="268"/>
      <c r="G71" s="268"/>
      <c r="H71" s="268"/>
      <c r="I71" s="268"/>
      <c r="J71" s="268"/>
      <c r="K71" s="268"/>
      <c r="L71" s="268"/>
      <c r="M71" s="268"/>
      <c r="N71" s="268"/>
      <c r="O71" s="268"/>
      <c r="P71" s="268"/>
      <c r="Q71" s="268"/>
      <c r="R71" s="268"/>
      <c r="S71" s="268"/>
      <c r="T71" s="268"/>
      <c r="U71" s="268"/>
      <c r="V71" s="268"/>
      <c r="W71" s="268"/>
      <c r="X71" s="268"/>
      <c r="Y71" s="268"/>
      <c r="Z71" s="268"/>
      <c r="AA71" s="268"/>
      <c r="AB71" s="268"/>
      <c r="AC71" s="268"/>
      <c r="AD71" s="268"/>
      <c r="AE71" s="268"/>
      <c r="AF71" s="268"/>
      <c r="AG71" s="268"/>
      <c r="AH71" s="268"/>
      <c r="AI71" s="268"/>
      <c r="AJ71" s="268"/>
      <c r="AK71" s="268"/>
      <c r="AL71" s="268"/>
      <c r="AM71" s="268"/>
      <c r="AN71" s="268"/>
      <c r="AO71" s="268"/>
      <c r="AP71" s="268"/>
      <c r="AQ71" s="268"/>
      <c r="AR71" s="268"/>
      <c r="AS71" s="268"/>
      <c r="AT71" s="268"/>
      <c r="AU71" s="268"/>
      <c r="AV71" s="291"/>
      <c r="AW71" s="268"/>
      <c r="AX71" s="268"/>
      <c r="AY71" s="268"/>
      <c r="AZ71" s="268"/>
      <c r="BA71" s="268"/>
      <c r="BB71" s="268"/>
      <c r="BC71" s="268"/>
    </row>
    <row r="72" spans="1:55">
      <c r="A72" s="268"/>
      <c r="B72" s="268"/>
      <c r="C72" s="268"/>
      <c r="D72" s="268"/>
      <c r="E72" s="268"/>
      <c r="F72" s="268"/>
      <c r="G72" s="268"/>
      <c r="H72" s="268"/>
      <c r="I72" s="268"/>
      <c r="J72" s="268"/>
      <c r="K72" s="268"/>
      <c r="L72" s="268"/>
      <c r="M72" s="268"/>
      <c r="N72" s="268"/>
      <c r="O72" s="268"/>
      <c r="P72" s="268"/>
      <c r="Q72" s="268"/>
      <c r="R72" s="268"/>
      <c r="S72" s="268"/>
      <c r="T72" s="268"/>
      <c r="U72" s="268"/>
      <c r="V72" s="268"/>
      <c r="W72" s="268"/>
      <c r="X72" s="268"/>
      <c r="Y72" s="268"/>
      <c r="Z72" s="268"/>
      <c r="AA72" s="268"/>
      <c r="AB72" s="268"/>
      <c r="AC72" s="268"/>
      <c r="AD72" s="268"/>
      <c r="AE72" s="268"/>
      <c r="AF72" s="268"/>
      <c r="AG72" s="268"/>
      <c r="AH72" s="268"/>
      <c r="AI72" s="268"/>
      <c r="AJ72" s="268"/>
      <c r="AK72" s="268"/>
      <c r="AL72" s="268"/>
      <c r="AM72" s="268"/>
      <c r="AN72" s="268"/>
      <c r="AO72" s="268"/>
      <c r="AP72" s="268"/>
      <c r="AQ72" s="268"/>
      <c r="AR72" s="268"/>
      <c r="AS72" s="268"/>
      <c r="AT72" s="268"/>
      <c r="AU72" s="268"/>
      <c r="AV72" s="291"/>
      <c r="AW72" s="268"/>
      <c r="AX72" s="268"/>
      <c r="AY72" s="268"/>
      <c r="AZ72" s="268"/>
      <c r="BA72" s="268"/>
      <c r="BB72" s="268"/>
      <c r="BC72" s="268"/>
    </row>
    <row r="73" spans="1:55">
      <c r="A73" s="268"/>
      <c r="B73" s="268"/>
      <c r="C73" s="268"/>
      <c r="D73" s="268"/>
      <c r="E73" s="268"/>
      <c r="F73" s="268"/>
      <c r="G73" s="268"/>
      <c r="H73" s="268"/>
      <c r="I73" s="268"/>
      <c r="J73" s="268"/>
      <c r="K73" s="268"/>
      <c r="L73" s="268"/>
      <c r="M73" s="268"/>
      <c r="N73" s="268"/>
      <c r="O73" s="268"/>
      <c r="P73" s="268"/>
      <c r="Q73" s="268"/>
      <c r="R73" s="268"/>
      <c r="S73" s="268"/>
      <c r="T73" s="268"/>
      <c r="U73" s="268"/>
      <c r="V73" s="268"/>
      <c r="W73" s="268"/>
      <c r="X73" s="268"/>
      <c r="Y73" s="268"/>
      <c r="Z73" s="268"/>
      <c r="AA73" s="268"/>
      <c r="AB73" s="268"/>
      <c r="AC73" s="268"/>
      <c r="AD73" s="268"/>
      <c r="AE73" s="268"/>
      <c r="AF73" s="268"/>
      <c r="AG73" s="268"/>
      <c r="AH73" s="268"/>
      <c r="AI73" s="268"/>
      <c r="AJ73" s="268"/>
      <c r="AK73" s="268"/>
      <c r="AL73" s="268"/>
      <c r="AM73" s="268"/>
      <c r="AN73" s="268"/>
      <c r="AO73" s="268"/>
      <c r="AP73" s="268"/>
      <c r="AQ73" s="268"/>
      <c r="AR73" s="268"/>
      <c r="AS73" s="268"/>
      <c r="AT73" s="268"/>
      <c r="AU73" s="268"/>
      <c r="AV73" s="291"/>
      <c r="AW73" s="268"/>
      <c r="AX73" s="268"/>
      <c r="AY73" s="268"/>
      <c r="AZ73" s="268"/>
      <c r="BA73" s="268"/>
      <c r="BB73" s="268"/>
      <c r="BC73" s="268"/>
    </row>
    <row r="74" spans="1:55">
      <c r="A74" s="268"/>
      <c r="B74" s="268"/>
      <c r="C74" s="268"/>
      <c r="D74" s="268"/>
      <c r="E74" s="268"/>
      <c r="F74" s="268"/>
      <c r="G74" s="268"/>
      <c r="H74" s="268"/>
      <c r="I74" s="268"/>
      <c r="J74" s="268"/>
      <c r="K74" s="268"/>
      <c r="L74" s="268"/>
      <c r="M74" s="268"/>
      <c r="N74" s="268"/>
      <c r="O74" s="268"/>
      <c r="P74" s="268"/>
      <c r="Q74" s="268"/>
      <c r="R74" s="268"/>
      <c r="S74" s="268"/>
      <c r="T74" s="268"/>
      <c r="U74" s="268"/>
      <c r="V74" s="268"/>
      <c r="W74" s="268"/>
      <c r="X74" s="268"/>
      <c r="Y74" s="268"/>
      <c r="Z74" s="268"/>
      <c r="AA74" s="268"/>
      <c r="AB74" s="268"/>
      <c r="AC74" s="268"/>
      <c r="AD74" s="268"/>
      <c r="AE74" s="268"/>
      <c r="AF74" s="268"/>
      <c r="AG74" s="268"/>
      <c r="AH74" s="268"/>
      <c r="AI74" s="268"/>
      <c r="AJ74" s="268"/>
      <c r="AK74" s="268"/>
      <c r="AL74" s="268"/>
      <c r="AM74" s="268"/>
      <c r="AN74" s="268"/>
      <c r="AO74" s="268"/>
      <c r="AP74" s="268"/>
      <c r="AQ74" s="268"/>
      <c r="AR74" s="268"/>
      <c r="AS74" s="268"/>
      <c r="AT74" s="268"/>
      <c r="AU74" s="268"/>
      <c r="AV74" s="291"/>
      <c r="AW74" s="268"/>
      <c r="AX74" s="268"/>
      <c r="AY74" s="268"/>
      <c r="AZ74" s="268"/>
      <c r="BA74" s="268"/>
      <c r="BB74" s="268"/>
      <c r="BC74" s="268"/>
    </row>
    <row r="75" spans="1:55">
      <c r="A75" s="268"/>
      <c r="B75" s="268"/>
      <c r="C75" s="268"/>
      <c r="D75" s="268"/>
      <c r="E75" s="268"/>
      <c r="F75" s="268"/>
      <c r="G75" s="268"/>
      <c r="H75" s="268"/>
      <c r="I75" s="268"/>
      <c r="J75" s="268"/>
      <c r="K75" s="268"/>
      <c r="L75" s="268"/>
      <c r="M75" s="268"/>
      <c r="N75" s="268"/>
      <c r="O75" s="268"/>
      <c r="P75" s="268"/>
      <c r="Q75" s="268"/>
      <c r="R75" s="268"/>
      <c r="S75" s="268"/>
      <c r="T75" s="268"/>
      <c r="U75" s="268"/>
      <c r="V75" s="268"/>
      <c r="W75" s="268"/>
      <c r="X75" s="268"/>
      <c r="Y75" s="268"/>
      <c r="Z75" s="268"/>
      <c r="AA75" s="268"/>
      <c r="AB75" s="268"/>
      <c r="AC75" s="268"/>
      <c r="AD75" s="268"/>
      <c r="AE75" s="268"/>
      <c r="AF75" s="268"/>
      <c r="AG75" s="268"/>
      <c r="AH75" s="268"/>
      <c r="AI75" s="268"/>
      <c r="AJ75" s="268"/>
      <c r="AK75" s="268"/>
      <c r="AL75" s="268"/>
      <c r="AM75" s="268"/>
      <c r="AN75" s="268"/>
      <c r="AO75" s="268"/>
      <c r="AP75" s="268"/>
      <c r="AQ75" s="268"/>
      <c r="AR75" s="268"/>
      <c r="AS75" s="268"/>
      <c r="AT75" s="268"/>
      <c r="AU75" s="268"/>
      <c r="AV75" s="291"/>
      <c r="AW75" s="268"/>
      <c r="AX75" s="268"/>
      <c r="AY75" s="268"/>
      <c r="AZ75" s="268"/>
      <c r="BA75" s="268"/>
      <c r="BB75" s="268"/>
      <c r="BC75" s="268"/>
    </row>
    <row r="76" spans="1:55">
      <c r="A76" s="268"/>
      <c r="B76" s="268"/>
      <c r="C76" s="268"/>
      <c r="D76" s="268"/>
      <c r="E76" s="268"/>
      <c r="F76" s="268"/>
      <c r="G76" s="268"/>
      <c r="H76" s="268"/>
      <c r="I76" s="268"/>
      <c r="J76" s="268"/>
      <c r="K76" s="268"/>
      <c r="L76" s="268"/>
      <c r="M76" s="268"/>
      <c r="N76" s="268"/>
      <c r="O76" s="268"/>
      <c r="P76" s="268"/>
      <c r="Q76" s="268"/>
      <c r="R76" s="268"/>
      <c r="S76" s="268"/>
      <c r="T76" s="268"/>
      <c r="U76" s="268"/>
      <c r="V76" s="268"/>
      <c r="W76" s="268"/>
      <c r="X76" s="268"/>
      <c r="Y76" s="268"/>
      <c r="Z76" s="268"/>
      <c r="AA76" s="268"/>
      <c r="AB76" s="268"/>
      <c r="AC76" s="268"/>
      <c r="AD76" s="268"/>
      <c r="AE76" s="268"/>
      <c r="AF76" s="268"/>
      <c r="AG76" s="268"/>
      <c r="AH76" s="268"/>
      <c r="AI76" s="268"/>
      <c r="AJ76" s="268"/>
      <c r="AK76" s="268"/>
      <c r="AL76" s="268"/>
      <c r="AM76" s="268"/>
      <c r="AN76" s="268"/>
      <c r="AO76" s="268"/>
      <c r="AP76" s="268"/>
      <c r="AQ76" s="268"/>
      <c r="AR76" s="268"/>
      <c r="AS76" s="268"/>
      <c r="AT76" s="268"/>
      <c r="AU76" s="268"/>
      <c r="AV76" s="291"/>
      <c r="AW76" s="268"/>
      <c r="AX76" s="268"/>
      <c r="AY76" s="268"/>
      <c r="AZ76" s="268"/>
      <c r="BA76" s="268"/>
      <c r="BB76" s="268"/>
      <c r="BC76" s="268"/>
    </row>
    <row r="77" spans="1:55">
      <c r="A77" s="268"/>
      <c r="B77" s="268"/>
      <c r="C77" s="268"/>
      <c r="D77" s="268"/>
      <c r="E77" s="268"/>
      <c r="F77" s="268"/>
      <c r="G77" s="268"/>
      <c r="H77" s="268"/>
      <c r="I77" s="268"/>
      <c r="J77" s="268"/>
      <c r="K77" s="268"/>
      <c r="L77" s="268"/>
      <c r="M77" s="268"/>
      <c r="N77" s="268"/>
      <c r="O77" s="268"/>
      <c r="P77" s="268"/>
      <c r="Q77" s="268"/>
      <c r="R77" s="268"/>
      <c r="S77" s="268"/>
      <c r="T77" s="268"/>
      <c r="U77" s="268"/>
      <c r="V77" s="268"/>
      <c r="W77" s="268"/>
      <c r="X77" s="268"/>
      <c r="Y77" s="268"/>
      <c r="Z77" s="268"/>
      <c r="AA77" s="268"/>
      <c r="AB77" s="268"/>
      <c r="AC77" s="268"/>
      <c r="AD77" s="268"/>
      <c r="AE77" s="268"/>
      <c r="AF77" s="268"/>
      <c r="AG77" s="268"/>
      <c r="AH77" s="268"/>
      <c r="AI77" s="268"/>
      <c r="AJ77" s="268"/>
      <c r="AK77" s="268"/>
      <c r="AL77" s="268"/>
      <c r="AM77" s="268"/>
      <c r="AN77" s="268"/>
      <c r="AO77" s="268"/>
      <c r="AP77" s="268"/>
      <c r="AQ77" s="268"/>
      <c r="AR77" s="268"/>
      <c r="AS77" s="268"/>
      <c r="AT77" s="268"/>
      <c r="AU77" s="268"/>
      <c r="AV77" s="291"/>
      <c r="AW77" s="268"/>
      <c r="AX77" s="268"/>
      <c r="AY77" s="268"/>
      <c r="AZ77" s="268"/>
      <c r="BA77" s="268"/>
      <c r="BB77" s="268"/>
      <c r="BC77" s="268"/>
    </row>
    <row r="78" spans="1:55">
      <c r="A78" s="268"/>
      <c r="B78" s="268"/>
      <c r="C78" s="268"/>
      <c r="D78" s="268"/>
      <c r="E78" s="268"/>
      <c r="F78" s="268"/>
      <c r="G78" s="268"/>
      <c r="H78" s="268"/>
      <c r="I78" s="268"/>
      <c r="J78" s="268"/>
      <c r="K78" s="268"/>
      <c r="L78" s="268"/>
      <c r="M78" s="268"/>
      <c r="N78" s="268"/>
      <c r="O78" s="268"/>
      <c r="P78" s="268"/>
      <c r="Q78" s="268"/>
      <c r="R78" s="268"/>
      <c r="S78" s="268"/>
      <c r="T78" s="268"/>
      <c r="U78" s="268"/>
      <c r="V78" s="268"/>
      <c r="W78" s="268"/>
      <c r="X78" s="268"/>
      <c r="Y78" s="268"/>
      <c r="Z78" s="268"/>
      <c r="AA78" s="268"/>
      <c r="AB78" s="268"/>
      <c r="AC78" s="268"/>
      <c r="AD78" s="268"/>
      <c r="AE78" s="268"/>
      <c r="AF78" s="268"/>
      <c r="AG78" s="268"/>
      <c r="AH78" s="268"/>
      <c r="AI78" s="268"/>
      <c r="AJ78" s="268"/>
      <c r="AK78" s="268"/>
      <c r="AL78" s="268"/>
      <c r="AM78" s="268"/>
      <c r="AN78" s="268"/>
      <c r="AO78" s="268"/>
      <c r="AP78" s="268"/>
      <c r="AQ78" s="268"/>
      <c r="AR78" s="268"/>
      <c r="AS78" s="268"/>
      <c r="AT78" s="268"/>
      <c r="AU78" s="268"/>
      <c r="AV78" s="291"/>
      <c r="AW78" s="268"/>
      <c r="AX78" s="268"/>
      <c r="AY78" s="268"/>
      <c r="AZ78" s="268"/>
      <c r="BA78" s="268"/>
      <c r="BB78" s="268"/>
      <c r="BC78" s="268"/>
    </row>
    <row r="79" spans="1:55">
      <c r="A79" s="268"/>
      <c r="B79" s="268"/>
      <c r="C79" s="268"/>
      <c r="D79" s="268"/>
      <c r="E79" s="268"/>
      <c r="F79" s="268"/>
      <c r="G79" s="268"/>
      <c r="H79" s="268"/>
      <c r="I79" s="268"/>
      <c r="J79" s="268"/>
      <c r="K79" s="268"/>
      <c r="L79" s="268"/>
      <c r="M79" s="268"/>
      <c r="N79" s="268"/>
      <c r="O79" s="268"/>
      <c r="P79" s="268"/>
      <c r="Q79" s="268"/>
      <c r="R79" s="268"/>
      <c r="S79" s="268"/>
      <c r="T79" s="268"/>
      <c r="U79" s="268"/>
      <c r="V79" s="268"/>
      <c r="W79" s="268"/>
      <c r="X79" s="268"/>
      <c r="Y79" s="268"/>
      <c r="Z79" s="268"/>
      <c r="AA79" s="268"/>
      <c r="AB79" s="268"/>
      <c r="AC79" s="268"/>
      <c r="AD79" s="268"/>
      <c r="AE79" s="268"/>
      <c r="AF79" s="268"/>
      <c r="AG79" s="268"/>
      <c r="AH79" s="268"/>
      <c r="AI79" s="268"/>
      <c r="AJ79" s="268"/>
      <c r="AK79" s="268"/>
      <c r="AL79" s="268"/>
      <c r="AM79" s="268"/>
      <c r="AN79" s="268"/>
      <c r="AO79" s="268"/>
      <c r="AP79" s="268"/>
      <c r="AQ79" s="268"/>
      <c r="AR79" s="268"/>
      <c r="AS79" s="268"/>
      <c r="AT79" s="268"/>
      <c r="AU79" s="268"/>
      <c r="AV79" s="291"/>
      <c r="AW79" s="268"/>
      <c r="AX79" s="268"/>
      <c r="AY79" s="268"/>
      <c r="AZ79" s="268"/>
      <c r="BA79" s="268"/>
      <c r="BB79" s="268"/>
      <c r="BC79" s="268"/>
    </row>
    <row r="80" spans="1:55">
      <c r="A80" s="268"/>
      <c r="B80" s="268"/>
      <c r="C80" s="268"/>
      <c r="D80" s="268"/>
      <c r="E80" s="268"/>
      <c r="F80" s="268"/>
      <c r="G80" s="268"/>
      <c r="H80" s="268"/>
      <c r="I80" s="268"/>
      <c r="J80" s="268"/>
      <c r="K80" s="268"/>
      <c r="L80" s="268"/>
      <c r="M80" s="268"/>
      <c r="N80" s="268"/>
      <c r="O80" s="268"/>
      <c r="P80" s="268"/>
      <c r="Q80" s="268"/>
      <c r="R80" s="268"/>
      <c r="S80" s="268"/>
      <c r="T80" s="268"/>
      <c r="U80" s="268"/>
      <c r="V80" s="268"/>
      <c r="W80" s="268"/>
      <c r="X80" s="268"/>
      <c r="Y80" s="268"/>
      <c r="Z80" s="268"/>
      <c r="AA80" s="268"/>
      <c r="AB80" s="268"/>
      <c r="AC80" s="268"/>
      <c r="AD80" s="268"/>
      <c r="AE80" s="268"/>
      <c r="AF80" s="268"/>
      <c r="AG80" s="268"/>
      <c r="AH80" s="268"/>
      <c r="AI80" s="268"/>
      <c r="AJ80" s="268"/>
      <c r="AK80" s="268"/>
      <c r="AL80" s="268"/>
      <c r="AM80" s="268"/>
      <c r="AN80" s="268"/>
      <c r="AO80" s="268"/>
      <c r="AP80" s="268"/>
      <c r="AQ80" s="268"/>
      <c r="AR80" s="268"/>
      <c r="AS80" s="268"/>
      <c r="AT80" s="268"/>
      <c r="AU80" s="268"/>
      <c r="AV80" s="291"/>
      <c r="AW80" s="268"/>
      <c r="AX80" s="268"/>
      <c r="AY80" s="268"/>
      <c r="AZ80" s="268"/>
      <c r="BA80" s="268"/>
      <c r="BB80" s="268"/>
      <c r="BC80" s="268"/>
    </row>
    <row r="81" spans="1:55">
      <c r="A81" s="268"/>
      <c r="B81" s="268"/>
      <c r="C81" s="268"/>
      <c r="D81" s="268"/>
      <c r="E81" s="268"/>
      <c r="F81" s="268"/>
      <c r="G81" s="268"/>
      <c r="H81" s="268"/>
      <c r="I81" s="268"/>
      <c r="J81" s="268"/>
      <c r="K81" s="268"/>
      <c r="L81" s="268"/>
      <c r="M81" s="268"/>
      <c r="N81" s="268"/>
      <c r="O81" s="268"/>
      <c r="P81" s="268"/>
      <c r="Q81" s="268"/>
      <c r="R81" s="268"/>
      <c r="S81" s="268"/>
      <c r="T81" s="268"/>
      <c r="U81" s="268"/>
      <c r="V81" s="268"/>
      <c r="W81" s="268"/>
      <c r="X81" s="268"/>
      <c r="Y81" s="268"/>
      <c r="Z81" s="268"/>
      <c r="AA81" s="268"/>
      <c r="AB81" s="268"/>
      <c r="AC81" s="268"/>
      <c r="AD81" s="268"/>
      <c r="AE81" s="268"/>
      <c r="AF81" s="268"/>
      <c r="AG81" s="268"/>
      <c r="AH81" s="268"/>
      <c r="AI81" s="268"/>
      <c r="AJ81" s="268"/>
      <c r="AK81" s="268"/>
      <c r="AL81" s="268"/>
      <c r="AM81" s="268"/>
      <c r="AN81" s="268"/>
      <c r="AO81" s="268"/>
      <c r="AP81" s="268"/>
      <c r="AQ81" s="268"/>
      <c r="AR81" s="268"/>
      <c r="AS81" s="268"/>
      <c r="AT81" s="268"/>
      <c r="AU81" s="268"/>
      <c r="AV81" s="268"/>
      <c r="AW81" s="268"/>
      <c r="AX81" s="268"/>
      <c r="AY81" s="268"/>
      <c r="AZ81" s="268"/>
      <c r="BA81" s="268"/>
      <c r="BB81" s="268"/>
      <c r="BC81" s="268"/>
    </row>
    <row r="82" spans="1:55">
      <c r="A82" s="268"/>
      <c r="B82" s="268"/>
      <c r="C82" s="268"/>
      <c r="D82" s="268"/>
      <c r="E82" s="268"/>
      <c r="F82" s="268"/>
      <c r="G82" s="268"/>
      <c r="H82" s="268"/>
      <c r="I82" s="268"/>
      <c r="J82" s="268"/>
      <c r="K82" s="268"/>
      <c r="L82" s="268"/>
      <c r="M82" s="268"/>
      <c r="N82" s="268"/>
      <c r="O82" s="268"/>
      <c r="P82" s="268"/>
      <c r="Q82" s="268"/>
      <c r="R82" s="268"/>
      <c r="S82" s="268"/>
      <c r="T82" s="268"/>
      <c r="U82" s="268"/>
      <c r="V82" s="268"/>
      <c r="W82" s="268"/>
      <c r="X82" s="268"/>
      <c r="Y82" s="268"/>
      <c r="Z82" s="268"/>
      <c r="AA82" s="268"/>
      <c r="AB82" s="268"/>
      <c r="AC82" s="268"/>
      <c r="AD82" s="268"/>
      <c r="AE82" s="268"/>
      <c r="AF82" s="268"/>
      <c r="AG82" s="268"/>
      <c r="AH82" s="268"/>
      <c r="AI82" s="268"/>
      <c r="AJ82" s="268"/>
      <c r="AK82" s="268"/>
      <c r="AL82" s="268"/>
      <c r="AM82" s="268"/>
      <c r="AN82" s="268"/>
      <c r="AO82" s="268"/>
      <c r="AP82" s="268"/>
      <c r="AQ82" s="268"/>
      <c r="AR82" s="268"/>
      <c r="AS82" s="268"/>
      <c r="AT82" s="268"/>
      <c r="AU82" s="268"/>
      <c r="AV82" s="268"/>
      <c r="AW82" s="268"/>
      <c r="AX82" s="268"/>
      <c r="AY82" s="268"/>
      <c r="AZ82" s="268"/>
      <c r="BA82" s="268"/>
      <c r="BB82" s="268"/>
      <c r="BC82" s="268"/>
    </row>
    <row r="83" spans="1:55">
      <c r="A83" s="268"/>
      <c r="B83" s="268"/>
      <c r="C83" s="268"/>
      <c r="D83" s="268"/>
      <c r="E83" s="268"/>
      <c r="F83" s="268"/>
      <c r="G83" s="268"/>
      <c r="H83" s="268"/>
      <c r="I83" s="268"/>
      <c r="J83" s="268"/>
      <c r="K83" s="268"/>
      <c r="L83" s="268"/>
      <c r="M83" s="268"/>
      <c r="N83" s="268"/>
      <c r="O83" s="268"/>
      <c r="P83" s="268"/>
      <c r="Q83" s="268"/>
      <c r="R83" s="268"/>
      <c r="S83" s="268"/>
      <c r="T83" s="268"/>
      <c r="U83" s="268"/>
      <c r="V83" s="268"/>
      <c r="W83" s="268"/>
      <c r="X83" s="268"/>
      <c r="Y83" s="268"/>
      <c r="Z83" s="268"/>
      <c r="AA83" s="268"/>
      <c r="AB83" s="268"/>
      <c r="AC83" s="268"/>
      <c r="AD83" s="268"/>
      <c r="AE83" s="268"/>
      <c r="AF83" s="268"/>
      <c r="AG83" s="268"/>
      <c r="AH83" s="268"/>
      <c r="AI83" s="268"/>
      <c r="AJ83" s="268"/>
      <c r="AK83" s="268"/>
      <c r="AL83" s="268"/>
      <c r="AM83" s="268"/>
      <c r="AN83" s="268"/>
      <c r="AO83" s="268"/>
      <c r="AP83" s="268"/>
      <c r="AQ83" s="268"/>
      <c r="AR83" s="268"/>
      <c r="AS83" s="268"/>
      <c r="AT83" s="268"/>
      <c r="AU83" s="268"/>
      <c r="AV83" s="268"/>
      <c r="AW83" s="268"/>
      <c r="AX83" s="268"/>
      <c r="AY83" s="268"/>
      <c r="AZ83" s="268"/>
      <c r="BA83" s="268"/>
      <c r="BB83" s="268"/>
      <c r="BC83" s="268"/>
    </row>
    <row r="84" spans="1:55">
      <c r="A84" s="268"/>
      <c r="B84" s="268"/>
      <c r="C84" s="268"/>
      <c r="D84" s="268"/>
      <c r="E84" s="268"/>
      <c r="F84" s="268"/>
      <c r="G84" s="268"/>
      <c r="H84" s="268"/>
      <c r="I84" s="268"/>
      <c r="J84" s="268"/>
      <c r="K84" s="268"/>
      <c r="L84" s="268"/>
      <c r="M84" s="268"/>
      <c r="N84" s="268"/>
      <c r="O84" s="268"/>
      <c r="P84" s="268"/>
      <c r="Q84" s="268"/>
      <c r="R84" s="268"/>
      <c r="S84" s="268"/>
      <c r="T84" s="268"/>
      <c r="U84" s="268"/>
      <c r="V84" s="268"/>
      <c r="W84" s="268"/>
      <c r="X84" s="268"/>
      <c r="Y84" s="268"/>
      <c r="Z84" s="268"/>
      <c r="AA84" s="268"/>
      <c r="AB84" s="268"/>
      <c r="AC84" s="268"/>
      <c r="AD84" s="268"/>
      <c r="AE84" s="268"/>
      <c r="AF84" s="268"/>
      <c r="AG84" s="268"/>
      <c r="AH84" s="268"/>
      <c r="AI84" s="268"/>
      <c r="AJ84" s="268"/>
      <c r="AK84" s="268"/>
      <c r="AL84" s="268"/>
      <c r="AM84" s="268"/>
      <c r="AN84" s="268"/>
      <c r="AO84" s="268"/>
      <c r="AP84" s="268"/>
      <c r="AQ84" s="268"/>
      <c r="AR84" s="268"/>
      <c r="AS84" s="268"/>
      <c r="AT84" s="268"/>
      <c r="AU84" s="268"/>
      <c r="AV84" s="268"/>
      <c r="AW84" s="268"/>
      <c r="AX84" s="268"/>
      <c r="AY84" s="268"/>
      <c r="AZ84" s="268"/>
      <c r="BA84" s="268"/>
      <c r="BB84" s="268"/>
      <c r="BC84" s="268"/>
    </row>
    <row r="85" spans="1:55">
      <c r="A85" s="268"/>
      <c r="B85" s="268"/>
      <c r="C85" s="268"/>
      <c r="D85" s="268"/>
      <c r="E85" s="268"/>
      <c r="F85" s="268"/>
      <c r="G85" s="268"/>
      <c r="H85" s="268"/>
      <c r="I85" s="268"/>
      <c r="J85" s="268"/>
      <c r="K85" s="268"/>
      <c r="L85" s="268"/>
      <c r="M85" s="268"/>
      <c r="N85" s="268"/>
      <c r="O85" s="268"/>
      <c r="P85" s="268"/>
      <c r="Q85" s="268"/>
      <c r="R85" s="268"/>
      <c r="S85" s="268"/>
      <c r="T85" s="268"/>
      <c r="U85" s="268"/>
      <c r="V85" s="268"/>
      <c r="W85" s="268"/>
      <c r="X85" s="268"/>
      <c r="Y85" s="268"/>
      <c r="Z85" s="268"/>
      <c r="AA85" s="268"/>
      <c r="AB85" s="268"/>
      <c r="AC85" s="268"/>
      <c r="AD85" s="268"/>
      <c r="AE85" s="268"/>
      <c r="AF85" s="268"/>
      <c r="AG85" s="268"/>
      <c r="AH85" s="268"/>
      <c r="AI85" s="268"/>
      <c r="AJ85" s="268"/>
      <c r="AK85" s="268"/>
      <c r="AL85" s="268"/>
      <c r="AM85" s="268"/>
      <c r="AN85" s="268"/>
      <c r="AO85" s="268"/>
      <c r="AP85" s="268"/>
      <c r="AQ85" s="268"/>
      <c r="AR85" s="268"/>
      <c r="AS85" s="268"/>
      <c r="AT85" s="268"/>
      <c r="AU85" s="268"/>
      <c r="AV85" s="268"/>
      <c r="AW85" s="268"/>
      <c r="AX85" s="268"/>
      <c r="AY85" s="268"/>
      <c r="AZ85" s="268"/>
      <c r="BA85" s="268"/>
      <c r="BB85" s="268"/>
      <c r="BC85" s="268"/>
    </row>
    <row r="86" spans="1:55">
      <c r="A86" s="268"/>
      <c r="B86" s="268"/>
      <c r="C86" s="268"/>
      <c r="D86" s="268"/>
      <c r="E86" s="268"/>
      <c r="F86" s="268"/>
      <c r="G86" s="268"/>
      <c r="H86" s="268"/>
      <c r="I86" s="268"/>
      <c r="J86" s="268"/>
      <c r="K86" s="268"/>
      <c r="L86" s="268"/>
      <c r="M86" s="268"/>
      <c r="N86" s="268"/>
      <c r="O86" s="268"/>
      <c r="P86" s="268"/>
      <c r="Q86" s="268"/>
      <c r="R86" s="268"/>
      <c r="S86" s="268"/>
      <c r="T86" s="268"/>
      <c r="U86" s="268"/>
      <c r="V86" s="268"/>
      <c r="W86" s="268"/>
      <c r="X86" s="268"/>
      <c r="Y86" s="268"/>
      <c r="Z86" s="268"/>
      <c r="AA86" s="268"/>
      <c r="AB86" s="268"/>
      <c r="AC86" s="268"/>
      <c r="AD86" s="268"/>
      <c r="AE86" s="268"/>
      <c r="AF86" s="268"/>
      <c r="AG86" s="268"/>
      <c r="AH86" s="268"/>
      <c r="AI86" s="268"/>
      <c r="AJ86" s="268"/>
      <c r="AK86" s="268"/>
      <c r="AL86" s="268"/>
      <c r="AM86" s="268"/>
      <c r="AN86" s="268"/>
      <c r="AO86" s="268"/>
      <c r="AP86" s="268"/>
      <c r="AQ86" s="268"/>
      <c r="AR86" s="268"/>
      <c r="AS86" s="268"/>
      <c r="AT86" s="268"/>
      <c r="AU86" s="268"/>
      <c r="AV86" s="268"/>
      <c r="AW86" s="268"/>
      <c r="AX86" s="268"/>
      <c r="AY86" s="268"/>
      <c r="AZ86" s="268"/>
      <c r="BA86" s="268"/>
      <c r="BB86" s="268"/>
      <c r="BC86" s="268"/>
    </row>
    <row r="87" spans="1:55">
      <c r="A87" s="268"/>
      <c r="B87" s="268"/>
      <c r="C87" s="268"/>
      <c r="D87" s="268"/>
      <c r="E87" s="268"/>
      <c r="F87" s="268"/>
      <c r="G87" s="268"/>
      <c r="H87" s="268"/>
      <c r="I87" s="268"/>
      <c r="J87" s="268"/>
      <c r="K87" s="268"/>
      <c r="L87" s="268"/>
      <c r="M87" s="268"/>
      <c r="N87" s="268"/>
      <c r="O87" s="268"/>
      <c r="P87" s="268"/>
      <c r="Q87" s="268"/>
      <c r="R87" s="268"/>
      <c r="S87" s="268"/>
      <c r="T87" s="268"/>
      <c r="U87" s="268"/>
      <c r="V87" s="268"/>
      <c r="W87" s="268"/>
      <c r="X87" s="268"/>
      <c r="Y87" s="268"/>
      <c r="Z87" s="268"/>
      <c r="AA87" s="268"/>
      <c r="AB87" s="268"/>
      <c r="AC87" s="268"/>
      <c r="AD87" s="268"/>
      <c r="AE87" s="268"/>
      <c r="AF87" s="268"/>
      <c r="AG87" s="268"/>
      <c r="AH87" s="268"/>
      <c r="AI87" s="268"/>
      <c r="AJ87" s="268"/>
      <c r="AK87" s="268"/>
      <c r="AL87" s="268"/>
      <c r="AM87" s="268"/>
      <c r="AN87" s="268"/>
      <c r="AO87" s="268"/>
      <c r="AP87" s="268"/>
      <c r="AQ87" s="268"/>
      <c r="AR87" s="268"/>
      <c r="AS87" s="268"/>
      <c r="AT87" s="268"/>
      <c r="AU87" s="268"/>
      <c r="AV87" s="268"/>
      <c r="AW87" s="268"/>
      <c r="AX87" s="268"/>
      <c r="AY87" s="268"/>
      <c r="AZ87" s="268"/>
      <c r="BA87" s="268"/>
      <c r="BB87" s="268"/>
      <c r="BC87" s="268"/>
    </row>
    <row r="88" spans="1:55">
      <c r="A88" s="268"/>
      <c r="B88" s="268"/>
      <c r="C88" s="268"/>
      <c r="D88" s="268"/>
      <c r="E88" s="268"/>
      <c r="F88" s="268"/>
      <c r="G88" s="268"/>
      <c r="H88" s="268"/>
      <c r="I88" s="268"/>
      <c r="J88" s="268"/>
      <c r="K88" s="268"/>
      <c r="L88" s="268"/>
      <c r="M88" s="268"/>
      <c r="N88" s="268"/>
      <c r="O88" s="268"/>
      <c r="P88" s="268"/>
      <c r="Q88" s="268"/>
      <c r="R88" s="268"/>
      <c r="S88" s="268"/>
      <c r="T88" s="268"/>
      <c r="U88" s="268"/>
      <c r="V88" s="268"/>
      <c r="W88" s="268"/>
      <c r="X88" s="268"/>
      <c r="Y88" s="268"/>
      <c r="Z88" s="268"/>
      <c r="AA88" s="268"/>
      <c r="AB88" s="268"/>
      <c r="AC88" s="268"/>
      <c r="AD88" s="268"/>
      <c r="AE88" s="268"/>
      <c r="AF88" s="268"/>
      <c r="AG88" s="268"/>
      <c r="AH88" s="268"/>
      <c r="AI88" s="268"/>
      <c r="AJ88" s="268"/>
      <c r="AK88" s="268"/>
      <c r="AL88" s="268"/>
      <c r="AM88" s="268"/>
      <c r="AN88" s="268"/>
      <c r="AO88" s="268"/>
      <c r="AP88" s="268"/>
      <c r="AQ88" s="268"/>
      <c r="AR88" s="268"/>
      <c r="AS88" s="268"/>
      <c r="AT88" s="268"/>
      <c r="AU88" s="268"/>
      <c r="AV88" s="268"/>
      <c r="AW88" s="268"/>
      <c r="AX88" s="268"/>
      <c r="AY88" s="268"/>
      <c r="AZ88" s="268"/>
      <c r="BA88" s="268"/>
      <c r="BB88" s="268"/>
      <c r="BC88" s="268"/>
    </row>
    <row r="89" spans="1:55">
      <c r="A89" s="268"/>
      <c r="B89" s="268"/>
      <c r="C89" s="268"/>
      <c r="D89" s="268"/>
      <c r="E89" s="268"/>
      <c r="F89" s="268"/>
      <c r="G89" s="268"/>
      <c r="H89" s="268"/>
      <c r="I89" s="268"/>
      <c r="J89" s="268"/>
      <c r="K89" s="268"/>
      <c r="L89" s="268"/>
      <c r="M89" s="268"/>
      <c r="N89" s="268"/>
      <c r="O89" s="268"/>
      <c r="P89" s="268"/>
      <c r="Q89" s="268"/>
      <c r="R89" s="268"/>
      <c r="S89" s="268"/>
      <c r="T89" s="268"/>
      <c r="U89" s="268"/>
      <c r="V89" s="268"/>
      <c r="W89" s="268"/>
      <c r="X89" s="268"/>
      <c r="Y89" s="268"/>
      <c r="Z89" s="268"/>
      <c r="AA89" s="268"/>
      <c r="AB89" s="268"/>
      <c r="AC89" s="268"/>
      <c r="AD89" s="268"/>
      <c r="AE89" s="268"/>
      <c r="AF89" s="268"/>
      <c r="AG89" s="268"/>
      <c r="AH89" s="268"/>
      <c r="AI89" s="268"/>
      <c r="AJ89" s="268"/>
      <c r="AK89" s="268"/>
      <c r="AL89" s="268"/>
      <c r="AM89" s="268"/>
      <c r="AN89" s="268"/>
      <c r="AO89" s="268"/>
      <c r="AP89" s="268"/>
      <c r="AQ89" s="268"/>
      <c r="AR89" s="268"/>
      <c r="AS89" s="268"/>
      <c r="AT89" s="268"/>
      <c r="AU89" s="268"/>
      <c r="AV89" s="268"/>
      <c r="AW89" s="268"/>
      <c r="AX89" s="268"/>
      <c r="AY89" s="268"/>
      <c r="AZ89" s="268"/>
      <c r="BA89" s="268"/>
      <c r="BB89" s="268"/>
      <c r="BC89" s="268"/>
    </row>
    <row r="90" spans="1:55">
      <c r="A90" s="268"/>
      <c r="B90" s="268"/>
      <c r="C90" s="268"/>
      <c r="D90" s="268"/>
      <c r="E90" s="268"/>
      <c r="F90" s="268"/>
      <c r="G90" s="268"/>
      <c r="H90" s="268"/>
      <c r="I90" s="268"/>
      <c r="J90" s="268"/>
      <c r="K90" s="268"/>
      <c r="L90" s="268"/>
      <c r="M90" s="268"/>
      <c r="N90" s="268"/>
      <c r="O90" s="268"/>
      <c r="P90" s="268"/>
      <c r="Q90" s="268"/>
      <c r="R90" s="268"/>
      <c r="S90" s="268"/>
      <c r="T90" s="268"/>
      <c r="U90" s="268"/>
      <c r="V90" s="268"/>
      <c r="W90" s="268"/>
      <c r="X90" s="268"/>
      <c r="Y90" s="268"/>
      <c r="Z90" s="268"/>
      <c r="AA90" s="268"/>
      <c r="AB90" s="268"/>
      <c r="AC90" s="268"/>
      <c r="AD90" s="268"/>
      <c r="AE90" s="268"/>
      <c r="AF90" s="268"/>
      <c r="AG90" s="268"/>
      <c r="AH90" s="268"/>
      <c r="AI90" s="268"/>
      <c r="AJ90" s="268"/>
      <c r="AK90" s="268"/>
      <c r="AL90" s="268"/>
      <c r="AM90" s="268"/>
      <c r="AN90" s="268"/>
      <c r="AO90" s="268"/>
      <c r="AP90" s="268"/>
      <c r="AQ90" s="268"/>
      <c r="AR90" s="268"/>
      <c r="AS90" s="268"/>
      <c r="AT90" s="268"/>
      <c r="AU90" s="268"/>
      <c r="AV90" s="268"/>
      <c r="AW90" s="268"/>
      <c r="AX90" s="268"/>
      <c r="AY90" s="268"/>
      <c r="AZ90" s="268"/>
      <c r="BA90" s="268"/>
      <c r="BB90" s="268"/>
      <c r="BC90" s="268"/>
    </row>
    <row r="91" spans="1:55">
      <c r="A91" s="268"/>
      <c r="B91" s="268"/>
      <c r="C91" s="268"/>
      <c r="D91" s="268"/>
      <c r="E91" s="268"/>
      <c r="F91" s="268"/>
      <c r="G91" s="268"/>
      <c r="H91" s="268"/>
      <c r="I91" s="268"/>
      <c r="J91" s="268"/>
      <c r="K91" s="268"/>
      <c r="L91" s="268"/>
      <c r="M91" s="268"/>
      <c r="N91" s="268"/>
      <c r="O91" s="268"/>
      <c r="P91" s="268"/>
      <c r="Q91" s="268"/>
      <c r="R91" s="268"/>
      <c r="S91" s="268"/>
      <c r="T91" s="268"/>
      <c r="U91" s="268"/>
      <c r="V91" s="268"/>
      <c r="W91" s="268"/>
      <c r="X91" s="268"/>
      <c r="Y91" s="268"/>
      <c r="Z91" s="268"/>
      <c r="AA91" s="268"/>
      <c r="AB91" s="268"/>
      <c r="AC91" s="268"/>
      <c r="AD91" s="268"/>
      <c r="AE91" s="268"/>
      <c r="AF91" s="268"/>
      <c r="AG91" s="268"/>
      <c r="AH91" s="268"/>
      <c r="AI91" s="268"/>
      <c r="AJ91" s="268"/>
      <c r="AK91" s="268"/>
      <c r="AL91" s="268"/>
      <c r="AM91" s="268"/>
      <c r="AN91" s="268"/>
      <c r="AO91" s="268"/>
      <c r="AP91" s="268"/>
      <c r="AQ91" s="268"/>
      <c r="AR91" s="268"/>
      <c r="AS91" s="268"/>
      <c r="AT91" s="268"/>
      <c r="AU91" s="268"/>
      <c r="AV91" s="268"/>
      <c r="AW91" s="268"/>
      <c r="AX91" s="268"/>
      <c r="AY91" s="268"/>
      <c r="AZ91" s="268"/>
      <c r="BA91" s="268"/>
      <c r="BB91" s="268"/>
      <c r="BC91" s="268"/>
    </row>
    <row r="92" spans="1:55">
      <c r="A92" s="268"/>
      <c r="B92" s="268"/>
      <c r="C92" s="268"/>
      <c r="D92" s="268"/>
      <c r="E92" s="268"/>
      <c r="F92" s="268"/>
      <c r="G92" s="268"/>
      <c r="H92" s="268"/>
      <c r="I92" s="268"/>
      <c r="J92" s="268"/>
      <c r="K92" s="268"/>
      <c r="L92" s="268"/>
      <c r="M92" s="268"/>
      <c r="N92" s="268"/>
      <c r="O92" s="268"/>
      <c r="P92" s="268"/>
      <c r="Q92" s="268"/>
      <c r="R92" s="268"/>
      <c r="S92" s="268"/>
      <c r="T92" s="268"/>
      <c r="U92" s="268"/>
      <c r="V92" s="268"/>
      <c r="W92" s="268"/>
      <c r="X92" s="268"/>
      <c r="Y92" s="268"/>
      <c r="Z92" s="268"/>
      <c r="AA92" s="268"/>
      <c r="AB92" s="268"/>
      <c r="AC92" s="268"/>
      <c r="AD92" s="268"/>
      <c r="AE92" s="268"/>
      <c r="AF92" s="268"/>
      <c r="AG92" s="268"/>
      <c r="AH92" s="268"/>
      <c r="AI92" s="268"/>
      <c r="AJ92" s="268"/>
      <c r="AK92" s="268"/>
      <c r="AL92" s="268"/>
      <c r="AM92" s="268"/>
      <c r="AN92" s="268"/>
      <c r="AO92" s="268"/>
      <c r="AP92" s="268"/>
      <c r="AQ92" s="268"/>
      <c r="AR92" s="268"/>
      <c r="AS92" s="268"/>
      <c r="AT92" s="268"/>
      <c r="AU92" s="268"/>
      <c r="AV92" s="268"/>
      <c r="AW92" s="268"/>
      <c r="AX92" s="268"/>
      <c r="AY92" s="268"/>
      <c r="AZ92" s="268"/>
      <c r="BA92" s="268"/>
      <c r="BB92" s="268"/>
      <c r="BC92" s="268"/>
    </row>
    <row r="93" spans="1:55">
      <c r="A93" s="268"/>
      <c r="B93" s="268"/>
      <c r="C93" s="268"/>
      <c r="D93" s="268"/>
      <c r="E93" s="268"/>
      <c r="F93" s="268"/>
      <c r="G93" s="268"/>
      <c r="H93" s="268"/>
      <c r="I93" s="268"/>
      <c r="J93" s="268"/>
      <c r="K93" s="268"/>
      <c r="L93" s="268"/>
      <c r="M93" s="268"/>
      <c r="N93" s="268"/>
      <c r="O93" s="268"/>
      <c r="P93" s="268"/>
      <c r="Q93" s="268"/>
      <c r="R93" s="268"/>
      <c r="S93" s="268"/>
      <c r="T93" s="268"/>
      <c r="U93" s="268"/>
      <c r="V93" s="268"/>
      <c r="W93" s="268"/>
      <c r="X93" s="268"/>
      <c r="Y93" s="268"/>
      <c r="Z93" s="268"/>
      <c r="AA93" s="268"/>
      <c r="AB93" s="268"/>
      <c r="AC93" s="268"/>
      <c r="AD93" s="268"/>
      <c r="AE93" s="268"/>
      <c r="AF93" s="268"/>
      <c r="AG93" s="268"/>
      <c r="AH93" s="268"/>
      <c r="AI93" s="268"/>
      <c r="AJ93" s="268"/>
      <c r="AK93" s="268"/>
      <c r="AL93" s="268"/>
      <c r="AM93" s="268"/>
      <c r="AN93" s="268"/>
      <c r="AO93" s="268"/>
      <c r="AP93" s="268"/>
      <c r="AQ93" s="268"/>
      <c r="AR93" s="268"/>
      <c r="AS93" s="268"/>
      <c r="AT93" s="268"/>
      <c r="AU93" s="268"/>
      <c r="AV93" s="268"/>
      <c r="AW93" s="268"/>
      <c r="AX93" s="268"/>
      <c r="AY93" s="268"/>
      <c r="AZ93" s="268"/>
      <c r="BA93" s="268"/>
      <c r="BB93" s="268"/>
      <c r="BC93" s="268"/>
    </row>
    <row r="94" spans="1:55">
      <c r="A94" s="268"/>
      <c r="B94" s="268"/>
      <c r="C94" s="268"/>
      <c r="D94" s="268"/>
      <c r="E94" s="268"/>
      <c r="F94" s="268"/>
      <c r="G94" s="268"/>
      <c r="H94" s="268"/>
      <c r="I94" s="268"/>
      <c r="J94" s="268"/>
      <c r="K94" s="268"/>
      <c r="L94" s="268"/>
      <c r="M94" s="268"/>
      <c r="N94" s="268"/>
      <c r="O94" s="268"/>
      <c r="P94" s="268"/>
      <c r="Q94" s="268"/>
      <c r="R94" s="268"/>
      <c r="S94" s="268"/>
      <c r="T94" s="268"/>
      <c r="U94" s="268"/>
      <c r="V94" s="268"/>
      <c r="W94" s="268"/>
      <c r="X94" s="268"/>
      <c r="Y94" s="268"/>
      <c r="Z94" s="268"/>
      <c r="AA94" s="268"/>
      <c r="AB94" s="268"/>
      <c r="AC94" s="268"/>
      <c r="AD94" s="268"/>
      <c r="AE94" s="268"/>
      <c r="AF94" s="268"/>
      <c r="AG94" s="268"/>
      <c r="AH94" s="268"/>
      <c r="AI94" s="268"/>
      <c r="AJ94" s="268"/>
      <c r="AK94" s="268"/>
      <c r="AL94" s="268"/>
      <c r="AM94" s="268"/>
      <c r="AN94" s="268"/>
      <c r="AO94" s="268"/>
      <c r="AP94" s="268"/>
      <c r="AQ94" s="268"/>
      <c r="AR94" s="268"/>
      <c r="AS94" s="268"/>
      <c r="AT94" s="268"/>
      <c r="AU94" s="268"/>
      <c r="AV94" s="268"/>
      <c r="AW94" s="268"/>
      <c r="AX94" s="268"/>
      <c r="AY94" s="268"/>
      <c r="AZ94" s="268"/>
      <c r="BA94" s="268"/>
      <c r="BB94" s="268"/>
      <c r="BC94" s="268"/>
    </row>
    <row r="95" spans="1:55">
      <c r="A95" s="268"/>
      <c r="B95" s="268"/>
      <c r="C95" s="268"/>
      <c r="D95" s="268"/>
      <c r="E95" s="268"/>
      <c r="F95" s="268"/>
      <c r="G95" s="268"/>
      <c r="H95" s="268"/>
      <c r="I95" s="268"/>
      <c r="J95" s="268"/>
      <c r="K95" s="268"/>
      <c r="L95" s="268"/>
      <c r="M95" s="268"/>
      <c r="N95" s="268"/>
      <c r="O95" s="268"/>
      <c r="P95" s="268"/>
      <c r="Q95" s="268"/>
      <c r="R95" s="268"/>
      <c r="S95" s="268"/>
      <c r="T95" s="268"/>
      <c r="U95" s="268"/>
      <c r="V95" s="268"/>
      <c r="W95" s="268"/>
      <c r="X95" s="268"/>
      <c r="Y95" s="268"/>
      <c r="Z95" s="268"/>
      <c r="AA95" s="268"/>
      <c r="AB95" s="268"/>
      <c r="AC95" s="268"/>
      <c r="AD95" s="268"/>
      <c r="AE95" s="268"/>
      <c r="AF95" s="268"/>
      <c r="AG95" s="268"/>
      <c r="AH95" s="268"/>
      <c r="AI95" s="268"/>
      <c r="AJ95" s="268"/>
      <c r="AK95" s="268"/>
      <c r="AL95" s="268"/>
      <c r="AM95" s="268"/>
      <c r="AN95" s="268"/>
      <c r="AO95" s="268"/>
      <c r="AP95" s="268"/>
      <c r="AQ95" s="268"/>
      <c r="AR95" s="268"/>
      <c r="AS95" s="268"/>
      <c r="AT95" s="268"/>
      <c r="AU95" s="268"/>
      <c r="AV95" s="268"/>
      <c r="AW95" s="268"/>
      <c r="AX95" s="268"/>
      <c r="AY95" s="268"/>
      <c r="AZ95" s="268"/>
      <c r="BA95" s="268"/>
      <c r="BB95" s="268"/>
      <c r="BC95" s="268"/>
    </row>
    <row r="96" spans="1:55">
      <c r="A96" s="268"/>
      <c r="B96" s="268"/>
      <c r="C96" s="268"/>
      <c r="D96" s="268"/>
      <c r="E96" s="268"/>
      <c r="F96" s="268"/>
      <c r="G96" s="268"/>
      <c r="H96" s="268"/>
      <c r="I96" s="268"/>
      <c r="J96" s="268"/>
      <c r="K96" s="268"/>
      <c r="L96" s="268"/>
      <c r="M96" s="268"/>
      <c r="N96" s="268"/>
      <c r="O96" s="268"/>
      <c r="P96" s="268"/>
      <c r="Q96" s="268"/>
      <c r="R96" s="268"/>
      <c r="S96" s="268"/>
      <c r="T96" s="268"/>
      <c r="U96" s="268"/>
      <c r="V96" s="268"/>
      <c r="W96" s="268"/>
      <c r="X96" s="268"/>
      <c r="Y96" s="268"/>
      <c r="Z96" s="268"/>
      <c r="AA96" s="268"/>
      <c r="AB96" s="268"/>
      <c r="AC96" s="268"/>
      <c r="AD96" s="268"/>
      <c r="AE96" s="268"/>
      <c r="AF96" s="268"/>
      <c r="AG96" s="268"/>
      <c r="AH96" s="268"/>
      <c r="AI96" s="268"/>
      <c r="AJ96" s="268"/>
      <c r="AK96" s="268"/>
      <c r="AM96" s="268"/>
      <c r="AN96" s="268"/>
      <c r="AO96" s="268"/>
      <c r="AP96" s="268"/>
      <c r="AQ96" s="268"/>
      <c r="AR96" s="268"/>
      <c r="AS96" s="268"/>
      <c r="AT96" s="268"/>
      <c r="AU96" s="268"/>
      <c r="AV96" s="268"/>
      <c r="AW96" s="268"/>
      <c r="AX96" s="268"/>
      <c r="AY96" s="268"/>
      <c r="AZ96" s="268"/>
      <c r="BA96" s="268"/>
      <c r="BB96" s="268"/>
    </row>
    <row r="97" spans="1:54">
      <c r="A97" s="268"/>
      <c r="B97" s="268"/>
      <c r="C97" s="268"/>
      <c r="D97" s="268"/>
      <c r="E97" s="268"/>
      <c r="F97" s="268"/>
      <c r="G97" s="268"/>
      <c r="H97" s="268"/>
      <c r="I97" s="268"/>
      <c r="J97" s="268"/>
      <c r="K97" s="268"/>
      <c r="L97" s="268"/>
      <c r="M97" s="268"/>
      <c r="N97" s="268"/>
      <c r="O97" s="268"/>
      <c r="P97" s="268"/>
      <c r="Q97" s="268"/>
      <c r="R97" s="268"/>
      <c r="S97" s="268"/>
      <c r="T97" s="268"/>
      <c r="U97" s="268"/>
      <c r="V97" s="268"/>
      <c r="W97" s="268"/>
      <c r="X97" s="268"/>
      <c r="Y97" s="268"/>
      <c r="Z97" s="268"/>
      <c r="AA97" s="268"/>
      <c r="AB97" s="268"/>
      <c r="AC97" s="268"/>
      <c r="AD97" s="268"/>
      <c r="AE97" s="268"/>
      <c r="AF97" s="268"/>
      <c r="AG97" s="268"/>
      <c r="AM97" s="268"/>
      <c r="AN97" s="268"/>
      <c r="AO97" s="268"/>
      <c r="AP97" s="268"/>
      <c r="AQ97" s="268"/>
      <c r="AR97" s="268"/>
      <c r="AS97" s="268"/>
      <c r="AT97" s="268"/>
      <c r="AU97" s="268"/>
      <c r="AV97" s="268"/>
      <c r="AW97" s="268"/>
      <c r="AX97" s="268"/>
      <c r="AY97" s="268"/>
      <c r="AZ97" s="268"/>
      <c r="BA97" s="268"/>
      <c r="BB97" s="268"/>
    </row>
    <row r="98" spans="1:54">
      <c r="A98" s="268"/>
      <c r="B98" s="268"/>
      <c r="C98" s="268"/>
      <c r="D98" s="268"/>
      <c r="E98" s="268"/>
      <c r="F98" s="268"/>
      <c r="G98" s="268"/>
      <c r="H98" s="268"/>
      <c r="I98" s="268"/>
      <c r="J98" s="268"/>
      <c r="K98" s="268"/>
      <c r="L98" s="268"/>
      <c r="M98" s="268"/>
      <c r="N98" s="268"/>
      <c r="O98" s="268"/>
      <c r="P98" s="268"/>
      <c r="Q98" s="268"/>
      <c r="R98" s="268"/>
      <c r="S98" s="268"/>
      <c r="T98" s="268"/>
      <c r="U98" s="268"/>
      <c r="V98" s="268"/>
      <c r="W98" s="268"/>
      <c r="X98" s="268"/>
      <c r="Y98" s="268"/>
      <c r="Z98" s="268"/>
      <c r="AA98" s="268"/>
      <c r="AB98" s="268"/>
      <c r="AC98" s="268"/>
      <c r="AD98" s="268"/>
      <c r="AE98" s="268"/>
      <c r="AF98" s="268"/>
      <c r="AG98" s="268"/>
      <c r="AN98" s="268"/>
      <c r="AO98" s="268"/>
      <c r="AP98" s="268"/>
      <c r="AQ98" s="268"/>
      <c r="AR98" s="268"/>
      <c r="AS98" s="268"/>
      <c r="AT98" s="268"/>
      <c r="AU98" s="268"/>
      <c r="AV98" s="268"/>
      <c r="AW98" s="268"/>
      <c r="AX98" s="268"/>
      <c r="AY98" s="268"/>
      <c r="AZ98" s="268"/>
      <c r="BA98" s="268"/>
      <c r="BB98" s="268"/>
    </row>
    <row r="99" spans="1:54">
      <c r="A99" s="268"/>
      <c r="B99" s="268"/>
      <c r="C99" s="268"/>
      <c r="D99" s="268"/>
      <c r="E99" s="268"/>
      <c r="F99" s="268"/>
      <c r="G99" s="268"/>
      <c r="H99" s="268"/>
      <c r="I99" s="268"/>
      <c r="J99" s="268"/>
      <c r="K99" s="268"/>
      <c r="L99" s="268"/>
      <c r="M99" s="268"/>
      <c r="N99" s="268"/>
      <c r="O99" s="268"/>
      <c r="P99" s="268"/>
      <c r="Q99" s="268"/>
      <c r="R99" s="268"/>
      <c r="S99" s="268"/>
      <c r="T99" s="268"/>
      <c r="U99" s="268"/>
      <c r="V99" s="268"/>
      <c r="W99" s="268"/>
      <c r="X99" s="268"/>
      <c r="Y99" s="268"/>
      <c r="Z99" s="268"/>
      <c r="AA99" s="268"/>
      <c r="AB99" s="268"/>
      <c r="AC99" s="268"/>
      <c r="AD99" s="268"/>
      <c r="AE99" s="268"/>
      <c r="AF99" s="268"/>
      <c r="AG99" s="268"/>
      <c r="AN99" s="268"/>
      <c r="AO99" s="268"/>
      <c r="AP99" s="268"/>
      <c r="AQ99" s="268"/>
      <c r="AR99" s="268"/>
      <c r="AS99" s="268"/>
      <c r="AT99" s="268"/>
      <c r="AU99" s="268"/>
      <c r="AV99" s="268"/>
      <c r="AW99" s="268"/>
      <c r="AX99" s="268"/>
      <c r="AY99" s="268"/>
      <c r="AZ99" s="268"/>
      <c r="BA99" s="268"/>
      <c r="BB99" s="268"/>
    </row>
    <row r="100" spans="1:54">
      <c r="A100" s="268"/>
      <c r="B100" s="268"/>
      <c r="C100" s="268"/>
      <c r="D100" s="268"/>
      <c r="E100" s="268"/>
      <c r="F100" s="268"/>
      <c r="G100" s="268"/>
      <c r="H100" s="268"/>
      <c r="I100" s="268"/>
      <c r="J100" s="268"/>
      <c r="K100" s="268"/>
      <c r="L100" s="268"/>
      <c r="M100" s="268"/>
      <c r="N100" s="268"/>
      <c r="O100" s="268"/>
      <c r="P100" s="268"/>
      <c r="Q100" s="268"/>
      <c r="R100" s="268"/>
      <c r="S100" s="268"/>
      <c r="T100" s="268"/>
      <c r="U100" s="268"/>
      <c r="V100" s="268"/>
      <c r="W100" s="268"/>
      <c r="X100" s="268"/>
      <c r="Y100" s="268"/>
      <c r="Z100" s="268"/>
      <c r="AA100" s="268"/>
      <c r="AB100" s="268"/>
      <c r="AC100" s="268"/>
      <c r="AD100" s="268"/>
      <c r="AE100" s="268"/>
      <c r="AF100" s="268"/>
      <c r="AG100" s="268"/>
      <c r="AN100" s="268"/>
      <c r="AO100" s="268"/>
      <c r="AP100" s="268"/>
      <c r="AQ100" s="268"/>
      <c r="AR100" s="268"/>
      <c r="AS100" s="268"/>
      <c r="AT100" s="268"/>
      <c r="AU100" s="268"/>
      <c r="AV100" s="268"/>
      <c r="AW100" s="268"/>
      <c r="AX100" s="268"/>
      <c r="AY100" s="268"/>
      <c r="AZ100" s="268"/>
      <c r="BA100" s="268"/>
      <c r="BB100" s="268"/>
    </row>
    <row r="101" spans="1:54">
      <c r="A101" s="268"/>
      <c r="B101" s="268"/>
      <c r="C101" s="268"/>
      <c r="D101" s="268"/>
      <c r="E101" s="268"/>
      <c r="F101" s="268"/>
      <c r="G101" s="268"/>
      <c r="H101" s="268"/>
      <c r="I101" s="268"/>
      <c r="J101" s="268"/>
      <c r="K101" s="268"/>
      <c r="L101" s="268"/>
      <c r="M101" s="268"/>
      <c r="N101" s="268"/>
      <c r="O101" s="268"/>
      <c r="P101" s="268"/>
      <c r="Q101" s="268"/>
      <c r="R101" s="268"/>
      <c r="S101" s="268"/>
      <c r="T101" s="268"/>
      <c r="U101" s="268"/>
      <c r="V101" s="268"/>
      <c r="W101" s="268"/>
      <c r="X101" s="268"/>
      <c r="Y101" s="268"/>
      <c r="Z101" s="268"/>
      <c r="AA101" s="268"/>
      <c r="AB101" s="268"/>
      <c r="AC101" s="268"/>
      <c r="AD101" s="268"/>
      <c r="AE101" s="268"/>
      <c r="AF101" s="268"/>
      <c r="AG101" s="268"/>
      <c r="AN101" s="268"/>
      <c r="AO101" s="268"/>
      <c r="AP101" s="268"/>
      <c r="AQ101" s="268"/>
      <c r="AR101" s="268"/>
      <c r="AS101" s="268"/>
      <c r="AT101" s="268"/>
      <c r="AU101" s="268"/>
      <c r="AV101" s="268"/>
      <c r="AW101" s="268"/>
      <c r="AX101" s="268"/>
      <c r="AY101" s="268"/>
      <c r="AZ101" s="268"/>
      <c r="BA101" s="268"/>
      <c r="BB101" s="268"/>
    </row>
    <row r="102" spans="1:54">
      <c r="A102" s="268"/>
      <c r="B102" s="268"/>
      <c r="C102" s="268"/>
      <c r="D102" s="268"/>
      <c r="E102" s="268"/>
      <c r="F102" s="268"/>
      <c r="G102" s="268"/>
      <c r="H102" s="268"/>
      <c r="I102" s="268"/>
      <c r="J102" s="268"/>
      <c r="K102" s="268"/>
      <c r="L102" s="268"/>
      <c r="M102" s="268"/>
      <c r="N102" s="268"/>
      <c r="O102" s="268"/>
      <c r="P102" s="268"/>
      <c r="Q102" s="268"/>
      <c r="R102" s="268"/>
      <c r="S102" s="268"/>
      <c r="T102" s="268"/>
      <c r="U102" s="268"/>
      <c r="V102" s="268"/>
      <c r="W102" s="268"/>
      <c r="X102" s="268"/>
      <c r="Y102" s="268"/>
      <c r="Z102" s="268"/>
      <c r="AA102" s="268"/>
      <c r="AB102" s="268"/>
      <c r="AC102" s="268"/>
      <c r="AD102" s="268"/>
      <c r="AE102" s="268"/>
      <c r="AF102" s="268"/>
      <c r="AG102" s="268"/>
      <c r="AN102" s="268"/>
      <c r="AO102" s="268"/>
      <c r="AP102" s="268"/>
      <c r="AQ102" s="268"/>
      <c r="AR102" s="268"/>
      <c r="AS102" s="268"/>
      <c r="AT102" s="268"/>
      <c r="AU102" s="268"/>
      <c r="AV102" s="268"/>
      <c r="AW102" s="268"/>
      <c r="AX102" s="268"/>
      <c r="AY102" s="268"/>
      <c r="AZ102" s="268"/>
      <c r="BA102" s="268"/>
      <c r="BB102" s="268"/>
    </row>
    <row r="103" spans="1:54">
      <c r="A103" s="268"/>
      <c r="B103" s="268"/>
      <c r="C103" s="268"/>
      <c r="D103" s="268"/>
      <c r="E103" s="268"/>
      <c r="F103" s="268"/>
      <c r="G103" s="268"/>
      <c r="H103" s="268"/>
      <c r="I103" s="268"/>
      <c r="J103" s="268"/>
      <c r="K103" s="268"/>
      <c r="L103" s="268"/>
      <c r="M103" s="268"/>
      <c r="N103" s="268"/>
      <c r="O103" s="268"/>
      <c r="P103" s="268"/>
      <c r="Q103" s="268"/>
      <c r="R103" s="268"/>
      <c r="S103" s="268"/>
      <c r="T103" s="268"/>
      <c r="U103" s="268"/>
      <c r="V103" s="268"/>
      <c r="W103" s="268"/>
      <c r="X103" s="268"/>
      <c r="Y103" s="268"/>
      <c r="Z103" s="268"/>
      <c r="AA103" s="268"/>
      <c r="AB103" s="268"/>
      <c r="AC103" s="268"/>
      <c r="AD103" s="268"/>
      <c r="AE103" s="268"/>
      <c r="AF103" s="268"/>
      <c r="AG103" s="268"/>
      <c r="AN103" s="268"/>
      <c r="AO103" s="268"/>
      <c r="AP103" s="268"/>
      <c r="AQ103" s="268"/>
      <c r="AR103" s="268"/>
      <c r="AS103" s="268"/>
      <c r="AT103" s="268"/>
      <c r="AU103" s="268"/>
      <c r="AV103" s="268"/>
      <c r="AW103" s="268"/>
      <c r="AX103" s="268"/>
      <c r="AY103" s="268"/>
      <c r="AZ103" s="268"/>
      <c r="BA103" s="268"/>
    </row>
    <row r="104" spans="1:54">
      <c r="A104" s="268"/>
      <c r="B104" s="268"/>
      <c r="C104" s="268"/>
      <c r="D104" s="268"/>
      <c r="E104" s="268"/>
      <c r="F104" s="268"/>
      <c r="G104" s="268"/>
      <c r="H104" s="268"/>
      <c r="I104" s="268"/>
      <c r="J104" s="268"/>
      <c r="K104" s="268"/>
      <c r="L104" s="268"/>
      <c r="M104" s="268"/>
      <c r="N104" s="268"/>
      <c r="O104" s="268"/>
      <c r="P104" s="268"/>
      <c r="Q104" s="268"/>
      <c r="R104" s="268"/>
      <c r="S104" s="268"/>
      <c r="T104" s="268"/>
      <c r="U104" s="268"/>
      <c r="V104" s="268"/>
      <c r="W104" s="268"/>
      <c r="X104" s="268"/>
      <c r="Y104" s="268"/>
      <c r="Z104" s="268"/>
      <c r="AA104" s="268"/>
      <c r="AB104" s="268"/>
      <c r="AC104" s="268"/>
      <c r="AD104" s="268"/>
      <c r="AE104" s="268"/>
      <c r="AF104" s="268"/>
      <c r="AG104" s="268"/>
      <c r="AN104" s="268"/>
      <c r="AO104" s="268"/>
      <c r="AP104" s="268"/>
      <c r="AQ104" s="268"/>
      <c r="AR104" s="268"/>
      <c r="AS104" s="268"/>
      <c r="AT104" s="268"/>
      <c r="AU104" s="268"/>
      <c r="AV104" s="268"/>
      <c r="AW104" s="268"/>
      <c r="AX104" s="268"/>
      <c r="AY104" s="268"/>
      <c r="AZ104" s="268"/>
      <c r="BA104" s="268"/>
    </row>
    <row r="105" spans="1:54">
      <c r="A105" s="268"/>
      <c r="B105" s="268"/>
      <c r="C105" s="268"/>
      <c r="D105" s="268"/>
      <c r="E105" s="268"/>
      <c r="F105" s="268"/>
      <c r="G105" s="268"/>
      <c r="H105" s="268"/>
      <c r="I105" s="268"/>
      <c r="J105" s="268"/>
      <c r="K105" s="268"/>
      <c r="L105" s="268"/>
      <c r="M105" s="268"/>
      <c r="N105" s="268"/>
      <c r="O105" s="268"/>
      <c r="P105" s="268"/>
      <c r="Q105" s="268"/>
      <c r="R105" s="268"/>
      <c r="S105" s="268"/>
      <c r="T105" s="268"/>
      <c r="U105" s="268"/>
      <c r="V105" s="268"/>
      <c r="W105" s="268"/>
      <c r="X105" s="268"/>
      <c r="Y105" s="268"/>
      <c r="Z105" s="268"/>
      <c r="AA105" s="268"/>
      <c r="AB105" s="268"/>
      <c r="AC105" s="268"/>
      <c r="AD105" s="268"/>
      <c r="AE105" s="268"/>
      <c r="AF105" s="268"/>
      <c r="AG105" s="268"/>
      <c r="AN105" s="268"/>
      <c r="AO105" s="268"/>
      <c r="AP105" s="268"/>
      <c r="AQ105" s="268"/>
      <c r="AR105" s="268"/>
      <c r="AS105" s="268"/>
      <c r="AT105" s="268"/>
      <c r="AU105" s="268"/>
      <c r="AV105" s="268"/>
      <c r="AW105" s="268"/>
      <c r="AX105" s="268"/>
      <c r="AY105" s="268"/>
      <c r="AZ105" s="268"/>
      <c r="BA105" s="268"/>
    </row>
    <row r="106" spans="1:54">
      <c r="A106" s="268"/>
      <c r="B106" s="268"/>
      <c r="C106" s="268"/>
      <c r="D106" s="268"/>
      <c r="E106" s="268"/>
      <c r="F106" s="268"/>
      <c r="G106" s="268"/>
      <c r="H106" s="268"/>
      <c r="I106" s="268"/>
      <c r="J106" s="268"/>
      <c r="K106" s="268"/>
      <c r="L106" s="268"/>
      <c r="M106" s="268"/>
      <c r="N106" s="268"/>
      <c r="O106" s="268"/>
      <c r="P106" s="268"/>
      <c r="Q106" s="268"/>
      <c r="R106" s="268"/>
      <c r="S106" s="268"/>
      <c r="T106" s="268"/>
      <c r="U106" s="268"/>
      <c r="V106" s="268"/>
      <c r="W106" s="268"/>
      <c r="X106" s="268"/>
      <c r="Y106" s="268"/>
      <c r="Z106" s="268"/>
      <c r="AA106" s="268"/>
      <c r="AB106" s="268"/>
      <c r="AC106" s="268"/>
      <c r="AD106" s="268"/>
      <c r="AE106" s="268"/>
      <c r="AF106" s="268"/>
      <c r="AG106" s="268"/>
      <c r="AN106" s="268"/>
      <c r="AO106" s="268"/>
      <c r="AP106" s="268"/>
      <c r="AQ106" s="268"/>
      <c r="AR106" s="268"/>
      <c r="AS106" s="268"/>
      <c r="AT106" s="268"/>
      <c r="AU106" s="268"/>
      <c r="AV106" s="268"/>
      <c r="AW106" s="268"/>
      <c r="AX106" s="268"/>
      <c r="AY106" s="268"/>
      <c r="AZ106" s="268"/>
      <c r="BA106" s="268"/>
    </row>
    <row r="107" spans="1:54">
      <c r="A107" s="268"/>
      <c r="B107" s="268"/>
      <c r="C107" s="268"/>
      <c r="D107" s="268"/>
      <c r="E107" s="268"/>
      <c r="F107" s="268"/>
      <c r="G107" s="268"/>
      <c r="H107" s="268"/>
      <c r="I107" s="268"/>
      <c r="J107" s="268"/>
      <c r="K107" s="268"/>
      <c r="L107" s="268"/>
      <c r="M107" s="268"/>
      <c r="N107" s="268"/>
      <c r="O107" s="268"/>
      <c r="P107" s="268"/>
      <c r="Q107" s="268"/>
      <c r="R107" s="268"/>
      <c r="S107" s="268"/>
      <c r="T107" s="268"/>
      <c r="U107" s="268"/>
      <c r="V107" s="268"/>
      <c r="W107" s="268"/>
      <c r="X107" s="268"/>
      <c r="Y107" s="268"/>
      <c r="Z107" s="268"/>
      <c r="AA107" s="268"/>
      <c r="AB107" s="268"/>
      <c r="AC107" s="268"/>
      <c r="AD107" s="268"/>
      <c r="AE107" s="268"/>
      <c r="AF107" s="268"/>
      <c r="AG107" s="268"/>
      <c r="AN107" s="268"/>
      <c r="AO107" s="268"/>
      <c r="AP107" s="268"/>
      <c r="AQ107" s="268"/>
      <c r="AR107" s="268"/>
      <c r="AS107" s="268"/>
      <c r="AT107" s="268"/>
      <c r="AU107" s="268"/>
      <c r="AV107" s="268"/>
      <c r="AW107" s="268"/>
      <c r="AX107" s="268"/>
      <c r="AY107" s="268"/>
      <c r="AZ107" s="268"/>
      <c r="BA107" s="268"/>
    </row>
    <row r="108" spans="1:54">
      <c r="A108" s="268"/>
      <c r="B108" s="268"/>
      <c r="C108" s="268"/>
      <c r="D108" s="268"/>
      <c r="E108" s="268"/>
      <c r="F108" s="268"/>
      <c r="G108" s="268"/>
      <c r="H108" s="268"/>
      <c r="I108" s="268"/>
      <c r="J108" s="268"/>
      <c r="K108" s="268"/>
      <c r="L108" s="268"/>
      <c r="M108" s="268"/>
      <c r="N108" s="268"/>
      <c r="O108" s="268"/>
      <c r="P108" s="268"/>
      <c r="Q108" s="268"/>
      <c r="R108" s="268"/>
      <c r="S108" s="268"/>
      <c r="T108" s="268"/>
      <c r="U108" s="268"/>
      <c r="V108" s="268"/>
      <c r="W108" s="268"/>
      <c r="X108" s="268"/>
      <c r="Y108" s="268"/>
      <c r="Z108" s="268"/>
      <c r="AA108" s="268"/>
      <c r="AB108" s="268"/>
      <c r="AC108" s="268"/>
      <c r="AD108" s="268"/>
      <c r="AE108" s="268"/>
      <c r="AF108" s="268"/>
      <c r="AG108" s="268"/>
      <c r="AV108" s="268"/>
      <c r="AW108" s="268"/>
      <c r="AX108" s="268"/>
      <c r="AY108" s="268"/>
    </row>
    <row r="109" spans="1:54">
      <c r="A109" s="268"/>
      <c r="B109" s="268"/>
      <c r="C109" s="268"/>
      <c r="D109" s="268"/>
      <c r="E109" s="268"/>
      <c r="F109" s="268"/>
      <c r="G109" s="268"/>
      <c r="H109" s="268"/>
      <c r="I109" s="268"/>
      <c r="J109" s="268"/>
      <c r="K109" s="268"/>
      <c r="L109" s="268"/>
      <c r="M109" s="268"/>
      <c r="N109" s="268"/>
      <c r="O109" s="268"/>
      <c r="P109" s="268"/>
      <c r="Q109" s="268"/>
      <c r="R109" s="268"/>
      <c r="S109" s="268"/>
      <c r="T109" s="268"/>
      <c r="U109" s="268"/>
      <c r="V109" s="268"/>
      <c r="W109" s="268"/>
      <c r="X109" s="268"/>
      <c r="Y109" s="268"/>
      <c r="Z109" s="268"/>
      <c r="AA109" s="268"/>
      <c r="AB109" s="268"/>
      <c r="AC109" s="268"/>
      <c r="AD109" s="268"/>
      <c r="AE109" s="268"/>
      <c r="AF109" s="268"/>
      <c r="AG109" s="268"/>
    </row>
    <row r="110" spans="1:54">
      <c r="A110" s="268"/>
      <c r="B110" s="268"/>
      <c r="C110" s="268"/>
      <c r="D110" s="268"/>
      <c r="E110" s="268"/>
      <c r="F110" s="268"/>
      <c r="G110" s="268"/>
      <c r="H110" s="268"/>
      <c r="I110" s="268"/>
      <c r="J110" s="268"/>
      <c r="K110" s="268"/>
      <c r="L110" s="268"/>
      <c r="M110" s="268"/>
      <c r="N110" s="268"/>
      <c r="O110" s="268"/>
      <c r="P110" s="268"/>
      <c r="Q110" s="268"/>
      <c r="R110" s="268"/>
      <c r="S110" s="268"/>
      <c r="T110" s="268"/>
      <c r="U110" s="268"/>
      <c r="V110" s="268"/>
      <c r="W110" s="268"/>
      <c r="X110" s="268"/>
      <c r="Y110" s="268"/>
      <c r="Z110" s="268"/>
      <c r="AA110" s="268"/>
      <c r="AB110" s="268"/>
      <c r="AC110" s="268"/>
      <c r="AD110" s="268"/>
      <c r="AE110" s="268"/>
      <c r="AF110" s="268"/>
      <c r="AG110" s="268"/>
    </row>
    <row r="111" spans="1:54">
      <c r="A111" s="268"/>
      <c r="B111" s="268"/>
      <c r="C111" s="268"/>
      <c r="D111" s="268"/>
      <c r="E111" s="268"/>
      <c r="F111" s="268"/>
      <c r="G111" s="268"/>
      <c r="H111" s="268"/>
      <c r="I111" s="268"/>
      <c r="J111" s="268"/>
      <c r="K111" s="268"/>
      <c r="L111" s="268"/>
      <c r="M111" s="268"/>
      <c r="N111" s="268"/>
      <c r="O111" s="268"/>
      <c r="P111" s="268"/>
      <c r="Q111" s="268"/>
      <c r="R111" s="268"/>
      <c r="S111" s="268"/>
      <c r="T111" s="268"/>
      <c r="U111" s="268"/>
      <c r="V111" s="268"/>
      <c r="W111" s="268"/>
      <c r="X111" s="268"/>
      <c r="Y111" s="268"/>
      <c r="Z111" s="268"/>
      <c r="AA111" s="268"/>
      <c r="AB111" s="268"/>
      <c r="AC111" s="268"/>
      <c r="AD111" s="268"/>
      <c r="AE111" s="268"/>
      <c r="AF111" s="268"/>
      <c r="AG111" s="268"/>
    </row>
    <row r="112" spans="1:54">
      <c r="A112" s="268"/>
      <c r="B112" s="268"/>
      <c r="C112" s="268"/>
      <c r="D112" s="268"/>
      <c r="E112" s="268"/>
      <c r="F112" s="268"/>
      <c r="G112" s="268"/>
      <c r="H112" s="268"/>
      <c r="I112" s="268"/>
      <c r="J112" s="268"/>
      <c r="K112" s="268"/>
      <c r="L112" s="268"/>
      <c r="M112" s="268"/>
      <c r="N112" s="268"/>
      <c r="O112" s="268"/>
      <c r="P112" s="268"/>
      <c r="Q112" s="268"/>
      <c r="R112" s="268"/>
      <c r="S112" s="268"/>
      <c r="T112" s="268"/>
      <c r="U112" s="268"/>
      <c r="V112" s="268"/>
      <c r="W112" s="268"/>
      <c r="X112" s="268"/>
      <c r="Y112" s="268"/>
      <c r="Z112" s="268"/>
      <c r="AA112" s="268"/>
      <c r="AB112" s="268"/>
      <c r="AC112" s="268"/>
      <c r="AD112" s="268"/>
      <c r="AE112" s="268"/>
      <c r="AF112" s="268"/>
      <c r="AG112" s="268"/>
    </row>
    <row r="113" spans="1:33">
      <c r="A113" s="268"/>
      <c r="B113" s="268"/>
      <c r="C113" s="268"/>
      <c r="D113" s="268"/>
      <c r="E113" s="268"/>
      <c r="F113" s="268"/>
      <c r="G113" s="268"/>
      <c r="H113" s="268"/>
      <c r="I113" s="268"/>
      <c r="J113" s="268"/>
      <c r="K113" s="268"/>
      <c r="L113" s="268"/>
      <c r="M113" s="268"/>
      <c r="N113" s="268"/>
      <c r="O113" s="268"/>
      <c r="P113" s="268"/>
      <c r="Q113" s="268"/>
      <c r="R113" s="268"/>
      <c r="S113" s="268"/>
      <c r="T113" s="268"/>
      <c r="U113" s="268"/>
      <c r="V113" s="268"/>
      <c r="W113" s="268"/>
      <c r="X113" s="268"/>
      <c r="Y113" s="268"/>
      <c r="Z113" s="268"/>
      <c r="AA113" s="268"/>
      <c r="AB113" s="268"/>
      <c r="AC113" s="268"/>
      <c r="AD113" s="268"/>
      <c r="AE113" s="268"/>
      <c r="AF113" s="268"/>
      <c r="AG113" s="268"/>
    </row>
    <row r="114" spans="1:33">
      <c r="A114" s="268"/>
      <c r="B114" s="268"/>
      <c r="C114" s="268"/>
      <c r="D114" s="268"/>
      <c r="E114" s="268"/>
      <c r="F114" s="268"/>
      <c r="G114" s="268"/>
      <c r="H114" s="268"/>
      <c r="I114" s="268"/>
      <c r="J114" s="268"/>
      <c r="K114" s="268"/>
      <c r="L114" s="268"/>
      <c r="M114" s="268"/>
      <c r="N114" s="268"/>
      <c r="O114" s="268"/>
      <c r="P114" s="268"/>
      <c r="Q114" s="268"/>
      <c r="R114" s="268"/>
      <c r="S114" s="268"/>
      <c r="T114" s="268"/>
      <c r="U114" s="268"/>
      <c r="V114" s="268"/>
      <c r="W114" s="268"/>
      <c r="X114" s="268"/>
      <c r="Y114" s="268"/>
      <c r="Z114" s="268"/>
      <c r="AA114" s="268"/>
      <c r="AB114" s="268"/>
      <c r="AC114" s="268"/>
      <c r="AD114" s="268"/>
      <c r="AE114" s="268"/>
      <c r="AF114" s="268"/>
      <c r="AG114" s="268"/>
    </row>
    <row r="115" spans="1:33">
      <c r="A115" s="268"/>
      <c r="B115" s="268"/>
      <c r="C115" s="268"/>
      <c r="D115" s="268"/>
      <c r="E115" s="268"/>
      <c r="F115" s="268"/>
      <c r="G115" s="268"/>
      <c r="H115" s="268"/>
      <c r="I115" s="268"/>
      <c r="J115" s="268"/>
      <c r="K115" s="268"/>
      <c r="L115" s="268"/>
      <c r="M115" s="268"/>
      <c r="N115" s="268"/>
      <c r="O115" s="268"/>
      <c r="P115" s="268"/>
      <c r="Q115" s="268"/>
      <c r="R115" s="268"/>
      <c r="S115" s="268"/>
      <c r="T115" s="268"/>
      <c r="U115" s="268"/>
      <c r="V115" s="268"/>
      <c r="W115" s="268"/>
      <c r="X115" s="268"/>
      <c r="Y115" s="268"/>
      <c r="Z115" s="268"/>
      <c r="AA115" s="268"/>
      <c r="AB115" s="268"/>
      <c r="AC115" s="268"/>
      <c r="AD115" s="268"/>
      <c r="AE115" s="268"/>
      <c r="AF115" s="268"/>
      <c r="AG115" s="268"/>
    </row>
    <row r="116" spans="1:33">
      <c r="A116" s="268"/>
      <c r="B116" s="268"/>
      <c r="C116" s="268"/>
      <c r="D116" s="268"/>
      <c r="E116" s="268"/>
      <c r="F116" s="268"/>
      <c r="G116" s="268"/>
      <c r="H116" s="268"/>
      <c r="I116" s="268"/>
      <c r="J116" s="268"/>
      <c r="K116" s="268"/>
      <c r="L116" s="268"/>
      <c r="M116" s="268"/>
      <c r="N116" s="268"/>
      <c r="O116" s="268"/>
      <c r="P116" s="268"/>
      <c r="Q116" s="268"/>
      <c r="R116" s="268"/>
      <c r="S116" s="268"/>
      <c r="T116" s="268"/>
      <c r="U116" s="268"/>
      <c r="V116" s="268"/>
      <c r="W116" s="268"/>
      <c r="X116" s="268"/>
      <c r="Y116" s="268"/>
      <c r="Z116" s="268"/>
      <c r="AA116" s="268"/>
      <c r="AB116" s="268"/>
      <c r="AC116" s="268"/>
      <c r="AD116" s="268"/>
      <c r="AE116" s="268"/>
      <c r="AF116" s="268"/>
      <c r="AG116" s="268"/>
    </row>
    <row r="117" spans="1:33">
      <c r="A117" s="268"/>
      <c r="B117" s="268"/>
      <c r="C117" s="268"/>
      <c r="D117" s="268"/>
      <c r="E117" s="268"/>
      <c r="F117" s="268"/>
      <c r="G117" s="268"/>
      <c r="H117" s="268"/>
      <c r="I117" s="268"/>
      <c r="J117" s="268"/>
      <c r="K117" s="268"/>
      <c r="L117" s="268"/>
      <c r="M117" s="268"/>
      <c r="N117" s="268"/>
      <c r="O117" s="268"/>
      <c r="P117" s="268"/>
      <c r="Q117" s="268"/>
      <c r="R117" s="268"/>
      <c r="S117" s="268"/>
      <c r="T117" s="268"/>
      <c r="U117" s="268"/>
      <c r="V117" s="268"/>
      <c r="W117" s="268"/>
      <c r="X117" s="268"/>
      <c r="Y117" s="268"/>
      <c r="Z117" s="268"/>
      <c r="AA117" s="268"/>
      <c r="AB117" s="268"/>
      <c r="AC117" s="268"/>
      <c r="AD117" s="268"/>
      <c r="AE117" s="268"/>
      <c r="AF117" s="268"/>
      <c r="AG117" s="268"/>
    </row>
    <row r="118" spans="1:33">
      <c r="A118" s="268"/>
      <c r="B118" s="268"/>
      <c r="C118" s="268"/>
      <c r="D118" s="268"/>
      <c r="E118" s="268"/>
      <c r="F118" s="268"/>
      <c r="G118" s="268"/>
      <c r="H118" s="268"/>
      <c r="I118" s="268"/>
      <c r="J118" s="268"/>
      <c r="K118" s="268"/>
      <c r="L118" s="268"/>
      <c r="M118" s="268"/>
      <c r="N118" s="268"/>
      <c r="O118" s="268"/>
      <c r="P118" s="268"/>
      <c r="Q118" s="268"/>
      <c r="R118" s="268"/>
      <c r="S118" s="268"/>
      <c r="T118" s="268"/>
      <c r="U118" s="268"/>
      <c r="V118" s="268"/>
      <c r="W118" s="268"/>
      <c r="X118" s="268"/>
      <c r="Y118" s="268"/>
      <c r="Z118" s="268"/>
      <c r="AA118" s="268"/>
      <c r="AB118" s="268"/>
      <c r="AC118" s="268"/>
      <c r="AD118" s="268"/>
      <c r="AE118" s="268"/>
      <c r="AF118" s="268"/>
      <c r="AG118" s="268"/>
    </row>
    <row r="119" spans="1:33">
      <c r="A119" s="268"/>
      <c r="B119" s="268"/>
      <c r="C119" s="268"/>
      <c r="D119" s="268"/>
      <c r="E119" s="268"/>
      <c r="F119" s="268"/>
      <c r="G119" s="268"/>
      <c r="H119" s="268"/>
      <c r="I119" s="268"/>
      <c r="J119" s="268"/>
      <c r="K119" s="268"/>
      <c r="L119" s="268"/>
      <c r="M119" s="268"/>
      <c r="N119" s="268"/>
      <c r="O119" s="268"/>
      <c r="P119" s="268"/>
      <c r="Q119" s="268"/>
      <c r="R119" s="268"/>
      <c r="S119" s="268"/>
      <c r="T119" s="268"/>
      <c r="U119" s="268"/>
      <c r="V119" s="268"/>
      <c r="W119" s="268"/>
      <c r="X119" s="268"/>
      <c r="Y119" s="268"/>
      <c r="Z119" s="268"/>
      <c r="AA119" s="268"/>
      <c r="AB119" s="268"/>
      <c r="AC119" s="268"/>
      <c r="AD119" s="268"/>
      <c r="AE119" s="268"/>
      <c r="AF119" s="268"/>
      <c r="AG119" s="268"/>
    </row>
    <row r="120" spans="1:33">
      <c r="A120" s="268"/>
      <c r="B120" s="268"/>
      <c r="C120" s="268"/>
      <c r="D120" s="268"/>
      <c r="E120" s="268"/>
      <c r="F120" s="268"/>
      <c r="G120" s="268"/>
      <c r="H120" s="268"/>
      <c r="I120" s="268"/>
      <c r="J120" s="268"/>
      <c r="K120" s="268"/>
      <c r="L120" s="268"/>
      <c r="M120" s="268"/>
      <c r="N120" s="268"/>
      <c r="O120" s="268"/>
      <c r="P120" s="268"/>
      <c r="Q120" s="268"/>
      <c r="R120" s="268"/>
      <c r="S120" s="268"/>
      <c r="T120" s="268"/>
      <c r="U120" s="268"/>
      <c r="V120" s="268"/>
      <c r="W120" s="268"/>
      <c r="X120" s="268"/>
      <c r="Y120" s="268"/>
      <c r="Z120" s="268"/>
      <c r="AA120" s="268"/>
      <c r="AB120" s="268"/>
      <c r="AC120" s="268"/>
      <c r="AD120" s="268"/>
      <c r="AE120" s="268"/>
      <c r="AF120" s="268"/>
      <c r="AG120" s="268"/>
    </row>
    <row r="121" spans="1:33">
      <c r="A121" s="268"/>
      <c r="B121" s="268"/>
      <c r="C121" s="268"/>
      <c r="D121" s="268"/>
      <c r="E121" s="268"/>
      <c r="F121" s="268"/>
      <c r="G121" s="268"/>
      <c r="H121" s="268"/>
      <c r="I121" s="268"/>
      <c r="J121" s="268"/>
      <c r="K121" s="268"/>
      <c r="L121" s="268"/>
      <c r="M121" s="268"/>
      <c r="N121" s="268"/>
      <c r="O121" s="268"/>
      <c r="P121" s="268"/>
      <c r="Q121" s="268"/>
      <c r="R121" s="268"/>
      <c r="S121" s="268"/>
      <c r="T121" s="268"/>
      <c r="U121" s="268"/>
      <c r="V121" s="268"/>
      <c r="W121" s="268"/>
      <c r="X121" s="268"/>
      <c r="Y121" s="268"/>
      <c r="Z121" s="268"/>
      <c r="AA121" s="268"/>
      <c r="AB121" s="268"/>
      <c r="AC121" s="268"/>
      <c r="AD121" s="268"/>
      <c r="AE121" s="268"/>
      <c r="AF121" s="268"/>
      <c r="AG121" s="268"/>
    </row>
    <row r="122" spans="1:33">
      <c r="A122" s="268"/>
      <c r="B122" s="268"/>
      <c r="C122" s="268"/>
      <c r="D122" s="268"/>
      <c r="E122" s="268"/>
      <c r="F122" s="268"/>
      <c r="G122" s="268"/>
      <c r="H122" s="268"/>
      <c r="I122" s="268"/>
      <c r="J122" s="268"/>
      <c r="K122" s="268"/>
      <c r="L122" s="268"/>
      <c r="M122" s="268"/>
      <c r="N122" s="268"/>
      <c r="O122" s="268"/>
      <c r="P122" s="268"/>
      <c r="Q122" s="268"/>
      <c r="R122" s="268"/>
      <c r="S122" s="268"/>
      <c r="T122" s="268"/>
      <c r="U122" s="268"/>
      <c r="V122" s="268"/>
      <c r="W122" s="268"/>
      <c r="X122" s="268"/>
      <c r="Y122" s="268"/>
      <c r="Z122" s="268"/>
      <c r="AA122" s="268"/>
      <c r="AB122" s="268"/>
      <c r="AC122" s="268"/>
      <c r="AD122" s="268"/>
      <c r="AE122" s="268"/>
      <c r="AF122" s="268"/>
      <c r="AG122" s="268"/>
    </row>
    <row r="123" spans="1:33">
      <c r="A123" s="268"/>
      <c r="B123" s="268"/>
      <c r="C123" s="268"/>
      <c r="D123" s="268"/>
      <c r="E123" s="268"/>
      <c r="F123" s="268"/>
      <c r="G123" s="268"/>
      <c r="H123" s="268"/>
      <c r="I123" s="268"/>
      <c r="J123" s="268"/>
      <c r="K123" s="268"/>
      <c r="L123" s="268"/>
      <c r="M123" s="268"/>
      <c r="N123" s="268"/>
      <c r="O123" s="268"/>
      <c r="P123" s="268"/>
      <c r="Q123" s="268"/>
      <c r="R123" s="268"/>
      <c r="S123" s="268"/>
      <c r="T123" s="268"/>
      <c r="U123" s="268"/>
      <c r="V123" s="268"/>
      <c r="W123" s="268"/>
      <c r="X123" s="268"/>
      <c r="Y123" s="268"/>
      <c r="Z123" s="268"/>
      <c r="AA123" s="268"/>
      <c r="AB123" s="268"/>
      <c r="AC123" s="268"/>
      <c r="AD123" s="268"/>
      <c r="AE123" s="268"/>
      <c r="AF123" s="268"/>
      <c r="AG123" s="268"/>
    </row>
    <row r="124" spans="1:33">
      <c r="A124" s="268"/>
      <c r="B124" s="268"/>
      <c r="C124" s="268"/>
      <c r="D124" s="268"/>
      <c r="E124" s="268"/>
      <c r="F124" s="268"/>
      <c r="G124" s="268"/>
      <c r="H124" s="268"/>
      <c r="I124" s="268"/>
      <c r="J124" s="268"/>
      <c r="K124" s="268"/>
      <c r="L124" s="268"/>
      <c r="M124" s="268"/>
      <c r="N124" s="268"/>
      <c r="O124" s="268"/>
      <c r="P124" s="268"/>
      <c r="Q124" s="268"/>
      <c r="R124" s="268"/>
      <c r="S124" s="268"/>
      <c r="T124" s="268"/>
      <c r="U124" s="268"/>
      <c r="V124" s="268"/>
      <c r="W124" s="268"/>
      <c r="X124" s="268"/>
      <c r="Y124" s="268"/>
      <c r="Z124" s="268"/>
      <c r="AA124" s="268"/>
      <c r="AB124" s="268"/>
      <c r="AC124" s="268"/>
      <c r="AD124" s="268"/>
      <c r="AE124" s="268"/>
      <c r="AF124" s="268"/>
      <c r="AG124" s="268"/>
    </row>
    <row r="125" spans="1:33">
      <c r="A125" s="268"/>
      <c r="B125" s="268"/>
      <c r="C125" s="268"/>
      <c r="D125" s="268"/>
      <c r="E125" s="268"/>
      <c r="F125" s="268"/>
      <c r="G125" s="268"/>
      <c r="H125" s="268"/>
      <c r="I125" s="268"/>
      <c r="J125" s="268"/>
      <c r="K125" s="268"/>
      <c r="L125" s="268"/>
      <c r="M125" s="268"/>
      <c r="N125" s="268"/>
      <c r="O125" s="268"/>
      <c r="P125" s="268"/>
      <c r="Q125" s="268"/>
      <c r="R125" s="268"/>
      <c r="S125" s="268"/>
      <c r="T125" s="268"/>
      <c r="U125" s="268"/>
      <c r="V125" s="268"/>
      <c r="W125" s="268"/>
      <c r="X125" s="268"/>
      <c r="Y125" s="268"/>
      <c r="Z125" s="268"/>
      <c r="AA125" s="268"/>
      <c r="AB125" s="268"/>
      <c r="AC125" s="268"/>
      <c r="AD125" s="268"/>
      <c r="AE125" s="268"/>
      <c r="AF125" s="268"/>
      <c r="AG125" s="268"/>
    </row>
    <row r="126" spans="1:33">
      <c r="A126" s="268"/>
      <c r="B126" s="268"/>
      <c r="C126" s="268"/>
      <c r="D126" s="268"/>
      <c r="E126" s="268"/>
      <c r="F126" s="268"/>
      <c r="G126" s="268"/>
      <c r="H126" s="268"/>
      <c r="I126" s="268"/>
      <c r="J126" s="268"/>
      <c r="K126" s="268"/>
      <c r="L126" s="268"/>
      <c r="M126" s="268"/>
      <c r="N126" s="268"/>
      <c r="O126" s="268"/>
      <c r="P126" s="268"/>
      <c r="Q126" s="268"/>
      <c r="R126" s="268"/>
      <c r="S126" s="268"/>
      <c r="T126" s="268"/>
      <c r="U126" s="268"/>
      <c r="V126" s="268"/>
      <c r="W126" s="268"/>
      <c r="X126" s="268"/>
      <c r="Y126" s="268"/>
      <c r="Z126" s="268"/>
      <c r="AA126" s="268"/>
      <c r="AB126" s="268"/>
      <c r="AC126" s="268"/>
      <c r="AD126" s="268"/>
      <c r="AE126" s="268"/>
      <c r="AF126" s="268"/>
      <c r="AG126" s="268"/>
    </row>
    <row r="127" spans="1:33">
      <c r="A127" s="268"/>
      <c r="B127" s="268"/>
      <c r="C127" s="268"/>
      <c r="D127" s="268"/>
      <c r="E127" s="268"/>
      <c r="F127" s="268"/>
      <c r="G127" s="268"/>
      <c r="H127" s="268"/>
      <c r="I127" s="268"/>
      <c r="J127" s="268"/>
      <c r="K127" s="268"/>
      <c r="L127" s="268"/>
      <c r="M127" s="268"/>
      <c r="N127" s="268"/>
      <c r="O127" s="268"/>
      <c r="P127" s="268"/>
      <c r="Q127" s="268"/>
      <c r="R127" s="268"/>
      <c r="S127" s="268"/>
      <c r="T127" s="268"/>
      <c r="U127" s="268"/>
      <c r="V127" s="268"/>
      <c r="W127" s="268"/>
      <c r="X127" s="268"/>
      <c r="Y127" s="268"/>
      <c r="Z127" s="268"/>
      <c r="AA127" s="268"/>
      <c r="AB127" s="268"/>
      <c r="AC127" s="268"/>
      <c r="AD127" s="268"/>
      <c r="AE127" s="268"/>
      <c r="AF127" s="268"/>
      <c r="AG127" s="268"/>
    </row>
    <row r="128" spans="1:33">
      <c r="A128" s="268"/>
      <c r="B128" s="268"/>
      <c r="C128" s="268"/>
      <c r="D128" s="268"/>
      <c r="E128" s="268"/>
      <c r="F128" s="268"/>
      <c r="G128" s="268"/>
      <c r="H128" s="268"/>
      <c r="I128" s="268"/>
      <c r="J128" s="268"/>
      <c r="K128" s="268"/>
      <c r="L128" s="268"/>
      <c r="M128" s="268"/>
      <c r="N128" s="268"/>
      <c r="O128" s="268"/>
      <c r="P128" s="268"/>
      <c r="Q128" s="268"/>
      <c r="R128" s="268"/>
      <c r="S128" s="268"/>
      <c r="T128" s="268"/>
      <c r="U128" s="268"/>
      <c r="V128" s="268"/>
      <c r="W128" s="268"/>
      <c r="X128" s="268"/>
      <c r="Y128" s="268"/>
      <c r="Z128" s="268"/>
      <c r="AA128" s="268"/>
      <c r="AB128" s="268"/>
      <c r="AC128" s="268"/>
      <c r="AD128" s="268"/>
      <c r="AE128" s="268"/>
      <c r="AF128" s="268"/>
      <c r="AG128" s="268"/>
    </row>
    <row r="129" spans="1:33">
      <c r="A129" s="268"/>
      <c r="B129" s="268"/>
      <c r="C129" s="268"/>
      <c r="D129" s="268"/>
      <c r="E129" s="268"/>
      <c r="F129" s="268"/>
      <c r="G129" s="268"/>
      <c r="H129" s="268"/>
      <c r="I129" s="268"/>
      <c r="J129" s="268"/>
      <c r="K129" s="268"/>
      <c r="L129" s="268"/>
      <c r="M129" s="268"/>
      <c r="N129" s="268"/>
      <c r="O129" s="268"/>
      <c r="P129" s="268"/>
      <c r="Q129" s="268"/>
      <c r="R129" s="268"/>
      <c r="S129" s="268"/>
      <c r="T129" s="268"/>
      <c r="U129" s="268"/>
      <c r="V129" s="268"/>
      <c r="W129" s="268"/>
      <c r="X129" s="268"/>
      <c r="Y129" s="268"/>
      <c r="Z129" s="268"/>
      <c r="AA129" s="268"/>
      <c r="AB129" s="268"/>
      <c r="AC129" s="268"/>
      <c r="AD129" s="268"/>
      <c r="AE129" s="268"/>
      <c r="AF129" s="268"/>
      <c r="AG129" s="268"/>
    </row>
    <row r="130" spans="1:33">
      <c r="A130" s="268"/>
      <c r="B130" s="268"/>
      <c r="C130" s="268"/>
      <c r="D130" s="268"/>
      <c r="E130" s="268"/>
      <c r="F130" s="268"/>
      <c r="G130" s="268"/>
      <c r="H130" s="268"/>
      <c r="I130" s="268"/>
      <c r="J130" s="268"/>
      <c r="K130" s="268"/>
      <c r="L130" s="268"/>
      <c r="M130" s="268"/>
      <c r="N130" s="268"/>
      <c r="O130" s="268"/>
      <c r="P130" s="268"/>
      <c r="Q130" s="268"/>
      <c r="R130" s="268"/>
      <c r="S130" s="268"/>
      <c r="T130" s="268"/>
      <c r="U130" s="268"/>
      <c r="V130" s="268"/>
      <c r="W130" s="268"/>
      <c r="X130" s="268"/>
      <c r="Y130" s="268"/>
      <c r="Z130" s="268"/>
      <c r="AA130" s="268"/>
      <c r="AB130" s="268"/>
      <c r="AC130" s="268"/>
      <c r="AD130" s="268"/>
      <c r="AE130" s="268"/>
      <c r="AF130" s="268"/>
      <c r="AG130" s="268"/>
    </row>
    <row r="131" spans="1:33">
      <c r="A131" s="268"/>
      <c r="B131" s="268"/>
      <c r="C131" s="268"/>
      <c r="D131" s="268"/>
      <c r="E131" s="268"/>
      <c r="F131" s="268"/>
      <c r="G131" s="268"/>
      <c r="H131" s="268"/>
      <c r="I131" s="268"/>
      <c r="J131" s="268"/>
      <c r="K131" s="268"/>
      <c r="L131" s="268"/>
      <c r="M131" s="268"/>
      <c r="N131" s="268"/>
      <c r="O131" s="268"/>
      <c r="P131" s="268"/>
      <c r="Q131" s="268"/>
      <c r="R131" s="268"/>
      <c r="S131" s="268"/>
      <c r="T131" s="268"/>
      <c r="U131" s="268"/>
      <c r="V131" s="268"/>
      <c r="W131" s="268"/>
      <c r="X131" s="268"/>
      <c r="Y131" s="268"/>
      <c r="Z131" s="268"/>
      <c r="AA131" s="268"/>
      <c r="AB131" s="268"/>
      <c r="AC131" s="268"/>
      <c r="AD131" s="268"/>
      <c r="AE131" s="268"/>
      <c r="AF131" s="268"/>
      <c r="AG131" s="268"/>
    </row>
    <row r="132" spans="1:33">
      <c r="A132" s="268"/>
      <c r="B132" s="268"/>
      <c r="C132" s="268"/>
      <c r="D132" s="268"/>
      <c r="E132" s="268"/>
      <c r="F132" s="268"/>
      <c r="G132" s="268"/>
      <c r="H132" s="268"/>
      <c r="I132" s="268"/>
      <c r="J132" s="268"/>
      <c r="K132" s="268"/>
      <c r="L132" s="268"/>
      <c r="M132" s="268"/>
      <c r="N132" s="268"/>
      <c r="O132" s="268"/>
      <c r="P132" s="268"/>
      <c r="Q132" s="268"/>
      <c r="R132" s="268"/>
      <c r="S132" s="268"/>
      <c r="T132" s="268"/>
      <c r="U132" s="268"/>
      <c r="V132" s="268"/>
      <c r="W132" s="268"/>
      <c r="X132" s="268"/>
      <c r="Y132" s="268"/>
      <c r="Z132" s="268"/>
      <c r="AA132" s="268"/>
      <c r="AB132" s="268"/>
      <c r="AC132" s="268"/>
      <c r="AD132" s="268"/>
      <c r="AE132" s="268"/>
      <c r="AF132" s="268"/>
      <c r="AG132" s="268"/>
    </row>
    <row r="133" spans="1:33">
      <c r="A133" s="268"/>
      <c r="B133" s="268"/>
      <c r="C133" s="268"/>
      <c r="D133" s="268"/>
      <c r="E133" s="268"/>
      <c r="F133" s="268"/>
      <c r="G133" s="268"/>
      <c r="H133" s="268"/>
      <c r="I133" s="268"/>
      <c r="J133" s="268"/>
      <c r="K133" s="268"/>
      <c r="L133" s="268"/>
      <c r="M133" s="268"/>
      <c r="N133" s="268"/>
      <c r="O133" s="268"/>
      <c r="P133" s="268"/>
      <c r="Q133" s="268"/>
      <c r="R133" s="268"/>
      <c r="S133" s="268"/>
      <c r="T133" s="268"/>
      <c r="U133" s="268"/>
      <c r="V133" s="268"/>
      <c r="W133" s="268"/>
      <c r="X133" s="268"/>
      <c r="Y133" s="268"/>
      <c r="Z133" s="268"/>
      <c r="AA133" s="268"/>
      <c r="AB133" s="268"/>
      <c r="AC133" s="268"/>
      <c r="AD133" s="268"/>
      <c r="AE133" s="268"/>
      <c r="AF133" s="268"/>
      <c r="AG133" s="268"/>
    </row>
    <row r="134" spans="1:33">
      <c r="A134" s="268"/>
      <c r="B134" s="268"/>
      <c r="C134" s="268"/>
      <c r="D134" s="268"/>
      <c r="E134" s="268"/>
      <c r="F134" s="268"/>
      <c r="G134" s="268"/>
      <c r="H134" s="268"/>
      <c r="I134" s="268"/>
      <c r="J134" s="268"/>
      <c r="K134" s="268"/>
      <c r="L134" s="268"/>
      <c r="M134" s="268"/>
      <c r="N134" s="268"/>
      <c r="O134" s="268"/>
      <c r="P134" s="268"/>
      <c r="Q134" s="268"/>
      <c r="R134" s="268"/>
      <c r="S134" s="268"/>
      <c r="T134" s="268"/>
      <c r="U134" s="268"/>
      <c r="V134" s="268"/>
      <c r="W134" s="268"/>
      <c r="X134" s="268"/>
      <c r="Y134" s="268"/>
      <c r="Z134" s="268"/>
      <c r="AA134" s="268"/>
      <c r="AB134" s="268"/>
      <c r="AC134" s="268"/>
      <c r="AD134" s="268"/>
      <c r="AE134" s="268"/>
      <c r="AF134" s="268"/>
      <c r="AG134" s="268"/>
    </row>
    <row r="135" spans="1:33">
      <c r="A135" s="268"/>
      <c r="B135" s="268"/>
      <c r="C135" s="268"/>
      <c r="D135" s="268"/>
      <c r="E135" s="268"/>
      <c r="F135" s="268"/>
      <c r="G135" s="268"/>
      <c r="H135" s="268"/>
      <c r="I135" s="268"/>
      <c r="J135" s="268"/>
      <c r="K135" s="268"/>
      <c r="L135" s="268"/>
      <c r="M135" s="268"/>
      <c r="N135" s="268"/>
      <c r="O135" s="268"/>
      <c r="P135" s="268"/>
      <c r="Q135" s="268"/>
      <c r="R135" s="268"/>
      <c r="S135" s="268"/>
      <c r="T135" s="268"/>
      <c r="U135" s="268"/>
      <c r="V135" s="268"/>
      <c r="W135" s="268"/>
      <c r="X135" s="268"/>
      <c r="Y135" s="268"/>
      <c r="Z135" s="268"/>
      <c r="AA135" s="268"/>
      <c r="AB135" s="268"/>
      <c r="AC135" s="268"/>
      <c r="AD135" s="268"/>
      <c r="AE135" s="268"/>
      <c r="AF135" s="268"/>
      <c r="AG135" s="268"/>
    </row>
    <row r="136" spans="1:33">
      <c r="A136" s="268"/>
      <c r="B136" s="268"/>
      <c r="C136" s="268"/>
      <c r="D136" s="268"/>
      <c r="E136" s="268"/>
      <c r="F136" s="268"/>
      <c r="G136" s="268"/>
      <c r="H136" s="268"/>
      <c r="I136" s="268"/>
      <c r="J136" s="268"/>
      <c r="K136" s="268"/>
      <c r="L136" s="268"/>
      <c r="M136" s="268"/>
      <c r="N136" s="268"/>
      <c r="O136" s="268"/>
      <c r="P136" s="268"/>
      <c r="Q136" s="268"/>
      <c r="R136" s="268"/>
      <c r="S136" s="268"/>
      <c r="T136" s="268"/>
      <c r="U136" s="268"/>
      <c r="V136" s="268"/>
      <c r="W136" s="268"/>
      <c r="X136" s="268"/>
      <c r="Y136" s="268"/>
      <c r="Z136" s="268"/>
      <c r="AA136" s="268"/>
      <c r="AB136" s="268"/>
      <c r="AC136" s="268"/>
      <c r="AD136" s="268"/>
      <c r="AE136" s="268"/>
      <c r="AF136" s="268"/>
      <c r="AG136" s="268"/>
    </row>
    <row r="137" spans="1:33">
      <c r="A137" s="268"/>
      <c r="B137" s="268"/>
      <c r="C137" s="268"/>
      <c r="D137" s="268"/>
      <c r="E137" s="268"/>
      <c r="F137" s="268"/>
      <c r="G137" s="268"/>
      <c r="H137" s="268"/>
      <c r="I137" s="268"/>
      <c r="J137" s="268"/>
      <c r="K137" s="268"/>
      <c r="L137" s="268"/>
      <c r="M137" s="268"/>
      <c r="N137" s="268"/>
      <c r="O137" s="268"/>
      <c r="P137" s="268"/>
      <c r="Q137" s="268"/>
      <c r="R137" s="268"/>
      <c r="S137" s="268"/>
      <c r="T137" s="268"/>
      <c r="U137" s="268"/>
      <c r="V137" s="268"/>
      <c r="W137" s="268"/>
      <c r="X137" s="268"/>
      <c r="Y137" s="268"/>
      <c r="Z137" s="268"/>
      <c r="AA137" s="268"/>
      <c r="AB137" s="268"/>
      <c r="AC137" s="268"/>
      <c r="AD137" s="268"/>
      <c r="AE137" s="268"/>
      <c r="AF137" s="268"/>
      <c r="AG137" s="268"/>
    </row>
    <row r="138" spans="1:33">
      <c r="A138" s="268"/>
      <c r="B138" s="268"/>
      <c r="C138" s="268"/>
      <c r="D138" s="268"/>
      <c r="E138" s="268"/>
      <c r="F138" s="268"/>
      <c r="G138" s="268"/>
      <c r="H138" s="268"/>
      <c r="I138" s="268"/>
      <c r="J138" s="268"/>
      <c r="K138" s="268"/>
      <c r="L138" s="268"/>
      <c r="M138" s="268"/>
      <c r="N138" s="268"/>
      <c r="O138" s="268"/>
      <c r="P138" s="268"/>
      <c r="Q138" s="268"/>
      <c r="R138" s="268"/>
      <c r="S138" s="268"/>
      <c r="T138" s="268"/>
      <c r="U138" s="268"/>
      <c r="V138" s="268"/>
      <c r="W138" s="268"/>
      <c r="X138" s="268"/>
      <c r="Y138" s="268"/>
      <c r="Z138" s="268"/>
      <c r="AA138" s="268"/>
      <c r="AB138" s="268"/>
      <c r="AC138" s="268"/>
      <c r="AD138" s="268"/>
      <c r="AE138" s="268"/>
      <c r="AF138" s="268"/>
      <c r="AG138" s="268"/>
    </row>
    <row r="139" spans="1:33">
      <c r="A139" s="268"/>
      <c r="B139" s="268"/>
      <c r="C139" s="268"/>
      <c r="D139" s="268"/>
      <c r="E139" s="268"/>
      <c r="F139" s="268"/>
      <c r="G139" s="268"/>
      <c r="H139" s="268"/>
      <c r="I139" s="268"/>
      <c r="J139" s="268"/>
      <c r="K139" s="268"/>
      <c r="L139" s="268"/>
      <c r="M139" s="268"/>
      <c r="N139" s="268"/>
      <c r="O139" s="268"/>
      <c r="P139" s="268"/>
      <c r="Q139" s="268"/>
      <c r="R139" s="268"/>
      <c r="S139" s="268"/>
      <c r="T139" s="268"/>
      <c r="U139" s="268"/>
      <c r="V139" s="268"/>
      <c r="W139" s="268"/>
      <c r="X139" s="268"/>
      <c r="Y139" s="268"/>
      <c r="Z139" s="268"/>
      <c r="AA139" s="268"/>
      <c r="AB139" s="268"/>
      <c r="AC139" s="268"/>
      <c r="AD139" s="268"/>
      <c r="AE139" s="268"/>
      <c r="AF139" s="268"/>
      <c r="AG139" s="268"/>
    </row>
    <row r="140" spans="1:33">
      <c r="A140" s="268"/>
      <c r="B140" s="268"/>
      <c r="C140" s="268"/>
      <c r="D140" s="268"/>
      <c r="E140" s="268"/>
      <c r="F140" s="268"/>
      <c r="G140" s="268"/>
      <c r="H140" s="268"/>
      <c r="I140" s="268"/>
      <c r="J140" s="268"/>
      <c r="K140" s="268"/>
      <c r="L140" s="268"/>
      <c r="M140" s="268"/>
      <c r="N140" s="268"/>
      <c r="O140" s="268"/>
      <c r="P140" s="268"/>
      <c r="Q140" s="268"/>
      <c r="R140" s="268"/>
      <c r="S140" s="268"/>
      <c r="T140" s="268"/>
      <c r="U140" s="268"/>
      <c r="V140" s="268"/>
      <c r="W140" s="268"/>
      <c r="X140" s="268"/>
      <c r="Y140" s="268"/>
      <c r="Z140" s="268"/>
      <c r="AA140" s="268"/>
      <c r="AB140" s="268"/>
      <c r="AC140" s="268"/>
      <c r="AD140" s="268"/>
      <c r="AE140" s="268"/>
      <c r="AF140" s="268"/>
      <c r="AG140" s="268"/>
    </row>
    <row r="141" spans="1:33">
      <c r="A141" s="268"/>
      <c r="B141" s="268"/>
      <c r="C141" s="268"/>
      <c r="D141" s="268"/>
      <c r="E141" s="268"/>
      <c r="F141" s="268"/>
      <c r="G141" s="268"/>
      <c r="H141" s="268"/>
      <c r="I141" s="268"/>
      <c r="J141" s="268"/>
      <c r="K141" s="268"/>
      <c r="L141" s="268"/>
      <c r="M141" s="268"/>
      <c r="N141" s="268"/>
      <c r="O141" s="268"/>
      <c r="P141" s="268"/>
      <c r="Q141" s="268"/>
      <c r="R141" s="268"/>
      <c r="S141" s="268"/>
      <c r="T141" s="268"/>
      <c r="U141" s="268"/>
      <c r="V141" s="268"/>
      <c r="W141" s="268"/>
      <c r="X141" s="268"/>
      <c r="Y141" s="268"/>
      <c r="Z141" s="268"/>
      <c r="AA141" s="268"/>
      <c r="AB141" s="268"/>
      <c r="AC141" s="268"/>
      <c r="AD141" s="268"/>
      <c r="AE141" s="268"/>
      <c r="AF141" s="268"/>
      <c r="AG141" s="268"/>
    </row>
    <row r="142" spans="1:33">
      <c r="A142" s="268"/>
      <c r="B142" s="268"/>
      <c r="C142" s="268"/>
      <c r="D142" s="268"/>
      <c r="E142" s="268"/>
      <c r="F142" s="268"/>
      <c r="G142" s="268"/>
      <c r="H142" s="268"/>
      <c r="I142" s="268"/>
      <c r="J142" s="268"/>
      <c r="K142" s="268"/>
      <c r="L142" s="268"/>
      <c r="M142" s="268"/>
      <c r="N142" s="268"/>
      <c r="O142" s="268"/>
      <c r="P142" s="268"/>
      <c r="Q142" s="268"/>
      <c r="R142" s="268"/>
      <c r="S142" s="268"/>
      <c r="T142" s="268"/>
      <c r="U142" s="268"/>
      <c r="V142" s="268"/>
      <c r="W142" s="268"/>
      <c r="X142" s="268"/>
      <c r="Y142" s="268"/>
      <c r="Z142" s="268"/>
      <c r="AA142" s="268"/>
      <c r="AB142" s="268"/>
      <c r="AC142" s="268"/>
      <c r="AD142" s="268"/>
      <c r="AE142" s="268"/>
      <c r="AF142" s="268"/>
      <c r="AG142" s="268"/>
    </row>
    <row r="143" spans="1:33">
      <c r="A143" s="268"/>
      <c r="B143" s="268"/>
      <c r="C143" s="268"/>
      <c r="D143" s="268"/>
      <c r="E143" s="268"/>
      <c r="F143" s="268"/>
      <c r="G143" s="268"/>
      <c r="H143" s="268"/>
      <c r="I143" s="268"/>
      <c r="J143" s="268"/>
      <c r="K143" s="268"/>
      <c r="L143" s="268"/>
      <c r="M143" s="268"/>
      <c r="N143" s="268"/>
      <c r="O143" s="268"/>
      <c r="P143" s="268"/>
      <c r="Q143" s="268"/>
      <c r="R143" s="268"/>
      <c r="S143" s="268"/>
      <c r="T143" s="268"/>
      <c r="U143" s="268"/>
      <c r="V143" s="268"/>
      <c r="W143" s="268"/>
      <c r="X143" s="268"/>
      <c r="Y143" s="268"/>
      <c r="Z143" s="268"/>
      <c r="AA143" s="268"/>
      <c r="AB143" s="268"/>
      <c r="AC143" s="268"/>
      <c r="AD143" s="268"/>
      <c r="AE143" s="268"/>
      <c r="AF143" s="268"/>
      <c r="AG143" s="268"/>
    </row>
    <row r="144" spans="1:33">
      <c r="A144" s="268"/>
      <c r="B144" s="268"/>
      <c r="C144" s="268"/>
      <c r="D144" s="268"/>
      <c r="E144" s="268"/>
      <c r="F144" s="268"/>
      <c r="G144" s="268"/>
      <c r="H144" s="268"/>
      <c r="I144" s="268"/>
      <c r="J144" s="268"/>
      <c r="K144" s="268"/>
      <c r="L144" s="268"/>
      <c r="M144" s="268"/>
      <c r="N144" s="268"/>
      <c r="O144" s="268"/>
      <c r="P144" s="268"/>
      <c r="Q144" s="268"/>
      <c r="R144" s="268"/>
      <c r="S144" s="268"/>
      <c r="T144" s="268"/>
      <c r="U144" s="268"/>
      <c r="V144" s="268"/>
      <c r="W144" s="268"/>
      <c r="X144" s="268"/>
      <c r="Y144" s="268"/>
      <c r="Z144" s="268"/>
      <c r="AA144" s="268"/>
      <c r="AB144" s="268"/>
      <c r="AC144" s="268"/>
      <c r="AD144" s="268"/>
      <c r="AE144" s="268"/>
      <c r="AF144" s="268"/>
      <c r="AG144" s="268"/>
    </row>
    <row r="145" spans="1:33">
      <c r="A145" s="268"/>
      <c r="B145" s="268"/>
      <c r="C145" s="268"/>
      <c r="D145" s="268"/>
      <c r="E145" s="268"/>
      <c r="F145" s="268"/>
      <c r="G145" s="268"/>
      <c r="H145" s="268"/>
      <c r="I145" s="268"/>
      <c r="J145" s="268"/>
      <c r="K145" s="268"/>
      <c r="L145" s="268"/>
      <c r="M145" s="268"/>
      <c r="N145" s="268"/>
      <c r="O145" s="268"/>
      <c r="P145" s="268"/>
      <c r="Q145" s="268"/>
      <c r="R145" s="268"/>
      <c r="S145" s="268"/>
      <c r="T145" s="268"/>
      <c r="U145" s="268"/>
      <c r="V145" s="268"/>
      <c r="W145" s="268"/>
      <c r="X145" s="268"/>
      <c r="Y145" s="268"/>
      <c r="Z145" s="268"/>
      <c r="AA145" s="268"/>
      <c r="AB145" s="268"/>
      <c r="AC145" s="268"/>
      <c r="AD145" s="268"/>
      <c r="AE145" s="268"/>
      <c r="AF145" s="268"/>
      <c r="AG145" s="268"/>
    </row>
    <row r="146" spans="1:33">
      <c r="A146" s="268"/>
      <c r="B146" s="268"/>
      <c r="C146" s="268"/>
      <c r="D146" s="268"/>
      <c r="E146" s="268"/>
      <c r="F146" s="268"/>
      <c r="G146" s="268"/>
      <c r="H146" s="268"/>
      <c r="I146" s="268"/>
      <c r="J146" s="268"/>
      <c r="K146" s="268"/>
      <c r="L146" s="268"/>
      <c r="M146" s="268"/>
      <c r="N146" s="268"/>
      <c r="O146" s="268"/>
      <c r="P146" s="268"/>
      <c r="Q146" s="268"/>
      <c r="R146" s="268"/>
      <c r="S146" s="268"/>
      <c r="T146" s="268"/>
      <c r="U146" s="268"/>
      <c r="V146" s="268"/>
      <c r="W146" s="268"/>
      <c r="X146" s="268"/>
      <c r="Y146" s="268"/>
      <c r="Z146" s="268"/>
      <c r="AA146" s="268"/>
      <c r="AB146" s="268"/>
      <c r="AC146" s="268"/>
      <c r="AD146" s="268"/>
      <c r="AE146" s="268"/>
      <c r="AF146" s="268"/>
      <c r="AG146" s="268"/>
    </row>
    <row r="147" spans="1:33">
      <c r="A147" s="268"/>
      <c r="B147" s="268"/>
      <c r="C147" s="268"/>
      <c r="D147" s="268"/>
      <c r="E147" s="268"/>
      <c r="F147" s="268"/>
      <c r="G147" s="268"/>
      <c r="H147" s="268"/>
      <c r="I147" s="268"/>
      <c r="J147" s="268"/>
      <c r="K147" s="268"/>
      <c r="L147" s="268"/>
      <c r="M147" s="268"/>
      <c r="N147" s="268"/>
      <c r="O147" s="268"/>
      <c r="P147" s="268"/>
      <c r="Q147" s="268"/>
      <c r="R147" s="268"/>
      <c r="S147" s="268"/>
      <c r="T147" s="268"/>
      <c r="U147" s="268"/>
      <c r="V147" s="268"/>
      <c r="W147" s="268"/>
      <c r="X147" s="268"/>
      <c r="Y147" s="268"/>
      <c r="Z147" s="268"/>
      <c r="AA147" s="268"/>
      <c r="AB147" s="268"/>
      <c r="AC147" s="268"/>
      <c r="AD147" s="268"/>
      <c r="AE147" s="268"/>
      <c r="AF147" s="268"/>
      <c r="AG147" s="268"/>
    </row>
    <row r="148" spans="1:33">
      <c r="A148" s="268"/>
      <c r="B148" s="268"/>
      <c r="C148" s="268"/>
      <c r="D148" s="268"/>
      <c r="E148" s="268"/>
      <c r="F148" s="268"/>
      <c r="G148" s="268"/>
      <c r="H148" s="268"/>
      <c r="I148" s="268"/>
      <c r="J148" s="268"/>
      <c r="K148" s="268"/>
      <c r="L148" s="268"/>
      <c r="M148" s="268"/>
      <c r="N148" s="268"/>
      <c r="O148" s="268"/>
      <c r="P148" s="268"/>
      <c r="Q148" s="268"/>
      <c r="R148" s="268"/>
      <c r="S148" s="268"/>
      <c r="T148" s="268"/>
      <c r="U148" s="268"/>
      <c r="V148" s="268"/>
      <c r="W148" s="268"/>
      <c r="X148" s="268"/>
      <c r="Y148" s="268"/>
      <c r="Z148" s="268"/>
      <c r="AA148" s="268"/>
      <c r="AB148" s="268"/>
      <c r="AC148" s="268"/>
      <c r="AD148" s="268"/>
      <c r="AE148" s="268"/>
      <c r="AF148" s="268"/>
      <c r="AG148" s="268"/>
    </row>
    <row r="149" spans="1:33">
      <c r="A149" s="268"/>
      <c r="B149" s="268"/>
      <c r="C149" s="268"/>
      <c r="D149" s="268"/>
      <c r="E149" s="268"/>
      <c r="F149" s="268"/>
      <c r="G149" s="268"/>
      <c r="H149" s="268"/>
      <c r="I149" s="268"/>
      <c r="J149" s="268"/>
      <c r="K149" s="268"/>
      <c r="L149" s="268"/>
      <c r="M149" s="268"/>
      <c r="N149" s="268"/>
      <c r="O149" s="268"/>
      <c r="P149" s="268"/>
      <c r="Q149" s="268"/>
      <c r="R149" s="268"/>
      <c r="S149" s="268"/>
      <c r="T149" s="268"/>
      <c r="U149" s="268"/>
      <c r="V149" s="268"/>
      <c r="W149" s="268"/>
      <c r="X149" s="268"/>
      <c r="Y149" s="268"/>
      <c r="Z149" s="268"/>
      <c r="AA149" s="268"/>
      <c r="AB149" s="268"/>
      <c r="AC149" s="268"/>
      <c r="AD149" s="268"/>
      <c r="AE149" s="268"/>
      <c r="AF149" s="268"/>
      <c r="AG149" s="268"/>
    </row>
    <row r="150" spans="1:33">
      <c r="A150" s="268"/>
      <c r="B150" s="268"/>
      <c r="C150" s="268"/>
      <c r="D150" s="268"/>
      <c r="E150" s="268"/>
      <c r="F150" s="268"/>
      <c r="G150" s="268"/>
      <c r="H150" s="268"/>
      <c r="I150" s="268"/>
      <c r="J150" s="268"/>
      <c r="K150" s="268"/>
      <c r="L150" s="268"/>
      <c r="M150" s="268"/>
      <c r="N150" s="268"/>
      <c r="O150" s="268"/>
      <c r="P150" s="268"/>
      <c r="Q150" s="268"/>
      <c r="R150" s="268"/>
      <c r="S150" s="268"/>
      <c r="T150" s="268"/>
      <c r="U150" s="268"/>
      <c r="V150" s="268"/>
      <c r="W150" s="268"/>
      <c r="X150" s="268"/>
      <c r="Y150" s="268"/>
      <c r="Z150" s="268"/>
      <c r="AA150" s="268"/>
      <c r="AB150" s="268"/>
      <c r="AC150" s="268"/>
      <c r="AD150" s="268"/>
      <c r="AE150" s="268"/>
      <c r="AF150" s="268"/>
      <c r="AG150" s="268"/>
    </row>
    <row r="151" spans="1:33">
      <c r="A151" s="268"/>
      <c r="B151" s="268"/>
      <c r="C151" s="268"/>
      <c r="D151" s="268"/>
      <c r="E151" s="268"/>
      <c r="F151" s="268"/>
      <c r="G151" s="268"/>
      <c r="H151" s="268"/>
      <c r="I151" s="268"/>
      <c r="J151" s="268"/>
      <c r="K151" s="268"/>
      <c r="L151" s="268"/>
      <c r="M151" s="268"/>
      <c r="N151" s="268"/>
      <c r="O151" s="268"/>
      <c r="P151" s="268"/>
      <c r="Q151" s="268"/>
      <c r="R151" s="268"/>
      <c r="S151" s="268"/>
      <c r="T151" s="268"/>
      <c r="U151" s="268"/>
      <c r="V151" s="268"/>
      <c r="W151" s="268"/>
      <c r="X151" s="268"/>
      <c r="Y151" s="268"/>
      <c r="Z151" s="268"/>
      <c r="AA151" s="268"/>
      <c r="AB151" s="268"/>
      <c r="AC151" s="268"/>
      <c r="AD151" s="268"/>
      <c r="AE151" s="268"/>
      <c r="AF151" s="268"/>
      <c r="AG151" s="268"/>
    </row>
    <row r="152" spans="1:33">
      <c r="A152" s="268"/>
      <c r="B152" s="268"/>
      <c r="C152" s="268"/>
      <c r="D152" s="268"/>
      <c r="E152" s="268"/>
      <c r="F152" s="268"/>
      <c r="G152" s="268"/>
      <c r="H152" s="268"/>
      <c r="I152" s="268"/>
      <c r="J152" s="268"/>
      <c r="K152" s="268"/>
      <c r="L152" s="268"/>
      <c r="M152" s="268"/>
      <c r="N152" s="268"/>
      <c r="O152" s="268"/>
      <c r="P152" s="268"/>
      <c r="Q152" s="268"/>
      <c r="R152" s="268"/>
      <c r="S152" s="268"/>
      <c r="T152" s="268"/>
      <c r="U152" s="268"/>
      <c r="V152" s="268"/>
      <c r="W152" s="268"/>
      <c r="X152" s="268"/>
      <c r="Y152" s="268"/>
      <c r="Z152" s="268"/>
      <c r="AA152" s="268"/>
      <c r="AB152" s="268"/>
      <c r="AC152" s="268"/>
      <c r="AD152" s="268"/>
      <c r="AE152" s="268"/>
      <c r="AF152" s="268"/>
      <c r="AG152" s="268"/>
    </row>
    <row r="153" spans="1:33">
      <c r="A153" s="268"/>
      <c r="B153" s="268"/>
      <c r="C153" s="268"/>
      <c r="D153" s="268"/>
      <c r="E153" s="268"/>
      <c r="F153" s="268"/>
      <c r="G153" s="268"/>
      <c r="H153" s="268"/>
      <c r="I153" s="268"/>
      <c r="J153" s="268"/>
      <c r="K153" s="268"/>
      <c r="L153" s="268"/>
      <c r="M153" s="268"/>
      <c r="N153" s="268"/>
      <c r="O153" s="268"/>
      <c r="P153" s="268"/>
      <c r="Q153" s="268"/>
      <c r="R153" s="268"/>
      <c r="S153" s="268"/>
      <c r="T153" s="268"/>
      <c r="U153" s="268"/>
      <c r="V153" s="268"/>
      <c r="W153" s="268"/>
      <c r="X153" s="268"/>
      <c r="Y153" s="268"/>
      <c r="Z153" s="268"/>
      <c r="AA153" s="268"/>
      <c r="AB153" s="268"/>
      <c r="AC153" s="268"/>
      <c r="AD153" s="268"/>
      <c r="AE153" s="268"/>
      <c r="AF153" s="268"/>
      <c r="AG153" s="268"/>
    </row>
    <row r="154" spans="1:33">
      <c r="A154" s="268"/>
      <c r="B154" s="268"/>
      <c r="C154" s="268"/>
      <c r="D154" s="268"/>
      <c r="E154" s="268"/>
      <c r="F154" s="268"/>
      <c r="G154" s="268"/>
      <c r="H154" s="268"/>
      <c r="I154" s="268"/>
      <c r="J154" s="268"/>
      <c r="K154" s="268"/>
      <c r="L154" s="268"/>
      <c r="M154" s="268"/>
      <c r="N154" s="268"/>
      <c r="O154" s="268"/>
      <c r="P154" s="268"/>
      <c r="Q154" s="268"/>
      <c r="R154" s="268"/>
      <c r="S154" s="268"/>
      <c r="T154" s="268"/>
      <c r="U154" s="268"/>
      <c r="V154" s="268"/>
      <c r="W154" s="268"/>
      <c r="X154" s="268"/>
      <c r="Y154" s="268"/>
      <c r="Z154" s="268"/>
      <c r="AA154" s="268"/>
      <c r="AB154" s="268"/>
      <c r="AC154" s="268"/>
      <c r="AD154" s="268"/>
      <c r="AE154" s="268"/>
      <c r="AF154" s="268"/>
      <c r="AG154" s="268"/>
    </row>
    <row r="155" spans="1:33">
      <c r="A155" s="268"/>
      <c r="B155" s="268"/>
      <c r="C155" s="268"/>
      <c r="D155" s="268"/>
      <c r="E155" s="268"/>
      <c r="F155" s="268"/>
      <c r="G155" s="268"/>
      <c r="H155" s="268"/>
      <c r="I155" s="268"/>
      <c r="J155" s="268"/>
      <c r="K155" s="268"/>
      <c r="L155" s="268"/>
      <c r="M155" s="268"/>
      <c r="N155" s="268"/>
      <c r="O155" s="268"/>
      <c r="P155" s="268"/>
      <c r="Q155" s="268"/>
      <c r="R155" s="268"/>
      <c r="S155" s="268"/>
      <c r="T155" s="268"/>
      <c r="U155" s="268"/>
      <c r="V155" s="268"/>
      <c r="W155" s="268"/>
      <c r="X155" s="268"/>
      <c r="Y155" s="268"/>
      <c r="Z155" s="268"/>
      <c r="AA155" s="268"/>
      <c r="AB155" s="268"/>
      <c r="AC155" s="268"/>
      <c r="AD155" s="268"/>
      <c r="AE155" s="268"/>
      <c r="AF155" s="268"/>
      <c r="AG155" s="268"/>
    </row>
    <row r="156" spans="1:33">
      <c r="A156" s="268"/>
      <c r="B156" s="268"/>
      <c r="C156" s="268"/>
      <c r="D156" s="268"/>
      <c r="E156" s="268"/>
      <c r="F156" s="268"/>
      <c r="G156" s="268"/>
      <c r="H156" s="268"/>
      <c r="I156" s="268"/>
      <c r="J156" s="268"/>
      <c r="K156" s="268"/>
      <c r="L156" s="268"/>
      <c r="M156" s="268"/>
      <c r="N156" s="268"/>
      <c r="O156" s="268"/>
      <c r="P156" s="268"/>
      <c r="Q156" s="268"/>
      <c r="R156" s="268"/>
      <c r="S156" s="268"/>
      <c r="T156" s="268"/>
      <c r="U156" s="268"/>
      <c r="V156" s="268"/>
      <c r="W156" s="268"/>
      <c r="X156" s="268"/>
      <c r="Y156" s="268"/>
      <c r="Z156" s="268"/>
      <c r="AA156" s="268"/>
      <c r="AB156" s="268"/>
      <c r="AC156" s="268"/>
      <c r="AD156" s="268"/>
      <c r="AE156" s="268"/>
      <c r="AF156" s="268"/>
      <c r="AG156" s="268"/>
    </row>
    <row r="157" spans="1:33">
      <c r="A157" s="268"/>
      <c r="B157" s="268"/>
      <c r="C157" s="268"/>
      <c r="D157" s="268"/>
      <c r="E157" s="268"/>
      <c r="F157" s="268"/>
      <c r="G157" s="268"/>
      <c r="H157" s="268"/>
      <c r="I157" s="268"/>
      <c r="J157" s="268"/>
      <c r="K157" s="268"/>
      <c r="L157" s="268"/>
      <c r="M157" s="268"/>
      <c r="N157" s="268"/>
      <c r="O157" s="268"/>
      <c r="P157" s="268"/>
      <c r="Q157" s="268"/>
      <c r="R157" s="268"/>
      <c r="S157" s="268"/>
      <c r="T157" s="268"/>
      <c r="U157" s="268"/>
      <c r="V157" s="268"/>
      <c r="W157" s="268"/>
      <c r="X157" s="268"/>
      <c r="Y157" s="268"/>
      <c r="Z157" s="268"/>
      <c r="AA157" s="268"/>
      <c r="AB157" s="268"/>
      <c r="AC157" s="268"/>
      <c r="AD157" s="268"/>
      <c r="AE157" s="268"/>
      <c r="AF157" s="268"/>
      <c r="AG157" s="268"/>
    </row>
    <row r="158" spans="1:33">
      <c r="A158" s="268"/>
      <c r="B158" s="268"/>
      <c r="C158" s="268"/>
      <c r="D158" s="268"/>
      <c r="E158" s="268"/>
      <c r="F158" s="268"/>
      <c r="G158" s="268"/>
      <c r="H158" s="268"/>
      <c r="I158" s="268"/>
      <c r="J158" s="268"/>
      <c r="K158" s="268"/>
      <c r="L158" s="268"/>
      <c r="M158" s="268"/>
      <c r="N158" s="268"/>
      <c r="O158" s="268"/>
      <c r="P158" s="268"/>
      <c r="Q158" s="268"/>
      <c r="R158" s="268"/>
      <c r="S158" s="268"/>
      <c r="T158" s="268"/>
      <c r="U158" s="268"/>
      <c r="V158" s="268"/>
      <c r="W158" s="268"/>
      <c r="X158" s="268"/>
      <c r="Y158" s="268"/>
      <c r="Z158" s="268"/>
      <c r="AA158" s="268"/>
      <c r="AB158" s="268"/>
      <c r="AC158" s="268"/>
      <c r="AD158" s="268"/>
      <c r="AE158" s="268"/>
      <c r="AF158" s="268"/>
      <c r="AG158" s="268"/>
    </row>
    <row r="159" spans="1:33">
      <c r="A159" s="268"/>
      <c r="B159" s="268"/>
      <c r="C159" s="268"/>
      <c r="D159" s="268"/>
      <c r="E159" s="268"/>
      <c r="F159" s="268"/>
      <c r="G159" s="268"/>
      <c r="H159" s="268"/>
      <c r="I159" s="268"/>
      <c r="J159" s="268"/>
      <c r="K159" s="268"/>
      <c r="L159" s="268"/>
      <c r="M159" s="268"/>
      <c r="N159" s="268"/>
      <c r="O159" s="268"/>
      <c r="P159" s="268"/>
      <c r="Q159" s="268"/>
      <c r="R159" s="268"/>
      <c r="S159" s="268"/>
      <c r="T159" s="268"/>
      <c r="U159" s="268"/>
      <c r="V159" s="268"/>
      <c r="W159" s="268"/>
      <c r="X159" s="268"/>
      <c r="Y159" s="268"/>
      <c r="Z159" s="268"/>
      <c r="AA159" s="268"/>
      <c r="AB159" s="268"/>
      <c r="AC159" s="268"/>
      <c r="AD159" s="268"/>
      <c r="AE159" s="268"/>
      <c r="AF159" s="268"/>
      <c r="AG159" s="268"/>
    </row>
    <row r="160" spans="1:33">
      <c r="A160" s="268"/>
      <c r="B160" s="268"/>
      <c r="C160" s="268"/>
      <c r="D160" s="268"/>
      <c r="E160" s="268"/>
      <c r="F160" s="268"/>
      <c r="G160" s="268"/>
      <c r="H160" s="268"/>
      <c r="I160" s="268"/>
      <c r="J160" s="268"/>
      <c r="K160" s="268"/>
      <c r="L160" s="268"/>
      <c r="M160" s="268"/>
      <c r="N160" s="268"/>
      <c r="O160" s="268"/>
      <c r="P160" s="268"/>
      <c r="Q160" s="268"/>
      <c r="R160" s="268"/>
      <c r="S160" s="268"/>
      <c r="T160" s="268"/>
      <c r="U160" s="268"/>
      <c r="V160" s="268"/>
      <c r="W160" s="268"/>
      <c r="X160" s="268"/>
      <c r="Y160" s="268"/>
      <c r="Z160" s="268"/>
      <c r="AA160" s="268"/>
      <c r="AB160" s="268"/>
      <c r="AC160" s="268"/>
      <c r="AD160" s="268"/>
      <c r="AE160" s="268"/>
      <c r="AF160" s="268"/>
      <c r="AG160" s="268"/>
    </row>
    <row r="161" spans="1:33">
      <c r="A161" s="268"/>
      <c r="B161" s="268"/>
      <c r="C161" s="268"/>
      <c r="D161" s="268"/>
      <c r="E161" s="268"/>
      <c r="F161" s="268"/>
      <c r="G161" s="268"/>
      <c r="H161" s="268"/>
      <c r="I161" s="268"/>
      <c r="J161" s="268"/>
      <c r="K161" s="268"/>
      <c r="L161" s="268"/>
      <c r="M161" s="268"/>
      <c r="N161" s="268"/>
      <c r="O161" s="268"/>
      <c r="P161" s="268"/>
      <c r="Q161" s="268"/>
      <c r="R161" s="268"/>
      <c r="S161" s="268"/>
      <c r="T161" s="268"/>
      <c r="U161" s="268"/>
      <c r="V161" s="268"/>
      <c r="W161" s="268"/>
      <c r="X161" s="268"/>
      <c r="Y161" s="268"/>
      <c r="Z161" s="268"/>
      <c r="AA161" s="268"/>
      <c r="AB161" s="268"/>
      <c r="AC161" s="268"/>
      <c r="AD161" s="268"/>
      <c r="AE161" s="268"/>
      <c r="AF161" s="268"/>
      <c r="AG161" s="268"/>
    </row>
    <row r="162" spans="1:33">
      <c r="A162" s="268"/>
      <c r="B162" s="268"/>
      <c r="C162" s="268"/>
      <c r="D162" s="268"/>
      <c r="E162" s="268"/>
      <c r="F162" s="268"/>
      <c r="G162" s="268"/>
      <c r="H162" s="268"/>
      <c r="I162" s="268"/>
      <c r="J162" s="268"/>
      <c r="K162" s="268"/>
      <c r="L162" s="268"/>
      <c r="M162" s="268"/>
      <c r="N162" s="268"/>
      <c r="O162" s="268"/>
      <c r="P162" s="268"/>
      <c r="Q162" s="268"/>
      <c r="R162" s="268"/>
      <c r="S162" s="268"/>
      <c r="T162" s="268"/>
      <c r="U162" s="268"/>
      <c r="V162" s="268"/>
      <c r="W162" s="268"/>
      <c r="X162" s="268"/>
      <c r="Y162" s="268"/>
      <c r="Z162" s="268"/>
      <c r="AA162" s="268"/>
      <c r="AB162" s="268"/>
      <c r="AC162" s="268"/>
      <c r="AD162" s="268"/>
      <c r="AE162" s="268"/>
      <c r="AF162" s="268"/>
      <c r="AG162" s="268"/>
    </row>
    <row r="163" spans="1:33">
      <c r="A163" s="268"/>
      <c r="B163" s="268"/>
      <c r="C163" s="268"/>
      <c r="D163" s="268"/>
      <c r="E163" s="268"/>
      <c r="F163" s="268"/>
      <c r="G163" s="268"/>
      <c r="H163" s="268"/>
      <c r="I163" s="268"/>
      <c r="J163" s="268"/>
      <c r="K163" s="268"/>
      <c r="L163" s="268"/>
      <c r="M163" s="268"/>
      <c r="N163" s="268"/>
      <c r="O163" s="268"/>
      <c r="P163" s="268"/>
      <c r="Q163" s="268"/>
      <c r="R163" s="268"/>
      <c r="S163" s="268"/>
      <c r="T163" s="268"/>
      <c r="U163" s="268"/>
      <c r="V163" s="268"/>
      <c r="W163" s="268"/>
      <c r="X163" s="268"/>
      <c r="Y163" s="268"/>
      <c r="Z163" s="268"/>
      <c r="AA163" s="268"/>
      <c r="AB163" s="268"/>
      <c r="AC163" s="268"/>
      <c r="AD163" s="268"/>
      <c r="AE163" s="268"/>
      <c r="AF163" s="268"/>
      <c r="AG163" s="268"/>
    </row>
    <row r="164" spans="1:33">
      <c r="A164" s="268"/>
      <c r="B164" s="268"/>
      <c r="C164" s="268"/>
      <c r="D164" s="268"/>
      <c r="E164" s="268"/>
      <c r="F164" s="268"/>
      <c r="G164" s="268"/>
      <c r="H164" s="268"/>
      <c r="I164" s="268"/>
      <c r="J164" s="268"/>
      <c r="K164" s="268"/>
      <c r="L164" s="268"/>
      <c r="M164" s="268"/>
      <c r="N164" s="268"/>
      <c r="O164" s="268"/>
      <c r="P164" s="268"/>
      <c r="Q164" s="268"/>
      <c r="R164" s="268"/>
      <c r="S164" s="268"/>
      <c r="T164" s="268"/>
      <c r="U164" s="268"/>
      <c r="V164" s="268"/>
      <c r="W164" s="268"/>
      <c r="X164" s="268"/>
      <c r="Y164" s="268"/>
      <c r="Z164" s="268"/>
      <c r="AA164" s="268"/>
      <c r="AB164" s="268"/>
      <c r="AC164" s="268"/>
      <c r="AD164" s="268"/>
      <c r="AE164" s="268"/>
      <c r="AF164" s="268"/>
      <c r="AG164" s="268"/>
    </row>
    <row r="165" spans="1:33">
      <c r="A165" s="268"/>
      <c r="B165" s="268"/>
      <c r="C165" s="268"/>
      <c r="D165" s="268"/>
      <c r="E165" s="268"/>
      <c r="F165" s="268"/>
      <c r="G165" s="268"/>
      <c r="H165" s="268"/>
      <c r="I165" s="268"/>
      <c r="J165" s="268"/>
      <c r="K165" s="268"/>
      <c r="L165" s="268"/>
      <c r="M165" s="268"/>
      <c r="N165" s="268"/>
      <c r="O165" s="268"/>
      <c r="P165" s="268"/>
      <c r="Q165" s="268"/>
      <c r="R165" s="268"/>
      <c r="S165" s="268"/>
      <c r="T165" s="268"/>
      <c r="U165" s="268"/>
      <c r="V165" s="268"/>
      <c r="W165" s="268"/>
      <c r="X165" s="268"/>
      <c r="Y165" s="268"/>
      <c r="Z165" s="268"/>
      <c r="AA165" s="268"/>
      <c r="AB165" s="268"/>
      <c r="AC165" s="268"/>
      <c r="AD165" s="268"/>
      <c r="AE165" s="268"/>
      <c r="AF165" s="268"/>
      <c r="AG165" s="268"/>
    </row>
    <row r="166" spans="1:33">
      <c r="A166" s="268"/>
      <c r="B166" s="268"/>
      <c r="C166" s="268"/>
      <c r="D166" s="268"/>
      <c r="E166" s="268"/>
      <c r="F166" s="268"/>
      <c r="G166" s="268"/>
      <c r="H166" s="268"/>
      <c r="I166" s="268"/>
      <c r="J166" s="268"/>
      <c r="K166" s="268"/>
      <c r="L166" s="268"/>
      <c r="M166" s="268"/>
      <c r="N166" s="268"/>
      <c r="O166" s="268"/>
      <c r="P166" s="268"/>
      <c r="Q166" s="268"/>
      <c r="R166" s="268"/>
      <c r="S166" s="268"/>
      <c r="T166" s="268"/>
      <c r="U166" s="268"/>
      <c r="V166" s="268"/>
      <c r="W166" s="268"/>
      <c r="X166" s="268"/>
      <c r="Y166" s="268"/>
      <c r="Z166" s="268"/>
      <c r="AA166" s="268"/>
      <c r="AB166" s="268"/>
      <c r="AC166" s="268"/>
      <c r="AD166" s="268"/>
      <c r="AE166" s="268"/>
      <c r="AF166" s="268"/>
      <c r="AG166" s="268"/>
    </row>
    <row r="167" spans="1:33">
      <c r="A167" s="268"/>
      <c r="B167" s="268"/>
      <c r="C167" s="268"/>
      <c r="D167" s="268"/>
      <c r="E167" s="268"/>
      <c r="F167" s="268"/>
      <c r="G167" s="268"/>
      <c r="H167" s="268"/>
      <c r="I167" s="268"/>
      <c r="J167" s="268"/>
      <c r="K167" s="268"/>
      <c r="L167" s="268"/>
      <c r="M167" s="268"/>
      <c r="N167" s="268"/>
      <c r="O167" s="268"/>
      <c r="P167" s="268"/>
      <c r="Q167" s="268"/>
      <c r="R167" s="268"/>
      <c r="S167" s="268"/>
      <c r="T167" s="268"/>
      <c r="U167" s="268"/>
      <c r="V167" s="268"/>
      <c r="W167" s="268"/>
      <c r="X167" s="268"/>
      <c r="Y167" s="268"/>
      <c r="Z167" s="268"/>
      <c r="AA167" s="268"/>
      <c r="AB167" s="268"/>
      <c r="AC167" s="268"/>
      <c r="AD167" s="268"/>
      <c r="AE167" s="268"/>
      <c r="AF167" s="268"/>
      <c r="AG167" s="268"/>
    </row>
    <row r="168" spans="1:33">
      <c r="A168" s="268"/>
      <c r="B168" s="268"/>
      <c r="C168" s="268"/>
      <c r="D168" s="268"/>
      <c r="E168" s="268"/>
      <c r="F168" s="268"/>
      <c r="G168" s="268"/>
      <c r="H168" s="268"/>
      <c r="I168" s="268"/>
      <c r="J168" s="268"/>
      <c r="K168" s="268"/>
      <c r="L168" s="268"/>
      <c r="M168" s="268"/>
      <c r="N168" s="268"/>
      <c r="O168" s="268"/>
      <c r="P168" s="268"/>
      <c r="Q168" s="268"/>
      <c r="R168" s="268"/>
      <c r="S168" s="268"/>
      <c r="T168" s="268"/>
      <c r="U168" s="268"/>
      <c r="V168" s="268"/>
      <c r="W168" s="268"/>
      <c r="X168" s="268"/>
      <c r="Y168" s="268"/>
      <c r="Z168" s="268"/>
      <c r="AA168" s="268"/>
      <c r="AB168" s="268"/>
      <c r="AC168" s="268"/>
      <c r="AD168" s="268"/>
      <c r="AE168" s="268"/>
      <c r="AF168" s="268"/>
      <c r="AG168" s="268"/>
    </row>
    <row r="169" spans="1:33">
      <c r="A169" s="268"/>
      <c r="B169" s="268"/>
      <c r="C169" s="268"/>
      <c r="D169" s="268"/>
      <c r="E169" s="268"/>
      <c r="F169" s="268"/>
      <c r="G169" s="268"/>
      <c r="H169" s="268"/>
      <c r="I169" s="268"/>
      <c r="J169" s="268"/>
      <c r="K169" s="268"/>
      <c r="L169" s="268"/>
      <c r="M169" s="268"/>
      <c r="N169" s="268"/>
      <c r="O169" s="268"/>
      <c r="P169" s="268"/>
      <c r="Q169" s="268"/>
      <c r="R169" s="268"/>
      <c r="S169" s="268"/>
      <c r="T169" s="268"/>
      <c r="U169" s="268"/>
      <c r="V169" s="268"/>
      <c r="W169" s="268"/>
      <c r="X169" s="268"/>
      <c r="Y169" s="268"/>
      <c r="Z169" s="268"/>
      <c r="AA169" s="268"/>
      <c r="AB169" s="268"/>
      <c r="AC169" s="268"/>
      <c r="AD169" s="268"/>
      <c r="AE169" s="268"/>
      <c r="AF169" s="268"/>
      <c r="AG169" s="268"/>
    </row>
    <row r="170" spans="1:33">
      <c r="A170" s="268"/>
      <c r="B170" s="268"/>
      <c r="C170" s="268"/>
      <c r="D170" s="268"/>
      <c r="E170" s="268"/>
      <c r="F170" s="268"/>
      <c r="G170" s="268"/>
      <c r="H170" s="268"/>
      <c r="I170" s="268"/>
      <c r="J170" s="268"/>
      <c r="K170" s="268"/>
      <c r="L170" s="268"/>
      <c r="M170" s="268"/>
      <c r="N170" s="268"/>
      <c r="O170" s="268"/>
      <c r="P170" s="268"/>
      <c r="Q170" s="268"/>
      <c r="R170" s="268"/>
      <c r="S170" s="268"/>
      <c r="T170" s="268"/>
      <c r="U170" s="268"/>
      <c r="V170" s="268"/>
      <c r="W170" s="268"/>
      <c r="X170" s="268"/>
      <c r="Y170" s="268"/>
      <c r="Z170" s="268"/>
      <c r="AA170" s="268"/>
      <c r="AB170" s="268"/>
      <c r="AC170" s="268"/>
      <c r="AD170" s="268"/>
      <c r="AE170" s="268"/>
      <c r="AF170" s="268"/>
      <c r="AG170" s="268"/>
    </row>
    <row r="171" spans="1:33">
      <c r="A171" s="268"/>
      <c r="B171" s="268"/>
      <c r="C171" s="268"/>
      <c r="D171" s="268"/>
      <c r="E171" s="268"/>
      <c r="F171" s="268"/>
      <c r="G171" s="268"/>
      <c r="H171" s="268"/>
      <c r="I171" s="268"/>
      <c r="J171" s="268"/>
      <c r="K171" s="268"/>
      <c r="L171" s="268"/>
      <c r="M171" s="268"/>
      <c r="N171" s="268"/>
      <c r="O171" s="268"/>
      <c r="P171" s="268"/>
      <c r="Q171" s="268"/>
      <c r="R171" s="268"/>
      <c r="S171" s="268"/>
      <c r="T171" s="268"/>
      <c r="U171" s="268"/>
      <c r="V171" s="268"/>
      <c r="W171" s="268"/>
      <c r="X171" s="268"/>
      <c r="Y171" s="268"/>
      <c r="Z171" s="268"/>
      <c r="AA171" s="268"/>
      <c r="AB171" s="268"/>
      <c r="AC171" s="268"/>
      <c r="AD171" s="268"/>
      <c r="AE171" s="268"/>
      <c r="AF171" s="268"/>
      <c r="AG171" s="268"/>
    </row>
    <row r="172" spans="1:33">
      <c r="A172" s="268"/>
      <c r="B172" s="268"/>
      <c r="C172" s="268"/>
      <c r="D172" s="268"/>
      <c r="E172" s="268"/>
      <c r="F172" s="268"/>
      <c r="G172" s="268"/>
      <c r="H172" s="268"/>
      <c r="I172" s="268"/>
      <c r="J172" s="268"/>
      <c r="K172" s="268"/>
      <c r="L172" s="268"/>
      <c r="M172" s="268"/>
      <c r="N172" s="268"/>
      <c r="O172" s="268"/>
      <c r="P172" s="268"/>
      <c r="Q172" s="268"/>
      <c r="R172" s="268"/>
      <c r="S172" s="268"/>
      <c r="T172" s="268"/>
      <c r="U172" s="268"/>
      <c r="V172" s="268"/>
      <c r="W172" s="268"/>
      <c r="X172" s="268"/>
      <c r="Y172" s="268"/>
      <c r="Z172" s="268"/>
      <c r="AA172" s="268"/>
      <c r="AB172" s="268"/>
      <c r="AC172" s="268"/>
      <c r="AD172" s="268"/>
      <c r="AE172" s="268"/>
      <c r="AF172" s="268"/>
      <c r="AG172" s="268"/>
    </row>
    <row r="173" spans="1:33">
      <c r="A173" s="268"/>
      <c r="B173" s="268"/>
      <c r="C173" s="268"/>
      <c r="D173" s="268"/>
      <c r="E173" s="268"/>
      <c r="F173" s="268"/>
      <c r="G173" s="268"/>
      <c r="H173" s="268"/>
      <c r="I173" s="268"/>
      <c r="J173" s="268"/>
      <c r="K173" s="268"/>
      <c r="L173" s="268"/>
      <c r="M173" s="268"/>
      <c r="N173" s="268"/>
      <c r="O173" s="268"/>
      <c r="P173" s="268"/>
      <c r="Q173" s="268"/>
      <c r="R173" s="268"/>
      <c r="S173" s="268"/>
      <c r="T173" s="268"/>
      <c r="U173" s="268"/>
      <c r="V173" s="268"/>
      <c r="W173" s="268"/>
      <c r="X173" s="268"/>
      <c r="Y173" s="268"/>
      <c r="Z173" s="268"/>
      <c r="AA173" s="268"/>
      <c r="AB173" s="268"/>
      <c r="AC173" s="268"/>
      <c r="AD173" s="268"/>
      <c r="AE173" s="268"/>
      <c r="AF173" s="268"/>
      <c r="AG173" s="268"/>
    </row>
    <row r="174" spans="1:33">
      <c r="A174" s="268"/>
      <c r="B174" s="268"/>
      <c r="C174" s="268"/>
      <c r="D174" s="268"/>
      <c r="E174" s="268"/>
      <c r="F174" s="268"/>
      <c r="G174" s="268"/>
      <c r="H174" s="268"/>
      <c r="I174" s="268"/>
      <c r="J174" s="268"/>
      <c r="K174" s="268"/>
      <c r="L174" s="268"/>
      <c r="M174" s="268"/>
      <c r="N174" s="268"/>
      <c r="O174" s="268"/>
      <c r="P174" s="268"/>
      <c r="Q174" s="268"/>
      <c r="R174" s="268"/>
      <c r="S174" s="268"/>
      <c r="T174" s="268"/>
      <c r="U174" s="268"/>
      <c r="V174" s="268"/>
      <c r="W174" s="268"/>
      <c r="X174" s="268"/>
      <c r="Y174" s="268"/>
      <c r="Z174" s="268"/>
      <c r="AA174" s="268"/>
      <c r="AB174" s="268"/>
      <c r="AC174" s="268"/>
      <c r="AD174" s="268"/>
      <c r="AE174" s="268"/>
      <c r="AF174" s="268"/>
      <c r="AG174" s="268"/>
    </row>
    <row r="175" spans="1:33">
      <c r="A175" s="268"/>
      <c r="B175" s="268"/>
      <c r="C175" s="268"/>
      <c r="D175" s="268"/>
      <c r="E175" s="268"/>
      <c r="F175" s="268"/>
      <c r="G175" s="268"/>
      <c r="H175" s="268"/>
      <c r="I175" s="268"/>
      <c r="J175" s="268"/>
      <c r="K175" s="268"/>
      <c r="L175" s="268"/>
      <c r="M175" s="268"/>
      <c r="N175" s="268"/>
      <c r="O175" s="268"/>
      <c r="P175" s="268"/>
      <c r="Q175" s="268"/>
      <c r="R175" s="268"/>
      <c r="S175" s="268"/>
      <c r="T175" s="268"/>
      <c r="U175" s="268"/>
      <c r="V175" s="268"/>
      <c r="W175" s="268"/>
      <c r="X175" s="268"/>
      <c r="Y175" s="268"/>
      <c r="Z175" s="268"/>
      <c r="AA175" s="268"/>
      <c r="AB175" s="268"/>
      <c r="AC175" s="268"/>
      <c r="AD175" s="268"/>
      <c r="AE175" s="268"/>
      <c r="AF175" s="268"/>
      <c r="AG175" s="268"/>
    </row>
    <row r="176" spans="1:33">
      <c r="A176" s="268"/>
      <c r="B176" s="268"/>
      <c r="C176" s="268"/>
      <c r="D176" s="268"/>
      <c r="E176" s="268"/>
      <c r="F176" s="268"/>
      <c r="G176" s="268"/>
      <c r="H176" s="268"/>
      <c r="I176" s="268"/>
      <c r="J176" s="268"/>
      <c r="K176" s="268"/>
      <c r="L176" s="268"/>
      <c r="M176" s="268"/>
      <c r="N176" s="268"/>
      <c r="O176" s="268"/>
      <c r="P176" s="268"/>
      <c r="Q176" s="268"/>
      <c r="R176" s="268"/>
      <c r="S176" s="268"/>
      <c r="T176" s="268"/>
      <c r="U176" s="268"/>
      <c r="V176" s="268"/>
      <c r="W176" s="268"/>
      <c r="X176" s="268"/>
      <c r="Y176" s="268"/>
      <c r="Z176" s="268"/>
      <c r="AA176" s="268"/>
      <c r="AB176" s="268"/>
      <c r="AC176" s="268"/>
      <c r="AD176" s="268"/>
      <c r="AE176" s="268"/>
      <c r="AF176" s="268"/>
      <c r="AG176" s="268"/>
    </row>
    <row r="177" spans="1:33">
      <c r="A177" s="268"/>
      <c r="B177" s="268"/>
      <c r="C177" s="268"/>
      <c r="D177" s="268"/>
      <c r="E177" s="268"/>
      <c r="F177" s="268"/>
      <c r="G177" s="268"/>
      <c r="H177" s="268"/>
      <c r="I177" s="268"/>
      <c r="J177" s="268"/>
      <c r="K177" s="268"/>
      <c r="L177" s="268"/>
      <c r="M177" s="268"/>
      <c r="N177" s="268"/>
      <c r="O177" s="268"/>
      <c r="P177" s="268"/>
      <c r="Q177" s="268"/>
      <c r="R177" s="268"/>
      <c r="S177" s="268"/>
      <c r="T177" s="268"/>
      <c r="U177" s="268"/>
      <c r="V177" s="268"/>
      <c r="W177" s="268"/>
      <c r="X177" s="268"/>
      <c r="Y177" s="268"/>
      <c r="Z177" s="268"/>
      <c r="AA177" s="268"/>
      <c r="AB177" s="268"/>
      <c r="AC177" s="268"/>
      <c r="AD177" s="268"/>
      <c r="AE177" s="268"/>
      <c r="AF177" s="268"/>
      <c r="AG177" s="268"/>
    </row>
    <row r="178" spans="1:33">
      <c r="A178" s="268"/>
      <c r="B178" s="268"/>
      <c r="C178" s="268"/>
      <c r="D178" s="268"/>
      <c r="E178" s="268"/>
      <c r="F178" s="268"/>
      <c r="G178" s="268"/>
      <c r="H178" s="268"/>
      <c r="I178" s="268"/>
      <c r="J178" s="268"/>
      <c r="K178" s="268"/>
      <c r="L178" s="268"/>
      <c r="M178" s="268"/>
      <c r="N178" s="268"/>
      <c r="O178" s="268"/>
      <c r="P178" s="268"/>
      <c r="Q178" s="268"/>
      <c r="R178" s="268"/>
      <c r="S178" s="268"/>
      <c r="T178" s="268"/>
      <c r="U178" s="268"/>
      <c r="V178" s="268"/>
      <c r="W178" s="268"/>
      <c r="X178" s="268"/>
      <c r="Y178" s="268"/>
      <c r="Z178" s="268"/>
      <c r="AA178" s="268"/>
      <c r="AB178" s="268"/>
      <c r="AC178" s="268"/>
      <c r="AD178" s="268"/>
      <c r="AE178" s="268"/>
      <c r="AF178" s="268"/>
      <c r="AG178" s="268"/>
    </row>
    <row r="179" spans="1:33">
      <c r="A179" s="268"/>
      <c r="B179" s="268"/>
      <c r="C179" s="268"/>
      <c r="D179" s="268"/>
      <c r="E179" s="268"/>
      <c r="F179" s="268"/>
      <c r="G179" s="268"/>
      <c r="H179" s="268"/>
      <c r="I179" s="268"/>
      <c r="J179" s="268"/>
      <c r="K179" s="268"/>
      <c r="L179" s="268"/>
      <c r="M179" s="268"/>
      <c r="N179" s="268"/>
      <c r="O179" s="268"/>
      <c r="P179" s="268"/>
      <c r="Q179" s="268"/>
      <c r="R179" s="268"/>
      <c r="S179" s="268"/>
      <c r="T179" s="268"/>
      <c r="U179" s="268"/>
      <c r="V179" s="268"/>
      <c r="W179" s="268"/>
      <c r="X179" s="268"/>
      <c r="Y179" s="268"/>
      <c r="Z179" s="268"/>
      <c r="AA179" s="268"/>
      <c r="AB179" s="268"/>
      <c r="AC179" s="268"/>
      <c r="AD179" s="268"/>
      <c r="AE179" s="268"/>
      <c r="AF179" s="268"/>
      <c r="AG179" s="268"/>
    </row>
    <row r="180" spans="1:33">
      <c r="A180" s="268"/>
      <c r="B180" s="268"/>
      <c r="C180" s="268"/>
      <c r="D180" s="268"/>
      <c r="E180" s="268"/>
      <c r="F180" s="268"/>
      <c r="G180" s="268"/>
      <c r="H180" s="268"/>
      <c r="I180" s="268"/>
      <c r="J180" s="268"/>
      <c r="K180" s="268"/>
      <c r="L180" s="268"/>
      <c r="M180" s="268"/>
      <c r="N180" s="268"/>
      <c r="O180" s="268"/>
      <c r="P180" s="268"/>
      <c r="Q180" s="268"/>
      <c r="R180" s="268"/>
      <c r="S180" s="268"/>
      <c r="T180" s="268"/>
      <c r="U180" s="268"/>
      <c r="V180" s="268"/>
      <c r="W180" s="268"/>
      <c r="X180" s="268"/>
      <c r="Y180" s="268"/>
      <c r="Z180" s="268"/>
      <c r="AA180" s="268"/>
      <c r="AB180" s="268"/>
      <c r="AC180" s="268"/>
      <c r="AD180" s="268"/>
      <c r="AE180" s="268"/>
      <c r="AF180" s="268"/>
      <c r="AG180" s="268"/>
    </row>
    <row r="181" spans="1:33">
      <c r="A181" s="268"/>
      <c r="B181" s="268"/>
      <c r="C181" s="268"/>
      <c r="D181" s="268"/>
      <c r="E181" s="268"/>
      <c r="F181" s="268"/>
      <c r="G181" s="268"/>
      <c r="H181" s="268"/>
      <c r="I181" s="268"/>
      <c r="J181" s="268"/>
      <c r="K181" s="268"/>
      <c r="L181" s="268"/>
      <c r="M181" s="268"/>
      <c r="N181" s="268"/>
      <c r="O181" s="268"/>
      <c r="P181" s="268"/>
      <c r="Q181" s="268"/>
      <c r="R181" s="268"/>
      <c r="S181" s="268"/>
      <c r="T181" s="268"/>
      <c r="U181" s="268"/>
      <c r="V181" s="268"/>
      <c r="W181" s="268"/>
      <c r="X181" s="268"/>
      <c r="Y181" s="268"/>
      <c r="Z181" s="268"/>
      <c r="AA181" s="268"/>
      <c r="AB181" s="268"/>
      <c r="AC181" s="268"/>
      <c r="AD181" s="268"/>
      <c r="AE181" s="268"/>
      <c r="AF181" s="268"/>
      <c r="AG181" s="268"/>
    </row>
    <row r="182" spans="1:33">
      <c r="A182" s="268"/>
      <c r="B182" s="268"/>
      <c r="C182" s="268"/>
      <c r="D182" s="268"/>
      <c r="E182" s="268"/>
      <c r="F182" s="268"/>
      <c r="G182" s="268"/>
      <c r="H182" s="268"/>
      <c r="I182" s="268"/>
      <c r="J182" s="268"/>
      <c r="K182" s="268"/>
      <c r="L182" s="268"/>
      <c r="M182" s="268"/>
      <c r="N182" s="268"/>
      <c r="O182" s="268"/>
      <c r="P182" s="268"/>
      <c r="Q182" s="268"/>
      <c r="R182" s="268"/>
      <c r="S182" s="268"/>
      <c r="T182" s="268"/>
      <c r="U182" s="268"/>
      <c r="V182" s="268"/>
      <c r="W182" s="268"/>
      <c r="X182" s="268"/>
      <c r="Y182" s="268"/>
      <c r="Z182" s="268"/>
      <c r="AA182" s="268"/>
      <c r="AB182" s="268"/>
      <c r="AC182" s="268"/>
      <c r="AD182" s="268"/>
      <c r="AE182" s="268"/>
      <c r="AF182" s="268"/>
      <c r="AG182" s="268"/>
    </row>
    <row r="183" spans="1:33">
      <c r="A183" s="268"/>
      <c r="B183" s="268"/>
      <c r="C183" s="268"/>
      <c r="D183" s="268"/>
      <c r="E183" s="268"/>
      <c r="F183" s="268"/>
      <c r="G183" s="268"/>
      <c r="H183" s="268"/>
      <c r="I183" s="268"/>
      <c r="J183" s="268"/>
      <c r="K183" s="268"/>
      <c r="L183" s="268"/>
      <c r="M183" s="268"/>
      <c r="N183" s="268"/>
      <c r="O183" s="268"/>
      <c r="P183" s="268"/>
      <c r="Q183" s="268"/>
      <c r="R183" s="268"/>
      <c r="S183" s="268"/>
      <c r="T183" s="268"/>
      <c r="U183" s="268"/>
      <c r="V183" s="268"/>
      <c r="W183" s="268"/>
      <c r="X183" s="268"/>
      <c r="Y183" s="268"/>
      <c r="Z183" s="268"/>
      <c r="AA183" s="268"/>
      <c r="AB183" s="268"/>
      <c r="AC183" s="268"/>
      <c r="AD183" s="268"/>
      <c r="AE183" s="268"/>
      <c r="AF183" s="268"/>
      <c r="AG183" s="268"/>
    </row>
    <row r="184" spans="1:33">
      <c r="A184" s="268"/>
      <c r="B184" s="268"/>
      <c r="C184" s="268"/>
      <c r="D184" s="268"/>
      <c r="E184" s="268"/>
      <c r="F184" s="268"/>
      <c r="G184" s="268"/>
      <c r="H184" s="268"/>
      <c r="I184" s="268"/>
      <c r="J184" s="268"/>
      <c r="K184" s="268"/>
      <c r="L184" s="268"/>
      <c r="M184" s="268"/>
      <c r="N184" s="268"/>
      <c r="O184" s="268"/>
      <c r="P184" s="268"/>
      <c r="Q184" s="268"/>
      <c r="R184" s="268"/>
      <c r="S184" s="268"/>
      <c r="T184" s="268"/>
      <c r="U184" s="268"/>
      <c r="V184" s="268"/>
      <c r="W184" s="268"/>
      <c r="X184" s="268"/>
      <c r="Y184" s="268"/>
      <c r="Z184" s="268"/>
      <c r="AA184" s="268"/>
      <c r="AB184" s="268"/>
      <c r="AC184" s="268"/>
      <c r="AD184" s="268"/>
      <c r="AE184" s="268"/>
      <c r="AF184" s="268"/>
      <c r="AG184" s="268"/>
    </row>
    <row r="185" spans="1:33">
      <c r="A185" s="268"/>
      <c r="B185" s="268"/>
      <c r="C185" s="268"/>
      <c r="D185" s="268"/>
      <c r="E185" s="268"/>
      <c r="F185" s="268"/>
      <c r="G185" s="268"/>
      <c r="H185" s="268"/>
      <c r="I185" s="268"/>
      <c r="J185" s="268"/>
      <c r="K185" s="268"/>
      <c r="L185" s="268"/>
      <c r="M185" s="268"/>
      <c r="N185" s="268"/>
      <c r="O185" s="268"/>
      <c r="P185" s="268"/>
      <c r="Q185" s="268"/>
      <c r="R185" s="268"/>
      <c r="S185" s="268"/>
      <c r="T185" s="268"/>
      <c r="U185" s="268"/>
      <c r="V185" s="268"/>
      <c r="W185" s="268"/>
      <c r="X185" s="268"/>
      <c r="Y185" s="268"/>
      <c r="Z185" s="268"/>
      <c r="AA185" s="268"/>
      <c r="AB185" s="268"/>
      <c r="AC185" s="268"/>
      <c r="AD185" s="268"/>
      <c r="AE185" s="268"/>
      <c r="AF185" s="268"/>
      <c r="AG185" s="268"/>
    </row>
    <row r="186" spans="1:33">
      <c r="A186" s="268"/>
      <c r="B186" s="268"/>
      <c r="C186" s="268"/>
      <c r="D186" s="268"/>
      <c r="E186" s="268"/>
      <c r="F186" s="268"/>
      <c r="G186" s="268"/>
      <c r="H186" s="268"/>
      <c r="I186" s="268"/>
      <c r="J186" s="268"/>
      <c r="K186" s="268"/>
      <c r="L186" s="268"/>
      <c r="M186" s="268"/>
      <c r="N186" s="268"/>
      <c r="O186" s="268"/>
      <c r="P186" s="268"/>
      <c r="Q186" s="268"/>
      <c r="R186" s="268"/>
      <c r="S186" s="268"/>
      <c r="T186" s="268"/>
      <c r="U186" s="268"/>
      <c r="V186" s="268"/>
      <c r="W186" s="268"/>
      <c r="X186" s="268"/>
      <c r="Y186" s="268"/>
      <c r="Z186" s="268"/>
      <c r="AA186" s="268"/>
      <c r="AB186" s="268"/>
      <c r="AC186" s="268"/>
      <c r="AD186" s="268"/>
      <c r="AE186" s="268"/>
      <c r="AF186" s="268"/>
      <c r="AG186" s="268"/>
    </row>
    <row r="187" spans="1:33">
      <c r="A187" s="268"/>
      <c r="B187" s="268"/>
      <c r="C187" s="268"/>
      <c r="D187" s="268"/>
      <c r="E187" s="268"/>
      <c r="F187" s="268"/>
      <c r="G187" s="268"/>
      <c r="H187" s="268"/>
      <c r="I187" s="268"/>
      <c r="J187" s="268"/>
      <c r="K187" s="268"/>
      <c r="L187" s="268"/>
      <c r="M187" s="268"/>
      <c r="N187" s="268"/>
      <c r="O187" s="268"/>
      <c r="P187" s="268"/>
      <c r="Q187" s="268"/>
      <c r="R187" s="268"/>
      <c r="S187" s="268"/>
      <c r="T187" s="268"/>
      <c r="U187" s="268"/>
      <c r="V187" s="268"/>
      <c r="W187" s="268"/>
      <c r="X187" s="268"/>
      <c r="Y187" s="268"/>
      <c r="Z187" s="268"/>
      <c r="AA187" s="268"/>
      <c r="AB187" s="268"/>
      <c r="AC187" s="268"/>
      <c r="AD187" s="268"/>
      <c r="AE187" s="268"/>
      <c r="AF187" s="268"/>
      <c r="AG187" s="268"/>
    </row>
    <row r="188" spans="1:33">
      <c r="A188" s="268"/>
      <c r="B188" s="268"/>
      <c r="C188" s="268"/>
      <c r="D188" s="268"/>
      <c r="E188" s="268"/>
      <c r="F188" s="268"/>
      <c r="G188" s="268"/>
      <c r="H188" s="268"/>
      <c r="I188" s="268"/>
      <c r="J188" s="268"/>
      <c r="K188" s="268"/>
      <c r="L188" s="268"/>
      <c r="M188" s="268"/>
      <c r="N188" s="268"/>
      <c r="O188" s="268"/>
      <c r="P188" s="268"/>
      <c r="Q188" s="268"/>
      <c r="R188" s="268"/>
      <c r="S188" s="268"/>
      <c r="T188" s="268"/>
      <c r="U188" s="268"/>
      <c r="V188" s="268"/>
      <c r="W188" s="268"/>
      <c r="X188" s="268"/>
      <c r="Y188" s="268"/>
      <c r="Z188" s="268"/>
      <c r="AA188" s="268"/>
      <c r="AB188" s="268"/>
      <c r="AC188" s="268"/>
      <c r="AD188" s="268"/>
      <c r="AE188" s="268"/>
      <c r="AF188" s="268"/>
      <c r="AG188" s="268"/>
    </row>
    <row r="189" spans="1:33">
      <c r="A189" s="268"/>
      <c r="B189" s="268"/>
      <c r="C189" s="268"/>
      <c r="D189" s="268"/>
      <c r="E189" s="268"/>
      <c r="F189" s="268"/>
      <c r="G189" s="268"/>
      <c r="H189" s="268"/>
      <c r="I189" s="268"/>
      <c r="J189" s="268"/>
      <c r="K189" s="268"/>
      <c r="L189" s="268"/>
      <c r="M189" s="268"/>
      <c r="N189" s="268"/>
      <c r="O189" s="268"/>
      <c r="P189" s="268"/>
      <c r="Q189" s="268"/>
      <c r="R189" s="268"/>
      <c r="S189" s="268"/>
      <c r="T189" s="268"/>
      <c r="U189" s="268"/>
      <c r="V189" s="268"/>
      <c r="W189" s="268"/>
      <c r="X189" s="268"/>
      <c r="Y189" s="268"/>
      <c r="Z189" s="268"/>
      <c r="AA189" s="268"/>
      <c r="AB189" s="268"/>
      <c r="AC189" s="268"/>
      <c r="AD189" s="268"/>
      <c r="AE189" s="268"/>
      <c r="AF189" s="268"/>
      <c r="AG189" s="268"/>
    </row>
    <row r="190" spans="1:33">
      <c r="A190" s="268"/>
      <c r="B190" s="268"/>
      <c r="C190" s="268"/>
      <c r="D190" s="268"/>
      <c r="E190" s="268"/>
      <c r="F190" s="268"/>
      <c r="G190" s="268"/>
      <c r="H190" s="268"/>
      <c r="I190" s="268"/>
      <c r="J190" s="268"/>
      <c r="K190" s="268"/>
      <c r="L190" s="268"/>
      <c r="M190" s="268"/>
      <c r="N190" s="268"/>
      <c r="O190" s="268"/>
      <c r="P190" s="268"/>
      <c r="Q190" s="268"/>
      <c r="R190" s="268"/>
      <c r="S190" s="268"/>
      <c r="T190" s="268"/>
      <c r="U190" s="268"/>
      <c r="V190" s="268"/>
      <c r="W190" s="268"/>
      <c r="X190" s="268"/>
      <c r="Y190" s="268"/>
      <c r="Z190" s="268"/>
      <c r="AA190" s="268"/>
      <c r="AB190" s="268"/>
      <c r="AC190" s="268"/>
      <c r="AD190" s="268"/>
      <c r="AE190" s="268"/>
      <c r="AF190" s="268"/>
      <c r="AG190" s="268"/>
    </row>
    <row r="191" spans="1:33">
      <c r="A191" s="268"/>
      <c r="B191" s="268"/>
      <c r="C191" s="268"/>
      <c r="D191" s="268"/>
      <c r="E191" s="268"/>
      <c r="F191" s="268"/>
      <c r="G191" s="268"/>
      <c r="H191" s="268"/>
      <c r="I191" s="268"/>
      <c r="J191" s="268"/>
      <c r="K191" s="268"/>
      <c r="L191" s="268"/>
      <c r="M191" s="268"/>
      <c r="N191" s="268"/>
      <c r="O191" s="268"/>
      <c r="P191" s="268"/>
      <c r="Q191" s="268"/>
      <c r="R191" s="268"/>
      <c r="S191" s="268"/>
      <c r="T191" s="268"/>
      <c r="U191" s="268"/>
      <c r="V191" s="268"/>
      <c r="W191" s="268"/>
      <c r="X191" s="268"/>
      <c r="Y191" s="268"/>
      <c r="Z191" s="268"/>
      <c r="AA191" s="268"/>
      <c r="AB191" s="268"/>
      <c r="AC191" s="268"/>
      <c r="AD191" s="268"/>
      <c r="AE191" s="268"/>
      <c r="AF191" s="268"/>
      <c r="AG191" s="268"/>
    </row>
    <row r="192" spans="1:33">
      <c r="A192" s="268"/>
      <c r="B192" s="268"/>
      <c r="C192" s="268"/>
      <c r="D192" s="268"/>
      <c r="E192" s="268"/>
      <c r="F192" s="268"/>
      <c r="G192" s="268"/>
      <c r="H192" s="268"/>
      <c r="I192" s="268"/>
      <c r="J192" s="268"/>
      <c r="K192" s="268"/>
      <c r="L192" s="268"/>
      <c r="M192" s="268"/>
      <c r="N192" s="268"/>
      <c r="O192" s="268"/>
      <c r="P192" s="268"/>
      <c r="Q192" s="268"/>
      <c r="R192" s="268"/>
      <c r="S192" s="268"/>
      <c r="T192" s="268"/>
      <c r="U192" s="268"/>
      <c r="V192" s="268"/>
      <c r="W192" s="268"/>
      <c r="X192" s="268"/>
      <c r="Y192" s="268"/>
      <c r="Z192" s="268"/>
      <c r="AA192" s="268"/>
      <c r="AB192" s="268"/>
      <c r="AC192" s="268"/>
      <c r="AD192" s="268"/>
      <c r="AE192" s="268"/>
      <c r="AF192" s="268"/>
      <c r="AG192" s="268"/>
    </row>
    <row r="193" spans="1:33">
      <c r="A193" s="268"/>
      <c r="B193" s="268"/>
      <c r="C193" s="268"/>
      <c r="D193" s="268"/>
      <c r="E193" s="268"/>
      <c r="F193" s="268"/>
      <c r="G193" s="268"/>
      <c r="H193" s="268"/>
      <c r="I193" s="268"/>
      <c r="J193" s="268"/>
      <c r="K193" s="268"/>
      <c r="L193" s="268"/>
      <c r="M193" s="268"/>
      <c r="N193" s="268"/>
      <c r="O193" s="268"/>
      <c r="P193" s="268"/>
      <c r="Q193" s="268"/>
      <c r="R193" s="268"/>
      <c r="S193" s="268"/>
      <c r="T193" s="268"/>
      <c r="U193" s="268"/>
      <c r="V193" s="268"/>
      <c r="W193" s="268"/>
      <c r="X193" s="268"/>
      <c r="Y193" s="268"/>
      <c r="Z193" s="268"/>
      <c r="AA193" s="268"/>
      <c r="AB193" s="268"/>
      <c r="AC193" s="268"/>
      <c r="AD193" s="268"/>
      <c r="AE193" s="268"/>
      <c r="AF193" s="268"/>
      <c r="AG193" s="268"/>
    </row>
    <row r="194" spans="1:33">
      <c r="A194" s="268"/>
      <c r="B194" s="268"/>
      <c r="C194" s="268"/>
      <c r="D194" s="268"/>
      <c r="E194" s="268"/>
      <c r="F194" s="268"/>
      <c r="G194" s="268"/>
      <c r="H194" s="268"/>
      <c r="I194" s="268"/>
      <c r="J194" s="268"/>
      <c r="K194" s="268"/>
      <c r="L194" s="268"/>
      <c r="M194" s="268"/>
      <c r="N194" s="268"/>
      <c r="O194" s="268"/>
      <c r="P194" s="268"/>
      <c r="Q194" s="268"/>
      <c r="R194" s="268"/>
      <c r="S194" s="268"/>
      <c r="T194" s="268"/>
      <c r="U194" s="268"/>
      <c r="V194" s="268"/>
      <c r="W194" s="268"/>
      <c r="X194" s="268"/>
      <c r="Y194" s="268"/>
      <c r="Z194" s="268"/>
      <c r="AA194" s="268"/>
      <c r="AB194" s="268"/>
      <c r="AC194" s="268"/>
      <c r="AD194" s="268"/>
      <c r="AE194" s="268"/>
      <c r="AF194" s="268"/>
      <c r="AG194" s="268"/>
    </row>
    <row r="195" spans="1:33">
      <c r="A195" s="268"/>
      <c r="B195" s="268"/>
      <c r="C195" s="268"/>
      <c r="D195" s="268"/>
      <c r="E195" s="268"/>
      <c r="F195" s="268"/>
      <c r="G195" s="268"/>
      <c r="H195" s="268"/>
      <c r="I195" s="268"/>
      <c r="J195" s="268"/>
      <c r="K195" s="268"/>
      <c r="L195" s="268"/>
      <c r="M195" s="268"/>
      <c r="N195" s="268"/>
      <c r="O195" s="268"/>
      <c r="P195" s="268"/>
      <c r="Q195" s="268"/>
      <c r="R195" s="268"/>
      <c r="S195" s="268"/>
      <c r="T195" s="268"/>
      <c r="U195" s="268"/>
      <c r="V195" s="268"/>
      <c r="W195" s="268"/>
      <c r="X195" s="268"/>
      <c r="Y195" s="268"/>
      <c r="Z195" s="268"/>
      <c r="AA195" s="268"/>
      <c r="AB195" s="268"/>
      <c r="AC195" s="268"/>
      <c r="AD195" s="268"/>
      <c r="AE195" s="268"/>
      <c r="AF195" s="268"/>
      <c r="AG195" s="268"/>
    </row>
    <row r="196" spans="1:33">
      <c r="A196" s="268"/>
      <c r="B196" s="268"/>
      <c r="C196" s="268"/>
      <c r="D196" s="268"/>
      <c r="E196" s="268"/>
      <c r="F196" s="268"/>
      <c r="G196" s="268"/>
      <c r="H196" s="268"/>
      <c r="I196" s="268"/>
      <c r="J196" s="268"/>
      <c r="K196" s="268"/>
      <c r="L196" s="268"/>
      <c r="M196" s="268"/>
      <c r="N196" s="268"/>
      <c r="O196" s="268"/>
      <c r="P196" s="268"/>
      <c r="Q196" s="268"/>
      <c r="R196" s="268"/>
      <c r="S196" s="268"/>
      <c r="T196" s="268"/>
      <c r="U196" s="268"/>
      <c r="V196" s="268"/>
      <c r="W196" s="268"/>
      <c r="X196" s="268"/>
      <c r="Y196" s="268"/>
      <c r="Z196" s="268"/>
      <c r="AA196" s="268"/>
      <c r="AB196" s="268"/>
      <c r="AC196" s="268"/>
      <c r="AD196" s="268"/>
      <c r="AE196" s="268"/>
      <c r="AF196" s="268"/>
      <c r="AG196" s="268"/>
    </row>
    <row r="197" spans="1:33">
      <c r="A197" s="268"/>
      <c r="B197" s="268"/>
      <c r="C197" s="268"/>
      <c r="D197" s="268"/>
      <c r="E197" s="268"/>
      <c r="F197" s="268"/>
      <c r="G197" s="268"/>
      <c r="H197" s="268"/>
      <c r="I197" s="268"/>
      <c r="J197" s="268"/>
      <c r="K197" s="268"/>
      <c r="L197" s="268"/>
      <c r="M197" s="268"/>
      <c r="N197" s="268"/>
      <c r="O197" s="268"/>
      <c r="P197" s="268"/>
      <c r="Q197" s="268"/>
      <c r="R197" s="268"/>
      <c r="S197" s="268"/>
      <c r="T197" s="268"/>
      <c r="U197" s="268"/>
      <c r="V197" s="268"/>
      <c r="W197" s="268"/>
      <c r="X197" s="268"/>
      <c r="Y197" s="268"/>
      <c r="Z197" s="268"/>
      <c r="AA197" s="268"/>
      <c r="AB197" s="268"/>
      <c r="AC197" s="268"/>
      <c r="AD197" s="268"/>
      <c r="AE197" s="268"/>
      <c r="AF197" s="268"/>
      <c r="AG197" s="268"/>
    </row>
    <row r="198" spans="1:33">
      <c r="A198" s="268"/>
      <c r="B198" s="268"/>
      <c r="C198" s="268"/>
      <c r="D198" s="268"/>
      <c r="E198" s="268"/>
      <c r="F198" s="268"/>
      <c r="G198" s="268"/>
      <c r="H198" s="268"/>
      <c r="I198" s="268"/>
      <c r="J198" s="268"/>
      <c r="K198" s="268"/>
      <c r="L198" s="268"/>
      <c r="M198" s="268"/>
      <c r="N198" s="268"/>
      <c r="O198" s="268"/>
      <c r="P198" s="268"/>
      <c r="Q198" s="268"/>
      <c r="R198" s="268"/>
      <c r="S198" s="268"/>
      <c r="T198" s="268"/>
      <c r="U198" s="268"/>
      <c r="V198" s="268"/>
      <c r="W198" s="268"/>
      <c r="X198" s="268"/>
      <c r="Y198" s="268"/>
      <c r="Z198" s="268"/>
      <c r="AA198" s="268"/>
      <c r="AB198" s="268"/>
      <c r="AC198" s="268"/>
      <c r="AD198" s="268"/>
      <c r="AE198" s="268"/>
      <c r="AF198" s="268"/>
      <c r="AG198" s="268"/>
    </row>
    <row r="199" spans="1:33">
      <c r="A199" s="268"/>
      <c r="B199" s="268"/>
      <c r="C199" s="268"/>
      <c r="D199" s="268"/>
      <c r="E199" s="268"/>
      <c r="F199" s="268"/>
      <c r="G199" s="268"/>
      <c r="H199" s="268"/>
      <c r="I199" s="268"/>
      <c r="J199" s="268"/>
      <c r="K199" s="268"/>
      <c r="L199" s="268"/>
      <c r="M199" s="268"/>
      <c r="N199" s="268"/>
      <c r="O199" s="268"/>
      <c r="P199" s="268"/>
      <c r="Q199" s="268"/>
      <c r="R199" s="268"/>
      <c r="S199" s="268"/>
      <c r="T199" s="268"/>
      <c r="U199" s="268"/>
      <c r="V199" s="268"/>
      <c r="W199" s="268"/>
      <c r="X199" s="268"/>
      <c r="Y199" s="268"/>
      <c r="Z199" s="268"/>
      <c r="AA199" s="268"/>
      <c r="AB199" s="268"/>
      <c r="AC199" s="268"/>
      <c r="AD199" s="268"/>
      <c r="AE199" s="268"/>
      <c r="AF199" s="268"/>
      <c r="AG199" s="268"/>
    </row>
    <row r="200" spans="1:33">
      <c r="A200" s="268"/>
      <c r="B200" s="268"/>
      <c r="C200" s="268"/>
      <c r="D200" s="268"/>
      <c r="E200" s="268"/>
      <c r="F200" s="268"/>
      <c r="G200" s="268"/>
      <c r="H200" s="268"/>
      <c r="I200" s="268"/>
      <c r="J200" s="268"/>
      <c r="K200" s="268"/>
      <c r="L200" s="268"/>
      <c r="M200" s="268"/>
      <c r="N200" s="268"/>
      <c r="O200" s="268"/>
      <c r="P200" s="268"/>
      <c r="Q200" s="268"/>
      <c r="R200" s="268"/>
      <c r="S200" s="268"/>
      <c r="T200" s="268"/>
      <c r="U200" s="268"/>
      <c r="V200" s="268"/>
      <c r="W200" s="268"/>
      <c r="X200" s="268"/>
      <c r="Y200" s="268"/>
      <c r="Z200" s="268"/>
      <c r="AA200" s="268"/>
      <c r="AB200" s="268"/>
      <c r="AC200" s="268"/>
      <c r="AD200" s="268"/>
      <c r="AE200" s="268"/>
      <c r="AF200" s="268"/>
      <c r="AG200" s="268"/>
    </row>
    <row r="201" spans="1:33">
      <c r="A201" s="268"/>
      <c r="B201" s="268"/>
      <c r="C201" s="268"/>
      <c r="D201" s="268"/>
      <c r="E201" s="268"/>
      <c r="F201" s="268"/>
      <c r="G201" s="268"/>
      <c r="H201" s="268"/>
      <c r="I201" s="268"/>
      <c r="J201" s="268"/>
      <c r="K201" s="268"/>
      <c r="L201" s="268"/>
      <c r="M201" s="268"/>
      <c r="N201" s="268"/>
      <c r="O201" s="268"/>
      <c r="P201" s="268"/>
      <c r="Q201" s="268"/>
      <c r="R201" s="268"/>
      <c r="S201" s="268"/>
      <c r="T201" s="268"/>
      <c r="U201" s="268"/>
      <c r="V201" s="268"/>
      <c r="W201" s="268"/>
      <c r="X201" s="268"/>
      <c r="Y201" s="268"/>
      <c r="Z201" s="268"/>
      <c r="AA201" s="268"/>
      <c r="AB201" s="268"/>
      <c r="AC201" s="268"/>
      <c r="AD201" s="268"/>
      <c r="AE201" s="268"/>
      <c r="AF201" s="268"/>
      <c r="AG201" s="268"/>
    </row>
    <row r="202" spans="1:33">
      <c r="A202" s="268"/>
      <c r="B202" s="268"/>
      <c r="C202" s="268"/>
      <c r="D202" s="268"/>
      <c r="E202" s="268"/>
      <c r="F202" s="268"/>
      <c r="G202" s="268"/>
      <c r="H202" s="268"/>
      <c r="I202" s="268"/>
      <c r="J202" s="268"/>
      <c r="K202" s="268"/>
      <c r="L202" s="268"/>
      <c r="M202" s="268"/>
      <c r="N202" s="268"/>
      <c r="O202" s="268"/>
      <c r="P202" s="268"/>
      <c r="Q202" s="268"/>
      <c r="R202" s="268"/>
      <c r="S202" s="268"/>
      <c r="T202" s="268"/>
      <c r="U202" s="268"/>
      <c r="V202" s="268"/>
      <c r="W202" s="268"/>
      <c r="X202" s="268"/>
      <c r="Y202" s="268"/>
      <c r="Z202" s="268"/>
      <c r="AA202" s="268"/>
      <c r="AB202" s="268"/>
      <c r="AC202" s="268"/>
      <c r="AD202" s="268"/>
      <c r="AE202" s="268"/>
      <c r="AF202" s="268"/>
      <c r="AG202" s="268"/>
    </row>
    <row r="203" spans="1:33">
      <c r="A203" s="268"/>
      <c r="B203" s="268"/>
      <c r="C203" s="268"/>
      <c r="D203" s="268"/>
      <c r="E203" s="268"/>
      <c r="F203" s="268"/>
      <c r="G203" s="268"/>
      <c r="H203" s="268"/>
      <c r="I203" s="268"/>
      <c r="J203" s="268"/>
      <c r="K203" s="268"/>
      <c r="L203" s="268"/>
      <c r="M203" s="268"/>
      <c r="N203" s="268"/>
      <c r="O203" s="268"/>
      <c r="P203" s="268"/>
      <c r="Q203" s="268"/>
      <c r="R203" s="268"/>
      <c r="S203" s="268"/>
      <c r="T203" s="268"/>
      <c r="U203" s="268"/>
      <c r="V203" s="268"/>
      <c r="W203" s="268"/>
      <c r="X203" s="268"/>
      <c r="Y203" s="268"/>
      <c r="Z203" s="268"/>
      <c r="AA203" s="268"/>
      <c r="AB203" s="268"/>
      <c r="AC203" s="268"/>
      <c r="AD203" s="268"/>
      <c r="AE203" s="268"/>
      <c r="AF203" s="268"/>
      <c r="AG203" s="268"/>
    </row>
    <row r="204" spans="1:33">
      <c r="A204" s="268"/>
      <c r="B204" s="268"/>
      <c r="C204" s="268"/>
      <c r="D204" s="268"/>
      <c r="E204" s="268"/>
      <c r="F204" s="268"/>
      <c r="G204" s="268"/>
      <c r="H204" s="268"/>
      <c r="I204" s="268"/>
      <c r="J204" s="268"/>
      <c r="K204" s="268"/>
      <c r="L204" s="268"/>
      <c r="M204" s="268"/>
      <c r="N204" s="268"/>
      <c r="O204" s="268"/>
      <c r="P204" s="268"/>
      <c r="Q204" s="268"/>
      <c r="R204" s="268"/>
      <c r="S204" s="268"/>
      <c r="T204" s="268"/>
      <c r="U204" s="268"/>
      <c r="V204" s="268"/>
      <c r="W204" s="268"/>
      <c r="X204" s="268"/>
      <c r="Y204" s="268"/>
      <c r="Z204" s="268"/>
      <c r="AA204" s="268"/>
      <c r="AB204" s="268"/>
      <c r="AC204" s="268"/>
      <c r="AD204" s="268"/>
      <c r="AE204" s="268"/>
      <c r="AF204" s="268"/>
      <c r="AG204" s="268"/>
    </row>
    <row r="205" spans="1:33">
      <c r="A205" s="268"/>
      <c r="B205" s="268"/>
      <c r="C205" s="268"/>
      <c r="D205" s="268"/>
      <c r="E205" s="268"/>
      <c r="F205" s="268"/>
      <c r="G205" s="268"/>
      <c r="H205" s="268"/>
      <c r="I205" s="268"/>
      <c r="J205" s="268"/>
      <c r="K205" s="268"/>
      <c r="L205" s="268"/>
      <c r="M205" s="268"/>
      <c r="N205" s="268"/>
      <c r="O205" s="268"/>
      <c r="P205" s="268"/>
      <c r="Q205" s="268"/>
      <c r="R205" s="268"/>
      <c r="S205" s="268"/>
      <c r="T205" s="268"/>
      <c r="U205" s="268"/>
      <c r="V205" s="268"/>
      <c r="W205" s="268"/>
      <c r="X205" s="268"/>
      <c r="Y205" s="268"/>
      <c r="Z205" s="268"/>
      <c r="AA205" s="268"/>
      <c r="AB205" s="268"/>
      <c r="AC205" s="268"/>
      <c r="AD205" s="268"/>
      <c r="AE205" s="268"/>
      <c r="AF205" s="268"/>
      <c r="AG205" s="268"/>
    </row>
    <row r="206" spans="1:33">
      <c r="A206" s="268"/>
      <c r="B206" s="268"/>
      <c r="C206" s="268"/>
      <c r="D206" s="268"/>
      <c r="E206" s="268"/>
      <c r="F206" s="268"/>
      <c r="G206" s="268"/>
      <c r="H206" s="268"/>
      <c r="I206" s="268"/>
      <c r="J206" s="268"/>
      <c r="K206" s="268"/>
      <c r="L206" s="268"/>
      <c r="M206" s="268"/>
      <c r="N206" s="268"/>
      <c r="O206" s="268"/>
      <c r="P206" s="268"/>
      <c r="Q206" s="268"/>
      <c r="R206" s="268"/>
      <c r="S206" s="268"/>
      <c r="T206" s="268"/>
      <c r="U206" s="268"/>
      <c r="V206" s="268"/>
      <c r="W206" s="268"/>
      <c r="X206" s="268"/>
      <c r="Y206" s="268"/>
      <c r="Z206" s="268"/>
      <c r="AA206" s="268"/>
      <c r="AB206" s="268"/>
      <c r="AC206" s="268"/>
      <c r="AD206" s="268"/>
      <c r="AE206" s="268"/>
      <c r="AF206" s="268"/>
      <c r="AG206" s="268"/>
    </row>
    <row r="207" spans="1:33">
      <c r="A207" s="268"/>
      <c r="B207" s="268"/>
      <c r="C207" s="268"/>
      <c r="D207" s="268"/>
      <c r="E207" s="268"/>
      <c r="F207" s="268"/>
      <c r="G207" s="268"/>
      <c r="H207" s="268"/>
      <c r="I207" s="268"/>
      <c r="J207" s="268"/>
      <c r="K207" s="268"/>
      <c r="L207" s="268"/>
      <c r="M207" s="268"/>
      <c r="N207" s="268"/>
      <c r="O207" s="268"/>
      <c r="P207" s="268"/>
      <c r="Q207" s="268"/>
      <c r="R207" s="268"/>
      <c r="S207" s="268"/>
      <c r="T207" s="268"/>
      <c r="U207" s="268"/>
      <c r="V207" s="268"/>
      <c r="W207" s="268"/>
      <c r="X207" s="268"/>
      <c r="Y207" s="268"/>
      <c r="Z207" s="268"/>
      <c r="AA207" s="268"/>
      <c r="AB207" s="268"/>
      <c r="AC207" s="268"/>
      <c r="AD207" s="268"/>
      <c r="AE207" s="268"/>
      <c r="AF207" s="268"/>
      <c r="AG207" s="268"/>
    </row>
    <row r="208" spans="1:33">
      <c r="A208" s="268"/>
      <c r="B208" s="268"/>
      <c r="C208" s="268"/>
      <c r="D208" s="268"/>
      <c r="E208" s="268"/>
      <c r="F208" s="268"/>
      <c r="G208" s="268"/>
      <c r="H208" s="268"/>
      <c r="I208" s="268"/>
      <c r="J208" s="268"/>
      <c r="K208" s="268"/>
      <c r="L208" s="268"/>
      <c r="M208" s="268"/>
      <c r="N208" s="268"/>
      <c r="O208" s="268"/>
      <c r="P208" s="268"/>
      <c r="Q208" s="268"/>
      <c r="R208" s="268"/>
      <c r="S208" s="268"/>
      <c r="T208" s="268"/>
      <c r="U208" s="268"/>
      <c r="V208" s="268"/>
      <c r="W208" s="268"/>
      <c r="X208" s="268"/>
      <c r="Y208" s="268"/>
      <c r="Z208" s="268"/>
      <c r="AA208" s="268"/>
      <c r="AB208" s="268"/>
      <c r="AC208" s="268"/>
      <c r="AD208" s="268"/>
      <c r="AE208" s="268"/>
      <c r="AF208" s="268"/>
      <c r="AG208" s="268"/>
    </row>
    <row r="209" spans="1:33">
      <c r="A209" s="268"/>
      <c r="B209" s="268"/>
      <c r="C209" s="268"/>
      <c r="D209" s="268"/>
      <c r="E209" s="268"/>
      <c r="F209" s="268"/>
      <c r="G209" s="268"/>
      <c r="H209" s="268"/>
      <c r="I209" s="268"/>
      <c r="J209" s="268"/>
      <c r="K209" s="268"/>
      <c r="L209" s="268"/>
      <c r="M209" s="268"/>
      <c r="N209" s="268"/>
      <c r="O209" s="268"/>
      <c r="P209" s="268"/>
      <c r="Q209" s="268"/>
      <c r="R209" s="268"/>
      <c r="S209" s="268"/>
      <c r="T209" s="268"/>
      <c r="U209" s="268"/>
      <c r="V209" s="268"/>
      <c r="W209" s="268"/>
      <c r="X209" s="268"/>
      <c r="Y209" s="268"/>
      <c r="Z209" s="268"/>
      <c r="AA209" s="268"/>
      <c r="AB209" s="268"/>
      <c r="AC209" s="268"/>
      <c r="AD209" s="268"/>
      <c r="AE209" s="268"/>
      <c r="AF209" s="268"/>
      <c r="AG209" s="268"/>
    </row>
    <row r="210" spans="1:33">
      <c r="A210" s="268"/>
      <c r="B210" s="268"/>
      <c r="C210" s="268"/>
      <c r="D210" s="268"/>
      <c r="E210" s="268"/>
      <c r="F210" s="268"/>
      <c r="G210" s="268"/>
      <c r="H210" s="268"/>
      <c r="I210" s="268"/>
      <c r="J210" s="268"/>
      <c r="K210" s="268"/>
      <c r="L210" s="268"/>
      <c r="M210" s="268"/>
      <c r="N210" s="268"/>
      <c r="O210" s="268"/>
      <c r="P210" s="268"/>
      <c r="Q210" s="268"/>
      <c r="R210" s="268"/>
      <c r="S210" s="268"/>
      <c r="T210" s="268"/>
      <c r="U210" s="268"/>
      <c r="V210" s="268"/>
      <c r="W210" s="268"/>
      <c r="X210" s="268"/>
      <c r="Y210" s="268"/>
      <c r="Z210" s="268"/>
      <c r="AA210" s="268"/>
      <c r="AB210" s="268"/>
      <c r="AC210" s="268"/>
      <c r="AD210" s="268"/>
      <c r="AE210" s="268"/>
      <c r="AF210" s="268"/>
      <c r="AG210" s="268"/>
    </row>
    <row r="211" spans="1:33">
      <c r="A211" s="268"/>
      <c r="B211" s="268"/>
      <c r="C211" s="268"/>
      <c r="D211" s="268"/>
      <c r="E211" s="268"/>
      <c r="F211" s="268"/>
      <c r="G211" s="268"/>
      <c r="H211" s="268"/>
      <c r="I211" s="268"/>
      <c r="J211" s="268"/>
      <c r="K211" s="268"/>
      <c r="L211" s="268"/>
      <c r="M211" s="268"/>
      <c r="N211" s="268"/>
      <c r="O211" s="268"/>
      <c r="P211" s="268"/>
      <c r="Q211" s="268"/>
      <c r="R211" s="268"/>
      <c r="S211" s="268"/>
      <c r="T211" s="268"/>
      <c r="U211" s="268"/>
      <c r="V211" s="268"/>
      <c r="W211" s="268"/>
      <c r="X211" s="268"/>
      <c r="Y211" s="268"/>
      <c r="Z211" s="268"/>
      <c r="AA211" s="268"/>
      <c r="AB211" s="268"/>
      <c r="AC211" s="268"/>
      <c r="AD211" s="268"/>
      <c r="AE211" s="268"/>
      <c r="AF211" s="268"/>
      <c r="AG211" s="268"/>
    </row>
    <row r="212" spans="1:33">
      <c r="A212" s="268"/>
      <c r="B212" s="268"/>
      <c r="C212" s="268"/>
      <c r="D212" s="268"/>
      <c r="E212" s="268"/>
      <c r="F212" s="268"/>
      <c r="G212" s="268"/>
      <c r="H212" s="268"/>
      <c r="I212" s="268"/>
      <c r="J212" s="268"/>
      <c r="K212" s="268"/>
      <c r="L212" s="268"/>
      <c r="M212" s="268"/>
      <c r="N212" s="268"/>
      <c r="O212" s="268"/>
      <c r="P212" s="268"/>
      <c r="Q212" s="268"/>
      <c r="R212" s="268"/>
      <c r="S212" s="268"/>
      <c r="T212" s="268"/>
      <c r="U212" s="268"/>
      <c r="V212" s="268"/>
      <c r="W212" s="268"/>
      <c r="X212" s="268"/>
      <c r="Y212" s="268"/>
      <c r="Z212" s="268"/>
      <c r="AA212" s="268"/>
      <c r="AB212" s="268"/>
      <c r="AC212" s="268"/>
      <c r="AD212" s="268"/>
      <c r="AE212" s="268"/>
      <c r="AF212" s="268"/>
      <c r="AG212" s="268"/>
    </row>
    <row r="213" spans="1:33">
      <c r="A213" s="268"/>
      <c r="B213" s="268"/>
      <c r="C213" s="268"/>
      <c r="D213" s="268"/>
      <c r="E213" s="268"/>
      <c r="F213" s="268"/>
      <c r="G213" s="268"/>
      <c r="H213" s="268"/>
      <c r="I213" s="268"/>
      <c r="J213" s="268"/>
      <c r="K213" s="268"/>
      <c r="L213" s="268"/>
      <c r="M213" s="268"/>
      <c r="N213" s="268"/>
      <c r="O213" s="268"/>
      <c r="P213" s="268"/>
      <c r="Q213" s="268"/>
      <c r="R213" s="268"/>
      <c r="S213" s="268"/>
      <c r="T213" s="268"/>
      <c r="U213" s="268"/>
      <c r="V213" s="268"/>
      <c r="W213" s="268"/>
      <c r="X213" s="268"/>
      <c r="Y213" s="268"/>
      <c r="Z213" s="268"/>
      <c r="AA213" s="268"/>
      <c r="AB213" s="268"/>
      <c r="AC213" s="268"/>
      <c r="AD213" s="268"/>
      <c r="AE213" s="268"/>
      <c r="AF213" s="268"/>
      <c r="AG213" s="268"/>
    </row>
    <row r="214" spans="1:33">
      <c r="A214" s="268"/>
      <c r="B214" s="268"/>
      <c r="C214" s="268"/>
      <c r="D214" s="268"/>
      <c r="E214" s="268"/>
      <c r="F214" s="268"/>
      <c r="G214" s="268"/>
      <c r="H214" s="268"/>
      <c r="I214" s="268"/>
      <c r="J214" s="268"/>
      <c r="K214" s="268"/>
      <c r="L214" s="268"/>
      <c r="M214" s="268"/>
      <c r="N214" s="268"/>
      <c r="O214" s="268"/>
      <c r="P214" s="268"/>
      <c r="Q214" s="268"/>
      <c r="R214" s="268"/>
      <c r="S214" s="268"/>
      <c r="T214" s="268"/>
      <c r="U214" s="268"/>
      <c r="V214" s="268"/>
      <c r="W214" s="268"/>
      <c r="X214" s="268"/>
      <c r="Y214" s="268"/>
      <c r="Z214" s="268"/>
      <c r="AA214" s="268"/>
      <c r="AB214" s="268"/>
      <c r="AC214" s="268"/>
      <c r="AD214" s="268"/>
      <c r="AE214" s="268"/>
      <c r="AF214" s="268"/>
      <c r="AG214" s="268"/>
    </row>
    <row r="215" spans="1:33">
      <c r="A215" s="268"/>
      <c r="B215" s="268"/>
      <c r="C215" s="268"/>
      <c r="D215" s="268"/>
      <c r="E215" s="268"/>
      <c r="F215" s="268"/>
      <c r="G215" s="268"/>
      <c r="H215" s="268"/>
      <c r="I215" s="268"/>
      <c r="J215" s="268"/>
      <c r="K215" s="268"/>
      <c r="L215" s="268"/>
      <c r="M215" s="268"/>
      <c r="N215" s="268"/>
      <c r="O215" s="268"/>
      <c r="P215" s="268"/>
      <c r="Q215" s="268"/>
      <c r="R215" s="268"/>
      <c r="S215" s="268"/>
      <c r="T215" s="268"/>
      <c r="U215" s="268"/>
      <c r="V215" s="268"/>
      <c r="W215" s="268"/>
      <c r="X215" s="268"/>
      <c r="Y215" s="268"/>
      <c r="Z215" s="268"/>
      <c r="AA215" s="268"/>
      <c r="AB215" s="268"/>
      <c r="AC215" s="268"/>
      <c r="AD215" s="268"/>
      <c r="AE215" s="268"/>
      <c r="AF215" s="268"/>
      <c r="AG215" s="268"/>
    </row>
    <row r="216" spans="1:33">
      <c r="A216" s="268"/>
      <c r="B216" s="268"/>
      <c r="C216" s="268"/>
      <c r="D216" s="268"/>
      <c r="E216" s="268"/>
      <c r="F216" s="268"/>
      <c r="G216" s="268"/>
      <c r="H216" s="268"/>
      <c r="I216" s="268"/>
      <c r="J216" s="268"/>
      <c r="K216" s="268"/>
      <c r="L216" s="268"/>
      <c r="M216" s="268"/>
      <c r="N216" s="268"/>
      <c r="O216" s="268"/>
      <c r="P216" s="268"/>
      <c r="Q216" s="268"/>
      <c r="R216" s="268"/>
      <c r="S216" s="268"/>
      <c r="T216" s="268"/>
      <c r="U216" s="268"/>
      <c r="V216" s="268"/>
      <c r="W216" s="268"/>
      <c r="X216" s="268"/>
      <c r="Y216" s="268"/>
      <c r="Z216" s="268"/>
      <c r="AA216" s="268"/>
      <c r="AB216" s="268"/>
      <c r="AC216" s="268"/>
      <c r="AD216" s="268"/>
      <c r="AE216" s="268"/>
      <c r="AF216" s="268"/>
      <c r="AG216" s="268"/>
    </row>
    <row r="217" spans="1:33">
      <c r="A217" s="268"/>
      <c r="B217" s="268"/>
      <c r="C217" s="268"/>
      <c r="D217" s="268"/>
      <c r="E217" s="268"/>
      <c r="F217" s="268"/>
      <c r="G217" s="268"/>
      <c r="H217" s="268"/>
      <c r="I217" s="268"/>
      <c r="J217" s="268"/>
      <c r="K217" s="268"/>
      <c r="L217" s="268"/>
      <c r="M217" s="268"/>
      <c r="N217" s="268"/>
      <c r="O217" s="268"/>
      <c r="P217" s="268"/>
      <c r="Q217" s="268"/>
      <c r="R217" s="268"/>
      <c r="S217" s="268"/>
      <c r="T217" s="268"/>
      <c r="U217" s="268"/>
      <c r="V217" s="268"/>
      <c r="W217" s="268"/>
      <c r="X217" s="268"/>
      <c r="Y217" s="268"/>
      <c r="Z217" s="268"/>
      <c r="AA217" s="268"/>
      <c r="AB217" s="268"/>
      <c r="AC217" s="268"/>
      <c r="AD217" s="268"/>
      <c r="AE217" s="268"/>
      <c r="AF217" s="268"/>
      <c r="AG217" s="268"/>
    </row>
    <row r="218" spans="1:33">
      <c r="A218" s="268"/>
      <c r="B218" s="268"/>
      <c r="C218" s="268"/>
      <c r="D218" s="268"/>
      <c r="E218" s="268"/>
      <c r="F218" s="268"/>
      <c r="G218" s="268"/>
      <c r="H218" s="268"/>
      <c r="I218" s="268"/>
      <c r="J218" s="268"/>
      <c r="K218" s="268"/>
      <c r="L218" s="268"/>
      <c r="M218" s="268"/>
      <c r="N218" s="268"/>
      <c r="O218" s="268"/>
      <c r="P218" s="268"/>
      <c r="Q218" s="268"/>
      <c r="R218" s="268"/>
      <c r="S218" s="268"/>
      <c r="T218" s="268"/>
      <c r="U218" s="268"/>
      <c r="V218" s="268"/>
      <c r="W218" s="268"/>
      <c r="X218" s="268"/>
      <c r="Y218" s="268"/>
      <c r="Z218" s="268"/>
      <c r="AA218" s="268"/>
      <c r="AB218" s="268"/>
      <c r="AC218" s="268"/>
      <c r="AD218" s="268"/>
      <c r="AE218" s="268"/>
      <c r="AF218" s="268"/>
      <c r="AG218" s="268"/>
    </row>
    <row r="219" spans="1:33">
      <c r="A219" s="268"/>
      <c r="B219" s="268"/>
      <c r="C219" s="268"/>
      <c r="D219" s="268"/>
      <c r="E219" s="268"/>
      <c r="F219" s="268"/>
      <c r="G219" s="268"/>
      <c r="H219" s="268"/>
      <c r="I219" s="268"/>
      <c r="J219" s="268"/>
      <c r="K219" s="268"/>
      <c r="L219" s="268"/>
      <c r="M219" s="268"/>
      <c r="N219" s="268"/>
      <c r="O219" s="268"/>
      <c r="P219" s="268"/>
      <c r="Q219" s="268"/>
      <c r="R219" s="268"/>
      <c r="S219" s="268"/>
      <c r="T219" s="268"/>
      <c r="U219" s="268"/>
      <c r="V219" s="268"/>
      <c r="W219" s="268"/>
      <c r="X219" s="268"/>
      <c r="Y219" s="268"/>
      <c r="Z219" s="268"/>
      <c r="AA219" s="268"/>
      <c r="AB219" s="268"/>
      <c r="AC219" s="268"/>
      <c r="AD219" s="268"/>
      <c r="AE219" s="268"/>
      <c r="AF219" s="268"/>
      <c r="AG219" s="268"/>
    </row>
    <row r="220" spans="1:33">
      <c r="A220" s="268"/>
      <c r="B220" s="268"/>
      <c r="C220" s="268"/>
      <c r="D220" s="268"/>
      <c r="E220" s="268"/>
      <c r="F220" s="268"/>
      <c r="G220" s="268"/>
      <c r="H220" s="268"/>
      <c r="I220" s="268"/>
      <c r="J220" s="268"/>
      <c r="K220" s="268"/>
      <c r="L220" s="268"/>
      <c r="M220" s="268"/>
      <c r="N220" s="268"/>
      <c r="O220" s="268"/>
      <c r="P220" s="268"/>
      <c r="Q220" s="268"/>
      <c r="R220" s="268"/>
      <c r="S220" s="268"/>
      <c r="T220" s="268"/>
      <c r="U220" s="268"/>
      <c r="V220" s="268"/>
      <c r="W220" s="268"/>
      <c r="X220" s="268"/>
      <c r="Y220" s="268"/>
      <c r="Z220" s="268"/>
      <c r="AA220" s="268"/>
      <c r="AB220" s="268"/>
      <c r="AC220" s="268"/>
      <c r="AD220" s="268"/>
      <c r="AE220" s="268"/>
      <c r="AF220" s="268"/>
      <c r="AG220" s="268"/>
    </row>
    <row r="221" spans="1:33">
      <c r="A221" s="268"/>
      <c r="B221" s="268"/>
      <c r="C221" s="268"/>
      <c r="D221" s="268"/>
      <c r="E221" s="268"/>
      <c r="F221" s="268"/>
      <c r="G221" s="268"/>
      <c r="H221" s="268"/>
      <c r="I221" s="268"/>
      <c r="J221" s="268"/>
      <c r="K221" s="268"/>
      <c r="L221" s="268"/>
      <c r="M221" s="268"/>
      <c r="N221" s="268"/>
      <c r="O221" s="268"/>
      <c r="P221" s="268"/>
      <c r="Q221" s="268"/>
      <c r="R221" s="268"/>
      <c r="S221" s="268"/>
      <c r="T221" s="268"/>
      <c r="U221" s="268"/>
      <c r="V221" s="268"/>
      <c r="W221" s="268"/>
      <c r="X221" s="268"/>
      <c r="Y221" s="268"/>
      <c r="Z221" s="268"/>
      <c r="AA221" s="268"/>
      <c r="AB221" s="268"/>
      <c r="AC221" s="268"/>
      <c r="AD221" s="268"/>
      <c r="AE221" s="268"/>
      <c r="AF221" s="268"/>
      <c r="AG221" s="268"/>
    </row>
    <row r="222" spans="1:33">
      <c r="A222" s="268"/>
      <c r="B222" s="268"/>
      <c r="C222" s="268"/>
      <c r="D222" s="268"/>
      <c r="E222" s="268"/>
      <c r="F222" s="268"/>
      <c r="G222" s="268"/>
      <c r="H222" s="268"/>
      <c r="I222" s="268"/>
      <c r="J222" s="268"/>
      <c r="K222" s="268"/>
      <c r="L222" s="268"/>
      <c r="M222" s="268"/>
      <c r="N222" s="268"/>
      <c r="O222" s="268"/>
      <c r="P222" s="268"/>
      <c r="Q222" s="268"/>
      <c r="R222" s="268"/>
      <c r="S222" s="268"/>
      <c r="T222" s="268"/>
      <c r="U222" s="268"/>
      <c r="V222" s="268"/>
      <c r="W222" s="268"/>
      <c r="X222" s="268"/>
      <c r="Y222" s="268"/>
      <c r="Z222" s="268"/>
      <c r="AA222" s="268"/>
      <c r="AB222" s="268"/>
      <c r="AC222" s="268"/>
      <c r="AD222" s="268"/>
      <c r="AE222" s="268"/>
      <c r="AF222" s="268"/>
      <c r="AG222" s="268"/>
    </row>
    <row r="223" spans="1:33">
      <c r="A223" s="268"/>
      <c r="B223" s="268"/>
      <c r="C223" s="268"/>
      <c r="D223" s="268"/>
      <c r="E223" s="268"/>
      <c r="F223" s="268"/>
      <c r="G223" s="268"/>
      <c r="H223" s="268"/>
      <c r="I223" s="268"/>
      <c r="J223" s="268"/>
      <c r="K223" s="268"/>
      <c r="L223" s="268"/>
      <c r="M223" s="268"/>
      <c r="N223" s="268"/>
      <c r="O223" s="268"/>
      <c r="P223" s="268"/>
      <c r="Q223" s="268"/>
      <c r="R223" s="268"/>
      <c r="S223" s="268"/>
      <c r="T223" s="268"/>
      <c r="U223" s="268"/>
      <c r="V223" s="268"/>
      <c r="W223" s="268"/>
      <c r="X223" s="268"/>
      <c r="Y223" s="268"/>
      <c r="Z223" s="268"/>
      <c r="AA223" s="268"/>
      <c r="AB223" s="268"/>
      <c r="AC223" s="268"/>
      <c r="AD223" s="268"/>
      <c r="AE223" s="268"/>
      <c r="AF223" s="268"/>
      <c r="AG223" s="268"/>
    </row>
    <row r="224" spans="1:33">
      <c r="A224" s="268"/>
      <c r="B224" s="268"/>
      <c r="C224" s="268"/>
      <c r="D224" s="268"/>
      <c r="E224" s="268"/>
      <c r="F224" s="268"/>
      <c r="G224" s="268"/>
      <c r="H224" s="268"/>
      <c r="I224" s="268"/>
      <c r="J224" s="268"/>
      <c r="K224" s="268"/>
      <c r="L224" s="268"/>
      <c r="M224" s="268"/>
      <c r="N224" s="268"/>
      <c r="O224" s="268"/>
      <c r="P224" s="268"/>
      <c r="Q224" s="268"/>
      <c r="R224" s="268"/>
      <c r="S224" s="268"/>
      <c r="T224" s="268"/>
      <c r="U224" s="268"/>
      <c r="V224" s="268"/>
      <c r="W224" s="268"/>
      <c r="X224" s="268"/>
      <c r="Y224" s="268"/>
      <c r="Z224" s="268"/>
      <c r="AA224" s="268"/>
      <c r="AB224" s="268"/>
      <c r="AC224" s="268"/>
      <c r="AD224" s="268"/>
      <c r="AE224" s="268"/>
      <c r="AF224" s="268"/>
      <c r="AG224" s="268"/>
    </row>
    <row r="225" spans="1:33">
      <c r="A225" s="268"/>
      <c r="B225" s="268"/>
      <c r="C225" s="268"/>
      <c r="D225" s="268"/>
      <c r="E225" s="268"/>
      <c r="F225" s="268"/>
      <c r="G225" s="268"/>
      <c r="H225" s="268"/>
      <c r="I225" s="268"/>
      <c r="J225" s="268"/>
      <c r="K225" s="268"/>
      <c r="L225" s="268"/>
      <c r="M225" s="268"/>
      <c r="N225" s="268"/>
      <c r="O225" s="268"/>
      <c r="P225" s="268"/>
      <c r="Q225" s="268"/>
      <c r="R225" s="268"/>
      <c r="S225" s="268"/>
      <c r="T225" s="268"/>
      <c r="U225" s="268"/>
      <c r="V225" s="268"/>
      <c r="W225" s="268"/>
      <c r="X225" s="268"/>
      <c r="Y225" s="268"/>
      <c r="Z225" s="268"/>
      <c r="AA225" s="268"/>
      <c r="AB225" s="268"/>
      <c r="AC225" s="268"/>
      <c r="AD225" s="268"/>
      <c r="AE225" s="268"/>
      <c r="AF225" s="268"/>
      <c r="AG225" s="268"/>
    </row>
    <row r="226" spans="1:33">
      <c r="A226" s="268"/>
      <c r="B226" s="268"/>
      <c r="C226" s="268"/>
      <c r="D226" s="268"/>
      <c r="E226" s="268"/>
      <c r="F226" s="268"/>
      <c r="G226" s="268"/>
      <c r="H226" s="268"/>
      <c r="I226" s="268"/>
      <c r="J226" s="268"/>
      <c r="K226" s="268"/>
      <c r="L226" s="268"/>
      <c r="M226" s="268"/>
      <c r="N226" s="268"/>
      <c r="O226" s="268"/>
      <c r="P226" s="268"/>
      <c r="Q226" s="268"/>
      <c r="R226" s="268"/>
      <c r="S226" s="268"/>
      <c r="T226" s="268"/>
      <c r="U226" s="268"/>
      <c r="V226" s="268"/>
      <c r="W226" s="268"/>
      <c r="X226" s="268"/>
      <c r="Y226" s="268"/>
      <c r="Z226" s="268"/>
      <c r="AA226" s="268"/>
      <c r="AB226" s="268"/>
      <c r="AC226" s="268"/>
      <c r="AD226" s="268"/>
      <c r="AE226" s="268"/>
      <c r="AF226" s="268"/>
      <c r="AG226" s="268"/>
    </row>
    <row r="227" spans="1:33">
      <c r="A227" s="268"/>
      <c r="B227" s="268"/>
      <c r="C227" s="268"/>
      <c r="D227" s="268"/>
      <c r="E227" s="268"/>
      <c r="F227" s="268"/>
      <c r="G227" s="268"/>
      <c r="H227" s="268"/>
      <c r="I227" s="268"/>
      <c r="J227" s="268"/>
      <c r="K227" s="268"/>
      <c r="L227" s="268"/>
      <c r="M227" s="268"/>
      <c r="N227" s="268"/>
      <c r="O227" s="268"/>
      <c r="P227" s="268"/>
      <c r="Q227" s="268"/>
      <c r="R227" s="268"/>
      <c r="S227" s="268"/>
      <c r="T227" s="268"/>
      <c r="U227" s="268"/>
      <c r="V227" s="268"/>
      <c r="W227" s="268"/>
      <c r="X227" s="268"/>
      <c r="Y227" s="268"/>
      <c r="Z227" s="268"/>
      <c r="AA227" s="268"/>
      <c r="AB227" s="268"/>
      <c r="AC227" s="268"/>
      <c r="AD227" s="268"/>
      <c r="AE227" s="268"/>
      <c r="AF227" s="268"/>
      <c r="AG227" s="268"/>
    </row>
    <row r="228" spans="1:33">
      <c r="A228" s="268"/>
      <c r="B228" s="268"/>
      <c r="C228" s="268"/>
      <c r="D228" s="268"/>
      <c r="E228" s="268"/>
      <c r="F228" s="268"/>
      <c r="G228" s="268"/>
      <c r="H228" s="268"/>
      <c r="I228" s="268"/>
      <c r="J228" s="268"/>
      <c r="K228" s="268"/>
      <c r="L228" s="268"/>
      <c r="M228" s="268"/>
      <c r="N228" s="268"/>
      <c r="O228" s="268"/>
      <c r="P228" s="268"/>
      <c r="Q228" s="268"/>
      <c r="R228" s="268"/>
      <c r="S228" s="268"/>
      <c r="T228" s="268"/>
      <c r="U228" s="268"/>
      <c r="V228" s="268"/>
      <c r="W228" s="268"/>
      <c r="X228" s="268"/>
      <c r="Y228" s="268"/>
      <c r="Z228" s="268"/>
      <c r="AA228" s="268"/>
      <c r="AB228" s="268"/>
      <c r="AC228" s="268"/>
      <c r="AD228" s="268"/>
      <c r="AE228" s="268"/>
      <c r="AF228" s="268"/>
      <c r="AG228" s="268"/>
    </row>
    <row r="229" spans="1:33">
      <c r="A229" s="268"/>
      <c r="B229" s="268"/>
      <c r="C229" s="268"/>
      <c r="D229" s="268"/>
      <c r="E229" s="268"/>
      <c r="F229" s="268"/>
      <c r="G229" s="268"/>
      <c r="H229" s="268"/>
      <c r="I229" s="268"/>
      <c r="J229" s="268"/>
      <c r="K229" s="268"/>
      <c r="L229" s="268"/>
      <c r="M229" s="268"/>
      <c r="N229" s="268"/>
      <c r="O229" s="268"/>
      <c r="P229" s="268"/>
      <c r="Q229" s="268"/>
      <c r="R229" s="268"/>
      <c r="S229" s="268"/>
      <c r="T229" s="268"/>
      <c r="U229" s="268"/>
      <c r="V229" s="268"/>
      <c r="W229" s="268"/>
      <c r="X229" s="268"/>
      <c r="Y229" s="268"/>
      <c r="Z229" s="268"/>
      <c r="AA229" s="268"/>
      <c r="AB229" s="268"/>
      <c r="AC229" s="268"/>
      <c r="AD229" s="268"/>
      <c r="AE229" s="268"/>
      <c r="AF229" s="268"/>
      <c r="AG229" s="268"/>
    </row>
    <row r="230" spans="1:33">
      <c r="A230" s="268"/>
      <c r="B230" s="268"/>
      <c r="C230" s="268"/>
      <c r="D230" s="268"/>
      <c r="E230" s="268"/>
      <c r="F230" s="268"/>
      <c r="G230" s="268"/>
      <c r="H230" s="268"/>
      <c r="I230" s="268"/>
      <c r="J230" s="268"/>
      <c r="K230" s="268"/>
      <c r="L230" s="268"/>
      <c r="M230" s="268"/>
      <c r="N230" s="268"/>
      <c r="O230" s="268"/>
      <c r="P230" s="268"/>
      <c r="Q230" s="268"/>
      <c r="R230" s="268"/>
      <c r="S230" s="268"/>
      <c r="T230" s="268"/>
      <c r="U230" s="268"/>
      <c r="V230" s="268"/>
      <c r="W230" s="268"/>
      <c r="X230" s="268"/>
      <c r="Y230" s="268"/>
      <c r="Z230" s="268"/>
      <c r="AA230" s="268"/>
      <c r="AB230" s="268"/>
      <c r="AC230" s="268"/>
      <c r="AD230" s="268"/>
      <c r="AE230" s="268"/>
      <c r="AF230" s="268"/>
      <c r="AG230" s="268"/>
    </row>
    <row r="231" spans="1:33">
      <c r="A231" s="268"/>
      <c r="B231" s="268"/>
      <c r="C231" s="268"/>
      <c r="D231" s="268"/>
      <c r="E231" s="268"/>
      <c r="F231" s="268"/>
      <c r="G231" s="268"/>
      <c r="H231" s="268"/>
      <c r="I231" s="268"/>
      <c r="J231" s="268"/>
      <c r="K231" s="268"/>
      <c r="L231" s="268"/>
      <c r="M231" s="268"/>
      <c r="N231" s="268"/>
      <c r="O231" s="268"/>
      <c r="P231" s="268"/>
      <c r="Q231" s="268"/>
      <c r="R231" s="268"/>
      <c r="S231" s="268"/>
      <c r="T231" s="268"/>
      <c r="U231" s="268"/>
      <c r="V231" s="268"/>
      <c r="W231" s="268"/>
      <c r="X231" s="268"/>
      <c r="Y231" s="268"/>
      <c r="Z231" s="268"/>
      <c r="AA231" s="268"/>
      <c r="AB231" s="268"/>
      <c r="AC231" s="268"/>
      <c r="AD231" s="268"/>
      <c r="AE231" s="268"/>
      <c r="AF231" s="268"/>
      <c r="AG231" s="268"/>
    </row>
    <row r="232" spans="1:33">
      <c r="A232" s="268"/>
      <c r="B232" s="268"/>
      <c r="C232" s="268"/>
      <c r="D232" s="268"/>
      <c r="E232" s="268"/>
      <c r="F232" s="268"/>
      <c r="G232" s="268"/>
      <c r="H232" s="268"/>
      <c r="I232" s="268"/>
      <c r="J232" s="268"/>
      <c r="K232" s="268"/>
      <c r="L232" s="268"/>
      <c r="M232" s="268"/>
      <c r="N232" s="268"/>
      <c r="O232" s="268"/>
      <c r="P232" s="268"/>
      <c r="Q232" s="268"/>
      <c r="R232" s="268"/>
      <c r="S232" s="268"/>
      <c r="T232" s="268"/>
      <c r="U232" s="268"/>
      <c r="V232" s="268"/>
      <c r="W232" s="268"/>
      <c r="X232" s="268"/>
      <c r="Y232" s="268"/>
      <c r="Z232" s="268"/>
      <c r="AA232" s="268"/>
      <c r="AB232" s="268"/>
      <c r="AC232" s="268"/>
      <c r="AD232" s="268"/>
      <c r="AE232" s="268"/>
      <c r="AF232" s="268"/>
      <c r="AG232" s="268"/>
    </row>
    <row r="233" spans="1:33">
      <c r="A233" s="268"/>
      <c r="B233" s="268"/>
      <c r="C233" s="268"/>
      <c r="D233" s="268"/>
      <c r="E233" s="268"/>
      <c r="F233" s="268"/>
      <c r="G233" s="268"/>
      <c r="H233" s="268"/>
      <c r="I233" s="268"/>
      <c r="J233" s="268"/>
      <c r="K233" s="268"/>
      <c r="L233" s="268"/>
      <c r="M233" s="268"/>
      <c r="N233" s="268"/>
      <c r="O233" s="268"/>
      <c r="P233" s="268"/>
      <c r="Q233" s="268"/>
      <c r="R233" s="268"/>
      <c r="S233" s="268"/>
      <c r="T233" s="268"/>
      <c r="U233" s="268"/>
      <c r="V233" s="268"/>
      <c r="W233" s="268"/>
      <c r="X233" s="268"/>
      <c r="Y233" s="268"/>
      <c r="Z233" s="268"/>
      <c r="AA233" s="268"/>
      <c r="AB233" s="268"/>
      <c r="AC233" s="268"/>
      <c r="AD233" s="268"/>
      <c r="AE233" s="268"/>
      <c r="AF233" s="268"/>
      <c r="AG233" s="268"/>
    </row>
    <row r="234" spans="1:33">
      <c r="A234" s="268"/>
      <c r="B234" s="268"/>
      <c r="C234" s="268"/>
      <c r="D234" s="268"/>
      <c r="E234" s="268"/>
      <c r="F234" s="268"/>
      <c r="G234" s="268"/>
      <c r="H234" s="268"/>
      <c r="I234" s="268"/>
      <c r="J234" s="268"/>
      <c r="K234" s="268"/>
      <c r="L234" s="268"/>
      <c r="M234" s="268"/>
      <c r="N234" s="268"/>
      <c r="O234" s="268"/>
      <c r="P234" s="268"/>
      <c r="Q234" s="268"/>
      <c r="R234" s="268"/>
      <c r="S234" s="268"/>
      <c r="T234" s="268"/>
      <c r="U234" s="268"/>
      <c r="V234" s="268"/>
      <c r="W234" s="268"/>
      <c r="X234" s="268"/>
      <c r="Y234" s="268"/>
      <c r="Z234" s="268"/>
      <c r="AA234" s="268"/>
      <c r="AB234" s="268"/>
      <c r="AC234" s="268"/>
      <c r="AD234" s="268"/>
      <c r="AE234" s="268"/>
      <c r="AF234" s="268"/>
      <c r="AG234" s="268"/>
    </row>
    <row r="235" spans="1:33">
      <c r="A235" s="268"/>
      <c r="B235" s="268"/>
      <c r="C235" s="268"/>
      <c r="D235" s="268"/>
      <c r="E235" s="268"/>
      <c r="F235" s="268"/>
      <c r="G235" s="268"/>
      <c r="H235" s="268"/>
      <c r="I235" s="268"/>
      <c r="J235" s="268"/>
      <c r="K235" s="268"/>
      <c r="L235" s="268"/>
      <c r="M235" s="268"/>
      <c r="N235" s="268"/>
      <c r="O235" s="268"/>
      <c r="P235" s="268"/>
      <c r="Q235" s="268"/>
      <c r="R235" s="268"/>
      <c r="S235" s="268"/>
      <c r="T235" s="268"/>
      <c r="U235" s="268"/>
      <c r="V235" s="268"/>
      <c r="W235" s="268"/>
      <c r="X235" s="268"/>
      <c r="Y235" s="268"/>
      <c r="Z235" s="268"/>
      <c r="AA235" s="268"/>
      <c r="AB235" s="268"/>
      <c r="AC235" s="268"/>
      <c r="AD235" s="268"/>
      <c r="AE235" s="268"/>
      <c r="AF235" s="268"/>
      <c r="AG235" s="268"/>
    </row>
    <row r="236" spans="1:33">
      <c r="A236" s="268"/>
      <c r="B236" s="268"/>
      <c r="C236" s="268"/>
      <c r="D236" s="268"/>
      <c r="E236" s="268"/>
      <c r="F236" s="268"/>
      <c r="G236" s="268"/>
      <c r="H236" s="268"/>
      <c r="I236" s="268"/>
      <c r="J236" s="268"/>
      <c r="K236" s="268"/>
      <c r="L236" s="268"/>
      <c r="M236" s="268"/>
      <c r="N236" s="268"/>
      <c r="O236" s="268"/>
      <c r="P236" s="268"/>
      <c r="Q236" s="268"/>
      <c r="R236" s="268"/>
      <c r="S236" s="268"/>
      <c r="T236" s="268"/>
      <c r="U236" s="268"/>
      <c r="V236" s="268"/>
      <c r="W236" s="268"/>
      <c r="X236" s="268"/>
      <c r="Y236" s="268"/>
      <c r="Z236" s="268"/>
      <c r="AA236" s="268"/>
      <c r="AB236" s="268"/>
      <c r="AC236" s="268"/>
      <c r="AD236" s="268"/>
      <c r="AE236" s="268"/>
      <c r="AF236" s="268"/>
      <c r="AG236" s="268"/>
    </row>
    <row r="237" spans="1:33">
      <c r="A237" s="268"/>
      <c r="B237" s="268"/>
      <c r="C237" s="268"/>
      <c r="D237" s="268"/>
      <c r="E237" s="268"/>
      <c r="F237" s="268"/>
      <c r="G237" s="268"/>
      <c r="H237" s="268"/>
      <c r="I237" s="268"/>
      <c r="J237" s="268"/>
      <c r="K237" s="268"/>
      <c r="L237" s="268"/>
      <c r="M237" s="268"/>
      <c r="N237" s="268"/>
      <c r="O237" s="268"/>
      <c r="P237" s="268"/>
      <c r="Q237" s="268"/>
      <c r="R237" s="268"/>
      <c r="S237" s="268"/>
      <c r="T237" s="268"/>
      <c r="U237" s="268"/>
      <c r="V237" s="268"/>
      <c r="W237" s="268"/>
      <c r="X237" s="268"/>
      <c r="Y237" s="268"/>
      <c r="Z237" s="268"/>
      <c r="AA237" s="268"/>
      <c r="AB237" s="268"/>
      <c r="AC237" s="268"/>
      <c r="AD237" s="268"/>
      <c r="AE237" s="268"/>
      <c r="AF237" s="268"/>
      <c r="AG237" s="268"/>
    </row>
    <row r="238" spans="1:33">
      <c r="A238" s="268"/>
      <c r="B238" s="268"/>
      <c r="C238" s="268"/>
      <c r="D238" s="268"/>
      <c r="E238" s="268"/>
      <c r="F238" s="268"/>
      <c r="G238" s="268"/>
      <c r="H238" s="268"/>
      <c r="I238" s="268"/>
      <c r="J238" s="268"/>
      <c r="K238" s="268"/>
      <c r="L238" s="268"/>
      <c r="M238" s="268"/>
      <c r="N238" s="268"/>
      <c r="O238" s="268"/>
      <c r="P238" s="268"/>
      <c r="Q238" s="268"/>
      <c r="R238" s="268"/>
      <c r="S238" s="268"/>
      <c r="T238" s="268"/>
      <c r="U238" s="268"/>
      <c r="V238" s="268"/>
      <c r="W238" s="268"/>
      <c r="X238" s="268"/>
      <c r="Y238" s="268"/>
      <c r="Z238" s="268"/>
      <c r="AA238" s="268"/>
      <c r="AB238" s="268"/>
      <c r="AC238" s="268"/>
      <c r="AD238" s="268"/>
      <c r="AE238" s="268"/>
      <c r="AF238" s="268"/>
      <c r="AG238" s="268"/>
    </row>
    <row r="239" spans="1:33">
      <c r="A239" s="268"/>
      <c r="B239" s="268"/>
      <c r="C239" s="268"/>
      <c r="D239" s="268"/>
      <c r="E239" s="268"/>
      <c r="F239" s="268"/>
      <c r="G239" s="268"/>
      <c r="H239" s="268"/>
      <c r="I239" s="268"/>
      <c r="J239" s="268"/>
      <c r="K239" s="268"/>
      <c r="L239" s="268"/>
      <c r="M239" s="268"/>
      <c r="N239" s="268"/>
      <c r="O239" s="268"/>
      <c r="P239" s="268"/>
      <c r="Q239" s="268"/>
      <c r="R239" s="268"/>
      <c r="S239" s="268"/>
      <c r="T239" s="268"/>
      <c r="U239" s="268"/>
      <c r="V239" s="268"/>
      <c r="W239" s="268"/>
      <c r="X239" s="268"/>
      <c r="Y239" s="268"/>
      <c r="Z239" s="268"/>
      <c r="AA239" s="268"/>
      <c r="AB239" s="268"/>
      <c r="AC239" s="268"/>
      <c r="AD239" s="268"/>
      <c r="AE239" s="268"/>
      <c r="AF239" s="268"/>
      <c r="AG239" s="268"/>
    </row>
    <row r="240" spans="1:33">
      <c r="A240" s="268"/>
      <c r="B240" s="268"/>
      <c r="C240" s="268"/>
      <c r="D240" s="268"/>
      <c r="E240" s="268"/>
      <c r="F240" s="268"/>
      <c r="G240" s="268"/>
      <c r="H240" s="268"/>
      <c r="I240" s="268"/>
      <c r="J240" s="268"/>
      <c r="K240" s="268"/>
      <c r="L240" s="268"/>
      <c r="M240" s="268"/>
      <c r="N240" s="268"/>
      <c r="O240" s="268"/>
      <c r="P240" s="268"/>
      <c r="Q240" s="268"/>
      <c r="R240" s="268"/>
      <c r="S240" s="268"/>
      <c r="T240" s="268"/>
      <c r="U240" s="268"/>
      <c r="V240" s="268"/>
      <c r="W240" s="268"/>
      <c r="X240" s="268"/>
      <c r="Y240" s="268"/>
      <c r="Z240" s="268"/>
      <c r="AA240" s="268"/>
      <c r="AB240" s="268"/>
      <c r="AC240" s="268"/>
      <c r="AD240" s="268"/>
      <c r="AE240" s="268"/>
      <c r="AF240" s="268"/>
      <c r="AG240" s="268"/>
    </row>
    <row r="241" spans="1:33">
      <c r="A241" s="268"/>
      <c r="B241" s="268"/>
      <c r="C241" s="268"/>
      <c r="D241" s="268"/>
      <c r="E241" s="268"/>
      <c r="F241" s="268"/>
      <c r="G241" s="268"/>
      <c r="H241" s="268"/>
      <c r="I241" s="268"/>
      <c r="J241" s="268"/>
      <c r="K241" s="268"/>
      <c r="L241" s="268"/>
      <c r="M241" s="268"/>
      <c r="N241" s="268"/>
      <c r="O241" s="268"/>
      <c r="P241" s="268"/>
      <c r="Q241" s="268"/>
      <c r="R241" s="268"/>
      <c r="S241" s="268"/>
      <c r="T241" s="268"/>
      <c r="U241" s="268"/>
      <c r="V241" s="268"/>
      <c r="W241" s="268"/>
      <c r="X241" s="268"/>
      <c r="Y241" s="268"/>
      <c r="Z241" s="268"/>
      <c r="AA241" s="268"/>
      <c r="AB241" s="268"/>
      <c r="AC241" s="268"/>
      <c r="AD241" s="268"/>
      <c r="AE241" s="268"/>
      <c r="AF241" s="268"/>
      <c r="AG241" s="268"/>
    </row>
    <row r="242" spans="1:33">
      <c r="A242" s="268"/>
      <c r="B242" s="268"/>
      <c r="C242" s="268"/>
      <c r="D242" s="268"/>
      <c r="E242" s="268"/>
      <c r="F242" s="268"/>
      <c r="G242" s="268"/>
      <c r="H242" s="268"/>
      <c r="I242" s="268"/>
      <c r="J242" s="268"/>
      <c r="K242" s="268"/>
      <c r="L242" s="268"/>
      <c r="M242" s="268"/>
      <c r="N242" s="268"/>
      <c r="O242" s="268"/>
      <c r="P242" s="268"/>
      <c r="Q242" s="268"/>
      <c r="R242" s="268"/>
      <c r="S242" s="268"/>
      <c r="T242" s="268"/>
      <c r="U242" s="268"/>
      <c r="V242" s="268"/>
      <c r="W242" s="268"/>
      <c r="X242" s="268"/>
      <c r="Y242" s="268"/>
      <c r="Z242" s="268"/>
      <c r="AA242" s="268"/>
      <c r="AB242" s="268"/>
      <c r="AC242" s="268"/>
      <c r="AD242" s="268"/>
      <c r="AE242" s="268"/>
      <c r="AF242" s="268"/>
      <c r="AG242" s="268"/>
    </row>
    <row r="243" spans="1:33">
      <c r="A243" s="268"/>
      <c r="B243" s="268"/>
      <c r="C243" s="268"/>
      <c r="D243" s="268"/>
      <c r="E243" s="268"/>
      <c r="F243" s="268"/>
      <c r="G243" s="268"/>
      <c r="H243" s="268"/>
      <c r="I243" s="268"/>
      <c r="J243" s="268"/>
      <c r="K243" s="268"/>
      <c r="L243" s="268"/>
      <c r="M243" s="268"/>
      <c r="N243" s="268"/>
      <c r="O243" s="268"/>
      <c r="P243" s="268"/>
      <c r="Q243" s="268"/>
      <c r="R243" s="268"/>
      <c r="S243" s="268"/>
      <c r="T243" s="268"/>
      <c r="U243" s="268"/>
      <c r="V243" s="268"/>
      <c r="W243" s="268"/>
      <c r="X243" s="268"/>
      <c r="Y243" s="268"/>
      <c r="Z243" s="268"/>
      <c r="AA243" s="268"/>
      <c r="AB243" s="268"/>
      <c r="AC243" s="268"/>
      <c r="AD243" s="268"/>
      <c r="AE243" s="268"/>
      <c r="AF243" s="268"/>
      <c r="AG243" s="268"/>
    </row>
    <row r="244" spans="1:33">
      <c r="A244" s="268"/>
      <c r="B244" s="268"/>
      <c r="C244" s="268"/>
      <c r="D244" s="268"/>
      <c r="E244" s="268"/>
      <c r="F244" s="268"/>
      <c r="G244" s="268"/>
      <c r="H244" s="268"/>
      <c r="I244" s="268"/>
      <c r="J244" s="268"/>
      <c r="K244" s="268"/>
      <c r="L244" s="268"/>
      <c r="M244" s="268"/>
      <c r="N244" s="268"/>
      <c r="O244" s="268"/>
      <c r="P244" s="268"/>
      <c r="Q244" s="268"/>
      <c r="R244" s="268"/>
      <c r="S244" s="268"/>
      <c r="T244" s="268"/>
      <c r="U244" s="268"/>
      <c r="V244" s="268"/>
      <c r="W244" s="268"/>
      <c r="X244" s="268"/>
      <c r="Y244" s="268"/>
      <c r="Z244" s="268"/>
      <c r="AA244" s="268"/>
      <c r="AB244" s="268"/>
      <c r="AC244" s="268"/>
      <c r="AD244" s="268"/>
      <c r="AE244" s="268"/>
      <c r="AF244" s="268"/>
      <c r="AG244" s="268"/>
    </row>
    <row r="245" spans="1:33">
      <c r="A245" s="268"/>
      <c r="B245" s="268"/>
      <c r="C245" s="268"/>
      <c r="D245" s="268"/>
      <c r="E245" s="268"/>
      <c r="F245" s="268"/>
      <c r="G245" s="268"/>
      <c r="H245" s="268"/>
      <c r="I245" s="268"/>
      <c r="J245" s="268"/>
      <c r="K245" s="268"/>
      <c r="L245" s="268"/>
      <c r="M245" s="268"/>
      <c r="N245" s="268"/>
      <c r="O245" s="268"/>
      <c r="P245" s="268"/>
      <c r="Q245" s="268"/>
      <c r="R245" s="268"/>
      <c r="S245" s="268"/>
      <c r="T245" s="268"/>
      <c r="U245" s="268"/>
      <c r="V245" s="268"/>
      <c r="W245" s="268"/>
      <c r="X245" s="268"/>
      <c r="Y245" s="268"/>
      <c r="Z245" s="268"/>
      <c r="AA245" s="268"/>
      <c r="AB245" s="268"/>
      <c r="AC245" s="268"/>
      <c r="AD245" s="268"/>
      <c r="AE245" s="268"/>
      <c r="AF245" s="268"/>
      <c r="AG245" s="268"/>
    </row>
    <row r="246" spans="1:33">
      <c r="A246" s="268"/>
      <c r="B246" s="268"/>
      <c r="C246" s="268"/>
      <c r="D246" s="268"/>
      <c r="E246" s="268"/>
      <c r="F246" s="268"/>
      <c r="G246" s="268"/>
      <c r="H246" s="268"/>
      <c r="I246" s="268"/>
      <c r="J246" s="268"/>
      <c r="K246" s="268"/>
      <c r="L246" s="268"/>
      <c r="M246" s="268"/>
      <c r="N246" s="268"/>
      <c r="O246" s="268"/>
      <c r="P246" s="268"/>
      <c r="Q246" s="268"/>
      <c r="R246" s="268"/>
      <c r="S246" s="268"/>
      <c r="T246" s="268"/>
      <c r="U246" s="268"/>
      <c r="V246" s="268"/>
      <c r="W246" s="268"/>
      <c r="X246" s="268"/>
      <c r="Y246" s="268"/>
      <c r="Z246" s="268"/>
      <c r="AA246" s="268"/>
      <c r="AB246" s="268"/>
      <c r="AC246" s="268"/>
      <c r="AD246" s="268"/>
      <c r="AE246" s="268"/>
      <c r="AF246" s="268"/>
      <c r="AG246" s="268"/>
    </row>
    <row r="247" spans="1:33">
      <c r="A247" s="268"/>
      <c r="B247" s="268"/>
      <c r="C247" s="268"/>
      <c r="D247" s="268"/>
      <c r="E247" s="268"/>
      <c r="F247" s="268"/>
      <c r="G247" s="268"/>
      <c r="H247" s="268"/>
      <c r="I247" s="268"/>
      <c r="J247" s="268"/>
      <c r="K247" s="268"/>
      <c r="L247" s="268"/>
      <c r="M247" s="268"/>
      <c r="N247" s="268"/>
      <c r="O247" s="268"/>
      <c r="P247" s="268"/>
      <c r="Q247" s="268"/>
      <c r="R247" s="268"/>
      <c r="S247" s="268"/>
      <c r="T247" s="268"/>
      <c r="U247" s="268"/>
      <c r="V247" s="268"/>
      <c r="W247" s="268"/>
      <c r="X247" s="268"/>
      <c r="Y247" s="268"/>
      <c r="Z247" s="268"/>
      <c r="AA247" s="268"/>
      <c r="AB247" s="268"/>
      <c r="AC247" s="268"/>
      <c r="AD247" s="268"/>
      <c r="AE247" s="268"/>
      <c r="AF247" s="268"/>
      <c r="AG247" s="268"/>
    </row>
    <row r="248" spans="1:33">
      <c r="A248" s="268"/>
      <c r="B248" s="268"/>
      <c r="C248" s="268"/>
      <c r="D248" s="268"/>
      <c r="E248" s="268"/>
      <c r="F248" s="268"/>
      <c r="G248" s="268"/>
      <c r="H248" s="268"/>
      <c r="I248" s="268"/>
      <c r="J248" s="268"/>
      <c r="K248" s="268"/>
      <c r="L248" s="268"/>
      <c r="M248" s="268"/>
      <c r="N248" s="268"/>
      <c r="O248" s="268"/>
      <c r="P248" s="268"/>
      <c r="Q248" s="268"/>
      <c r="R248" s="268"/>
      <c r="S248" s="268"/>
      <c r="T248" s="268"/>
      <c r="U248" s="268"/>
      <c r="V248" s="268"/>
      <c r="W248" s="268"/>
      <c r="X248" s="268"/>
      <c r="Y248" s="268"/>
      <c r="Z248" s="268"/>
      <c r="AA248" s="268"/>
      <c r="AB248" s="268"/>
      <c r="AC248" s="268"/>
      <c r="AD248" s="268"/>
      <c r="AE248" s="268"/>
      <c r="AF248" s="268"/>
      <c r="AG248" s="268"/>
    </row>
    <row r="249" spans="1:33">
      <c r="A249" s="268"/>
      <c r="B249" s="268"/>
      <c r="C249" s="268"/>
      <c r="D249" s="268"/>
      <c r="E249" s="268"/>
      <c r="F249" s="268"/>
      <c r="G249" s="268"/>
      <c r="H249" s="268"/>
      <c r="I249" s="268"/>
      <c r="J249" s="268"/>
      <c r="K249" s="268"/>
      <c r="L249" s="268"/>
      <c r="M249" s="268"/>
      <c r="N249" s="268"/>
      <c r="O249" s="268"/>
      <c r="P249" s="268"/>
      <c r="Q249" s="268"/>
      <c r="R249" s="268"/>
      <c r="S249" s="268"/>
      <c r="T249" s="268"/>
      <c r="U249" s="268"/>
      <c r="V249" s="268"/>
      <c r="W249" s="268"/>
      <c r="X249" s="268"/>
      <c r="Y249" s="268"/>
      <c r="Z249" s="268"/>
      <c r="AA249" s="268"/>
      <c r="AB249" s="268"/>
      <c r="AC249" s="268"/>
      <c r="AD249" s="268"/>
      <c r="AE249" s="268"/>
      <c r="AF249" s="268"/>
      <c r="AG249" s="268"/>
    </row>
    <row r="250" spans="1:33">
      <c r="A250" s="268"/>
      <c r="B250" s="268"/>
      <c r="C250" s="268"/>
      <c r="D250" s="268"/>
      <c r="E250" s="268"/>
      <c r="F250" s="268"/>
      <c r="G250" s="268"/>
      <c r="H250" s="268"/>
      <c r="I250" s="268"/>
      <c r="J250" s="268"/>
      <c r="K250" s="268"/>
      <c r="L250" s="268"/>
      <c r="M250" s="268"/>
      <c r="N250" s="268"/>
      <c r="O250" s="268"/>
      <c r="P250" s="268"/>
      <c r="Q250" s="268"/>
      <c r="R250" s="268"/>
      <c r="S250" s="268"/>
      <c r="T250" s="268"/>
      <c r="U250" s="268"/>
      <c r="V250" s="268"/>
      <c r="W250" s="268"/>
      <c r="X250" s="268"/>
      <c r="Y250" s="268"/>
      <c r="Z250" s="268"/>
      <c r="AA250" s="268"/>
      <c r="AB250" s="268"/>
      <c r="AC250" s="268"/>
      <c r="AD250" s="268"/>
      <c r="AE250" s="268"/>
      <c r="AF250" s="268"/>
      <c r="AG250" s="268"/>
    </row>
    <row r="251" spans="1:33">
      <c r="A251" s="268"/>
      <c r="B251" s="268"/>
      <c r="C251" s="268"/>
      <c r="D251" s="268"/>
      <c r="E251" s="268"/>
      <c r="F251" s="268"/>
      <c r="G251" s="268"/>
      <c r="H251" s="268"/>
      <c r="I251" s="268"/>
      <c r="J251" s="268"/>
      <c r="K251" s="268"/>
      <c r="L251" s="268"/>
      <c r="M251" s="268"/>
      <c r="N251" s="268"/>
      <c r="O251" s="268"/>
      <c r="P251" s="268"/>
      <c r="Q251" s="268"/>
      <c r="R251" s="268"/>
      <c r="S251" s="268"/>
      <c r="T251" s="268"/>
      <c r="U251" s="268"/>
      <c r="V251" s="268"/>
      <c r="W251" s="268"/>
      <c r="X251" s="268"/>
      <c r="Y251" s="268"/>
      <c r="Z251" s="268"/>
      <c r="AA251" s="268"/>
      <c r="AB251" s="268"/>
      <c r="AC251" s="268"/>
      <c r="AD251" s="268"/>
      <c r="AE251" s="268"/>
      <c r="AF251" s="268"/>
      <c r="AG251" s="268"/>
    </row>
    <row r="252" spans="1:33">
      <c r="A252" s="268"/>
      <c r="B252" s="268"/>
      <c r="C252" s="268"/>
      <c r="D252" s="268"/>
      <c r="E252" s="268"/>
      <c r="F252" s="268"/>
      <c r="G252" s="268"/>
      <c r="H252" s="268"/>
      <c r="I252" s="268"/>
      <c r="J252" s="268"/>
      <c r="K252" s="268"/>
      <c r="L252" s="268"/>
      <c r="M252" s="268"/>
      <c r="N252" s="268"/>
      <c r="O252" s="268"/>
      <c r="P252" s="268"/>
      <c r="Q252" s="268"/>
      <c r="R252" s="268"/>
      <c r="S252" s="268"/>
      <c r="T252" s="268"/>
      <c r="U252" s="268"/>
      <c r="V252" s="268"/>
      <c r="W252" s="268"/>
      <c r="X252" s="268"/>
      <c r="Y252" s="268"/>
      <c r="Z252" s="268"/>
      <c r="AA252" s="268"/>
      <c r="AB252" s="268"/>
      <c r="AC252" s="268"/>
      <c r="AD252" s="268"/>
      <c r="AE252" s="268"/>
      <c r="AF252" s="268"/>
      <c r="AG252" s="268"/>
    </row>
    <row r="253" spans="1:33">
      <c r="A253" s="268"/>
      <c r="B253" s="268"/>
      <c r="C253" s="268"/>
      <c r="D253" s="268"/>
      <c r="E253" s="268"/>
      <c r="F253" s="268"/>
      <c r="G253" s="268"/>
      <c r="H253" s="268"/>
      <c r="I253" s="268"/>
      <c r="J253" s="268"/>
      <c r="K253" s="268"/>
      <c r="L253" s="268"/>
      <c r="M253" s="268"/>
      <c r="N253" s="268"/>
      <c r="O253" s="268"/>
      <c r="P253" s="268"/>
      <c r="Q253" s="268"/>
      <c r="R253" s="268"/>
      <c r="S253" s="268"/>
      <c r="T253" s="268"/>
      <c r="U253" s="268"/>
      <c r="V253" s="268"/>
      <c r="W253" s="268"/>
      <c r="X253" s="268"/>
      <c r="Y253" s="268"/>
      <c r="Z253" s="268"/>
      <c r="AA253" s="268"/>
      <c r="AB253" s="268"/>
      <c r="AC253" s="268"/>
      <c r="AD253" s="268"/>
      <c r="AE253" s="268"/>
      <c r="AF253" s="268"/>
      <c r="AG253" s="268"/>
    </row>
    <row r="254" spans="1:33">
      <c r="A254" s="268"/>
      <c r="B254" s="268"/>
      <c r="C254" s="268"/>
      <c r="D254" s="268"/>
      <c r="E254" s="268"/>
      <c r="F254" s="268"/>
      <c r="G254" s="268"/>
      <c r="H254" s="268"/>
      <c r="I254" s="268"/>
      <c r="J254" s="268"/>
      <c r="K254" s="268"/>
      <c r="L254" s="268"/>
      <c r="M254" s="268"/>
      <c r="N254" s="268"/>
      <c r="O254" s="268"/>
      <c r="P254" s="268"/>
      <c r="Q254" s="268"/>
      <c r="R254" s="268"/>
      <c r="S254" s="268"/>
      <c r="T254" s="268"/>
      <c r="U254" s="268"/>
      <c r="V254" s="268"/>
      <c r="W254" s="268"/>
      <c r="X254" s="268"/>
      <c r="Y254" s="268"/>
      <c r="Z254" s="268"/>
      <c r="AA254" s="268"/>
      <c r="AB254" s="268"/>
      <c r="AC254" s="268"/>
      <c r="AD254" s="268"/>
      <c r="AE254" s="268"/>
      <c r="AF254" s="268"/>
      <c r="AG254" s="268"/>
    </row>
    <row r="255" spans="1:33">
      <c r="A255" s="268"/>
      <c r="B255" s="268"/>
      <c r="C255" s="268"/>
      <c r="D255" s="268"/>
      <c r="E255" s="268"/>
      <c r="F255" s="268"/>
      <c r="G255" s="268"/>
      <c r="H255" s="268"/>
      <c r="I255" s="268"/>
      <c r="J255" s="268"/>
      <c r="K255" s="268"/>
      <c r="L255" s="268"/>
      <c r="M255" s="268"/>
      <c r="N255" s="268"/>
      <c r="O255" s="268"/>
      <c r="P255" s="268"/>
      <c r="Q255" s="268"/>
      <c r="R255" s="268"/>
      <c r="S255" s="268"/>
      <c r="T255" s="268"/>
      <c r="U255" s="268"/>
      <c r="V255" s="268"/>
      <c r="W255" s="268"/>
      <c r="X255" s="268"/>
      <c r="Y255" s="268"/>
      <c r="Z255" s="268"/>
      <c r="AA255" s="268"/>
      <c r="AB255" s="268"/>
      <c r="AC255" s="268"/>
      <c r="AD255" s="268"/>
      <c r="AE255" s="268"/>
      <c r="AF255" s="268"/>
      <c r="AG255" s="268"/>
    </row>
    <row r="256" spans="1:33">
      <c r="A256" s="268"/>
      <c r="B256" s="268"/>
      <c r="C256" s="268"/>
      <c r="D256" s="268"/>
      <c r="E256" s="268"/>
      <c r="F256" s="268"/>
      <c r="G256" s="268"/>
      <c r="H256" s="268"/>
      <c r="I256" s="268"/>
      <c r="J256" s="268"/>
      <c r="K256" s="268"/>
      <c r="L256" s="268"/>
      <c r="M256" s="268"/>
      <c r="N256" s="268"/>
      <c r="O256" s="268"/>
      <c r="P256" s="268"/>
      <c r="Q256" s="268"/>
      <c r="R256" s="268"/>
      <c r="S256" s="268"/>
      <c r="T256" s="268"/>
      <c r="U256" s="268"/>
      <c r="V256" s="268"/>
      <c r="W256" s="268"/>
      <c r="X256" s="268"/>
      <c r="Y256" s="268"/>
      <c r="Z256" s="268"/>
      <c r="AA256" s="268"/>
      <c r="AB256" s="268"/>
      <c r="AC256" s="268"/>
      <c r="AD256" s="268"/>
      <c r="AE256" s="268"/>
      <c r="AF256" s="268"/>
      <c r="AG256" s="268"/>
    </row>
    <row r="257" spans="1:33">
      <c r="A257" s="268"/>
      <c r="B257" s="268"/>
      <c r="C257" s="268"/>
      <c r="D257" s="268"/>
      <c r="E257" s="268"/>
      <c r="F257" s="268"/>
      <c r="G257" s="268"/>
      <c r="H257" s="268"/>
      <c r="I257" s="268"/>
      <c r="J257" s="268"/>
      <c r="K257" s="268"/>
      <c r="L257" s="268"/>
      <c r="M257" s="268"/>
      <c r="N257" s="268"/>
      <c r="O257" s="268"/>
      <c r="P257" s="268"/>
      <c r="Q257" s="268"/>
      <c r="R257" s="268"/>
      <c r="S257" s="268"/>
      <c r="T257" s="268"/>
      <c r="U257" s="268"/>
      <c r="V257" s="268"/>
      <c r="W257" s="268"/>
      <c r="X257" s="268"/>
      <c r="Y257" s="268"/>
      <c r="Z257" s="268"/>
      <c r="AA257" s="268"/>
      <c r="AB257" s="268"/>
      <c r="AC257" s="268"/>
      <c r="AD257" s="268"/>
      <c r="AE257" s="268"/>
      <c r="AF257" s="268"/>
      <c r="AG257" s="268"/>
    </row>
    <row r="258" spans="1:33">
      <c r="A258" s="268"/>
      <c r="B258" s="268"/>
      <c r="C258" s="268"/>
      <c r="D258" s="268"/>
      <c r="E258" s="268"/>
      <c r="F258" s="268"/>
      <c r="G258" s="268"/>
      <c r="H258" s="268"/>
      <c r="I258" s="268"/>
      <c r="J258" s="268"/>
      <c r="K258" s="268"/>
      <c r="L258" s="268"/>
      <c r="M258" s="268"/>
      <c r="N258" s="268"/>
      <c r="O258" s="268"/>
      <c r="P258" s="268"/>
      <c r="Q258" s="268"/>
      <c r="R258" s="268"/>
      <c r="S258" s="268"/>
      <c r="T258" s="268"/>
      <c r="U258" s="268"/>
      <c r="V258" s="268"/>
      <c r="W258" s="268"/>
      <c r="X258" s="268"/>
      <c r="Y258" s="268"/>
      <c r="Z258" s="268"/>
      <c r="AA258" s="268"/>
      <c r="AB258" s="268"/>
      <c r="AC258" s="268"/>
      <c r="AD258" s="268"/>
      <c r="AE258" s="268"/>
      <c r="AF258" s="268"/>
      <c r="AG258" s="268"/>
    </row>
    <row r="259" spans="1:33">
      <c r="A259" s="268"/>
      <c r="J259" s="268"/>
      <c r="K259" s="268"/>
      <c r="L259" s="268"/>
      <c r="M259" s="268"/>
      <c r="N259" s="268"/>
      <c r="O259" s="268"/>
      <c r="P259" s="268"/>
      <c r="Q259" s="268"/>
      <c r="R259" s="268"/>
      <c r="S259" s="268"/>
      <c r="T259" s="268"/>
      <c r="U259" s="268"/>
      <c r="V259" s="268"/>
      <c r="W259" s="268"/>
      <c r="X259" s="268"/>
      <c r="Y259" s="268"/>
      <c r="Z259" s="268"/>
      <c r="AA259" s="268"/>
      <c r="AB259" s="268"/>
      <c r="AC259" s="268"/>
      <c r="AD259" s="268"/>
      <c r="AE259" s="268"/>
      <c r="AF259" s="268"/>
      <c r="AG259" s="268"/>
    </row>
    <row r="260" spans="1:33">
      <c r="A260" s="268"/>
      <c r="J260" s="268"/>
      <c r="K260" s="268"/>
      <c r="L260" s="268"/>
      <c r="M260" s="268"/>
      <c r="N260" s="268"/>
      <c r="O260" s="268"/>
      <c r="P260" s="268"/>
      <c r="Q260" s="268"/>
      <c r="R260" s="268"/>
      <c r="S260" s="268"/>
      <c r="T260" s="268"/>
      <c r="U260" s="268"/>
      <c r="V260" s="268"/>
      <c r="W260" s="268"/>
      <c r="X260" s="268"/>
      <c r="Y260" s="268"/>
      <c r="Z260" s="268"/>
      <c r="AA260" s="268"/>
      <c r="AB260" s="268"/>
      <c r="AC260" s="268"/>
      <c r="AD260" s="268"/>
      <c r="AE260" s="268"/>
      <c r="AF260" s="268"/>
      <c r="AG260" s="268"/>
    </row>
    <row r="261" spans="1:33">
      <c r="K261" s="268"/>
      <c r="L261" s="268"/>
      <c r="M261" s="268"/>
      <c r="N261" s="268"/>
      <c r="O261" s="268"/>
      <c r="P261" s="268"/>
      <c r="Q261" s="268"/>
      <c r="R261" s="268"/>
      <c r="S261" s="268"/>
      <c r="Z261" s="268"/>
      <c r="AA261" s="268"/>
      <c r="AB261" s="268"/>
      <c r="AC261" s="268"/>
      <c r="AD261" s="268"/>
      <c r="AE261" s="268"/>
      <c r="AF261" s="268"/>
      <c r="AG261" s="268"/>
    </row>
  </sheetData>
  <sheetProtection algorithmName="SHA-512" hashValue="XJVMfpAIh6hl91Om072O+1XhSR2hsJvnEoo0lC2dYazQVFRSH4TP1tnn97pJr8DQ4uZFVTnB1VSTE+HVi0YePg==" saltValue="Orwfv6Cus6kp7rDin1xuVA==" spinCount="100000" sheet="1" objects="1" scenarios="1" formatCells="0" formatColumns="0"/>
  <mergeCells count="135">
    <mergeCell ref="AV58:BA58"/>
    <mergeCell ref="B22:C22"/>
    <mergeCell ref="AV57:BA57"/>
    <mergeCell ref="AX45:AX46"/>
    <mergeCell ref="AY45:AY46"/>
    <mergeCell ref="AM50:AP50"/>
    <mergeCell ref="AQ50:AT50"/>
    <mergeCell ref="AM52:AN52"/>
    <mergeCell ref="AP52:AQ52"/>
    <mergeCell ref="AS52:AT52"/>
    <mergeCell ref="AO45:AO46"/>
    <mergeCell ref="AP45:AP46"/>
    <mergeCell ref="AQ45:AQ46"/>
    <mergeCell ref="AR45:AR46"/>
    <mergeCell ref="AV45:AV46"/>
    <mergeCell ref="AW45:AW46"/>
    <mergeCell ref="AX34:AX35"/>
    <mergeCell ref="AY34:AY35"/>
    <mergeCell ref="AM39:AP39"/>
    <mergeCell ref="AQ39:AT39"/>
    <mergeCell ref="AM41:AN41"/>
    <mergeCell ref="AP41:AQ41"/>
    <mergeCell ref="AS41:AT41"/>
    <mergeCell ref="AO34:AO35"/>
    <mergeCell ref="AP34:AP35"/>
    <mergeCell ref="AQ34:AQ35"/>
    <mergeCell ref="AR34:AR35"/>
    <mergeCell ref="AV34:AV35"/>
    <mergeCell ref="AW34:AW35"/>
    <mergeCell ref="AM28:AP28"/>
    <mergeCell ref="AQ28:AT28"/>
    <mergeCell ref="AE29:AE30"/>
    <mergeCell ref="AG29:AG30"/>
    <mergeCell ref="AH29:AH30"/>
    <mergeCell ref="AI29:AI30"/>
    <mergeCell ref="AJ29:AJ30"/>
    <mergeCell ref="AM30:AN30"/>
    <mergeCell ref="AP30:AQ30"/>
    <mergeCell ref="AS30:AT30"/>
    <mergeCell ref="AD32:AG32"/>
    <mergeCell ref="B16:C16"/>
    <mergeCell ref="AX23:AX24"/>
    <mergeCell ref="AY23:AY24"/>
    <mergeCell ref="AD25:AE26"/>
    <mergeCell ref="AF25:AF26"/>
    <mergeCell ref="AI25:AJ26"/>
    <mergeCell ref="AK25:AK26"/>
    <mergeCell ref="AO23:AO24"/>
    <mergeCell ref="AP23:AP24"/>
    <mergeCell ref="AQ23:AQ24"/>
    <mergeCell ref="AR23:AR24"/>
    <mergeCell ref="AV23:AV24"/>
    <mergeCell ref="AW23:AW24"/>
    <mergeCell ref="D20:E20"/>
    <mergeCell ref="AM19:AN19"/>
    <mergeCell ref="AP19:AQ19"/>
    <mergeCell ref="AS19:AT19"/>
    <mergeCell ref="AE16:AE17"/>
    <mergeCell ref="AF16:AF17"/>
    <mergeCell ref="AG16:AG17"/>
    <mergeCell ref="AH16:AH17"/>
    <mergeCell ref="AI16:AI17"/>
    <mergeCell ref="AJ16:AJ17"/>
    <mergeCell ref="Z16:Z17"/>
    <mergeCell ref="AA16:AA17"/>
    <mergeCell ref="AB16:AB17"/>
    <mergeCell ref="AC16:AC17"/>
    <mergeCell ref="AD16:AD17"/>
    <mergeCell ref="AK16:AK17"/>
    <mergeCell ref="AM17:AP17"/>
    <mergeCell ref="F20:G20"/>
    <mergeCell ref="D16:E16"/>
    <mergeCell ref="D17:E17"/>
    <mergeCell ref="D18:E18"/>
    <mergeCell ref="BD11:BF11"/>
    <mergeCell ref="BH11:BJ11"/>
    <mergeCell ref="B12:C12"/>
    <mergeCell ref="AO12:AO13"/>
    <mergeCell ref="AP12:AP13"/>
    <mergeCell ref="AQ12:AQ13"/>
    <mergeCell ref="AR12:AR13"/>
    <mergeCell ref="AV12:AV13"/>
    <mergeCell ref="AW12:AW13"/>
    <mergeCell ref="AX12:AX13"/>
    <mergeCell ref="AY12:AY13"/>
    <mergeCell ref="K13:L13"/>
    <mergeCell ref="AE13:AE14"/>
    <mergeCell ref="AF13:AF14"/>
    <mergeCell ref="AG13:AG14"/>
    <mergeCell ref="AH13:AH14"/>
    <mergeCell ref="AI13:AI14"/>
    <mergeCell ref="AJ13:AJ14"/>
    <mergeCell ref="AK13:AK14"/>
    <mergeCell ref="Q11:R11"/>
    <mergeCell ref="M13:N13"/>
    <mergeCell ref="BF2:BH2"/>
    <mergeCell ref="B3:C3"/>
    <mergeCell ref="D3:F3"/>
    <mergeCell ref="X3:Y4"/>
    <mergeCell ref="AC1:AC2"/>
    <mergeCell ref="AO1:AO2"/>
    <mergeCell ref="AP1:AP2"/>
    <mergeCell ref="AQ1:AQ2"/>
    <mergeCell ref="AR1:AR2"/>
    <mergeCell ref="AV1:AV2"/>
    <mergeCell ref="B1:I1"/>
    <mergeCell ref="K1:T1"/>
    <mergeCell ref="W1:W2"/>
    <mergeCell ref="Z1:Z2"/>
    <mergeCell ref="AA1:AA2"/>
    <mergeCell ref="AB1:AB2"/>
    <mergeCell ref="B17:C17"/>
    <mergeCell ref="B18:C18"/>
    <mergeCell ref="F22:H23"/>
    <mergeCell ref="B23:E24"/>
    <mergeCell ref="AV59:BA59"/>
    <mergeCell ref="B6:C6"/>
    <mergeCell ref="AW1:AW2"/>
    <mergeCell ref="AX1:AX2"/>
    <mergeCell ref="AY1:AY2"/>
    <mergeCell ref="X2:Y2"/>
    <mergeCell ref="AM6:AP6"/>
    <mergeCell ref="AQ6:AT6"/>
    <mergeCell ref="Z7:Z8"/>
    <mergeCell ref="AA7:AA8"/>
    <mergeCell ref="AB7:AB8"/>
    <mergeCell ref="AC7:AC8"/>
    <mergeCell ref="AD7:AD8"/>
    <mergeCell ref="AM8:AN8"/>
    <mergeCell ref="AP8:AQ8"/>
    <mergeCell ref="AS8:AT8"/>
    <mergeCell ref="B9:C9"/>
    <mergeCell ref="Q9:R9"/>
    <mergeCell ref="AQ17:AT17"/>
    <mergeCell ref="B20:C20"/>
  </mergeCells>
  <conditionalFormatting sqref="F22:H23">
    <cfRule type="expression" dxfId="145" priority="1">
      <formula>$F$22="Todo está ok"</formula>
    </cfRule>
    <cfRule type="expression" dxfId="144" priority="2">
      <formula>$F$22="Bajar % de cuotón"</formula>
    </cfRule>
  </conditionalFormatting>
  <dataValidations count="2">
    <dataValidation type="list" allowBlank="1" showInputMessage="1" showErrorMessage="1" sqref="F20:F21" xr:uid="{57EAB54C-8A51-4910-843A-9204EBEE93A3}">
      <formula1>"Tasa Banco, Tasa Mutaria"</formula1>
    </dataValidation>
    <dataValidation type="list" allowBlank="1" showInputMessage="1" showErrorMessage="1" sqref="P26" xr:uid="{F7D92BA2-F34B-47A3-A21D-9AD7DA21A48E}">
      <formula1>"0,1,2,3,4,5,6"</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6"/>
  <dimension ref="A1:T45"/>
  <sheetViews>
    <sheetView zoomScale="80" zoomScaleNormal="80" workbookViewId="0">
      <selection activeCell="E9" sqref="E9"/>
    </sheetView>
  </sheetViews>
  <sheetFormatPr baseColWidth="10" defaultColWidth="11" defaultRowHeight="15.5"/>
  <cols>
    <col min="1" max="1" width="12.5" style="1" bestFit="1" customWidth="1"/>
    <col min="2" max="2" width="13.83203125" style="1" bestFit="1" customWidth="1"/>
    <col min="3" max="3" width="26.83203125" style="1" bestFit="1" customWidth="1"/>
    <col min="4" max="4" width="10.5" style="1" bestFit="1" customWidth="1"/>
    <col min="5" max="5" width="7.83203125" style="1" bestFit="1" customWidth="1"/>
    <col min="6" max="6" width="13.5" style="1" bestFit="1" customWidth="1"/>
    <col min="7" max="7" width="13.5" style="1" customWidth="1"/>
    <col min="8" max="8" width="12.33203125" style="1" bestFit="1" customWidth="1"/>
    <col min="9" max="9" width="15.08203125" style="1" bestFit="1" customWidth="1"/>
    <col min="10" max="10" width="15.25" style="1" bestFit="1" customWidth="1"/>
    <col min="11" max="11" width="30.83203125" style="1" bestFit="1" customWidth="1"/>
    <col min="12" max="12" width="30.75" style="1" bestFit="1" customWidth="1"/>
    <col min="13" max="13" width="17.33203125" style="1" bestFit="1" customWidth="1"/>
    <col min="14" max="14" width="11" style="1"/>
    <col min="15" max="16" width="12" style="1" bestFit="1" customWidth="1"/>
    <col min="17" max="18" width="13.08203125" style="1" bestFit="1" customWidth="1"/>
    <col min="19" max="19" width="12" style="1" bestFit="1" customWidth="1"/>
    <col min="20" max="20" width="13.08203125" style="1" bestFit="1" customWidth="1"/>
    <col min="21" max="16384" width="11" style="1"/>
  </cols>
  <sheetData>
    <row r="1" spans="1:20">
      <c r="Q1" s="22"/>
      <c r="R1" s="22"/>
    </row>
    <row r="2" spans="1:20" s="22" customFormat="1">
      <c r="A2" s="80" t="s">
        <v>32</v>
      </c>
      <c r="B2" s="80" t="s">
        <v>96</v>
      </c>
      <c r="C2" s="80" t="s">
        <v>32</v>
      </c>
      <c r="D2" s="80" t="s">
        <v>59</v>
      </c>
      <c r="E2" s="80" t="s">
        <v>60</v>
      </c>
      <c r="F2" s="80" t="s">
        <v>61</v>
      </c>
      <c r="G2" s="80" t="s">
        <v>101</v>
      </c>
      <c r="H2" s="80" t="s">
        <v>62</v>
      </c>
      <c r="I2" s="80" t="s">
        <v>63</v>
      </c>
      <c r="J2" s="80" t="s">
        <v>64</v>
      </c>
      <c r="K2" s="80" t="s">
        <v>62</v>
      </c>
      <c r="L2" s="80" t="s">
        <v>102</v>
      </c>
      <c r="M2" s="80" t="s">
        <v>97</v>
      </c>
      <c r="N2" s="81" t="s">
        <v>54</v>
      </c>
      <c r="O2" s="175" t="s">
        <v>60</v>
      </c>
      <c r="P2" s="175" t="s">
        <v>44</v>
      </c>
      <c r="Q2" s="177" t="s">
        <v>60</v>
      </c>
      <c r="R2" s="177" t="s">
        <v>44</v>
      </c>
      <c r="S2" s="177" t="s">
        <v>233</v>
      </c>
      <c r="T2" s="177" t="s">
        <v>44</v>
      </c>
    </row>
    <row r="3" spans="1:20" s="22" customFormat="1">
      <c r="A3" s="80" t="s">
        <v>198</v>
      </c>
      <c r="B3" s="80" t="s">
        <v>199</v>
      </c>
      <c r="C3" s="80" t="s">
        <v>197</v>
      </c>
      <c r="D3" s="264">
        <v>100000</v>
      </c>
      <c r="E3" s="80">
        <v>15</v>
      </c>
      <c r="F3" s="80">
        <v>0</v>
      </c>
      <c r="G3" s="80">
        <f>E3</f>
        <v>15</v>
      </c>
      <c r="H3" s="80" t="str">
        <f>E3&amp;" Cuotas TOKU"</f>
        <v>15 Cuotas TOKU</v>
      </c>
      <c r="I3" s="80" t="str">
        <f t="shared" ref="I3" si="0">E3&amp;" Cuotas"</f>
        <v>15 Cuotas</v>
      </c>
      <c r="J3" s="80" t="s">
        <v>185</v>
      </c>
      <c r="K3" s="80" t="str">
        <f t="shared" ref="K3" si="1">"Opción 1: "&amp;E3&amp;" Cuotas (Sólo TOKU)"</f>
        <v>Opción 1: 15 Cuotas (Sólo TOKU)</v>
      </c>
      <c r="L3" s="80" t="str">
        <f>"Opción 1: "&amp;E3&amp;" Cuotas (Sólo TOKU)"</f>
        <v>Opción 1: 15 Cuotas (Sólo TOKU)</v>
      </c>
      <c r="M3" s="80" t="s">
        <v>200</v>
      </c>
      <c r="N3" s="264">
        <v>100000</v>
      </c>
      <c r="O3" s="176">
        <f ca="1">IF(((SUM(SIMULACION!$R$4:$R$8)-SIMULACION!$C$21-SIMULACION!$C$22)/Datos!E3)&gt;0,((SUM(SIMULACION!$R$4:$R$8)-SIMULACION!$C$21-SIMULACION!$C$22)/Datos!E3),0)</f>
        <v>0</v>
      </c>
      <c r="P3" s="176">
        <f ca="1">O3*G3</f>
        <v>0</v>
      </c>
      <c r="Q3" s="178">
        <f ca="1">IF(((SUM(SIMULACION!$R$4:$R$8)-SIMULACION!$C$21-SIMULACION!$C$22)/Datos!E3)&gt;0,((SUM(SIMULACION!$R$4:$R$8)-SIMULACION!$C$21-SIMULACION!$C$22)/Datos!E3),0)</f>
        <v>0</v>
      </c>
      <c r="R3" s="178">
        <f ca="1">O3*G3</f>
        <v>0</v>
      </c>
      <c r="S3" s="178">
        <v>0</v>
      </c>
      <c r="T3" s="178">
        <v>0</v>
      </c>
    </row>
    <row r="4" spans="1:20" s="20" customFormat="1">
      <c r="A4" s="82" t="s">
        <v>133</v>
      </c>
      <c r="B4" s="82" t="s">
        <v>108</v>
      </c>
      <c r="C4" s="82" t="s">
        <v>134</v>
      </c>
      <c r="D4" s="264">
        <v>100000</v>
      </c>
      <c r="E4" s="82">
        <v>1</v>
      </c>
      <c r="F4" s="82">
        <v>18</v>
      </c>
      <c r="G4" s="82">
        <v>18</v>
      </c>
      <c r="H4" s="82" t="str">
        <f>E4&amp;" Cheque"</f>
        <v>1 Cheque</v>
      </c>
      <c r="I4" s="82" t="s">
        <v>185</v>
      </c>
      <c r="J4" s="82" t="str">
        <f t="shared" ref="J4" si="2">F4&amp;" Cuotas TC"</f>
        <v>18 Cuotas TC</v>
      </c>
      <c r="K4" s="82" t="str">
        <f>"Opción 1: "&amp;E4&amp;" Cuota (Sólo Cheques)"</f>
        <v>Opción 1: 1 Cuota (Sólo Cheques)</v>
      </c>
      <c r="L4" s="82" t="str">
        <f>"Opción 2: "&amp;F4&amp;" Cuotas (Sólo TC)"</f>
        <v>Opción 2: 18 Cuotas (Sólo TC)</v>
      </c>
      <c r="M4" s="82" t="s">
        <v>186</v>
      </c>
      <c r="N4" s="264">
        <v>100000</v>
      </c>
      <c r="O4" s="176">
        <f ca="1">IF(((SUM(SIMULACION!$R$4:$R$8)-SIMULACION!$C$21-SIMULACION!$C$22)/Datos!E4)&gt;0,((SUM(SIMULACION!$R$4:$R$8)-SIMULACION!$C$21-SIMULACION!$C$22)/Datos!E4),0)</f>
        <v>0</v>
      </c>
      <c r="P4" s="176">
        <f ca="1">O4*E4</f>
        <v>0</v>
      </c>
      <c r="Q4" s="178">
        <v>0</v>
      </c>
      <c r="R4" s="178">
        <v>0</v>
      </c>
      <c r="S4" s="178">
        <f ca="1">IF(((SUM(SIMULACION!$R$4:$R$8)-SIMULACION!$C$21-SIMULACION!$C$22)/G4)&gt;0,((SUM(SIMULACION!$R$4:$R$8)-SIMULACION!$C$21-SIMULACION!$C$22)/G4),0)</f>
        <v>0</v>
      </c>
      <c r="T4" s="178">
        <f ca="1">S4*G4</f>
        <v>0</v>
      </c>
    </row>
    <row r="5" spans="1:20" s="260" customFormat="1">
      <c r="A5" s="258" t="s">
        <v>237</v>
      </c>
      <c r="B5" s="258" t="s">
        <v>108</v>
      </c>
      <c r="C5" s="258" t="s">
        <v>139</v>
      </c>
      <c r="D5" s="264">
        <v>100000</v>
      </c>
      <c r="E5" s="258">
        <v>8</v>
      </c>
      <c r="F5" s="258">
        <v>18</v>
      </c>
      <c r="G5" s="258">
        <f>E5+F5</f>
        <v>26</v>
      </c>
      <c r="H5" s="258" t="str">
        <f t="shared" ref="H5:H8" si="3">E5&amp;" Cuotas TOKU"</f>
        <v>8 Cuotas TOKU</v>
      </c>
      <c r="I5" s="258" t="str">
        <f t="shared" ref="I5:I9" si="4">E5&amp;" Cuotas"</f>
        <v>8 Cuotas</v>
      </c>
      <c r="J5" s="258" t="str">
        <f t="shared" ref="J5:J10" si="5">F5&amp;" Cuotas TC"</f>
        <v>18 Cuotas TC</v>
      </c>
      <c r="K5" s="258" t="str">
        <f t="shared" ref="K5" si="6">"Opción 1: "&amp;E5&amp;" Cuotas (Sólo TOKU)"</f>
        <v>Opción 1: 8 Cuotas (Sólo TOKU)</v>
      </c>
      <c r="L5" s="258" t="str">
        <f t="shared" ref="L5:L7" si="7">"Opción 2: "&amp;E5+F5&amp;" Cuotas (TOKU + TC)"</f>
        <v>Opción 2: 26 Cuotas (TOKU + TC)</v>
      </c>
      <c r="M5" s="258" t="s">
        <v>257</v>
      </c>
      <c r="N5" s="264">
        <v>100000</v>
      </c>
      <c r="O5" s="259">
        <f ca="1">IF(((SUM(SIMULACION!$R$4:$R$8)-SIMULACION!$C$21-SIMULACION!$C$22)/Datos!E5)&gt;0,((SUM(SIMULACION!$R$4:$R$8)-SIMULACION!$C$21-SIMULACION!$C$22)/Datos!E5),0)</f>
        <v>0</v>
      </c>
      <c r="P5" s="259">
        <f ca="1">O5*E5</f>
        <v>0</v>
      </c>
      <c r="Q5" s="259">
        <f ca="1">R5/E5</f>
        <v>0</v>
      </c>
      <c r="R5" s="259">
        <f ca="1">IF((SUM(SIMULACION!$R$4:$R$8)-SIMULACION!$C$21-SIMULACION!$C$22-Datos!T5)&gt;0,(SUM(SIMULACION!$R$4:$R$8)-SIMULACION!$C$21-SIMULACION!$C$22-Datos!T5),0)</f>
        <v>0</v>
      </c>
      <c r="S5" s="259">
        <f ca="1">IF((SUM(SIMULACION!$M$4:$M$8)*'Escenario de Inversion'!$D$22*VLOOKUP(TODAY(),'UF HOY'!$A$2:$B$36,2,0)/F5)&gt;0,(SUM(SIMULACION!$M$4:$M$8)*'Escenario de Inversion'!$D$22*VLOOKUP(TODAY(),'UF HOY'!$A$2:$B$36,2,0)/F5),0)</f>
        <v>0</v>
      </c>
      <c r="T5" s="259">
        <f ca="1">S5*F5</f>
        <v>0</v>
      </c>
    </row>
    <row r="6" spans="1:20" s="262" customFormat="1">
      <c r="A6" s="261" t="s">
        <v>246</v>
      </c>
      <c r="B6" s="261" t="s">
        <v>108</v>
      </c>
      <c r="C6" s="261" t="s">
        <v>247</v>
      </c>
      <c r="D6" s="264">
        <v>100000</v>
      </c>
      <c r="E6" s="261">
        <v>18</v>
      </c>
      <c r="F6" s="261">
        <v>12</v>
      </c>
      <c r="G6" s="261">
        <f>E6+F6</f>
        <v>30</v>
      </c>
      <c r="H6" s="261" t="str">
        <f t="shared" ref="H6" si="8">E6&amp;" Cuotas TOKU"</f>
        <v>18 Cuotas TOKU</v>
      </c>
      <c r="I6" s="261" t="str">
        <f t="shared" ref="I6" si="9">E6&amp;" Cuotas"</f>
        <v>18 Cuotas</v>
      </c>
      <c r="J6" s="258" t="str">
        <f t="shared" si="5"/>
        <v>12 Cuotas TC</v>
      </c>
      <c r="K6" s="261" t="str">
        <f>"Opción 1: "&amp;E6&amp;" Cuotas (Sólo TOKU)"</f>
        <v>Opción 1: 18 Cuotas (Sólo TOKU)</v>
      </c>
      <c r="L6" s="258" t="str">
        <f t="shared" si="7"/>
        <v>Opción 2: 30 Cuotas (TOKU + TC)</v>
      </c>
      <c r="M6" s="261" t="s">
        <v>248</v>
      </c>
      <c r="N6" s="264">
        <v>100000</v>
      </c>
      <c r="O6" s="259">
        <f ca="1">IF(((SUM(SIMULACION!$R$4:$R$8)-SIMULACION!$C$21-SIMULACION!$C$22)/Datos!E6)&gt;0,((SUM(SIMULACION!$R$4:$R$8)-SIMULACION!$C$21-SIMULACION!$C$22)/Datos!E6),0)</f>
        <v>0</v>
      </c>
      <c r="P6" s="259">
        <f ca="1">O6*E6</f>
        <v>0</v>
      </c>
      <c r="Q6" s="259">
        <f ca="1">R6/E6</f>
        <v>0</v>
      </c>
      <c r="R6" s="259">
        <f ca="1">IF((SUM(SIMULACION!$R$4:$R$8)-SIMULACION!$C$21-SIMULACION!$C$22-Datos!T6)&gt;0,(SUM(SIMULACION!$R$4:$R$8)-SIMULACION!$C$21-SIMULACION!$C$22-Datos!T6),0)</f>
        <v>0</v>
      </c>
      <c r="S6" s="259">
        <f ca="1">IF((SUM(SIMULACION!$M$4:$M$8)*'Escenario de Inversion'!$D$22*VLOOKUP(TODAY(),'UF HOY'!$A$2:$B$36,2,0)/F6)&gt;0,(SUM(SIMULACION!$M$4:$M$8)*'Escenario de Inversion'!$D$22*VLOOKUP(TODAY(),'UF HOY'!$A$2:$B$36,2,0)/F6),0)</f>
        <v>0</v>
      </c>
      <c r="T6" s="259">
        <f ca="1">S6*F6</f>
        <v>0</v>
      </c>
    </row>
    <row r="7" spans="1:20" s="20" customFormat="1">
      <c r="A7" s="82" t="s">
        <v>136</v>
      </c>
      <c r="B7" s="82" t="s">
        <v>108</v>
      </c>
      <c r="C7" s="82" t="s">
        <v>184</v>
      </c>
      <c r="D7" s="264">
        <v>100000</v>
      </c>
      <c r="E7" s="82">
        <v>4</v>
      </c>
      <c r="F7" s="82">
        <v>18</v>
      </c>
      <c r="G7" s="82">
        <f>E7+F7</f>
        <v>22</v>
      </c>
      <c r="H7" s="82" t="str">
        <f t="shared" si="3"/>
        <v>4 Cuotas TOKU</v>
      </c>
      <c r="I7" s="82" t="str">
        <f t="shared" si="4"/>
        <v>4 Cuotas</v>
      </c>
      <c r="J7" s="82" t="str">
        <f t="shared" si="5"/>
        <v>18 Cuotas TC</v>
      </c>
      <c r="K7" s="82" t="str">
        <f>"Opción 1: "&amp;E7&amp;" Cuotas (Sólo TOKU)"</f>
        <v>Opción 1: 4 Cuotas (Sólo TOKU)</v>
      </c>
      <c r="L7" s="82" t="str">
        <f t="shared" si="7"/>
        <v>Opción 2: 22 Cuotas (TOKU + TC)</v>
      </c>
      <c r="M7" s="82" t="s">
        <v>257</v>
      </c>
      <c r="N7" s="264">
        <v>100000</v>
      </c>
      <c r="O7" s="176">
        <f ca="1">IF(((SUM(SIMULACION!$R$4:$R$8)-SIMULACION!$C$21-SIMULACION!$C$22)/Datos!E7)&gt;0,((SUM(SIMULACION!$R$4:$R$8)-SIMULACION!$C$21-SIMULACION!$C$22)/Datos!E7),0)</f>
        <v>0</v>
      </c>
      <c r="P7" s="176">
        <f ca="1">O7*E7</f>
        <v>0</v>
      </c>
      <c r="Q7" s="178">
        <f ca="1">R7/E7</f>
        <v>0</v>
      </c>
      <c r="R7" s="178">
        <f ca="1">IF((SUM(SIMULACION!$R$4:$R$8)-SIMULACION!$C$21-SIMULACION!$C$22-Datos!T7)&gt;0,(SUM(SIMULACION!$R$4:$R$8)-SIMULACION!$C$21-SIMULACION!$C$22-Datos!T7),0)</f>
        <v>0</v>
      </c>
      <c r="S7" s="178">
        <f ca="1">IF((SUM(SIMULACION!$M$4:$M$8)*'Escenario de Inversion'!$D$22*VLOOKUP(TODAY(),'UF HOY'!$A$2:$B$36,2,0)/F7)&gt;0,(SUM(SIMULACION!$M$4:$M$8)*'Escenario de Inversion'!$D$22*VLOOKUP(TODAY(),'UF HOY'!$A$2:$B$36,2,0)/F7),0)</f>
        <v>0</v>
      </c>
      <c r="T7" s="178">
        <f ca="1">S7*F7</f>
        <v>0</v>
      </c>
    </row>
    <row r="8" spans="1:20" s="260" customFormat="1">
      <c r="A8" s="258" t="s">
        <v>288</v>
      </c>
      <c r="B8" s="258" t="s">
        <v>289</v>
      </c>
      <c r="C8" s="258" t="s">
        <v>290</v>
      </c>
      <c r="D8" s="264">
        <v>250000</v>
      </c>
      <c r="E8" s="261">
        <v>28</v>
      </c>
      <c r="F8" s="261">
        <v>18</v>
      </c>
      <c r="G8" s="261">
        <f>E8+F8</f>
        <v>46</v>
      </c>
      <c r="H8" s="261" t="str">
        <f t="shared" si="3"/>
        <v>28 Cuotas TOKU</v>
      </c>
      <c r="I8" s="261" t="str">
        <f t="shared" si="4"/>
        <v>28 Cuotas</v>
      </c>
      <c r="J8" s="258" t="str">
        <f t="shared" ref="J8" si="10">F8&amp;" Cuotas TC"</f>
        <v>18 Cuotas TC</v>
      </c>
      <c r="K8" s="261" t="str">
        <f>"Opción 1: "&amp;E8&amp;" Cuotas (Sólo TOKU)"</f>
        <v>Opción 1: 28 Cuotas (Sólo TOKU)</v>
      </c>
      <c r="L8" s="258" t="str">
        <f t="shared" ref="L8" si="11">"Opción 2: "&amp;E8+F8&amp;" Cuotas (TOKU + TC)"</f>
        <v>Opción 2: 46 Cuotas (TOKU + TC)</v>
      </c>
      <c r="M8" s="261" t="s">
        <v>291</v>
      </c>
      <c r="N8" s="264">
        <v>250000</v>
      </c>
      <c r="O8" s="259">
        <f ca="1">IF(((SUM(SIMULACION!$R$4:$R$8)-SIMULACION!$C$21-SIMULACION!$C$22)/Datos!E8)&gt;0,((SUM(SIMULACION!$R$4:$R$8)-SIMULACION!$C$21-SIMULACION!$C$22)/Datos!E8),0)</f>
        <v>0</v>
      </c>
      <c r="P8" s="259">
        <f ca="1">O8*E8</f>
        <v>0</v>
      </c>
      <c r="Q8" s="259">
        <f ca="1">R8/E8</f>
        <v>0</v>
      </c>
      <c r="R8" s="259">
        <f ca="1">IF((SUM(SIMULACION!$R$4:$R$8)-SIMULACION!$C$21-SIMULACION!$C$22-Datos!T8)&gt;0,(SUM(SIMULACION!$R$4:$R$8)-SIMULACION!$C$21-SIMULACION!$C$22-Datos!T8),0)</f>
        <v>0</v>
      </c>
      <c r="S8" s="259">
        <f ca="1">IF((SUM(SIMULACION!$M$4:$M$8)*'Escenario de Inversion'!$D$22*VLOOKUP(TODAY(),'UF HOY'!$A$2:$B$36,2,0)/F8)&gt;0,(SUM(SIMULACION!$M$4:$M$8)*'Escenario de Inversion'!$D$22*VLOOKUP(TODAY(),'UF HOY'!$A$2:$B$36,2,0)/F8),0)</f>
        <v>0</v>
      </c>
      <c r="T8" s="259">
        <f ca="1">S8*F8</f>
        <v>0</v>
      </c>
    </row>
    <row r="9" spans="1:20" s="20" customFormat="1">
      <c r="A9" s="82" t="s">
        <v>176</v>
      </c>
      <c r="B9" s="82" t="s">
        <v>177</v>
      </c>
      <c r="C9" s="82" t="s">
        <v>175</v>
      </c>
      <c r="D9" s="264">
        <v>100000</v>
      </c>
      <c r="E9" s="82">
        <v>4</v>
      </c>
      <c r="F9" s="82">
        <v>0</v>
      </c>
      <c r="G9" s="82">
        <f>E9</f>
        <v>4</v>
      </c>
      <c r="H9" s="82" t="str">
        <f>E9&amp;" Cuotas TOKU"</f>
        <v>4 Cuotas TOKU</v>
      </c>
      <c r="I9" s="82" t="str">
        <f t="shared" si="4"/>
        <v>4 Cuotas</v>
      </c>
      <c r="J9" s="82" t="s">
        <v>185</v>
      </c>
      <c r="K9" s="82" t="str">
        <f t="shared" ref="K9" si="12">"Opción 1: "&amp;E9&amp;" Cuotas (Sólo TOKU)"</f>
        <v>Opción 1: 4 Cuotas (Sólo TOKU)</v>
      </c>
      <c r="L9" s="82" t="str">
        <f>"Opción 1: "&amp;E9&amp;" Cuotas (Sólo TOKU)"</f>
        <v>Opción 1: 4 Cuotas (Sólo TOKU)</v>
      </c>
      <c r="M9" s="82" t="s">
        <v>200</v>
      </c>
      <c r="N9" s="264">
        <v>100000</v>
      </c>
      <c r="O9" s="176">
        <f ca="1">IF(((SUM(SIMULACION!$R$4:$R$8)-SIMULACION!$C$21-SIMULACION!$C$22)/Datos!E9)&gt;0,((SUM(SIMULACION!$R$4:$R$8)-SIMULACION!$C$21-SIMULACION!$C$22)/Datos!E9),0)</f>
        <v>0</v>
      </c>
      <c r="P9" s="176">
        <f ca="1">O9*G9</f>
        <v>0</v>
      </c>
      <c r="Q9" s="178">
        <f ca="1">IF(((SUM(SIMULACION!$R$4:$R$8)-SIMULACION!$C$21-SIMULACION!$C$22)/Datos!E9)&gt;0,((SUM(SIMULACION!$R$4:$R$8)-SIMULACION!$C$21-SIMULACION!$C$22)/Datos!E9),0)</f>
        <v>0</v>
      </c>
      <c r="R9" s="178">
        <f ca="1">O9*G9</f>
        <v>0</v>
      </c>
      <c r="S9" s="178">
        <v>0</v>
      </c>
      <c r="T9" s="178">
        <v>0</v>
      </c>
    </row>
    <row r="10" spans="1:20" s="20" customFormat="1">
      <c r="A10" s="82" t="s">
        <v>187</v>
      </c>
      <c r="B10" s="82" t="s">
        <v>108</v>
      </c>
      <c r="C10" s="82" t="s">
        <v>128</v>
      </c>
      <c r="D10" s="264">
        <v>100000</v>
      </c>
      <c r="E10" s="82">
        <v>1</v>
      </c>
      <c r="F10" s="82">
        <v>18</v>
      </c>
      <c r="G10" s="82">
        <v>18</v>
      </c>
      <c r="H10" s="82" t="str">
        <f>E10&amp;" Cheque"</f>
        <v>1 Cheque</v>
      </c>
      <c r="I10" s="82" t="s">
        <v>185</v>
      </c>
      <c r="J10" s="82" t="str">
        <f t="shared" si="5"/>
        <v>18 Cuotas TC</v>
      </c>
      <c r="K10" s="82" t="str">
        <f>"Opción 1: "&amp;E10&amp;" Cuota (Sólo Cheques)"</f>
        <v>Opción 1: 1 Cuota (Sólo Cheques)</v>
      </c>
      <c r="L10" s="82" t="str">
        <f>"Opción 2: "&amp;F10&amp;" Cuotas (Sólo TC)"</f>
        <v>Opción 2: 18 Cuotas (Sólo TC)</v>
      </c>
      <c r="M10" s="82" t="s">
        <v>186</v>
      </c>
      <c r="N10" s="264">
        <v>100000</v>
      </c>
      <c r="O10" s="176">
        <f ca="1">IF(((SUM(SIMULACION!$R$4:$R$8)-SIMULACION!$C$21-SIMULACION!$C$22)/Datos!E10)&gt;0,((SUM(SIMULACION!$R$4:$R$8)-SIMULACION!$C$21-SIMULACION!$C$22)/Datos!E10),0)</f>
        <v>0</v>
      </c>
      <c r="P10" s="176">
        <f ca="1">O10*E10</f>
        <v>0</v>
      </c>
      <c r="Q10" s="178">
        <v>0</v>
      </c>
      <c r="R10" s="178">
        <v>0</v>
      </c>
      <c r="S10" s="178">
        <f ca="1">IF(((SUM(SIMULACION!$R$4:$R$8)-SIMULACION!$C$21-SIMULACION!$C$22)/G10)&gt;0,((SUM(SIMULACION!$R$4:$R$8)-SIMULACION!$C$21-SIMULACION!$C$22)/G10),0)</f>
        <v>0</v>
      </c>
      <c r="T10" s="178">
        <f ca="1">S10*G10</f>
        <v>0</v>
      </c>
    </row>
    <row r="11" spans="1:20">
      <c r="C11" s="22"/>
      <c r="D11" s="22"/>
      <c r="E11" s="22"/>
    </row>
    <row r="12" spans="1:20">
      <c r="C12" s="20"/>
      <c r="D12" s="23"/>
      <c r="E12" s="23"/>
    </row>
    <row r="13" spans="1:20">
      <c r="C13" s="80" t="s">
        <v>29</v>
      </c>
      <c r="D13" s="84">
        <v>30</v>
      </c>
      <c r="E13" s="23"/>
    </row>
    <row r="14" spans="1:20">
      <c r="C14" s="80" t="s">
        <v>269</v>
      </c>
      <c r="D14" s="85">
        <v>0.04</v>
      </c>
      <c r="E14" s="23"/>
    </row>
    <row r="15" spans="1:20">
      <c r="C15" s="80" t="s">
        <v>132</v>
      </c>
      <c r="D15" s="85">
        <v>0.04</v>
      </c>
      <c r="E15" s="23"/>
      <c r="H15" s="80" t="s">
        <v>140</v>
      </c>
      <c r="I15" s="80" t="s">
        <v>104</v>
      </c>
      <c r="J15" s="80" t="s">
        <v>105</v>
      </c>
    </row>
    <row r="16" spans="1:20">
      <c r="C16" s="80" t="s">
        <v>183</v>
      </c>
      <c r="D16" s="85">
        <v>0.04</v>
      </c>
      <c r="E16" s="23"/>
      <c r="H16" s="80" t="s">
        <v>195</v>
      </c>
      <c r="I16" s="83">
        <v>320000</v>
      </c>
      <c r="J16" s="83">
        <f>+I16+40000</f>
        <v>360000</v>
      </c>
    </row>
    <row r="17" spans="3:10">
      <c r="C17" s="20"/>
      <c r="D17" s="23"/>
      <c r="E17" s="23"/>
      <c r="H17" s="80" t="s">
        <v>196</v>
      </c>
      <c r="I17" s="83">
        <v>380000</v>
      </c>
      <c r="J17" s="83">
        <f t="shared" ref="J17:J18" si="13">+I17+40000</f>
        <v>420000</v>
      </c>
    </row>
    <row r="18" spans="3:10">
      <c r="C18" s="22"/>
      <c r="D18" s="24"/>
      <c r="E18" s="24"/>
      <c r="H18" s="80" t="s">
        <v>194</v>
      </c>
      <c r="I18" s="83">
        <v>420000</v>
      </c>
      <c r="J18" s="83">
        <f t="shared" si="13"/>
        <v>460000</v>
      </c>
    </row>
    <row r="20" spans="3:10">
      <c r="H20" s="80" t="s">
        <v>141</v>
      </c>
      <c r="I20" s="80" t="s">
        <v>104</v>
      </c>
      <c r="J20" s="80" t="s">
        <v>105</v>
      </c>
    </row>
    <row r="21" spans="3:10">
      <c r="H21" s="80" t="s">
        <v>195</v>
      </c>
      <c r="I21" s="83">
        <v>340000</v>
      </c>
      <c r="J21" s="83">
        <f>I21+40000</f>
        <v>380000</v>
      </c>
    </row>
    <row r="22" spans="3:10">
      <c r="H22" s="80" t="s">
        <v>196</v>
      </c>
      <c r="I22" s="83">
        <v>390000</v>
      </c>
      <c r="J22" s="83">
        <f t="shared" ref="J22:J23" si="14">I22+40000</f>
        <v>430000</v>
      </c>
    </row>
    <row r="23" spans="3:10">
      <c r="H23" s="80" t="s">
        <v>194</v>
      </c>
      <c r="I23" s="83">
        <v>440000</v>
      </c>
      <c r="J23" s="83">
        <f t="shared" si="14"/>
        <v>480000</v>
      </c>
    </row>
    <row r="24" spans="3:10">
      <c r="H24" s="20"/>
      <c r="I24" s="41"/>
      <c r="J24" s="41"/>
    </row>
    <row r="25" spans="3:10">
      <c r="C25" s="20"/>
      <c r="D25" s="23"/>
      <c r="E25" s="23"/>
      <c r="H25" s="80"/>
      <c r="I25" s="80" t="s">
        <v>137</v>
      </c>
      <c r="J25" s="80" t="s">
        <v>138</v>
      </c>
    </row>
    <row r="26" spans="3:10">
      <c r="C26" s="20"/>
      <c r="D26" s="23"/>
      <c r="E26" s="23"/>
      <c r="H26" s="80" t="s">
        <v>127</v>
      </c>
      <c r="I26" s="83">
        <v>340000</v>
      </c>
      <c r="J26" s="83">
        <v>380000</v>
      </c>
    </row>
    <row r="27" spans="3:10">
      <c r="C27" s="20"/>
      <c r="D27" s="23"/>
      <c r="H27" s="80" t="s">
        <v>126</v>
      </c>
      <c r="I27" s="83">
        <v>390000</v>
      </c>
      <c r="J27" s="83">
        <v>430000</v>
      </c>
    </row>
    <row r="28" spans="3:10">
      <c r="C28" s="20"/>
      <c r="D28" s="23"/>
      <c r="H28" s="80" t="s">
        <v>125</v>
      </c>
      <c r="I28" s="83">
        <v>440000</v>
      </c>
      <c r="J28" s="83">
        <v>480000</v>
      </c>
    </row>
    <row r="30" spans="3:10">
      <c r="H30" s="80" t="s">
        <v>193</v>
      </c>
      <c r="I30" s="80" t="s">
        <v>137</v>
      </c>
      <c r="J30" s="80" t="s">
        <v>138</v>
      </c>
    </row>
    <row r="31" spans="3:10">
      <c r="H31" s="80" t="s">
        <v>195</v>
      </c>
      <c r="I31" s="83">
        <v>350000</v>
      </c>
      <c r="J31" s="83">
        <f>I31+40000</f>
        <v>390000</v>
      </c>
    </row>
    <row r="32" spans="3:10">
      <c r="H32" s="80" t="s">
        <v>196</v>
      </c>
      <c r="I32" s="83">
        <v>400000</v>
      </c>
      <c r="J32" s="83">
        <f t="shared" ref="J32:J33" si="15">I32+40000</f>
        <v>440000</v>
      </c>
    </row>
    <row r="33" spans="8:10">
      <c r="H33" s="80" t="s">
        <v>194</v>
      </c>
      <c r="I33" s="83">
        <v>450000</v>
      </c>
      <c r="J33" s="83">
        <f t="shared" si="15"/>
        <v>490000</v>
      </c>
    </row>
    <row r="35" spans="8:10">
      <c r="H35" s="80" t="s">
        <v>256</v>
      </c>
      <c r="I35" s="80" t="s">
        <v>137</v>
      </c>
      <c r="J35" s="80" t="s">
        <v>138</v>
      </c>
    </row>
    <row r="36" spans="8:10">
      <c r="H36" s="80" t="s">
        <v>195</v>
      </c>
      <c r="I36" s="83">
        <v>380000</v>
      </c>
      <c r="J36" s="83">
        <f>I36</f>
        <v>380000</v>
      </c>
    </row>
    <row r="37" spans="8:10">
      <c r="H37" s="80" t="s">
        <v>196</v>
      </c>
      <c r="I37" s="83">
        <v>450000</v>
      </c>
      <c r="J37" s="83">
        <f t="shared" ref="J37:J38" si="16">I37</f>
        <v>450000</v>
      </c>
    </row>
    <row r="38" spans="8:10">
      <c r="H38" s="80" t="s">
        <v>194</v>
      </c>
      <c r="I38" s="83">
        <v>500000</v>
      </c>
      <c r="J38" s="83">
        <f t="shared" si="16"/>
        <v>500000</v>
      </c>
    </row>
    <row r="40" spans="8:10">
      <c r="H40" s="80" t="s">
        <v>292</v>
      </c>
      <c r="I40" s="80" t="s">
        <v>104</v>
      </c>
      <c r="J40" s="80" t="s">
        <v>105</v>
      </c>
    </row>
    <row r="41" spans="8:10">
      <c r="H41" s="80" t="s">
        <v>195</v>
      </c>
      <c r="I41" s="83">
        <v>460000</v>
      </c>
      <c r="J41" s="83">
        <f>I41+40000</f>
        <v>500000</v>
      </c>
    </row>
    <row r="42" spans="8:10">
      <c r="H42" s="80" t="s">
        <v>196</v>
      </c>
      <c r="I42" s="83">
        <v>500000</v>
      </c>
      <c r="J42" s="83">
        <f t="shared" ref="J42:J45" si="17">I42+40000</f>
        <v>540000</v>
      </c>
    </row>
    <row r="43" spans="8:10">
      <c r="H43" s="80" t="s">
        <v>194</v>
      </c>
      <c r="I43" s="83">
        <v>600000</v>
      </c>
      <c r="J43" s="83">
        <f t="shared" si="17"/>
        <v>640000</v>
      </c>
    </row>
    <row r="44" spans="8:10">
      <c r="H44" s="80" t="s">
        <v>287</v>
      </c>
      <c r="I44" s="83">
        <v>850000</v>
      </c>
      <c r="J44" s="83">
        <f t="shared" si="17"/>
        <v>890000</v>
      </c>
    </row>
    <row r="45" spans="8:10">
      <c r="H45" s="80" t="s">
        <v>309</v>
      </c>
      <c r="I45" s="83">
        <v>1200000</v>
      </c>
      <c r="J45" s="83">
        <f t="shared" si="17"/>
        <v>1240000</v>
      </c>
    </row>
  </sheetData>
  <phoneticPr fontId="14"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95DBF-DC6C-4E6F-A2B1-0C97FD17022A}">
  <sheetPr codeName="Hoja1">
    <tabColor rgb="FF0070C0"/>
  </sheetPr>
  <dimension ref="B1:Q41"/>
  <sheetViews>
    <sheetView showGridLines="0" zoomScale="80" zoomScaleNormal="80" workbookViewId="0">
      <pane xSplit="3" ySplit="1" topLeftCell="D11" activePane="bottomRight" state="frozen"/>
      <selection activeCell="D3" sqref="D3:F3"/>
      <selection pane="topRight" activeCell="D3" sqref="D3:F3"/>
      <selection pane="bottomLeft" activeCell="D3" sqref="D3:F3"/>
      <selection pane="bottomRight" activeCell="D38" sqref="D38"/>
    </sheetView>
  </sheetViews>
  <sheetFormatPr baseColWidth="10" defaultColWidth="11" defaultRowHeight="21"/>
  <cols>
    <col min="1" max="1" width="11" style="104"/>
    <col min="2" max="2" width="18.5" style="257" customWidth="1"/>
    <col min="3" max="3" width="22" style="114" bestFit="1" customWidth="1"/>
    <col min="4" max="4" width="39.33203125" style="114" bestFit="1" customWidth="1"/>
    <col min="5" max="5" width="39.83203125" style="114" customWidth="1"/>
    <col min="6" max="6" width="36" style="114" hidden="1" customWidth="1"/>
    <col min="7" max="7" width="20.75" style="114" hidden="1" customWidth="1"/>
    <col min="8" max="8" width="42.75" style="114" bestFit="1" customWidth="1"/>
    <col min="9" max="9" width="38.33203125" style="114" bestFit="1" customWidth="1"/>
    <col min="10" max="10" width="10.5" style="104" customWidth="1"/>
    <col min="11" max="16384" width="11" style="104"/>
  </cols>
  <sheetData>
    <row r="1" spans="2:17" ht="23.5">
      <c r="B1" s="503"/>
      <c r="C1" s="504"/>
      <c r="D1" s="116" t="s">
        <v>288</v>
      </c>
      <c r="E1" s="116" t="s">
        <v>246</v>
      </c>
      <c r="F1" s="116" t="s">
        <v>198</v>
      </c>
      <c r="G1" s="116" t="s">
        <v>176</v>
      </c>
      <c r="H1" s="116" t="s">
        <v>136</v>
      </c>
      <c r="I1" s="116" t="s">
        <v>133</v>
      </c>
      <c r="J1" s="103"/>
    </row>
    <row r="2" spans="2:17" ht="24.65" customHeight="1" thickBot="1">
      <c r="B2" s="505"/>
      <c r="C2" s="506"/>
      <c r="D2" s="233" t="s">
        <v>189</v>
      </c>
      <c r="E2" s="233" t="s">
        <v>189</v>
      </c>
      <c r="F2" s="233" t="s">
        <v>189</v>
      </c>
      <c r="G2" s="233" t="s">
        <v>189</v>
      </c>
      <c r="H2" s="233" t="s">
        <v>189</v>
      </c>
      <c r="I2" s="233" t="s">
        <v>189</v>
      </c>
      <c r="J2" s="103"/>
    </row>
    <row r="3" spans="2:17" ht="15.5">
      <c r="B3" s="497" t="s">
        <v>142</v>
      </c>
      <c r="C3" s="234" t="s">
        <v>143</v>
      </c>
      <c r="D3" s="235" t="s">
        <v>291</v>
      </c>
      <c r="E3" s="235" t="s">
        <v>252</v>
      </c>
      <c r="F3" s="235" t="s">
        <v>200</v>
      </c>
      <c r="G3" s="235" t="s">
        <v>200</v>
      </c>
      <c r="H3" s="235" t="s">
        <v>186</v>
      </c>
      <c r="I3" s="236" t="s">
        <v>186</v>
      </c>
      <c r="J3" s="105"/>
    </row>
    <row r="4" spans="2:17" ht="15.5">
      <c r="B4" s="498"/>
      <c r="C4" s="117" t="s">
        <v>258</v>
      </c>
      <c r="D4" s="118"/>
      <c r="E4" s="118"/>
      <c r="F4" s="118"/>
      <c r="G4" s="118"/>
      <c r="H4" s="222">
        <v>44945</v>
      </c>
      <c r="I4" s="237">
        <v>45428</v>
      </c>
      <c r="J4" s="105"/>
    </row>
    <row r="5" spans="2:17" ht="15.5">
      <c r="B5" s="498"/>
      <c r="C5" s="117" t="s">
        <v>191</v>
      </c>
      <c r="D5" s="118">
        <v>28</v>
      </c>
      <c r="E5" s="118">
        <v>18</v>
      </c>
      <c r="F5" s="118">
        <v>19</v>
      </c>
      <c r="G5" s="118">
        <v>8</v>
      </c>
      <c r="H5" s="118">
        <v>1</v>
      </c>
      <c r="I5" s="238" t="s">
        <v>310</v>
      </c>
      <c r="J5" s="106"/>
    </row>
    <row r="6" spans="2:17" ht="15.5">
      <c r="B6" s="498"/>
      <c r="C6" s="117" t="s">
        <v>144</v>
      </c>
      <c r="D6" s="118">
        <v>18</v>
      </c>
      <c r="E6" s="118">
        <v>12</v>
      </c>
      <c r="F6" s="118" t="s">
        <v>185</v>
      </c>
      <c r="G6" s="118" t="s">
        <v>185</v>
      </c>
      <c r="H6" s="118">
        <v>18</v>
      </c>
      <c r="I6" s="238">
        <v>18</v>
      </c>
      <c r="J6" s="105"/>
      <c r="M6" s="107"/>
      <c r="O6" s="107"/>
      <c r="Q6" s="107"/>
    </row>
    <row r="7" spans="2:17" ht="15.5">
      <c r="B7" s="498"/>
      <c r="C7" s="117" t="s">
        <v>159</v>
      </c>
      <c r="D7" s="119">
        <v>250000</v>
      </c>
      <c r="E7" s="119">
        <v>100000</v>
      </c>
      <c r="F7" s="119">
        <v>100000</v>
      </c>
      <c r="G7" s="119">
        <v>100000</v>
      </c>
      <c r="H7" s="119">
        <v>100000</v>
      </c>
      <c r="I7" s="119">
        <v>100000</v>
      </c>
      <c r="J7" s="108"/>
      <c r="M7" s="107"/>
      <c r="O7" s="107"/>
      <c r="Q7" s="107"/>
    </row>
    <row r="8" spans="2:17" ht="23.5">
      <c r="B8" s="498"/>
      <c r="C8" s="117" t="s">
        <v>145</v>
      </c>
      <c r="D8" s="510" t="s">
        <v>304</v>
      </c>
      <c r="E8" s="511"/>
      <c r="F8" s="511"/>
      <c r="G8" s="511"/>
      <c r="H8" s="511"/>
      <c r="I8" s="512"/>
      <c r="J8" s="109"/>
      <c r="M8" s="107"/>
      <c r="O8" s="107"/>
      <c r="Q8" s="107"/>
    </row>
    <row r="9" spans="2:17" ht="15.5">
      <c r="B9" s="498"/>
      <c r="C9" s="117" t="s">
        <v>160</v>
      </c>
      <c r="D9" s="119" t="s">
        <v>297</v>
      </c>
      <c r="E9" s="119">
        <v>0</v>
      </c>
      <c r="F9" s="119">
        <v>1000000</v>
      </c>
      <c r="G9" s="119">
        <v>1000000</v>
      </c>
      <c r="H9" s="119">
        <v>0</v>
      </c>
      <c r="I9" s="239">
        <v>1000000</v>
      </c>
      <c r="J9" s="110"/>
      <c r="M9" s="107"/>
      <c r="O9" s="107"/>
      <c r="Q9" s="107"/>
    </row>
    <row r="10" spans="2:17" ht="62">
      <c r="B10" s="498"/>
      <c r="C10" s="117" t="s">
        <v>161</v>
      </c>
      <c r="D10" s="118" t="s">
        <v>298</v>
      </c>
      <c r="E10" s="118" t="s">
        <v>268</v>
      </c>
      <c r="F10" s="118" t="s">
        <v>251</v>
      </c>
      <c r="G10" s="118" t="s">
        <v>164</v>
      </c>
      <c r="H10" s="118" t="s">
        <v>279</v>
      </c>
      <c r="I10" s="238" t="s">
        <v>164</v>
      </c>
      <c r="J10" s="105"/>
      <c r="M10" s="107"/>
      <c r="O10" s="107"/>
      <c r="Q10" s="107"/>
    </row>
    <row r="11" spans="2:17" ht="62">
      <c r="B11" s="498"/>
      <c r="C11" s="117" t="s">
        <v>162</v>
      </c>
      <c r="D11" s="118" t="s">
        <v>164</v>
      </c>
      <c r="E11" s="118" t="s">
        <v>164</v>
      </c>
      <c r="F11" s="118" t="s">
        <v>251</v>
      </c>
      <c r="G11" s="118" t="s">
        <v>164</v>
      </c>
      <c r="H11" s="118" t="s">
        <v>279</v>
      </c>
      <c r="I11" s="238" t="s">
        <v>164</v>
      </c>
      <c r="J11" s="111"/>
      <c r="M11" s="107"/>
      <c r="O11" s="107"/>
      <c r="Q11" s="107"/>
    </row>
    <row r="12" spans="2:17" ht="15.5">
      <c r="B12" s="498"/>
      <c r="C12" s="117" t="s">
        <v>163</v>
      </c>
      <c r="D12" s="118" t="s">
        <v>308</v>
      </c>
      <c r="E12" s="118" t="s">
        <v>308</v>
      </c>
      <c r="F12" s="118" t="s">
        <v>308</v>
      </c>
      <c r="G12" s="118" t="s">
        <v>308</v>
      </c>
      <c r="H12" s="118" t="s">
        <v>308</v>
      </c>
      <c r="I12" s="118" t="s">
        <v>308</v>
      </c>
      <c r="J12" s="111"/>
    </row>
    <row r="13" spans="2:17" ht="52.9" customHeight="1">
      <c r="B13" s="498"/>
      <c r="C13" s="117" t="s">
        <v>146</v>
      </c>
      <c r="D13" s="513" t="s">
        <v>303</v>
      </c>
      <c r="E13" s="223" t="s">
        <v>260</v>
      </c>
      <c r="F13" s="223"/>
      <c r="G13" s="223"/>
      <c r="H13" s="223" t="s">
        <v>260</v>
      </c>
      <c r="I13" s="223" t="s">
        <v>260</v>
      </c>
      <c r="J13" s="111"/>
    </row>
    <row r="14" spans="2:17" ht="52.9" customHeight="1" thickBot="1">
      <c r="B14" s="499"/>
      <c r="C14" s="240" t="s">
        <v>146</v>
      </c>
      <c r="D14" s="514"/>
      <c r="E14" s="241" t="s">
        <v>273</v>
      </c>
      <c r="F14" s="241" t="s">
        <v>273</v>
      </c>
      <c r="G14" s="241" t="s">
        <v>273</v>
      </c>
      <c r="H14" s="241" t="s">
        <v>273</v>
      </c>
      <c r="I14" s="241" t="s">
        <v>282</v>
      </c>
      <c r="J14" s="111"/>
    </row>
    <row r="15" spans="2:17" ht="77.5">
      <c r="B15" s="507" t="s">
        <v>165</v>
      </c>
      <c r="C15" s="242" t="s">
        <v>172</v>
      </c>
      <c r="D15" s="244" t="s">
        <v>311</v>
      </c>
      <c r="E15" s="243" t="s">
        <v>178</v>
      </c>
      <c r="F15" s="243" t="s">
        <v>178</v>
      </c>
      <c r="G15" s="243" t="s">
        <v>178</v>
      </c>
      <c r="H15" s="244" t="s">
        <v>236</v>
      </c>
      <c r="I15" s="245" t="s">
        <v>285</v>
      </c>
      <c r="J15" s="111"/>
    </row>
    <row r="16" spans="2:17" ht="34.15" customHeight="1">
      <c r="B16" s="508"/>
      <c r="C16" s="115" t="s">
        <v>173</v>
      </c>
      <c r="D16" s="515" t="s">
        <v>174</v>
      </c>
      <c r="E16" s="516"/>
      <c r="F16" s="516"/>
      <c r="G16" s="516"/>
      <c r="H16" s="516"/>
      <c r="I16" s="517"/>
      <c r="J16" s="111"/>
    </row>
    <row r="17" spans="2:17" ht="15.65" customHeight="1">
      <c r="B17" s="508"/>
      <c r="C17" s="115" t="s">
        <v>166</v>
      </c>
      <c r="D17" s="515" t="s">
        <v>234</v>
      </c>
      <c r="E17" s="516"/>
      <c r="F17" s="516"/>
      <c r="G17" s="516"/>
      <c r="H17" s="516"/>
      <c r="I17" s="517"/>
      <c r="J17" s="111"/>
    </row>
    <row r="18" spans="2:17" ht="15.65" customHeight="1">
      <c r="B18" s="508"/>
      <c r="C18" s="115" t="s">
        <v>167</v>
      </c>
      <c r="D18" s="515" t="s">
        <v>235</v>
      </c>
      <c r="E18" s="516"/>
      <c r="F18" s="516"/>
      <c r="G18" s="516"/>
      <c r="H18" s="516"/>
      <c r="I18" s="517"/>
      <c r="J18" s="112"/>
    </row>
    <row r="19" spans="2:17" ht="31">
      <c r="B19" s="508"/>
      <c r="C19" s="115" t="s">
        <v>229</v>
      </c>
      <c r="D19" s="174" t="s">
        <v>231</v>
      </c>
      <c r="E19" s="174" t="s">
        <v>231</v>
      </c>
      <c r="F19" s="174" t="s">
        <v>232</v>
      </c>
      <c r="G19" s="122" t="s">
        <v>231</v>
      </c>
      <c r="H19" s="122" t="s">
        <v>231</v>
      </c>
      <c r="I19" s="246" t="s">
        <v>231</v>
      </c>
      <c r="J19" s="106"/>
      <c r="O19" s="107"/>
      <c r="Q19" s="107"/>
    </row>
    <row r="20" spans="2:17" ht="15.5">
      <c r="B20" s="508"/>
      <c r="C20" s="115" t="s">
        <v>230</v>
      </c>
      <c r="D20" s="122" t="s">
        <v>231</v>
      </c>
      <c r="E20" s="122" t="s">
        <v>231</v>
      </c>
      <c r="F20" s="122" t="s">
        <v>231</v>
      </c>
      <c r="G20" s="122" t="s">
        <v>231</v>
      </c>
      <c r="H20" s="122" t="s">
        <v>231</v>
      </c>
      <c r="I20" s="122" t="s">
        <v>231</v>
      </c>
      <c r="J20" s="106"/>
      <c r="O20" s="107"/>
      <c r="Q20" s="107"/>
    </row>
    <row r="21" spans="2:17" ht="16" thickBot="1">
      <c r="B21" s="509"/>
      <c r="C21" s="247" t="s">
        <v>238</v>
      </c>
      <c r="D21" s="500" t="s">
        <v>277</v>
      </c>
      <c r="E21" s="501"/>
      <c r="F21" s="501"/>
      <c r="G21" s="501"/>
      <c r="H21" s="501"/>
      <c r="I21" s="502"/>
      <c r="J21" s="106"/>
      <c r="O21" s="107"/>
      <c r="Q21" s="107"/>
    </row>
    <row r="22" spans="2:17" ht="15.5">
      <c r="B22" s="497" t="s">
        <v>305</v>
      </c>
      <c r="C22" s="234" t="s">
        <v>150</v>
      </c>
      <c r="D22" s="235" t="s">
        <v>306</v>
      </c>
      <c r="E22" s="235" t="s">
        <v>306</v>
      </c>
      <c r="F22" s="235" t="s">
        <v>306</v>
      </c>
      <c r="G22" s="235" t="s">
        <v>306</v>
      </c>
      <c r="H22" s="235" t="s">
        <v>306</v>
      </c>
      <c r="I22" s="235" t="s">
        <v>306</v>
      </c>
      <c r="J22" s="106"/>
      <c r="O22" s="107"/>
      <c r="Q22" s="107"/>
    </row>
    <row r="23" spans="2:17" ht="15.5">
      <c r="B23" s="498"/>
      <c r="C23" s="117" t="s">
        <v>147</v>
      </c>
      <c r="D23" s="118" t="s">
        <v>307</v>
      </c>
      <c r="E23" s="118" t="s">
        <v>307</v>
      </c>
      <c r="F23" s="118" t="s">
        <v>307</v>
      </c>
      <c r="G23" s="118" t="s">
        <v>307</v>
      </c>
      <c r="H23" s="118" t="s">
        <v>307</v>
      </c>
      <c r="I23" s="118" t="s">
        <v>307</v>
      </c>
      <c r="J23" s="106"/>
      <c r="O23" s="107"/>
      <c r="Q23" s="107"/>
    </row>
    <row r="24" spans="2:17" ht="15.5">
      <c r="B24" s="498"/>
      <c r="C24" s="117" t="s">
        <v>153</v>
      </c>
      <c r="D24" s="118" t="s">
        <v>154</v>
      </c>
      <c r="E24" s="118" t="s">
        <v>154</v>
      </c>
      <c r="F24" s="118" t="s">
        <v>154</v>
      </c>
      <c r="G24" s="118" t="s">
        <v>154</v>
      </c>
      <c r="H24" s="118" t="s">
        <v>154</v>
      </c>
      <c r="I24" s="118" t="s">
        <v>154</v>
      </c>
      <c r="J24" s="106"/>
      <c r="O24" s="107"/>
      <c r="Q24" s="107"/>
    </row>
    <row r="25" spans="2:17" ht="15.5">
      <c r="B25" s="498"/>
      <c r="C25" s="117" t="s">
        <v>168</v>
      </c>
      <c r="D25" s="118" t="s">
        <v>170</v>
      </c>
      <c r="E25" s="118" t="s">
        <v>170</v>
      </c>
      <c r="F25" s="118" t="s">
        <v>170</v>
      </c>
      <c r="G25" s="118" t="s">
        <v>170</v>
      </c>
      <c r="H25" s="118" t="s">
        <v>170</v>
      </c>
      <c r="I25" s="118" t="s">
        <v>170</v>
      </c>
      <c r="J25" s="105"/>
      <c r="O25" s="107"/>
      <c r="P25" s="107"/>
      <c r="Q25" s="107"/>
    </row>
    <row r="26" spans="2:17" ht="16" thickBot="1">
      <c r="B26" s="498"/>
      <c r="C26" s="117" t="s">
        <v>156</v>
      </c>
      <c r="D26" s="118">
        <v>1622966910</v>
      </c>
      <c r="E26" s="118">
        <v>1622966910</v>
      </c>
      <c r="F26" s="118">
        <v>1622966910</v>
      </c>
      <c r="G26" s="118">
        <v>1622966910</v>
      </c>
      <c r="H26" s="118">
        <v>1622966910</v>
      </c>
      <c r="I26" s="118">
        <v>1622966910</v>
      </c>
      <c r="J26" s="113"/>
      <c r="O26" s="107"/>
      <c r="P26" s="107"/>
      <c r="Q26" s="107"/>
    </row>
    <row r="27" spans="2:17" ht="46.5" hidden="1">
      <c r="B27" s="497" t="s">
        <v>169</v>
      </c>
      <c r="C27" s="234" t="s">
        <v>150</v>
      </c>
      <c r="D27" s="235" t="s">
        <v>299</v>
      </c>
      <c r="E27" s="235" t="s">
        <v>179</v>
      </c>
      <c r="F27" s="235" t="s">
        <v>201</v>
      </c>
      <c r="G27" s="235" t="s">
        <v>179</v>
      </c>
      <c r="H27" s="235" t="s">
        <v>151</v>
      </c>
      <c r="I27" s="236" t="s">
        <v>152</v>
      </c>
      <c r="J27" s="106"/>
      <c r="O27" s="107"/>
      <c r="Q27" s="107"/>
    </row>
    <row r="28" spans="2:17" ht="15.5" hidden="1">
      <c r="B28" s="498"/>
      <c r="C28" s="117" t="s">
        <v>147</v>
      </c>
      <c r="D28" s="118" t="s">
        <v>300</v>
      </c>
      <c r="E28" s="118" t="s">
        <v>180</v>
      </c>
      <c r="F28" s="118" t="s">
        <v>202</v>
      </c>
      <c r="G28" s="118" t="s">
        <v>180</v>
      </c>
      <c r="H28" s="118" t="s">
        <v>148</v>
      </c>
      <c r="I28" s="238" t="s">
        <v>149</v>
      </c>
      <c r="J28" s="106"/>
      <c r="O28" s="107"/>
      <c r="Q28" s="107"/>
    </row>
    <row r="29" spans="2:17" ht="15.5" hidden="1">
      <c r="B29" s="498"/>
      <c r="C29" s="117" t="s">
        <v>153</v>
      </c>
      <c r="D29" s="118" t="s">
        <v>301</v>
      </c>
      <c r="E29" s="118" t="s">
        <v>154</v>
      </c>
      <c r="F29" s="118" t="s">
        <v>203</v>
      </c>
      <c r="G29" s="118" t="s">
        <v>181</v>
      </c>
      <c r="H29" s="118" t="s">
        <v>154</v>
      </c>
      <c r="I29" s="238" t="s">
        <v>155</v>
      </c>
      <c r="J29" s="106"/>
      <c r="O29" s="107"/>
      <c r="Q29" s="107"/>
    </row>
    <row r="30" spans="2:17" ht="15.5" hidden="1">
      <c r="B30" s="498"/>
      <c r="C30" s="117" t="s">
        <v>168</v>
      </c>
      <c r="D30" s="118" t="s">
        <v>170</v>
      </c>
      <c r="E30" s="118" t="s">
        <v>170</v>
      </c>
      <c r="F30" s="118" t="s">
        <v>170</v>
      </c>
      <c r="G30" s="118" t="s">
        <v>170</v>
      </c>
      <c r="H30" s="118" t="s">
        <v>170</v>
      </c>
      <c r="I30" s="238" t="s">
        <v>170</v>
      </c>
      <c r="J30" s="105"/>
      <c r="O30" s="107"/>
      <c r="P30" s="107"/>
      <c r="Q30" s="107"/>
    </row>
    <row r="31" spans="2:17" ht="15.5" hidden="1">
      <c r="B31" s="498"/>
      <c r="C31" s="117" t="s">
        <v>156</v>
      </c>
      <c r="D31" s="118">
        <v>204723391</v>
      </c>
      <c r="E31" s="118">
        <v>9011698101</v>
      </c>
      <c r="F31" s="118">
        <v>8189919</v>
      </c>
      <c r="G31" s="118">
        <v>214627733</v>
      </c>
      <c r="H31" s="118">
        <v>8004080102</v>
      </c>
      <c r="I31" s="238">
        <v>86032074</v>
      </c>
      <c r="J31" s="113"/>
      <c r="O31" s="107"/>
      <c r="P31" s="107"/>
      <c r="Q31" s="107"/>
    </row>
    <row r="32" spans="2:17" ht="16" hidden="1" thickBot="1">
      <c r="B32" s="499"/>
      <c r="C32" s="240" t="s">
        <v>253</v>
      </c>
      <c r="D32" s="248" t="s">
        <v>185</v>
      </c>
      <c r="E32" s="248" t="s">
        <v>254</v>
      </c>
      <c r="F32" s="248"/>
      <c r="G32" s="248"/>
      <c r="H32" s="248" t="s">
        <v>185</v>
      </c>
      <c r="I32" s="249" t="s">
        <v>185</v>
      </c>
      <c r="J32" s="113"/>
      <c r="O32" s="107"/>
      <c r="P32" s="107"/>
      <c r="Q32" s="107"/>
    </row>
    <row r="33" spans="2:17" ht="31.5" thickBot="1">
      <c r="B33" s="255" t="s">
        <v>157</v>
      </c>
      <c r="C33" s="250" t="s">
        <v>32</v>
      </c>
      <c r="D33" s="250" t="s">
        <v>185</v>
      </c>
      <c r="E33" s="250" t="s">
        <v>185</v>
      </c>
      <c r="F33" s="250" t="s">
        <v>185</v>
      </c>
      <c r="G33" s="250" t="s">
        <v>185</v>
      </c>
      <c r="H33" s="251" t="s">
        <v>158</v>
      </c>
      <c r="I33" s="252" t="s">
        <v>185</v>
      </c>
      <c r="O33" s="107"/>
      <c r="P33" s="107"/>
      <c r="Q33" s="107"/>
    </row>
    <row r="34" spans="2:17" ht="21.5" thickBot="1">
      <c r="B34" s="256" t="s">
        <v>190</v>
      </c>
      <c r="C34" s="253" t="s">
        <v>32</v>
      </c>
      <c r="D34" s="253" t="s">
        <v>185</v>
      </c>
      <c r="E34" s="253" t="s">
        <v>185</v>
      </c>
      <c r="F34" s="253" t="s">
        <v>185</v>
      </c>
      <c r="G34" s="253" t="s">
        <v>185</v>
      </c>
      <c r="H34" s="253" t="s">
        <v>185</v>
      </c>
      <c r="I34" s="254" t="s">
        <v>192</v>
      </c>
      <c r="O34" s="107"/>
      <c r="P34" s="107"/>
      <c r="Q34" s="107"/>
    </row>
    <row r="35" spans="2:17">
      <c r="O35" s="107"/>
      <c r="P35" s="107"/>
      <c r="Q35" s="107"/>
    </row>
    <row r="36" spans="2:17">
      <c r="P36" s="107"/>
    </row>
    <row r="37" spans="2:17">
      <c r="P37" s="107"/>
    </row>
    <row r="38" spans="2:17">
      <c r="P38" s="107"/>
    </row>
    <row r="39" spans="2:17">
      <c r="P39" s="107"/>
    </row>
    <row r="40" spans="2:17">
      <c r="P40" s="107"/>
    </row>
    <row r="41" spans="2:17">
      <c r="P41" s="107"/>
    </row>
  </sheetData>
  <mergeCells count="12">
    <mergeCell ref="B27:B32"/>
    <mergeCell ref="B22:B26"/>
    <mergeCell ref="D21:I21"/>
    <mergeCell ref="B1:C1"/>
    <mergeCell ref="B2:C2"/>
    <mergeCell ref="B3:B14"/>
    <mergeCell ref="B15:B21"/>
    <mergeCell ref="D8:I8"/>
    <mergeCell ref="D13:D14"/>
    <mergeCell ref="D16:I16"/>
    <mergeCell ref="D17:I17"/>
    <mergeCell ref="D18:I18"/>
  </mergeCells>
  <hyperlinks>
    <hyperlink ref="H33" r:id="rId1" xr:uid="{2F5910E8-40F8-4694-BF90-78BA04F0DED6}"/>
    <hyperlink ref="I34" r:id="rId2" xr:uid="{E9EFC9CC-BCB5-46F4-AD2D-A12FC8786DD6}"/>
    <hyperlink ref="E32" r:id="rId3" display="mailto:msilva@delabase.cl" xr:uid="{36EDD00A-7C7D-41CD-85CC-547FE00F5495}"/>
    <hyperlink ref="D2" r:id="rId4" xr:uid="{56CA92E8-94B2-466D-86C9-69B2381DD205}"/>
    <hyperlink ref="E2" r:id="rId5" xr:uid="{ED0A49D4-AAEC-49B1-B660-827ABD29C12C}"/>
    <hyperlink ref="H2" r:id="rId6" xr:uid="{53E936B0-F469-46BE-A586-8E38C6609461}"/>
    <hyperlink ref="I2" r:id="rId7" xr:uid="{3185A646-1C9F-429F-8544-94DE6C15B68D}"/>
  </hyperlinks>
  <pageMargins left="0.7" right="0.7" top="0.75" bottom="0.75" header="0.3" footer="0.3"/>
  <pageSetup orientation="portrait" r:id="rId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26E3B-E866-429A-A293-6B08F2CC4161}">
  <sheetPr codeName="Hoja14">
    <tabColor rgb="FF92D050"/>
  </sheetPr>
  <dimension ref="B1:I18"/>
  <sheetViews>
    <sheetView showGridLines="0" zoomScale="80" zoomScaleNormal="80" workbookViewId="0">
      <selection activeCell="B18" sqref="B18"/>
    </sheetView>
  </sheetViews>
  <sheetFormatPr baseColWidth="10" defaultColWidth="11" defaultRowHeight="14.5"/>
  <cols>
    <col min="1" max="1" width="6.75" style="228" customWidth="1"/>
    <col min="2" max="4" width="26.25" style="228" customWidth="1"/>
    <col min="5" max="5" width="28.75" style="228" bestFit="1" customWidth="1"/>
    <col min="6" max="6" width="39.33203125" style="228" bestFit="1" customWidth="1"/>
    <col min="7" max="7" width="33.58203125" style="228" customWidth="1"/>
    <col min="8" max="8" width="39.33203125" style="228" bestFit="1" customWidth="1"/>
    <col min="9" max="16384" width="11" style="228"/>
  </cols>
  <sheetData>
    <row r="1" spans="2:9" ht="23.25" customHeight="1">
      <c r="B1" s="227" t="s">
        <v>32</v>
      </c>
      <c r="C1" s="227" t="s">
        <v>261</v>
      </c>
      <c r="D1" s="227" t="s">
        <v>283</v>
      </c>
      <c r="E1" s="227" t="s">
        <v>262</v>
      </c>
      <c r="F1" s="227" t="s">
        <v>263</v>
      </c>
      <c r="G1" s="227" t="s">
        <v>264</v>
      </c>
      <c r="H1" s="227" t="s">
        <v>272</v>
      </c>
    </row>
    <row r="2" spans="2:9" ht="71.25" customHeight="1">
      <c r="B2" s="229" t="s">
        <v>246</v>
      </c>
      <c r="C2" s="230">
        <v>0.15</v>
      </c>
      <c r="D2" s="230" t="s">
        <v>185</v>
      </c>
      <c r="E2" s="224" t="s">
        <v>267</v>
      </c>
      <c r="F2" s="224" t="s">
        <v>265</v>
      </c>
      <c r="G2" s="224" t="s">
        <v>275</v>
      </c>
      <c r="H2" s="224" t="s">
        <v>271</v>
      </c>
    </row>
    <row r="3" spans="2:9" ht="64.5" customHeight="1">
      <c r="B3" s="231" t="s">
        <v>136</v>
      </c>
      <c r="C3" s="232">
        <v>0.15</v>
      </c>
      <c r="D3" s="232" t="s">
        <v>185</v>
      </c>
      <c r="E3" s="225" t="s">
        <v>267</v>
      </c>
      <c r="F3" s="225" t="s">
        <v>265</v>
      </c>
      <c r="G3" s="225" t="s">
        <v>275</v>
      </c>
      <c r="H3" s="225" t="s">
        <v>271</v>
      </c>
    </row>
    <row r="4" spans="2:9" ht="61.5" customHeight="1">
      <c r="B4" s="229" t="s">
        <v>133</v>
      </c>
      <c r="C4" s="230">
        <v>0.15</v>
      </c>
      <c r="D4" s="230" t="s">
        <v>284</v>
      </c>
      <c r="E4" s="224" t="s">
        <v>267</v>
      </c>
      <c r="F4" s="224" t="s">
        <v>265</v>
      </c>
      <c r="G4" s="224" t="s">
        <v>276</v>
      </c>
      <c r="H4" s="224" t="s">
        <v>270</v>
      </c>
    </row>
    <row r="5" spans="2:9" ht="15" customHeight="1">
      <c r="E5" s="518" t="s">
        <v>266</v>
      </c>
      <c r="I5" s="226"/>
    </row>
    <row r="6" spans="2:9" ht="15" customHeight="1">
      <c r="E6" s="518"/>
      <c r="I6" s="226"/>
    </row>
    <row r="7" spans="2:9" ht="15" customHeight="1">
      <c r="E7" s="518"/>
      <c r="I7" s="226"/>
    </row>
    <row r="8" spans="2:9" ht="15" customHeight="1">
      <c r="E8" s="518"/>
      <c r="I8" s="226"/>
    </row>
    <row r="9" spans="2:9" ht="15" customHeight="1">
      <c r="E9" s="518"/>
      <c r="I9" s="226"/>
    </row>
    <row r="10" spans="2:9" ht="15" customHeight="1">
      <c r="E10" s="518"/>
      <c r="I10" s="226"/>
    </row>
    <row r="11" spans="2:9" ht="15" customHeight="1">
      <c r="E11" s="518"/>
      <c r="I11" s="226"/>
    </row>
    <row r="12" spans="2:9" ht="15" customHeight="1">
      <c r="E12" s="518"/>
      <c r="I12" s="226"/>
    </row>
    <row r="13" spans="2:9">
      <c r="E13" s="518"/>
    </row>
    <row r="14" spans="2:9">
      <c r="E14" s="518"/>
    </row>
    <row r="15" spans="2:9">
      <c r="E15" s="518"/>
    </row>
    <row r="16" spans="2:9">
      <c r="E16" s="518"/>
    </row>
    <row r="17" spans="5:5">
      <c r="E17" s="518"/>
    </row>
    <row r="18" spans="5:5">
      <c r="E18" s="518"/>
    </row>
  </sheetData>
  <mergeCells count="1">
    <mergeCell ref="E5:E18"/>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3F2F-9ECA-4CBC-A7DB-13517298F1B0}">
  <sheetPr codeName="Hoja15" filterMode="1">
    <tabColor rgb="FF002060"/>
  </sheetPr>
  <dimension ref="A1:AE81"/>
  <sheetViews>
    <sheetView showGridLines="0" zoomScale="80" zoomScaleNormal="80" workbookViewId="0">
      <pane ySplit="1" topLeftCell="A3" activePane="bottomLeft" state="frozen"/>
      <selection activeCell="D3" sqref="D3:F3"/>
      <selection pane="bottomLeft" activeCell="N80" sqref="N80"/>
    </sheetView>
  </sheetViews>
  <sheetFormatPr baseColWidth="10" defaultColWidth="11" defaultRowHeight="15.5"/>
  <cols>
    <col min="1" max="1" width="11" style="44"/>
    <col min="2" max="2" width="12.5" style="44" bestFit="1" customWidth="1"/>
    <col min="3" max="3" width="11" style="44"/>
    <col min="4" max="4" width="12" style="44" customWidth="1"/>
    <col min="5" max="5" width="10.25" style="44" hidden="1" customWidth="1"/>
    <col min="6" max="6" width="11" style="44" hidden="1" customWidth="1"/>
    <col min="7" max="8" width="11.5" style="44" hidden="1" customWidth="1"/>
    <col min="9" max="9" width="11.5" style="44" customWidth="1"/>
    <col min="10" max="10" width="13.5" style="44" bestFit="1" customWidth="1"/>
    <col min="11" max="11" width="11" style="44"/>
    <col min="12" max="12" width="8.08203125" style="44" bestFit="1" customWidth="1"/>
    <col min="13" max="13" width="8.5" style="44" bestFit="1" customWidth="1"/>
    <col min="14" max="14" width="11.5" style="44" customWidth="1"/>
    <col min="15" max="16" width="11" style="44"/>
    <col min="17" max="17" width="8.83203125" style="44" bestFit="1" customWidth="1"/>
    <col min="18" max="18" width="11" style="44" customWidth="1"/>
    <col min="19" max="19" width="17.58203125" style="44" bestFit="1" customWidth="1"/>
    <col min="20" max="20" width="14.83203125" style="44" bestFit="1" customWidth="1"/>
    <col min="21" max="21" width="10.5" style="44" bestFit="1" customWidth="1"/>
    <col min="22" max="22" width="11" style="44" customWidth="1"/>
    <col min="23" max="24" width="11" style="44"/>
    <col min="25" max="25" width="15.58203125" style="44" bestFit="1" customWidth="1"/>
    <col min="26" max="26" width="12.5" style="49" customWidth="1"/>
    <col min="27" max="27" width="14.5" style="44" customWidth="1"/>
    <col min="28" max="28" width="12.33203125" style="44" customWidth="1"/>
    <col min="29" max="29" width="11.33203125" style="44" bestFit="1" customWidth="1"/>
    <col min="30" max="16384" width="11" style="44"/>
  </cols>
  <sheetData>
    <row r="1" spans="1:31" ht="20">
      <c r="A1" s="63" t="s">
        <v>0</v>
      </c>
      <c r="B1" s="63" t="s">
        <v>5</v>
      </c>
      <c r="C1" s="63" t="s">
        <v>9</v>
      </c>
      <c r="D1" s="64" t="s">
        <v>286</v>
      </c>
      <c r="E1" s="64" t="s">
        <v>47</v>
      </c>
      <c r="F1" s="64" t="s">
        <v>30</v>
      </c>
      <c r="G1" s="64" t="s">
        <v>31</v>
      </c>
      <c r="H1" s="64" t="s">
        <v>6</v>
      </c>
      <c r="I1" s="64" t="s">
        <v>53</v>
      </c>
      <c r="J1" s="64" t="s">
        <v>7</v>
      </c>
      <c r="K1" s="64" t="s">
        <v>1</v>
      </c>
      <c r="L1" s="64" t="s">
        <v>25</v>
      </c>
      <c r="M1" s="64" t="s">
        <v>26</v>
      </c>
      <c r="N1" s="64" t="s">
        <v>2</v>
      </c>
      <c r="O1" s="64" t="s">
        <v>16</v>
      </c>
      <c r="P1" s="120" t="s">
        <v>182</v>
      </c>
      <c r="Q1" s="65" t="s">
        <v>14</v>
      </c>
      <c r="R1" s="65" t="s">
        <v>23</v>
      </c>
      <c r="S1" s="65" t="s">
        <v>58</v>
      </c>
      <c r="T1" s="65" t="s">
        <v>27</v>
      </c>
      <c r="U1" s="65" t="s">
        <v>13</v>
      </c>
      <c r="V1" s="65" t="s">
        <v>22</v>
      </c>
      <c r="W1" s="65" t="s">
        <v>12</v>
      </c>
      <c r="X1" s="65" t="s">
        <v>20</v>
      </c>
      <c r="Y1" s="65" t="s">
        <v>3</v>
      </c>
      <c r="Z1" s="65" t="s">
        <v>113</v>
      </c>
      <c r="AA1" s="65" t="s">
        <v>21</v>
      </c>
      <c r="AB1" s="65" t="s">
        <v>17</v>
      </c>
      <c r="AC1" s="65" t="s">
        <v>19</v>
      </c>
      <c r="AD1" s="65" t="s">
        <v>18</v>
      </c>
      <c r="AE1" s="219" t="s">
        <v>255</v>
      </c>
    </row>
    <row r="2" spans="1:31" hidden="1">
      <c r="A2" s="86" t="s">
        <v>171</v>
      </c>
      <c r="B2" s="86">
        <v>101</v>
      </c>
      <c r="C2" s="67" t="s">
        <v>124</v>
      </c>
      <c r="D2" s="67" t="s">
        <v>194</v>
      </c>
      <c r="E2" s="67"/>
      <c r="F2" s="66"/>
      <c r="G2" s="66"/>
      <c r="H2" s="67">
        <v>62.96</v>
      </c>
      <c r="I2" s="68">
        <v>70.81</v>
      </c>
      <c r="J2" s="69">
        <v>5490</v>
      </c>
      <c r="K2" s="70">
        <v>0</v>
      </c>
      <c r="L2" s="71">
        <v>380</v>
      </c>
      <c r="M2" s="71">
        <v>0</v>
      </c>
      <c r="N2" s="72">
        <f t="shared" ref="N2:N33" si="0">O2-R2</f>
        <v>5283</v>
      </c>
      <c r="O2" s="73">
        <f t="shared" ref="O2:O33" si="1">J2*(100%-K2)+L2+M2</f>
        <v>5870</v>
      </c>
      <c r="P2" s="121">
        <f t="shared" ref="P2:P33" si="2">(N2-L2-M2)/H2</f>
        <v>77.874841168996184</v>
      </c>
      <c r="Q2" s="74">
        <f t="shared" ref="Q2:Q33" si="3">R2/O2</f>
        <v>0.1</v>
      </c>
      <c r="R2" s="75">
        <f t="shared" ref="R2:R33" si="4">O2*0.1</f>
        <v>587</v>
      </c>
      <c r="S2" s="74">
        <v>0.8</v>
      </c>
      <c r="T2" s="75">
        <f t="shared" ref="T2:T33" si="5">S2*O2</f>
        <v>4696</v>
      </c>
      <c r="U2" s="76">
        <f t="shared" ref="U2:U33" si="6">100%-S2-Q2</f>
        <v>9.999999999999995E-2</v>
      </c>
      <c r="V2" s="69">
        <f t="shared" ref="V2:V33" si="7">O2*U2</f>
        <v>586.99999999999966</v>
      </c>
      <c r="W2" s="77">
        <f ca="1">V2*VLOOKUP(TODAY(),'UF HOY'!$A$2:$B$36,2,0)</f>
        <v>23323822.779999986</v>
      </c>
      <c r="X2" s="78">
        <f>Datos!$E$8</f>
        <v>28</v>
      </c>
      <c r="Y2" s="79">
        <f ca="1">IF((W2-3%*O2*VLOOKUP(TODAY(),'UF HOY'!$A$2:$B$36,2,0))/X2&gt;0,(W2-3%*O2*VLOOKUP(TODAY(),'UF HOY'!$A$2:$B$36,2,0))/X2,0)</f>
        <v>583095.56949999952</v>
      </c>
      <c r="Z2" s="78">
        <f>Datos!$E$8</f>
        <v>28</v>
      </c>
      <c r="AA2" s="79">
        <f ca="1">IF((W2-6%*O2*VLOOKUP(TODAY(),'UF HOY'!$A$2:$B$36,2,0))/Z2&gt;0,(W2-6%*O2*VLOOKUP(TODAY(),'UF HOY'!$A$2:$B$36,2,0))/Z2,0)</f>
        <v>333197.46828571381</v>
      </c>
      <c r="AB2" s="89">
        <f>IF(L2&gt;0,VLOOKUP(D2,Datos!$H$40:$J$45,3,0),VLOOKUP(D2,Datos!$H$40:$J$45,2,0))</f>
        <v>640000</v>
      </c>
      <c r="AC2" s="79">
        <f ca="1">(S2*PMT(Datos!$D$15,Datos!$D$13,-O2,,)*VLOOKUP(TODAY(),'UF HOY'!$A$2:$B$36,2,0)/12)+VLOOKUP(TODAY(),'UF HOY'!$A$2:$B$36,2,0)</f>
        <v>938946.59569556569</v>
      </c>
      <c r="AD2" s="79">
        <f t="shared" ref="AD2:AD33" ca="1" si="8">AB2-AC2</f>
        <v>-298946.59569556569</v>
      </c>
      <c r="AE2" s="220">
        <f ca="1">IF((AC2/0.25)&lt;=1600000,1600000,(AC2/0.25))</f>
        <v>3755786.3827822627</v>
      </c>
    </row>
    <row r="3" spans="1:31">
      <c r="A3" s="86" t="s">
        <v>4</v>
      </c>
      <c r="B3" s="86">
        <v>105</v>
      </c>
      <c r="C3" s="67" t="s">
        <v>122</v>
      </c>
      <c r="D3" s="67" t="s">
        <v>195</v>
      </c>
      <c r="E3" s="67"/>
      <c r="F3" s="66"/>
      <c r="G3" s="66"/>
      <c r="H3" s="67">
        <v>44.830000000000005</v>
      </c>
      <c r="I3" s="68">
        <v>51.02</v>
      </c>
      <c r="J3" s="69">
        <v>4190</v>
      </c>
      <c r="K3" s="70">
        <v>0</v>
      </c>
      <c r="L3" s="71">
        <v>380</v>
      </c>
      <c r="M3" s="71">
        <v>0</v>
      </c>
      <c r="N3" s="72">
        <f t="shared" si="0"/>
        <v>4113</v>
      </c>
      <c r="O3" s="73">
        <f t="shared" si="1"/>
        <v>4570</v>
      </c>
      <c r="P3" s="121">
        <f t="shared" si="2"/>
        <v>83.270131608298001</v>
      </c>
      <c r="Q3" s="74">
        <f t="shared" si="3"/>
        <v>0.1</v>
      </c>
      <c r="R3" s="75">
        <f t="shared" si="4"/>
        <v>457</v>
      </c>
      <c r="S3" s="74">
        <v>0.8</v>
      </c>
      <c r="T3" s="75">
        <f t="shared" si="5"/>
        <v>3656</v>
      </c>
      <c r="U3" s="76">
        <f t="shared" si="6"/>
        <v>9.999999999999995E-2</v>
      </c>
      <c r="V3" s="69">
        <f t="shared" si="7"/>
        <v>456.99999999999977</v>
      </c>
      <c r="W3" s="77">
        <f ca="1">V3*VLOOKUP(TODAY(),'UF HOY'!$A$2:$B$36,2,0)</f>
        <v>18158410.579999991</v>
      </c>
      <c r="X3" s="78">
        <f>Datos!$E$8</f>
        <v>28</v>
      </c>
      <c r="Y3" s="79">
        <f ca="1">IF((W3-3%*O3*VLOOKUP(TODAY(),'UF HOY'!$A$2:$B$36,2,0))/X3&gt;0,(W3-3%*O3*VLOOKUP(TODAY(),'UF HOY'!$A$2:$B$36,2,0))/X3,0)</f>
        <v>453960.2644999997</v>
      </c>
      <c r="Z3" s="78">
        <f>Datos!$E$8</f>
        <v>28</v>
      </c>
      <c r="AA3" s="79">
        <f ca="1">IF((W3-6%*O3*VLOOKUP(TODAY(),'UF HOY'!$A$2:$B$36,2,0))/Z3&gt;0,(W3-6%*O3*VLOOKUP(TODAY(),'UF HOY'!$A$2:$B$36,2,0))/Z3,0)</f>
        <v>259405.86542857112</v>
      </c>
      <c r="AB3" s="89">
        <f>IF(L3&gt;0,VLOOKUP(D3,Datos!$H$40:$J$45,3,0),VLOOKUP(D3,Datos!$H$40:$J$45,2,0))</f>
        <v>500000</v>
      </c>
      <c r="AC3" s="79">
        <f ca="1">(S3*PMT(Datos!$D$15,Datos!$D$13,-O3,,)*VLOOKUP(TODAY(),'UF HOY'!$A$2:$B$36,2,0)/12)+VLOOKUP(TODAY(),'UF HOY'!$A$2:$B$36,2,0)</f>
        <v>739802.3959674167</v>
      </c>
      <c r="AD3" s="79">
        <f t="shared" ca="1" si="8"/>
        <v>-239802.3959674167</v>
      </c>
      <c r="AE3" s="220">
        <f t="shared" ref="AE3:AE61" ca="1" si="9">IF((AC3/0.25)&lt;=1600000,1600000,(AC3/0.25))</f>
        <v>2959209.5838696668</v>
      </c>
    </row>
    <row r="4" spans="1:31">
      <c r="A4" s="86" t="s">
        <v>4</v>
      </c>
      <c r="B4" s="86">
        <v>112</v>
      </c>
      <c r="C4" s="67" t="s">
        <v>124</v>
      </c>
      <c r="D4" s="67" t="s">
        <v>195</v>
      </c>
      <c r="E4" s="67"/>
      <c r="F4" s="66"/>
      <c r="G4" s="66"/>
      <c r="H4" s="67">
        <v>43.125</v>
      </c>
      <c r="I4" s="68">
        <v>50.120000000000005</v>
      </c>
      <c r="J4" s="69">
        <v>4190</v>
      </c>
      <c r="K4" s="70">
        <v>0</v>
      </c>
      <c r="L4" s="71">
        <v>380</v>
      </c>
      <c r="M4" s="71">
        <v>0</v>
      </c>
      <c r="N4" s="72">
        <f t="shared" si="0"/>
        <v>4113</v>
      </c>
      <c r="O4" s="73">
        <f t="shared" si="1"/>
        <v>4570</v>
      </c>
      <c r="P4" s="121">
        <f t="shared" si="2"/>
        <v>86.562318840579707</v>
      </c>
      <c r="Q4" s="74">
        <f t="shared" si="3"/>
        <v>0.1</v>
      </c>
      <c r="R4" s="75">
        <f t="shared" si="4"/>
        <v>457</v>
      </c>
      <c r="S4" s="74">
        <v>0.8</v>
      </c>
      <c r="T4" s="75">
        <f t="shared" si="5"/>
        <v>3656</v>
      </c>
      <c r="U4" s="76">
        <f t="shared" si="6"/>
        <v>9.999999999999995E-2</v>
      </c>
      <c r="V4" s="69">
        <f t="shared" si="7"/>
        <v>456.99999999999977</v>
      </c>
      <c r="W4" s="77">
        <f ca="1">V4*VLOOKUP(TODAY(),'UF HOY'!$A$2:$B$36,2,0)</f>
        <v>18158410.579999991</v>
      </c>
      <c r="X4" s="78">
        <f>Datos!$E$8</f>
        <v>28</v>
      </c>
      <c r="Y4" s="79">
        <f ca="1">IF((W4-3%*O4*VLOOKUP(TODAY(),'UF HOY'!$A$2:$B$36,2,0))/X4&gt;0,(W4-3%*O4*VLOOKUP(TODAY(),'UF HOY'!$A$2:$B$36,2,0))/X4,0)</f>
        <v>453960.2644999997</v>
      </c>
      <c r="Z4" s="78">
        <f>Datos!$E$8</f>
        <v>28</v>
      </c>
      <c r="AA4" s="79">
        <f ca="1">IF((W4-6%*O4*VLOOKUP(TODAY(),'UF HOY'!$A$2:$B$36,2,0))/Z4&gt;0,(W4-6%*O4*VLOOKUP(TODAY(),'UF HOY'!$A$2:$B$36,2,0))/Z4,0)</f>
        <v>259405.86542857112</v>
      </c>
      <c r="AB4" s="89">
        <f>IF(L4&gt;0,VLOOKUP(D4,Datos!$H$40:$J$45,3,0),VLOOKUP(D4,Datos!$H$40:$J$45,2,0))</f>
        <v>500000</v>
      </c>
      <c r="AC4" s="79">
        <f ca="1">(S4*PMT(Datos!$D$15,Datos!$D$13,-O4,,)*VLOOKUP(TODAY(),'UF HOY'!$A$2:$B$36,2,0)/12)+VLOOKUP(TODAY(),'UF HOY'!$A$2:$B$36,2,0)</f>
        <v>739802.3959674167</v>
      </c>
      <c r="AD4" s="79">
        <f t="shared" ca="1" si="8"/>
        <v>-239802.3959674167</v>
      </c>
      <c r="AE4" s="220">
        <f t="shared" ca="1" si="9"/>
        <v>2959209.5838696668</v>
      </c>
    </row>
    <row r="5" spans="1:31" hidden="1">
      <c r="A5" s="86" t="s">
        <v>171</v>
      </c>
      <c r="B5" s="86">
        <v>205</v>
      </c>
      <c r="C5" s="67" t="s">
        <v>122</v>
      </c>
      <c r="D5" s="67" t="s">
        <v>195</v>
      </c>
      <c r="E5" s="67"/>
      <c r="F5" s="66"/>
      <c r="G5" s="66"/>
      <c r="H5" s="67">
        <v>44.830000000000005</v>
      </c>
      <c r="I5" s="68">
        <v>51.02</v>
      </c>
      <c r="J5" s="69">
        <v>4290</v>
      </c>
      <c r="K5" s="70">
        <v>0</v>
      </c>
      <c r="L5" s="71">
        <v>380</v>
      </c>
      <c r="M5" s="71">
        <v>0</v>
      </c>
      <c r="N5" s="72">
        <f t="shared" si="0"/>
        <v>4203</v>
      </c>
      <c r="O5" s="73">
        <f t="shared" si="1"/>
        <v>4670</v>
      </c>
      <c r="P5" s="121">
        <f t="shared" si="2"/>
        <v>85.277715815302244</v>
      </c>
      <c r="Q5" s="74">
        <f t="shared" si="3"/>
        <v>0.1</v>
      </c>
      <c r="R5" s="75">
        <f t="shared" si="4"/>
        <v>467</v>
      </c>
      <c r="S5" s="74">
        <v>0.8</v>
      </c>
      <c r="T5" s="75">
        <f t="shared" si="5"/>
        <v>3736</v>
      </c>
      <c r="U5" s="76">
        <f t="shared" si="6"/>
        <v>9.999999999999995E-2</v>
      </c>
      <c r="V5" s="69">
        <f t="shared" si="7"/>
        <v>466.99999999999977</v>
      </c>
      <c r="W5" s="77">
        <f ca="1">V5*VLOOKUP(TODAY(),'UF HOY'!$A$2:$B$36,2,0)</f>
        <v>18555749.979999993</v>
      </c>
      <c r="X5" s="78">
        <f>Datos!$E$8</f>
        <v>28</v>
      </c>
      <c r="Y5" s="79">
        <f ca="1">IF((W5-3%*O5*VLOOKUP(TODAY(),'UF HOY'!$A$2:$B$36,2,0))/X5&gt;0,(W5-3%*O5*VLOOKUP(TODAY(),'UF HOY'!$A$2:$B$36,2,0))/X5,0)</f>
        <v>463893.7494999998</v>
      </c>
      <c r="Z5" s="78">
        <f>Datos!$E$8</f>
        <v>28</v>
      </c>
      <c r="AA5" s="79">
        <f ca="1">IF((W5-6%*O5*VLOOKUP(TODAY(),'UF HOY'!$A$2:$B$36,2,0))/Z5&gt;0,(W5-6%*O5*VLOOKUP(TODAY(),'UF HOY'!$A$2:$B$36,2,0))/Z5,0)</f>
        <v>265082.14257142833</v>
      </c>
      <c r="AB5" s="89">
        <f>IF(L5&gt;0,VLOOKUP(D5,Datos!$H$40:$J$45,3,0),VLOOKUP(D5,Datos!$H$40:$J$45,2,0))</f>
        <v>500000</v>
      </c>
      <c r="AC5" s="79">
        <f ca="1">(S5*PMT(Datos!$D$15,Datos!$D$13,-O5,,)*VLOOKUP(TODAY(),'UF HOY'!$A$2:$B$36,2,0)/12)+VLOOKUP(TODAY(),'UF HOY'!$A$2:$B$36,2,0)</f>
        <v>755121.18056188966</v>
      </c>
      <c r="AD5" s="79">
        <f t="shared" ca="1" si="8"/>
        <v>-255121.18056188966</v>
      </c>
      <c r="AE5" s="220">
        <f t="shared" ca="1" si="9"/>
        <v>3020484.7222475586</v>
      </c>
    </row>
    <row r="6" spans="1:31" hidden="1">
      <c r="A6" s="86" t="s">
        <v>171</v>
      </c>
      <c r="B6" s="86">
        <v>305</v>
      </c>
      <c r="C6" s="67" t="s">
        <v>122</v>
      </c>
      <c r="D6" s="67" t="s">
        <v>195</v>
      </c>
      <c r="E6" s="67"/>
      <c r="F6" s="66"/>
      <c r="G6" s="66"/>
      <c r="H6" s="67">
        <v>44.830000000000005</v>
      </c>
      <c r="I6" s="68">
        <v>51.02</v>
      </c>
      <c r="J6" s="69">
        <v>4290</v>
      </c>
      <c r="K6" s="70">
        <v>0</v>
      </c>
      <c r="L6" s="71">
        <v>380</v>
      </c>
      <c r="M6" s="71">
        <v>0</v>
      </c>
      <c r="N6" s="72">
        <f t="shared" si="0"/>
        <v>4203</v>
      </c>
      <c r="O6" s="73">
        <f t="shared" si="1"/>
        <v>4670</v>
      </c>
      <c r="P6" s="121">
        <f t="shared" si="2"/>
        <v>85.277715815302244</v>
      </c>
      <c r="Q6" s="74">
        <f t="shared" si="3"/>
        <v>0.1</v>
      </c>
      <c r="R6" s="75">
        <f t="shared" si="4"/>
        <v>467</v>
      </c>
      <c r="S6" s="74">
        <v>0.8</v>
      </c>
      <c r="T6" s="75">
        <f t="shared" si="5"/>
        <v>3736</v>
      </c>
      <c r="U6" s="76">
        <f t="shared" si="6"/>
        <v>9.999999999999995E-2</v>
      </c>
      <c r="V6" s="69">
        <f t="shared" si="7"/>
        <v>466.99999999999977</v>
      </c>
      <c r="W6" s="77">
        <f ca="1">V6*VLOOKUP(TODAY(),'UF HOY'!$A$2:$B$36,2,0)</f>
        <v>18555749.979999993</v>
      </c>
      <c r="X6" s="78">
        <f>Datos!$E$8</f>
        <v>28</v>
      </c>
      <c r="Y6" s="79">
        <f ca="1">IF((W6-3%*O6*VLOOKUP(TODAY(),'UF HOY'!$A$2:$B$36,2,0))/X6&gt;0,(W6-3%*O6*VLOOKUP(TODAY(),'UF HOY'!$A$2:$B$36,2,0))/X6,0)</f>
        <v>463893.7494999998</v>
      </c>
      <c r="Z6" s="78">
        <f>Datos!$E$8</f>
        <v>28</v>
      </c>
      <c r="AA6" s="79">
        <f ca="1">IF((W6-6%*O6*VLOOKUP(TODAY(),'UF HOY'!$A$2:$B$36,2,0))/Z6&gt;0,(W6-6%*O6*VLOOKUP(TODAY(),'UF HOY'!$A$2:$B$36,2,0))/Z6,0)</f>
        <v>265082.14257142833</v>
      </c>
      <c r="AB6" s="89">
        <f>IF(L6&gt;0,VLOOKUP(D6,Datos!$H$40:$J$45,3,0),VLOOKUP(D6,Datos!$H$40:$J$45,2,0))</f>
        <v>500000</v>
      </c>
      <c r="AC6" s="79">
        <f ca="1">(S6*PMT(Datos!$D$15,Datos!$D$13,-O6,,)*VLOOKUP(TODAY(),'UF HOY'!$A$2:$B$36,2,0)/12)+VLOOKUP(TODAY(),'UF HOY'!$A$2:$B$36,2,0)</f>
        <v>755121.18056188966</v>
      </c>
      <c r="AD6" s="79">
        <f t="shared" ca="1" si="8"/>
        <v>-255121.18056188966</v>
      </c>
      <c r="AE6" s="220">
        <f t="shared" ca="1" si="9"/>
        <v>3020484.7222475586</v>
      </c>
    </row>
    <row r="7" spans="1:31" hidden="1">
      <c r="A7" s="86" t="s">
        <v>171</v>
      </c>
      <c r="B7" s="86">
        <v>405</v>
      </c>
      <c r="C7" s="67" t="s">
        <v>122</v>
      </c>
      <c r="D7" s="67" t="s">
        <v>195</v>
      </c>
      <c r="E7" s="67"/>
      <c r="F7" s="66"/>
      <c r="G7" s="66"/>
      <c r="H7" s="67">
        <v>44.830000000000005</v>
      </c>
      <c r="I7" s="68">
        <v>51.02</v>
      </c>
      <c r="J7" s="69">
        <v>4290</v>
      </c>
      <c r="K7" s="70">
        <v>0</v>
      </c>
      <c r="L7" s="71">
        <v>380</v>
      </c>
      <c r="M7" s="71">
        <v>0</v>
      </c>
      <c r="N7" s="72">
        <f t="shared" si="0"/>
        <v>4203</v>
      </c>
      <c r="O7" s="73">
        <f t="shared" si="1"/>
        <v>4670</v>
      </c>
      <c r="P7" s="121">
        <f t="shared" si="2"/>
        <v>85.277715815302244</v>
      </c>
      <c r="Q7" s="74">
        <f t="shared" si="3"/>
        <v>0.1</v>
      </c>
      <c r="R7" s="75">
        <f t="shared" si="4"/>
        <v>467</v>
      </c>
      <c r="S7" s="74">
        <v>0.8</v>
      </c>
      <c r="T7" s="75">
        <f t="shared" si="5"/>
        <v>3736</v>
      </c>
      <c r="U7" s="76">
        <f t="shared" si="6"/>
        <v>9.999999999999995E-2</v>
      </c>
      <c r="V7" s="69">
        <f t="shared" si="7"/>
        <v>466.99999999999977</v>
      </c>
      <c r="W7" s="77">
        <f ca="1">V7*VLOOKUP(TODAY(),'UF HOY'!$A$2:$B$36,2,0)</f>
        <v>18555749.979999993</v>
      </c>
      <c r="X7" s="78">
        <f>Datos!$E$8</f>
        <v>28</v>
      </c>
      <c r="Y7" s="79">
        <f ca="1">IF((W7-3%*O7*VLOOKUP(TODAY(),'UF HOY'!$A$2:$B$36,2,0))/X7&gt;0,(W7-3%*O7*VLOOKUP(TODAY(),'UF HOY'!$A$2:$B$36,2,0))/X7,0)</f>
        <v>463893.7494999998</v>
      </c>
      <c r="Z7" s="78">
        <f>Datos!$E$8</f>
        <v>28</v>
      </c>
      <c r="AA7" s="79">
        <f ca="1">IF((W7-6%*O7*VLOOKUP(TODAY(),'UF HOY'!$A$2:$B$36,2,0))/Z7&gt;0,(W7-6%*O7*VLOOKUP(TODAY(),'UF HOY'!$A$2:$B$36,2,0))/Z7,0)</f>
        <v>265082.14257142833</v>
      </c>
      <c r="AB7" s="89">
        <f>IF(L7&gt;0,VLOOKUP(D7,Datos!$H$40:$J$45,3,0),VLOOKUP(D7,Datos!$H$40:$J$45,2,0))</f>
        <v>500000</v>
      </c>
      <c r="AC7" s="79">
        <f ca="1">(S7*PMT(Datos!$D$15,Datos!$D$13,-O7,,)*VLOOKUP(TODAY(),'UF HOY'!$A$2:$B$36,2,0)/12)+VLOOKUP(TODAY(),'UF HOY'!$A$2:$B$36,2,0)</f>
        <v>755121.18056188966</v>
      </c>
      <c r="AD7" s="79">
        <f t="shared" ca="1" si="8"/>
        <v>-255121.18056188966</v>
      </c>
      <c r="AE7" s="220">
        <f t="shared" ca="1" si="9"/>
        <v>3020484.7222475586</v>
      </c>
    </row>
    <row r="8" spans="1:31">
      <c r="A8" s="86" t="s">
        <v>4</v>
      </c>
      <c r="B8" s="86">
        <v>113</v>
      </c>
      <c r="C8" s="67" t="s">
        <v>124</v>
      </c>
      <c r="D8" s="67" t="s">
        <v>195</v>
      </c>
      <c r="E8" s="67"/>
      <c r="F8" s="66"/>
      <c r="G8" s="66"/>
      <c r="H8" s="67">
        <v>45.29</v>
      </c>
      <c r="I8" s="68">
        <v>49.52</v>
      </c>
      <c r="J8" s="69">
        <v>4390</v>
      </c>
      <c r="K8" s="70">
        <v>0</v>
      </c>
      <c r="L8" s="71">
        <v>380</v>
      </c>
      <c r="M8" s="71">
        <v>0</v>
      </c>
      <c r="N8" s="72">
        <f t="shared" si="0"/>
        <v>4293</v>
      </c>
      <c r="O8" s="73">
        <f t="shared" si="1"/>
        <v>4770</v>
      </c>
      <c r="P8" s="121">
        <f t="shared" si="2"/>
        <v>86.398763523956731</v>
      </c>
      <c r="Q8" s="74">
        <f t="shared" si="3"/>
        <v>0.1</v>
      </c>
      <c r="R8" s="75">
        <f t="shared" si="4"/>
        <v>477</v>
      </c>
      <c r="S8" s="74">
        <v>0.8</v>
      </c>
      <c r="T8" s="75">
        <f t="shared" si="5"/>
        <v>3816</v>
      </c>
      <c r="U8" s="76">
        <f t="shared" si="6"/>
        <v>9.999999999999995E-2</v>
      </c>
      <c r="V8" s="69">
        <f t="shared" si="7"/>
        <v>476.99999999999977</v>
      </c>
      <c r="W8" s="77">
        <f ca="1">V8*VLOOKUP(TODAY(),'UF HOY'!$A$2:$B$36,2,0)</f>
        <v>18953089.379999992</v>
      </c>
      <c r="X8" s="78">
        <f>Datos!$E$8</f>
        <v>28</v>
      </c>
      <c r="Y8" s="79">
        <f ca="1">IF((W8-3%*O8*VLOOKUP(TODAY(),'UF HOY'!$A$2:$B$36,2,0))/X8&gt;0,(W8-3%*O8*VLOOKUP(TODAY(),'UF HOY'!$A$2:$B$36,2,0))/X8,0)</f>
        <v>473827.23449999973</v>
      </c>
      <c r="Z8" s="78">
        <f>Datos!$E$8</f>
        <v>28</v>
      </c>
      <c r="AA8" s="79">
        <f ca="1">IF((W8-6%*O8*VLOOKUP(TODAY(),'UF HOY'!$A$2:$B$36,2,0))/Z8&gt;0,(W8-6%*O8*VLOOKUP(TODAY(),'UF HOY'!$A$2:$B$36,2,0))/Z8,0)</f>
        <v>270758.41971428541</v>
      </c>
      <c r="AB8" s="89">
        <f>IF(L8&gt;0,VLOOKUP(D8,Datos!$H$40:$J$45,3,0),VLOOKUP(D8,Datos!$H$40:$J$45,2,0))</f>
        <v>500000</v>
      </c>
      <c r="AC8" s="79">
        <f ca="1">(S8*PMT(Datos!$D$15,Datos!$D$13,-O8,,)*VLOOKUP(TODAY(),'UF HOY'!$A$2:$B$36,2,0)/12)+VLOOKUP(TODAY(),'UF HOY'!$A$2:$B$36,2,0)</f>
        <v>770439.96515636286</v>
      </c>
      <c r="AD8" s="79">
        <f t="shared" ca="1" si="8"/>
        <v>-270439.96515636286</v>
      </c>
      <c r="AE8" s="220">
        <f t="shared" ca="1" si="9"/>
        <v>3081759.8606254514</v>
      </c>
    </row>
    <row r="9" spans="1:31">
      <c r="A9" s="86" t="s">
        <v>4</v>
      </c>
      <c r="B9" s="86">
        <v>106</v>
      </c>
      <c r="C9" s="67" t="s">
        <v>122</v>
      </c>
      <c r="D9" s="67" t="s">
        <v>195</v>
      </c>
      <c r="E9" s="67"/>
      <c r="F9" s="66"/>
      <c r="G9" s="66"/>
      <c r="H9" s="67">
        <v>46.66</v>
      </c>
      <c r="I9" s="68">
        <v>53.82</v>
      </c>
      <c r="J9" s="69">
        <v>4490</v>
      </c>
      <c r="K9" s="70">
        <v>0</v>
      </c>
      <c r="L9" s="71">
        <v>380</v>
      </c>
      <c r="M9" s="71">
        <v>0</v>
      </c>
      <c r="N9" s="72">
        <f t="shared" si="0"/>
        <v>4383</v>
      </c>
      <c r="O9" s="73">
        <f t="shared" si="1"/>
        <v>4870</v>
      </c>
      <c r="P9" s="121">
        <f t="shared" si="2"/>
        <v>85.790827261037293</v>
      </c>
      <c r="Q9" s="74">
        <f t="shared" si="3"/>
        <v>0.1</v>
      </c>
      <c r="R9" s="75">
        <f t="shared" si="4"/>
        <v>487</v>
      </c>
      <c r="S9" s="74">
        <v>0.8</v>
      </c>
      <c r="T9" s="75">
        <f t="shared" si="5"/>
        <v>3896</v>
      </c>
      <c r="U9" s="76">
        <f t="shared" si="6"/>
        <v>9.999999999999995E-2</v>
      </c>
      <c r="V9" s="69">
        <f t="shared" si="7"/>
        <v>486.99999999999977</v>
      </c>
      <c r="W9" s="77">
        <f ca="1">V9*VLOOKUP(TODAY(),'UF HOY'!$A$2:$B$36,2,0)</f>
        <v>19350428.779999994</v>
      </c>
      <c r="X9" s="78">
        <f>Datos!$E$8</f>
        <v>28</v>
      </c>
      <c r="Y9" s="79">
        <f ca="1">IF((W9-3%*O9*VLOOKUP(TODAY(),'UF HOY'!$A$2:$B$36,2,0))/X9&gt;0,(W9-3%*O9*VLOOKUP(TODAY(),'UF HOY'!$A$2:$B$36,2,0))/X9,0)</f>
        <v>483760.71949999977</v>
      </c>
      <c r="Z9" s="78">
        <f>Datos!$E$8</f>
        <v>28</v>
      </c>
      <c r="AA9" s="79">
        <f ca="1">IF((W9-6%*O9*VLOOKUP(TODAY(),'UF HOY'!$A$2:$B$36,2,0))/Z9&gt;0,(W9-6%*O9*VLOOKUP(TODAY(),'UF HOY'!$A$2:$B$36,2,0))/Z9,0)</f>
        <v>276434.69685714261</v>
      </c>
      <c r="AB9" s="89">
        <f>IF(L9&gt;0,VLOOKUP(D9,Datos!$H$40:$J$45,3,0),VLOOKUP(D9,Datos!$H$40:$J$45,2,0))</f>
        <v>500000</v>
      </c>
      <c r="AC9" s="79">
        <f ca="1">(S9*PMT(Datos!$D$15,Datos!$D$13,-O9,,)*VLOOKUP(TODAY(),'UF HOY'!$A$2:$B$36,2,0)/12)+VLOOKUP(TODAY(),'UF HOY'!$A$2:$B$36,2,0)</f>
        <v>785758.74975083582</v>
      </c>
      <c r="AD9" s="79">
        <f t="shared" ca="1" si="8"/>
        <v>-285758.74975083582</v>
      </c>
      <c r="AE9" s="220">
        <f t="shared" ca="1" si="9"/>
        <v>3143034.9990033433</v>
      </c>
    </row>
    <row r="10" spans="1:31">
      <c r="A10" s="86" t="s">
        <v>4</v>
      </c>
      <c r="B10" s="86">
        <v>107</v>
      </c>
      <c r="C10" s="67" t="s">
        <v>122</v>
      </c>
      <c r="D10" s="67" t="s">
        <v>195</v>
      </c>
      <c r="E10" s="67"/>
      <c r="F10" s="66"/>
      <c r="G10" s="66"/>
      <c r="H10" s="67">
        <v>47.185000000000002</v>
      </c>
      <c r="I10" s="68">
        <v>54.87</v>
      </c>
      <c r="J10" s="69">
        <v>4490</v>
      </c>
      <c r="K10" s="70">
        <v>0</v>
      </c>
      <c r="L10" s="71">
        <v>380</v>
      </c>
      <c r="M10" s="71">
        <v>0</v>
      </c>
      <c r="N10" s="72">
        <f t="shared" si="0"/>
        <v>4383</v>
      </c>
      <c r="O10" s="73">
        <f t="shared" si="1"/>
        <v>4870</v>
      </c>
      <c r="P10" s="121">
        <f t="shared" si="2"/>
        <v>84.83628271696513</v>
      </c>
      <c r="Q10" s="74">
        <f t="shared" si="3"/>
        <v>0.1</v>
      </c>
      <c r="R10" s="75">
        <f t="shared" si="4"/>
        <v>487</v>
      </c>
      <c r="S10" s="74">
        <v>0.8</v>
      </c>
      <c r="T10" s="75">
        <f t="shared" si="5"/>
        <v>3896</v>
      </c>
      <c r="U10" s="76">
        <f t="shared" si="6"/>
        <v>9.999999999999995E-2</v>
      </c>
      <c r="V10" s="69">
        <f t="shared" si="7"/>
        <v>486.99999999999977</v>
      </c>
      <c r="W10" s="77">
        <f ca="1">V10*VLOOKUP(TODAY(),'UF HOY'!$A$2:$B$36,2,0)</f>
        <v>19350428.779999994</v>
      </c>
      <c r="X10" s="78">
        <f>Datos!$E$8</f>
        <v>28</v>
      </c>
      <c r="Y10" s="79">
        <f ca="1">IF((W10-3%*O10*VLOOKUP(TODAY(),'UF HOY'!$A$2:$B$36,2,0))/X10&gt;0,(W10-3%*O10*VLOOKUP(TODAY(),'UF HOY'!$A$2:$B$36,2,0))/X10,0)</f>
        <v>483760.71949999977</v>
      </c>
      <c r="Z10" s="78">
        <f>Datos!$E$8</f>
        <v>28</v>
      </c>
      <c r="AA10" s="79">
        <f ca="1">IF((W10-6%*O10*VLOOKUP(TODAY(),'UF HOY'!$A$2:$B$36,2,0))/Z10&gt;0,(W10-6%*O10*VLOOKUP(TODAY(),'UF HOY'!$A$2:$B$36,2,0))/Z10,0)</f>
        <v>276434.69685714261</v>
      </c>
      <c r="AB10" s="89">
        <f>IF(L10&gt;0,VLOOKUP(D10,Datos!$H$40:$J$45,3,0),VLOOKUP(D10,Datos!$H$40:$J$45,2,0))</f>
        <v>500000</v>
      </c>
      <c r="AC10" s="79">
        <f ca="1">(S10*PMT(Datos!$D$15,Datos!$D$13,-O10,,)*VLOOKUP(TODAY(),'UF HOY'!$A$2:$B$36,2,0)/12)+VLOOKUP(TODAY(),'UF HOY'!$A$2:$B$36,2,0)</f>
        <v>785758.74975083582</v>
      </c>
      <c r="AD10" s="79">
        <f t="shared" ca="1" si="8"/>
        <v>-285758.74975083582</v>
      </c>
      <c r="AE10" s="220">
        <f t="shared" ca="1" si="9"/>
        <v>3143034.9990033433</v>
      </c>
    </row>
    <row r="11" spans="1:31">
      <c r="A11" s="86" t="s">
        <v>4</v>
      </c>
      <c r="B11" s="86">
        <v>108</v>
      </c>
      <c r="C11" s="67" t="s">
        <v>122</v>
      </c>
      <c r="D11" s="67" t="s">
        <v>195</v>
      </c>
      <c r="E11" s="67"/>
      <c r="F11" s="66"/>
      <c r="G11" s="66"/>
      <c r="H11" s="67">
        <v>47.21</v>
      </c>
      <c r="I11" s="68">
        <v>54.919999999999995</v>
      </c>
      <c r="J11" s="69">
        <v>4490</v>
      </c>
      <c r="K11" s="70">
        <v>0</v>
      </c>
      <c r="L11" s="71">
        <v>380</v>
      </c>
      <c r="M11" s="71">
        <v>0</v>
      </c>
      <c r="N11" s="72">
        <f t="shared" si="0"/>
        <v>4383</v>
      </c>
      <c r="O11" s="73">
        <f t="shared" si="1"/>
        <v>4870</v>
      </c>
      <c r="P11" s="121">
        <f t="shared" si="2"/>
        <v>84.791357763185758</v>
      </c>
      <c r="Q11" s="74">
        <f t="shared" si="3"/>
        <v>0.1</v>
      </c>
      <c r="R11" s="75">
        <f t="shared" si="4"/>
        <v>487</v>
      </c>
      <c r="S11" s="74">
        <v>0.8</v>
      </c>
      <c r="T11" s="75">
        <f t="shared" si="5"/>
        <v>3896</v>
      </c>
      <c r="U11" s="76">
        <f t="shared" si="6"/>
        <v>9.999999999999995E-2</v>
      </c>
      <c r="V11" s="69">
        <f t="shared" si="7"/>
        <v>486.99999999999977</v>
      </c>
      <c r="W11" s="77">
        <f ca="1">V11*VLOOKUP(TODAY(),'UF HOY'!$A$2:$B$36,2,0)</f>
        <v>19350428.779999994</v>
      </c>
      <c r="X11" s="78">
        <f>Datos!$E$8</f>
        <v>28</v>
      </c>
      <c r="Y11" s="79">
        <f ca="1">IF((W11-3%*O11*VLOOKUP(TODAY(),'UF HOY'!$A$2:$B$36,2,0))/X11&gt;0,(W11-3%*O11*VLOOKUP(TODAY(),'UF HOY'!$A$2:$B$36,2,0))/X11,0)</f>
        <v>483760.71949999977</v>
      </c>
      <c r="Z11" s="78">
        <f>Datos!$E$8</f>
        <v>28</v>
      </c>
      <c r="AA11" s="79">
        <f ca="1">IF((W11-6%*O11*VLOOKUP(TODAY(),'UF HOY'!$A$2:$B$36,2,0))/Z11&gt;0,(W11-6%*O11*VLOOKUP(TODAY(),'UF HOY'!$A$2:$B$36,2,0))/Z11,0)</f>
        <v>276434.69685714261</v>
      </c>
      <c r="AB11" s="89">
        <f>IF(L11&gt;0,VLOOKUP(D11,Datos!$H$40:$J$45,3,0),VLOOKUP(D11,Datos!$H$40:$J$45,2,0))</f>
        <v>500000</v>
      </c>
      <c r="AC11" s="79">
        <f ca="1">(S11*PMT(Datos!$D$15,Datos!$D$13,-O11,,)*VLOOKUP(TODAY(),'UF HOY'!$A$2:$B$36,2,0)/12)+VLOOKUP(TODAY(),'UF HOY'!$A$2:$B$36,2,0)</f>
        <v>785758.74975083582</v>
      </c>
      <c r="AD11" s="79">
        <f t="shared" ca="1" si="8"/>
        <v>-285758.74975083582</v>
      </c>
      <c r="AE11" s="220">
        <f t="shared" ca="1" si="9"/>
        <v>3143034.9990033433</v>
      </c>
    </row>
    <row r="12" spans="1:31">
      <c r="A12" s="86" t="s">
        <v>4</v>
      </c>
      <c r="B12" s="86">
        <v>109</v>
      </c>
      <c r="C12" s="67" t="s">
        <v>122</v>
      </c>
      <c r="D12" s="67" t="s">
        <v>195</v>
      </c>
      <c r="E12" s="67"/>
      <c r="F12" s="66"/>
      <c r="G12" s="66"/>
      <c r="H12" s="67">
        <v>46.74</v>
      </c>
      <c r="I12" s="68">
        <v>53.980000000000004</v>
      </c>
      <c r="J12" s="69">
        <v>4490</v>
      </c>
      <c r="K12" s="70">
        <v>0</v>
      </c>
      <c r="L12" s="71">
        <v>380</v>
      </c>
      <c r="M12" s="71">
        <v>0</v>
      </c>
      <c r="N12" s="72">
        <f t="shared" si="0"/>
        <v>4383</v>
      </c>
      <c r="O12" s="73">
        <f t="shared" si="1"/>
        <v>4870</v>
      </c>
      <c r="P12" s="121">
        <f t="shared" si="2"/>
        <v>85.643988018827557</v>
      </c>
      <c r="Q12" s="74">
        <f t="shared" si="3"/>
        <v>0.1</v>
      </c>
      <c r="R12" s="75">
        <f t="shared" si="4"/>
        <v>487</v>
      </c>
      <c r="S12" s="74">
        <v>0.8</v>
      </c>
      <c r="T12" s="75">
        <f t="shared" si="5"/>
        <v>3896</v>
      </c>
      <c r="U12" s="76">
        <f t="shared" si="6"/>
        <v>9.999999999999995E-2</v>
      </c>
      <c r="V12" s="69">
        <f t="shared" si="7"/>
        <v>486.99999999999977</v>
      </c>
      <c r="W12" s="77">
        <f ca="1">V12*VLOOKUP(TODAY(),'UF HOY'!$A$2:$B$36,2,0)</f>
        <v>19350428.779999994</v>
      </c>
      <c r="X12" s="78">
        <f>Datos!$E$8</f>
        <v>28</v>
      </c>
      <c r="Y12" s="79">
        <f ca="1">IF((W12-3%*O12*VLOOKUP(TODAY(),'UF HOY'!$A$2:$B$36,2,0))/X12&gt;0,(W12-3%*O12*VLOOKUP(TODAY(),'UF HOY'!$A$2:$B$36,2,0))/X12,0)</f>
        <v>483760.71949999977</v>
      </c>
      <c r="Z12" s="78">
        <f>Datos!$E$8</f>
        <v>28</v>
      </c>
      <c r="AA12" s="79">
        <f ca="1">IF((W12-6%*O12*VLOOKUP(TODAY(),'UF HOY'!$A$2:$B$36,2,0))/Z12&gt;0,(W12-6%*O12*VLOOKUP(TODAY(),'UF HOY'!$A$2:$B$36,2,0))/Z12,0)</f>
        <v>276434.69685714261</v>
      </c>
      <c r="AB12" s="89">
        <f>IF(L12&gt;0,VLOOKUP(D12,Datos!$H$40:$J$45,3,0),VLOOKUP(D12,Datos!$H$40:$J$45,2,0))</f>
        <v>500000</v>
      </c>
      <c r="AC12" s="79">
        <f ca="1">(S12*PMT(Datos!$D$15,Datos!$D$13,-O12,,)*VLOOKUP(TODAY(),'UF HOY'!$A$2:$B$36,2,0)/12)+VLOOKUP(TODAY(),'UF HOY'!$A$2:$B$36,2,0)</f>
        <v>785758.74975083582</v>
      </c>
      <c r="AD12" s="79">
        <f t="shared" ca="1" si="8"/>
        <v>-285758.74975083582</v>
      </c>
      <c r="AE12" s="220">
        <f t="shared" ca="1" si="9"/>
        <v>3143034.9990033433</v>
      </c>
    </row>
    <row r="13" spans="1:31">
      <c r="A13" s="86" t="s">
        <v>4</v>
      </c>
      <c r="B13" s="86">
        <v>110</v>
      </c>
      <c r="C13" s="67" t="s">
        <v>122</v>
      </c>
      <c r="D13" s="67" t="s">
        <v>196</v>
      </c>
      <c r="E13" s="67"/>
      <c r="F13" s="66"/>
      <c r="G13" s="66"/>
      <c r="H13" s="67">
        <v>49.949999999999996</v>
      </c>
      <c r="I13" s="68">
        <v>53.32</v>
      </c>
      <c r="J13" s="69">
        <v>4490</v>
      </c>
      <c r="K13" s="70">
        <v>0</v>
      </c>
      <c r="L13" s="71">
        <v>380</v>
      </c>
      <c r="M13" s="71">
        <v>0</v>
      </c>
      <c r="N13" s="72">
        <f t="shared" si="0"/>
        <v>4383</v>
      </c>
      <c r="O13" s="73">
        <f t="shared" si="1"/>
        <v>4870</v>
      </c>
      <c r="P13" s="121">
        <f t="shared" si="2"/>
        <v>80.140140140140147</v>
      </c>
      <c r="Q13" s="74">
        <f t="shared" si="3"/>
        <v>0.1</v>
      </c>
      <c r="R13" s="75">
        <f t="shared" si="4"/>
        <v>487</v>
      </c>
      <c r="S13" s="74">
        <v>0.8</v>
      </c>
      <c r="T13" s="75">
        <f t="shared" si="5"/>
        <v>3896</v>
      </c>
      <c r="U13" s="76">
        <f t="shared" si="6"/>
        <v>9.999999999999995E-2</v>
      </c>
      <c r="V13" s="69">
        <f t="shared" si="7"/>
        <v>486.99999999999977</v>
      </c>
      <c r="W13" s="77">
        <f ca="1">V13*VLOOKUP(TODAY(),'UF HOY'!$A$2:$B$36,2,0)</f>
        <v>19350428.779999994</v>
      </c>
      <c r="X13" s="78">
        <f>Datos!$E$8</f>
        <v>28</v>
      </c>
      <c r="Y13" s="79">
        <f ca="1">IF((W13-3%*O13*VLOOKUP(TODAY(),'UF HOY'!$A$2:$B$36,2,0))/X13&gt;0,(W13-3%*O13*VLOOKUP(TODAY(),'UF HOY'!$A$2:$B$36,2,0))/X13,0)</f>
        <v>483760.71949999977</v>
      </c>
      <c r="Z13" s="78">
        <f>Datos!$E$8</f>
        <v>28</v>
      </c>
      <c r="AA13" s="79">
        <f ca="1">IF((W13-6%*O13*VLOOKUP(TODAY(),'UF HOY'!$A$2:$B$36,2,0))/Z13&gt;0,(W13-6%*O13*VLOOKUP(TODAY(),'UF HOY'!$A$2:$B$36,2,0))/Z13,0)</f>
        <v>276434.69685714261</v>
      </c>
      <c r="AB13" s="89">
        <f>IF(L13&gt;0,VLOOKUP(D13,Datos!$H$40:$J$45,3,0),VLOOKUP(D13,Datos!$H$40:$J$45,2,0))</f>
        <v>540000</v>
      </c>
      <c r="AC13" s="79">
        <f ca="1">(S13*PMT(Datos!$D$15,Datos!$D$13,-O13,,)*VLOOKUP(TODAY(),'UF HOY'!$A$2:$B$36,2,0)/12)+VLOOKUP(TODAY(),'UF HOY'!$A$2:$B$36,2,0)</f>
        <v>785758.74975083582</v>
      </c>
      <c r="AD13" s="79">
        <f t="shared" ca="1" si="8"/>
        <v>-245758.74975083582</v>
      </c>
      <c r="AE13" s="220">
        <f t="shared" ca="1" si="9"/>
        <v>3143034.9990033433</v>
      </c>
    </row>
    <row r="14" spans="1:31">
      <c r="A14" s="86" t="s">
        <v>4</v>
      </c>
      <c r="B14" s="86">
        <v>213</v>
      </c>
      <c r="C14" s="67" t="s">
        <v>124</v>
      </c>
      <c r="D14" s="67" t="s">
        <v>195</v>
      </c>
      <c r="E14" s="67"/>
      <c r="F14" s="66"/>
      <c r="G14" s="66"/>
      <c r="H14" s="67">
        <v>45.29</v>
      </c>
      <c r="I14" s="68">
        <v>49.52</v>
      </c>
      <c r="J14" s="69">
        <v>4490</v>
      </c>
      <c r="K14" s="70">
        <v>0</v>
      </c>
      <c r="L14" s="71">
        <v>380</v>
      </c>
      <c r="M14" s="71">
        <v>0</v>
      </c>
      <c r="N14" s="72">
        <f t="shared" si="0"/>
        <v>4383</v>
      </c>
      <c r="O14" s="73">
        <f t="shared" si="1"/>
        <v>4870</v>
      </c>
      <c r="P14" s="121">
        <f t="shared" si="2"/>
        <v>88.385957164937068</v>
      </c>
      <c r="Q14" s="74">
        <f t="shared" si="3"/>
        <v>0.1</v>
      </c>
      <c r="R14" s="75">
        <f t="shared" si="4"/>
        <v>487</v>
      </c>
      <c r="S14" s="74">
        <v>0.8</v>
      </c>
      <c r="T14" s="75">
        <f t="shared" si="5"/>
        <v>3896</v>
      </c>
      <c r="U14" s="76">
        <f t="shared" si="6"/>
        <v>9.999999999999995E-2</v>
      </c>
      <c r="V14" s="69">
        <f t="shared" si="7"/>
        <v>486.99999999999977</v>
      </c>
      <c r="W14" s="77">
        <f ca="1">V14*VLOOKUP(TODAY(),'UF HOY'!$A$2:$B$36,2,0)</f>
        <v>19350428.779999994</v>
      </c>
      <c r="X14" s="78">
        <f>Datos!$E$8</f>
        <v>28</v>
      </c>
      <c r="Y14" s="79">
        <f ca="1">IF((W14-3%*O14*VLOOKUP(TODAY(),'UF HOY'!$A$2:$B$36,2,0))/X14&gt;0,(W14-3%*O14*VLOOKUP(TODAY(),'UF HOY'!$A$2:$B$36,2,0))/X14,0)</f>
        <v>483760.71949999977</v>
      </c>
      <c r="Z14" s="78">
        <f>Datos!$E$8</f>
        <v>28</v>
      </c>
      <c r="AA14" s="79">
        <f ca="1">IF((W14-6%*O14*VLOOKUP(TODAY(),'UF HOY'!$A$2:$B$36,2,0))/Z14&gt;0,(W14-6%*O14*VLOOKUP(TODAY(),'UF HOY'!$A$2:$B$36,2,0))/Z14,0)</f>
        <v>276434.69685714261</v>
      </c>
      <c r="AB14" s="89">
        <f>IF(L14&gt;0,VLOOKUP(D14,Datos!$H$40:$J$45,3,0),VLOOKUP(D14,Datos!$H$40:$J$45,2,0))</f>
        <v>500000</v>
      </c>
      <c r="AC14" s="79">
        <f ca="1">(S14*PMT(Datos!$D$15,Datos!$D$13,-O14,,)*VLOOKUP(TODAY(),'UF HOY'!$A$2:$B$36,2,0)/12)+VLOOKUP(TODAY(),'UF HOY'!$A$2:$B$36,2,0)</f>
        <v>785758.74975083582</v>
      </c>
      <c r="AD14" s="79">
        <f t="shared" ca="1" si="8"/>
        <v>-285758.74975083582</v>
      </c>
      <c r="AE14" s="220">
        <f t="shared" ca="1" si="9"/>
        <v>3143034.9990033433</v>
      </c>
    </row>
    <row r="15" spans="1:31" hidden="1">
      <c r="A15" s="86" t="s">
        <v>171</v>
      </c>
      <c r="B15" s="86">
        <v>201</v>
      </c>
      <c r="C15" s="67" t="s">
        <v>124</v>
      </c>
      <c r="D15" s="67" t="s">
        <v>194</v>
      </c>
      <c r="E15" s="67"/>
      <c r="F15" s="66"/>
      <c r="G15" s="66"/>
      <c r="H15" s="67">
        <v>62.96</v>
      </c>
      <c r="I15" s="68">
        <v>70.81</v>
      </c>
      <c r="J15" s="69">
        <v>5590</v>
      </c>
      <c r="K15" s="70">
        <v>0</v>
      </c>
      <c r="L15" s="71">
        <v>380</v>
      </c>
      <c r="M15" s="71">
        <v>0</v>
      </c>
      <c r="N15" s="72">
        <f t="shared" si="0"/>
        <v>5373</v>
      </c>
      <c r="O15" s="73">
        <f t="shared" si="1"/>
        <v>5970</v>
      </c>
      <c r="P15" s="121">
        <f t="shared" si="2"/>
        <v>79.304320203303689</v>
      </c>
      <c r="Q15" s="74">
        <f t="shared" si="3"/>
        <v>0.1</v>
      </c>
      <c r="R15" s="75">
        <f t="shared" si="4"/>
        <v>597</v>
      </c>
      <c r="S15" s="74">
        <v>0.8</v>
      </c>
      <c r="T15" s="75">
        <f t="shared" si="5"/>
        <v>4776</v>
      </c>
      <c r="U15" s="76">
        <f t="shared" si="6"/>
        <v>9.999999999999995E-2</v>
      </c>
      <c r="V15" s="69">
        <f t="shared" si="7"/>
        <v>596.99999999999966</v>
      </c>
      <c r="W15" s="77">
        <f ca="1">V15*VLOOKUP(TODAY(),'UF HOY'!$A$2:$B$36,2,0)</f>
        <v>23721162.179999989</v>
      </c>
      <c r="X15" s="78">
        <f>Datos!$E$8</f>
        <v>28</v>
      </c>
      <c r="Y15" s="79">
        <f ca="1">IF((W15-3%*O15*VLOOKUP(TODAY(),'UF HOY'!$A$2:$B$36,2,0))/X15&gt;0,(W15-3%*O15*VLOOKUP(TODAY(),'UF HOY'!$A$2:$B$36,2,0))/X15,0)</f>
        <v>593029.05449999962</v>
      </c>
      <c r="Z15" s="78">
        <f>Datos!$E$8</f>
        <v>28</v>
      </c>
      <c r="AA15" s="79">
        <f ca="1">IF((W15-6%*O15*VLOOKUP(TODAY(),'UF HOY'!$A$2:$B$36,2,0))/Z15&gt;0,(W15-6%*O15*VLOOKUP(TODAY(),'UF HOY'!$A$2:$B$36,2,0))/Z15,0)</f>
        <v>338873.74542857101</v>
      </c>
      <c r="AB15" s="89">
        <f>IF(L15&gt;0,VLOOKUP(D15,Datos!$H$40:$J$45,3,0),VLOOKUP(D15,Datos!$H$40:$J$45,2,0))</f>
        <v>640000</v>
      </c>
      <c r="AC15" s="79">
        <f ca="1">(S15*PMT(Datos!$D$15,Datos!$D$13,-O15,,)*VLOOKUP(TODAY(),'UF HOY'!$A$2:$B$36,2,0)/12)+VLOOKUP(TODAY(),'UF HOY'!$A$2:$B$36,2,0)</f>
        <v>954265.38029003888</v>
      </c>
      <c r="AD15" s="79">
        <f t="shared" ca="1" si="8"/>
        <v>-314265.38029003888</v>
      </c>
      <c r="AE15" s="220">
        <f t="shared" ca="1" si="9"/>
        <v>3817061.5211601555</v>
      </c>
    </row>
    <row r="16" spans="1:31">
      <c r="A16" s="86" t="s">
        <v>4</v>
      </c>
      <c r="B16" s="86">
        <v>313</v>
      </c>
      <c r="C16" s="67" t="s">
        <v>124</v>
      </c>
      <c r="D16" s="67" t="s">
        <v>195</v>
      </c>
      <c r="E16" s="67"/>
      <c r="F16" s="66"/>
      <c r="G16" s="66"/>
      <c r="H16" s="67">
        <v>45.29</v>
      </c>
      <c r="I16" s="68">
        <v>49.52</v>
      </c>
      <c r="J16" s="69">
        <v>4490</v>
      </c>
      <c r="K16" s="70">
        <v>0</v>
      </c>
      <c r="L16" s="71">
        <v>380</v>
      </c>
      <c r="M16" s="71">
        <v>0</v>
      </c>
      <c r="N16" s="72">
        <f t="shared" si="0"/>
        <v>4383</v>
      </c>
      <c r="O16" s="73">
        <f t="shared" si="1"/>
        <v>4870</v>
      </c>
      <c r="P16" s="121">
        <f t="shared" si="2"/>
        <v>88.385957164937068</v>
      </c>
      <c r="Q16" s="74">
        <f t="shared" si="3"/>
        <v>0.1</v>
      </c>
      <c r="R16" s="75">
        <f t="shared" si="4"/>
        <v>487</v>
      </c>
      <c r="S16" s="74">
        <v>0.8</v>
      </c>
      <c r="T16" s="75">
        <f t="shared" si="5"/>
        <v>3896</v>
      </c>
      <c r="U16" s="76">
        <f t="shared" si="6"/>
        <v>9.999999999999995E-2</v>
      </c>
      <c r="V16" s="69">
        <f t="shared" si="7"/>
        <v>486.99999999999977</v>
      </c>
      <c r="W16" s="77">
        <f ca="1">V16*VLOOKUP(TODAY(),'UF HOY'!$A$2:$B$36,2,0)</f>
        <v>19350428.779999994</v>
      </c>
      <c r="X16" s="78">
        <f>Datos!$E$8</f>
        <v>28</v>
      </c>
      <c r="Y16" s="79">
        <f ca="1">IF((W16-3%*O16*VLOOKUP(TODAY(),'UF HOY'!$A$2:$B$36,2,0))/X16&gt;0,(W16-3%*O16*VLOOKUP(TODAY(),'UF HOY'!$A$2:$B$36,2,0))/X16,0)</f>
        <v>483760.71949999977</v>
      </c>
      <c r="Z16" s="78">
        <f>Datos!$E$8</f>
        <v>28</v>
      </c>
      <c r="AA16" s="79">
        <f ca="1">IF((W16-6%*O16*VLOOKUP(TODAY(),'UF HOY'!$A$2:$B$36,2,0))/Z16&gt;0,(W16-6%*O16*VLOOKUP(TODAY(),'UF HOY'!$A$2:$B$36,2,0))/Z16,0)</f>
        <v>276434.69685714261</v>
      </c>
      <c r="AB16" s="89">
        <f>IF(L16&gt;0,VLOOKUP(D16,Datos!$H$40:$J$45,3,0),VLOOKUP(D16,Datos!$H$40:$J$45,2,0))</f>
        <v>500000</v>
      </c>
      <c r="AC16" s="79">
        <f ca="1">(S16*PMT(Datos!$D$15,Datos!$D$13,-O16,,)*VLOOKUP(TODAY(),'UF HOY'!$A$2:$B$36,2,0)/12)+VLOOKUP(TODAY(),'UF HOY'!$A$2:$B$36,2,0)</f>
        <v>785758.74975083582</v>
      </c>
      <c r="AD16" s="79">
        <f t="shared" ca="1" si="8"/>
        <v>-285758.74975083582</v>
      </c>
      <c r="AE16" s="220">
        <f t="shared" ca="1" si="9"/>
        <v>3143034.9990033433</v>
      </c>
    </row>
    <row r="17" spans="1:31">
      <c r="A17" s="86" t="s">
        <v>4</v>
      </c>
      <c r="B17" s="86">
        <v>413</v>
      </c>
      <c r="C17" s="67" t="s">
        <v>124</v>
      </c>
      <c r="D17" s="67" t="s">
        <v>195</v>
      </c>
      <c r="E17" s="67"/>
      <c r="F17" s="66"/>
      <c r="G17" s="66"/>
      <c r="H17" s="67">
        <v>45.29</v>
      </c>
      <c r="I17" s="68">
        <v>49.52</v>
      </c>
      <c r="J17" s="69">
        <v>4490</v>
      </c>
      <c r="K17" s="70">
        <v>0</v>
      </c>
      <c r="L17" s="71">
        <v>380</v>
      </c>
      <c r="M17" s="71">
        <v>0</v>
      </c>
      <c r="N17" s="72">
        <f t="shared" si="0"/>
        <v>4383</v>
      </c>
      <c r="O17" s="73">
        <f t="shared" si="1"/>
        <v>4870</v>
      </c>
      <c r="P17" s="121">
        <f t="shared" si="2"/>
        <v>88.385957164937068</v>
      </c>
      <c r="Q17" s="74">
        <f t="shared" si="3"/>
        <v>0.1</v>
      </c>
      <c r="R17" s="75">
        <f t="shared" si="4"/>
        <v>487</v>
      </c>
      <c r="S17" s="74">
        <v>0.8</v>
      </c>
      <c r="T17" s="75">
        <f t="shared" si="5"/>
        <v>3896</v>
      </c>
      <c r="U17" s="76">
        <f t="shared" si="6"/>
        <v>9.999999999999995E-2</v>
      </c>
      <c r="V17" s="69">
        <f t="shared" si="7"/>
        <v>486.99999999999977</v>
      </c>
      <c r="W17" s="77">
        <f ca="1">V17*VLOOKUP(TODAY(),'UF HOY'!$A$2:$B$36,2,0)</f>
        <v>19350428.779999994</v>
      </c>
      <c r="X17" s="78">
        <f>Datos!$E$8</f>
        <v>28</v>
      </c>
      <c r="Y17" s="79">
        <f ca="1">IF((W17-3%*O17*VLOOKUP(TODAY(),'UF HOY'!$A$2:$B$36,2,0))/X17&gt;0,(W17-3%*O17*VLOOKUP(TODAY(),'UF HOY'!$A$2:$B$36,2,0))/X17,0)</f>
        <v>483760.71949999977</v>
      </c>
      <c r="Z17" s="78">
        <f>Datos!$E$8</f>
        <v>28</v>
      </c>
      <c r="AA17" s="79">
        <f ca="1">IF((W17-6%*O17*VLOOKUP(TODAY(),'UF HOY'!$A$2:$B$36,2,0))/Z17&gt;0,(W17-6%*O17*VLOOKUP(TODAY(),'UF HOY'!$A$2:$B$36,2,0))/Z17,0)</f>
        <v>276434.69685714261</v>
      </c>
      <c r="AB17" s="89">
        <f>IF(L17&gt;0,VLOOKUP(D17,Datos!$H$40:$J$45,3,0),VLOOKUP(D17,Datos!$H$40:$J$45,2,0))</f>
        <v>500000</v>
      </c>
      <c r="AC17" s="79">
        <f ca="1">(S17*PMT(Datos!$D$15,Datos!$D$13,-O17,,)*VLOOKUP(TODAY(),'UF HOY'!$A$2:$B$36,2,0)/12)+VLOOKUP(TODAY(),'UF HOY'!$A$2:$B$36,2,0)</f>
        <v>785758.74975083582</v>
      </c>
      <c r="AD17" s="79">
        <f t="shared" ca="1" si="8"/>
        <v>-285758.74975083582</v>
      </c>
      <c r="AE17" s="220">
        <f t="shared" ca="1" si="9"/>
        <v>3143034.9990033433</v>
      </c>
    </row>
    <row r="18" spans="1:31" hidden="1">
      <c r="A18" s="86" t="s">
        <v>171</v>
      </c>
      <c r="B18" s="86">
        <v>513</v>
      </c>
      <c r="C18" s="67" t="s">
        <v>124</v>
      </c>
      <c r="D18" s="67" t="s">
        <v>195</v>
      </c>
      <c r="E18" s="67"/>
      <c r="F18" s="66"/>
      <c r="G18" s="66"/>
      <c r="H18" s="67">
        <v>45.29</v>
      </c>
      <c r="I18" s="68">
        <v>49.52</v>
      </c>
      <c r="J18" s="69">
        <v>4490</v>
      </c>
      <c r="K18" s="70">
        <v>0</v>
      </c>
      <c r="L18" s="71">
        <v>380</v>
      </c>
      <c r="M18" s="71">
        <v>0</v>
      </c>
      <c r="N18" s="72">
        <f t="shared" si="0"/>
        <v>4383</v>
      </c>
      <c r="O18" s="73">
        <f t="shared" si="1"/>
        <v>4870</v>
      </c>
      <c r="P18" s="121">
        <f t="shared" si="2"/>
        <v>88.385957164937068</v>
      </c>
      <c r="Q18" s="74">
        <f t="shared" si="3"/>
        <v>0.1</v>
      </c>
      <c r="R18" s="75">
        <f t="shared" si="4"/>
        <v>487</v>
      </c>
      <c r="S18" s="74">
        <v>0.8</v>
      </c>
      <c r="T18" s="75">
        <f t="shared" si="5"/>
        <v>3896</v>
      </c>
      <c r="U18" s="76">
        <f t="shared" si="6"/>
        <v>9.999999999999995E-2</v>
      </c>
      <c r="V18" s="69">
        <f t="shared" si="7"/>
        <v>486.99999999999977</v>
      </c>
      <c r="W18" s="77">
        <f ca="1">V18*VLOOKUP(TODAY(),'UF HOY'!$A$2:$B$36,2,0)</f>
        <v>19350428.779999994</v>
      </c>
      <c r="X18" s="78">
        <f>Datos!$E$8</f>
        <v>28</v>
      </c>
      <c r="Y18" s="79">
        <f ca="1">IF((W18-3%*O18*VLOOKUP(TODAY(),'UF HOY'!$A$2:$B$36,2,0))/X18&gt;0,(W18-3%*O18*VLOOKUP(TODAY(),'UF HOY'!$A$2:$B$36,2,0))/X18,0)</f>
        <v>483760.71949999977</v>
      </c>
      <c r="Z18" s="78">
        <f>Datos!$E$8</f>
        <v>28</v>
      </c>
      <c r="AA18" s="79">
        <f ca="1">IF((W18-6%*O18*VLOOKUP(TODAY(),'UF HOY'!$A$2:$B$36,2,0))/Z18&gt;0,(W18-6%*O18*VLOOKUP(TODAY(),'UF HOY'!$A$2:$B$36,2,0))/Z18,0)</f>
        <v>276434.69685714261</v>
      </c>
      <c r="AB18" s="89">
        <f>IF(L18&gt;0,VLOOKUP(D18,Datos!$H$40:$J$45,3,0),VLOOKUP(D18,Datos!$H$40:$J$45,2,0))</f>
        <v>500000</v>
      </c>
      <c r="AC18" s="79">
        <f ca="1">(S18*PMT(Datos!$D$15,Datos!$D$13,-O18,,)*VLOOKUP(TODAY(),'UF HOY'!$A$2:$B$36,2,0)/12)+VLOOKUP(TODAY(),'UF HOY'!$A$2:$B$36,2,0)</f>
        <v>785758.74975083582</v>
      </c>
      <c r="AD18" s="79">
        <f t="shared" ca="1" si="8"/>
        <v>-285758.74975083582</v>
      </c>
      <c r="AE18" s="220">
        <f t="shared" ca="1" si="9"/>
        <v>3143034.9990033433</v>
      </c>
    </row>
    <row r="19" spans="1:31">
      <c r="A19" s="86" t="s">
        <v>4</v>
      </c>
      <c r="B19" s="86">
        <v>111</v>
      </c>
      <c r="C19" s="67" t="s">
        <v>124</v>
      </c>
      <c r="D19" s="67" t="s">
        <v>196</v>
      </c>
      <c r="E19" s="67"/>
      <c r="F19" s="66"/>
      <c r="G19" s="66"/>
      <c r="H19" s="67">
        <v>50.76</v>
      </c>
      <c r="I19" s="68">
        <v>53.88</v>
      </c>
      <c r="J19" s="69">
        <v>4590</v>
      </c>
      <c r="K19" s="70">
        <v>0</v>
      </c>
      <c r="L19" s="71">
        <v>380</v>
      </c>
      <c r="M19" s="71">
        <v>0</v>
      </c>
      <c r="N19" s="72">
        <f t="shared" si="0"/>
        <v>4473</v>
      </c>
      <c r="O19" s="73">
        <f t="shared" si="1"/>
        <v>4970</v>
      </c>
      <c r="P19" s="121">
        <f t="shared" si="2"/>
        <v>80.634357762017345</v>
      </c>
      <c r="Q19" s="74">
        <f t="shared" si="3"/>
        <v>0.1</v>
      </c>
      <c r="R19" s="75">
        <f t="shared" si="4"/>
        <v>497</v>
      </c>
      <c r="S19" s="74">
        <v>0.8</v>
      </c>
      <c r="T19" s="75">
        <f t="shared" si="5"/>
        <v>3976</v>
      </c>
      <c r="U19" s="76">
        <f t="shared" si="6"/>
        <v>9.999999999999995E-2</v>
      </c>
      <c r="V19" s="69">
        <f t="shared" si="7"/>
        <v>496.99999999999977</v>
      </c>
      <c r="W19" s="77">
        <f ca="1">V19*VLOOKUP(TODAY(),'UF HOY'!$A$2:$B$36,2,0)</f>
        <v>19747768.179999992</v>
      </c>
      <c r="X19" s="78">
        <f>Datos!$E$8</f>
        <v>28</v>
      </c>
      <c r="Y19" s="79">
        <f ca="1">IF((W19-3%*O19*VLOOKUP(TODAY(),'UF HOY'!$A$2:$B$36,2,0))/X19&gt;0,(W19-3%*O19*VLOOKUP(TODAY(),'UF HOY'!$A$2:$B$36,2,0))/X19,0)</f>
        <v>493694.2044999997</v>
      </c>
      <c r="Z19" s="78">
        <f>Datos!$E$8</f>
        <v>28</v>
      </c>
      <c r="AA19" s="79">
        <f ca="1">IF((W19-6%*O19*VLOOKUP(TODAY(),'UF HOY'!$A$2:$B$36,2,0))/Z19&gt;0,(W19-6%*O19*VLOOKUP(TODAY(),'UF HOY'!$A$2:$B$36,2,0))/Z19,0)</f>
        <v>282110.97399999975</v>
      </c>
      <c r="AB19" s="89">
        <f>IF(L19&gt;0,VLOOKUP(D19,Datos!$H$40:$J$45,3,0),VLOOKUP(D19,Datos!$H$40:$J$45,2,0))</f>
        <v>540000</v>
      </c>
      <c r="AC19" s="79">
        <f ca="1">(S19*PMT(Datos!$D$15,Datos!$D$13,-O19,,)*VLOOKUP(TODAY(),'UF HOY'!$A$2:$B$36,2,0)/12)+VLOOKUP(TODAY(),'UF HOY'!$A$2:$B$36,2,0)</f>
        <v>801077.53434530878</v>
      </c>
      <c r="AD19" s="79">
        <f t="shared" ca="1" si="8"/>
        <v>-261077.53434530878</v>
      </c>
      <c r="AE19" s="220">
        <f t="shared" ca="1" si="9"/>
        <v>3204310.1373812351</v>
      </c>
    </row>
    <row r="20" spans="1:31">
      <c r="A20" s="86" t="s">
        <v>4</v>
      </c>
      <c r="B20" s="86">
        <v>206</v>
      </c>
      <c r="C20" s="67" t="s">
        <v>122</v>
      </c>
      <c r="D20" s="67" t="s">
        <v>195</v>
      </c>
      <c r="E20" s="67"/>
      <c r="F20" s="66"/>
      <c r="G20" s="66"/>
      <c r="H20" s="67">
        <v>46.66</v>
      </c>
      <c r="I20" s="68">
        <v>53.82</v>
      </c>
      <c r="J20" s="69">
        <v>4590</v>
      </c>
      <c r="K20" s="70">
        <v>0</v>
      </c>
      <c r="L20" s="71">
        <v>380</v>
      </c>
      <c r="M20" s="71">
        <v>0</v>
      </c>
      <c r="N20" s="72">
        <f t="shared" si="0"/>
        <v>4473</v>
      </c>
      <c r="O20" s="73">
        <f t="shared" si="1"/>
        <v>4970</v>
      </c>
      <c r="P20" s="121">
        <f t="shared" si="2"/>
        <v>87.719674239177039</v>
      </c>
      <c r="Q20" s="74">
        <f t="shared" si="3"/>
        <v>0.1</v>
      </c>
      <c r="R20" s="75">
        <f t="shared" si="4"/>
        <v>497</v>
      </c>
      <c r="S20" s="74">
        <v>0.8</v>
      </c>
      <c r="T20" s="75">
        <f t="shared" si="5"/>
        <v>3976</v>
      </c>
      <c r="U20" s="76">
        <f t="shared" si="6"/>
        <v>9.999999999999995E-2</v>
      </c>
      <c r="V20" s="69">
        <f t="shared" si="7"/>
        <v>496.99999999999977</v>
      </c>
      <c r="W20" s="77">
        <f ca="1">V20*VLOOKUP(TODAY(),'UF HOY'!$A$2:$B$36,2,0)</f>
        <v>19747768.179999992</v>
      </c>
      <c r="X20" s="78">
        <f>Datos!$E$8</f>
        <v>28</v>
      </c>
      <c r="Y20" s="79">
        <f ca="1">IF((W20-3%*O20*VLOOKUP(TODAY(),'UF HOY'!$A$2:$B$36,2,0))/X20&gt;0,(W20-3%*O20*VLOOKUP(TODAY(),'UF HOY'!$A$2:$B$36,2,0))/X20,0)</f>
        <v>493694.2044999997</v>
      </c>
      <c r="Z20" s="78">
        <f>Datos!$E$8</f>
        <v>28</v>
      </c>
      <c r="AA20" s="79">
        <f ca="1">IF((W20-6%*O20*VLOOKUP(TODAY(),'UF HOY'!$A$2:$B$36,2,0))/Z20&gt;0,(W20-6%*O20*VLOOKUP(TODAY(),'UF HOY'!$A$2:$B$36,2,0))/Z20,0)</f>
        <v>282110.97399999975</v>
      </c>
      <c r="AB20" s="89">
        <f>IF(L20&gt;0,VLOOKUP(D20,Datos!$H$40:$J$45,3,0),VLOOKUP(D20,Datos!$H$40:$J$45,2,0))</f>
        <v>500000</v>
      </c>
      <c r="AC20" s="79">
        <f ca="1">(S20*PMT(Datos!$D$15,Datos!$D$13,-O20,,)*VLOOKUP(TODAY(),'UF HOY'!$A$2:$B$36,2,0)/12)+VLOOKUP(TODAY(),'UF HOY'!$A$2:$B$36,2,0)</f>
        <v>801077.53434530878</v>
      </c>
      <c r="AD20" s="79">
        <f t="shared" ca="1" si="8"/>
        <v>-301077.53434530878</v>
      </c>
      <c r="AE20" s="220">
        <f t="shared" ca="1" si="9"/>
        <v>3204310.1373812351</v>
      </c>
    </row>
    <row r="21" spans="1:31">
      <c r="A21" s="86" t="s">
        <v>4</v>
      </c>
      <c r="B21" s="86">
        <v>207</v>
      </c>
      <c r="C21" s="67" t="s">
        <v>122</v>
      </c>
      <c r="D21" s="67" t="s">
        <v>195</v>
      </c>
      <c r="E21" s="67"/>
      <c r="F21" s="66"/>
      <c r="G21" s="66"/>
      <c r="H21" s="67">
        <v>47.185000000000002</v>
      </c>
      <c r="I21" s="68">
        <v>54.87</v>
      </c>
      <c r="J21" s="69">
        <v>4590</v>
      </c>
      <c r="K21" s="70">
        <v>0</v>
      </c>
      <c r="L21" s="71">
        <v>380</v>
      </c>
      <c r="M21" s="71">
        <v>0</v>
      </c>
      <c r="N21" s="72">
        <f t="shared" si="0"/>
        <v>4473</v>
      </c>
      <c r="O21" s="73">
        <f t="shared" si="1"/>
        <v>4970</v>
      </c>
      <c r="P21" s="121">
        <f t="shared" si="2"/>
        <v>86.743668538730518</v>
      </c>
      <c r="Q21" s="74">
        <f t="shared" si="3"/>
        <v>0.1</v>
      </c>
      <c r="R21" s="75">
        <f t="shared" si="4"/>
        <v>497</v>
      </c>
      <c r="S21" s="74">
        <v>0.8</v>
      </c>
      <c r="T21" s="75">
        <f t="shared" si="5"/>
        <v>3976</v>
      </c>
      <c r="U21" s="76">
        <f t="shared" si="6"/>
        <v>9.999999999999995E-2</v>
      </c>
      <c r="V21" s="69">
        <f t="shared" si="7"/>
        <v>496.99999999999977</v>
      </c>
      <c r="W21" s="77">
        <f ca="1">V21*VLOOKUP(TODAY(),'UF HOY'!$A$2:$B$36,2,0)</f>
        <v>19747768.179999992</v>
      </c>
      <c r="X21" s="78">
        <f>Datos!$E$8</f>
        <v>28</v>
      </c>
      <c r="Y21" s="79">
        <f ca="1">IF((W21-3%*O21*VLOOKUP(TODAY(),'UF HOY'!$A$2:$B$36,2,0))/X21&gt;0,(W21-3%*O21*VLOOKUP(TODAY(),'UF HOY'!$A$2:$B$36,2,0))/X21,0)</f>
        <v>493694.2044999997</v>
      </c>
      <c r="Z21" s="78">
        <f>Datos!$E$8</f>
        <v>28</v>
      </c>
      <c r="AA21" s="79">
        <f ca="1">IF((W21-6%*O21*VLOOKUP(TODAY(),'UF HOY'!$A$2:$B$36,2,0))/Z21&gt;0,(W21-6%*O21*VLOOKUP(TODAY(),'UF HOY'!$A$2:$B$36,2,0))/Z21,0)</f>
        <v>282110.97399999975</v>
      </c>
      <c r="AB21" s="89">
        <f>IF(L21&gt;0,VLOOKUP(D21,Datos!$H$40:$J$45,3,0),VLOOKUP(D21,Datos!$H$40:$J$45,2,0))</f>
        <v>500000</v>
      </c>
      <c r="AC21" s="79">
        <f ca="1">(S21*PMT(Datos!$D$15,Datos!$D$13,-O21,,)*VLOOKUP(TODAY(),'UF HOY'!$A$2:$B$36,2,0)/12)+VLOOKUP(TODAY(),'UF HOY'!$A$2:$B$36,2,0)</f>
        <v>801077.53434530878</v>
      </c>
      <c r="AD21" s="79">
        <f t="shared" ca="1" si="8"/>
        <v>-301077.53434530878</v>
      </c>
      <c r="AE21" s="220">
        <f t="shared" ca="1" si="9"/>
        <v>3204310.1373812351</v>
      </c>
    </row>
    <row r="22" spans="1:31">
      <c r="A22" s="86" t="s">
        <v>4</v>
      </c>
      <c r="B22" s="86">
        <v>208</v>
      </c>
      <c r="C22" s="67" t="s">
        <v>122</v>
      </c>
      <c r="D22" s="67" t="s">
        <v>195</v>
      </c>
      <c r="E22" s="67"/>
      <c r="F22" s="66"/>
      <c r="G22" s="66"/>
      <c r="H22" s="67">
        <v>47.21</v>
      </c>
      <c r="I22" s="68">
        <v>54.919999999999995</v>
      </c>
      <c r="J22" s="69">
        <v>4590</v>
      </c>
      <c r="K22" s="70">
        <v>0</v>
      </c>
      <c r="L22" s="71">
        <v>380</v>
      </c>
      <c r="M22" s="71">
        <v>0</v>
      </c>
      <c r="N22" s="72">
        <f t="shared" si="0"/>
        <v>4473</v>
      </c>
      <c r="O22" s="73">
        <f t="shared" si="1"/>
        <v>4970</v>
      </c>
      <c r="P22" s="121">
        <f t="shared" si="2"/>
        <v>86.69773353103156</v>
      </c>
      <c r="Q22" s="74">
        <f t="shared" si="3"/>
        <v>0.1</v>
      </c>
      <c r="R22" s="75">
        <f t="shared" si="4"/>
        <v>497</v>
      </c>
      <c r="S22" s="74">
        <v>0.8</v>
      </c>
      <c r="T22" s="75">
        <f t="shared" si="5"/>
        <v>3976</v>
      </c>
      <c r="U22" s="76">
        <f t="shared" si="6"/>
        <v>9.999999999999995E-2</v>
      </c>
      <c r="V22" s="69">
        <f t="shared" si="7"/>
        <v>496.99999999999977</v>
      </c>
      <c r="W22" s="77">
        <f ca="1">V22*VLOOKUP(TODAY(),'UF HOY'!$A$2:$B$36,2,0)</f>
        <v>19747768.179999992</v>
      </c>
      <c r="X22" s="78">
        <f>Datos!$E$8</f>
        <v>28</v>
      </c>
      <c r="Y22" s="79">
        <f ca="1">IF((W22-3%*O22*VLOOKUP(TODAY(),'UF HOY'!$A$2:$B$36,2,0))/X22&gt;0,(W22-3%*O22*VLOOKUP(TODAY(),'UF HOY'!$A$2:$B$36,2,0))/X22,0)</f>
        <v>493694.2044999997</v>
      </c>
      <c r="Z22" s="78">
        <f>Datos!$E$8</f>
        <v>28</v>
      </c>
      <c r="AA22" s="79">
        <f ca="1">IF((W22-6%*O22*VLOOKUP(TODAY(),'UF HOY'!$A$2:$B$36,2,0))/Z22&gt;0,(W22-6%*O22*VLOOKUP(TODAY(),'UF HOY'!$A$2:$B$36,2,0))/Z22,0)</f>
        <v>282110.97399999975</v>
      </c>
      <c r="AB22" s="89">
        <f>IF(L22&gt;0,VLOOKUP(D22,Datos!$H$40:$J$45,3,0),VLOOKUP(D22,Datos!$H$40:$J$45,2,0))</f>
        <v>500000</v>
      </c>
      <c r="AC22" s="79">
        <f ca="1">(S22*PMT(Datos!$D$15,Datos!$D$13,-O22,,)*VLOOKUP(TODAY(),'UF HOY'!$A$2:$B$36,2,0)/12)+VLOOKUP(TODAY(),'UF HOY'!$A$2:$B$36,2,0)</f>
        <v>801077.53434530878</v>
      </c>
      <c r="AD22" s="79">
        <f t="shared" ca="1" si="8"/>
        <v>-301077.53434530878</v>
      </c>
      <c r="AE22" s="220">
        <f t="shared" ca="1" si="9"/>
        <v>3204310.1373812351</v>
      </c>
    </row>
    <row r="23" spans="1:31">
      <c r="A23" s="86" t="s">
        <v>4</v>
      </c>
      <c r="B23" s="86">
        <v>209</v>
      </c>
      <c r="C23" s="67" t="s">
        <v>122</v>
      </c>
      <c r="D23" s="67" t="s">
        <v>195</v>
      </c>
      <c r="E23" s="67"/>
      <c r="F23" s="66"/>
      <c r="G23" s="66"/>
      <c r="H23" s="67">
        <v>46.74</v>
      </c>
      <c r="I23" s="68">
        <v>53.980000000000004</v>
      </c>
      <c r="J23" s="69">
        <v>4590</v>
      </c>
      <c r="K23" s="70">
        <v>0</v>
      </c>
      <c r="L23" s="71">
        <v>380</v>
      </c>
      <c r="M23" s="71">
        <v>0</v>
      </c>
      <c r="N23" s="72">
        <f t="shared" si="0"/>
        <v>4473</v>
      </c>
      <c r="O23" s="73">
        <f t="shared" si="1"/>
        <v>4970</v>
      </c>
      <c r="P23" s="121">
        <f t="shared" si="2"/>
        <v>87.569533590072737</v>
      </c>
      <c r="Q23" s="74">
        <f t="shared" si="3"/>
        <v>0.1</v>
      </c>
      <c r="R23" s="75">
        <f t="shared" si="4"/>
        <v>497</v>
      </c>
      <c r="S23" s="74">
        <v>0.8</v>
      </c>
      <c r="T23" s="75">
        <f t="shared" si="5"/>
        <v>3976</v>
      </c>
      <c r="U23" s="76">
        <f t="shared" si="6"/>
        <v>9.999999999999995E-2</v>
      </c>
      <c r="V23" s="69">
        <f t="shared" si="7"/>
        <v>496.99999999999977</v>
      </c>
      <c r="W23" s="77">
        <f ca="1">V23*VLOOKUP(TODAY(),'UF HOY'!$A$2:$B$36,2,0)</f>
        <v>19747768.179999992</v>
      </c>
      <c r="X23" s="78">
        <f>Datos!$E$8</f>
        <v>28</v>
      </c>
      <c r="Y23" s="79">
        <f ca="1">IF((W23-3%*O23*VLOOKUP(TODAY(),'UF HOY'!$A$2:$B$36,2,0))/X23&gt;0,(W23-3%*O23*VLOOKUP(TODAY(),'UF HOY'!$A$2:$B$36,2,0))/X23,0)</f>
        <v>493694.2044999997</v>
      </c>
      <c r="Z23" s="78">
        <f>Datos!$E$8</f>
        <v>28</v>
      </c>
      <c r="AA23" s="79">
        <f ca="1">IF((W23-6%*O23*VLOOKUP(TODAY(),'UF HOY'!$A$2:$B$36,2,0))/Z23&gt;0,(W23-6%*O23*VLOOKUP(TODAY(),'UF HOY'!$A$2:$B$36,2,0))/Z23,0)</f>
        <v>282110.97399999975</v>
      </c>
      <c r="AB23" s="89">
        <f>IF(L23&gt;0,VLOOKUP(D23,Datos!$H$40:$J$45,3,0),VLOOKUP(D23,Datos!$H$40:$J$45,2,0))</f>
        <v>500000</v>
      </c>
      <c r="AC23" s="79">
        <f ca="1">(S23*PMT(Datos!$D$15,Datos!$D$13,-O23,,)*VLOOKUP(TODAY(),'UF HOY'!$A$2:$B$36,2,0)/12)+VLOOKUP(TODAY(),'UF HOY'!$A$2:$B$36,2,0)</f>
        <v>801077.53434530878</v>
      </c>
      <c r="AD23" s="79">
        <f t="shared" ca="1" si="8"/>
        <v>-301077.53434530878</v>
      </c>
      <c r="AE23" s="220">
        <f t="shared" ca="1" si="9"/>
        <v>3204310.1373812351</v>
      </c>
    </row>
    <row r="24" spans="1:31">
      <c r="A24" s="86" t="s">
        <v>4</v>
      </c>
      <c r="B24" s="86">
        <v>210</v>
      </c>
      <c r="C24" s="67" t="s">
        <v>122</v>
      </c>
      <c r="D24" s="67" t="s">
        <v>196</v>
      </c>
      <c r="E24" s="67"/>
      <c r="F24" s="66"/>
      <c r="G24" s="66"/>
      <c r="H24" s="67">
        <v>49.949999999999996</v>
      </c>
      <c r="I24" s="68">
        <v>53.32</v>
      </c>
      <c r="J24" s="69">
        <v>4590</v>
      </c>
      <c r="K24" s="70">
        <v>0</v>
      </c>
      <c r="L24" s="71">
        <v>380</v>
      </c>
      <c r="M24" s="71">
        <v>0</v>
      </c>
      <c r="N24" s="72">
        <f t="shared" si="0"/>
        <v>4473</v>
      </c>
      <c r="O24" s="73">
        <f t="shared" si="1"/>
        <v>4970</v>
      </c>
      <c r="P24" s="121">
        <f t="shared" si="2"/>
        <v>81.941941941941948</v>
      </c>
      <c r="Q24" s="74">
        <f t="shared" si="3"/>
        <v>0.1</v>
      </c>
      <c r="R24" s="75">
        <f t="shared" si="4"/>
        <v>497</v>
      </c>
      <c r="S24" s="74">
        <v>0.8</v>
      </c>
      <c r="T24" s="75">
        <f t="shared" si="5"/>
        <v>3976</v>
      </c>
      <c r="U24" s="76">
        <f t="shared" si="6"/>
        <v>9.999999999999995E-2</v>
      </c>
      <c r="V24" s="69">
        <f t="shared" si="7"/>
        <v>496.99999999999977</v>
      </c>
      <c r="W24" s="77">
        <f ca="1">V24*VLOOKUP(TODAY(),'UF HOY'!$A$2:$B$36,2,0)</f>
        <v>19747768.179999992</v>
      </c>
      <c r="X24" s="78">
        <f>Datos!$E$8</f>
        <v>28</v>
      </c>
      <c r="Y24" s="79">
        <f ca="1">IF((W24-3%*O24*VLOOKUP(TODAY(),'UF HOY'!$A$2:$B$36,2,0))/X24&gt;0,(W24-3%*O24*VLOOKUP(TODAY(),'UF HOY'!$A$2:$B$36,2,0))/X24,0)</f>
        <v>493694.2044999997</v>
      </c>
      <c r="Z24" s="78">
        <f>Datos!$E$8</f>
        <v>28</v>
      </c>
      <c r="AA24" s="79">
        <f ca="1">IF((W24-6%*O24*VLOOKUP(TODAY(),'UF HOY'!$A$2:$B$36,2,0))/Z24&gt;0,(W24-6%*O24*VLOOKUP(TODAY(),'UF HOY'!$A$2:$B$36,2,0))/Z24,0)</f>
        <v>282110.97399999975</v>
      </c>
      <c r="AB24" s="89">
        <f>IF(L24&gt;0,VLOOKUP(D24,Datos!$H$40:$J$45,3,0),VLOOKUP(D24,Datos!$H$40:$J$45,2,0))</f>
        <v>540000</v>
      </c>
      <c r="AC24" s="79">
        <f ca="1">(S24*PMT(Datos!$D$15,Datos!$D$13,-O24,,)*VLOOKUP(TODAY(),'UF HOY'!$A$2:$B$36,2,0)/12)+VLOOKUP(TODAY(),'UF HOY'!$A$2:$B$36,2,0)</f>
        <v>801077.53434530878</v>
      </c>
      <c r="AD24" s="79">
        <f t="shared" ca="1" si="8"/>
        <v>-261077.53434530878</v>
      </c>
      <c r="AE24" s="220">
        <f t="shared" ca="1" si="9"/>
        <v>3204310.1373812351</v>
      </c>
    </row>
    <row r="25" spans="1:31">
      <c r="A25" s="86" t="s">
        <v>4</v>
      </c>
      <c r="B25" s="86">
        <v>306</v>
      </c>
      <c r="C25" s="67" t="s">
        <v>122</v>
      </c>
      <c r="D25" s="67" t="s">
        <v>195</v>
      </c>
      <c r="E25" s="67"/>
      <c r="F25" s="66"/>
      <c r="G25" s="66"/>
      <c r="H25" s="67">
        <v>46.66</v>
      </c>
      <c r="I25" s="68">
        <v>53.82</v>
      </c>
      <c r="J25" s="69">
        <v>4590</v>
      </c>
      <c r="K25" s="70">
        <v>0</v>
      </c>
      <c r="L25" s="71">
        <v>380</v>
      </c>
      <c r="M25" s="71">
        <v>0</v>
      </c>
      <c r="N25" s="72">
        <f t="shared" si="0"/>
        <v>4473</v>
      </c>
      <c r="O25" s="73">
        <f t="shared" si="1"/>
        <v>4970</v>
      </c>
      <c r="P25" s="121">
        <f t="shared" si="2"/>
        <v>87.719674239177039</v>
      </c>
      <c r="Q25" s="74">
        <f t="shared" si="3"/>
        <v>0.1</v>
      </c>
      <c r="R25" s="75">
        <f t="shared" si="4"/>
        <v>497</v>
      </c>
      <c r="S25" s="74">
        <v>0.8</v>
      </c>
      <c r="T25" s="75">
        <f t="shared" si="5"/>
        <v>3976</v>
      </c>
      <c r="U25" s="76">
        <f t="shared" si="6"/>
        <v>9.999999999999995E-2</v>
      </c>
      <c r="V25" s="69">
        <f t="shared" si="7"/>
        <v>496.99999999999977</v>
      </c>
      <c r="W25" s="77">
        <f ca="1">V25*VLOOKUP(TODAY(),'UF HOY'!$A$2:$B$36,2,0)</f>
        <v>19747768.179999992</v>
      </c>
      <c r="X25" s="78">
        <f>Datos!$E$8</f>
        <v>28</v>
      </c>
      <c r="Y25" s="79">
        <f ca="1">IF((W25-3%*O25*VLOOKUP(TODAY(),'UF HOY'!$A$2:$B$36,2,0))/X25&gt;0,(W25-3%*O25*VLOOKUP(TODAY(),'UF HOY'!$A$2:$B$36,2,0))/X25,0)</f>
        <v>493694.2044999997</v>
      </c>
      <c r="Z25" s="78">
        <f>Datos!$E$8</f>
        <v>28</v>
      </c>
      <c r="AA25" s="79">
        <f ca="1">IF((W25-6%*O25*VLOOKUP(TODAY(),'UF HOY'!$A$2:$B$36,2,0))/Z25&gt;0,(W25-6%*O25*VLOOKUP(TODAY(),'UF HOY'!$A$2:$B$36,2,0))/Z25,0)</f>
        <v>282110.97399999975</v>
      </c>
      <c r="AB25" s="89">
        <f>IF(L25&gt;0,VLOOKUP(D25,Datos!$H$40:$J$45,3,0),VLOOKUP(D25,Datos!$H$40:$J$45,2,0))</f>
        <v>500000</v>
      </c>
      <c r="AC25" s="79">
        <f ca="1">(S25*PMT(Datos!$D$15,Datos!$D$13,-O25,,)*VLOOKUP(TODAY(),'UF HOY'!$A$2:$B$36,2,0)/12)+VLOOKUP(TODAY(),'UF HOY'!$A$2:$B$36,2,0)</f>
        <v>801077.53434530878</v>
      </c>
      <c r="AD25" s="79">
        <f t="shared" ca="1" si="8"/>
        <v>-301077.53434530878</v>
      </c>
      <c r="AE25" s="220">
        <f t="shared" ca="1" si="9"/>
        <v>3204310.1373812351</v>
      </c>
    </row>
    <row r="26" spans="1:31" hidden="1">
      <c r="A26" s="86" t="s">
        <v>171</v>
      </c>
      <c r="B26" s="86">
        <v>212</v>
      </c>
      <c r="C26" s="67" t="s">
        <v>124</v>
      </c>
      <c r="D26" s="67" t="s">
        <v>195</v>
      </c>
      <c r="E26" s="67"/>
      <c r="F26" s="66"/>
      <c r="G26" s="66"/>
      <c r="H26" s="67">
        <v>43.125</v>
      </c>
      <c r="I26" s="68">
        <v>50.120000000000005</v>
      </c>
      <c r="J26" s="69">
        <v>4290</v>
      </c>
      <c r="K26" s="70">
        <v>0</v>
      </c>
      <c r="L26" s="71">
        <v>380</v>
      </c>
      <c r="M26" s="71">
        <v>0</v>
      </c>
      <c r="N26" s="72">
        <f t="shared" si="0"/>
        <v>4203</v>
      </c>
      <c r="O26" s="73">
        <f t="shared" si="1"/>
        <v>4670</v>
      </c>
      <c r="P26" s="121">
        <f t="shared" si="2"/>
        <v>88.649275362318846</v>
      </c>
      <c r="Q26" s="74">
        <f t="shared" si="3"/>
        <v>0.1</v>
      </c>
      <c r="R26" s="75">
        <f t="shared" si="4"/>
        <v>467</v>
      </c>
      <c r="S26" s="74">
        <v>0.8</v>
      </c>
      <c r="T26" s="75">
        <f t="shared" si="5"/>
        <v>3736</v>
      </c>
      <c r="U26" s="76">
        <f t="shared" si="6"/>
        <v>9.999999999999995E-2</v>
      </c>
      <c r="V26" s="69">
        <f t="shared" si="7"/>
        <v>466.99999999999977</v>
      </c>
      <c r="W26" s="77">
        <f ca="1">V26*VLOOKUP(TODAY(),'UF HOY'!$A$2:$B$36,2,0)</f>
        <v>18555749.979999993</v>
      </c>
      <c r="X26" s="78">
        <f>Datos!$E$8</f>
        <v>28</v>
      </c>
      <c r="Y26" s="79">
        <f ca="1">IF((W26-3%*O26*VLOOKUP(TODAY(),'UF HOY'!$A$2:$B$36,2,0))/X26&gt;0,(W26-3%*O26*VLOOKUP(TODAY(),'UF HOY'!$A$2:$B$36,2,0))/X26,0)</f>
        <v>463893.7494999998</v>
      </c>
      <c r="Z26" s="78">
        <f>Datos!$E$8</f>
        <v>28</v>
      </c>
      <c r="AA26" s="79">
        <f ca="1">IF((W26-6%*O26*VLOOKUP(TODAY(),'UF HOY'!$A$2:$B$36,2,0))/Z26&gt;0,(W26-6%*O26*VLOOKUP(TODAY(),'UF HOY'!$A$2:$B$36,2,0))/Z26,0)</f>
        <v>265082.14257142833</v>
      </c>
      <c r="AB26" s="89">
        <f>IF(L26&gt;0,VLOOKUP(D26,Datos!$H$40:$J$45,3,0),VLOOKUP(D26,Datos!$H$40:$J$45,2,0))</f>
        <v>500000</v>
      </c>
      <c r="AC26" s="79">
        <f ca="1">(S26*PMT(Datos!$D$15,Datos!$D$13,-O26,,)*VLOOKUP(TODAY(),'UF HOY'!$A$2:$B$36,2,0)/12)+VLOOKUP(TODAY(),'UF HOY'!$A$2:$B$36,2,0)</f>
        <v>755121.18056188966</v>
      </c>
      <c r="AD26" s="79">
        <f t="shared" ca="1" si="8"/>
        <v>-255121.18056188966</v>
      </c>
      <c r="AE26" s="220">
        <f t="shared" ca="1" si="9"/>
        <v>3020484.7222475586</v>
      </c>
    </row>
    <row r="27" spans="1:31">
      <c r="A27" s="86" t="s">
        <v>4</v>
      </c>
      <c r="B27" s="86">
        <v>307</v>
      </c>
      <c r="C27" s="67" t="s">
        <v>122</v>
      </c>
      <c r="D27" s="67" t="s">
        <v>195</v>
      </c>
      <c r="E27" s="67"/>
      <c r="F27" s="66"/>
      <c r="G27" s="66"/>
      <c r="H27" s="67">
        <v>47.185000000000002</v>
      </c>
      <c r="I27" s="68">
        <v>54.87</v>
      </c>
      <c r="J27" s="69">
        <v>4590</v>
      </c>
      <c r="K27" s="70">
        <v>0</v>
      </c>
      <c r="L27" s="71">
        <v>380</v>
      </c>
      <c r="M27" s="71">
        <v>0</v>
      </c>
      <c r="N27" s="72">
        <f t="shared" si="0"/>
        <v>4473</v>
      </c>
      <c r="O27" s="73">
        <f t="shared" si="1"/>
        <v>4970</v>
      </c>
      <c r="P27" s="121">
        <f t="shared" si="2"/>
        <v>86.743668538730518</v>
      </c>
      <c r="Q27" s="74">
        <f t="shared" si="3"/>
        <v>0.1</v>
      </c>
      <c r="R27" s="75">
        <f t="shared" si="4"/>
        <v>497</v>
      </c>
      <c r="S27" s="74">
        <v>0.8</v>
      </c>
      <c r="T27" s="75">
        <f t="shared" si="5"/>
        <v>3976</v>
      </c>
      <c r="U27" s="76">
        <f t="shared" si="6"/>
        <v>9.999999999999995E-2</v>
      </c>
      <c r="V27" s="69">
        <f t="shared" si="7"/>
        <v>496.99999999999977</v>
      </c>
      <c r="W27" s="77">
        <f ca="1">V27*VLOOKUP(TODAY(),'UF HOY'!$A$2:$B$36,2,0)</f>
        <v>19747768.179999992</v>
      </c>
      <c r="X27" s="78">
        <f>Datos!$E$8</f>
        <v>28</v>
      </c>
      <c r="Y27" s="79">
        <f ca="1">IF((W27-3%*O27*VLOOKUP(TODAY(),'UF HOY'!$A$2:$B$36,2,0))/X27&gt;0,(W27-3%*O27*VLOOKUP(TODAY(),'UF HOY'!$A$2:$B$36,2,0))/X27,0)</f>
        <v>493694.2044999997</v>
      </c>
      <c r="Z27" s="78">
        <f>Datos!$E$8</f>
        <v>28</v>
      </c>
      <c r="AA27" s="79">
        <f ca="1">IF((W27-6%*O27*VLOOKUP(TODAY(),'UF HOY'!$A$2:$B$36,2,0))/Z27&gt;0,(W27-6%*O27*VLOOKUP(TODAY(),'UF HOY'!$A$2:$B$36,2,0))/Z27,0)</f>
        <v>282110.97399999975</v>
      </c>
      <c r="AB27" s="89">
        <f>IF(L27&gt;0,VLOOKUP(D27,Datos!$H$40:$J$45,3,0),VLOOKUP(D27,Datos!$H$40:$J$45,2,0))</f>
        <v>500000</v>
      </c>
      <c r="AC27" s="79">
        <f ca="1">(S27*PMT(Datos!$D$15,Datos!$D$13,-O27,,)*VLOOKUP(TODAY(),'UF HOY'!$A$2:$B$36,2,0)/12)+VLOOKUP(TODAY(),'UF HOY'!$A$2:$B$36,2,0)</f>
        <v>801077.53434530878</v>
      </c>
      <c r="AD27" s="79">
        <f t="shared" ca="1" si="8"/>
        <v>-301077.53434530878</v>
      </c>
      <c r="AE27" s="220">
        <f t="shared" ca="1" si="9"/>
        <v>3204310.1373812351</v>
      </c>
    </row>
    <row r="28" spans="1:31" hidden="1">
      <c r="A28" s="86" t="s">
        <v>171</v>
      </c>
      <c r="B28" s="86">
        <v>301</v>
      </c>
      <c r="C28" s="67" t="s">
        <v>124</v>
      </c>
      <c r="D28" s="67" t="s">
        <v>194</v>
      </c>
      <c r="E28" s="67"/>
      <c r="F28" s="66"/>
      <c r="G28" s="66"/>
      <c r="H28" s="67">
        <v>62.96</v>
      </c>
      <c r="I28" s="68">
        <v>70.81</v>
      </c>
      <c r="J28" s="69">
        <v>5590</v>
      </c>
      <c r="K28" s="70">
        <v>0</v>
      </c>
      <c r="L28" s="71">
        <v>380</v>
      </c>
      <c r="M28" s="71">
        <v>0</v>
      </c>
      <c r="N28" s="72">
        <f t="shared" si="0"/>
        <v>5373</v>
      </c>
      <c r="O28" s="73">
        <f t="shared" si="1"/>
        <v>5970</v>
      </c>
      <c r="P28" s="121">
        <f t="shared" si="2"/>
        <v>79.304320203303689</v>
      </c>
      <c r="Q28" s="74">
        <f t="shared" si="3"/>
        <v>0.1</v>
      </c>
      <c r="R28" s="75">
        <f t="shared" si="4"/>
        <v>597</v>
      </c>
      <c r="S28" s="74">
        <v>0.8</v>
      </c>
      <c r="T28" s="75">
        <f t="shared" si="5"/>
        <v>4776</v>
      </c>
      <c r="U28" s="76">
        <f t="shared" si="6"/>
        <v>9.999999999999995E-2</v>
      </c>
      <c r="V28" s="69">
        <f t="shared" si="7"/>
        <v>596.99999999999966</v>
      </c>
      <c r="W28" s="77">
        <f ca="1">V28*VLOOKUP(TODAY(),'UF HOY'!$A$2:$B$36,2,0)</f>
        <v>23721162.179999989</v>
      </c>
      <c r="X28" s="78">
        <f>Datos!$E$8</f>
        <v>28</v>
      </c>
      <c r="Y28" s="79">
        <f ca="1">IF((W28-3%*O28*VLOOKUP(TODAY(),'UF HOY'!$A$2:$B$36,2,0))/X28&gt;0,(W28-3%*O28*VLOOKUP(TODAY(),'UF HOY'!$A$2:$B$36,2,0))/X28,0)</f>
        <v>593029.05449999962</v>
      </c>
      <c r="Z28" s="78">
        <f>Datos!$E$8</f>
        <v>28</v>
      </c>
      <c r="AA28" s="79">
        <f ca="1">IF((W28-6%*O28*VLOOKUP(TODAY(),'UF HOY'!$A$2:$B$36,2,0))/Z28&gt;0,(W28-6%*O28*VLOOKUP(TODAY(),'UF HOY'!$A$2:$B$36,2,0))/Z28,0)</f>
        <v>338873.74542857101</v>
      </c>
      <c r="AB28" s="89">
        <f>IF(L28&gt;0,VLOOKUP(D28,Datos!$H$40:$J$45,3,0),VLOOKUP(D28,Datos!$H$40:$J$45,2,0))</f>
        <v>640000</v>
      </c>
      <c r="AC28" s="79">
        <f ca="1">(S28*PMT(Datos!$D$15,Datos!$D$13,-O28,,)*VLOOKUP(TODAY(),'UF HOY'!$A$2:$B$36,2,0)/12)+VLOOKUP(TODAY(),'UF HOY'!$A$2:$B$36,2,0)</f>
        <v>954265.38029003888</v>
      </c>
      <c r="AD28" s="79">
        <f t="shared" ca="1" si="8"/>
        <v>-314265.38029003888</v>
      </c>
      <c r="AE28" s="220">
        <f t="shared" ca="1" si="9"/>
        <v>3817061.5211601555</v>
      </c>
    </row>
    <row r="29" spans="1:31">
      <c r="A29" s="86" t="s">
        <v>4</v>
      </c>
      <c r="B29" s="86">
        <v>308</v>
      </c>
      <c r="C29" s="67" t="s">
        <v>122</v>
      </c>
      <c r="D29" s="67" t="s">
        <v>195</v>
      </c>
      <c r="E29" s="67"/>
      <c r="F29" s="66"/>
      <c r="G29" s="66"/>
      <c r="H29" s="67">
        <v>47.21</v>
      </c>
      <c r="I29" s="68">
        <v>54.919999999999995</v>
      </c>
      <c r="J29" s="69">
        <v>4590</v>
      </c>
      <c r="K29" s="70">
        <v>0</v>
      </c>
      <c r="L29" s="71">
        <v>380</v>
      </c>
      <c r="M29" s="71">
        <v>0</v>
      </c>
      <c r="N29" s="72">
        <f t="shared" si="0"/>
        <v>4473</v>
      </c>
      <c r="O29" s="73">
        <f t="shared" si="1"/>
        <v>4970</v>
      </c>
      <c r="P29" s="121">
        <f t="shared" si="2"/>
        <v>86.69773353103156</v>
      </c>
      <c r="Q29" s="74">
        <f t="shared" si="3"/>
        <v>0.1</v>
      </c>
      <c r="R29" s="75">
        <f t="shared" si="4"/>
        <v>497</v>
      </c>
      <c r="S29" s="74">
        <v>0.8</v>
      </c>
      <c r="T29" s="75">
        <f t="shared" si="5"/>
        <v>3976</v>
      </c>
      <c r="U29" s="76">
        <f t="shared" si="6"/>
        <v>9.999999999999995E-2</v>
      </c>
      <c r="V29" s="69">
        <f t="shared" si="7"/>
        <v>496.99999999999977</v>
      </c>
      <c r="W29" s="77">
        <f ca="1">V29*VLOOKUP(TODAY(),'UF HOY'!$A$2:$B$36,2,0)</f>
        <v>19747768.179999992</v>
      </c>
      <c r="X29" s="78">
        <f>Datos!$E$8</f>
        <v>28</v>
      </c>
      <c r="Y29" s="79">
        <f ca="1">IF((W29-3%*O29*VLOOKUP(TODAY(),'UF HOY'!$A$2:$B$36,2,0))/X29&gt;0,(W29-3%*O29*VLOOKUP(TODAY(),'UF HOY'!$A$2:$B$36,2,0))/X29,0)</f>
        <v>493694.2044999997</v>
      </c>
      <c r="Z29" s="78">
        <f>Datos!$E$8</f>
        <v>28</v>
      </c>
      <c r="AA29" s="79">
        <f ca="1">IF((W29-6%*O29*VLOOKUP(TODAY(),'UF HOY'!$A$2:$B$36,2,0))/Z29&gt;0,(W29-6%*O29*VLOOKUP(TODAY(),'UF HOY'!$A$2:$B$36,2,0))/Z29,0)</f>
        <v>282110.97399999975</v>
      </c>
      <c r="AB29" s="89">
        <f>IF(L29&gt;0,VLOOKUP(D29,Datos!$H$40:$J$45,3,0),VLOOKUP(D29,Datos!$H$40:$J$45,2,0))</f>
        <v>500000</v>
      </c>
      <c r="AC29" s="79">
        <f ca="1">(S29*PMT(Datos!$D$15,Datos!$D$13,-O29,,)*VLOOKUP(TODAY(),'UF HOY'!$A$2:$B$36,2,0)/12)+VLOOKUP(TODAY(),'UF HOY'!$A$2:$B$36,2,0)</f>
        <v>801077.53434530878</v>
      </c>
      <c r="AD29" s="79">
        <f t="shared" ca="1" si="8"/>
        <v>-301077.53434530878</v>
      </c>
      <c r="AE29" s="220">
        <f t="shared" ca="1" si="9"/>
        <v>3204310.1373812351</v>
      </c>
    </row>
    <row r="30" spans="1:31" hidden="1">
      <c r="A30" s="86" t="s">
        <v>171</v>
      </c>
      <c r="B30" s="86">
        <v>303</v>
      </c>
      <c r="C30" s="67" t="s">
        <v>121</v>
      </c>
      <c r="D30" s="67" t="s">
        <v>194</v>
      </c>
      <c r="E30" s="67"/>
      <c r="F30" s="66"/>
      <c r="G30" s="66"/>
      <c r="H30" s="67">
        <v>60.01</v>
      </c>
      <c r="I30" s="68">
        <v>66.81</v>
      </c>
      <c r="J30" s="69">
        <v>5590</v>
      </c>
      <c r="K30" s="70">
        <v>0</v>
      </c>
      <c r="L30" s="71">
        <v>380</v>
      </c>
      <c r="M30" s="71">
        <v>0</v>
      </c>
      <c r="N30" s="72">
        <f t="shared" si="0"/>
        <v>5373</v>
      </c>
      <c r="O30" s="73">
        <f t="shared" si="1"/>
        <v>5970</v>
      </c>
      <c r="P30" s="121">
        <f t="shared" si="2"/>
        <v>83.202799533411095</v>
      </c>
      <c r="Q30" s="74">
        <f t="shared" si="3"/>
        <v>0.1</v>
      </c>
      <c r="R30" s="75">
        <f t="shared" si="4"/>
        <v>597</v>
      </c>
      <c r="S30" s="74">
        <v>0.8</v>
      </c>
      <c r="T30" s="75">
        <f t="shared" si="5"/>
        <v>4776</v>
      </c>
      <c r="U30" s="76">
        <f t="shared" si="6"/>
        <v>9.999999999999995E-2</v>
      </c>
      <c r="V30" s="69">
        <f t="shared" si="7"/>
        <v>596.99999999999966</v>
      </c>
      <c r="W30" s="77">
        <f ca="1">V30*VLOOKUP(TODAY(),'UF HOY'!$A$2:$B$36,2,0)</f>
        <v>23721162.179999989</v>
      </c>
      <c r="X30" s="78">
        <f>Datos!$E$8</f>
        <v>28</v>
      </c>
      <c r="Y30" s="79">
        <f ca="1">IF((W30-3%*O30*VLOOKUP(TODAY(),'UF HOY'!$A$2:$B$36,2,0))/X30&gt;0,(W30-3%*O30*VLOOKUP(TODAY(),'UF HOY'!$A$2:$B$36,2,0))/X30,0)</f>
        <v>593029.05449999962</v>
      </c>
      <c r="Z30" s="78">
        <f>Datos!$E$8</f>
        <v>28</v>
      </c>
      <c r="AA30" s="79">
        <f ca="1">IF((W30-6%*O30*VLOOKUP(TODAY(),'UF HOY'!$A$2:$B$36,2,0))/Z30&gt;0,(W30-6%*O30*VLOOKUP(TODAY(),'UF HOY'!$A$2:$B$36,2,0))/Z30,0)</f>
        <v>338873.74542857101</v>
      </c>
      <c r="AB30" s="89">
        <f>IF(L30&gt;0,VLOOKUP(D30,Datos!$H$40:$J$45,3,0),VLOOKUP(D30,Datos!$H$40:$J$45,2,0))</f>
        <v>640000</v>
      </c>
      <c r="AC30" s="79">
        <f ca="1">(S30*PMT(Datos!$D$15,Datos!$D$13,-O30,,)*VLOOKUP(TODAY(),'UF HOY'!$A$2:$B$36,2,0)/12)+VLOOKUP(TODAY(),'UF HOY'!$A$2:$B$36,2,0)</f>
        <v>954265.38029003888</v>
      </c>
      <c r="AD30" s="79">
        <f t="shared" ca="1" si="8"/>
        <v>-314265.38029003888</v>
      </c>
      <c r="AE30" s="220">
        <f t="shared" ca="1" si="9"/>
        <v>3817061.5211601555</v>
      </c>
    </row>
    <row r="31" spans="1:31" hidden="1">
      <c r="A31" s="86" t="s">
        <v>171</v>
      </c>
      <c r="B31" s="86">
        <v>304</v>
      </c>
      <c r="C31" s="67" t="s">
        <v>121</v>
      </c>
      <c r="D31" s="67" t="s">
        <v>194</v>
      </c>
      <c r="E31" s="67"/>
      <c r="F31" s="66"/>
      <c r="G31" s="66"/>
      <c r="H31" s="67">
        <v>60.01</v>
      </c>
      <c r="I31" s="68">
        <v>66.81</v>
      </c>
      <c r="J31" s="69">
        <v>5590</v>
      </c>
      <c r="K31" s="70">
        <v>0</v>
      </c>
      <c r="L31" s="71">
        <v>380</v>
      </c>
      <c r="M31" s="71">
        <v>0</v>
      </c>
      <c r="N31" s="72">
        <f t="shared" si="0"/>
        <v>5373</v>
      </c>
      <c r="O31" s="73">
        <f t="shared" si="1"/>
        <v>5970</v>
      </c>
      <c r="P31" s="121">
        <f t="shared" si="2"/>
        <v>83.202799533411095</v>
      </c>
      <c r="Q31" s="74">
        <f t="shared" si="3"/>
        <v>0.1</v>
      </c>
      <c r="R31" s="75">
        <f t="shared" si="4"/>
        <v>597</v>
      </c>
      <c r="S31" s="74">
        <v>0.8</v>
      </c>
      <c r="T31" s="75">
        <f t="shared" si="5"/>
        <v>4776</v>
      </c>
      <c r="U31" s="76">
        <f t="shared" si="6"/>
        <v>9.999999999999995E-2</v>
      </c>
      <c r="V31" s="69">
        <f t="shared" si="7"/>
        <v>596.99999999999966</v>
      </c>
      <c r="W31" s="77">
        <f ca="1">V31*VLOOKUP(TODAY(),'UF HOY'!$A$2:$B$36,2,0)</f>
        <v>23721162.179999989</v>
      </c>
      <c r="X31" s="78">
        <f>Datos!$E$8</f>
        <v>28</v>
      </c>
      <c r="Y31" s="79">
        <f ca="1">IF((W31-3%*O31*VLOOKUP(TODAY(),'UF HOY'!$A$2:$B$36,2,0))/X31&gt;0,(W31-3%*O31*VLOOKUP(TODAY(),'UF HOY'!$A$2:$B$36,2,0))/X31,0)</f>
        <v>593029.05449999962</v>
      </c>
      <c r="Z31" s="78">
        <f>Datos!$E$8</f>
        <v>28</v>
      </c>
      <c r="AA31" s="79">
        <f ca="1">IF((W31-6%*O31*VLOOKUP(TODAY(),'UF HOY'!$A$2:$B$36,2,0))/Z31&gt;0,(W31-6%*O31*VLOOKUP(TODAY(),'UF HOY'!$A$2:$B$36,2,0))/Z31,0)</f>
        <v>338873.74542857101</v>
      </c>
      <c r="AB31" s="89">
        <f>IF(L31&gt;0,VLOOKUP(D31,Datos!$H$40:$J$45,3,0),VLOOKUP(D31,Datos!$H$40:$J$45,2,0))</f>
        <v>640000</v>
      </c>
      <c r="AC31" s="79">
        <f ca="1">(S31*PMT(Datos!$D$15,Datos!$D$13,-O31,,)*VLOOKUP(TODAY(),'UF HOY'!$A$2:$B$36,2,0)/12)+VLOOKUP(TODAY(),'UF HOY'!$A$2:$B$36,2,0)</f>
        <v>954265.38029003888</v>
      </c>
      <c r="AD31" s="79">
        <f t="shared" ca="1" si="8"/>
        <v>-314265.38029003888</v>
      </c>
      <c r="AE31" s="220">
        <f t="shared" ca="1" si="9"/>
        <v>3817061.5211601555</v>
      </c>
    </row>
    <row r="32" spans="1:31">
      <c r="A32" s="86" t="s">
        <v>4</v>
      </c>
      <c r="B32" s="86">
        <v>309</v>
      </c>
      <c r="C32" s="67" t="s">
        <v>122</v>
      </c>
      <c r="D32" s="67" t="s">
        <v>195</v>
      </c>
      <c r="E32" s="67"/>
      <c r="F32" s="66"/>
      <c r="G32" s="66"/>
      <c r="H32" s="67">
        <v>46.74</v>
      </c>
      <c r="I32" s="68">
        <v>53.980000000000004</v>
      </c>
      <c r="J32" s="69">
        <v>4590</v>
      </c>
      <c r="K32" s="70">
        <v>0</v>
      </c>
      <c r="L32" s="71">
        <v>380</v>
      </c>
      <c r="M32" s="71">
        <v>0</v>
      </c>
      <c r="N32" s="72">
        <f t="shared" si="0"/>
        <v>4473</v>
      </c>
      <c r="O32" s="73">
        <f t="shared" si="1"/>
        <v>4970</v>
      </c>
      <c r="P32" s="121">
        <f t="shared" si="2"/>
        <v>87.569533590072737</v>
      </c>
      <c r="Q32" s="74">
        <f t="shared" si="3"/>
        <v>0.1</v>
      </c>
      <c r="R32" s="75">
        <f t="shared" si="4"/>
        <v>497</v>
      </c>
      <c r="S32" s="74">
        <v>0.8</v>
      </c>
      <c r="T32" s="75">
        <f t="shared" si="5"/>
        <v>3976</v>
      </c>
      <c r="U32" s="76">
        <f t="shared" si="6"/>
        <v>9.999999999999995E-2</v>
      </c>
      <c r="V32" s="69">
        <f t="shared" si="7"/>
        <v>496.99999999999977</v>
      </c>
      <c r="W32" s="77">
        <f ca="1">V32*VLOOKUP(TODAY(),'UF HOY'!$A$2:$B$36,2,0)</f>
        <v>19747768.179999992</v>
      </c>
      <c r="X32" s="78">
        <f>Datos!$E$8</f>
        <v>28</v>
      </c>
      <c r="Y32" s="79">
        <f ca="1">IF((W32-3%*O32*VLOOKUP(TODAY(),'UF HOY'!$A$2:$B$36,2,0))/X32&gt;0,(W32-3%*O32*VLOOKUP(TODAY(),'UF HOY'!$A$2:$B$36,2,0))/X32,0)</f>
        <v>493694.2044999997</v>
      </c>
      <c r="Z32" s="78">
        <f>Datos!$E$8</f>
        <v>28</v>
      </c>
      <c r="AA32" s="79">
        <f ca="1">IF((W32-6%*O32*VLOOKUP(TODAY(),'UF HOY'!$A$2:$B$36,2,0))/Z32&gt;0,(W32-6%*O32*VLOOKUP(TODAY(),'UF HOY'!$A$2:$B$36,2,0))/Z32,0)</f>
        <v>282110.97399999975</v>
      </c>
      <c r="AB32" s="89">
        <f>IF(L32&gt;0,VLOOKUP(D32,Datos!$H$40:$J$45,3,0),VLOOKUP(D32,Datos!$H$40:$J$45,2,0))</f>
        <v>500000</v>
      </c>
      <c r="AC32" s="79">
        <f ca="1">(S32*PMT(Datos!$D$15,Datos!$D$13,-O32,,)*VLOOKUP(TODAY(),'UF HOY'!$A$2:$B$36,2,0)/12)+VLOOKUP(TODAY(),'UF HOY'!$A$2:$B$36,2,0)</f>
        <v>801077.53434530878</v>
      </c>
      <c r="AD32" s="79">
        <f t="shared" ca="1" si="8"/>
        <v>-301077.53434530878</v>
      </c>
      <c r="AE32" s="220">
        <f t="shared" ca="1" si="9"/>
        <v>3204310.1373812351</v>
      </c>
    </row>
    <row r="33" spans="1:31">
      <c r="A33" s="86" t="s">
        <v>4</v>
      </c>
      <c r="B33" s="86">
        <v>310</v>
      </c>
      <c r="C33" s="67" t="s">
        <v>122</v>
      </c>
      <c r="D33" s="67" t="s">
        <v>196</v>
      </c>
      <c r="E33" s="67"/>
      <c r="F33" s="66"/>
      <c r="G33" s="66"/>
      <c r="H33" s="67">
        <v>49.949999999999996</v>
      </c>
      <c r="I33" s="68">
        <v>53.32</v>
      </c>
      <c r="J33" s="69">
        <v>4590</v>
      </c>
      <c r="K33" s="70">
        <v>0</v>
      </c>
      <c r="L33" s="71">
        <v>380</v>
      </c>
      <c r="M33" s="71">
        <v>0</v>
      </c>
      <c r="N33" s="72">
        <f t="shared" si="0"/>
        <v>4473</v>
      </c>
      <c r="O33" s="73">
        <f t="shared" si="1"/>
        <v>4970</v>
      </c>
      <c r="P33" s="121">
        <f t="shared" si="2"/>
        <v>81.941941941941948</v>
      </c>
      <c r="Q33" s="74">
        <f t="shared" si="3"/>
        <v>0.1</v>
      </c>
      <c r="R33" s="75">
        <f t="shared" si="4"/>
        <v>497</v>
      </c>
      <c r="S33" s="74">
        <v>0.8</v>
      </c>
      <c r="T33" s="75">
        <f t="shared" si="5"/>
        <v>3976</v>
      </c>
      <c r="U33" s="76">
        <f t="shared" si="6"/>
        <v>9.999999999999995E-2</v>
      </c>
      <c r="V33" s="69">
        <f t="shared" si="7"/>
        <v>496.99999999999977</v>
      </c>
      <c r="W33" s="77">
        <f ca="1">V33*VLOOKUP(TODAY(),'UF HOY'!$A$2:$B$36,2,0)</f>
        <v>19747768.179999992</v>
      </c>
      <c r="X33" s="78">
        <f>Datos!$E$8</f>
        <v>28</v>
      </c>
      <c r="Y33" s="79">
        <f ca="1">IF((W33-3%*O33*VLOOKUP(TODAY(),'UF HOY'!$A$2:$B$36,2,0))/X33&gt;0,(W33-3%*O33*VLOOKUP(TODAY(),'UF HOY'!$A$2:$B$36,2,0))/X33,0)</f>
        <v>493694.2044999997</v>
      </c>
      <c r="Z33" s="78">
        <f>Datos!$E$8</f>
        <v>28</v>
      </c>
      <c r="AA33" s="79">
        <f ca="1">IF((W33-6%*O33*VLOOKUP(TODAY(),'UF HOY'!$A$2:$B$36,2,0))/Z33&gt;0,(W33-6%*O33*VLOOKUP(TODAY(),'UF HOY'!$A$2:$B$36,2,0))/Z33,0)</f>
        <v>282110.97399999975</v>
      </c>
      <c r="AB33" s="89">
        <f>IF(L33&gt;0,VLOOKUP(D33,Datos!$H$40:$J$45,3,0),VLOOKUP(D33,Datos!$H$40:$J$45,2,0))</f>
        <v>540000</v>
      </c>
      <c r="AC33" s="79">
        <f ca="1">(S33*PMT(Datos!$D$15,Datos!$D$13,-O33,,)*VLOOKUP(TODAY(),'UF HOY'!$A$2:$B$36,2,0)/12)+VLOOKUP(TODAY(),'UF HOY'!$A$2:$B$36,2,0)</f>
        <v>801077.53434530878</v>
      </c>
      <c r="AD33" s="79">
        <f t="shared" ca="1" si="8"/>
        <v>-261077.53434530878</v>
      </c>
      <c r="AE33" s="220">
        <f t="shared" ca="1" si="9"/>
        <v>3204310.1373812351</v>
      </c>
    </row>
    <row r="34" spans="1:31">
      <c r="A34" s="86" t="s">
        <v>4</v>
      </c>
      <c r="B34" s="86">
        <v>406</v>
      </c>
      <c r="C34" s="67" t="s">
        <v>122</v>
      </c>
      <c r="D34" s="67" t="s">
        <v>195</v>
      </c>
      <c r="E34" s="67"/>
      <c r="F34" s="66"/>
      <c r="G34" s="66"/>
      <c r="H34" s="67">
        <v>46.66</v>
      </c>
      <c r="I34" s="68">
        <v>53.82</v>
      </c>
      <c r="J34" s="69">
        <v>4590</v>
      </c>
      <c r="K34" s="70">
        <v>0</v>
      </c>
      <c r="L34" s="71">
        <v>380</v>
      </c>
      <c r="M34" s="71">
        <v>0</v>
      </c>
      <c r="N34" s="72">
        <f t="shared" ref="N34:N61" si="10">O34-R34</f>
        <v>4473</v>
      </c>
      <c r="O34" s="73">
        <f t="shared" ref="O34:O61" si="11">J34*(100%-K34)+L34+M34</f>
        <v>4970</v>
      </c>
      <c r="P34" s="121">
        <f t="shared" ref="P34:P61" si="12">(N34-L34-M34)/H34</f>
        <v>87.719674239177039</v>
      </c>
      <c r="Q34" s="74">
        <f t="shared" ref="Q34:Q61" si="13">R34/O34</f>
        <v>0.1</v>
      </c>
      <c r="R34" s="75">
        <f t="shared" ref="R34:R61" si="14">O34*0.1</f>
        <v>497</v>
      </c>
      <c r="S34" s="74">
        <v>0.8</v>
      </c>
      <c r="T34" s="75">
        <f t="shared" ref="T34:T61" si="15">S34*O34</f>
        <v>3976</v>
      </c>
      <c r="U34" s="76">
        <f t="shared" ref="U34:U61" si="16">100%-S34-Q34</f>
        <v>9.999999999999995E-2</v>
      </c>
      <c r="V34" s="69">
        <f t="shared" ref="V34:V61" si="17">O34*U34</f>
        <v>496.99999999999977</v>
      </c>
      <c r="W34" s="77">
        <f ca="1">V34*VLOOKUP(TODAY(),'UF HOY'!$A$2:$B$36,2,0)</f>
        <v>19747768.179999992</v>
      </c>
      <c r="X34" s="78">
        <f>Datos!$E$8</f>
        <v>28</v>
      </c>
      <c r="Y34" s="79">
        <f ca="1">IF((W34-3%*O34*VLOOKUP(TODAY(),'UF HOY'!$A$2:$B$36,2,0))/X34&gt;0,(W34-3%*O34*VLOOKUP(TODAY(),'UF HOY'!$A$2:$B$36,2,0))/X34,0)</f>
        <v>493694.2044999997</v>
      </c>
      <c r="Z34" s="78">
        <f>Datos!$E$8</f>
        <v>28</v>
      </c>
      <c r="AA34" s="79">
        <f ca="1">IF((W34-6%*O34*VLOOKUP(TODAY(),'UF HOY'!$A$2:$B$36,2,0))/Z34&gt;0,(W34-6%*O34*VLOOKUP(TODAY(),'UF HOY'!$A$2:$B$36,2,0))/Z34,0)</f>
        <v>282110.97399999975</v>
      </c>
      <c r="AB34" s="89">
        <f>IF(L34&gt;0,VLOOKUP(D34,Datos!$H$40:$J$45,3,0),VLOOKUP(D34,Datos!$H$40:$J$45,2,0))</f>
        <v>500000</v>
      </c>
      <c r="AC34" s="79">
        <f ca="1">(S34*PMT(Datos!$D$15,Datos!$D$13,-O34,,)*VLOOKUP(TODAY(),'UF HOY'!$A$2:$B$36,2,0)/12)+VLOOKUP(TODAY(),'UF HOY'!$A$2:$B$36,2,0)</f>
        <v>801077.53434530878</v>
      </c>
      <c r="AD34" s="79">
        <f t="shared" ref="AD34:AD61" ca="1" si="18">AB34-AC34</f>
        <v>-301077.53434530878</v>
      </c>
      <c r="AE34" s="220">
        <f t="shared" ca="1" si="9"/>
        <v>3204310.1373812351</v>
      </c>
    </row>
    <row r="35" spans="1:31">
      <c r="A35" s="86" t="s">
        <v>4</v>
      </c>
      <c r="B35" s="86">
        <v>407</v>
      </c>
      <c r="C35" s="67" t="s">
        <v>122</v>
      </c>
      <c r="D35" s="67" t="s">
        <v>195</v>
      </c>
      <c r="E35" s="67"/>
      <c r="F35" s="66"/>
      <c r="G35" s="66"/>
      <c r="H35" s="67">
        <v>47.185000000000002</v>
      </c>
      <c r="I35" s="68">
        <v>54.87</v>
      </c>
      <c r="J35" s="69">
        <v>4590</v>
      </c>
      <c r="K35" s="70">
        <v>0</v>
      </c>
      <c r="L35" s="71">
        <v>380</v>
      </c>
      <c r="M35" s="71">
        <v>0</v>
      </c>
      <c r="N35" s="72">
        <f t="shared" si="10"/>
        <v>4473</v>
      </c>
      <c r="O35" s="73">
        <f t="shared" si="11"/>
        <v>4970</v>
      </c>
      <c r="P35" s="121">
        <f t="shared" si="12"/>
        <v>86.743668538730518</v>
      </c>
      <c r="Q35" s="74">
        <f t="shared" si="13"/>
        <v>0.1</v>
      </c>
      <c r="R35" s="75">
        <f t="shared" si="14"/>
        <v>497</v>
      </c>
      <c r="S35" s="74">
        <v>0.8</v>
      </c>
      <c r="T35" s="75">
        <f t="shared" si="15"/>
        <v>3976</v>
      </c>
      <c r="U35" s="76">
        <f t="shared" si="16"/>
        <v>9.999999999999995E-2</v>
      </c>
      <c r="V35" s="69">
        <f t="shared" si="17"/>
        <v>496.99999999999977</v>
      </c>
      <c r="W35" s="77">
        <f ca="1">V35*VLOOKUP(TODAY(),'UF HOY'!$A$2:$B$36,2,0)</f>
        <v>19747768.179999992</v>
      </c>
      <c r="X35" s="78">
        <f>Datos!$E$8</f>
        <v>28</v>
      </c>
      <c r="Y35" s="79">
        <f ca="1">IF((W35-3%*O35*VLOOKUP(TODAY(),'UF HOY'!$A$2:$B$36,2,0))/X35&gt;0,(W35-3%*O35*VLOOKUP(TODAY(),'UF HOY'!$A$2:$B$36,2,0))/X35,0)</f>
        <v>493694.2044999997</v>
      </c>
      <c r="Z35" s="78">
        <f>Datos!$E$8</f>
        <v>28</v>
      </c>
      <c r="AA35" s="79">
        <f ca="1">IF((W35-6%*O35*VLOOKUP(TODAY(),'UF HOY'!$A$2:$B$36,2,0))/Z35&gt;0,(W35-6%*O35*VLOOKUP(TODAY(),'UF HOY'!$A$2:$B$36,2,0))/Z35,0)</f>
        <v>282110.97399999975</v>
      </c>
      <c r="AB35" s="89">
        <f>IF(L35&gt;0,VLOOKUP(D35,Datos!$H$40:$J$45,3,0),VLOOKUP(D35,Datos!$H$40:$J$45,2,0))</f>
        <v>500000</v>
      </c>
      <c r="AC35" s="79">
        <f ca="1">(S35*PMT(Datos!$D$15,Datos!$D$13,-O35,,)*VLOOKUP(TODAY(),'UF HOY'!$A$2:$B$36,2,0)/12)+VLOOKUP(TODAY(),'UF HOY'!$A$2:$B$36,2,0)</f>
        <v>801077.53434530878</v>
      </c>
      <c r="AD35" s="79">
        <f t="shared" ca="1" si="18"/>
        <v>-301077.53434530878</v>
      </c>
      <c r="AE35" s="220">
        <f t="shared" ca="1" si="9"/>
        <v>3204310.1373812351</v>
      </c>
    </row>
    <row r="36" spans="1:31">
      <c r="A36" s="86" t="s">
        <v>4</v>
      </c>
      <c r="B36" s="86">
        <v>408</v>
      </c>
      <c r="C36" s="67" t="s">
        <v>122</v>
      </c>
      <c r="D36" s="67" t="s">
        <v>195</v>
      </c>
      <c r="E36" s="67"/>
      <c r="F36" s="66"/>
      <c r="G36" s="66"/>
      <c r="H36" s="67">
        <v>47.21</v>
      </c>
      <c r="I36" s="68">
        <v>54.919999999999995</v>
      </c>
      <c r="J36" s="69">
        <v>4590</v>
      </c>
      <c r="K36" s="70">
        <v>0</v>
      </c>
      <c r="L36" s="71">
        <v>380</v>
      </c>
      <c r="M36" s="71">
        <v>0</v>
      </c>
      <c r="N36" s="72">
        <f t="shared" si="10"/>
        <v>4473</v>
      </c>
      <c r="O36" s="73">
        <f t="shared" si="11"/>
        <v>4970</v>
      </c>
      <c r="P36" s="121">
        <f t="shared" si="12"/>
        <v>86.69773353103156</v>
      </c>
      <c r="Q36" s="74">
        <f t="shared" si="13"/>
        <v>0.1</v>
      </c>
      <c r="R36" s="75">
        <f t="shared" si="14"/>
        <v>497</v>
      </c>
      <c r="S36" s="74">
        <v>0.8</v>
      </c>
      <c r="T36" s="75">
        <f t="shared" si="15"/>
        <v>3976</v>
      </c>
      <c r="U36" s="76">
        <f t="shared" si="16"/>
        <v>9.999999999999995E-2</v>
      </c>
      <c r="V36" s="69">
        <f t="shared" si="17"/>
        <v>496.99999999999977</v>
      </c>
      <c r="W36" s="77">
        <f ca="1">V36*VLOOKUP(TODAY(),'UF HOY'!$A$2:$B$36,2,0)</f>
        <v>19747768.179999992</v>
      </c>
      <c r="X36" s="78">
        <f>Datos!$E$8</f>
        <v>28</v>
      </c>
      <c r="Y36" s="79">
        <f ca="1">IF((W36-3%*O36*VLOOKUP(TODAY(),'UF HOY'!$A$2:$B$36,2,0))/X36&gt;0,(W36-3%*O36*VLOOKUP(TODAY(),'UF HOY'!$A$2:$B$36,2,0))/X36,0)</f>
        <v>493694.2044999997</v>
      </c>
      <c r="Z36" s="78">
        <f>Datos!$E$8</f>
        <v>28</v>
      </c>
      <c r="AA36" s="79">
        <f ca="1">IF((W36-6%*O36*VLOOKUP(TODAY(),'UF HOY'!$A$2:$B$36,2,0))/Z36&gt;0,(W36-6%*O36*VLOOKUP(TODAY(),'UF HOY'!$A$2:$B$36,2,0))/Z36,0)</f>
        <v>282110.97399999975</v>
      </c>
      <c r="AB36" s="89">
        <f>IF(L36&gt;0,VLOOKUP(D36,Datos!$H$40:$J$45,3,0),VLOOKUP(D36,Datos!$H$40:$J$45,2,0))</f>
        <v>500000</v>
      </c>
      <c r="AC36" s="79">
        <f ca="1">(S36*PMT(Datos!$D$15,Datos!$D$13,-O36,,)*VLOOKUP(TODAY(),'UF HOY'!$A$2:$B$36,2,0)/12)+VLOOKUP(TODAY(),'UF HOY'!$A$2:$B$36,2,0)</f>
        <v>801077.53434530878</v>
      </c>
      <c r="AD36" s="79">
        <f t="shared" ca="1" si="18"/>
        <v>-301077.53434530878</v>
      </c>
      <c r="AE36" s="220">
        <f t="shared" ca="1" si="9"/>
        <v>3204310.1373812351</v>
      </c>
    </row>
    <row r="37" spans="1:31">
      <c r="A37" s="86" t="s">
        <v>4</v>
      </c>
      <c r="B37" s="86">
        <v>409</v>
      </c>
      <c r="C37" s="67" t="s">
        <v>122</v>
      </c>
      <c r="D37" s="67" t="s">
        <v>195</v>
      </c>
      <c r="E37" s="67"/>
      <c r="F37" s="66"/>
      <c r="G37" s="66"/>
      <c r="H37" s="67">
        <v>46.74</v>
      </c>
      <c r="I37" s="68">
        <v>53.980000000000004</v>
      </c>
      <c r="J37" s="69">
        <v>4590</v>
      </c>
      <c r="K37" s="70">
        <v>0</v>
      </c>
      <c r="L37" s="71">
        <v>380</v>
      </c>
      <c r="M37" s="71">
        <v>0</v>
      </c>
      <c r="N37" s="72">
        <f t="shared" si="10"/>
        <v>4473</v>
      </c>
      <c r="O37" s="73">
        <f t="shared" si="11"/>
        <v>4970</v>
      </c>
      <c r="P37" s="121">
        <f t="shared" si="12"/>
        <v>87.569533590072737</v>
      </c>
      <c r="Q37" s="74">
        <f t="shared" si="13"/>
        <v>0.1</v>
      </c>
      <c r="R37" s="75">
        <f t="shared" si="14"/>
        <v>497</v>
      </c>
      <c r="S37" s="74">
        <v>0.8</v>
      </c>
      <c r="T37" s="75">
        <f t="shared" si="15"/>
        <v>3976</v>
      </c>
      <c r="U37" s="76">
        <f t="shared" si="16"/>
        <v>9.999999999999995E-2</v>
      </c>
      <c r="V37" s="69">
        <f t="shared" si="17"/>
        <v>496.99999999999977</v>
      </c>
      <c r="W37" s="77">
        <f ca="1">V37*VLOOKUP(TODAY(),'UF HOY'!$A$2:$B$36,2,0)</f>
        <v>19747768.179999992</v>
      </c>
      <c r="X37" s="78">
        <f>Datos!$E$8</f>
        <v>28</v>
      </c>
      <c r="Y37" s="79">
        <f ca="1">IF((W37-3%*O37*VLOOKUP(TODAY(),'UF HOY'!$A$2:$B$36,2,0))/X37&gt;0,(W37-3%*O37*VLOOKUP(TODAY(),'UF HOY'!$A$2:$B$36,2,0))/X37,0)</f>
        <v>493694.2044999997</v>
      </c>
      <c r="Z37" s="78">
        <f>Datos!$E$8</f>
        <v>28</v>
      </c>
      <c r="AA37" s="79">
        <f ca="1">IF((W37-6%*O37*VLOOKUP(TODAY(),'UF HOY'!$A$2:$B$36,2,0))/Z37&gt;0,(W37-6%*O37*VLOOKUP(TODAY(),'UF HOY'!$A$2:$B$36,2,0))/Z37,0)</f>
        <v>282110.97399999975</v>
      </c>
      <c r="AB37" s="89">
        <f>IF(L37&gt;0,VLOOKUP(D37,Datos!$H$40:$J$45,3,0),VLOOKUP(D37,Datos!$H$40:$J$45,2,0))</f>
        <v>500000</v>
      </c>
      <c r="AC37" s="79">
        <f ca="1">(S37*PMT(Datos!$D$15,Datos!$D$13,-O37,,)*VLOOKUP(TODAY(),'UF HOY'!$A$2:$B$36,2,0)/12)+VLOOKUP(TODAY(),'UF HOY'!$A$2:$B$36,2,0)</f>
        <v>801077.53434530878</v>
      </c>
      <c r="AD37" s="79">
        <f t="shared" ca="1" si="18"/>
        <v>-301077.53434530878</v>
      </c>
      <c r="AE37" s="220">
        <f t="shared" ca="1" si="9"/>
        <v>3204310.1373812351</v>
      </c>
    </row>
    <row r="38" spans="1:31">
      <c r="A38" s="86" t="s">
        <v>4</v>
      </c>
      <c r="B38" s="86">
        <v>506</v>
      </c>
      <c r="C38" s="67" t="s">
        <v>122</v>
      </c>
      <c r="D38" s="67" t="s">
        <v>195</v>
      </c>
      <c r="E38" s="67"/>
      <c r="F38" s="66"/>
      <c r="G38" s="66"/>
      <c r="H38" s="67">
        <v>47.429999999999993</v>
      </c>
      <c r="I38" s="68">
        <v>54.699999999999996</v>
      </c>
      <c r="J38" s="69">
        <v>4590</v>
      </c>
      <c r="K38" s="70">
        <v>0</v>
      </c>
      <c r="L38" s="71">
        <v>380</v>
      </c>
      <c r="M38" s="71">
        <v>0</v>
      </c>
      <c r="N38" s="72">
        <f t="shared" si="10"/>
        <v>4473</v>
      </c>
      <c r="O38" s="73">
        <f t="shared" si="11"/>
        <v>4970</v>
      </c>
      <c r="P38" s="121">
        <f t="shared" si="12"/>
        <v>86.295593506219703</v>
      </c>
      <c r="Q38" s="74">
        <f t="shared" si="13"/>
        <v>0.1</v>
      </c>
      <c r="R38" s="75">
        <f t="shared" si="14"/>
        <v>497</v>
      </c>
      <c r="S38" s="74">
        <v>0.8</v>
      </c>
      <c r="T38" s="75">
        <f t="shared" si="15"/>
        <v>3976</v>
      </c>
      <c r="U38" s="76">
        <f t="shared" si="16"/>
        <v>9.999999999999995E-2</v>
      </c>
      <c r="V38" s="69">
        <f t="shared" si="17"/>
        <v>496.99999999999977</v>
      </c>
      <c r="W38" s="77">
        <f ca="1">V38*VLOOKUP(TODAY(),'UF HOY'!$A$2:$B$36,2,0)</f>
        <v>19747768.179999992</v>
      </c>
      <c r="X38" s="78">
        <f>Datos!$E$8</f>
        <v>28</v>
      </c>
      <c r="Y38" s="79">
        <f ca="1">IF((W38-3%*O38*VLOOKUP(TODAY(),'UF HOY'!$A$2:$B$36,2,0))/X38&gt;0,(W38-3%*O38*VLOOKUP(TODAY(),'UF HOY'!$A$2:$B$36,2,0))/X38,0)</f>
        <v>493694.2044999997</v>
      </c>
      <c r="Z38" s="78">
        <f>Datos!$E$8</f>
        <v>28</v>
      </c>
      <c r="AA38" s="79">
        <f ca="1">IF((W38-6%*O38*VLOOKUP(TODAY(),'UF HOY'!$A$2:$B$36,2,0))/Z38&gt;0,(W38-6%*O38*VLOOKUP(TODAY(),'UF HOY'!$A$2:$B$36,2,0))/Z38,0)</f>
        <v>282110.97399999975</v>
      </c>
      <c r="AB38" s="89">
        <f>IF(L38&gt;0,VLOOKUP(D38,Datos!$H$40:$J$45,3,0),VLOOKUP(D38,Datos!$H$40:$J$45,2,0))</f>
        <v>500000</v>
      </c>
      <c r="AC38" s="79">
        <f ca="1">(S38*PMT(Datos!$D$15,Datos!$D$13,-O38,,)*VLOOKUP(TODAY(),'UF HOY'!$A$2:$B$36,2,0)/12)+VLOOKUP(TODAY(),'UF HOY'!$A$2:$B$36,2,0)</f>
        <v>801077.53434530878</v>
      </c>
      <c r="AD38" s="79">
        <f t="shared" ca="1" si="18"/>
        <v>-301077.53434530878</v>
      </c>
      <c r="AE38" s="220">
        <f t="shared" ca="1" si="9"/>
        <v>3204310.1373812351</v>
      </c>
    </row>
    <row r="39" spans="1:31" hidden="1">
      <c r="A39" s="86" t="s">
        <v>171</v>
      </c>
      <c r="B39" s="86">
        <v>312</v>
      </c>
      <c r="C39" s="67" t="s">
        <v>124</v>
      </c>
      <c r="D39" s="67" t="s">
        <v>195</v>
      </c>
      <c r="E39" s="67"/>
      <c r="F39" s="66"/>
      <c r="G39" s="66"/>
      <c r="H39" s="67">
        <v>43.125</v>
      </c>
      <c r="I39" s="68">
        <v>50.120000000000005</v>
      </c>
      <c r="J39" s="69">
        <v>4290</v>
      </c>
      <c r="K39" s="70">
        <v>0</v>
      </c>
      <c r="L39" s="71">
        <v>380</v>
      </c>
      <c r="M39" s="71">
        <v>0</v>
      </c>
      <c r="N39" s="72">
        <f t="shared" si="10"/>
        <v>4203</v>
      </c>
      <c r="O39" s="73">
        <f t="shared" si="11"/>
        <v>4670</v>
      </c>
      <c r="P39" s="121">
        <f t="shared" si="12"/>
        <v>88.649275362318846</v>
      </c>
      <c r="Q39" s="74">
        <f t="shared" si="13"/>
        <v>0.1</v>
      </c>
      <c r="R39" s="75">
        <f t="shared" si="14"/>
        <v>467</v>
      </c>
      <c r="S39" s="74">
        <v>0.8</v>
      </c>
      <c r="T39" s="75">
        <f t="shared" si="15"/>
        <v>3736</v>
      </c>
      <c r="U39" s="76">
        <f t="shared" si="16"/>
        <v>9.999999999999995E-2</v>
      </c>
      <c r="V39" s="69">
        <f t="shared" si="17"/>
        <v>466.99999999999977</v>
      </c>
      <c r="W39" s="77">
        <f ca="1">V39*VLOOKUP(TODAY(),'UF HOY'!$A$2:$B$36,2,0)</f>
        <v>18555749.979999993</v>
      </c>
      <c r="X39" s="78">
        <f>Datos!$E$8</f>
        <v>28</v>
      </c>
      <c r="Y39" s="79">
        <f ca="1">IF((W39-3%*O39*VLOOKUP(TODAY(),'UF HOY'!$A$2:$B$36,2,0))/X39&gt;0,(W39-3%*O39*VLOOKUP(TODAY(),'UF HOY'!$A$2:$B$36,2,0))/X39,0)</f>
        <v>463893.7494999998</v>
      </c>
      <c r="Z39" s="78">
        <f>Datos!$E$8</f>
        <v>28</v>
      </c>
      <c r="AA39" s="79">
        <f ca="1">IF((W39-6%*O39*VLOOKUP(TODAY(),'UF HOY'!$A$2:$B$36,2,0))/Z39&gt;0,(W39-6%*O39*VLOOKUP(TODAY(),'UF HOY'!$A$2:$B$36,2,0))/Z39,0)</f>
        <v>265082.14257142833</v>
      </c>
      <c r="AB39" s="89">
        <f>IF(L39&gt;0,VLOOKUP(D39,Datos!$H$40:$J$45,3,0),VLOOKUP(D39,Datos!$H$40:$J$45,2,0))</f>
        <v>500000</v>
      </c>
      <c r="AC39" s="79">
        <f ca="1">(S39*PMT(Datos!$D$15,Datos!$D$13,-O39,,)*VLOOKUP(TODAY(),'UF HOY'!$A$2:$B$36,2,0)/12)+VLOOKUP(TODAY(),'UF HOY'!$A$2:$B$36,2,0)</f>
        <v>755121.18056188966</v>
      </c>
      <c r="AD39" s="79">
        <f t="shared" ca="1" si="18"/>
        <v>-255121.18056188966</v>
      </c>
      <c r="AE39" s="220">
        <f t="shared" ca="1" si="9"/>
        <v>3020484.7222475586</v>
      </c>
    </row>
    <row r="40" spans="1:31">
      <c r="A40" s="86" t="s">
        <v>4</v>
      </c>
      <c r="B40" s="86">
        <v>507</v>
      </c>
      <c r="C40" s="67" t="s">
        <v>122</v>
      </c>
      <c r="D40" s="67" t="s">
        <v>195</v>
      </c>
      <c r="E40" s="67"/>
      <c r="F40" s="66"/>
      <c r="G40" s="66"/>
      <c r="H40" s="67">
        <v>47.185000000000002</v>
      </c>
      <c r="I40" s="68">
        <v>54.87</v>
      </c>
      <c r="J40" s="69">
        <v>4590</v>
      </c>
      <c r="K40" s="70">
        <v>0</v>
      </c>
      <c r="L40" s="71">
        <v>380</v>
      </c>
      <c r="M40" s="71">
        <v>0</v>
      </c>
      <c r="N40" s="72">
        <f t="shared" si="10"/>
        <v>4473</v>
      </c>
      <c r="O40" s="73">
        <f t="shared" si="11"/>
        <v>4970</v>
      </c>
      <c r="P40" s="121">
        <f t="shared" si="12"/>
        <v>86.743668538730518</v>
      </c>
      <c r="Q40" s="74">
        <f t="shared" si="13"/>
        <v>0.1</v>
      </c>
      <c r="R40" s="75">
        <f t="shared" si="14"/>
        <v>497</v>
      </c>
      <c r="S40" s="74">
        <v>0.8</v>
      </c>
      <c r="T40" s="75">
        <f t="shared" si="15"/>
        <v>3976</v>
      </c>
      <c r="U40" s="76">
        <f t="shared" si="16"/>
        <v>9.999999999999995E-2</v>
      </c>
      <c r="V40" s="69">
        <f t="shared" si="17"/>
        <v>496.99999999999977</v>
      </c>
      <c r="W40" s="77">
        <f ca="1">V40*VLOOKUP(TODAY(),'UF HOY'!$A$2:$B$36,2,0)</f>
        <v>19747768.179999992</v>
      </c>
      <c r="X40" s="78">
        <f>Datos!$E$8</f>
        <v>28</v>
      </c>
      <c r="Y40" s="79">
        <f ca="1">IF((W40-3%*O40*VLOOKUP(TODAY(),'UF HOY'!$A$2:$B$36,2,0))/X40&gt;0,(W40-3%*O40*VLOOKUP(TODAY(),'UF HOY'!$A$2:$B$36,2,0))/X40,0)</f>
        <v>493694.2044999997</v>
      </c>
      <c r="Z40" s="78">
        <f>Datos!$E$8</f>
        <v>28</v>
      </c>
      <c r="AA40" s="79">
        <f ca="1">IF((W40-6%*O40*VLOOKUP(TODAY(),'UF HOY'!$A$2:$B$36,2,0))/Z40&gt;0,(W40-6%*O40*VLOOKUP(TODAY(),'UF HOY'!$A$2:$B$36,2,0))/Z40,0)</f>
        <v>282110.97399999975</v>
      </c>
      <c r="AB40" s="89">
        <f>IF(L40&gt;0,VLOOKUP(D40,Datos!$H$40:$J$45,3,0),VLOOKUP(D40,Datos!$H$40:$J$45,2,0))</f>
        <v>500000</v>
      </c>
      <c r="AC40" s="79">
        <f ca="1">(S40*PMT(Datos!$D$15,Datos!$D$13,-O40,,)*VLOOKUP(TODAY(),'UF HOY'!$A$2:$B$36,2,0)/12)+VLOOKUP(TODAY(),'UF HOY'!$A$2:$B$36,2,0)</f>
        <v>801077.53434530878</v>
      </c>
      <c r="AD40" s="79">
        <f t="shared" ca="1" si="18"/>
        <v>-301077.53434530878</v>
      </c>
      <c r="AE40" s="220">
        <f t="shared" ca="1" si="9"/>
        <v>3204310.1373812351</v>
      </c>
    </row>
    <row r="41" spans="1:31" hidden="1">
      <c r="A41" s="86" t="s">
        <v>171</v>
      </c>
      <c r="B41" s="86">
        <v>401</v>
      </c>
      <c r="C41" s="67" t="s">
        <v>124</v>
      </c>
      <c r="D41" s="67" t="s">
        <v>194</v>
      </c>
      <c r="E41" s="67"/>
      <c r="F41" s="66"/>
      <c r="G41" s="66"/>
      <c r="H41" s="67">
        <v>62.96</v>
      </c>
      <c r="I41" s="68">
        <v>70.81</v>
      </c>
      <c r="J41" s="69">
        <v>5590</v>
      </c>
      <c r="K41" s="70">
        <v>0</v>
      </c>
      <c r="L41" s="71">
        <v>380</v>
      </c>
      <c r="M41" s="71">
        <v>0</v>
      </c>
      <c r="N41" s="72">
        <f t="shared" si="10"/>
        <v>5373</v>
      </c>
      <c r="O41" s="73">
        <f t="shared" si="11"/>
        <v>5970</v>
      </c>
      <c r="P41" s="121">
        <f t="shared" si="12"/>
        <v>79.304320203303689</v>
      </c>
      <c r="Q41" s="74">
        <f t="shared" si="13"/>
        <v>0.1</v>
      </c>
      <c r="R41" s="75">
        <f t="shared" si="14"/>
        <v>597</v>
      </c>
      <c r="S41" s="74">
        <v>0.8</v>
      </c>
      <c r="T41" s="75">
        <f t="shared" si="15"/>
        <v>4776</v>
      </c>
      <c r="U41" s="76">
        <f t="shared" si="16"/>
        <v>9.999999999999995E-2</v>
      </c>
      <c r="V41" s="69">
        <f t="shared" si="17"/>
        <v>596.99999999999966</v>
      </c>
      <c r="W41" s="77">
        <f ca="1">V41*VLOOKUP(TODAY(),'UF HOY'!$A$2:$B$36,2,0)</f>
        <v>23721162.179999989</v>
      </c>
      <c r="X41" s="78">
        <f>Datos!$E$8</f>
        <v>28</v>
      </c>
      <c r="Y41" s="79">
        <f ca="1">IF((W41-3%*O41*VLOOKUP(TODAY(),'UF HOY'!$A$2:$B$36,2,0))/X41&gt;0,(W41-3%*O41*VLOOKUP(TODAY(),'UF HOY'!$A$2:$B$36,2,0))/X41,0)</f>
        <v>593029.05449999962</v>
      </c>
      <c r="Z41" s="78">
        <f>Datos!$E$8</f>
        <v>28</v>
      </c>
      <c r="AA41" s="79">
        <f ca="1">IF((W41-6%*O41*VLOOKUP(TODAY(),'UF HOY'!$A$2:$B$36,2,0))/Z41&gt;0,(W41-6%*O41*VLOOKUP(TODAY(),'UF HOY'!$A$2:$B$36,2,0))/Z41,0)</f>
        <v>338873.74542857101</v>
      </c>
      <c r="AB41" s="89">
        <f>IF(L41&gt;0,VLOOKUP(D41,Datos!$H$40:$J$45,3,0),VLOOKUP(D41,Datos!$H$40:$J$45,2,0))</f>
        <v>640000</v>
      </c>
      <c r="AC41" s="79">
        <f ca="1">(S41*PMT(Datos!$D$15,Datos!$D$13,-O41,,)*VLOOKUP(TODAY(),'UF HOY'!$A$2:$B$36,2,0)/12)+VLOOKUP(TODAY(),'UF HOY'!$A$2:$B$36,2,0)</f>
        <v>954265.38029003888</v>
      </c>
      <c r="AD41" s="79">
        <f t="shared" ca="1" si="18"/>
        <v>-314265.38029003888</v>
      </c>
      <c r="AE41" s="220">
        <f t="shared" ca="1" si="9"/>
        <v>3817061.5211601555</v>
      </c>
    </row>
    <row r="42" spans="1:31">
      <c r="A42" s="86" t="s">
        <v>4</v>
      </c>
      <c r="B42" s="86">
        <v>508</v>
      </c>
      <c r="C42" s="67" t="s">
        <v>122</v>
      </c>
      <c r="D42" s="67" t="s">
        <v>195</v>
      </c>
      <c r="E42" s="67"/>
      <c r="F42" s="66"/>
      <c r="G42" s="66"/>
      <c r="H42" s="67">
        <v>47.21</v>
      </c>
      <c r="I42" s="68">
        <v>54.919999999999995</v>
      </c>
      <c r="J42" s="69">
        <v>4590</v>
      </c>
      <c r="K42" s="70">
        <v>0</v>
      </c>
      <c r="L42" s="71">
        <v>380</v>
      </c>
      <c r="M42" s="71">
        <v>0</v>
      </c>
      <c r="N42" s="72">
        <f t="shared" si="10"/>
        <v>4473</v>
      </c>
      <c r="O42" s="73">
        <f t="shared" si="11"/>
        <v>4970</v>
      </c>
      <c r="P42" s="121">
        <f t="shared" si="12"/>
        <v>86.69773353103156</v>
      </c>
      <c r="Q42" s="74">
        <f t="shared" si="13"/>
        <v>0.1</v>
      </c>
      <c r="R42" s="75">
        <f t="shared" si="14"/>
        <v>497</v>
      </c>
      <c r="S42" s="74">
        <v>0.8</v>
      </c>
      <c r="T42" s="75">
        <f t="shared" si="15"/>
        <v>3976</v>
      </c>
      <c r="U42" s="76">
        <f t="shared" si="16"/>
        <v>9.999999999999995E-2</v>
      </c>
      <c r="V42" s="69">
        <f t="shared" si="17"/>
        <v>496.99999999999977</v>
      </c>
      <c r="W42" s="77">
        <f ca="1">V42*VLOOKUP(TODAY(),'UF HOY'!$A$2:$B$36,2,0)</f>
        <v>19747768.179999992</v>
      </c>
      <c r="X42" s="78">
        <f>Datos!$E$8</f>
        <v>28</v>
      </c>
      <c r="Y42" s="79">
        <f ca="1">IF((W42-3%*O42*VLOOKUP(TODAY(),'UF HOY'!$A$2:$B$36,2,0))/X42&gt;0,(W42-3%*O42*VLOOKUP(TODAY(),'UF HOY'!$A$2:$B$36,2,0))/X42,0)</f>
        <v>493694.2044999997</v>
      </c>
      <c r="Z42" s="78">
        <f>Datos!$E$8</f>
        <v>28</v>
      </c>
      <c r="AA42" s="79">
        <f ca="1">IF((W42-6%*O42*VLOOKUP(TODAY(),'UF HOY'!$A$2:$B$36,2,0))/Z42&gt;0,(W42-6%*O42*VLOOKUP(TODAY(),'UF HOY'!$A$2:$B$36,2,0))/Z42,0)</f>
        <v>282110.97399999975</v>
      </c>
      <c r="AB42" s="89">
        <f>IF(L42&gt;0,VLOOKUP(D42,Datos!$H$40:$J$45,3,0),VLOOKUP(D42,Datos!$H$40:$J$45,2,0))</f>
        <v>500000</v>
      </c>
      <c r="AC42" s="79">
        <f ca="1">(S42*PMT(Datos!$D$15,Datos!$D$13,-O42,,)*VLOOKUP(TODAY(),'UF HOY'!$A$2:$B$36,2,0)/12)+VLOOKUP(TODAY(),'UF HOY'!$A$2:$B$36,2,0)</f>
        <v>801077.53434530878</v>
      </c>
      <c r="AD42" s="79">
        <f t="shared" ca="1" si="18"/>
        <v>-301077.53434530878</v>
      </c>
      <c r="AE42" s="220">
        <f t="shared" ca="1" si="9"/>
        <v>3204310.1373812351</v>
      </c>
    </row>
    <row r="43" spans="1:31">
      <c r="A43" s="86" t="s">
        <v>4</v>
      </c>
      <c r="B43" s="86">
        <v>509</v>
      </c>
      <c r="C43" s="67" t="s">
        <v>122</v>
      </c>
      <c r="D43" s="67" t="s">
        <v>195</v>
      </c>
      <c r="E43" s="67"/>
      <c r="F43" s="66"/>
      <c r="G43" s="66"/>
      <c r="H43" s="67">
        <v>46.74</v>
      </c>
      <c r="I43" s="68">
        <v>53.980000000000004</v>
      </c>
      <c r="J43" s="69">
        <v>4590</v>
      </c>
      <c r="K43" s="70">
        <v>0</v>
      </c>
      <c r="L43" s="71">
        <v>380</v>
      </c>
      <c r="M43" s="71">
        <v>0</v>
      </c>
      <c r="N43" s="72">
        <f t="shared" si="10"/>
        <v>4473</v>
      </c>
      <c r="O43" s="73">
        <f t="shared" si="11"/>
        <v>4970</v>
      </c>
      <c r="P43" s="121">
        <f t="shared" si="12"/>
        <v>87.569533590072737</v>
      </c>
      <c r="Q43" s="74">
        <f t="shared" si="13"/>
        <v>0.1</v>
      </c>
      <c r="R43" s="75">
        <f t="shared" si="14"/>
        <v>497</v>
      </c>
      <c r="S43" s="74">
        <v>0.8</v>
      </c>
      <c r="T43" s="75">
        <f t="shared" si="15"/>
        <v>3976</v>
      </c>
      <c r="U43" s="76">
        <f t="shared" si="16"/>
        <v>9.999999999999995E-2</v>
      </c>
      <c r="V43" s="69">
        <f t="shared" si="17"/>
        <v>496.99999999999977</v>
      </c>
      <c r="W43" s="77">
        <f ca="1">V43*VLOOKUP(TODAY(),'UF HOY'!$A$2:$B$36,2,0)</f>
        <v>19747768.179999992</v>
      </c>
      <c r="X43" s="78">
        <f>Datos!$E$8</f>
        <v>28</v>
      </c>
      <c r="Y43" s="79">
        <f ca="1">IF((W43-3%*O43*VLOOKUP(TODAY(),'UF HOY'!$A$2:$B$36,2,0))/X43&gt;0,(W43-3%*O43*VLOOKUP(TODAY(),'UF HOY'!$A$2:$B$36,2,0))/X43,0)</f>
        <v>493694.2044999997</v>
      </c>
      <c r="Z43" s="78">
        <f>Datos!$E$8</f>
        <v>28</v>
      </c>
      <c r="AA43" s="79">
        <f ca="1">IF((W43-6%*O43*VLOOKUP(TODAY(),'UF HOY'!$A$2:$B$36,2,0))/Z43&gt;0,(W43-6%*O43*VLOOKUP(TODAY(),'UF HOY'!$A$2:$B$36,2,0))/Z43,0)</f>
        <v>282110.97399999975</v>
      </c>
      <c r="AB43" s="89">
        <f>IF(L43&gt;0,VLOOKUP(D43,Datos!$H$40:$J$45,3,0),VLOOKUP(D43,Datos!$H$40:$J$45,2,0))</f>
        <v>500000</v>
      </c>
      <c r="AC43" s="79">
        <f ca="1">(S43*PMT(Datos!$D$15,Datos!$D$13,-O43,,)*VLOOKUP(TODAY(),'UF HOY'!$A$2:$B$36,2,0)/12)+VLOOKUP(TODAY(),'UF HOY'!$A$2:$B$36,2,0)</f>
        <v>801077.53434530878</v>
      </c>
      <c r="AD43" s="79">
        <f t="shared" ca="1" si="18"/>
        <v>-301077.53434530878</v>
      </c>
      <c r="AE43" s="220">
        <f t="shared" ca="1" si="9"/>
        <v>3204310.1373812351</v>
      </c>
    </row>
    <row r="44" spans="1:31">
      <c r="A44" s="86" t="s">
        <v>4</v>
      </c>
      <c r="B44" s="86">
        <v>211</v>
      </c>
      <c r="C44" s="67" t="s">
        <v>124</v>
      </c>
      <c r="D44" s="67" t="s">
        <v>196</v>
      </c>
      <c r="E44" s="67"/>
      <c r="F44" s="66"/>
      <c r="G44" s="66"/>
      <c r="H44" s="67">
        <v>50.76</v>
      </c>
      <c r="I44" s="68">
        <v>53.88</v>
      </c>
      <c r="J44" s="69">
        <v>4690</v>
      </c>
      <c r="K44" s="70">
        <v>0</v>
      </c>
      <c r="L44" s="71">
        <v>380</v>
      </c>
      <c r="M44" s="71">
        <v>0</v>
      </c>
      <c r="N44" s="72">
        <f t="shared" si="10"/>
        <v>4563</v>
      </c>
      <c r="O44" s="73">
        <f t="shared" si="11"/>
        <v>5070</v>
      </c>
      <c r="P44" s="121">
        <f t="shared" si="12"/>
        <v>82.407407407407405</v>
      </c>
      <c r="Q44" s="74">
        <f t="shared" si="13"/>
        <v>0.1</v>
      </c>
      <c r="R44" s="75">
        <f t="shared" si="14"/>
        <v>507</v>
      </c>
      <c r="S44" s="74">
        <v>0.8</v>
      </c>
      <c r="T44" s="75">
        <f t="shared" si="15"/>
        <v>4056</v>
      </c>
      <c r="U44" s="76">
        <f t="shared" si="16"/>
        <v>9.999999999999995E-2</v>
      </c>
      <c r="V44" s="69">
        <f t="shared" si="17"/>
        <v>506.99999999999977</v>
      </c>
      <c r="W44" s="77">
        <f ca="1">V44*VLOOKUP(TODAY(),'UF HOY'!$A$2:$B$36,2,0)</f>
        <v>20145107.579999991</v>
      </c>
      <c r="X44" s="78">
        <f>Datos!$E$8</f>
        <v>28</v>
      </c>
      <c r="Y44" s="79">
        <f ca="1">IF((W44-3%*O44*VLOOKUP(TODAY(),'UF HOY'!$A$2:$B$36,2,0))/X44&gt;0,(W44-3%*O44*VLOOKUP(TODAY(),'UF HOY'!$A$2:$B$36,2,0))/X44,0)</f>
        <v>503627.68949999969</v>
      </c>
      <c r="Z44" s="78">
        <f>Datos!$E$8</f>
        <v>28</v>
      </c>
      <c r="AA44" s="79">
        <f ca="1">IF((W44-6%*O44*VLOOKUP(TODAY(),'UF HOY'!$A$2:$B$36,2,0))/Z44&gt;0,(W44-6%*O44*VLOOKUP(TODAY(),'UF HOY'!$A$2:$B$36,2,0))/Z44,0)</f>
        <v>287787.25114285678</v>
      </c>
      <c r="AB44" s="89">
        <f>IF(L44&gt;0,VLOOKUP(D44,Datos!$H$40:$J$45,3,0),VLOOKUP(D44,Datos!$H$40:$J$45,2,0))</f>
        <v>540000</v>
      </c>
      <c r="AC44" s="79">
        <f ca="1">(S44*PMT(Datos!$D$15,Datos!$D$13,-O44,,)*VLOOKUP(TODAY(),'UF HOY'!$A$2:$B$36,2,0)/12)+VLOOKUP(TODAY(),'UF HOY'!$A$2:$B$36,2,0)</f>
        <v>816396.31893978175</v>
      </c>
      <c r="AD44" s="79">
        <f t="shared" ca="1" si="18"/>
        <v>-276396.31893978175</v>
      </c>
      <c r="AE44" s="220">
        <f t="shared" ca="1" si="9"/>
        <v>3265585.275759127</v>
      </c>
    </row>
    <row r="45" spans="1:31">
      <c r="A45" s="86" t="s">
        <v>4</v>
      </c>
      <c r="B45" s="86">
        <v>311</v>
      </c>
      <c r="C45" s="67" t="s">
        <v>124</v>
      </c>
      <c r="D45" s="67" t="s">
        <v>196</v>
      </c>
      <c r="E45" s="67"/>
      <c r="F45" s="66"/>
      <c r="G45" s="66"/>
      <c r="H45" s="67">
        <v>50.76</v>
      </c>
      <c r="I45" s="68">
        <v>53.88</v>
      </c>
      <c r="J45" s="69">
        <v>4690</v>
      </c>
      <c r="K45" s="70">
        <v>0</v>
      </c>
      <c r="L45" s="71">
        <v>380</v>
      </c>
      <c r="M45" s="71">
        <v>0</v>
      </c>
      <c r="N45" s="72">
        <f t="shared" si="10"/>
        <v>4563</v>
      </c>
      <c r="O45" s="73">
        <f t="shared" si="11"/>
        <v>5070</v>
      </c>
      <c r="P45" s="121">
        <f t="shared" si="12"/>
        <v>82.407407407407405</v>
      </c>
      <c r="Q45" s="74">
        <f t="shared" si="13"/>
        <v>0.1</v>
      </c>
      <c r="R45" s="75">
        <f t="shared" si="14"/>
        <v>507</v>
      </c>
      <c r="S45" s="74">
        <v>0.8</v>
      </c>
      <c r="T45" s="75">
        <f t="shared" si="15"/>
        <v>4056</v>
      </c>
      <c r="U45" s="76">
        <f t="shared" si="16"/>
        <v>9.999999999999995E-2</v>
      </c>
      <c r="V45" s="69">
        <f t="shared" si="17"/>
        <v>506.99999999999977</v>
      </c>
      <c r="W45" s="77">
        <f ca="1">V45*VLOOKUP(TODAY(),'UF HOY'!$A$2:$B$36,2,0)</f>
        <v>20145107.579999991</v>
      </c>
      <c r="X45" s="78">
        <f>Datos!$E$8</f>
        <v>28</v>
      </c>
      <c r="Y45" s="79">
        <f ca="1">IF((W45-3%*O45*VLOOKUP(TODAY(),'UF HOY'!$A$2:$B$36,2,0))/X45&gt;0,(W45-3%*O45*VLOOKUP(TODAY(),'UF HOY'!$A$2:$B$36,2,0))/X45,0)</f>
        <v>503627.68949999969</v>
      </c>
      <c r="Z45" s="78">
        <f>Datos!$E$8</f>
        <v>28</v>
      </c>
      <c r="AA45" s="79">
        <f ca="1">IF((W45-6%*O45*VLOOKUP(TODAY(),'UF HOY'!$A$2:$B$36,2,0))/Z45&gt;0,(W45-6%*O45*VLOOKUP(TODAY(),'UF HOY'!$A$2:$B$36,2,0))/Z45,0)</f>
        <v>287787.25114285678</v>
      </c>
      <c r="AB45" s="89">
        <f>IF(L45&gt;0,VLOOKUP(D45,Datos!$H$40:$J$45,3,0),VLOOKUP(D45,Datos!$H$40:$J$45,2,0))</f>
        <v>540000</v>
      </c>
      <c r="AC45" s="79">
        <f ca="1">(S45*PMT(Datos!$D$15,Datos!$D$13,-O45,,)*VLOOKUP(TODAY(),'UF HOY'!$A$2:$B$36,2,0)/12)+VLOOKUP(TODAY(),'UF HOY'!$A$2:$B$36,2,0)</f>
        <v>816396.31893978175</v>
      </c>
      <c r="AD45" s="79">
        <f t="shared" ca="1" si="18"/>
        <v>-276396.31893978175</v>
      </c>
      <c r="AE45" s="220">
        <f t="shared" ca="1" si="9"/>
        <v>3265585.275759127</v>
      </c>
    </row>
    <row r="46" spans="1:31">
      <c r="A46" s="86" t="s">
        <v>4</v>
      </c>
      <c r="B46" s="86">
        <v>511</v>
      </c>
      <c r="C46" s="67" t="s">
        <v>124</v>
      </c>
      <c r="D46" s="67" t="s">
        <v>196</v>
      </c>
      <c r="E46" s="67"/>
      <c r="F46" s="66"/>
      <c r="G46" s="66"/>
      <c r="H46" s="67">
        <v>50.76</v>
      </c>
      <c r="I46" s="68">
        <v>53.88</v>
      </c>
      <c r="J46" s="69">
        <v>4690</v>
      </c>
      <c r="K46" s="70">
        <v>0</v>
      </c>
      <c r="L46" s="71">
        <v>380</v>
      </c>
      <c r="M46" s="71">
        <v>0</v>
      </c>
      <c r="N46" s="72">
        <f t="shared" si="10"/>
        <v>4563</v>
      </c>
      <c r="O46" s="73">
        <f t="shared" si="11"/>
        <v>5070</v>
      </c>
      <c r="P46" s="121">
        <f t="shared" si="12"/>
        <v>82.407407407407405</v>
      </c>
      <c r="Q46" s="74">
        <f t="shared" si="13"/>
        <v>0.1</v>
      </c>
      <c r="R46" s="75">
        <f t="shared" si="14"/>
        <v>507</v>
      </c>
      <c r="S46" s="74">
        <v>0.8</v>
      </c>
      <c r="T46" s="75">
        <f t="shared" si="15"/>
        <v>4056</v>
      </c>
      <c r="U46" s="76">
        <f t="shared" si="16"/>
        <v>9.999999999999995E-2</v>
      </c>
      <c r="V46" s="69">
        <f t="shared" si="17"/>
        <v>506.99999999999977</v>
      </c>
      <c r="W46" s="77">
        <f ca="1">V46*VLOOKUP(TODAY(),'UF HOY'!$A$2:$B$36,2,0)</f>
        <v>20145107.579999991</v>
      </c>
      <c r="X46" s="78">
        <f>Datos!$E$8</f>
        <v>28</v>
      </c>
      <c r="Y46" s="79">
        <f ca="1">IF((W46-3%*O46*VLOOKUP(TODAY(),'UF HOY'!$A$2:$B$36,2,0))/X46&gt;0,(W46-3%*O46*VLOOKUP(TODAY(),'UF HOY'!$A$2:$B$36,2,0))/X46,0)</f>
        <v>503627.68949999969</v>
      </c>
      <c r="Z46" s="78">
        <f>Datos!$E$8</f>
        <v>28</v>
      </c>
      <c r="AA46" s="79">
        <f ca="1">IF((W46-6%*O46*VLOOKUP(TODAY(),'UF HOY'!$A$2:$B$36,2,0))/Z46&gt;0,(W46-6%*O46*VLOOKUP(TODAY(),'UF HOY'!$A$2:$B$36,2,0))/Z46,0)</f>
        <v>287787.25114285678</v>
      </c>
      <c r="AB46" s="89">
        <f>IF(L46&gt;0,VLOOKUP(D46,Datos!$H$40:$J$45,3,0),VLOOKUP(D46,Datos!$H$40:$J$45,2,0))</f>
        <v>540000</v>
      </c>
      <c r="AC46" s="79">
        <f ca="1">(S46*PMT(Datos!$D$15,Datos!$D$13,-O46,,)*VLOOKUP(TODAY(),'UF HOY'!$A$2:$B$36,2,0)/12)+VLOOKUP(TODAY(),'UF HOY'!$A$2:$B$36,2,0)</f>
        <v>816396.31893978175</v>
      </c>
      <c r="AD46" s="79">
        <f t="shared" ca="1" si="18"/>
        <v>-276396.31893978175</v>
      </c>
      <c r="AE46" s="220">
        <f t="shared" ca="1" si="9"/>
        <v>3265585.275759127</v>
      </c>
    </row>
    <row r="47" spans="1:31">
      <c r="A47" s="86" t="s">
        <v>4</v>
      </c>
      <c r="B47" s="86">
        <v>103</v>
      </c>
      <c r="C47" s="67" t="s">
        <v>121</v>
      </c>
      <c r="D47" s="67" t="s">
        <v>194</v>
      </c>
      <c r="E47" s="67"/>
      <c r="F47" s="66"/>
      <c r="G47" s="66"/>
      <c r="H47" s="67">
        <v>60.01</v>
      </c>
      <c r="I47" s="68">
        <v>66.81</v>
      </c>
      <c r="J47" s="69">
        <v>5490</v>
      </c>
      <c r="K47" s="70">
        <v>0</v>
      </c>
      <c r="L47" s="71">
        <v>380</v>
      </c>
      <c r="M47" s="71">
        <v>0</v>
      </c>
      <c r="N47" s="72">
        <f t="shared" si="10"/>
        <v>5283</v>
      </c>
      <c r="O47" s="73">
        <f t="shared" si="11"/>
        <v>5870</v>
      </c>
      <c r="P47" s="121">
        <f t="shared" si="12"/>
        <v>81.703049491751372</v>
      </c>
      <c r="Q47" s="74">
        <f t="shared" si="13"/>
        <v>0.1</v>
      </c>
      <c r="R47" s="75">
        <f t="shared" si="14"/>
        <v>587</v>
      </c>
      <c r="S47" s="74">
        <v>0.8</v>
      </c>
      <c r="T47" s="75">
        <f t="shared" si="15"/>
        <v>4696</v>
      </c>
      <c r="U47" s="76">
        <f t="shared" si="16"/>
        <v>9.999999999999995E-2</v>
      </c>
      <c r="V47" s="69">
        <f t="shared" si="17"/>
        <v>586.99999999999966</v>
      </c>
      <c r="W47" s="77">
        <f ca="1">V47*VLOOKUP(TODAY(),'UF HOY'!$A$2:$B$36,2,0)</f>
        <v>23323822.779999986</v>
      </c>
      <c r="X47" s="78">
        <f>Datos!$E$8</f>
        <v>28</v>
      </c>
      <c r="Y47" s="79">
        <f ca="1">IF((W47-3%*O47*VLOOKUP(TODAY(),'UF HOY'!$A$2:$B$36,2,0))/X47&gt;0,(W47-3%*O47*VLOOKUP(TODAY(),'UF HOY'!$A$2:$B$36,2,0))/X47,0)</f>
        <v>583095.56949999952</v>
      </c>
      <c r="Z47" s="78">
        <f>Datos!$E$8</f>
        <v>28</v>
      </c>
      <c r="AA47" s="79">
        <f ca="1">IF((W47-6%*O47*VLOOKUP(TODAY(),'UF HOY'!$A$2:$B$36,2,0))/Z47&gt;0,(W47-6%*O47*VLOOKUP(TODAY(),'UF HOY'!$A$2:$B$36,2,0))/Z47,0)</f>
        <v>333197.46828571381</v>
      </c>
      <c r="AB47" s="89">
        <f>IF(L47&gt;0,VLOOKUP(D47,Datos!$H$40:$J$45,3,0),VLOOKUP(D47,Datos!$H$40:$J$45,2,0))</f>
        <v>640000</v>
      </c>
      <c r="AC47" s="79">
        <f ca="1">(S47*PMT(Datos!$D$15,Datos!$D$13,-O47,,)*VLOOKUP(TODAY(),'UF HOY'!$A$2:$B$36,2,0)/12)+VLOOKUP(TODAY(),'UF HOY'!$A$2:$B$36,2,0)</f>
        <v>938946.59569556569</v>
      </c>
      <c r="AD47" s="79">
        <f t="shared" ca="1" si="18"/>
        <v>-298946.59569556569</v>
      </c>
      <c r="AE47" s="220">
        <f t="shared" ca="1" si="9"/>
        <v>3755786.3827822627</v>
      </c>
    </row>
    <row r="48" spans="1:31">
      <c r="A48" s="86" t="s">
        <v>4</v>
      </c>
      <c r="B48" s="86">
        <v>104</v>
      </c>
      <c r="C48" s="67" t="s">
        <v>121</v>
      </c>
      <c r="D48" s="67" t="s">
        <v>194</v>
      </c>
      <c r="E48" s="67"/>
      <c r="F48" s="66"/>
      <c r="G48" s="66"/>
      <c r="H48" s="67">
        <v>60.01</v>
      </c>
      <c r="I48" s="68">
        <v>66.81</v>
      </c>
      <c r="J48" s="69">
        <v>5490</v>
      </c>
      <c r="K48" s="70">
        <v>0</v>
      </c>
      <c r="L48" s="71">
        <v>380</v>
      </c>
      <c r="M48" s="71">
        <v>0</v>
      </c>
      <c r="N48" s="72">
        <f t="shared" si="10"/>
        <v>5283</v>
      </c>
      <c r="O48" s="73">
        <f t="shared" si="11"/>
        <v>5870</v>
      </c>
      <c r="P48" s="121">
        <f t="shared" si="12"/>
        <v>81.703049491751372</v>
      </c>
      <c r="Q48" s="74">
        <f t="shared" si="13"/>
        <v>0.1</v>
      </c>
      <c r="R48" s="75">
        <f t="shared" si="14"/>
        <v>587</v>
      </c>
      <c r="S48" s="74">
        <v>0.8</v>
      </c>
      <c r="T48" s="75">
        <f t="shared" si="15"/>
        <v>4696</v>
      </c>
      <c r="U48" s="76">
        <f t="shared" si="16"/>
        <v>9.999999999999995E-2</v>
      </c>
      <c r="V48" s="69">
        <f t="shared" si="17"/>
        <v>586.99999999999966</v>
      </c>
      <c r="W48" s="77">
        <f ca="1">V48*VLOOKUP(TODAY(),'UF HOY'!$A$2:$B$36,2,0)</f>
        <v>23323822.779999986</v>
      </c>
      <c r="X48" s="78">
        <f>Datos!$E$8</f>
        <v>28</v>
      </c>
      <c r="Y48" s="79">
        <f ca="1">IF((W48-3%*O48*VLOOKUP(TODAY(),'UF HOY'!$A$2:$B$36,2,0))/X48&gt;0,(W48-3%*O48*VLOOKUP(TODAY(),'UF HOY'!$A$2:$B$36,2,0))/X48,0)</f>
        <v>583095.56949999952</v>
      </c>
      <c r="Z48" s="78">
        <f>Datos!$E$8</f>
        <v>28</v>
      </c>
      <c r="AA48" s="79">
        <f ca="1">IF((W48-6%*O48*VLOOKUP(TODAY(),'UF HOY'!$A$2:$B$36,2,0))/Z48&gt;0,(W48-6%*O48*VLOOKUP(TODAY(),'UF HOY'!$A$2:$B$36,2,0))/Z48,0)</f>
        <v>333197.46828571381</v>
      </c>
      <c r="AB48" s="89">
        <f>IF(L48&gt;0,VLOOKUP(D48,Datos!$H$40:$J$45,3,0),VLOOKUP(D48,Datos!$H$40:$J$45,2,0))</f>
        <v>640000</v>
      </c>
      <c r="AC48" s="79">
        <f ca="1">(S48*PMT(Datos!$D$15,Datos!$D$13,-O48,,)*VLOOKUP(TODAY(),'UF HOY'!$A$2:$B$36,2,0)/12)+VLOOKUP(TODAY(),'UF HOY'!$A$2:$B$36,2,0)</f>
        <v>938946.59569556569</v>
      </c>
      <c r="AD48" s="79">
        <f t="shared" ca="1" si="18"/>
        <v>-298946.59569556569</v>
      </c>
      <c r="AE48" s="220">
        <f t="shared" ca="1" si="9"/>
        <v>3755786.3827822627</v>
      </c>
    </row>
    <row r="49" spans="1:31" hidden="1">
      <c r="A49" s="86" t="s">
        <v>171</v>
      </c>
      <c r="B49" s="86">
        <v>410</v>
      </c>
      <c r="C49" s="67" t="s">
        <v>122</v>
      </c>
      <c r="D49" s="67" t="s">
        <v>196</v>
      </c>
      <c r="E49" s="67"/>
      <c r="F49" s="66"/>
      <c r="G49" s="66"/>
      <c r="H49" s="67">
        <v>49.949999999999996</v>
      </c>
      <c r="I49" s="68">
        <v>53.32</v>
      </c>
      <c r="J49" s="69">
        <v>4590</v>
      </c>
      <c r="K49" s="70">
        <v>0</v>
      </c>
      <c r="L49" s="71">
        <v>380</v>
      </c>
      <c r="M49" s="71">
        <v>0</v>
      </c>
      <c r="N49" s="72">
        <f t="shared" si="10"/>
        <v>4473</v>
      </c>
      <c r="O49" s="73">
        <f t="shared" si="11"/>
        <v>4970</v>
      </c>
      <c r="P49" s="121">
        <f t="shared" si="12"/>
        <v>81.941941941941948</v>
      </c>
      <c r="Q49" s="74">
        <f t="shared" si="13"/>
        <v>0.1</v>
      </c>
      <c r="R49" s="75">
        <f t="shared" si="14"/>
        <v>497</v>
      </c>
      <c r="S49" s="74">
        <v>0.8</v>
      </c>
      <c r="T49" s="75">
        <f t="shared" si="15"/>
        <v>3976</v>
      </c>
      <c r="U49" s="76">
        <f t="shared" si="16"/>
        <v>9.999999999999995E-2</v>
      </c>
      <c r="V49" s="69">
        <f t="shared" si="17"/>
        <v>496.99999999999977</v>
      </c>
      <c r="W49" s="77">
        <f ca="1">V49*VLOOKUP(TODAY(),'UF HOY'!$A$2:$B$36,2,0)</f>
        <v>19747768.179999992</v>
      </c>
      <c r="X49" s="78">
        <f>Datos!$E$8</f>
        <v>28</v>
      </c>
      <c r="Y49" s="79">
        <f ca="1">IF((W49-3%*O49*VLOOKUP(TODAY(),'UF HOY'!$A$2:$B$36,2,0))/X49&gt;0,(W49-3%*O49*VLOOKUP(TODAY(),'UF HOY'!$A$2:$B$36,2,0))/X49,0)</f>
        <v>493694.2044999997</v>
      </c>
      <c r="Z49" s="78">
        <f>Datos!$E$8</f>
        <v>28</v>
      </c>
      <c r="AA49" s="79">
        <f ca="1">IF((W49-6%*O49*VLOOKUP(TODAY(),'UF HOY'!$A$2:$B$36,2,0))/Z49&gt;0,(W49-6%*O49*VLOOKUP(TODAY(),'UF HOY'!$A$2:$B$36,2,0))/Z49,0)</f>
        <v>282110.97399999975</v>
      </c>
      <c r="AB49" s="89">
        <f>IF(L49&gt;0,VLOOKUP(D49,Datos!$H$40:$J$45,3,0),VLOOKUP(D49,Datos!$H$40:$J$45,2,0))</f>
        <v>540000</v>
      </c>
      <c r="AC49" s="79">
        <f ca="1">(S49*PMT(Datos!$D$15,Datos!$D$13,-O49,,)*VLOOKUP(TODAY(),'UF HOY'!$A$2:$B$36,2,0)/12)+VLOOKUP(TODAY(),'UF HOY'!$A$2:$B$36,2,0)</f>
        <v>801077.53434530878</v>
      </c>
      <c r="AD49" s="79">
        <f t="shared" ca="1" si="18"/>
        <v>-261077.53434530878</v>
      </c>
      <c r="AE49" s="220">
        <f t="shared" ca="1" si="9"/>
        <v>3204310.1373812351</v>
      </c>
    </row>
    <row r="50" spans="1:31" hidden="1">
      <c r="A50" s="86" t="s">
        <v>171</v>
      </c>
      <c r="B50" s="86">
        <v>411</v>
      </c>
      <c r="C50" s="67" t="s">
        <v>124</v>
      </c>
      <c r="D50" s="67" t="s">
        <v>196</v>
      </c>
      <c r="E50" s="67"/>
      <c r="F50" s="66"/>
      <c r="G50" s="66"/>
      <c r="H50" s="67">
        <v>50.76</v>
      </c>
      <c r="I50" s="68">
        <v>53.88</v>
      </c>
      <c r="J50" s="69">
        <v>4690</v>
      </c>
      <c r="K50" s="70">
        <v>0</v>
      </c>
      <c r="L50" s="71">
        <v>380</v>
      </c>
      <c r="M50" s="71">
        <v>0</v>
      </c>
      <c r="N50" s="72">
        <f t="shared" si="10"/>
        <v>4563</v>
      </c>
      <c r="O50" s="73">
        <f t="shared" si="11"/>
        <v>5070</v>
      </c>
      <c r="P50" s="121">
        <f t="shared" si="12"/>
        <v>82.407407407407405</v>
      </c>
      <c r="Q50" s="74">
        <f t="shared" si="13"/>
        <v>0.1</v>
      </c>
      <c r="R50" s="75">
        <f t="shared" si="14"/>
        <v>507</v>
      </c>
      <c r="S50" s="74">
        <v>0.8</v>
      </c>
      <c r="T50" s="75">
        <f t="shared" si="15"/>
        <v>4056</v>
      </c>
      <c r="U50" s="76">
        <f t="shared" si="16"/>
        <v>9.999999999999995E-2</v>
      </c>
      <c r="V50" s="69">
        <f t="shared" si="17"/>
        <v>506.99999999999977</v>
      </c>
      <c r="W50" s="77">
        <f ca="1">V50*VLOOKUP(TODAY(),'UF HOY'!$A$2:$B$36,2,0)</f>
        <v>20145107.579999991</v>
      </c>
      <c r="X50" s="78">
        <f>Datos!$E$8</f>
        <v>28</v>
      </c>
      <c r="Y50" s="79">
        <f ca="1">IF((W50-3%*O50*VLOOKUP(TODAY(),'UF HOY'!$A$2:$B$36,2,0))/X50&gt;0,(W50-3%*O50*VLOOKUP(TODAY(),'UF HOY'!$A$2:$B$36,2,0))/X50,0)</f>
        <v>503627.68949999969</v>
      </c>
      <c r="Z50" s="78">
        <f>Datos!$E$8</f>
        <v>28</v>
      </c>
      <c r="AA50" s="79">
        <f ca="1">IF((W50-6%*O50*VLOOKUP(TODAY(),'UF HOY'!$A$2:$B$36,2,0))/Z50&gt;0,(W50-6%*O50*VLOOKUP(TODAY(),'UF HOY'!$A$2:$B$36,2,0))/Z50,0)</f>
        <v>287787.25114285678</v>
      </c>
      <c r="AB50" s="89">
        <f>IF(L50&gt;0,VLOOKUP(D50,Datos!$H$40:$J$45,3,0),VLOOKUP(D50,Datos!$H$40:$J$45,2,0))</f>
        <v>540000</v>
      </c>
      <c r="AC50" s="79">
        <f ca="1">(S50*PMT(Datos!$D$15,Datos!$D$13,-O50,,)*VLOOKUP(TODAY(),'UF HOY'!$A$2:$B$36,2,0)/12)+VLOOKUP(TODAY(),'UF HOY'!$A$2:$B$36,2,0)</f>
        <v>816396.31893978175</v>
      </c>
      <c r="AD50" s="79">
        <f t="shared" ca="1" si="18"/>
        <v>-276396.31893978175</v>
      </c>
      <c r="AE50" s="220">
        <f t="shared" ca="1" si="9"/>
        <v>3265585.275759127</v>
      </c>
    </row>
    <row r="51" spans="1:31" hidden="1">
      <c r="A51" s="86" t="s">
        <v>171</v>
      </c>
      <c r="B51" s="86">
        <v>412</v>
      </c>
      <c r="C51" s="67" t="s">
        <v>124</v>
      </c>
      <c r="D51" s="67" t="s">
        <v>195</v>
      </c>
      <c r="E51" s="67"/>
      <c r="F51" s="66"/>
      <c r="G51" s="66"/>
      <c r="H51" s="67">
        <v>43.125</v>
      </c>
      <c r="I51" s="68">
        <v>50.120000000000005</v>
      </c>
      <c r="J51" s="69">
        <v>4290</v>
      </c>
      <c r="K51" s="70">
        <v>0</v>
      </c>
      <c r="L51" s="71">
        <v>380</v>
      </c>
      <c r="M51" s="71">
        <v>0</v>
      </c>
      <c r="N51" s="72">
        <f t="shared" si="10"/>
        <v>4203</v>
      </c>
      <c r="O51" s="73">
        <f t="shared" si="11"/>
        <v>4670</v>
      </c>
      <c r="P51" s="121">
        <f t="shared" si="12"/>
        <v>88.649275362318846</v>
      </c>
      <c r="Q51" s="74">
        <f t="shared" si="13"/>
        <v>0.1</v>
      </c>
      <c r="R51" s="75">
        <f t="shared" si="14"/>
        <v>467</v>
      </c>
      <c r="S51" s="74">
        <v>0.8</v>
      </c>
      <c r="T51" s="75">
        <f t="shared" si="15"/>
        <v>3736</v>
      </c>
      <c r="U51" s="76">
        <f t="shared" si="16"/>
        <v>9.999999999999995E-2</v>
      </c>
      <c r="V51" s="69">
        <f t="shared" si="17"/>
        <v>466.99999999999977</v>
      </c>
      <c r="W51" s="77">
        <f ca="1">V51*VLOOKUP(TODAY(),'UF HOY'!$A$2:$B$36,2,0)</f>
        <v>18555749.979999993</v>
      </c>
      <c r="X51" s="78">
        <f>Datos!$E$8</f>
        <v>28</v>
      </c>
      <c r="Y51" s="79">
        <f ca="1">IF((W51-3%*O51*VLOOKUP(TODAY(),'UF HOY'!$A$2:$B$36,2,0))/X51&gt;0,(W51-3%*O51*VLOOKUP(TODAY(),'UF HOY'!$A$2:$B$36,2,0))/X51,0)</f>
        <v>463893.7494999998</v>
      </c>
      <c r="Z51" s="78">
        <f>Datos!$E$8</f>
        <v>28</v>
      </c>
      <c r="AA51" s="79">
        <f ca="1">IF((W51-6%*O51*VLOOKUP(TODAY(),'UF HOY'!$A$2:$B$36,2,0))/Z51&gt;0,(W51-6%*O51*VLOOKUP(TODAY(),'UF HOY'!$A$2:$B$36,2,0))/Z51,0)</f>
        <v>265082.14257142833</v>
      </c>
      <c r="AB51" s="89">
        <f>IF(L51&gt;0,VLOOKUP(D51,Datos!$H$40:$J$45,3,0),VLOOKUP(D51,Datos!$H$40:$J$45,2,0))</f>
        <v>500000</v>
      </c>
      <c r="AC51" s="79">
        <f ca="1">(S51*PMT(Datos!$D$15,Datos!$D$13,-O51,,)*VLOOKUP(TODAY(),'UF HOY'!$A$2:$B$36,2,0)/12)+VLOOKUP(TODAY(),'UF HOY'!$A$2:$B$36,2,0)</f>
        <v>755121.18056188966</v>
      </c>
      <c r="AD51" s="79">
        <f t="shared" ca="1" si="18"/>
        <v>-255121.18056188966</v>
      </c>
      <c r="AE51" s="220">
        <f t="shared" ca="1" si="9"/>
        <v>3020484.7222475586</v>
      </c>
    </row>
    <row r="52" spans="1:31">
      <c r="A52" s="86" t="s">
        <v>4</v>
      </c>
      <c r="B52" s="86">
        <v>203</v>
      </c>
      <c r="C52" s="67" t="s">
        <v>121</v>
      </c>
      <c r="D52" s="67" t="s">
        <v>194</v>
      </c>
      <c r="E52" s="67"/>
      <c r="F52" s="66"/>
      <c r="G52" s="66"/>
      <c r="H52" s="67">
        <v>60.01</v>
      </c>
      <c r="I52" s="68">
        <v>66.81</v>
      </c>
      <c r="J52" s="69">
        <v>5590</v>
      </c>
      <c r="K52" s="70">
        <v>0</v>
      </c>
      <c r="L52" s="71">
        <v>380</v>
      </c>
      <c r="M52" s="71">
        <v>0</v>
      </c>
      <c r="N52" s="72">
        <f t="shared" si="10"/>
        <v>5373</v>
      </c>
      <c r="O52" s="73">
        <f t="shared" si="11"/>
        <v>5970</v>
      </c>
      <c r="P52" s="121">
        <f t="shared" si="12"/>
        <v>83.202799533411095</v>
      </c>
      <c r="Q52" s="74">
        <f t="shared" si="13"/>
        <v>0.1</v>
      </c>
      <c r="R52" s="75">
        <f t="shared" si="14"/>
        <v>597</v>
      </c>
      <c r="S52" s="74">
        <v>0.8</v>
      </c>
      <c r="T52" s="75">
        <f t="shared" si="15"/>
        <v>4776</v>
      </c>
      <c r="U52" s="76">
        <f t="shared" si="16"/>
        <v>9.999999999999995E-2</v>
      </c>
      <c r="V52" s="69">
        <f t="shared" si="17"/>
        <v>596.99999999999966</v>
      </c>
      <c r="W52" s="77">
        <f ca="1">V52*VLOOKUP(TODAY(),'UF HOY'!$A$2:$B$36,2,0)</f>
        <v>23721162.179999989</v>
      </c>
      <c r="X52" s="78">
        <f>Datos!$E$8</f>
        <v>28</v>
      </c>
      <c r="Y52" s="79">
        <f ca="1">IF((W52-3%*O52*VLOOKUP(TODAY(),'UF HOY'!$A$2:$B$36,2,0))/X52&gt;0,(W52-3%*O52*VLOOKUP(TODAY(),'UF HOY'!$A$2:$B$36,2,0))/X52,0)</f>
        <v>593029.05449999962</v>
      </c>
      <c r="Z52" s="78">
        <f>Datos!$E$8</f>
        <v>28</v>
      </c>
      <c r="AA52" s="79">
        <f ca="1">IF((W52-6%*O52*VLOOKUP(TODAY(),'UF HOY'!$A$2:$B$36,2,0))/Z52&gt;0,(W52-6%*O52*VLOOKUP(TODAY(),'UF HOY'!$A$2:$B$36,2,0))/Z52,0)</f>
        <v>338873.74542857101</v>
      </c>
      <c r="AB52" s="89">
        <f>IF(L52&gt;0,VLOOKUP(D52,Datos!$H$40:$J$45,3,0),VLOOKUP(D52,Datos!$H$40:$J$45,2,0))</f>
        <v>640000</v>
      </c>
      <c r="AC52" s="79">
        <f ca="1">(S52*PMT(Datos!$D$15,Datos!$D$13,-O52,,)*VLOOKUP(TODAY(),'UF HOY'!$A$2:$B$36,2,0)/12)+VLOOKUP(TODAY(),'UF HOY'!$A$2:$B$36,2,0)</f>
        <v>954265.38029003888</v>
      </c>
      <c r="AD52" s="79">
        <f t="shared" ca="1" si="18"/>
        <v>-314265.38029003888</v>
      </c>
      <c r="AE52" s="220">
        <f t="shared" ca="1" si="9"/>
        <v>3817061.5211601555</v>
      </c>
    </row>
    <row r="53" spans="1:31">
      <c r="A53" s="86" t="s">
        <v>4</v>
      </c>
      <c r="B53" s="86">
        <v>204</v>
      </c>
      <c r="C53" s="67" t="s">
        <v>121</v>
      </c>
      <c r="D53" s="67" t="s">
        <v>194</v>
      </c>
      <c r="E53" s="67"/>
      <c r="F53" s="66"/>
      <c r="G53" s="66"/>
      <c r="H53" s="67">
        <v>60.01</v>
      </c>
      <c r="I53" s="68">
        <v>66.81</v>
      </c>
      <c r="J53" s="69">
        <v>5590</v>
      </c>
      <c r="K53" s="70">
        <v>0</v>
      </c>
      <c r="L53" s="71">
        <v>380</v>
      </c>
      <c r="M53" s="71">
        <v>0</v>
      </c>
      <c r="N53" s="72">
        <f t="shared" si="10"/>
        <v>5373</v>
      </c>
      <c r="O53" s="73">
        <f t="shared" si="11"/>
        <v>5970</v>
      </c>
      <c r="P53" s="121">
        <f t="shared" si="12"/>
        <v>83.202799533411095</v>
      </c>
      <c r="Q53" s="74">
        <f t="shared" si="13"/>
        <v>0.1</v>
      </c>
      <c r="R53" s="75">
        <f t="shared" si="14"/>
        <v>597</v>
      </c>
      <c r="S53" s="74">
        <v>0.8</v>
      </c>
      <c r="T53" s="75">
        <f t="shared" si="15"/>
        <v>4776</v>
      </c>
      <c r="U53" s="76">
        <f t="shared" si="16"/>
        <v>9.999999999999995E-2</v>
      </c>
      <c r="V53" s="69">
        <f t="shared" si="17"/>
        <v>596.99999999999966</v>
      </c>
      <c r="W53" s="77">
        <f ca="1">V53*VLOOKUP(TODAY(),'UF HOY'!$A$2:$B$36,2,0)</f>
        <v>23721162.179999989</v>
      </c>
      <c r="X53" s="78">
        <f>Datos!$E$8</f>
        <v>28</v>
      </c>
      <c r="Y53" s="79">
        <f ca="1">IF((W53-3%*O53*VLOOKUP(TODAY(),'UF HOY'!$A$2:$B$36,2,0))/X53&gt;0,(W53-3%*O53*VLOOKUP(TODAY(),'UF HOY'!$A$2:$B$36,2,0))/X53,0)</f>
        <v>593029.05449999962</v>
      </c>
      <c r="Z53" s="78">
        <f>Datos!$E$8</f>
        <v>28</v>
      </c>
      <c r="AA53" s="79">
        <f ca="1">IF((W53-6%*O53*VLOOKUP(TODAY(),'UF HOY'!$A$2:$B$36,2,0))/Z53&gt;0,(W53-6%*O53*VLOOKUP(TODAY(),'UF HOY'!$A$2:$B$36,2,0))/Z53,0)</f>
        <v>338873.74542857101</v>
      </c>
      <c r="AB53" s="89">
        <f>IF(L53&gt;0,VLOOKUP(D53,Datos!$H$40:$J$45,3,0),VLOOKUP(D53,Datos!$H$40:$J$45,2,0))</f>
        <v>640000</v>
      </c>
      <c r="AC53" s="79">
        <f ca="1">(S53*PMT(Datos!$D$15,Datos!$D$13,-O53,,)*VLOOKUP(TODAY(),'UF HOY'!$A$2:$B$36,2,0)/12)+VLOOKUP(TODAY(),'UF HOY'!$A$2:$B$36,2,0)</f>
        <v>954265.38029003888</v>
      </c>
      <c r="AD53" s="79">
        <f t="shared" ca="1" si="18"/>
        <v>-314265.38029003888</v>
      </c>
      <c r="AE53" s="220">
        <f t="shared" ca="1" si="9"/>
        <v>3817061.5211601555</v>
      </c>
    </row>
    <row r="54" spans="1:31">
      <c r="A54" s="86" t="s">
        <v>4</v>
      </c>
      <c r="B54" s="86">
        <v>102</v>
      </c>
      <c r="C54" s="67" t="s">
        <v>124</v>
      </c>
      <c r="D54" s="67" t="s">
        <v>194</v>
      </c>
      <c r="E54" s="67"/>
      <c r="F54" s="66"/>
      <c r="G54" s="66"/>
      <c r="H54" s="67">
        <v>67.285000000000011</v>
      </c>
      <c r="I54" s="68">
        <v>76.12</v>
      </c>
      <c r="J54" s="69">
        <v>5890</v>
      </c>
      <c r="K54" s="70">
        <v>0</v>
      </c>
      <c r="L54" s="71">
        <v>380</v>
      </c>
      <c r="M54" s="71">
        <v>0</v>
      </c>
      <c r="N54" s="72">
        <f t="shared" si="10"/>
        <v>5643</v>
      </c>
      <c r="O54" s="73">
        <f t="shared" si="11"/>
        <v>6270</v>
      </c>
      <c r="P54" s="121">
        <f t="shared" si="12"/>
        <v>78.21951400757969</v>
      </c>
      <c r="Q54" s="74">
        <f t="shared" si="13"/>
        <v>0.1</v>
      </c>
      <c r="R54" s="75">
        <f t="shared" si="14"/>
        <v>627</v>
      </c>
      <c r="S54" s="74">
        <v>0.8</v>
      </c>
      <c r="T54" s="75">
        <f t="shared" si="15"/>
        <v>5016</v>
      </c>
      <c r="U54" s="76">
        <f t="shared" si="16"/>
        <v>9.999999999999995E-2</v>
      </c>
      <c r="V54" s="69">
        <f t="shared" si="17"/>
        <v>626.99999999999966</v>
      </c>
      <c r="W54" s="77">
        <f ca="1">V54*VLOOKUP(TODAY(),'UF HOY'!$A$2:$B$36,2,0)</f>
        <v>24913180.379999988</v>
      </c>
      <c r="X54" s="78">
        <f>Datos!$E$8</f>
        <v>28</v>
      </c>
      <c r="Y54" s="79">
        <f ca="1">IF((W54-3%*O54*VLOOKUP(TODAY(),'UF HOY'!$A$2:$B$36,2,0))/X54&gt;0,(W54-3%*O54*VLOOKUP(TODAY(),'UF HOY'!$A$2:$B$36,2,0))/X54,0)</f>
        <v>622829.50949999958</v>
      </c>
      <c r="Z54" s="78">
        <f>Datos!$E$8</f>
        <v>28</v>
      </c>
      <c r="AA54" s="79">
        <f ca="1">IF((W54-6%*O54*VLOOKUP(TODAY(),'UF HOY'!$A$2:$B$36,2,0))/Z54&gt;0,(W54-6%*O54*VLOOKUP(TODAY(),'UF HOY'!$A$2:$B$36,2,0))/Z54,0)</f>
        <v>355902.57685714244</v>
      </c>
      <c r="AB54" s="89">
        <f>IF(L54&gt;0,VLOOKUP(D54,Datos!$H$40:$J$45,3,0),VLOOKUP(D54,Datos!$H$40:$J$45,2,0))</f>
        <v>640000</v>
      </c>
      <c r="AC54" s="79">
        <f ca="1">(S54*PMT(Datos!$D$15,Datos!$D$13,-O54,,)*VLOOKUP(TODAY(),'UF HOY'!$A$2:$B$36,2,0)/12)+VLOOKUP(TODAY(),'UF HOY'!$A$2:$B$36,2,0)</f>
        <v>1000221.734073458</v>
      </c>
      <c r="AD54" s="79">
        <f t="shared" ca="1" si="18"/>
        <v>-360221.73407345801</v>
      </c>
      <c r="AE54" s="220">
        <f t="shared" ca="1" si="9"/>
        <v>4000886.936293832</v>
      </c>
    </row>
    <row r="55" spans="1:31">
      <c r="A55" s="86" t="s">
        <v>4</v>
      </c>
      <c r="B55" s="86">
        <v>202</v>
      </c>
      <c r="C55" s="67" t="s">
        <v>124</v>
      </c>
      <c r="D55" s="67" t="s">
        <v>194</v>
      </c>
      <c r="E55" s="67"/>
      <c r="F55" s="66"/>
      <c r="G55" s="66"/>
      <c r="H55" s="67">
        <v>67.285000000000011</v>
      </c>
      <c r="I55" s="68">
        <v>76.12</v>
      </c>
      <c r="J55" s="69">
        <v>5990</v>
      </c>
      <c r="K55" s="70">
        <v>0</v>
      </c>
      <c r="L55" s="71">
        <v>380</v>
      </c>
      <c r="M55" s="71">
        <v>0</v>
      </c>
      <c r="N55" s="72">
        <f t="shared" si="10"/>
        <v>5733</v>
      </c>
      <c r="O55" s="73">
        <f t="shared" si="11"/>
        <v>6370</v>
      </c>
      <c r="P55" s="121">
        <f t="shared" si="12"/>
        <v>79.557107824923818</v>
      </c>
      <c r="Q55" s="74">
        <f t="shared" si="13"/>
        <v>0.1</v>
      </c>
      <c r="R55" s="75">
        <f t="shared" si="14"/>
        <v>637</v>
      </c>
      <c r="S55" s="74">
        <v>0.8</v>
      </c>
      <c r="T55" s="75">
        <f t="shared" si="15"/>
        <v>5096</v>
      </c>
      <c r="U55" s="76">
        <f t="shared" si="16"/>
        <v>9.999999999999995E-2</v>
      </c>
      <c r="V55" s="69">
        <f t="shared" si="17"/>
        <v>636.99999999999966</v>
      </c>
      <c r="W55" s="77">
        <f ca="1">V55*VLOOKUP(TODAY(),'UF HOY'!$A$2:$B$36,2,0)</f>
        <v>25310519.779999986</v>
      </c>
      <c r="X55" s="78">
        <f>Datos!$E$8</f>
        <v>28</v>
      </c>
      <c r="Y55" s="79">
        <f ca="1">IF((W55-3%*O55*VLOOKUP(TODAY(),'UF HOY'!$A$2:$B$36,2,0))/X55&gt;0,(W55-3%*O55*VLOOKUP(TODAY(),'UF HOY'!$A$2:$B$36,2,0))/X55,0)</f>
        <v>632762.99449999945</v>
      </c>
      <c r="Z55" s="78">
        <f>Datos!$E$8</f>
        <v>28</v>
      </c>
      <c r="AA55" s="79">
        <f ca="1">IF((W55-6%*O55*VLOOKUP(TODAY(),'UF HOY'!$A$2:$B$36,2,0))/Z55&gt;0,(W55-6%*O55*VLOOKUP(TODAY(),'UF HOY'!$A$2:$B$36,2,0))/Z55,0)</f>
        <v>361578.85399999947</v>
      </c>
      <c r="AB55" s="89">
        <f>IF(L55&gt;0,VLOOKUP(D55,Datos!$H$40:$J$45,3,0),VLOOKUP(D55,Datos!$H$40:$J$45,2,0))</f>
        <v>640000</v>
      </c>
      <c r="AC55" s="79">
        <f ca="1">(S55*PMT(Datos!$D$15,Datos!$D$13,-O55,,)*VLOOKUP(TODAY(),'UF HOY'!$A$2:$B$36,2,0)/12)+VLOOKUP(TODAY(),'UF HOY'!$A$2:$B$36,2,0)</f>
        <v>1015540.518667931</v>
      </c>
      <c r="AD55" s="79">
        <f t="shared" ca="1" si="18"/>
        <v>-375540.51866793097</v>
      </c>
      <c r="AE55" s="220">
        <f t="shared" ca="1" si="9"/>
        <v>4062162.0746717239</v>
      </c>
    </row>
    <row r="56" spans="1:31">
      <c r="A56" s="86" t="s">
        <v>4</v>
      </c>
      <c r="B56" s="86">
        <v>302</v>
      </c>
      <c r="C56" s="67" t="s">
        <v>124</v>
      </c>
      <c r="D56" s="67" t="s">
        <v>194</v>
      </c>
      <c r="E56" s="67"/>
      <c r="F56" s="66"/>
      <c r="G56" s="66"/>
      <c r="H56" s="67">
        <v>67.285000000000011</v>
      </c>
      <c r="I56" s="68">
        <v>76.12</v>
      </c>
      <c r="J56" s="69">
        <v>5990</v>
      </c>
      <c r="K56" s="70">
        <v>0</v>
      </c>
      <c r="L56" s="71">
        <v>380</v>
      </c>
      <c r="M56" s="71">
        <v>0</v>
      </c>
      <c r="N56" s="72">
        <f t="shared" si="10"/>
        <v>5733</v>
      </c>
      <c r="O56" s="73">
        <f t="shared" si="11"/>
        <v>6370</v>
      </c>
      <c r="P56" s="121">
        <f t="shared" si="12"/>
        <v>79.557107824923818</v>
      </c>
      <c r="Q56" s="74">
        <f t="shared" si="13"/>
        <v>0.1</v>
      </c>
      <c r="R56" s="75">
        <f t="shared" si="14"/>
        <v>637</v>
      </c>
      <c r="S56" s="74">
        <v>0.8</v>
      </c>
      <c r="T56" s="75">
        <f t="shared" si="15"/>
        <v>5096</v>
      </c>
      <c r="U56" s="76">
        <f t="shared" si="16"/>
        <v>9.999999999999995E-2</v>
      </c>
      <c r="V56" s="69">
        <f t="shared" si="17"/>
        <v>636.99999999999966</v>
      </c>
      <c r="W56" s="77">
        <f ca="1">V56*VLOOKUP(TODAY(),'UF HOY'!$A$2:$B$36,2,0)</f>
        <v>25310519.779999986</v>
      </c>
      <c r="X56" s="78">
        <f>Datos!$E$8</f>
        <v>28</v>
      </c>
      <c r="Y56" s="79">
        <f ca="1">IF((W56-3%*O56*VLOOKUP(TODAY(),'UF HOY'!$A$2:$B$36,2,0))/X56&gt;0,(W56-3%*O56*VLOOKUP(TODAY(),'UF HOY'!$A$2:$B$36,2,0))/X56,0)</f>
        <v>632762.99449999945</v>
      </c>
      <c r="Z56" s="78">
        <f>Datos!$E$8</f>
        <v>28</v>
      </c>
      <c r="AA56" s="79">
        <f ca="1">IF((W56-6%*O56*VLOOKUP(TODAY(),'UF HOY'!$A$2:$B$36,2,0))/Z56&gt;0,(W56-6%*O56*VLOOKUP(TODAY(),'UF HOY'!$A$2:$B$36,2,0))/Z56,0)</f>
        <v>361578.85399999947</v>
      </c>
      <c r="AB56" s="89">
        <f>IF(L56&gt;0,VLOOKUP(D56,Datos!$H$40:$J$45,3,0),VLOOKUP(D56,Datos!$H$40:$J$45,2,0))</f>
        <v>640000</v>
      </c>
      <c r="AC56" s="79">
        <f ca="1">(S56*PMT(Datos!$D$15,Datos!$D$13,-O56,,)*VLOOKUP(TODAY(),'UF HOY'!$A$2:$B$36,2,0)/12)+VLOOKUP(TODAY(),'UF HOY'!$A$2:$B$36,2,0)</f>
        <v>1015540.518667931</v>
      </c>
      <c r="AD56" s="79">
        <f t="shared" ca="1" si="18"/>
        <v>-375540.51866793097</v>
      </c>
      <c r="AE56" s="220">
        <f t="shared" ca="1" si="9"/>
        <v>4062162.0746717239</v>
      </c>
    </row>
    <row r="57" spans="1:31" hidden="1">
      <c r="A57" s="86" t="s">
        <v>171</v>
      </c>
      <c r="B57" s="86">
        <v>402</v>
      </c>
      <c r="C57" s="67" t="s">
        <v>124</v>
      </c>
      <c r="D57" s="67" t="s">
        <v>194</v>
      </c>
      <c r="E57" s="67"/>
      <c r="F57" s="66"/>
      <c r="G57" s="66"/>
      <c r="H57" s="67">
        <v>67.285000000000011</v>
      </c>
      <c r="I57" s="68">
        <v>76.12</v>
      </c>
      <c r="J57" s="69">
        <v>5990</v>
      </c>
      <c r="K57" s="70">
        <v>0</v>
      </c>
      <c r="L57" s="71">
        <v>380</v>
      </c>
      <c r="M57" s="71">
        <v>0</v>
      </c>
      <c r="N57" s="72">
        <f t="shared" si="10"/>
        <v>5733</v>
      </c>
      <c r="O57" s="73">
        <f t="shared" si="11"/>
        <v>6370</v>
      </c>
      <c r="P57" s="121">
        <f t="shared" si="12"/>
        <v>79.557107824923818</v>
      </c>
      <c r="Q57" s="74">
        <f t="shared" si="13"/>
        <v>0.1</v>
      </c>
      <c r="R57" s="75">
        <f t="shared" si="14"/>
        <v>637</v>
      </c>
      <c r="S57" s="74">
        <v>0.8</v>
      </c>
      <c r="T57" s="75">
        <f t="shared" si="15"/>
        <v>5096</v>
      </c>
      <c r="U57" s="76">
        <f t="shared" si="16"/>
        <v>9.999999999999995E-2</v>
      </c>
      <c r="V57" s="69">
        <f t="shared" si="17"/>
        <v>636.99999999999966</v>
      </c>
      <c r="W57" s="77">
        <f ca="1">V57*VLOOKUP(TODAY(),'UF HOY'!$A$2:$B$36,2,0)</f>
        <v>25310519.779999986</v>
      </c>
      <c r="X57" s="78">
        <f>Datos!$E$8</f>
        <v>28</v>
      </c>
      <c r="Y57" s="79">
        <f ca="1">IF((W57-3%*O57*VLOOKUP(TODAY(),'UF HOY'!$A$2:$B$36,2,0))/X57&gt;0,(W57-3%*O57*VLOOKUP(TODAY(),'UF HOY'!$A$2:$B$36,2,0))/X57,0)</f>
        <v>632762.99449999945</v>
      </c>
      <c r="Z57" s="78">
        <f>Datos!$E$8</f>
        <v>28</v>
      </c>
      <c r="AA57" s="79">
        <f ca="1">IF((W57-6%*O57*VLOOKUP(TODAY(),'UF HOY'!$A$2:$B$36,2,0))/Z57&gt;0,(W57-6%*O57*VLOOKUP(TODAY(),'UF HOY'!$A$2:$B$36,2,0))/Z57,0)</f>
        <v>361578.85399999947</v>
      </c>
      <c r="AB57" s="89">
        <f>IF(L57&gt;0,VLOOKUP(D57,Datos!$H$40:$J$45,3,0),VLOOKUP(D57,Datos!$H$40:$J$45,2,0))</f>
        <v>640000</v>
      </c>
      <c r="AC57" s="79">
        <f ca="1">(S57*PMT(Datos!$D$15,Datos!$D$13,-O57,,)*VLOOKUP(TODAY(),'UF HOY'!$A$2:$B$36,2,0)/12)+VLOOKUP(TODAY(),'UF HOY'!$A$2:$B$36,2,0)</f>
        <v>1015540.518667931</v>
      </c>
      <c r="AD57" s="79">
        <f t="shared" ca="1" si="18"/>
        <v>-375540.51866793097</v>
      </c>
      <c r="AE57" s="220">
        <f t="shared" ca="1" si="9"/>
        <v>4062162.0746717239</v>
      </c>
    </row>
    <row r="58" spans="1:31" hidden="1">
      <c r="A58" s="86" t="s">
        <v>171</v>
      </c>
      <c r="B58" s="86">
        <v>510</v>
      </c>
      <c r="C58" s="67" t="s">
        <v>122</v>
      </c>
      <c r="D58" s="67" t="s">
        <v>196</v>
      </c>
      <c r="E58" s="67"/>
      <c r="F58" s="66"/>
      <c r="G58" s="66"/>
      <c r="H58" s="67">
        <v>49.949999999999996</v>
      </c>
      <c r="I58" s="68">
        <v>53.32</v>
      </c>
      <c r="J58" s="69">
        <v>4590</v>
      </c>
      <c r="K58" s="70">
        <v>0</v>
      </c>
      <c r="L58" s="71">
        <v>380</v>
      </c>
      <c r="M58" s="71">
        <v>0</v>
      </c>
      <c r="N58" s="72">
        <f t="shared" si="10"/>
        <v>4473</v>
      </c>
      <c r="O58" s="73">
        <f t="shared" si="11"/>
        <v>4970</v>
      </c>
      <c r="P58" s="121">
        <f t="shared" si="12"/>
        <v>81.941941941941948</v>
      </c>
      <c r="Q58" s="74">
        <f t="shared" si="13"/>
        <v>0.1</v>
      </c>
      <c r="R58" s="75">
        <f t="shared" si="14"/>
        <v>497</v>
      </c>
      <c r="S58" s="74">
        <v>0.8</v>
      </c>
      <c r="T58" s="75">
        <f t="shared" si="15"/>
        <v>3976</v>
      </c>
      <c r="U58" s="76">
        <f t="shared" si="16"/>
        <v>9.999999999999995E-2</v>
      </c>
      <c r="V58" s="69">
        <f t="shared" si="17"/>
        <v>496.99999999999977</v>
      </c>
      <c r="W58" s="77">
        <f ca="1">V58*VLOOKUP(TODAY(),'UF HOY'!$A$2:$B$36,2,0)</f>
        <v>19747768.179999992</v>
      </c>
      <c r="X58" s="78">
        <f>Datos!$E$8</f>
        <v>28</v>
      </c>
      <c r="Y58" s="79">
        <f ca="1">IF((W58-3%*O58*VLOOKUP(TODAY(),'UF HOY'!$A$2:$B$36,2,0))/X58&gt;0,(W58-3%*O58*VLOOKUP(TODAY(),'UF HOY'!$A$2:$B$36,2,0))/X58,0)</f>
        <v>493694.2044999997</v>
      </c>
      <c r="Z58" s="78">
        <f>Datos!$E$8</f>
        <v>28</v>
      </c>
      <c r="AA58" s="79">
        <f ca="1">IF((W58-6%*O58*VLOOKUP(TODAY(),'UF HOY'!$A$2:$B$36,2,0))/Z58&gt;0,(W58-6%*O58*VLOOKUP(TODAY(),'UF HOY'!$A$2:$B$36,2,0))/Z58,0)</f>
        <v>282110.97399999975</v>
      </c>
      <c r="AB58" s="89">
        <f>IF(L58&gt;0,VLOOKUP(D58,Datos!$H$40:$J$45,3,0),VLOOKUP(D58,Datos!$H$40:$J$45,2,0))</f>
        <v>540000</v>
      </c>
      <c r="AC58" s="79">
        <f ca="1">(S58*PMT(Datos!$D$15,Datos!$D$13,-O58,,)*VLOOKUP(TODAY(),'UF HOY'!$A$2:$B$36,2,0)/12)+VLOOKUP(TODAY(),'UF HOY'!$A$2:$B$36,2,0)</f>
        <v>801077.53434530878</v>
      </c>
      <c r="AD58" s="79">
        <f t="shared" ca="1" si="18"/>
        <v>-261077.53434530878</v>
      </c>
      <c r="AE58" s="220">
        <f t="shared" ca="1" si="9"/>
        <v>3204310.1373812351</v>
      </c>
    </row>
    <row r="59" spans="1:31">
      <c r="A59" s="86" t="s">
        <v>4</v>
      </c>
      <c r="B59" s="86">
        <v>501</v>
      </c>
      <c r="C59" s="67" t="s">
        <v>124</v>
      </c>
      <c r="D59" s="67" t="s">
        <v>287</v>
      </c>
      <c r="E59" s="67"/>
      <c r="F59" s="66"/>
      <c r="G59" s="66"/>
      <c r="H59" s="67">
        <v>85.009999999999991</v>
      </c>
      <c r="I59" s="68">
        <v>96.24</v>
      </c>
      <c r="J59" s="69">
        <v>7490</v>
      </c>
      <c r="K59" s="70">
        <v>0</v>
      </c>
      <c r="L59" s="71">
        <v>380</v>
      </c>
      <c r="M59" s="71">
        <v>0</v>
      </c>
      <c r="N59" s="72">
        <f t="shared" si="10"/>
        <v>7083</v>
      </c>
      <c r="O59" s="73">
        <f t="shared" si="11"/>
        <v>7870</v>
      </c>
      <c r="P59" s="121">
        <f t="shared" si="12"/>
        <v>78.84954711210446</v>
      </c>
      <c r="Q59" s="74">
        <f t="shared" si="13"/>
        <v>0.1</v>
      </c>
      <c r="R59" s="75">
        <f t="shared" si="14"/>
        <v>787</v>
      </c>
      <c r="S59" s="74">
        <v>0.8</v>
      </c>
      <c r="T59" s="75">
        <f t="shared" si="15"/>
        <v>6296</v>
      </c>
      <c r="U59" s="76">
        <f t="shared" si="16"/>
        <v>9.999999999999995E-2</v>
      </c>
      <c r="V59" s="69">
        <f t="shared" si="17"/>
        <v>786.99999999999966</v>
      </c>
      <c r="W59" s="77">
        <f ca="1">V59*VLOOKUP(TODAY(),'UF HOY'!$A$2:$B$36,2,0)</f>
        <v>31270610.77999999</v>
      </c>
      <c r="X59" s="78">
        <f>Datos!$E$8</f>
        <v>28</v>
      </c>
      <c r="Y59" s="79">
        <f ca="1">IF((W59-3%*O59*VLOOKUP(TODAY(),'UF HOY'!$A$2:$B$36,2,0))/X59&gt;0,(W59-3%*O59*VLOOKUP(TODAY(),'UF HOY'!$A$2:$B$36,2,0))/X59,0)</f>
        <v>781765.26949999959</v>
      </c>
      <c r="Z59" s="78">
        <f>Datos!$E$8</f>
        <v>28</v>
      </c>
      <c r="AA59" s="79">
        <f ca="1">IF((W59-6%*O59*VLOOKUP(TODAY(),'UF HOY'!$A$2:$B$36,2,0))/Z59&gt;0,(W59-6%*O59*VLOOKUP(TODAY(),'UF HOY'!$A$2:$B$36,2,0))/Z59,0)</f>
        <v>446723.01114285673</v>
      </c>
      <c r="AB59" s="89">
        <f>IF(L59&gt;0,VLOOKUP(D59,Datos!$H$40:$J$45,3,0),VLOOKUP(D59,Datos!$H$40:$J$45,2,0))</f>
        <v>890000</v>
      </c>
      <c r="AC59" s="79">
        <f ca="1">(S59*PMT(Datos!$D$15,Datos!$D$13,-O59,,)*VLOOKUP(TODAY(),'UF HOY'!$A$2:$B$36,2,0)/12)+VLOOKUP(TODAY(),'UF HOY'!$A$2:$B$36,2,0)</f>
        <v>1245322.2875850261</v>
      </c>
      <c r="AD59" s="79">
        <f t="shared" ca="1" si="18"/>
        <v>-355322.28758502612</v>
      </c>
      <c r="AE59" s="220">
        <f t="shared" ca="1" si="9"/>
        <v>4981289.1503401045</v>
      </c>
    </row>
    <row r="60" spans="1:31" hidden="1">
      <c r="A60" s="86" t="s">
        <v>171</v>
      </c>
      <c r="B60" s="86">
        <v>512</v>
      </c>
      <c r="C60" s="67" t="s">
        <v>124</v>
      </c>
      <c r="D60" s="67" t="s">
        <v>195</v>
      </c>
      <c r="E60" s="67"/>
      <c r="F60" s="66"/>
      <c r="G60" s="66"/>
      <c r="H60" s="67">
        <v>43.125</v>
      </c>
      <c r="I60" s="68">
        <v>50.120000000000005</v>
      </c>
      <c r="J60" s="69">
        <v>4290</v>
      </c>
      <c r="K60" s="70">
        <v>0</v>
      </c>
      <c r="L60" s="71">
        <v>380</v>
      </c>
      <c r="M60" s="71">
        <v>0</v>
      </c>
      <c r="N60" s="72">
        <f t="shared" si="10"/>
        <v>4203</v>
      </c>
      <c r="O60" s="73">
        <f t="shared" si="11"/>
        <v>4670</v>
      </c>
      <c r="P60" s="121">
        <f t="shared" si="12"/>
        <v>88.649275362318846</v>
      </c>
      <c r="Q60" s="74">
        <f t="shared" si="13"/>
        <v>0.1</v>
      </c>
      <c r="R60" s="75">
        <f t="shared" si="14"/>
        <v>467</v>
      </c>
      <c r="S60" s="74">
        <v>0.8</v>
      </c>
      <c r="T60" s="75">
        <f t="shared" si="15"/>
        <v>3736</v>
      </c>
      <c r="U60" s="76">
        <f t="shared" si="16"/>
        <v>9.999999999999995E-2</v>
      </c>
      <c r="V60" s="69">
        <f t="shared" si="17"/>
        <v>466.99999999999977</v>
      </c>
      <c r="W60" s="77">
        <f ca="1">V60*VLOOKUP(TODAY(),'UF HOY'!$A$2:$B$36,2,0)</f>
        <v>18555749.979999993</v>
      </c>
      <c r="X60" s="78">
        <f>Datos!$E$8</f>
        <v>28</v>
      </c>
      <c r="Y60" s="79">
        <f ca="1">IF((W60-3%*O60*VLOOKUP(TODAY(),'UF HOY'!$A$2:$B$36,2,0))/X60&gt;0,(W60-3%*O60*VLOOKUP(TODAY(),'UF HOY'!$A$2:$B$36,2,0))/X60,0)</f>
        <v>463893.7494999998</v>
      </c>
      <c r="Z60" s="78">
        <f>Datos!$E$8</f>
        <v>28</v>
      </c>
      <c r="AA60" s="79">
        <f ca="1">IF((W60-6%*O60*VLOOKUP(TODAY(),'UF HOY'!$A$2:$B$36,2,0))/Z60&gt;0,(W60-6%*O60*VLOOKUP(TODAY(),'UF HOY'!$A$2:$B$36,2,0))/Z60,0)</f>
        <v>265082.14257142833</v>
      </c>
      <c r="AB60" s="89">
        <f>IF(L60&gt;0,VLOOKUP(D60,Datos!$H$40:$J$45,3,0),VLOOKUP(D60,Datos!$H$40:$J$45,2,0))</f>
        <v>500000</v>
      </c>
      <c r="AC60" s="79">
        <f ca="1">(S60*PMT(Datos!$D$15,Datos!$D$13,-O60,,)*VLOOKUP(TODAY(),'UF HOY'!$A$2:$B$36,2,0)/12)+VLOOKUP(TODAY(),'UF HOY'!$A$2:$B$36,2,0)</f>
        <v>755121.18056188966</v>
      </c>
      <c r="AD60" s="79">
        <f t="shared" ca="1" si="18"/>
        <v>-255121.18056188966</v>
      </c>
      <c r="AE60" s="220">
        <f t="shared" ca="1" si="9"/>
        <v>3020484.7222475586</v>
      </c>
    </row>
    <row r="61" spans="1:31">
      <c r="A61" s="86" t="s">
        <v>4</v>
      </c>
      <c r="B61" s="86">
        <v>403</v>
      </c>
      <c r="C61" s="67" t="s">
        <v>121</v>
      </c>
      <c r="D61" s="67" t="s">
        <v>309</v>
      </c>
      <c r="E61" s="67"/>
      <c r="F61" s="66"/>
      <c r="G61" s="66"/>
      <c r="H61" s="67">
        <v>185.99</v>
      </c>
      <c r="I61" s="68">
        <v>246.97</v>
      </c>
      <c r="J61" s="69">
        <v>14990</v>
      </c>
      <c r="K61" s="70">
        <v>0</v>
      </c>
      <c r="L61" s="71">
        <v>380</v>
      </c>
      <c r="M61" s="71">
        <v>0</v>
      </c>
      <c r="N61" s="72">
        <f t="shared" si="10"/>
        <v>13833</v>
      </c>
      <c r="O61" s="73">
        <f t="shared" si="11"/>
        <v>15370</v>
      </c>
      <c r="P61" s="121">
        <f t="shared" si="12"/>
        <v>72.331845798161183</v>
      </c>
      <c r="Q61" s="74">
        <f t="shared" si="13"/>
        <v>0.1</v>
      </c>
      <c r="R61" s="75">
        <f t="shared" si="14"/>
        <v>1537</v>
      </c>
      <c r="S61" s="74">
        <v>0.8</v>
      </c>
      <c r="T61" s="75">
        <f t="shared" si="15"/>
        <v>12296</v>
      </c>
      <c r="U61" s="76">
        <f t="shared" si="16"/>
        <v>9.999999999999995E-2</v>
      </c>
      <c r="V61" s="69">
        <f t="shared" si="17"/>
        <v>1536.9999999999993</v>
      </c>
      <c r="W61" s="77">
        <f ca="1">V61*VLOOKUP(TODAY(),'UF HOY'!$A$2:$B$36,2,0)</f>
        <v>61071065.779999979</v>
      </c>
      <c r="X61" s="78">
        <f>Datos!$E$8</f>
        <v>28</v>
      </c>
      <c r="Y61" s="79">
        <f ca="1">IF((W61-3%*O61*VLOOKUP(TODAY(),'UF HOY'!$A$2:$B$36,2,0))/X61&gt;0,(W61-3%*O61*VLOOKUP(TODAY(),'UF HOY'!$A$2:$B$36,2,0))/X61,0)</f>
        <v>1526776.644499999</v>
      </c>
      <c r="Z61" s="78">
        <f>Datos!$E$8</f>
        <v>28</v>
      </c>
      <c r="AA61" s="79">
        <f ca="1">IF((W61-6%*O61*VLOOKUP(TODAY(),'UF HOY'!$A$2:$B$36,2,0))/Z61&gt;0,(W61-6%*O61*VLOOKUP(TODAY(),'UF HOY'!$A$2:$B$36,2,0))/Z61,0)</f>
        <v>872443.79685714201</v>
      </c>
      <c r="AB61" s="89">
        <f>IF(L61&gt;0,VLOOKUP(D61,Datos!$H$40:$J$45,3,0),VLOOKUP(D61,Datos!$H$40:$J$45,2,0))</f>
        <v>1240000</v>
      </c>
      <c r="AC61" s="79">
        <f ca="1">(S61*PMT(Datos!$D$15,Datos!$D$13,-O61,,)*VLOOKUP(TODAY(),'UF HOY'!$A$2:$B$36,2,0)/12)+VLOOKUP(TODAY(),'UF HOY'!$A$2:$B$36,2,0)</f>
        <v>2394231.1321705021</v>
      </c>
      <c r="AD61" s="79">
        <f t="shared" ca="1" si="18"/>
        <v>-1154231.1321705021</v>
      </c>
      <c r="AE61" s="220">
        <f t="shared" ca="1" si="9"/>
        <v>9576924.5286820084</v>
      </c>
    </row>
    <row r="62" spans="1:31">
      <c r="A62" s="46"/>
      <c r="B62" s="46"/>
      <c r="C62" s="5"/>
      <c r="D62" s="46"/>
      <c r="E62" s="46"/>
      <c r="F62" s="46"/>
      <c r="G62" s="46"/>
      <c r="H62" s="46"/>
      <c r="I62" s="46"/>
      <c r="J62" s="5"/>
      <c r="K62" s="6"/>
      <c r="L62" s="25"/>
      <c r="M62" s="7"/>
      <c r="N62" s="46"/>
      <c r="Z62" s="44"/>
    </row>
    <row r="63" spans="1:31">
      <c r="E63" s="46"/>
      <c r="L63" s="102" t="s">
        <v>302</v>
      </c>
      <c r="M63" s="47"/>
      <c r="N63" s="48"/>
      <c r="R63" s="62"/>
    </row>
    <row r="64" spans="1:31">
      <c r="E64" s="46"/>
      <c r="L64" s="102"/>
      <c r="M64" s="47"/>
      <c r="N64" s="48"/>
    </row>
    <row r="65" spans="5:17">
      <c r="E65" s="46"/>
      <c r="L65" s="46"/>
      <c r="M65" s="47"/>
      <c r="N65" s="47"/>
      <c r="O65" s="49"/>
      <c r="P65" s="49"/>
      <c r="Q65" s="45"/>
    </row>
    <row r="66" spans="5:17">
      <c r="E66" s="46"/>
      <c r="L66" s="46"/>
      <c r="M66" s="47"/>
      <c r="N66" s="48"/>
      <c r="O66" s="50"/>
      <c r="P66" s="50"/>
    </row>
    <row r="67" spans="5:17">
      <c r="E67" s="46"/>
      <c r="F67" s="46"/>
      <c r="G67" s="46"/>
      <c r="H67" s="46"/>
      <c r="I67" s="46"/>
      <c r="L67" s="46"/>
      <c r="M67" s="48"/>
      <c r="N67" s="48"/>
      <c r="O67" s="51"/>
      <c r="P67" s="51"/>
    </row>
    <row r="68" spans="5:17">
      <c r="E68" s="46"/>
      <c r="F68" s="46"/>
      <c r="G68" s="46"/>
      <c r="H68" s="46"/>
      <c r="I68" s="46"/>
      <c r="L68" s="46"/>
      <c r="M68" s="48"/>
      <c r="N68" s="48"/>
    </row>
    <row r="69" spans="5:17">
      <c r="E69" s="46"/>
      <c r="F69" s="46"/>
      <c r="G69" s="46"/>
      <c r="H69" s="46"/>
      <c r="I69" s="46"/>
      <c r="L69" s="46"/>
      <c r="M69" s="48"/>
      <c r="N69" s="48"/>
      <c r="O69" s="45"/>
      <c r="P69" s="45"/>
    </row>
    <row r="71" spans="5:17">
      <c r="M71" s="48"/>
      <c r="O71" s="52"/>
      <c r="P71" s="52"/>
    </row>
    <row r="79" spans="5:17">
      <c r="L79" s="49"/>
      <c r="N79" s="53"/>
    </row>
    <row r="80" spans="5:17">
      <c r="L80" s="49"/>
      <c r="N80" s="53"/>
    </row>
    <row r="81" spans="12:14">
      <c r="L81" s="49"/>
      <c r="N81" s="53"/>
    </row>
  </sheetData>
  <autoFilter ref="A1:AE61" xr:uid="{348093B8-CB61-4E2F-AACE-6C49C1809F11}">
    <filterColumn colId="0">
      <filters>
        <filter val="Disponible"/>
      </filters>
    </filterColumn>
    <sortState xmlns:xlrd2="http://schemas.microsoft.com/office/spreadsheetml/2017/richdata2" ref="A3:AE61">
      <sortCondition ref="N1:N61"/>
    </sortState>
  </autoFilter>
  <conditionalFormatting sqref="A1:AD1 J60:J61 Q56:Q61 J54:J55 Q50:Q54 J48:J49 Q44:Q48 J41:J43 Q37:Q42 J35:J36 Q31:Q35 J29:J30 Q25:Q29 J22:J24 Q18:Q22 J16:J17 Q12:Q16 H2:V2 J3:J5 N16:P16 N17:Q17 N22:P22 N23:Q24 N29:P29 N30:Q30 N35:P35 N36:Q36 N41:P42 N43:Q43 N48:P48 N49:Q49 N54:P54 N55:Q55 N60:P61 N3:Q5 Q6:Q8 H3:I61 B9:G9 J9:J11 N9:Q11 K3:M61 R3:V61 AB2:AB61 A3:A61 AD2:AE61">
    <cfRule type="expression" dxfId="143" priority="35">
      <formula>ROW()=CELL("fila")</formula>
    </cfRule>
  </conditionalFormatting>
  <conditionalFormatting sqref="B60:G61 B55:G55 B48:G49 B41:G43 B35:G36 B29:G29 B16:G17 B10:G11 A2:G2 B3:G5 B22:G24 C54:G54 C30:G30">
    <cfRule type="expression" dxfId="142" priority="34">
      <formula>ROW()=CELL("fila")</formula>
    </cfRule>
  </conditionalFormatting>
  <conditionalFormatting sqref="B58:G59 J58:J59 N58:P59">
    <cfRule type="expression" dxfId="141" priority="33">
      <formula>ROW()=CELL("fila")</formula>
    </cfRule>
  </conditionalFormatting>
  <conditionalFormatting sqref="B57:G57 J57 N57:P57">
    <cfRule type="expression" dxfId="140" priority="32">
      <formula>ROW()=CELL("fila")</formula>
    </cfRule>
  </conditionalFormatting>
  <conditionalFormatting sqref="B56:G56 J56 N56:P56">
    <cfRule type="expression" dxfId="139" priority="31">
      <formula>ROW()=CELL("fila")</formula>
    </cfRule>
  </conditionalFormatting>
  <conditionalFormatting sqref="B52:G53 J52:J53 N52:P53">
    <cfRule type="expression" dxfId="138" priority="30">
      <formula>ROW()=CELL("fila")</formula>
    </cfRule>
  </conditionalFormatting>
  <conditionalFormatting sqref="B51:G51 J51 N51:P51">
    <cfRule type="expression" dxfId="137" priority="29">
      <formula>ROW()=CELL("fila")</formula>
    </cfRule>
  </conditionalFormatting>
  <conditionalFormatting sqref="B50:G50 J50 N50:P50">
    <cfRule type="expression" dxfId="136" priority="28">
      <formula>ROW()=CELL("fila")</formula>
    </cfRule>
  </conditionalFormatting>
  <conditionalFormatting sqref="B46:G47 J46:J47 N46:P47">
    <cfRule type="expression" dxfId="135" priority="27">
      <formula>ROW()=CELL("fila")</formula>
    </cfRule>
  </conditionalFormatting>
  <conditionalFormatting sqref="B45:G45 J45 N45:P45">
    <cfRule type="expression" dxfId="134" priority="26">
      <formula>ROW()=CELL("fila")</formula>
    </cfRule>
  </conditionalFormatting>
  <conditionalFormatting sqref="B44:G44 J44 N44:P44">
    <cfRule type="expression" dxfId="133" priority="25">
      <formula>ROW()=CELL("fila")</formula>
    </cfRule>
  </conditionalFormatting>
  <conditionalFormatting sqref="B39:G40 J39:J40 N39:P40">
    <cfRule type="expression" dxfId="132" priority="24">
      <formula>ROW()=CELL("fila")</formula>
    </cfRule>
  </conditionalFormatting>
  <conditionalFormatting sqref="B38:G38 J38 N38:P38">
    <cfRule type="expression" dxfId="131" priority="23">
      <formula>ROW()=CELL("fila")</formula>
    </cfRule>
  </conditionalFormatting>
  <conditionalFormatting sqref="B37:G37 J37 N37:P37">
    <cfRule type="expression" dxfId="130" priority="22">
      <formula>ROW()=CELL("fila")</formula>
    </cfRule>
  </conditionalFormatting>
  <conditionalFormatting sqref="B33:G34 J33:J34 N33:P34">
    <cfRule type="expression" dxfId="129" priority="21">
      <formula>ROW()=CELL("fila")</formula>
    </cfRule>
  </conditionalFormatting>
  <conditionalFormatting sqref="B32:G32 J32 N32:P32">
    <cfRule type="expression" dxfId="128" priority="20">
      <formula>ROW()=CELL("fila")</formula>
    </cfRule>
  </conditionalFormatting>
  <conditionalFormatting sqref="C31:G31 J31 N31:P31">
    <cfRule type="expression" dxfId="127" priority="19">
      <formula>ROW()=CELL("fila")</formula>
    </cfRule>
  </conditionalFormatting>
  <conditionalFormatting sqref="B27:G28 J27:J28 N27:P28">
    <cfRule type="expression" dxfId="126" priority="18">
      <formula>ROW()=CELL("fila")</formula>
    </cfRule>
  </conditionalFormatting>
  <conditionalFormatting sqref="B26:G26 J26 N26:P26">
    <cfRule type="expression" dxfId="125" priority="17">
      <formula>ROW()=CELL("fila")</formula>
    </cfRule>
  </conditionalFormatting>
  <conditionalFormatting sqref="B25:G25 J25 N25:P25">
    <cfRule type="expression" dxfId="124" priority="16">
      <formula>ROW()=CELL("fila")</formula>
    </cfRule>
  </conditionalFormatting>
  <conditionalFormatting sqref="B20:G21 J20:J21 N20:P21">
    <cfRule type="expression" dxfId="123" priority="15">
      <formula>ROW()=CELL("fila")</formula>
    </cfRule>
  </conditionalFormatting>
  <conditionalFormatting sqref="B19:G19 J19 N19:P19">
    <cfRule type="expression" dxfId="122" priority="14">
      <formula>ROW()=CELL("fila")</formula>
    </cfRule>
  </conditionalFormatting>
  <conditionalFormatting sqref="B18:G18 J18 N18:P18">
    <cfRule type="expression" dxfId="121" priority="13">
      <formula>ROW()=CELL("fila")</formula>
    </cfRule>
  </conditionalFormatting>
  <conditionalFormatting sqref="B14:G15 J14:J15 N14:P15">
    <cfRule type="expression" dxfId="120" priority="12">
      <formula>ROW()=CELL("fila")</formula>
    </cfRule>
  </conditionalFormatting>
  <conditionalFormatting sqref="B13:G13 J13 N13:P13">
    <cfRule type="expression" dxfId="119" priority="11">
      <formula>ROW()=CELL("fila")</formula>
    </cfRule>
  </conditionalFormatting>
  <conditionalFormatting sqref="B12:G12 J12 N12:P12">
    <cfRule type="expression" dxfId="118" priority="10">
      <formula>ROW()=CELL("fila")</formula>
    </cfRule>
  </conditionalFormatting>
  <conditionalFormatting sqref="B8:G8 J8 N8:P8">
    <cfRule type="expression" dxfId="117" priority="9">
      <formula>ROW()=CELL("fila")</formula>
    </cfRule>
  </conditionalFormatting>
  <conditionalFormatting sqref="B7:G7 J7 N7:P7">
    <cfRule type="expression" dxfId="116" priority="8">
      <formula>ROW()=CELL("fila")</formula>
    </cfRule>
  </conditionalFormatting>
  <conditionalFormatting sqref="B6:G6 J6 N6:P6">
    <cfRule type="expression" dxfId="115" priority="7">
      <formula>ROW()=CELL("fila")</formula>
    </cfRule>
  </conditionalFormatting>
  <conditionalFormatting sqref="AE1">
    <cfRule type="expression" dxfId="114" priority="6">
      <formula>ROW()=CELL("fila")</formula>
    </cfRule>
  </conditionalFormatting>
  <conditionalFormatting sqref="X2:AA61">
    <cfRule type="expression" dxfId="113" priority="5">
      <formula>ROW()=CELL("fila")</formula>
    </cfRule>
  </conditionalFormatting>
  <conditionalFormatting sqref="W2:W61">
    <cfRule type="expression" dxfId="112" priority="4">
      <formula>ROW()=CELL("fila")</formula>
    </cfRule>
  </conditionalFormatting>
  <conditionalFormatting sqref="AC2:AC61">
    <cfRule type="expression" dxfId="111" priority="3">
      <formula>ROW()=CELL("fila")</formula>
    </cfRule>
  </conditionalFormatting>
  <conditionalFormatting sqref="B54">
    <cfRule type="expression" dxfId="110" priority="2">
      <formula>ROW()=CELL("fila")</formula>
    </cfRule>
  </conditionalFormatting>
  <conditionalFormatting sqref="B30:B31">
    <cfRule type="expression" dxfId="109" priority="1">
      <formula>ROW()=CELL("fila")</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093B8-CB61-4E2F-AACE-6C49C1809F11}">
  <sheetPr codeName="Hoja13" filterMode="1">
    <tabColor rgb="FF002060"/>
  </sheetPr>
  <dimension ref="A1:AE192"/>
  <sheetViews>
    <sheetView showGridLines="0" zoomScale="80" zoomScaleNormal="80" workbookViewId="0">
      <pane ySplit="1" topLeftCell="A59" activePane="bottomLeft" state="frozen"/>
      <selection activeCell="D3" sqref="D3:F3"/>
      <selection pane="bottomLeft" activeCell="B179" sqref="B179"/>
    </sheetView>
  </sheetViews>
  <sheetFormatPr baseColWidth="10" defaultColWidth="11" defaultRowHeight="15.5"/>
  <cols>
    <col min="1" max="1" width="11" style="44"/>
    <col min="2" max="2" width="12.5" style="44" bestFit="1" customWidth="1"/>
    <col min="3" max="3" width="11" style="44"/>
    <col min="4" max="4" width="12" style="44" customWidth="1"/>
    <col min="5" max="5" width="10.25" style="44" hidden="1" customWidth="1"/>
    <col min="6" max="6" width="11" style="44" hidden="1" customWidth="1"/>
    <col min="7" max="8" width="11.5" style="44" hidden="1" customWidth="1"/>
    <col min="9" max="9" width="11.5" style="44" customWidth="1"/>
    <col min="10" max="10" width="13.5" style="44" bestFit="1" customWidth="1"/>
    <col min="11" max="11" width="11" style="44"/>
    <col min="12" max="12" width="8.08203125" style="44" bestFit="1" customWidth="1"/>
    <col min="13" max="13" width="8.5" style="44" bestFit="1" customWidth="1"/>
    <col min="14" max="14" width="11.5" style="44" customWidth="1"/>
    <col min="15" max="16" width="11" style="44"/>
    <col min="17" max="17" width="8.83203125" style="44" bestFit="1" customWidth="1"/>
    <col min="18" max="18" width="11" style="44" customWidth="1"/>
    <col min="19" max="19" width="17.58203125" style="44" bestFit="1" customWidth="1"/>
    <col min="20" max="20" width="14.83203125" style="44" bestFit="1" customWidth="1"/>
    <col min="21" max="21" width="10.5" style="44" bestFit="1" customWidth="1"/>
    <col min="22" max="22" width="11" style="44" customWidth="1"/>
    <col min="23" max="24" width="11" style="44"/>
    <col min="25" max="25" width="15.58203125" style="44" bestFit="1" customWidth="1"/>
    <col min="26" max="26" width="12.5" style="49" customWidth="1"/>
    <col min="27" max="27" width="14.5" style="44" customWidth="1"/>
    <col min="28" max="28" width="12.33203125" style="44" customWidth="1"/>
    <col min="29" max="29" width="11.33203125" style="44" bestFit="1" customWidth="1"/>
    <col min="30" max="16384" width="11" style="44"/>
  </cols>
  <sheetData>
    <row r="1" spans="1:31" ht="20">
      <c r="A1" s="63" t="s">
        <v>0</v>
      </c>
      <c r="B1" s="63" t="s">
        <v>5</v>
      </c>
      <c r="C1" s="63" t="s">
        <v>9</v>
      </c>
      <c r="D1" s="64" t="s">
        <v>8</v>
      </c>
      <c r="E1" s="64" t="s">
        <v>47</v>
      </c>
      <c r="F1" s="64" t="s">
        <v>30</v>
      </c>
      <c r="G1" s="64" t="s">
        <v>31</v>
      </c>
      <c r="H1" s="64" t="s">
        <v>6</v>
      </c>
      <c r="I1" s="64" t="s">
        <v>53</v>
      </c>
      <c r="J1" s="64" t="s">
        <v>7</v>
      </c>
      <c r="K1" s="64" t="s">
        <v>1</v>
      </c>
      <c r="L1" s="64" t="s">
        <v>25</v>
      </c>
      <c r="M1" s="64" t="s">
        <v>26</v>
      </c>
      <c r="N1" s="64" t="s">
        <v>2</v>
      </c>
      <c r="O1" s="64" t="s">
        <v>16</v>
      </c>
      <c r="P1" s="120" t="s">
        <v>182</v>
      </c>
      <c r="Q1" s="65" t="s">
        <v>14</v>
      </c>
      <c r="R1" s="65" t="s">
        <v>23</v>
      </c>
      <c r="S1" s="65" t="s">
        <v>58</v>
      </c>
      <c r="T1" s="65" t="s">
        <v>27</v>
      </c>
      <c r="U1" s="65" t="s">
        <v>13</v>
      </c>
      <c r="V1" s="65" t="s">
        <v>22</v>
      </c>
      <c r="W1" s="65" t="s">
        <v>12</v>
      </c>
      <c r="X1" s="65" t="s">
        <v>20</v>
      </c>
      <c r="Y1" s="65" t="s">
        <v>3</v>
      </c>
      <c r="Z1" s="65" t="s">
        <v>113</v>
      </c>
      <c r="AA1" s="65" t="s">
        <v>21</v>
      </c>
      <c r="AB1" s="65" t="s">
        <v>17</v>
      </c>
      <c r="AC1" s="65" t="s">
        <v>19</v>
      </c>
      <c r="AD1" s="65" t="s">
        <v>18</v>
      </c>
      <c r="AE1" s="219" t="s">
        <v>255</v>
      </c>
    </row>
    <row r="2" spans="1:31" hidden="1">
      <c r="A2" s="86" t="s">
        <v>171</v>
      </c>
      <c r="B2" s="86">
        <v>102</v>
      </c>
      <c r="C2" s="67" t="s">
        <v>129</v>
      </c>
      <c r="D2" s="67" t="s">
        <v>195</v>
      </c>
      <c r="E2" s="67"/>
      <c r="F2" s="66">
        <v>32.520000000000003</v>
      </c>
      <c r="G2" s="66">
        <v>4.4800000000000004</v>
      </c>
      <c r="H2" s="67">
        <f t="shared" ref="H2:H33" si="0">F2+G2/2</f>
        <v>34.760000000000005</v>
      </c>
      <c r="I2" s="68">
        <f t="shared" ref="I2:I33" si="1">F2+G2</f>
        <v>37</v>
      </c>
      <c r="J2" s="69">
        <v>2860</v>
      </c>
      <c r="K2" s="70">
        <v>0</v>
      </c>
      <c r="L2" s="71">
        <v>0</v>
      </c>
      <c r="M2" s="71">
        <v>0</v>
      </c>
      <c r="N2" s="72">
        <f t="shared" ref="N2:N33" si="2">O2-R2</f>
        <v>2431</v>
      </c>
      <c r="O2" s="73">
        <f t="shared" ref="O2:O33" si="3">J2*(100%-K2)+L2+M2</f>
        <v>2860</v>
      </c>
      <c r="P2" s="121">
        <f t="shared" ref="P2:P33" si="4">(N2-L2-M2)/H2</f>
        <v>69.936708860759481</v>
      </c>
      <c r="Q2" s="74">
        <f t="shared" ref="Q2:Q33" si="5">R2/O2</f>
        <v>0.15</v>
      </c>
      <c r="R2" s="75">
        <f t="shared" ref="R2:R33" si="6">O2*0.15</f>
        <v>429</v>
      </c>
      <c r="S2" s="74">
        <v>0.8</v>
      </c>
      <c r="T2" s="75">
        <f t="shared" ref="T2:T33" si="7">S2*O2</f>
        <v>2288</v>
      </c>
      <c r="U2" s="76">
        <f t="shared" ref="U2:U33" si="8">100%-S2-Q2</f>
        <v>4.9999999999999961E-2</v>
      </c>
      <c r="V2" s="69">
        <f t="shared" ref="V2:V33" si="9">O2*U2</f>
        <v>142.99999999999989</v>
      </c>
      <c r="W2" s="77">
        <f ca="1">V2*VLOOKUP(TODAY(),'UF HOY'!$A$2:$B$36,2,0)</f>
        <v>5681953.4199999962</v>
      </c>
      <c r="X2" s="78">
        <f>Datos!$E$6</f>
        <v>18</v>
      </c>
      <c r="Y2" s="79">
        <f ca="1">IF((W2-1000000-Datos!$N$6)/X2&gt;0,(W2-1000000-Datos!$N$6)/X2,0)</f>
        <v>254552.96777777758</v>
      </c>
      <c r="Z2" s="78">
        <f>Datos!$E$6</f>
        <v>18</v>
      </c>
      <c r="AA2" s="79">
        <f ca="1">IF((W2-1000000-Datos!$N$6-1%*O2*VLOOKUP(TODAY(),'UF HOY'!$A$2:$B$33,2,0))/Z2&gt;0,(W2-1000000-Datos!$N$6-1%*O2*VLOOKUP(TODAY(),'UF HOY'!$A$2:$B$33,2,0))/Z2,0)</f>
        <v>191420.15199999977</v>
      </c>
      <c r="AB2" s="221">
        <f>IF(L2&gt;0,VLOOKUP(D2,Datos!$H$35:$J$38,3,0),VLOOKUP(D2,Datos!$H$35:$J$38,2,0))</f>
        <v>380000</v>
      </c>
      <c r="AC2" s="79">
        <f ca="1">(S2*PMT(Datos!$D$15,Datos!$D$13,-O2,,)*VLOOKUP(TODAY(),'UF HOY'!$A$2:$B$36,2,0)/12)+VLOOKUP(TODAY(),'UF HOY'!$A$2:$B$36,2,0)</f>
        <v>477851.17940192821</v>
      </c>
      <c r="AD2" s="79">
        <f t="shared" ref="AD2:AD33" ca="1" si="10">AB2-AC2</f>
        <v>-97851.17940192821</v>
      </c>
      <c r="AE2" s="220">
        <f t="shared" ref="AE2:AE33" ca="1" si="11">IF((AC2/0.25)&lt;=1600000,1600000,(AC2/0.25))</f>
        <v>1911404.7176077128</v>
      </c>
    </row>
    <row r="3" spans="1:31" hidden="1">
      <c r="A3" s="86" t="s">
        <v>171</v>
      </c>
      <c r="B3" s="86">
        <v>105</v>
      </c>
      <c r="C3" s="67" t="s">
        <v>130</v>
      </c>
      <c r="D3" s="67" t="s">
        <v>195</v>
      </c>
      <c r="E3" s="67"/>
      <c r="F3" s="66">
        <v>32.520000000000003</v>
      </c>
      <c r="G3" s="66">
        <v>4.4800000000000004</v>
      </c>
      <c r="H3" s="67">
        <f t="shared" si="0"/>
        <v>34.760000000000005</v>
      </c>
      <c r="I3" s="68">
        <f t="shared" si="1"/>
        <v>37</v>
      </c>
      <c r="J3" s="69">
        <v>2880</v>
      </c>
      <c r="K3" s="70">
        <v>0</v>
      </c>
      <c r="L3" s="71">
        <v>0</v>
      </c>
      <c r="M3" s="71">
        <v>0</v>
      </c>
      <c r="N3" s="72">
        <f t="shared" si="2"/>
        <v>2448</v>
      </c>
      <c r="O3" s="73">
        <f t="shared" si="3"/>
        <v>2880</v>
      </c>
      <c r="P3" s="121">
        <f t="shared" si="4"/>
        <v>70.425776754890663</v>
      </c>
      <c r="Q3" s="74">
        <f t="shared" si="5"/>
        <v>0.15</v>
      </c>
      <c r="R3" s="75">
        <f t="shared" si="6"/>
        <v>432</v>
      </c>
      <c r="S3" s="74">
        <v>0.8</v>
      </c>
      <c r="T3" s="75">
        <f t="shared" si="7"/>
        <v>2304</v>
      </c>
      <c r="U3" s="76">
        <f t="shared" si="8"/>
        <v>4.9999999999999961E-2</v>
      </c>
      <c r="V3" s="69">
        <f t="shared" si="9"/>
        <v>143.99999999999989</v>
      </c>
      <c r="W3" s="77">
        <f ca="1">V3*VLOOKUP(TODAY(),'UF HOY'!$A$2:$B$36,2,0)</f>
        <v>5721687.3599999957</v>
      </c>
      <c r="X3" s="78">
        <f>Datos!$E$6</f>
        <v>18</v>
      </c>
      <c r="Y3" s="79">
        <f ca="1">IF((W3-1000000-Datos!$N$6)/X3&gt;0,(W3-1000000-Datos!$N$6)/X3,0)</f>
        <v>256760.40888888866</v>
      </c>
      <c r="Z3" s="78">
        <f>Datos!$E$6</f>
        <v>18</v>
      </c>
      <c r="AA3" s="79">
        <f ca="1">IF((W3-1000000-Datos!$N$6-1%*O3*VLOOKUP(TODAY(),'UF HOY'!$A$2:$B$33,2,0))/Z3&gt;0,(W3-1000000-Datos!$N$6-1%*O3*VLOOKUP(TODAY(),'UF HOY'!$A$2:$B$33,2,0))/Z3,0)</f>
        <v>193186.10488888866</v>
      </c>
      <c r="AB3" s="221">
        <f>IF(L3&gt;0,VLOOKUP(D3,Datos!$H$35:$J$38,3,0),VLOOKUP(D3,Datos!$H$35:$J$38,2,0))</f>
        <v>380000</v>
      </c>
      <c r="AC3" s="79">
        <f ca="1">(S3*PMT(Datos!$D$15,Datos!$D$13,-O3,,)*VLOOKUP(TODAY(),'UF HOY'!$A$2:$B$36,2,0)/12)+VLOOKUP(TODAY(),'UF HOY'!$A$2:$B$36,2,0)</f>
        <v>480914.9363208228</v>
      </c>
      <c r="AD3" s="79">
        <f t="shared" ca="1" si="10"/>
        <v>-100914.9363208228</v>
      </c>
      <c r="AE3" s="220">
        <f t="shared" ca="1" si="11"/>
        <v>1923659.7452832912</v>
      </c>
    </row>
    <row r="4" spans="1:31" hidden="1">
      <c r="A4" s="86" t="s">
        <v>171</v>
      </c>
      <c r="B4" s="86">
        <v>202</v>
      </c>
      <c r="C4" s="67" t="s">
        <v>129</v>
      </c>
      <c r="D4" s="67" t="s">
        <v>195</v>
      </c>
      <c r="E4" s="67"/>
      <c r="F4" s="66">
        <v>32.520000000000003</v>
      </c>
      <c r="G4" s="66">
        <v>4.4800000000000004</v>
      </c>
      <c r="H4" s="67">
        <f t="shared" si="0"/>
        <v>34.760000000000005</v>
      </c>
      <c r="I4" s="68">
        <f t="shared" si="1"/>
        <v>37</v>
      </c>
      <c r="J4" s="69">
        <v>2880</v>
      </c>
      <c r="K4" s="70">
        <v>0</v>
      </c>
      <c r="L4" s="71">
        <v>0</v>
      </c>
      <c r="M4" s="71">
        <v>0</v>
      </c>
      <c r="N4" s="72">
        <f t="shared" si="2"/>
        <v>2448</v>
      </c>
      <c r="O4" s="73">
        <f t="shared" si="3"/>
        <v>2880</v>
      </c>
      <c r="P4" s="121">
        <f t="shared" si="4"/>
        <v>70.425776754890663</v>
      </c>
      <c r="Q4" s="74">
        <f t="shared" si="5"/>
        <v>0.15</v>
      </c>
      <c r="R4" s="75">
        <f t="shared" si="6"/>
        <v>432</v>
      </c>
      <c r="S4" s="74">
        <v>0.8</v>
      </c>
      <c r="T4" s="75">
        <f t="shared" si="7"/>
        <v>2304</v>
      </c>
      <c r="U4" s="76">
        <f t="shared" si="8"/>
        <v>4.9999999999999961E-2</v>
      </c>
      <c r="V4" s="69">
        <f t="shared" si="9"/>
        <v>143.99999999999989</v>
      </c>
      <c r="W4" s="77">
        <f ca="1">V4*VLOOKUP(TODAY(),'UF HOY'!$A$2:$B$36,2,0)</f>
        <v>5721687.3599999957</v>
      </c>
      <c r="X4" s="78">
        <f>Datos!$E$6</f>
        <v>18</v>
      </c>
      <c r="Y4" s="79">
        <f ca="1">IF((W4-1000000-Datos!$N$6)/X4&gt;0,(W4-1000000-Datos!$N$6)/X4,0)</f>
        <v>256760.40888888866</v>
      </c>
      <c r="Z4" s="78">
        <f>Datos!$E$6</f>
        <v>18</v>
      </c>
      <c r="AA4" s="79">
        <f ca="1">IF((W4-1000000-Datos!$N$6-1%*O4*VLOOKUP(TODAY(),'UF HOY'!$A$2:$B$33,2,0))/Z4&gt;0,(W4-1000000-Datos!$N$6-1%*O4*VLOOKUP(TODAY(),'UF HOY'!$A$2:$B$33,2,0))/Z4,0)</f>
        <v>193186.10488888866</v>
      </c>
      <c r="AB4" s="221">
        <f>IF(L4&gt;0,VLOOKUP(D4,Datos!$H$35:$J$38,3,0),VLOOKUP(D4,Datos!$H$35:$J$38,2,0))</f>
        <v>380000</v>
      </c>
      <c r="AC4" s="79">
        <f ca="1">(S4*PMT(Datos!$D$15,Datos!$D$13,-O4,,)*VLOOKUP(TODAY(),'UF HOY'!$A$2:$B$36,2,0)/12)+VLOOKUP(TODAY(),'UF HOY'!$A$2:$B$36,2,0)</f>
        <v>480914.9363208228</v>
      </c>
      <c r="AD4" s="79">
        <f t="shared" ca="1" si="10"/>
        <v>-100914.9363208228</v>
      </c>
      <c r="AE4" s="220">
        <f t="shared" ca="1" si="11"/>
        <v>1923659.7452832912</v>
      </c>
    </row>
    <row r="5" spans="1:31" hidden="1">
      <c r="A5" s="86" t="s">
        <v>171</v>
      </c>
      <c r="B5" s="86">
        <v>205</v>
      </c>
      <c r="C5" s="67" t="s">
        <v>130</v>
      </c>
      <c r="D5" s="67" t="s">
        <v>195</v>
      </c>
      <c r="E5" s="67"/>
      <c r="F5" s="66">
        <v>32.520000000000003</v>
      </c>
      <c r="G5" s="66">
        <v>4.4800000000000004</v>
      </c>
      <c r="H5" s="67">
        <f t="shared" si="0"/>
        <v>34.760000000000005</v>
      </c>
      <c r="I5" s="68">
        <f t="shared" si="1"/>
        <v>37</v>
      </c>
      <c r="J5" s="69">
        <v>2910</v>
      </c>
      <c r="K5" s="70">
        <v>0</v>
      </c>
      <c r="L5" s="71">
        <v>0</v>
      </c>
      <c r="M5" s="71">
        <v>0</v>
      </c>
      <c r="N5" s="72">
        <f t="shared" si="2"/>
        <v>2473.5</v>
      </c>
      <c r="O5" s="73">
        <f t="shared" si="3"/>
        <v>2910</v>
      </c>
      <c r="P5" s="121">
        <f t="shared" si="4"/>
        <v>71.15937859608745</v>
      </c>
      <c r="Q5" s="74">
        <f t="shared" si="5"/>
        <v>0.15</v>
      </c>
      <c r="R5" s="75">
        <f t="shared" si="6"/>
        <v>436.5</v>
      </c>
      <c r="S5" s="74">
        <v>0.8</v>
      </c>
      <c r="T5" s="75">
        <f t="shared" si="7"/>
        <v>2328</v>
      </c>
      <c r="U5" s="76">
        <f t="shared" si="8"/>
        <v>4.9999999999999961E-2</v>
      </c>
      <c r="V5" s="69">
        <f t="shared" si="9"/>
        <v>145.49999999999989</v>
      </c>
      <c r="W5" s="77">
        <f ca="1">V5*VLOOKUP(TODAY(),'UF HOY'!$A$2:$B$36,2,0)</f>
        <v>5781288.2699999958</v>
      </c>
      <c r="X5" s="78">
        <f>Datos!$E$6</f>
        <v>18</v>
      </c>
      <c r="Y5" s="79">
        <f ca="1">IF((W5-1000000-Datos!$N$6)/X5&gt;0,(W5-1000000-Datos!$N$6)/X5,0)</f>
        <v>260071.57055555531</v>
      </c>
      <c r="Z5" s="78">
        <f>Datos!$E$6</f>
        <v>18</v>
      </c>
      <c r="AA5" s="79">
        <f ca="1">IF((W5-1000000-Datos!$N$6-1%*O5*VLOOKUP(TODAY(),'UF HOY'!$A$2:$B$33,2,0))/Z5&gt;0,(W5-1000000-Datos!$N$6-1%*O5*VLOOKUP(TODAY(),'UF HOY'!$A$2:$B$33,2,0))/Z5,0)</f>
        <v>195835.03422222199</v>
      </c>
      <c r="AB5" s="221">
        <f>IF(L5&gt;0,VLOOKUP(D5,Datos!$H$35:$J$38,3,0),VLOOKUP(D5,Datos!$H$35:$J$38,2,0))</f>
        <v>380000</v>
      </c>
      <c r="AC5" s="79">
        <f ca="1">(S5*PMT(Datos!$D$15,Datos!$D$13,-O5,,)*VLOOKUP(TODAY(),'UF HOY'!$A$2:$B$36,2,0)/12)+VLOOKUP(TODAY(),'UF HOY'!$A$2:$B$36,2,0)</f>
        <v>485510.57169916457</v>
      </c>
      <c r="AD5" s="79">
        <f t="shared" ca="1" si="10"/>
        <v>-105510.57169916457</v>
      </c>
      <c r="AE5" s="220">
        <f t="shared" ca="1" si="11"/>
        <v>1942042.2867966583</v>
      </c>
    </row>
    <row r="6" spans="1:31" hidden="1">
      <c r="A6" s="86" t="s">
        <v>171</v>
      </c>
      <c r="B6" s="86">
        <v>302</v>
      </c>
      <c r="C6" s="67" t="s">
        <v>129</v>
      </c>
      <c r="D6" s="67" t="s">
        <v>195</v>
      </c>
      <c r="E6" s="67"/>
      <c r="F6" s="66">
        <v>32.520000000000003</v>
      </c>
      <c r="G6" s="66">
        <v>4.4800000000000004</v>
      </c>
      <c r="H6" s="67">
        <f t="shared" si="0"/>
        <v>34.760000000000005</v>
      </c>
      <c r="I6" s="68">
        <f t="shared" si="1"/>
        <v>37</v>
      </c>
      <c r="J6" s="69">
        <v>2910</v>
      </c>
      <c r="K6" s="70">
        <v>0</v>
      </c>
      <c r="L6" s="71">
        <v>0</v>
      </c>
      <c r="M6" s="71">
        <v>0</v>
      </c>
      <c r="N6" s="72">
        <f t="shared" si="2"/>
        <v>2473.5</v>
      </c>
      <c r="O6" s="73">
        <f t="shared" si="3"/>
        <v>2910</v>
      </c>
      <c r="P6" s="121">
        <f t="shared" si="4"/>
        <v>71.15937859608745</v>
      </c>
      <c r="Q6" s="74">
        <f t="shared" si="5"/>
        <v>0.15</v>
      </c>
      <c r="R6" s="75">
        <f t="shared" si="6"/>
        <v>436.5</v>
      </c>
      <c r="S6" s="74">
        <v>0.8</v>
      </c>
      <c r="T6" s="75">
        <f t="shared" si="7"/>
        <v>2328</v>
      </c>
      <c r="U6" s="76">
        <f t="shared" si="8"/>
        <v>4.9999999999999961E-2</v>
      </c>
      <c r="V6" s="69">
        <f t="shared" si="9"/>
        <v>145.49999999999989</v>
      </c>
      <c r="W6" s="77">
        <f ca="1">V6*VLOOKUP(TODAY(),'UF HOY'!$A$2:$B$36,2,0)</f>
        <v>5781288.2699999958</v>
      </c>
      <c r="X6" s="78">
        <f>Datos!$E$6</f>
        <v>18</v>
      </c>
      <c r="Y6" s="79">
        <f ca="1">IF((W6-1000000-Datos!$N$6)/X6&gt;0,(W6-1000000-Datos!$N$6)/X6,0)</f>
        <v>260071.57055555531</v>
      </c>
      <c r="Z6" s="78">
        <f>Datos!$E$6</f>
        <v>18</v>
      </c>
      <c r="AA6" s="79">
        <f ca="1">IF((W6-1000000-Datos!$N$6-1%*O6*VLOOKUP(TODAY(),'UF HOY'!$A$2:$B$33,2,0))/Z6&gt;0,(W6-1000000-Datos!$N$6-1%*O6*VLOOKUP(TODAY(),'UF HOY'!$A$2:$B$33,2,0))/Z6,0)</f>
        <v>195835.03422222199</v>
      </c>
      <c r="AB6" s="221">
        <f>IF(L6&gt;0,VLOOKUP(D6,Datos!$H$35:$J$38,3,0),VLOOKUP(D6,Datos!$H$35:$J$38,2,0))</f>
        <v>380000</v>
      </c>
      <c r="AC6" s="79">
        <f ca="1">(S6*PMT(Datos!$D$15,Datos!$D$13,-O6,,)*VLOOKUP(TODAY(),'UF HOY'!$A$2:$B$36,2,0)/12)+VLOOKUP(TODAY(),'UF HOY'!$A$2:$B$36,2,0)</f>
        <v>485510.57169916457</v>
      </c>
      <c r="AD6" s="79">
        <f t="shared" ca="1" si="10"/>
        <v>-105510.57169916457</v>
      </c>
      <c r="AE6" s="220">
        <f t="shared" ca="1" si="11"/>
        <v>1942042.2867966583</v>
      </c>
    </row>
    <row r="7" spans="1:31" hidden="1">
      <c r="A7" s="86" t="s">
        <v>171</v>
      </c>
      <c r="B7" s="86">
        <v>402</v>
      </c>
      <c r="C7" s="67" t="s">
        <v>129</v>
      </c>
      <c r="D7" s="67" t="s">
        <v>195</v>
      </c>
      <c r="E7" s="67"/>
      <c r="F7" s="66">
        <v>32.520000000000003</v>
      </c>
      <c r="G7" s="66">
        <v>4.4800000000000004</v>
      </c>
      <c r="H7" s="67">
        <f t="shared" si="0"/>
        <v>34.760000000000005</v>
      </c>
      <c r="I7" s="68">
        <f t="shared" si="1"/>
        <v>37</v>
      </c>
      <c r="J7" s="69">
        <v>2910</v>
      </c>
      <c r="K7" s="70">
        <v>0</v>
      </c>
      <c r="L7" s="71">
        <v>0</v>
      </c>
      <c r="M7" s="71">
        <v>0</v>
      </c>
      <c r="N7" s="72">
        <f t="shared" si="2"/>
        <v>2473.5</v>
      </c>
      <c r="O7" s="73">
        <f t="shared" si="3"/>
        <v>2910</v>
      </c>
      <c r="P7" s="121">
        <f t="shared" si="4"/>
        <v>71.15937859608745</v>
      </c>
      <c r="Q7" s="74">
        <f t="shared" si="5"/>
        <v>0.15</v>
      </c>
      <c r="R7" s="75">
        <f t="shared" si="6"/>
        <v>436.5</v>
      </c>
      <c r="S7" s="74">
        <v>0.8</v>
      </c>
      <c r="T7" s="75">
        <f t="shared" si="7"/>
        <v>2328</v>
      </c>
      <c r="U7" s="76">
        <f t="shared" si="8"/>
        <v>4.9999999999999961E-2</v>
      </c>
      <c r="V7" s="69">
        <f t="shared" si="9"/>
        <v>145.49999999999989</v>
      </c>
      <c r="W7" s="77">
        <f ca="1">V7*VLOOKUP(TODAY(),'UF HOY'!$A$2:$B$36,2,0)</f>
        <v>5781288.2699999958</v>
      </c>
      <c r="X7" s="78">
        <f>Datos!$E$6</f>
        <v>18</v>
      </c>
      <c r="Y7" s="79">
        <f ca="1">IF((W7-1000000-Datos!$N$6)/X7&gt;0,(W7-1000000-Datos!$N$6)/X7,0)</f>
        <v>260071.57055555531</v>
      </c>
      <c r="Z7" s="78">
        <f>Datos!$E$6</f>
        <v>18</v>
      </c>
      <c r="AA7" s="79">
        <f ca="1">IF((W7-1000000-Datos!$N$6-1%*O7*VLOOKUP(TODAY(),'UF HOY'!$A$2:$B$33,2,0))/Z7&gt;0,(W7-1000000-Datos!$N$6-1%*O7*VLOOKUP(TODAY(),'UF HOY'!$A$2:$B$33,2,0))/Z7,0)</f>
        <v>195835.03422222199</v>
      </c>
      <c r="AB7" s="221">
        <f>IF(L7&gt;0,VLOOKUP(D7,Datos!$H$35:$J$38,3,0),VLOOKUP(D7,Datos!$H$35:$J$38,2,0))</f>
        <v>380000</v>
      </c>
      <c r="AC7" s="79">
        <f ca="1">(S7*PMT(Datos!$D$15,Datos!$D$13,-O7,,)*VLOOKUP(TODAY(),'UF HOY'!$A$2:$B$36,2,0)/12)+VLOOKUP(TODAY(),'UF HOY'!$A$2:$B$36,2,0)</f>
        <v>485510.57169916457</v>
      </c>
      <c r="AD7" s="79">
        <f t="shared" ca="1" si="10"/>
        <v>-105510.57169916457</v>
      </c>
      <c r="AE7" s="220">
        <f t="shared" ca="1" si="11"/>
        <v>1942042.2867966583</v>
      </c>
    </row>
    <row r="8" spans="1:31" hidden="1">
      <c r="A8" s="86" t="s">
        <v>171</v>
      </c>
      <c r="B8" s="86">
        <v>502</v>
      </c>
      <c r="C8" s="67" t="s">
        <v>129</v>
      </c>
      <c r="D8" s="67" t="s">
        <v>195</v>
      </c>
      <c r="E8" s="67"/>
      <c r="F8" s="66">
        <v>32.520000000000003</v>
      </c>
      <c r="G8" s="66">
        <v>4.4800000000000004</v>
      </c>
      <c r="H8" s="67">
        <f t="shared" si="0"/>
        <v>34.760000000000005</v>
      </c>
      <c r="I8" s="68">
        <f t="shared" si="1"/>
        <v>37</v>
      </c>
      <c r="J8" s="69">
        <v>2910</v>
      </c>
      <c r="K8" s="70">
        <v>0</v>
      </c>
      <c r="L8" s="71">
        <v>0</v>
      </c>
      <c r="M8" s="71">
        <v>0</v>
      </c>
      <c r="N8" s="72">
        <f t="shared" si="2"/>
        <v>2473.5</v>
      </c>
      <c r="O8" s="73">
        <f t="shared" si="3"/>
        <v>2910</v>
      </c>
      <c r="P8" s="121">
        <f t="shared" si="4"/>
        <v>71.15937859608745</v>
      </c>
      <c r="Q8" s="74">
        <f t="shared" si="5"/>
        <v>0.15</v>
      </c>
      <c r="R8" s="75">
        <f t="shared" si="6"/>
        <v>436.5</v>
      </c>
      <c r="S8" s="74">
        <v>0.8</v>
      </c>
      <c r="T8" s="75">
        <f t="shared" si="7"/>
        <v>2328</v>
      </c>
      <c r="U8" s="76">
        <f t="shared" si="8"/>
        <v>4.9999999999999961E-2</v>
      </c>
      <c r="V8" s="69">
        <f t="shared" si="9"/>
        <v>145.49999999999989</v>
      </c>
      <c r="W8" s="77">
        <f ca="1">V8*VLOOKUP(TODAY(),'UF HOY'!$A$2:$B$36,2,0)</f>
        <v>5781288.2699999958</v>
      </c>
      <c r="X8" s="78">
        <f>Datos!$E$6</f>
        <v>18</v>
      </c>
      <c r="Y8" s="79">
        <f ca="1">IF((W8-1000000-Datos!$N$6)/X8&gt;0,(W8-1000000-Datos!$N$6)/X8,0)</f>
        <v>260071.57055555531</v>
      </c>
      <c r="Z8" s="78">
        <f>Datos!$E$6</f>
        <v>18</v>
      </c>
      <c r="AA8" s="79">
        <f ca="1">IF((W8-1000000-Datos!$N$6-1%*O8*VLOOKUP(TODAY(),'UF HOY'!$A$2:$B$33,2,0))/Z8&gt;0,(W8-1000000-Datos!$N$6-1%*O8*VLOOKUP(TODAY(),'UF HOY'!$A$2:$B$33,2,0))/Z8,0)</f>
        <v>195835.03422222199</v>
      </c>
      <c r="AB8" s="221">
        <f>IF(L8&gt;0,VLOOKUP(D8,Datos!$H$35:$J$38,3,0),VLOOKUP(D8,Datos!$H$35:$J$38,2,0))</f>
        <v>380000</v>
      </c>
      <c r="AC8" s="79">
        <f ca="1">(S8*PMT(Datos!$D$15,Datos!$D$13,-O8,,)*VLOOKUP(TODAY(),'UF HOY'!$A$2:$B$36,2,0)/12)+VLOOKUP(TODAY(),'UF HOY'!$A$2:$B$36,2,0)</f>
        <v>485510.57169916457</v>
      </c>
      <c r="AD8" s="79">
        <f t="shared" ca="1" si="10"/>
        <v>-105510.57169916457</v>
      </c>
      <c r="AE8" s="220">
        <f t="shared" ca="1" si="11"/>
        <v>1942042.2867966583</v>
      </c>
    </row>
    <row r="9" spans="1:31" hidden="1">
      <c r="A9" s="86" t="s">
        <v>171</v>
      </c>
      <c r="B9" s="86">
        <v>602</v>
      </c>
      <c r="C9" s="67" t="s">
        <v>129</v>
      </c>
      <c r="D9" s="67" t="s">
        <v>195</v>
      </c>
      <c r="E9" s="67"/>
      <c r="F9" s="66">
        <v>32.520000000000003</v>
      </c>
      <c r="G9" s="66">
        <v>4.4800000000000004</v>
      </c>
      <c r="H9" s="67">
        <f t="shared" si="0"/>
        <v>34.760000000000005</v>
      </c>
      <c r="I9" s="68">
        <f t="shared" si="1"/>
        <v>37</v>
      </c>
      <c r="J9" s="69">
        <v>2910</v>
      </c>
      <c r="K9" s="70">
        <v>0</v>
      </c>
      <c r="L9" s="71">
        <v>0</v>
      </c>
      <c r="M9" s="71">
        <v>0</v>
      </c>
      <c r="N9" s="72">
        <f t="shared" si="2"/>
        <v>2473.5</v>
      </c>
      <c r="O9" s="73">
        <f t="shared" si="3"/>
        <v>2910</v>
      </c>
      <c r="P9" s="121">
        <f t="shared" si="4"/>
        <v>71.15937859608745</v>
      </c>
      <c r="Q9" s="74">
        <f t="shared" si="5"/>
        <v>0.15</v>
      </c>
      <c r="R9" s="75">
        <f t="shared" si="6"/>
        <v>436.5</v>
      </c>
      <c r="S9" s="74">
        <v>0.8</v>
      </c>
      <c r="T9" s="75">
        <f t="shared" si="7"/>
        <v>2328</v>
      </c>
      <c r="U9" s="76">
        <f t="shared" si="8"/>
        <v>4.9999999999999961E-2</v>
      </c>
      <c r="V9" s="69">
        <f t="shared" si="9"/>
        <v>145.49999999999989</v>
      </c>
      <c r="W9" s="77">
        <f ca="1">V9*VLOOKUP(TODAY(),'UF HOY'!$A$2:$B$36,2,0)</f>
        <v>5781288.2699999958</v>
      </c>
      <c r="X9" s="78">
        <f>Datos!$E$6</f>
        <v>18</v>
      </c>
      <c r="Y9" s="79">
        <f ca="1">IF((W9-1000000-Datos!$N$6)/X9&gt;0,(W9-1000000-Datos!$N$6)/X9,0)</f>
        <v>260071.57055555531</v>
      </c>
      <c r="Z9" s="78">
        <f>Datos!$E$6</f>
        <v>18</v>
      </c>
      <c r="AA9" s="79">
        <f ca="1">IF((W9-1000000-Datos!$N$6-1%*O9*VLOOKUP(TODAY(),'UF HOY'!$A$2:$B$33,2,0))/Z9&gt;0,(W9-1000000-Datos!$N$6-1%*O9*VLOOKUP(TODAY(),'UF HOY'!$A$2:$B$33,2,0))/Z9,0)</f>
        <v>195835.03422222199</v>
      </c>
      <c r="AB9" s="221">
        <f>IF(L9&gt;0,VLOOKUP(D9,Datos!$H$35:$J$38,3,0),VLOOKUP(D9,Datos!$H$35:$J$38,2,0))</f>
        <v>380000</v>
      </c>
      <c r="AC9" s="79">
        <f ca="1">(S9*PMT(Datos!$D$15,Datos!$D$13,-O9,,)*VLOOKUP(TODAY(),'UF HOY'!$A$2:$B$36,2,0)/12)+VLOOKUP(TODAY(),'UF HOY'!$A$2:$B$36,2,0)</f>
        <v>485510.57169916457</v>
      </c>
      <c r="AD9" s="79">
        <f t="shared" ca="1" si="10"/>
        <v>-105510.57169916457</v>
      </c>
      <c r="AE9" s="220">
        <f t="shared" ca="1" si="11"/>
        <v>1942042.2867966583</v>
      </c>
    </row>
    <row r="10" spans="1:31" hidden="1">
      <c r="A10" s="86" t="s">
        <v>171</v>
      </c>
      <c r="B10" s="86">
        <v>702</v>
      </c>
      <c r="C10" s="67" t="s">
        <v>129</v>
      </c>
      <c r="D10" s="67" t="s">
        <v>195</v>
      </c>
      <c r="E10" s="67"/>
      <c r="F10" s="66">
        <v>32.520000000000003</v>
      </c>
      <c r="G10" s="66">
        <v>4.4800000000000004</v>
      </c>
      <c r="H10" s="67">
        <f t="shared" si="0"/>
        <v>34.760000000000005</v>
      </c>
      <c r="I10" s="68">
        <f t="shared" si="1"/>
        <v>37</v>
      </c>
      <c r="J10" s="69">
        <v>2910</v>
      </c>
      <c r="K10" s="70">
        <v>0</v>
      </c>
      <c r="L10" s="71">
        <v>0</v>
      </c>
      <c r="M10" s="71">
        <v>0</v>
      </c>
      <c r="N10" s="72">
        <f t="shared" si="2"/>
        <v>2473.5</v>
      </c>
      <c r="O10" s="73">
        <f t="shared" si="3"/>
        <v>2910</v>
      </c>
      <c r="P10" s="121">
        <f t="shared" si="4"/>
        <v>71.15937859608745</v>
      </c>
      <c r="Q10" s="74">
        <f t="shared" si="5"/>
        <v>0.15</v>
      </c>
      <c r="R10" s="75">
        <f t="shared" si="6"/>
        <v>436.5</v>
      </c>
      <c r="S10" s="74">
        <v>0.8</v>
      </c>
      <c r="T10" s="75">
        <f t="shared" si="7"/>
        <v>2328</v>
      </c>
      <c r="U10" s="76">
        <f t="shared" si="8"/>
        <v>4.9999999999999961E-2</v>
      </c>
      <c r="V10" s="69">
        <f t="shared" si="9"/>
        <v>145.49999999999989</v>
      </c>
      <c r="W10" s="77">
        <f ca="1">V10*VLOOKUP(TODAY(),'UF HOY'!$A$2:$B$36,2,0)</f>
        <v>5781288.2699999958</v>
      </c>
      <c r="X10" s="78">
        <f>Datos!$E$6</f>
        <v>18</v>
      </c>
      <c r="Y10" s="79">
        <f ca="1">IF((W10-1000000-Datos!$N$6)/X10&gt;0,(W10-1000000-Datos!$N$6)/X10,0)</f>
        <v>260071.57055555531</v>
      </c>
      <c r="Z10" s="78">
        <f>Datos!$E$6</f>
        <v>18</v>
      </c>
      <c r="AA10" s="79">
        <f ca="1">IF((W10-1000000-Datos!$N$6-1%*O10*VLOOKUP(TODAY(),'UF HOY'!$A$2:$B$33,2,0))/Z10&gt;0,(W10-1000000-Datos!$N$6-1%*O10*VLOOKUP(TODAY(),'UF HOY'!$A$2:$B$33,2,0))/Z10,0)</f>
        <v>195835.03422222199</v>
      </c>
      <c r="AB10" s="221">
        <f>IF(L10&gt;0,VLOOKUP(D10,Datos!$H$35:$J$38,3,0),VLOOKUP(D10,Datos!$H$35:$J$38,2,0))</f>
        <v>380000</v>
      </c>
      <c r="AC10" s="79">
        <f ca="1">(S10*PMT(Datos!$D$15,Datos!$D$13,-O10,,)*VLOOKUP(TODAY(),'UF HOY'!$A$2:$B$36,2,0)/12)+VLOOKUP(TODAY(),'UF HOY'!$A$2:$B$36,2,0)</f>
        <v>485510.57169916457</v>
      </c>
      <c r="AD10" s="79">
        <f t="shared" ca="1" si="10"/>
        <v>-105510.57169916457</v>
      </c>
      <c r="AE10" s="220">
        <f t="shared" ca="1" si="11"/>
        <v>1942042.2867966583</v>
      </c>
    </row>
    <row r="11" spans="1:31" hidden="1">
      <c r="A11" s="86" t="s">
        <v>171</v>
      </c>
      <c r="B11" s="86">
        <v>802</v>
      </c>
      <c r="C11" s="67" t="s">
        <v>129</v>
      </c>
      <c r="D11" s="67" t="s">
        <v>195</v>
      </c>
      <c r="E11" s="67"/>
      <c r="F11" s="66">
        <v>32.520000000000003</v>
      </c>
      <c r="G11" s="66">
        <v>4.4800000000000004</v>
      </c>
      <c r="H11" s="67">
        <f t="shared" si="0"/>
        <v>34.760000000000005</v>
      </c>
      <c r="I11" s="68">
        <f t="shared" si="1"/>
        <v>37</v>
      </c>
      <c r="J11" s="69">
        <v>2910</v>
      </c>
      <c r="K11" s="70">
        <v>0</v>
      </c>
      <c r="L11" s="71">
        <v>0</v>
      </c>
      <c r="M11" s="71">
        <v>0</v>
      </c>
      <c r="N11" s="72">
        <f t="shared" si="2"/>
        <v>2473.5</v>
      </c>
      <c r="O11" s="73">
        <f t="shared" si="3"/>
        <v>2910</v>
      </c>
      <c r="P11" s="121">
        <f t="shared" si="4"/>
        <v>71.15937859608745</v>
      </c>
      <c r="Q11" s="74">
        <f t="shared" si="5"/>
        <v>0.15</v>
      </c>
      <c r="R11" s="75">
        <f t="shared" si="6"/>
        <v>436.5</v>
      </c>
      <c r="S11" s="74">
        <v>0.8</v>
      </c>
      <c r="T11" s="75">
        <f t="shared" si="7"/>
        <v>2328</v>
      </c>
      <c r="U11" s="76">
        <f t="shared" si="8"/>
        <v>4.9999999999999961E-2</v>
      </c>
      <c r="V11" s="69">
        <f t="shared" si="9"/>
        <v>145.49999999999989</v>
      </c>
      <c r="W11" s="77">
        <f ca="1">V11*VLOOKUP(TODAY(),'UF HOY'!$A$2:$B$36,2,0)</f>
        <v>5781288.2699999958</v>
      </c>
      <c r="X11" s="78">
        <f>Datos!$E$6</f>
        <v>18</v>
      </c>
      <c r="Y11" s="79">
        <f ca="1">IF((W11-1000000-Datos!$N$6)/X11&gt;0,(W11-1000000-Datos!$N$6)/X11,0)</f>
        <v>260071.57055555531</v>
      </c>
      <c r="Z11" s="78">
        <f>Datos!$E$6</f>
        <v>18</v>
      </c>
      <c r="AA11" s="79">
        <f ca="1">IF((W11-1000000-Datos!$N$6-1%*O11*VLOOKUP(TODAY(),'UF HOY'!$A$2:$B$33,2,0))/Z11&gt;0,(W11-1000000-Datos!$N$6-1%*O11*VLOOKUP(TODAY(),'UF HOY'!$A$2:$B$33,2,0))/Z11,0)</f>
        <v>195835.03422222199</v>
      </c>
      <c r="AB11" s="221">
        <f>IF(L11&gt;0,VLOOKUP(D11,Datos!$H$35:$J$38,3,0),VLOOKUP(D11,Datos!$H$35:$J$38,2,0))</f>
        <v>380000</v>
      </c>
      <c r="AC11" s="79">
        <f ca="1">(S11*PMT(Datos!$D$15,Datos!$D$13,-O11,,)*VLOOKUP(TODAY(),'UF HOY'!$A$2:$B$36,2,0)/12)+VLOOKUP(TODAY(),'UF HOY'!$A$2:$B$36,2,0)</f>
        <v>485510.57169916457</v>
      </c>
      <c r="AD11" s="79">
        <f t="shared" ca="1" si="10"/>
        <v>-105510.57169916457</v>
      </c>
      <c r="AE11" s="220">
        <f t="shared" ca="1" si="11"/>
        <v>1942042.2867966583</v>
      </c>
    </row>
    <row r="12" spans="1:31" hidden="1">
      <c r="A12" s="86" t="s">
        <v>171</v>
      </c>
      <c r="B12" s="86">
        <v>902</v>
      </c>
      <c r="C12" s="67" t="s">
        <v>129</v>
      </c>
      <c r="D12" s="67" t="s">
        <v>195</v>
      </c>
      <c r="E12" s="67"/>
      <c r="F12" s="66">
        <v>32.520000000000003</v>
      </c>
      <c r="G12" s="66">
        <v>4.4800000000000004</v>
      </c>
      <c r="H12" s="67">
        <f t="shared" si="0"/>
        <v>34.760000000000005</v>
      </c>
      <c r="I12" s="68">
        <f t="shared" si="1"/>
        <v>37</v>
      </c>
      <c r="J12" s="69">
        <v>2910</v>
      </c>
      <c r="K12" s="70">
        <v>0</v>
      </c>
      <c r="L12" s="71">
        <v>0</v>
      </c>
      <c r="M12" s="71">
        <v>0</v>
      </c>
      <c r="N12" s="72">
        <f t="shared" si="2"/>
        <v>2473.5</v>
      </c>
      <c r="O12" s="73">
        <f t="shared" si="3"/>
        <v>2910</v>
      </c>
      <c r="P12" s="121">
        <f t="shared" si="4"/>
        <v>71.15937859608745</v>
      </c>
      <c r="Q12" s="74">
        <f t="shared" si="5"/>
        <v>0.15</v>
      </c>
      <c r="R12" s="75">
        <f t="shared" si="6"/>
        <v>436.5</v>
      </c>
      <c r="S12" s="74">
        <v>0.8</v>
      </c>
      <c r="T12" s="75">
        <f t="shared" si="7"/>
        <v>2328</v>
      </c>
      <c r="U12" s="76">
        <f t="shared" si="8"/>
        <v>4.9999999999999961E-2</v>
      </c>
      <c r="V12" s="69">
        <f t="shared" si="9"/>
        <v>145.49999999999989</v>
      </c>
      <c r="W12" s="77">
        <f ca="1">V12*VLOOKUP(TODAY(),'UF HOY'!$A$2:$B$36,2,0)</f>
        <v>5781288.2699999958</v>
      </c>
      <c r="X12" s="78">
        <f>Datos!$E$6</f>
        <v>18</v>
      </c>
      <c r="Y12" s="79">
        <f ca="1">IF((W12-1000000-Datos!$N$6)/X12&gt;0,(W12-1000000-Datos!$N$6)/X12,0)</f>
        <v>260071.57055555531</v>
      </c>
      <c r="Z12" s="78">
        <f>Datos!$E$6</f>
        <v>18</v>
      </c>
      <c r="AA12" s="79">
        <f ca="1">IF((W12-1000000-Datos!$N$6-1%*O12*VLOOKUP(TODAY(),'UF HOY'!$A$2:$B$33,2,0))/Z12&gt;0,(W12-1000000-Datos!$N$6-1%*O12*VLOOKUP(TODAY(),'UF HOY'!$A$2:$B$33,2,0))/Z12,0)</f>
        <v>195835.03422222199</v>
      </c>
      <c r="AB12" s="221">
        <f>IF(L12&gt;0,VLOOKUP(D12,Datos!$H$35:$J$38,3,0),VLOOKUP(D12,Datos!$H$35:$J$38,2,0))</f>
        <v>380000</v>
      </c>
      <c r="AC12" s="79">
        <f ca="1">(S12*PMT(Datos!$D$15,Datos!$D$13,-O12,,)*VLOOKUP(TODAY(),'UF HOY'!$A$2:$B$36,2,0)/12)+VLOOKUP(TODAY(),'UF HOY'!$A$2:$B$36,2,0)</f>
        <v>485510.57169916457</v>
      </c>
      <c r="AD12" s="79">
        <f t="shared" ca="1" si="10"/>
        <v>-105510.57169916457</v>
      </c>
      <c r="AE12" s="220">
        <f t="shared" ca="1" si="11"/>
        <v>1942042.2867966583</v>
      </c>
    </row>
    <row r="13" spans="1:31" hidden="1">
      <c r="A13" s="86" t="s">
        <v>171</v>
      </c>
      <c r="B13" s="86">
        <v>1302</v>
      </c>
      <c r="C13" s="67" t="s">
        <v>129</v>
      </c>
      <c r="D13" s="67" t="s">
        <v>195</v>
      </c>
      <c r="E13" s="67"/>
      <c r="F13" s="66">
        <v>32.520000000000003</v>
      </c>
      <c r="G13" s="66">
        <v>4.4800000000000004</v>
      </c>
      <c r="H13" s="67">
        <f t="shared" si="0"/>
        <v>34.760000000000005</v>
      </c>
      <c r="I13" s="68">
        <f t="shared" si="1"/>
        <v>37</v>
      </c>
      <c r="J13" s="69">
        <v>2910</v>
      </c>
      <c r="K13" s="70">
        <v>0</v>
      </c>
      <c r="L13" s="71">
        <v>0</v>
      </c>
      <c r="M13" s="71">
        <v>0</v>
      </c>
      <c r="N13" s="72">
        <f t="shared" si="2"/>
        <v>2473.5</v>
      </c>
      <c r="O13" s="73">
        <f t="shared" si="3"/>
        <v>2910</v>
      </c>
      <c r="P13" s="121">
        <f t="shared" si="4"/>
        <v>71.15937859608745</v>
      </c>
      <c r="Q13" s="74">
        <f t="shared" si="5"/>
        <v>0.15</v>
      </c>
      <c r="R13" s="75">
        <f t="shared" si="6"/>
        <v>436.5</v>
      </c>
      <c r="S13" s="74">
        <v>0.8</v>
      </c>
      <c r="T13" s="75">
        <f t="shared" si="7"/>
        <v>2328</v>
      </c>
      <c r="U13" s="76">
        <f t="shared" si="8"/>
        <v>4.9999999999999961E-2</v>
      </c>
      <c r="V13" s="69">
        <f t="shared" si="9"/>
        <v>145.49999999999989</v>
      </c>
      <c r="W13" s="77">
        <f ca="1">V13*VLOOKUP(TODAY(),'UF HOY'!$A$2:$B$36,2,0)</f>
        <v>5781288.2699999958</v>
      </c>
      <c r="X13" s="78">
        <f>Datos!$E$6</f>
        <v>18</v>
      </c>
      <c r="Y13" s="79">
        <f ca="1">IF((W13-1000000-Datos!$N$6)/X13&gt;0,(W13-1000000-Datos!$N$6)/X13,0)</f>
        <v>260071.57055555531</v>
      </c>
      <c r="Z13" s="78">
        <f>Datos!$E$6</f>
        <v>18</v>
      </c>
      <c r="AA13" s="79">
        <f ca="1">IF((W13-1000000-Datos!$N$6-1%*O13*VLOOKUP(TODAY(),'UF HOY'!$A$2:$B$33,2,0))/Z13&gt;0,(W13-1000000-Datos!$N$6-1%*O13*VLOOKUP(TODAY(),'UF HOY'!$A$2:$B$33,2,0))/Z13,0)</f>
        <v>195835.03422222199</v>
      </c>
      <c r="AB13" s="221">
        <f>IF(L13&gt;0,VLOOKUP(D13,Datos!$H$35:$J$38,3,0),VLOOKUP(D13,Datos!$H$35:$J$38,2,0))</f>
        <v>380000</v>
      </c>
      <c r="AC13" s="79">
        <f ca="1">(S13*PMT(Datos!$D$15,Datos!$D$13,-O13,,)*VLOOKUP(TODAY(),'UF HOY'!$A$2:$B$36,2,0)/12)+VLOOKUP(TODAY(),'UF HOY'!$A$2:$B$36,2,0)</f>
        <v>485510.57169916457</v>
      </c>
      <c r="AD13" s="79">
        <f t="shared" ca="1" si="10"/>
        <v>-105510.57169916457</v>
      </c>
      <c r="AE13" s="220">
        <f t="shared" ca="1" si="11"/>
        <v>1942042.2867966583</v>
      </c>
    </row>
    <row r="14" spans="1:31" hidden="1">
      <c r="A14" s="86" t="s">
        <v>171</v>
      </c>
      <c r="B14" s="86">
        <v>605</v>
      </c>
      <c r="C14" s="67" t="s">
        <v>130</v>
      </c>
      <c r="D14" s="67" t="s">
        <v>195</v>
      </c>
      <c r="E14" s="67"/>
      <c r="F14" s="66">
        <v>32.520000000000003</v>
      </c>
      <c r="G14" s="66">
        <v>4.4800000000000004</v>
      </c>
      <c r="H14" s="67">
        <f t="shared" si="0"/>
        <v>34.760000000000005</v>
      </c>
      <c r="I14" s="68">
        <f t="shared" si="1"/>
        <v>37</v>
      </c>
      <c r="J14" s="69">
        <v>2930</v>
      </c>
      <c r="K14" s="70">
        <v>0</v>
      </c>
      <c r="L14" s="71">
        <v>0</v>
      </c>
      <c r="M14" s="71">
        <v>0</v>
      </c>
      <c r="N14" s="72">
        <f t="shared" si="2"/>
        <v>2490.5</v>
      </c>
      <c r="O14" s="73">
        <f t="shared" si="3"/>
        <v>2930</v>
      </c>
      <c r="P14" s="121">
        <f t="shared" si="4"/>
        <v>71.648446490218632</v>
      </c>
      <c r="Q14" s="74">
        <f t="shared" si="5"/>
        <v>0.15</v>
      </c>
      <c r="R14" s="75">
        <f t="shared" si="6"/>
        <v>439.5</v>
      </c>
      <c r="S14" s="74">
        <v>0.8</v>
      </c>
      <c r="T14" s="75">
        <f t="shared" si="7"/>
        <v>2344</v>
      </c>
      <c r="U14" s="76">
        <f t="shared" si="8"/>
        <v>4.9999999999999961E-2</v>
      </c>
      <c r="V14" s="69">
        <f t="shared" si="9"/>
        <v>146.49999999999989</v>
      </c>
      <c r="W14" s="77">
        <f ca="1">V14*VLOOKUP(TODAY(),'UF HOY'!$A$2:$B$36,2,0)</f>
        <v>5821022.2099999962</v>
      </c>
      <c r="X14" s="78">
        <f>Datos!$E$6</f>
        <v>18</v>
      </c>
      <c r="Y14" s="79">
        <f ca="1">IF((W14-1000000-Datos!$N$6)/X14&gt;0,(W14-1000000-Datos!$N$6)/X14,0)</f>
        <v>262279.01166666648</v>
      </c>
      <c r="Z14" s="78">
        <f>Datos!$E$6</f>
        <v>18</v>
      </c>
      <c r="AA14" s="79">
        <f ca="1">IF((W14-1000000-Datos!$N$6-1%*O14*VLOOKUP(TODAY(),'UF HOY'!$A$2:$B$33,2,0))/Z14&gt;0,(W14-1000000-Datos!$N$6-1%*O14*VLOOKUP(TODAY(),'UF HOY'!$A$2:$B$33,2,0))/Z14,0)</f>
        <v>197600.98711111091</v>
      </c>
      <c r="AB14" s="221">
        <f>IF(L14&gt;0,VLOOKUP(D14,Datos!$H$35:$J$38,3,0),VLOOKUP(D14,Datos!$H$35:$J$38,2,0))</f>
        <v>380000</v>
      </c>
      <c r="AC14" s="79">
        <f ca="1">(S14*PMT(Datos!$D$15,Datos!$D$13,-O14,,)*VLOOKUP(TODAY(),'UF HOY'!$A$2:$B$36,2,0)/12)+VLOOKUP(TODAY(),'UF HOY'!$A$2:$B$36,2,0)</f>
        <v>488574.32861805923</v>
      </c>
      <c r="AD14" s="79">
        <f t="shared" ca="1" si="10"/>
        <v>-108574.32861805923</v>
      </c>
      <c r="AE14" s="220">
        <f t="shared" ca="1" si="11"/>
        <v>1954297.3144722369</v>
      </c>
    </row>
    <row r="15" spans="1:31" hidden="1">
      <c r="A15" s="86" t="s">
        <v>171</v>
      </c>
      <c r="B15" s="86">
        <v>1002</v>
      </c>
      <c r="C15" s="67" t="s">
        <v>129</v>
      </c>
      <c r="D15" s="67" t="s">
        <v>195</v>
      </c>
      <c r="E15" s="67"/>
      <c r="F15" s="66">
        <v>32.520000000000003</v>
      </c>
      <c r="G15" s="66">
        <v>4.4800000000000004</v>
      </c>
      <c r="H15" s="67">
        <f t="shared" si="0"/>
        <v>34.760000000000005</v>
      </c>
      <c r="I15" s="68">
        <f t="shared" si="1"/>
        <v>37</v>
      </c>
      <c r="J15" s="69">
        <v>2930</v>
      </c>
      <c r="K15" s="70">
        <v>0</v>
      </c>
      <c r="L15" s="71">
        <v>0</v>
      </c>
      <c r="M15" s="71">
        <v>0</v>
      </c>
      <c r="N15" s="72">
        <f t="shared" si="2"/>
        <v>2490.5</v>
      </c>
      <c r="O15" s="73">
        <f t="shared" si="3"/>
        <v>2930</v>
      </c>
      <c r="P15" s="121">
        <f t="shared" si="4"/>
        <v>71.648446490218632</v>
      </c>
      <c r="Q15" s="74">
        <f t="shared" si="5"/>
        <v>0.15</v>
      </c>
      <c r="R15" s="75">
        <f t="shared" si="6"/>
        <v>439.5</v>
      </c>
      <c r="S15" s="74">
        <v>0.8</v>
      </c>
      <c r="T15" s="75">
        <f t="shared" si="7"/>
        <v>2344</v>
      </c>
      <c r="U15" s="76">
        <f t="shared" si="8"/>
        <v>4.9999999999999961E-2</v>
      </c>
      <c r="V15" s="69">
        <f t="shared" si="9"/>
        <v>146.49999999999989</v>
      </c>
      <c r="W15" s="77">
        <f ca="1">V15*VLOOKUP(TODAY(),'UF HOY'!$A$2:$B$36,2,0)</f>
        <v>5821022.2099999962</v>
      </c>
      <c r="X15" s="78">
        <f>Datos!$E$6</f>
        <v>18</v>
      </c>
      <c r="Y15" s="79">
        <f ca="1">IF((W15-1000000-Datos!$N$6)/X15&gt;0,(W15-1000000-Datos!$N$6)/X15,0)</f>
        <v>262279.01166666648</v>
      </c>
      <c r="Z15" s="78">
        <f>Datos!$E$6</f>
        <v>18</v>
      </c>
      <c r="AA15" s="79">
        <f ca="1">IF((W15-1000000-Datos!$N$6-1%*O15*VLOOKUP(TODAY(),'UF HOY'!$A$2:$B$33,2,0))/Z15&gt;0,(W15-1000000-Datos!$N$6-1%*O15*VLOOKUP(TODAY(),'UF HOY'!$A$2:$B$33,2,0))/Z15,0)</f>
        <v>197600.98711111091</v>
      </c>
      <c r="AB15" s="221">
        <f>IF(L15&gt;0,VLOOKUP(D15,Datos!$H$35:$J$38,3,0),VLOOKUP(D15,Datos!$H$35:$J$38,2,0))</f>
        <v>380000</v>
      </c>
      <c r="AC15" s="79">
        <f ca="1">(S15*PMT(Datos!$D$15,Datos!$D$13,-O15,,)*VLOOKUP(TODAY(),'UF HOY'!$A$2:$B$36,2,0)/12)+VLOOKUP(TODAY(),'UF HOY'!$A$2:$B$36,2,0)</f>
        <v>488574.32861805923</v>
      </c>
      <c r="AD15" s="79">
        <f t="shared" ca="1" si="10"/>
        <v>-108574.32861805923</v>
      </c>
      <c r="AE15" s="220">
        <f t="shared" ca="1" si="11"/>
        <v>1954297.3144722369</v>
      </c>
    </row>
    <row r="16" spans="1:31" hidden="1">
      <c r="A16" s="86" t="s">
        <v>171</v>
      </c>
      <c r="B16" s="86">
        <v>305</v>
      </c>
      <c r="C16" s="67" t="s">
        <v>130</v>
      </c>
      <c r="D16" s="67" t="s">
        <v>195</v>
      </c>
      <c r="E16" s="67"/>
      <c r="F16" s="66">
        <v>32.520000000000003</v>
      </c>
      <c r="G16" s="66">
        <v>4.4800000000000004</v>
      </c>
      <c r="H16" s="67">
        <f t="shared" si="0"/>
        <v>34.760000000000005</v>
      </c>
      <c r="I16" s="68">
        <f t="shared" si="1"/>
        <v>37</v>
      </c>
      <c r="J16" s="69">
        <v>2930</v>
      </c>
      <c r="K16" s="70">
        <v>0</v>
      </c>
      <c r="L16" s="71">
        <v>0</v>
      </c>
      <c r="M16" s="71">
        <v>0</v>
      </c>
      <c r="N16" s="72">
        <f t="shared" si="2"/>
        <v>2490.5</v>
      </c>
      <c r="O16" s="73">
        <f t="shared" si="3"/>
        <v>2930</v>
      </c>
      <c r="P16" s="121">
        <f t="shared" si="4"/>
        <v>71.648446490218632</v>
      </c>
      <c r="Q16" s="74">
        <f t="shared" si="5"/>
        <v>0.15</v>
      </c>
      <c r="R16" s="75">
        <f t="shared" si="6"/>
        <v>439.5</v>
      </c>
      <c r="S16" s="74">
        <v>0.8</v>
      </c>
      <c r="T16" s="75">
        <f t="shared" si="7"/>
        <v>2344</v>
      </c>
      <c r="U16" s="76">
        <f t="shared" si="8"/>
        <v>4.9999999999999961E-2</v>
      </c>
      <c r="V16" s="69">
        <f t="shared" si="9"/>
        <v>146.49999999999989</v>
      </c>
      <c r="W16" s="77">
        <f ca="1">V16*VLOOKUP(TODAY(),'UF HOY'!$A$2:$B$36,2,0)</f>
        <v>5821022.2099999962</v>
      </c>
      <c r="X16" s="78">
        <f>Datos!$E$6</f>
        <v>18</v>
      </c>
      <c r="Y16" s="79">
        <f ca="1">IF((W16-1000000-Datos!$N$6)/X16&gt;0,(W16-1000000-Datos!$N$6)/X16,0)</f>
        <v>262279.01166666648</v>
      </c>
      <c r="Z16" s="78">
        <f>Datos!$E$6</f>
        <v>18</v>
      </c>
      <c r="AA16" s="79">
        <f ca="1">IF((W16-1000000-Datos!$N$6-1%*O16*VLOOKUP(TODAY(),'UF HOY'!$A$2:$B$33,2,0))/Z16&gt;0,(W16-1000000-Datos!$N$6-1%*O16*VLOOKUP(TODAY(),'UF HOY'!$A$2:$B$33,2,0))/Z16,0)</f>
        <v>197600.98711111091</v>
      </c>
      <c r="AB16" s="221">
        <f>IF(L16&gt;0,VLOOKUP(D16,Datos!$H$35:$J$38,3,0),VLOOKUP(D16,Datos!$H$35:$J$38,2,0))</f>
        <v>380000</v>
      </c>
      <c r="AC16" s="79">
        <f ca="1">(S16*PMT(Datos!$D$15,Datos!$D$13,-O16,,)*VLOOKUP(TODAY(),'UF HOY'!$A$2:$B$36,2,0)/12)+VLOOKUP(TODAY(),'UF HOY'!$A$2:$B$36,2,0)</f>
        <v>488574.32861805923</v>
      </c>
      <c r="AD16" s="79">
        <f t="shared" ca="1" si="10"/>
        <v>-108574.32861805923</v>
      </c>
      <c r="AE16" s="220">
        <f t="shared" ca="1" si="11"/>
        <v>1954297.3144722369</v>
      </c>
    </row>
    <row r="17" spans="1:31" hidden="1">
      <c r="A17" s="86" t="s">
        <v>171</v>
      </c>
      <c r="B17" s="86">
        <v>405</v>
      </c>
      <c r="C17" s="67" t="s">
        <v>130</v>
      </c>
      <c r="D17" s="67" t="s">
        <v>195</v>
      </c>
      <c r="E17" s="67"/>
      <c r="F17" s="66">
        <v>32.520000000000003</v>
      </c>
      <c r="G17" s="66">
        <v>4.4800000000000004</v>
      </c>
      <c r="H17" s="67">
        <f t="shared" si="0"/>
        <v>34.760000000000005</v>
      </c>
      <c r="I17" s="68">
        <f t="shared" si="1"/>
        <v>37</v>
      </c>
      <c r="J17" s="69">
        <v>2930</v>
      </c>
      <c r="K17" s="70">
        <v>0</v>
      </c>
      <c r="L17" s="71">
        <v>0</v>
      </c>
      <c r="M17" s="71">
        <v>0</v>
      </c>
      <c r="N17" s="72">
        <f t="shared" si="2"/>
        <v>2490.5</v>
      </c>
      <c r="O17" s="73">
        <f t="shared" si="3"/>
        <v>2930</v>
      </c>
      <c r="P17" s="121">
        <f t="shared" si="4"/>
        <v>71.648446490218632</v>
      </c>
      <c r="Q17" s="74">
        <f t="shared" si="5"/>
        <v>0.15</v>
      </c>
      <c r="R17" s="75">
        <f t="shared" si="6"/>
        <v>439.5</v>
      </c>
      <c r="S17" s="74">
        <v>0.8</v>
      </c>
      <c r="T17" s="75">
        <f t="shared" si="7"/>
        <v>2344</v>
      </c>
      <c r="U17" s="76">
        <f t="shared" si="8"/>
        <v>4.9999999999999961E-2</v>
      </c>
      <c r="V17" s="69">
        <f t="shared" si="9"/>
        <v>146.49999999999989</v>
      </c>
      <c r="W17" s="77">
        <f ca="1">V17*VLOOKUP(TODAY(),'UF HOY'!$A$2:$B$36,2,0)</f>
        <v>5821022.2099999962</v>
      </c>
      <c r="X17" s="78">
        <f>Datos!$E$6</f>
        <v>18</v>
      </c>
      <c r="Y17" s="79">
        <f ca="1">IF((W17-1000000-Datos!$N$6)/X17&gt;0,(W17-1000000-Datos!$N$6)/X17,0)</f>
        <v>262279.01166666648</v>
      </c>
      <c r="Z17" s="78">
        <f>Datos!$E$6</f>
        <v>18</v>
      </c>
      <c r="AA17" s="79">
        <f ca="1">IF((W17-1000000-Datos!$N$6-1%*O17*VLOOKUP(TODAY(),'UF HOY'!$A$2:$B$33,2,0))/Z17&gt;0,(W17-1000000-Datos!$N$6-1%*O17*VLOOKUP(TODAY(),'UF HOY'!$A$2:$B$33,2,0))/Z17,0)</f>
        <v>197600.98711111091</v>
      </c>
      <c r="AB17" s="221">
        <f>IF(L17&gt;0,VLOOKUP(D17,Datos!$H$35:$J$38,3,0),VLOOKUP(D17,Datos!$H$35:$J$38,2,0))</f>
        <v>380000</v>
      </c>
      <c r="AC17" s="79">
        <f ca="1">(S17*PMT(Datos!$D$15,Datos!$D$13,-O17,,)*VLOOKUP(TODAY(),'UF HOY'!$A$2:$B$36,2,0)/12)+VLOOKUP(TODAY(),'UF HOY'!$A$2:$B$36,2,0)</f>
        <v>488574.32861805923</v>
      </c>
      <c r="AD17" s="79">
        <f t="shared" ca="1" si="10"/>
        <v>-108574.32861805923</v>
      </c>
      <c r="AE17" s="220">
        <f t="shared" ca="1" si="11"/>
        <v>1954297.3144722369</v>
      </c>
    </row>
    <row r="18" spans="1:31" hidden="1">
      <c r="A18" s="86" t="s">
        <v>171</v>
      </c>
      <c r="B18" s="86">
        <v>505</v>
      </c>
      <c r="C18" s="67" t="s">
        <v>130</v>
      </c>
      <c r="D18" s="67" t="s">
        <v>195</v>
      </c>
      <c r="E18" s="67"/>
      <c r="F18" s="66">
        <v>32.520000000000003</v>
      </c>
      <c r="G18" s="66">
        <v>4.4800000000000004</v>
      </c>
      <c r="H18" s="67">
        <f t="shared" si="0"/>
        <v>34.760000000000005</v>
      </c>
      <c r="I18" s="68">
        <f t="shared" si="1"/>
        <v>37</v>
      </c>
      <c r="J18" s="69">
        <v>2930</v>
      </c>
      <c r="K18" s="70">
        <v>0</v>
      </c>
      <c r="L18" s="71">
        <v>0</v>
      </c>
      <c r="M18" s="71">
        <v>0</v>
      </c>
      <c r="N18" s="72">
        <f t="shared" si="2"/>
        <v>2490.5</v>
      </c>
      <c r="O18" s="73">
        <f t="shared" si="3"/>
        <v>2930</v>
      </c>
      <c r="P18" s="121">
        <f t="shared" si="4"/>
        <v>71.648446490218632</v>
      </c>
      <c r="Q18" s="74">
        <f t="shared" si="5"/>
        <v>0.15</v>
      </c>
      <c r="R18" s="75">
        <f t="shared" si="6"/>
        <v>439.5</v>
      </c>
      <c r="S18" s="74">
        <v>0.8</v>
      </c>
      <c r="T18" s="75">
        <f t="shared" si="7"/>
        <v>2344</v>
      </c>
      <c r="U18" s="76">
        <f t="shared" si="8"/>
        <v>4.9999999999999961E-2</v>
      </c>
      <c r="V18" s="69">
        <f t="shared" si="9"/>
        <v>146.49999999999989</v>
      </c>
      <c r="W18" s="77">
        <f ca="1">V18*VLOOKUP(TODAY(),'UF HOY'!$A$2:$B$36,2,0)</f>
        <v>5821022.2099999962</v>
      </c>
      <c r="X18" s="78">
        <f>Datos!$E$6</f>
        <v>18</v>
      </c>
      <c r="Y18" s="79">
        <f ca="1">IF((W18-1000000-Datos!$N$6)/X18&gt;0,(W18-1000000-Datos!$N$6)/X18,0)</f>
        <v>262279.01166666648</v>
      </c>
      <c r="Z18" s="78">
        <f>Datos!$E$6</f>
        <v>18</v>
      </c>
      <c r="AA18" s="79">
        <f ca="1">IF((W18-1000000-Datos!$N$6-1%*O18*VLOOKUP(TODAY(),'UF HOY'!$A$2:$B$33,2,0))/Z18&gt;0,(W18-1000000-Datos!$N$6-1%*O18*VLOOKUP(TODAY(),'UF HOY'!$A$2:$B$33,2,0))/Z18,0)</f>
        <v>197600.98711111091</v>
      </c>
      <c r="AB18" s="221">
        <f>IF(L18&gt;0,VLOOKUP(D18,Datos!$H$35:$J$38,3,0),VLOOKUP(D18,Datos!$H$35:$J$38,2,0))</f>
        <v>380000</v>
      </c>
      <c r="AC18" s="79">
        <f ca="1">(S18*PMT(Datos!$D$15,Datos!$D$13,-O18,,)*VLOOKUP(TODAY(),'UF HOY'!$A$2:$B$36,2,0)/12)+VLOOKUP(TODAY(),'UF HOY'!$A$2:$B$36,2,0)</f>
        <v>488574.32861805923</v>
      </c>
      <c r="AD18" s="79">
        <f t="shared" ca="1" si="10"/>
        <v>-108574.32861805923</v>
      </c>
      <c r="AE18" s="220">
        <f t="shared" ca="1" si="11"/>
        <v>1954297.3144722369</v>
      </c>
    </row>
    <row r="19" spans="1:31" hidden="1">
      <c r="A19" s="86" t="s">
        <v>171</v>
      </c>
      <c r="B19" s="86">
        <v>705</v>
      </c>
      <c r="C19" s="67" t="s">
        <v>130</v>
      </c>
      <c r="D19" s="67" t="s">
        <v>195</v>
      </c>
      <c r="E19" s="67"/>
      <c r="F19" s="66">
        <v>32.520000000000003</v>
      </c>
      <c r="G19" s="66">
        <v>4.4800000000000004</v>
      </c>
      <c r="H19" s="67">
        <f t="shared" si="0"/>
        <v>34.760000000000005</v>
      </c>
      <c r="I19" s="68">
        <f t="shared" si="1"/>
        <v>37</v>
      </c>
      <c r="J19" s="69">
        <v>2930</v>
      </c>
      <c r="K19" s="70">
        <v>0</v>
      </c>
      <c r="L19" s="71">
        <v>0</v>
      </c>
      <c r="M19" s="71">
        <v>0</v>
      </c>
      <c r="N19" s="72">
        <f t="shared" si="2"/>
        <v>2490.5</v>
      </c>
      <c r="O19" s="73">
        <f t="shared" si="3"/>
        <v>2930</v>
      </c>
      <c r="P19" s="121">
        <f t="shared" si="4"/>
        <v>71.648446490218632</v>
      </c>
      <c r="Q19" s="74">
        <f t="shared" si="5"/>
        <v>0.15</v>
      </c>
      <c r="R19" s="75">
        <f t="shared" si="6"/>
        <v>439.5</v>
      </c>
      <c r="S19" s="74">
        <v>0.8</v>
      </c>
      <c r="T19" s="75">
        <f t="shared" si="7"/>
        <v>2344</v>
      </c>
      <c r="U19" s="76">
        <f t="shared" si="8"/>
        <v>4.9999999999999961E-2</v>
      </c>
      <c r="V19" s="69">
        <f t="shared" si="9"/>
        <v>146.49999999999989</v>
      </c>
      <c r="W19" s="77">
        <f ca="1">V19*VLOOKUP(TODAY(),'UF HOY'!$A$2:$B$36,2,0)</f>
        <v>5821022.2099999962</v>
      </c>
      <c r="X19" s="78">
        <f>Datos!$E$6</f>
        <v>18</v>
      </c>
      <c r="Y19" s="79">
        <f ca="1">IF((W19-1000000-Datos!$N$6)/X19&gt;0,(W19-1000000-Datos!$N$6)/X19,0)</f>
        <v>262279.01166666648</v>
      </c>
      <c r="Z19" s="78">
        <f>Datos!$E$6</f>
        <v>18</v>
      </c>
      <c r="AA19" s="79">
        <f ca="1">IF((W19-1000000-Datos!$N$6-1%*O19*VLOOKUP(TODAY(),'UF HOY'!$A$2:$B$33,2,0))/Z19&gt;0,(W19-1000000-Datos!$N$6-1%*O19*VLOOKUP(TODAY(),'UF HOY'!$A$2:$B$33,2,0))/Z19,0)</f>
        <v>197600.98711111091</v>
      </c>
      <c r="AB19" s="221">
        <f>IF(L19&gt;0,VLOOKUP(D19,Datos!$H$35:$J$38,3,0),VLOOKUP(D19,Datos!$H$35:$J$38,2,0))</f>
        <v>380000</v>
      </c>
      <c r="AC19" s="79">
        <f ca="1">(S19*PMT(Datos!$D$15,Datos!$D$13,-O19,,)*VLOOKUP(TODAY(),'UF HOY'!$A$2:$B$36,2,0)/12)+VLOOKUP(TODAY(),'UF HOY'!$A$2:$B$36,2,0)</f>
        <v>488574.32861805923</v>
      </c>
      <c r="AD19" s="79">
        <f t="shared" ca="1" si="10"/>
        <v>-108574.32861805923</v>
      </c>
      <c r="AE19" s="220">
        <f t="shared" ca="1" si="11"/>
        <v>1954297.3144722369</v>
      </c>
    </row>
    <row r="20" spans="1:31" hidden="1">
      <c r="A20" s="86" t="s">
        <v>171</v>
      </c>
      <c r="B20" s="86">
        <v>805</v>
      </c>
      <c r="C20" s="67" t="s">
        <v>130</v>
      </c>
      <c r="D20" s="67" t="s">
        <v>195</v>
      </c>
      <c r="E20" s="67"/>
      <c r="F20" s="66">
        <v>32.520000000000003</v>
      </c>
      <c r="G20" s="66">
        <v>4.4800000000000004</v>
      </c>
      <c r="H20" s="67">
        <f t="shared" si="0"/>
        <v>34.760000000000005</v>
      </c>
      <c r="I20" s="68">
        <f t="shared" si="1"/>
        <v>37</v>
      </c>
      <c r="J20" s="69">
        <v>2930</v>
      </c>
      <c r="K20" s="70">
        <v>0</v>
      </c>
      <c r="L20" s="71">
        <v>0</v>
      </c>
      <c r="M20" s="71">
        <v>0</v>
      </c>
      <c r="N20" s="72">
        <f t="shared" si="2"/>
        <v>2490.5</v>
      </c>
      <c r="O20" s="73">
        <f t="shared" si="3"/>
        <v>2930</v>
      </c>
      <c r="P20" s="121">
        <f t="shared" si="4"/>
        <v>71.648446490218632</v>
      </c>
      <c r="Q20" s="74">
        <f t="shared" si="5"/>
        <v>0.15</v>
      </c>
      <c r="R20" s="75">
        <f t="shared" si="6"/>
        <v>439.5</v>
      </c>
      <c r="S20" s="74">
        <v>0.8</v>
      </c>
      <c r="T20" s="75">
        <f t="shared" si="7"/>
        <v>2344</v>
      </c>
      <c r="U20" s="76">
        <f t="shared" si="8"/>
        <v>4.9999999999999961E-2</v>
      </c>
      <c r="V20" s="69">
        <f t="shared" si="9"/>
        <v>146.49999999999989</v>
      </c>
      <c r="W20" s="77">
        <f ca="1">V20*VLOOKUP(TODAY(),'UF HOY'!$A$2:$B$36,2,0)</f>
        <v>5821022.2099999962</v>
      </c>
      <c r="X20" s="78">
        <f>Datos!$E$6</f>
        <v>18</v>
      </c>
      <c r="Y20" s="79">
        <f ca="1">IF((W20-1000000-Datos!$N$6)/X20&gt;0,(W20-1000000-Datos!$N$6)/X20,0)</f>
        <v>262279.01166666648</v>
      </c>
      <c r="Z20" s="78">
        <f>Datos!$E$6</f>
        <v>18</v>
      </c>
      <c r="AA20" s="79">
        <f ca="1">IF((W20-1000000-Datos!$N$6-1%*O20*VLOOKUP(TODAY(),'UF HOY'!$A$2:$B$33,2,0))/Z20&gt;0,(W20-1000000-Datos!$N$6-1%*O20*VLOOKUP(TODAY(),'UF HOY'!$A$2:$B$33,2,0))/Z20,0)</f>
        <v>197600.98711111091</v>
      </c>
      <c r="AB20" s="221">
        <f>IF(L20&gt;0,VLOOKUP(D20,Datos!$H$35:$J$38,3,0),VLOOKUP(D20,Datos!$H$35:$J$38,2,0))</f>
        <v>380000</v>
      </c>
      <c r="AC20" s="79">
        <f ca="1">(S20*PMT(Datos!$D$15,Datos!$D$13,-O20,,)*VLOOKUP(TODAY(),'UF HOY'!$A$2:$B$36,2,0)/12)+VLOOKUP(TODAY(),'UF HOY'!$A$2:$B$36,2,0)</f>
        <v>488574.32861805923</v>
      </c>
      <c r="AD20" s="79">
        <f t="shared" ca="1" si="10"/>
        <v>-108574.32861805923</v>
      </c>
      <c r="AE20" s="220">
        <f t="shared" ca="1" si="11"/>
        <v>1954297.3144722369</v>
      </c>
    </row>
    <row r="21" spans="1:31" hidden="1">
      <c r="A21" s="86" t="s">
        <v>171</v>
      </c>
      <c r="B21" s="86">
        <v>905</v>
      </c>
      <c r="C21" s="67" t="s">
        <v>130</v>
      </c>
      <c r="D21" s="67" t="s">
        <v>195</v>
      </c>
      <c r="E21" s="67"/>
      <c r="F21" s="66">
        <v>32.520000000000003</v>
      </c>
      <c r="G21" s="66">
        <v>4.4800000000000004</v>
      </c>
      <c r="H21" s="67">
        <f t="shared" si="0"/>
        <v>34.760000000000005</v>
      </c>
      <c r="I21" s="68">
        <f t="shared" si="1"/>
        <v>37</v>
      </c>
      <c r="J21" s="69">
        <v>2930</v>
      </c>
      <c r="K21" s="70">
        <v>0</v>
      </c>
      <c r="L21" s="71">
        <v>0</v>
      </c>
      <c r="M21" s="71">
        <v>0</v>
      </c>
      <c r="N21" s="72">
        <f t="shared" si="2"/>
        <v>2490.5</v>
      </c>
      <c r="O21" s="73">
        <f t="shared" si="3"/>
        <v>2930</v>
      </c>
      <c r="P21" s="121">
        <f t="shared" si="4"/>
        <v>71.648446490218632</v>
      </c>
      <c r="Q21" s="74">
        <f t="shared" si="5"/>
        <v>0.15</v>
      </c>
      <c r="R21" s="75">
        <f t="shared" si="6"/>
        <v>439.5</v>
      </c>
      <c r="S21" s="74">
        <v>0.8</v>
      </c>
      <c r="T21" s="75">
        <f t="shared" si="7"/>
        <v>2344</v>
      </c>
      <c r="U21" s="76">
        <f t="shared" si="8"/>
        <v>4.9999999999999961E-2</v>
      </c>
      <c r="V21" s="69">
        <f t="shared" si="9"/>
        <v>146.49999999999989</v>
      </c>
      <c r="W21" s="77">
        <f ca="1">V21*VLOOKUP(TODAY(),'UF HOY'!$A$2:$B$36,2,0)</f>
        <v>5821022.2099999962</v>
      </c>
      <c r="X21" s="78">
        <f>Datos!$E$6</f>
        <v>18</v>
      </c>
      <c r="Y21" s="79">
        <f ca="1">IF((W21-1000000-Datos!$N$6)/X21&gt;0,(W21-1000000-Datos!$N$6)/X21,0)</f>
        <v>262279.01166666648</v>
      </c>
      <c r="Z21" s="78">
        <f>Datos!$E$6</f>
        <v>18</v>
      </c>
      <c r="AA21" s="79">
        <f ca="1">IF((W21-1000000-Datos!$N$6-1%*O21*VLOOKUP(TODAY(),'UF HOY'!$A$2:$B$33,2,0))/Z21&gt;0,(W21-1000000-Datos!$N$6-1%*O21*VLOOKUP(TODAY(),'UF HOY'!$A$2:$B$33,2,0))/Z21,0)</f>
        <v>197600.98711111091</v>
      </c>
      <c r="AB21" s="221">
        <f>IF(L21&gt;0,VLOOKUP(D21,Datos!$H$35:$J$38,3,0),VLOOKUP(D21,Datos!$H$35:$J$38,2,0))</f>
        <v>380000</v>
      </c>
      <c r="AC21" s="79">
        <f ca="1">(S21*PMT(Datos!$D$15,Datos!$D$13,-O21,,)*VLOOKUP(TODAY(),'UF HOY'!$A$2:$B$36,2,0)/12)+VLOOKUP(TODAY(),'UF HOY'!$A$2:$B$36,2,0)</f>
        <v>488574.32861805923</v>
      </c>
      <c r="AD21" s="79">
        <f t="shared" ca="1" si="10"/>
        <v>-108574.32861805923</v>
      </c>
      <c r="AE21" s="220">
        <f t="shared" ca="1" si="11"/>
        <v>1954297.3144722369</v>
      </c>
    </row>
    <row r="22" spans="1:31" hidden="1">
      <c r="A22" s="86" t="s">
        <v>171</v>
      </c>
      <c r="B22" s="86">
        <v>1102</v>
      </c>
      <c r="C22" s="67" t="s">
        <v>129</v>
      </c>
      <c r="D22" s="67" t="s">
        <v>195</v>
      </c>
      <c r="E22" s="67"/>
      <c r="F22" s="66">
        <v>32.520000000000003</v>
      </c>
      <c r="G22" s="66">
        <v>4.4800000000000004</v>
      </c>
      <c r="H22" s="67">
        <f t="shared" si="0"/>
        <v>34.760000000000005</v>
      </c>
      <c r="I22" s="68">
        <f t="shared" si="1"/>
        <v>37</v>
      </c>
      <c r="J22" s="69">
        <v>2930</v>
      </c>
      <c r="K22" s="70">
        <v>0</v>
      </c>
      <c r="L22" s="71">
        <v>0</v>
      </c>
      <c r="M22" s="71">
        <v>0</v>
      </c>
      <c r="N22" s="72">
        <f t="shared" si="2"/>
        <v>2490.5</v>
      </c>
      <c r="O22" s="73">
        <f t="shared" si="3"/>
        <v>2930</v>
      </c>
      <c r="P22" s="121">
        <f t="shared" si="4"/>
        <v>71.648446490218632</v>
      </c>
      <c r="Q22" s="74">
        <f t="shared" si="5"/>
        <v>0.15</v>
      </c>
      <c r="R22" s="75">
        <f t="shared" si="6"/>
        <v>439.5</v>
      </c>
      <c r="S22" s="74">
        <v>0.8</v>
      </c>
      <c r="T22" s="75">
        <f t="shared" si="7"/>
        <v>2344</v>
      </c>
      <c r="U22" s="76">
        <f t="shared" si="8"/>
        <v>4.9999999999999961E-2</v>
      </c>
      <c r="V22" s="69">
        <f t="shared" si="9"/>
        <v>146.49999999999989</v>
      </c>
      <c r="W22" s="77">
        <f ca="1">V22*VLOOKUP(TODAY(),'UF HOY'!$A$2:$B$36,2,0)</f>
        <v>5821022.2099999962</v>
      </c>
      <c r="X22" s="78">
        <f>Datos!$E$6</f>
        <v>18</v>
      </c>
      <c r="Y22" s="79">
        <f ca="1">IF((W22-1000000-Datos!$N$6)/X22&gt;0,(W22-1000000-Datos!$N$6)/X22,0)</f>
        <v>262279.01166666648</v>
      </c>
      <c r="Z22" s="78">
        <f>Datos!$E$6</f>
        <v>18</v>
      </c>
      <c r="AA22" s="79">
        <f ca="1">IF((W22-1000000-Datos!$N$6-1%*O22*VLOOKUP(TODAY(),'UF HOY'!$A$2:$B$33,2,0))/Z22&gt;0,(W22-1000000-Datos!$N$6-1%*O22*VLOOKUP(TODAY(),'UF HOY'!$A$2:$B$33,2,0))/Z22,0)</f>
        <v>197600.98711111091</v>
      </c>
      <c r="AB22" s="221">
        <f>IF(L22&gt;0,VLOOKUP(D22,Datos!$H$35:$J$38,3,0),VLOOKUP(D22,Datos!$H$35:$J$38,2,0))</f>
        <v>380000</v>
      </c>
      <c r="AC22" s="79">
        <f ca="1">(S22*PMT(Datos!$D$15,Datos!$D$13,-O22,,)*VLOOKUP(TODAY(),'UF HOY'!$A$2:$B$36,2,0)/12)+VLOOKUP(TODAY(),'UF HOY'!$A$2:$B$36,2,0)</f>
        <v>488574.32861805923</v>
      </c>
      <c r="AD22" s="79">
        <f t="shared" ca="1" si="10"/>
        <v>-108574.32861805923</v>
      </c>
      <c r="AE22" s="220">
        <f t="shared" ca="1" si="11"/>
        <v>1954297.3144722369</v>
      </c>
    </row>
    <row r="23" spans="1:31" hidden="1">
      <c r="A23" s="86" t="s">
        <v>171</v>
      </c>
      <c r="B23" s="86">
        <v>1202</v>
      </c>
      <c r="C23" s="67" t="s">
        <v>129</v>
      </c>
      <c r="D23" s="67" t="s">
        <v>195</v>
      </c>
      <c r="E23" s="67"/>
      <c r="F23" s="66">
        <v>32.520000000000003</v>
      </c>
      <c r="G23" s="66">
        <v>4.4800000000000004</v>
      </c>
      <c r="H23" s="67">
        <f t="shared" si="0"/>
        <v>34.760000000000005</v>
      </c>
      <c r="I23" s="68">
        <f t="shared" si="1"/>
        <v>37</v>
      </c>
      <c r="J23" s="69">
        <v>2930</v>
      </c>
      <c r="K23" s="70">
        <v>0</v>
      </c>
      <c r="L23" s="71">
        <v>0</v>
      </c>
      <c r="M23" s="71">
        <v>0</v>
      </c>
      <c r="N23" s="72">
        <f t="shared" si="2"/>
        <v>2490.5</v>
      </c>
      <c r="O23" s="73">
        <f t="shared" si="3"/>
        <v>2930</v>
      </c>
      <c r="P23" s="121">
        <f t="shared" si="4"/>
        <v>71.648446490218632</v>
      </c>
      <c r="Q23" s="74">
        <f t="shared" si="5"/>
        <v>0.15</v>
      </c>
      <c r="R23" s="75">
        <f t="shared" si="6"/>
        <v>439.5</v>
      </c>
      <c r="S23" s="74">
        <v>0.8</v>
      </c>
      <c r="T23" s="75">
        <f t="shared" si="7"/>
        <v>2344</v>
      </c>
      <c r="U23" s="76">
        <f t="shared" si="8"/>
        <v>4.9999999999999961E-2</v>
      </c>
      <c r="V23" s="69">
        <f t="shared" si="9"/>
        <v>146.49999999999989</v>
      </c>
      <c r="W23" s="77">
        <f ca="1">V23*VLOOKUP(TODAY(),'UF HOY'!$A$2:$B$36,2,0)</f>
        <v>5821022.2099999962</v>
      </c>
      <c r="X23" s="78">
        <f>Datos!$E$6</f>
        <v>18</v>
      </c>
      <c r="Y23" s="79">
        <f ca="1">IF((W23-1000000-Datos!$N$6)/X23&gt;0,(W23-1000000-Datos!$N$6)/X23,0)</f>
        <v>262279.01166666648</v>
      </c>
      <c r="Z23" s="78">
        <f>Datos!$E$6</f>
        <v>18</v>
      </c>
      <c r="AA23" s="79">
        <f ca="1">IF((W23-1000000-Datos!$N$6-1%*O23*VLOOKUP(TODAY(),'UF HOY'!$A$2:$B$33,2,0))/Z23&gt;0,(W23-1000000-Datos!$N$6-1%*O23*VLOOKUP(TODAY(),'UF HOY'!$A$2:$B$33,2,0))/Z23,0)</f>
        <v>197600.98711111091</v>
      </c>
      <c r="AB23" s="221">
        <f>IF(L23&gt;0,VLOOKUP(D23,Datos!$H$35:$J$38,3,0),VLOOKUP(D23,Datos!$H$35:$J$38,2,0))</f>
        <v>380000</v>
      </c>
      <c r="AC23" s="79">
        <f ca="1">(S23*PMT(Datos!$D$15,Datos!$D$13,-O23,,)*VLOOKUP(TODAY(),'UF HOY'!$A$2:$B$36,2,0)/12)+VLOOKUP(TODAY(),'UF HOY'!$A$2:$B$36,2,0)</f>
        <v>488574.32861805923</v>
      </c>
      <c r="AD23" s="79">
        <f t="shared" ca="1" si="10"/>
        <v>-108574.32861805923</v>
      </c>
      <c r="AE23" s="220">
        <f t="shared" ca="1" si="11"/>
        <v>1954297.3144722369</v>
      </c>
    </row>
    <row r="24" spans="1:31" hidden="1">
      <c r="A24" s="86" t="s">
        <v>171</v>
      </c>
      <c r="B24" s="86">
        <v>1402</v>
      </c>
      <c r="C24" s="67" t="s">
        <v>129</v>
      </c>
      <c r="D24" s="67" t="s">
        <v>195</v>
      </c>
      <c r="E24" s="67"/>
      <c r="F24" s="66">
        <v>32.520000000000003</v>
      </c>
      <c r="G24" s="66">
        <v>4.4800000000000004</v>
      </c>
      <c r="H24" s="67">
        <f t="shared" si="0"/>
        <v>34.760000000000005</v>
      </c>
      <c r="I24" s="68">
        <f t="shared" si="1"/>
        <v>37</v>
      </c>
      <c r="J24" s="69">
        <v>2930</v>
      </c>
      <c r="K24" s="70">
        <v>0</v>
      </c>
      <c r="L24" s="71">
        <v>0</v>
      </c>
      <c r="M24" s="71">
        <v>0</v>
      </c>
      <c r="N24" s="72">
        <f t="shared" si="2"/>
        <v>2490.5</v>
      </c>
      <c r="O24" s="73">
        <f t="shared" si="3"/>
        <v>2930</v>
      </c>
      <c r="P24" s="121">
        <f t="shared" si="4"/>
        <v>71.648446490218632</v>
      </c>
      <c r="Q24" s="74">
        <f t="shared" si="5"/>
        <v>0.15</v>
      </c>
      <c r="R24" s="75">
        <f t="shared" si="6"/>
        <v>439.5</v>
      </c>
      <c r="S24" s="74">
        <v>0.8</v>
      </c>
      <c r="T24" s="75">
        <f t="shared" si="7"/>
        <v>2344</v>
      </c>
      <c r="U24" s="76">
        <f t="shared" si="8"/>
        <v>4.9999999999999961E-2</v>
      </c>
      <c r="V24" s="69">
        <f t="shared" si="9"/>
        <v>146.49999999999989</v>
      </c>
      <c r="W24" s="77">
        <f ca="1">V24*VLOOKUP(TODAY(),'UF HOY'!$A$2:$B$36,2,0)</f>
        <v>5821022.2099999962</v>
      </c>
      <c r="X24" s="78">
        <f>Datos!$E$6</f>
        <v>18</v>
      </c>
      <c r="Y24" s="79">
        <f ca="1">IF((W24-1000000-Datos!$N$6)/X24&gt;0,(W24-1000000-Datos!$N$6)/X24,0)</f>
        <v>262279.01166666648</v>
      </c>
      <c r="Z24" s="78">
        <f>Datos!$E$6</f>
        <v>18</v>
      </c>
      <c r="AA24" s="79">
        <f ca="1">IF((W24-1000000-Datos!$N$6-1%*O24*VLOOKUP(TODAY(),'UF HOY'!$A$2:$B$33,2,0))/Z24&gt;0,(W24-1000000-Datos!$N$6-1%*O24*VLOOKUP(TODAY(),'UF HOY'!$A$2:$B$33,2,0))/Z24,0)</f>
        <v>197600.98711111091</v>
      </c>
      <c r="AB24" s="221">
        <f>IF(L24&gt;0,VLOOKUP(D24,Datos!$H$35:$J$38,3,0),VLOOKUP(D24,Datos!$H$35:$J$38,2,0))</f>
        <v>380000</v>
      </c>
      <c r="AC24" s="79">
        <f ca="1">(S24*PMT(Datos!$D$15,Datos!$D$13,-O24,,)*VLOOKUP(TODAY(),'UF HOY'!$A$2:$B$36,2,0)/12)+VLOOKUP(TODAY(),'UF HOY'!$A$2:$B$36,2,0)</f>
        <v>488574.32861805923</v>
      </c>
      <c r="AD24" s="79">
        <f t="shared" ca="1" si="10"/>
        <v>-108574.32861805923</v>
      </c>
      <c r="AE24" s="220">
        <f t="shared" ca="1" si="11"/>
        <v>1954297.3144722369</v>
      </c>
    </row>
    <row r="25" spans="1:31" hidden="1">
      <c r="A25" s="86" t="s">
        <v>171</v>
      </c>
      <c r="B25" s="86">
        <v>1502</v>
      </c>
      <c r="C25" s="67" t="s">
        <v>129</v>
      </c>
      <c r="D25" s="67" t="s">
        <v>195</v>
      </c>
      <c r="E25" s="67"/>
      <c r="F25" s="66">
        <v>32.520000000000003</v>
      </c>
      <c r="G25" s="66">
        <v>4.4800000000000004</v>
      </c>
      <c r="H25" s="67">
        <f t="shared" si="0"/>
        <v>34.760000000000005</v>
      </c>
      <c r="I25" s="68">
        <f t="shared" si="1"/>
        <v>37</v>
      </c>
      <c r="J25" s="69">
        <v>2930</v>
      </c>
      <c r="K25" s="70">
        <v>0</v>
      </c>
      <c r="L25" s="71">
        <v>0</v>
      </c>
      <c r="M25" s="71">
        <v>0</v>
      </c>
      <c r="N25" s="72">
        <f t="shared" si="2"/>
        <v>2490.5</v>
      </c>
      <c r="O25" s="73">
        <f t="shared" si="3"/>
        <v>2930</v>
      </c>
      <c r="P25" s="121">
        <f t="shared" si="4"/>
        <v>71.648446490218632</v>
      </c>
      <c r="Q25" s="74">
        <f t="shared" si="5"/>
        <v>0.15</v>
      </c>
      <c r="R25" s="75">
        <f t="shared" si="6"/>
        <v>439.5</v>
      </c>
      <c r="S25" s="74">
        <v>0.8</v>
      </c>
      <c r="T25" s="75">
        <f t="shared" si="7"/>
        <v>2344</v>
      </c>
      <c r="U25" s="76">
        <f t="shared" si="8"/>
        <v>4.9999999999999961E-2</v>
      </c>
      <c r="V25" s="69">
        <f t="shared" si="9"/>
        <v>146.49999999999989</v>
      </c>
      <c r="W25" s="77">
        <f ca="1">V25*VLOOKUP(TODAY(),'UF HOY'!$A$2:$B$36,2,0)</f>
        <v>5821022.2099999962</v>
      </c>
      <c r="X25" s="78">
        <f>Datos!$E$6</f>
        <v>18</v>
      </c>
      <c r="Y25" s="79">
        <f ca="1">IF((W25-1000000-Datos!$N$6)/X25&gt;0,(W25-1000000-Datos!$N$6)/X25,0)</f>
        <v>262279.01166666648</v>
      </c>
      <c r="Z25" s="78">
        <f>Datos!$E$6</f>
        <v>18</v>
      </c>
      <c r="AA25" s="79">
        <f ca="1">IF((W25-1000000-Datos!$N$6-1%*O25*VLOOKUP(TODAY(),'UF HOY'!$A$2:$B$33,2,0))/Z25&gt;0,(W25-1000000-Datos!$N$6-1%*O25*VLOOKUP(TODAY(),'UF HOY'!$A$2:$B$33,2,0))/Z25,0)</f>
        <v>197600.98711111091</v>
      </c>
      <c r="AB25" s="221">
        <f>IF(L25&gt;0,VLOOKUP(D25,Datos!$H$35:$J$38,3,0),VLOOKUP(D25,Datos!$H$35:$J$38,2,0))</f>
        <v>380000</v>
      </c>
      <c r="AC25" s="79">
        <f ca="1">(S25*PMT(Datos!$D$15,Datos!$D$13,-O25,,)*VLOOKUP(TODAY(),'UF HOY'!$A$2:$B$36,2,0)/12)+VLOOKUP(TODAY(),'UF HOY'!$A$2:$B$36,2,0)</f>
        <v>488574.32861805923</v>
      </c>
      <c r="AD25" s="79">
        <f t="shared" ca="1" si="10"/>
        <v>-108574.32861805923</v>
      </c>
      <c r="AE25" s="220">
        <f t="shared" ca="1" si="11"/>
        <v>1954297.3144722369</v>
      </c>
    </row>
    <row r="26" spans="1:31" hidden="1">
      <c r="A26" s="86" t="s">
        <v>171</v>
      </c>
      <c r="B26" s="86">
        <v>1602</v>
      </c>
      <c r="C26" s="67" t="s">
        <v>129</v>
      </c>
      <c r="D26" s="67" t="s">
        <v>195</v>
      </c>
      <c r="E26" s="67"/>
      <c r="F26" s="66">
        <v>32.520000000000003</v>
      </c>
      <c r="G26" s="66">
        <v>4.4800000000000004</v>
      </c>
      <c r="H26" s="67">
        <f t="shared" si="0"/>
        <v>34.760000000000005</v>
      </c>
      <c r="I26" s="68">
        <f t="shared" si="1"/>
        <v>37</v>
      </c>
      <c r="J26" s="69">
        <v>2930</v>
      </c>
      <c r="K26" s="70">
        <v>0</v>
      </c>
      <c r="L26" s="71">
        <v>0</v>
      </c>
      <c r="M26" s="71">
        <v>0</v>
      </c>
      <c r="N26" s="72">
        <f t="shared" si="2"/>
        <v>2490.5</v>
      </c>
      <c r="O26" s="73">
        <f t="shared" si="3"/>
        <v>2930</v>
      </c>
      <c r="P26" s="121">
        <f t="shared" si="4"/>
        <v>71.648446490218632</v>
      </c>
      <c r="Q26" s="74">
        <f t="shared" si="5"/>
        <v>0.15</v>
      </c>
      <c r="R26" s="75">
        <f t="shared" si="6"/>
        <v>439.5</v>
      </c>
      <c r="S26" s="74">
        <v>0.8</v>
      </c>
      <c r="T26" s="75">
        <f t="shared" si="7"/>
        <v>2344</v>
      </c>
      <c r="U26" s="76">
        <f t="shared" si="8"/>
        <v>4.9999999999999961E-2</v>
      </c>
      <c r="V26" s="69">
        <f t="shared" si="9"/>
        <v>146.49999999999989</v>
      </c>
      <c r="W26" s="77">
        <f ca="1">V26*VLOOKUP(TODAY(),'UF HOY'!$A$2:$B$36,2,0)</f>
        <v>5821022.2099999962</v>
      </c>
      <c r="X26" s="78">
        <f>Datos!$E$6</f>
        <v>18</v>
      </c>
      <c r="Y26" s="79">
        <f ca="1">IF((W26-1000000-Datos!$N$6)/X26&gt;0,(W26-1000000-Datos!$N$6)/X26,0)</f>
        <v>262279.01166666648</v>
      </c>
      <c r="Z26" s="78">
        <f>Datos!$E$6</f>
        <v>18</v>
      </c>
      <c r="AA26" s="79">
        <f ca="1">IF((W26-1000000-Datos!$N$6-1%*O26*VLOOKUP(TODAY(),'UF HOY'!$A$2:$B$33,2,0))/Z26&gt;0,(W26-1000000-Datos!$N$6-1%*O26*VLOOKUP(TODAY(),'UF HOY'!$A$2:$B$33,2,0))/Z26,0)</f>
        <v>197600.98711111091</v>
      </c>
      <c r="AB26" s="221">
        <f>IF(L26&gt;0,VLOOKUP(D26,Datos!$H$35:$J$38,3,0),VLOOKUP(D26,Datos!$H$35:$J$38,2,0))</f>
        <v>380000</v>
      </c>
      <c r="AC26" s="79">
        <f ca="1">(S26*PMT(Datos!$D$15,Datos!$D$13,-O26,,)*VLOOKUP(TODAY(),'UF HOY'!$A$2:$B$36,2,0)/12)+VLOOKUP(TODAY(),'UF HOY'!$A$2:$B$36,2,0)</f>
        <v>488574.32861805923</v>
      </c>
      <c r="AD26" s="79">
        <f t="shared" ca="1" si="10"/>
        <v>-108574.32861805923</v>
      </c>
      <c r="AE26" s="220">
        <f t="shared" ca="1" si="11"/>
        <v>1954297.3144722369</v>
      </c>
    </row>
    <row r="27" spans="1:31" hidden="1">
      <c r="A27" s="86" t="s">
        <v>171</v>
      </c>
      <c r="B27" s="86">
        <v>1005</v>
      </c>
      <c r="C27" s="67" t="s">
        <v>130</v>
      </c>
      <c r="D27" s="67" t="s">
        <v>195</v>
      </c>
      <c r="E27" s="67"/>
      <c r="F27" s="66">
        <v>32.520000000000003</v>
      </c>
      <c r="G27" s="66">
        <v>4.4800000000000004</v>
      </c>
      <c r="H27" s="67">
        <f t="shared" si="0"/>
        <v>34.760000000000005</v>
      </c>
      <c r="I27" s="68">
        <f t="shared" si="1"/>
        <v>37</v>
      </c>
      <c r="J27" s="69">
        <v>2970</v>
      </c>
      <c r="K27" s="70">
        <v>0</v>
      </c>
      <c r="L27" s="71">
        <v>0</v>
      </c>
      <c r="M27" s="71">
        <v>0</v>
      </c>
      <c r="N27" s="72">
        <f t="shared" si="2"/>
        <v>2524.5</v>
      </c>
      <c r="O27" s="73">
        <f t="shared" si="3"/>
        <v>2970</v>
      </c>
      <c r="P27" s="121">
        <f t="shared" si="4"/>
        <v>72.626582278480996</v>
      </c>
      <c r="Q27" s="74">
        <f t="shared" si="5"/>
        <v>0.15</v>
      </c>
      <c r="R27" s="75">
        <f t="shared" si="6"/>
        <v>445.5</v>
      </c>
      <c r="S27" s="74">
        <v>0.8</v>
      </c>
      <c r="T27" s="75">
        <f t="shared" si="7"/>
        <v>2376</v>
      </c>
      <c r="U27" s="76">
        <f t="shared" si="8"/>
        <v>4.9999999999999961E-2</v>
      </c>
      <c r="V27" s="69">
        <f t="shared" si="9"/>
        <v>148.49999999999989</v>
      </c>
      <c r="W27" s="77">
        <f ca="1">V27*VLOOKUP(TODAY(),'UF HOY'!$A$2:$B$36,2,0)</f>
        <v>5900490.0899999961</v>
      </c>
      <c r="X27" s="78">
        <f>Datos!$E$6</f>
        <v>18</v>
      </c>
      <c r="Y27" s="79">
        <f ca="1">IF((W27-1000000-Datos!$N$6)/X27&gt;0,(W27-1000000-Datos!$N$6)/X27,0)</f>
        <v>266693.89388888865</v>
      </c>
      <c r="Z27" s="78">
        <f>Datos!$E$6</f>
        <v>18</v>
      </c>
      <c r="AA27" s="79">
        <f ca="1">IF((W27-1000000-Datos!$N$6-1%*O27*VLOOKUP(TODAY(),'UF HOY'!$A$2:$B$33,2,0))/Z27&gt;0,(W27-1000000-Datos!$N$6-1%*O27*VLOOKUP(TODAY(),'UF HOY'!$A$2:$B$33,2,0))/Z27,0)</f>
        <v>201132.89288888866</v>
      </c>
      <c r="AB27" s="221">
        <f>IF(L27&gt;0,VLOOKUP(D27,Datos!$H$35:$J$38,3,0),VLOOKUP(D27,Datos!$H$35:$J$38,2,0))</f>
        <v>380000</v>
      </c>
      <c r="AC27" s="79">
        <f ca="1">(S27*PMT(Datos!$D$15,Datos!$D$13,-O27,,)*VLOOKUP(TODAY(),'UF HOY'!$A$2:$B$36,2,0)/12)+VLOOKUP(TODAY(),'UF HOY'!$A$2:$B$36,2,0)</f>
        <v>494701.84245584841</v>
      </c>
      <c r="AD27" s="79">
        <f t="shared" ca="1" si="10"/>
        <v>-114701.84245584841</v>
      </c>
      <c r="AE27" s="220">
        <f t="shared" ca="1" si="11"/>
        <v>1978807.3698233936</v>
      </c>
    </row>
    <row r="28" spans="1:31" hidden="1">
      <c r="A28" s="86" t="s">
        <v>171</v>
      </c>
      <c r="B28" s="86">
        <v>1105</v>
      </c>
      <c r="C28" s="67" t="s">
        <v>130</v>
      </c>
      <c r="D28" s="67" t="s">
        <v>195</v>
      </c>
      <c r="E28" s="67"/>
      <c r="F28" s="66">
        <v>32.520000000000003</v>
      </c>
      <c r="G28" s="66">
        <v>4.4800000000000004</v>
      </c>
      <c r="H28" s="67">
        <f t="shared" si="0"/>
        <v>34.760000000000005</v>
      </c>
      <c r="I28" s="68">
        <f t="shared" si="1"/>
        <v>37</v>
      </c>
      <c r="J28" s="69">
        <v>2970</v>
      </c>
      <c r="K28" s="70">
        <v>0</v>
      </c>
      <c r="L28" s="71">
        <v>0</v>
      </c>
      <c r="M28" s="71">
        <v>0</v>
      </c>
      <c r="N28" s="72">
        <f t="shared" si="2"/>
        <v>2524.5</v>
      </c>
      <c r="O28" s="73">
        <f t="shared" si="3"/>
        <v>2970</v>
      </c>
      <c r="P28" s="121">
        <f t="shared" si="4"/>
        <v>72.626582278480996</v>
      </c>
      <c r="Q28" s="74">
        <f t="shared" si="5"/>
        <v>0.15</v>
      </c>
      <c r="R28" s="75">
        <f t="shared" si="6"/>
        <v>445.5</v>
      </c>
      <c r="S28" s="74">
        <v>0.8</v>
      </c>
      <c r="T28" s="75">
        <f t="shared" si="7"/>
        <v>2376</v>
      </c>
      <c r="U28" s="76">
        <f t="shared" si="8"/>
        <v>4.9999999999999961E-2</v>
      </c>
      <c r="V28" s="69">
        <f t="shared" si="9"/>
        <v>148.49999999999989</v>
      </c>
      <c r="W28" s="77">
        <f ca="1">V28*VLOOKUP(TODAY(),'UF HOY'!$A$2:$B$36,2,0)</f>
        <v>5900490.0899999961</v>
      </c>
      <c r="X28" s="78">
        <f>Datos!$E$6</f>
        <v>18</v>
      </c>
      <c r="Y28" s="79">
        <f ca="1">IF((W28-1000000-Datos!$N$6)/X28&gt;0,(W28-1000000-Datos!$N$6)/X28,0)</f>
        <v>266693.89388888865</v>
      </c>
      <c r="Z28" s="78">
        <f>Datos!$E$6</f>
        <v>18</v>
      </c>
      <c r="AA28" s="79">
        <f ca="1">IF((W28-1000000-Datos!$N$6-1%*O28*VLOOKUP(TODAY(),'UF HOY'!$A$2:$B$33,2,0))/Z28&gt;0,(W28-1000000-Datos!$N$6-1%*O28*VLOOKUP(TODAY(),'UF HOY'!$A$2:$B$33,2,0))/Z28,0)</f>
        <v>201132.89288888866</v>
      </c>
      <c r="AB28" s="221">
        <f>IF(L28&gt;0,VLOOKUP(D28,Datos!$H$35:$J$38,3,0),VLOOKUP(D28,Datos!$H$35:$J$38,2,0))</f>
        <v>380000</v>
      </c>
      <c r="AC28" s="79">
        <f ca="1">(S28*PMT(Datos!$D$15,Datos!$D$13,-O28,,)*VLOOKUP(TODAY(),'UF HOY'!$A$2:$B$36,2,0)/12)+VLOOKUP(TODAY(),'UF HOY'!$A$2:$B$36,2,0)</f>
        <v>494701.84245584841</v>
      </c>
      <c r="AD28" s="79">
        <f t="shared" ca="1" si="10"/>
        <v>-114701.84245584841</v>
      </c>
      <c r="AE28" s="220">
        <f t="shared" ca="1" si="11"/>
        <v>1978807.3698233936</v>
      </c>
    </row>
    <row r="29" spans="1:31" hidden="1">
      <c r="A29" s="86" t="s">
        <v>171</v>
      </c>
      <c r="B29" s="86">
        <v>1205</v>
      </c>
      <c r="C29" s="67" t="s">
        <v>130</v>
      </c>
      <c r="D29" s="67" t="s">
        <v>195</v>
      </c>
      <c r="E29" s="67"/>
      <c r="F29" s="66">
        <v>32.520000000000003</v>
      </c>
      <c r="G29" s="66">
        <v>4.4800000000000004</v>
      </c>
      <c r="H29" s="67">
        <f t="shared" si="0"/>
        <v>34.760000000000005</v>
      </c>
      <c r="I29" s="68">
        <f t="shared" si="1"/>
        <v>37</v>
      </c>
      <c r="J29" s="69">
        <v>2970</v>
      </c>
      <c r="K29" s="70">
        <v>0</v>
      </c>
      <c r="L29" s="71">
        <v>0</v>
      </c>
      <c r="M29" s="71">
        <v>0</v>
      </c>
      <c r="N29" s="72">
        <f t="shared" si="2"/>
        <v>2524.5</v>
      </c>
      <c r="O29" s="73">
        <f t="shared" si="3"/>
        <v>2970</v>
      </c>
      <c r="P29" s="121">
        <f t="shared" si="4"/>
        <v>72.626582278480996</v>
      </c>
      <c r="Q29" s="74">
        <f t="shared" si="5"/>
        <v>0.15</v>
      </c>
      <c r="R29" s="75">
        <f t="shared" si="6"/>
        <v>445.5</v>
      </c>
      <c r="S29" s="74">
        <v>0.8</v>
      </c>
      <c r="T29" s="75">
        <f t="shared" si="7"/>
        <v>2376</v>
      </c>
      <c r="U29" s="76">
        <f t="shared" si="8"/>
        <v>4.9999999999999961E-2</v>
      </c>
      <c r="V29" s="69">
        <f t="shared" si="9"/>
        <v>148.49999999999989</v>
      </c>
      <c r="W29" s="77">
        <f ca="1">V29*VLOOKUP(TODAY(),'UF HOY'!$A$2:$B$36,2,0)</f>
        <v>5900490.0899999961</v>
      </c>
      <c r="X29" s="78">
        <f>Datos!$E$6</f>
        <v>18</v>
      </c>
      <c r="Y29" s="79">
        <f ca="1">IF((W29-1000000-Datos!$N$6)/X29&gt;0,(W29-1000000-Datos!$N$6)/X29,0)</f>
        <v>266693.89388888865</v>
      </c>
      <c r="Z29" s="78">
        <f>Datos!$E$6</f>
        <v>18</v>
      </c>
      <c r="AA29" s="79">
        <f ca="1">IF((W29-1000000-Datos!$N$6-1%*O29*VLOOKUP(TODAY(),'UF HOY'!$A$2:$B$33,2,0))/Z29&gt;0,(W29-1000000-Datos!$N$6-1%*O29*VLOOKUP(TODAY(),'UF HOY'!$A$2:$B$33,2,0))/Z29,0)</f>
        <v>201132.89288888866</v>
      </c>
      <c r="AB29" s="221">
        <f>IF(L29&gt;0,VLOOKUP(D29,Datos!$H$35:$J$38,3,0),VLOOKUP(D29,Datos!$H$35:$J$38,2,0))</f>
        <v>380000</v>
      </c>
      <c r="AC29" s="79">
        <f ca="1">(S29*PMT(Datos!$D$15,Datos!$D$13,-O29,,)*VLOOKUP(TODAY(),'UF HOY'!$A$2:$B$36,2,0)/12)+VLOOKUP(TODAY(),'UF HOY'!$A$2:$B$36,2,0)</f>
        <v>494701.84245584841</v>
      </c>
      <c r="AD29" s="79">
        <f t="shared" ca="1" si="10"/>
        <v>-114701.84245584841</v>
      </c>
      <c r="AE29" s="220">
        <f t="shared" ca="1" si="11"/>
        <v>1978807.3698233936</v>
      </c>
    </row>
    <row r="30" spans="1:31">
      <c r="A30" s="86" t="s">
        <v>4</v>
      </c>
      <c r="B30" s="86">
        <v>1305</v>
      </c>
      <c r="C30" s="67" t="s">
        <v>130</v>
      </c>
      <c r="D30" s="67" t="s">
        <v>195</v>
      </c>
      <c r="E30" s="67"/>
      <c r="F30" s="66">
        <v>32.520000000000003</v>
      </c>
      <c r="G30" s="66">
        <v>4.4800000000000004</v>
      </c>
      <c r="H30" s="67">
        <f t="shared" si="0"/>
        <v>34.760000000000005</v>
      </c>
      <c r="I30" s="68">
        <f t="shared" si="1"/>
        <v>37</v>
      </c>
      <c r="J30" s="69">
        <v>2970</v>
      </c>
      <c r="K30" s="70">
        <v>0</v>
      </c>
      <c r="L30" s="71">
        <v>0</v>
      </c>
      <c r="M30" s="71">
        <v>0</v>
      </c>
      <c r="N30" s="72">
        <f t="shared" si="2"/>
        <v>2524.5</v>
      </c>
      <c r="O30" s="73">
        <f t="shared" si="3"/>
        <v>2970</v>
      </c>
      <c r="P30" s="121">
        <f t="shared" si="4"/>
        <v>72.626582278480996</v>
      </c>
      <c r="Q30" s="74">
        <f t="shared" si="5"/>
        <v>0.15</v>
      </c>
      <c r="R30" s="75">
        <f t="shared" si="6"/>
        <v>445.5</v>
      </c>
      <c r="S30" s="74">
        <v>0.8</v>
      </c>
      <c r="T30" s="75">
        <f t="shared" si="7"/>
        <v>2376</v>
      </c>
      <c r="U30" s="76">
        <f t="shared" si="8"/>
        <v>4.9999999999999961E-2</v>
      </c>
      <c r="V30" s="69">
        <f t="shared" si="9"/>
        <v>148.49999999999989</v>
      </c>
      <c r="W30" s="77">
        <f ca="1">V30*VLOOKUP(TODAY(),'UF HOY'!$A$2:$B$36,2,0)</f>
        <v>5900490.0899999961</v>
      </c>
      <c r="X30" s="78">
        <f>Datos!$E$6</f>
        <v>18</v>
      </c>
      <c r="Y30" s="79">
        <f ca="1">IF((W30-1000000-Datos!$N$6)/X30&gt;0,(W30-1000000-Datos!$N$6)/X30,0)</f>
        <v>266693.89388888865</v>
      </c>
      <c r="Z30" s="78">
        <f>Datos!$E$6</f>
        <v>18</v>
      </c>
      <c r="AA30" s="79">
        <f ca="1">IF((W30-1000000-Datos!$N$6-1%*O30*VLOOKUP(TODAY(),'UF HOY'!$A$2:$B$33,2,0))/Z30&gt;0,(W30-1000000-Datos!$N$6-1%*O30*VLOOKUP(TODAY(),'UF HOY'!$A$2:$B$33,2,0))/Z30,0)</f>
        <v>201132.89288888866</v>
      </c>
      <c r="AB30" s="221">
        <f>IF(L30&gt;0,VLOOKUP(D30,Datos!$H$35:$J$38,3,0),VLOOKUP(D30,Datos!$H$35:$J$38,2,0))</f>
        <v>380000</v>
      </c>
      <c r="AC30" s="79">
        <f ca="1">(S30*PMT(Datos!$D$15,Datos!$D$13,-O30,,)*VLOOKUP(TODAY(),'UF HOY'!$A$2:$B$36,2,0)/12)+VLOOKUP(TODAY(),'UF HOY'!$A$2:$B$36,2,0)</f>
        <v>494701.84245584841</v>
      </c>
      <c r="AD30" s="79">
        <f t="shared" ca="1" si="10"/>
        <v>-114701.84245584841</v>
      </c>
      <c r="AE30" s="220">
        <f t="shared" ca="1" si="11"/>
        <v>1978807.3698233936</v>
      </c>
    </row>
    <row r="31" spans="1:31" hidden="1">
      <c r="A31" s="86" t="s">
        <v>171</v>
      </c>
      <c r="B31" s="86">
        <v>1405</v>
      </c>
      <c r="C31" s="67" t="s">
        <v>130</v>
      </c>
      <c r="D31" s="67" t="s">
        <v>195</v>
      </c>
      <c r="E31" s="67"/>
      <c r="F31" s="66">
        <v>32.520000000000003</v>
      </c>
      <c r="G31" s="66">
        <v>4.4800000000000004</v>
      </c>
      <c r="H31" s="67">
        <f t="shared" si="0"/>
        <v>34.760000000000005</v>
      </c>
      <c r="I31" s="68">
        <f t="shared" si="1"/>
        <v>37</v>
      </c>
      <c r="J31" s="69">
        <v>2970</v>
      </c>
      <c r="K31" s="70">
        <v>0</v>
      </c>
      <c r="L31" s="71">
        <v>0</v>
      </c>
      <c r="M31" s="71">
        <v>0</v>
      </c>
      <c r="N31" s="72">
        <f t="shared" si="2"/>
        <v>2524.5</v>
      </c>
      <c r="O31" s="73">
        <f t="shared" si="3"/>
        <v>2970</v>
      </c>
      <c r="P31" s="121">
        <f t="shared" si="4"/>
        <v>72.626582278480996</v>
      </c>
      <c r="Q31" s="74">
        <f t="shared" si="5"/>
        <v>0.15</v>
      </c>
      <c r="R31" s="75">
        <f t="shared" si="6"/>
        <v>445.5</v>
      </c>
      <c r="S31" s="74">
        <v>0.8</v>
      </c>
      <c r="T31" s="75">
        <f t="shared" si="7"/>
        <v>2376</v>
      </c>
      <c r="U31" s="76">
        <f t="shared" si="8"/>
        <v>4.9999999999999961E-2</v>
      </c>
      <c r="V31" s="69">
        <f t="shared" si="9"/>
        <v>148.49999999999989</v>
      </c>
      <c r="W31" s="77">
        <f ca="1">V31*VLOOKUP(TODAY(),'UF HOY'!$A$2:$B$36,2,0)</f>
        <v>5900490.0899999961</v>
      </c>
      <c r="X31" s="78">
        <f>Datos!$E$6</f>
        <v>18</v>
      </c>
      <c r="Y31" s="79">
        <f ca="1">IF((W31-1000000-Datos!$N$6)/X31&gt;0,(W31-1000000-Datos!$N$6)/X31,0)</f>
        <v>266693.89388888865</v>
      </c>
      <c r="Z31" s="78">
        <f>Datos!$E$6</f>
        <v>18</v>
      </c>
      <c r="AA31" s="79">
        <f ca="1">IF((W31-1000000-Datos!$N$6-1%*O31*VLOOKUP(TODAY(),'UF HOY'!$A$2:$B$33,2,0))/Z31&gt;0,(W31-1000000-Datos!$N$6-1%*O31*VLOOKUP(TODAY(),'UF HOY'!$A$2:$B$33,2,0))/Z31,0)</f>
        <v>201132.89288888866</v>
      </c>
      <c r="AB31" s="221">
        <f>IF(L31&gt;0,VLOOKUP(D31,Datos!$H$35:$J$38,3,0),VLOOKUP(D31,Datos!$H$35:$J$38,2,0))</f>
        <v>380000</v>
      </c>
      <c r="AC31" s="79">
        <f ca="1">(S31*PMT(Datos!$D$15,Datos!$D$13,-O31,,)*VLOOKUP(TODAY(),'UF HOY'!$A$2:$B$36,2,0)/12)+VLOOKUP(TODAY(),'UF HOY'!$A$2:$B$36,2,0)</f>
        <v>494701.84245584841</v>
      </c>
      <c r="AD31" s="79">
        <f t="shared" ca="1" si="10"/>
        <v>-114701.84245584841</v>
      </c>
      <c r="AE31" s="220">
        <f t="shared" ca="1" si="11"/>
        <v>1978807.3698233936</v>
      </c>
    </row>
    <row r="32" spans="1:31" hidden="1">
      <c r="A32" s="86" t="s">
        <v>171</v>
      </c>
      <c r="B32" s="86">
        <v>1505</v>
      </c>
      <c r="C32" s="67" t="s">
        <v>130</v>
      </c>
      <c r="D32" s="67" t="s">
        <v>195</v>
      </c>
      <c r="E32" s="67"/>
      <c r="F32" s="66">
        <v>32.520000000000003</v>
      </c>
      <c r="G32" s="66">
        <v>4.4800000000000004</v>
      </c>
      <c r="H32" s="67">
        <f t="shared" si="0"/>
        <v>34.760000000000005</v>
      </c>
      <c r="I32" s="68">
        <f t="shared" si="1"/>
        <v>37</v>
      </c>
      <c r="J32" s="69">
        <v>2970</v>
      </c>
      <c r="K32" s="70">
        <v>0</v>
      </c>
      <c r="L32" s="71">
        <v>0</v>
      </c>
      <c r="M32" s="71">
        <v>0</v>
      </c>
      <c r="N32" s="72">
        <f t="shared" si="2"/>
        <v>2524.5</v>
      </c>
      <c r="O32" s="73">
        <f t="shared" si="3"/>
        <v>2970</v>
      </c>
      <c r="P32" s="121">
        <f t="shared" si="4"/>
        <v>72.626582278480996</v>
      </c>
      <c r="Q32" s="74">
        <f t="shared" si="5"/>
        <v>0.15</v>
      </c>
      <c r="R32" s="75">
        <f t="shared" si="6"/>
        <v>445.5</v>
      </c>
      <c r="S32" s="74">
        <v>0.8</v>
      </c>
      <c r="T32" s="75">
        <f t="shared" si="7"/>
        <v>2376</v>
      </c>
      <c r="U32" s="76">
        <f t="shared" si="8"/>
        <v>4.9999999999999961E-2</v>
      </c>
      <c r="V32" s="69">
        <f t="shared" si="9"/>
        <v>148.49999999999989</v>
      </c>
      <c r="W32" s="77">
        <f ca="1">V32*VLOOKUP(TODAY(),'UF HOY'!$A$2:$B$36,2,0)</f>
        <v>5900490.0899999961</v>
      </c>
      <c r="X32" s="78">
        <f>Datos!$E$6</f>
        <v>18</v>
      </c>
      <c r="Y32" s="79">
        <f ca="1">IF((W32-1000000-Datos!$N$6)/X32&gt;0,(W32-1000000-Datos!$N$6)/X32,0)</f>
        <v>266693.89388888865</v>
      </c>
      <c r="Z32" s="78">
        <f>Datos!$E$6</f>
        <v>18</v>
      </c>
      <c r="AA32" s="79">
        <f ca="1">IF((W32-1000000-Datos!$N$6-1%*O32*VLOOKUP(TODAY(),'UF HOY'!$A$2:$B$33,2,0))/Z32&gt;0,(W32-1000000-Datos!$N$6-1%*O32*VLOOKUP(TODAY(),'UF HOY'!$A$2:$B$33,2,0))/Z32,0)</f>
        <v>201132.89288888866</v>
      </c>
      <c r="AB32" s="221">
        <f>IF(L32&gt;0,VLOOKUP(D32,Datos!$H$35:$J$38,3,0),VLOOKUP(D32,Datos!$H$35:$J$38,2,0))</f>
        <v>380000</v>
      </c>
      <c r="AC32" s="79">
        <f ca="1">(S32*PMT(Datos!$D$15,Datos!$D$13,-O32,,)*VLOOKUP(TODAY(),'UF HOY'!$A$2:$B$36,2,0)/12)+VLOOKUP(TODAY(),'UF HOY'!$A$2:$B$36,2,0)</f>
        <v>494701.84245584841</v>
      </c>
      <c r="AD32" s="79">
        <f t="shared" ca="1" si="10"/>
        <v>-114701.84245584841</v>
      </c>
      <c r="AE32" s="220">
        <f t="shared" ca="1" si="11"/>
        <v>1978807.3698233936</v>
      </c>
    </row>
    <row r="33" spans="1:31" hidden="1">
      <c r="A33" s="86" t="s">
        <v>171</v>
      </c>
      <c r="B33" s="86">
        <v>1605</v>
      </c>
      <c r="C33" s="67" t="s">
        <v>130</v>
      </c>
      <c r="D33" s="67" t="s">
        <v>195</v>
      </c>
      <c r="E33" s="67"/>
      <c r="F33" s="66">
        <v>32.520000000000003</v>
      </c>
      <c r="G33" s="66">
        <v>4.4800000000000004</v>
      </c>
      <c r="H33" s="67">
        <f t="shared" si="0"/>
        <v>34.760000000000005</v>
      </c>
      <c r="I33" s="68">
        <f t="shared" si="1"/>
        <v>37</v>
      </c>
      <c r="J33" s="69">
        <v>2970</v>
      </c>
      <c r="K33" s="70">
        <v>0</v>
      </c>
      <c r="L33" s="71">
        <v>0</v>
      </c>
      <c r="M33" s="71">
        <v>0</v>
      </c>
      <c r="N33" s="72">
        <f t="shared" si="2"/>
        <v>2524.5</v>
      </c>
      <c r="O33" s="73">
        <f t="shared" si="3"/>
        <v>2970</v>
      </c>
      <c r="P33" s="121">
        <f t="shared" si="4"/>
        <v>72.626582278480996</v>
      </c>
      <c r="Q33" s="74">
        <f t="shared" si="5"/>
        <v>0.15</v>
      </c>
      <c r="R33" s="75">
        <f t="shared" si="6"/>
        <v>445.5</v>
      </c>
      <c r="S33" s="74">
        <v>0.8</v>
      </c>
      <c r="T33" s="75">
        <f t="shared" si="7"/>
        <v>2376</v>
      </c>
      <c r="U33" s="76">
        <f t="shared" si="8"/>
        <v>4.9999999999999961E-2</v>
      </c>
      <c r="V33" s="69">
        <f t="shared" si="9"/>
        <v>148.49999999999989</v>
      </c>
      <c r="W33" s="77">
        <f ca="1">V33*VLOOKUP(TODAY(),'UF HOY'!$A$2:$B$36,2,0)</f>
        <v>5900490.0899999961</v>
      </c>
      <c r="X33" s="78">
        <f>Datos!$E$6</f>
        <v>18</v>
      </c>
      <c r="Y33" s="79">
        <f ca="1">IF((W33-1000000-Datos!$N$6)/X33&gt;0,(W33-1000000-Datos!$N$6)/X33,0)</f>
        <v>266693.89388888865</v>
      </c>
      <c r="Z33" s="78">
        <f>Datos!$E$6</f>
        <v>18</v>
      </c>
      <c r="AA33" s="79">
        <f ca="1">IF((W33-1000000-Datos!$N$6-1%*O33*VLOOKUP(TODAY(),'UF HOY'!$A$2:$B$33,2,0))/Z33&gt;0,(W33-1000000-Datos!$N$6-1%*O33*VLOOKUP(TODAY(),'UF HOY'!$A$2:$B$33,2,0))/Z33,0)</f>
        <v>201132.89288888866</v>
      </c>
      <c r="AB33" s="221">
        <f>IF(L33&gt;0,VLOOKUP(D33,Datos!$H$35:$J$38,3,0),VLOOKUP(D33,Datos!$H$35:$J$38,2,0))</f>
        <v>380000</v>
      </c>
      <c r="AC33" s="79">
        <f ca="1">(S33*PMT(Datos!$D$15,Datos!$D$13,-O33,,)*VLOOKUP(TODAY(),'UF HOY'!$A$2:$B$36,2,0)/12)+VLOOKUP(TODAY(),'UF HOY'!$A$2:$B$36,2,0)</f>
        <v>494701.84245584841</v>
      </c>
      <c r="AD33" s="79">
        <f t="shared" ca="1" si="10"/>
        <v>-114701.84245584841</v>
      </c>
      <c r="AE33" s="220">
        <f t="shared" ca="1" si="11"/>
        <v>1978807.3698233936</v>
      </c>
    </row>
    <row r="34" spans="1:31" hidden="1">
      <c r="A34" s="86" t="s">
        <v>171</v>
      </c>
      <c r="B34" s="86">
        <v>101</v>
      </c>
      <c r="C34" s="67" t="s">
        <v>129</v>
      </c>
      <c r="D34" s="67" t="s">
        <v>195</v>
      </c>
      <c r="E34" s="67"/>
      <c r="F34" s="66">
        <v>32.770000000000003</v>
      </c>
      <c r="G34" s="66">
        <v>7.36</v>
      </c>
      <c r="H34" s="67">
        <f t="shared" ref="H34:H65" si="12">F34+G34/2</f>
        <v>36.450000000000003</v>
      </c>
      <c r="I34" s="68">
        <f t="shared" ref="I34:I65" si="13">F34+G34</f>
        <v>40.130000000000003</v>
      </c>
      <c r="J34" s="69">
        <v>2990</v>
      </c>
      <c r="K34" s="70">
        <v>0</v>
      </c>
      <c r="L34" s="71">
        <v>0</v>
      </c>
      <c r="M34" s="71">
        <v>0</v>
      </c>
      <c r="N34" s="72">
        <f t="shared" ref="N34:N65" si="14">O34-R34</f>
        <v>2541.5</v>
      </c>
      <c r="O34" s="73">
        <f t="shared" ref="O34:O65" si="15">J34*(100%-K34)+L34+M34</f>
        <v>2990</v>
      </c>
      <c r="P34" s="121">
        <f t="shared" ref="P34:P65" si="16">(N34-L34-M34)/H34</f>
        <v>69.725651577503427</v>
      </c>
      <c r="Q34" s="74">
        <f t="shared" ref="Q34:Q65" si="17">R34/O34</f>
        <v>0.15</v>
      </c>
      <c r="R34" s="75">
        <f t="shared" ref="R34:R65" si="18">O34*0.15</f>
        <v>448.5</v>
      </c>
      <c r="S34" s="74">
        <v>0.8</v>
      </c>
      <c r="T34" s="75">
        <f t="shared" ref="T34:T65" si="19">S34*O34</f>
        <v>2392</v>
      </c>
      <c r="U34" s="76">
        <f t="shared" ref="U34:U65" si="20">100%-S34-Q34</f>
        <v>4.9999999999999961E-2</v>
      </c>
      <c r="V34" s="69">
        <f t="shared" ref="V34:V65" si="21">O34*U34</f>
        <v>149.49999999999989</v>
      </c>
      <c r="W34" s="77">
        <f ca="1">V34*VLOOKUP(TODAY(),'UF HOY'!$A$2:$B$36,2,0)</f>
        <v>5940224.0299999956</v>
      </c>
      <c r="X34" s="78">
        <f>Datos!$E$6</f>
        <v>18</v>
      </c>
      <c r="Y34" s="79">
        <f ca="1">IF((W34-1000000-Datos!$N$6)/X34&gt;0,(W34-1000000-Datos!$N$6)/X34,0)</f>
        <v>268901.33499999973</v>
      </c>
      <c r="Z34" s="78">
        <f>Datos!$E$6</f>
        <v>18</v>
      </c>
      <c r="AA34" s="79">
        <f ca="1">IF((W34-1000000-Datos!$N$6-1%*O34*VLOOKUP(TODAY(),'UF HOY'!$A$2:$B$33,2,0))/Z34&gt;0,(W34-1000000-Datos!$N$6-1%*O34*VLOOKUP(TODAY(),'UF HOY'!$A$2:$B$33,2,0))/Z34,0)</f>
        <v>202898.84577777755</v>
      </c>
      <c r="AB34" s="221">
        <f>IF(L34&gt;0,VLOOKUP(D34,Datos!$H$35:$J$38,3,0),VLOOKUP(D34,Datos!$H$35:$J$38,2,0))</f>
        <v>380000</v>
      </c>
      <c r="AC34" s="79">
        <f ca="1">(S34*PMT(Datos!$D$15,Datos!$D$13,-O34,,)*VLOOKUP(TODAY(),'UF HOY'!$A$2:$B$36,2,0)/12)+VLOOKUP(TODAY(),'UF HOY'!$A$2:$B$36,2,0)</f>
        <v>497765.59937474306</v>
      </c>
      <c r="AD34" s="79">
        <f t="shared" ref="AD34:AD65" ca="1" si="22">AB34-AC34</f>
        <v>-117765.59937474306</v>
      </c>
      <c r="AE34" s="220">
        <f t="shared" ref="AE34:AE65" ca="1" si="23">IF((AC34/0.25)&lt;=1600000,1600000,(AC34/0.25))</f>
        <v>1991062.3974989722</v>
      </c>
    </row>
    <row r="35" spans="1:31" hidden="1">
      <c r="A35" s="86" t="s">
        <v>171</v>
      </c>
      <c r="B35" s="86">
        <v>201</v>
      </c>
      <c r="C35" s="67" t="s">
        <v>129</v>
      </c>
      <c r="D35" s="67" t="s">
        <v>195</v>
      </c>
      <c r="E35" s="67"/>
      <c r="F35" s="66">
        <v>32.770000000000003</v>
      </c>
      <c r="G35" s="66">
        <v>7.36</v>
      </c>
      <c r="H35" s="67">
        <f t="shared" si="12"/>
        <v>36.450000000000003</v>
      </c>
      <c r="I35" s="68">
        <f t="shared" si="13"/>
        <v>40.130000000000003</v>
      </c>
      <c r="J35" s="69">
        <v>3010</v>
      </c>
      <c r="K35" s="70">
        <v>0</v>
      </c>
      <c r="L35" s="71">
        <v>0</v>
      </c>
      <c r="M35" s="71">
        <v>0</v>
      </c>
      <c r="N35" s="72">
        <f t="shared" si="14"/>
        <v>2558.5</v>
      </c>
      <c r="O35" s="73">
        <f t="shared" si="15"/>
        <v>3010</v>
      </c>
      <c r="P35" s="121">
        <f t="shared" si="16"/>
        <v>70.192043895747588</v>
      </c>
      <c r="Q35" s="74">
        <f t="shared" si="17"/>
        <v>0.15</v>
      </c>
      <c r="R35" s="75">
        <f t="shared" si="18"/>
        <v>451.5</v>
      </c>
      <c r="S35" s="74">
        <v>0.8</v>
      </c>
      <c r="T35" s="75">
        <f t="shared" si="19"/>
        <v>2408</v>
      </c>
      <c r="U35" s="76">
        <f t="shared" si="20"/>
        <v>4.9999999999999961E-2</v>
      </c>
      <c r="V35" s="69">
        <f t="shared" si="21"/>
        <v>150.49999999999989</v>
      </c>
      <c r="W35" s="77">
        <f ca="1">V35*VLOOKUP(TODAY(),'UF HOY'!$A$2:$B$36,2,0)</f>
        <v>5979957.969999996</v>
      </c>
      <c r="X35" s="78">
        <f>Datos!$E$6</f>
        <v>18</v>
      </c>
      <c r="Y35" s="79">
        <f ca="1">IF((W35-1000000-Datos!$N$6)/X35&gt;0,(W35-1000000-Datos!$N$6)/X35,0)</f>
        <v>271108.77611111087</v>
      </c>
      <c r="Z35" s="78">
        <f>Datos!$E$6</f>
        <v>18</v>
      </c>
      <c r="AA35" s="79">
        <f ca="1">IF((W35-1000000-Datos!$N$6-1%*O35*VLOOKUP(TODAY(),'UF HOY'!$A$2:$B$33,2,0))/Z35&gt;0,(W35-1000000-Datos!$N$6-1%*O35*VLOOKUP(TODAY(),'UF HOY'!$A$2:$B$33,2,0))/Z35,0)</f>
        <v>204664.79866666644</v>
      </c>
      <c r="AB35" s="221">
        <f>IF(L35&gt;0,VLOOKUP(D35,Datos!$H$35:$J$38,3,0),VLOOKUP(D35,Datos!$H$35:$J$38,2,0))</f>
        <v>380000</v>
      </c>
      <c r="AC35" s="79">
        <f ca="1">(S35*PMT(Datos!$D$15,Datos!$D$13,-O35,,)*VLOOKUP(TODAY(),'UF HOY'!$A$2:$B$36,2,0)/12)+VLOOKUP(TODAY(),'UF HOY'!$A$2:$B$36,2,0)</f>
        <v>500829.35629363777</v>
      </c>
      <c r="AD35" s="79">
        <f t="shared" ca="1" si="22"/>
        <v>-120829.35629363777</v>
      </c>
      <c r="AE35" s="220">
        <f t="shared" ca="1" si="23"/>
        <v>2003317.4251745511</v>
      </c>
    </row>
    <row r="36" spans="1:31" hidden="1">
      <c r="A36" s="86" t="s">
        <v>171</v>
      </c>
      <c r="B36" s="86">
        <v>103</v>
      </c>
      <c r="C36" s="67" t="s">
        <v>129</v>
      </c>
      <c r="D36" s="67" t="s">
        <v>195</v>
      </c>
      <c r="E36" s="67"/>
      <c r="F36" s="66">
        <v>33.67</v>
      </c>
      <c r="G36" s="66">
        <v>4.96</v>
      </c>
      <c r="H36" s="67">
        <f t="shared" si="12"/>
        <v>36.15</v>
      </c>
      <c r="I36" s="68">
        <f t="shared" si="13"/>
        <v>38.630000000000003</v>
      </c>
      <c r="J36" s="69">
        <v>3020</v>
      </c>
      <c r="K36" s="70">
        <v>0</v>
      </c>
      <c r="L36" s="71">
        <v>0</v>
      </c>
      <c r="M36" s="71">
        <v>0</v>
      </c>
      <c r="N36" s="72">
        <f t="shared" si="14"/>
        <v>2567</v>
      </c>
      <c r="O36" s="73">
        <f t="shared" si="15"/>
        <v>3020</v>
      </c>
      <c r="P36" s="121">
        <f t="shared" si="16"/>
        <v>71.009681881051179</v>
      </c>
      <c r="Q36" s="74">
        <f t="shared" si="17"/>
        <v>0.15</v>
      </c>
      <c r="R36" s="75">
        <f t="shared" si="18"/>
        <v>453</v>
      </c>
      <c r="S36" s="74">
        <v>0.8</v>
      </c>
      <c r="T36" s="75">
        <f t="shared" si="19"/>
        <v>2416</v>
      </c>
      <c r="U36" s="76">
        <f t="shared" si="20"/>
        <v>4.9999999999999961E-2</v>
      </c>
      <c r="V36" s="69">
        <f t="shared" si="21"/>
        <v>150.99999999999989</v>
      </c>
      <c r="W36" s="77">
        <f ca="1">V36*VLOOKUP(TODAY(),'UF HOY'!$A$2:$B$36,2,0)</f>
        <v>5999824.9399999958</v>
      </c>
      <c r="X36" s="78">
        <f>Datos!$E$6</f>
        <v>18</v>
      </c>
      <c r="Y36" s="79">
        <f ca="1">IF((W36-1000000-Datos!$N$6)/X36&gt;0,(W36-1000000-Datos!$N$6)/X36,0)</f>
        <v>272212.49666666641</v>
      </c>
      <c r="Z36" s="78">
        <f>Datos!$E$6</f>
        <v>18</v>
      </c>
      <c r="AA36" s="79">
        <f ca="1">IF((W36-1000000-Datos!$N$6-1%*O36*VLOOKUP(TODAY(),'UF HOY'!$A$2:$B$33,2,0))/Z36&gt;0,(W36-1000000-Datos!$N$6-1%*O36*VLOOKUP(TODAY(),'UF HOY'!$A$2:$B$33,2,0))/Z36,0)</f>
        <v>205547.77511111088</v>
      </c>
      <c r="AB36" s="221">
        <f>IF(L36&gt;0,VLOOKUP(D36,Datos!$H$35:$J$38,3,0),VLOOKUP(D36,Datos!$H$35:$J$38,2,0))</f>
        <v>380000</v>
      </c>
      <c r="AC36" s="79">
        <f ca="1">(S36*PMT(Datos!$D$15,Datos!$D$13,-O36,,)*VLOOKUP(TODAY(),'UF HOY'!$A$2:$B$36,2,0)/12)+VLOOKUP(TODAY(),'UF HOY'!$A$2:$B$36,2,0)</f>
        <v>502361.23475308495</v>
      </c>
      <c r="AD36" s="79">
        <f t="shared" ca="1" si="22"/>
        <v>-122361.23475308495</v>
      </c>
      <c r="AE36" s="220">
        <f t="shared" ca="1" si="23"/>
        <v>2009444.9390123398</v>
      </c>
    </row>
    <row r="37" spans="1:31" hidden="1">
      <c r="A37" s="86" t="s">
        <v>171</v>
      </c>
      <c r="B37" s="86">
        <v>301</v>
      </c>
      <c r="C37" s="67" t="s">
        <v>129</v>
      </c>
      <c r="D37" s="67" t="s">
        <v>195</v>
      </c>
      <c r="E37" s="67"/>
      <c r="F37" s="66">
        <v>32.770000000000003</v>
      </c>
      <c r="G37" s="66">
        <v>7.36</v>
      </c>
      <c r="H37" s="67">
        <f t="shared" si="12"/>
        <v>36.450000000000003</v>
      </c>
      <c r="I37" s="68">
        <f t="shared" si="13"/>
        <v>40.130000000000003</v>
      </c>
      <c r="J37" s="69">
        <v>3050</v>
      </c>
      <c r="K37" s="70">
        <v>0</v>
      </c>
      <c r="L37" s="71">
        <v>0</v>
      </c>
      <c r="M37" s="71">
        <v>0</v>
      </c>
      <c r="N37" s="72">
        <f t="shared" si="14"/>
        <v>2592.5</v>
      </c>
      <c r="O37" s="73">
        <f t="shared" si="15"/>
        <v>3050</v>
      </c>
      <c r="P37" s="121">
        <f t="shared" si="16"/>
        <v>71.124828532235938</v>
      </c>
      <c r="Q37" s="74">
        <f t="shared" si="17"/>
        <v>0.15</v>
      </c>
      <c r="R37" s="75">
        <f t="shared" si="18"/>
        <v>457.5</v>
      </c>
      <c r="S37" s="74">
        <v>0.8</v>
      </c>
      <c r="T37" s="75">
        <f t="shared" si="19"/>
        <v>2440</v>
      </c>
      <c r="U37" s="76">
        <f t="shared" si="20"/>
        <v>4.9999999999999961E-2</v>
      </c>
      <c r="V37" s="69">
        <f t="shared" si="21"/>
        <v>152.49999999999989</v>
      </c>
      <c r="W37" s="77">
        <f ca="1">V37*VLOOKUP(TODAY(),'UF HOY'!$A$2:$B$36,2,0)</f>
        <v>6059425.8499999959</v>
      </c>
      <c r="X37" s="78">
        <f>Datos!$E$6</f>
        <v>18</v>
      </c>
      <c r="Y37" s="79">
        <f ca="1">IF((W37-1000000-Datos!$N$6)/X37&gt;0,(W37-1000000-Datos!$N$6)/X37,0)</f>
        <v>275523.65833333309</v>
      </c>
      <c r="Z37" s="78">
        <f>Datos!$E$6</f>
        <v>18</v>
      </c>
      <c r="AA37" s="79">
        <f ca="1">IF((W37-1000000-Datos!$N$6-1%*O37*VLOOKUP(TODAY(),'UF HOY'!$A$2:$B$33,2,0))/Z37&gt;0,(W37-1000000-Datos!$N$6-1%*O37*VLOOKUP(TODAY(),'UF HOY'!$A$2:$B$33,2,0))/Z37,0)</f>
        <v>208196.70444444421</v>
      </c>
      <c r="AB37" s="221">
        <f>IF(L37&gt;0,VLOOKUP(D37,Datos!$H$35:$J$38,3,0),VLOOKUP(D37,Datos!$H$35:$J$38,2,0))</f>
        <v>380000</v>
      </c>
      <c r="AC37" s="79">
        <f ca="1">(S37*PMT(Datos!$D$15,Datos!$D$13,-O37,,)*VLOOKUP(TODAY(),'UF HOY'!$A$2:$B$36,2,0)/12)+VLOOKUP(TODAY(),'UF HOY'!$A$2:$B$36,2,0)</f>
        <v>506956.87013142684</v>
      </c>
      <c r="AD37" s="79">
        <f t="shared" ca="1" si="22"/>
        <v>-126956.87013142684</v>
      </c>
      <c r="AE37" s="220">
        <f t="shared" ca="1" si="23"/>
        <v>2027827.4805257074</v>
      </c>
    </row>
    <row r="38" spans="1:31" hidden="1">
      <c r="A38" s="86" t="s">
        <v>171</v>
      </c>
      <c r="B38" s="86">
        <v>401</v>
      </c>
      <c r="C38" s="67" t="s">
        <v>129</v>
      </c>
      <c r="D38" s="67" t="s">
        <v>195</v>
      </c>
      <c r="E38" s="67"/>
      <c r="F38" s="66">
        <v>32.770000000000003</v>
      </c>
      <c r="G38" s="66">
        <v>7.36</v>
      </c>
      <c r="H38" s="67">
        <f t="shared" si="12"/>
        <v>36.450000000000003</v>
      </c>
      <c r="I38" s="68">
        <f t="shared" si="13"/>
        <v>40.130000000000003</v>
      </c>
      <c r="J38" s="69">
        <v>3050</v>
      </c>
      <c r="K38" s="70">
        <v>0</v>
      </c>
      <c r="L38" s="71">
        <v>0</v>
      </c>
      <c r="M38" s="71">
        <v>0</v>
      </c>
      <c r="N38" s="72">
        <f t="shared" si="14"/>
        <v>2592.5</v>
      </c>
      <c r="O38" s="73">
        <f t="shared" si="15"/>
        <v>3050</v>
      </c>
      <c r="P38" s="121">
        <f t="shared" si="16"/>
        <v>71.124828532235938</v>
      </c>
      <c r="Q38" s="74">
        <f t="shared" si="17"/>
        <v>0.15</v>
      </c>
      <c r="R38" s="75">
        <f t="shared" si="18"/>
        <v>457.5</v>
      </c>
      <c r="S38" s="74">
        <v>0.8</v>
      </c>
      <c r="T38" s="75">
        <f t="shared" si="19"/>
        <v>2440</v>
      </c>
      <c r="U38" s="76">
        <f t="shared" si="20"/>
        <v>4.9999999999999961E-2</v>
      </c>
      <c r="V38" s="69">
        <f t="shared" si="21"/>
        <v>152.49999999999989</v>
      </c>
      <c r="W38" s="77">
        <f ca="1">V38*VLOOKUP(TODAY(),'UF HOY'!$A$2:$B$36,2,0)</f>
        <v>6059425.8499999959</v>
      </c>
      <c r="X38" s="78">
        <f>Datos!$E$6</f>
        <v>18</v>
      </c>
      <c r="Y38" s="79">
        <f ca="1">IF((W38-1000000-Datos!$N$6)/X38&gt;0,(W38-1000000-Datos!$N$6)/X38,0)</f>
        <v>275523.65833333309</v>
      </c>
      <c r="Z38" s="78">
        <f>Datos!$E$6</f>
        <v>18</v>
      </c>
      <c r="AA38" s="79">
        <f ca="1">IF((W38-1000000-Datos!$N$6-1%*O38*VLOOKUP(TODAY(),'UF HOY'!$A$2:$B$33,2,0))/Z38&gt;0,(W38-1000000-Datos!$N$6-1%*O38*VLOOKUP(TODAY(),'UF HOY'!$A$2:$B$33,2,0))/Z38,0)</f>
        <v>208196.70444444421</v>
      </c>
      <c r="AB38" s="221">
        <f>IF(L38&gt;0,VLOOKUP(D38,Datos!$H$35:$J$38,3,0),VLOOKUP(D38,Datos!$H$35:$J$38,2,0))</f>
        <v>380000</v>
      </c>
      <c r="AC38" s="79">
        <f ca="1">(S38*PMT(Datos!$D$15,Datos!$D$13,-O38,,)*VLOOKUP(TODAY(),'UF HOY'!$A$2:$B$36,2,0)/12)+VLOOKUP(TODAY(),'UF HOY'!$A$2:$B$36,2,0)</f>
        <v>506956.87013142684</v>
      </c>
      <c r="AD38" s="79">
        <f t="shared" ca="1" si="22"/>
        <v>-126956.87013142684</v>
      </c>
      <c r="AE38" s="220">
        <f t="shared" ca="1" si="23"/>
        <v>2027827.4805257074</v>
      </c>
    </row>
    <row r="39" spans="1:31" hidden="1">
      <c r="A39" s="86" t="s">
        <v>171</v>
      </c>
      <c r="B39" s="86">
        <v>501</v>
      </c>
      <c r="C39" s="67" t="s">
        <v>129</v>
      </c>
      <c r="D39" s="67" t="s">
        <v>195</v>
      </c>
      <c r="E39" s="67"/>
      <c r="F39" s="66">
        <v>32.770000000000003</v>
      </c>
      <c r="G39" s="66">
        <v>7.36</v>
      </c>
      <c r="H39" s="67">
        <f t="shared" si="12"/>
        <v>36.450000000000003</v>
      </c>
      <c r="I39" s="68">
        <f t="shared" si="13"/>
        <v>40.130000000000003</v>
      </c>
      <c r="J39" s="69">
        <v>3050</v>
      </c>
      <c r="K39" s="70">
        <v>0</v>
      </c>
      <c r="L39" s="71">
        <v>0</v>
      </c>
      <c r="M39" s="71">
        <v>0</v>
      </c>
      <c r="N39" s="72">
        <f t="shared" si="14"/>
        <v>2592.5</v>
      </c>
      <c r="O39" s="73">
        <f t="shared" si="15"/>
        <v>3050</v>
      </c>
      <c r="P39" s="121">
        <f t="shared" si="16"/>
        <v>71.124828532235938</v>
      </c>
      <c r="Q39" s="74">
        <f t="shared" si="17"/>
        <v>0.15</v>
      </c>
      <c r="R39" s="75">
        <f t="shared" si="18"/>
        <v>457.5</v>
      </c>
      <c r="S39" s="74">
        <v>0.8</v>
      </c>
      <c r="T39" s="75">
        <f t="shared" si="19"/>
        <v>2440</v>
      </c>
      <c r="U39" s="76">
        <f t="shared" si="20"/>
        <v>4.9999999999999961E-2</v>
      </c>
      <c r="V39" s="69">
        <f t="shared" si="21"/>
        <v>152.49999999999989</v>
      </c>
      <c r="W39" s="77">
        <f ca="1">V39*VLOOKUP(TODAY(),'UF HOY'!$A$2:$B$36,2,0)</f>
        <v>6059425.8499999959</v>
      </c>
      <c r="X39" s="78">
        <f>Datos!$E$6</f>
        <v>18</v>
      </c>
      <c r="Y39" s="79">
        <f ca="1">IF((W39-1000000-Datos!$N$6)/X39&gt;0,(W39-1000000-Datos!$N$6)/X39,0)</f>
        <v>275523.65833333309</v>
      </c>
      <c r="Z39" s="78">
        <f>Datos!$E$6</f>
        <v>18</v>
      </c>
      <c r="AA39" s="79">
        <f ca="1">IF((W39-1000000-Datos!$N$6-1%*O39*VLOOKUP(TODAY(),'UF HOY'!$A$2:$B$33,2,0))/Z39&gt;0,(W39-1000000-Datos!$N$6-1%*O39*VLOOKUP(TODAY(),'UF HOY'!$A$2:$B$33,2,0))/Z39,0)</f>
        <v>208196.70444444421</v>
      </c>
      <c r="AB39" s="221">
        <f>IF(L39&gt;0,VLOOKUP(D39,Datos!$H$35:$J$38,3,0),VLOOKUP(D39,Datos!$H$35:$J$38,2,0))</f>
        <v>380000</v>
      </c>
      <c r="AC39" s="79">
        <f ca="1">(S39*PMT(Datos!$D$15,Datos!$D$13,-O39,,)*VLOOKUP(TODAY(),'UF HOY'!$A$2:$B$36,2,0)/12)+VLOOKUP(TODAY(),'UF HOY'!$A$2:$B$36,2,0)</f>
        <v>506956.87013142684</v>
      </c>
      <c r="AD39" s="79">
        <f t="shared" ca="1" si="22"/>
        <v>-126956.87013142684</v>
      </c>
      <c r="AE39" s="220">
        <f t="shared" ca="1" si="23"/>
        <v>2027827.4805257074</v>
      </c>
    </row>
    <row r="40" spans="1:31" hidden="1">
      <c r="A40" s="86" t="s">
        <v>171</v>
      </c>
      <c r="B40" s="86">
        <v>601</v>
      </c>
      <c r="C40" s="67" t="s">
        <v>129</v>
      </c>
      <c r="D40" s="67" t="s">
        <v>195</v>
      </c>
      <c r="E40" s="67"/>
      <c r="F40" s="66">
        <v>32.770000000000003</v>
      </c>
      <c r="G40" s="66">
        <v>7.36</v>
      </c>
      <c r="H40" s="67">
        <f t="shared" si="12"/>
        <v>36.450000000000003</v>
      </c>
      <c r="I40" s="68">
        <f t="shared" si="13"/>
        <v>40.130000000000003</v>
      </c>
      <c r="J40" s="69">
        <v>3050</v>
      </c>
      <c r="K40" s="70">
        <v>0</v>
      </c>
      <c r="L40" s="71">
        <v>0</v>
      </c>
      <c r="M40" s="71">
        <v>0</v>
      </c>
      <c r="N40" s="72">
        <f t="shared" si="14"/>
        <v>2592.5</v>
      </c>
      <c r="O40" s="73">
        <f t="shared" si="15"/>
        <v>3050</v>
      </c>
      <c r="P40" s="121">
        <f t="shared" si="16"/>
        <v>71.124828532235938</v>
      </c>
      <c r="Q40" s="74">
        <f t="shared" si="17"/>
        <v>0.15</v>
      </c>
      <c r="R40" s="75">
        <f t="shared" si="18"/>
        <v>457.5</v>
      </c>
      <c r="S40" s="74">
        <v>0.8</v>
      </c>
      <c r="T40" s="75">
        <f t="shared" si="19"/>
        <v>2440</v>
      </c>
      <c r="U40" s="76">
        <f t="shared" si="20"/>
        <v>4.9999999999999961E-2</v>
      </c>
      <c r="V40" s="69">
        <f t="shared" si="21"/>
        <v>152.49999999999989</v>
      </c>
      <c r="W40" s="77">
        <f ca="1">V40*VLOOKUP(TODAY(),'UF HOY'!$A$2:$B$36,2,0)</f>
        <v>6059425.8499999959</v>
      </c>
      <c r="X40" s="78">
        <f>Datos!$E$6</f>
        <v>18</v>
      </c>
      <c r="Y40" s="79">
        <f ca="1">IF((W40-1000000-Datos!$N$6)/X40&gt;0,(W40-1000000-Datos!$N$6)/X40,0)</f>
        <v>275523.65833333309</v>
      </c>
      <c r="Z40" s="78">
        <f>Datos!$E$6</f>
        <v>18</v>
      </c>
      <c r="AA40" s="79">
        <f ca="1">IF((W40-1000000-Datos!$N$6-1%*O40*VLOOKUP(TODAY(),'UF HOY'!$A$2:$B$33,2,0))/Z40&gt;0,(W40-1000000-Datos!$N$6-1%*O40*VLOOKUP(TODAY(),'UF HOY'!$A$2:$B$33,2,0))/Z40,0)</f>
        <v>208196.70444444421</v>
      </c>
      <c r="AB40" s="221">
        <f>IF(L40&gt;0,VLOOKUP(D40,Datos!$H$35:$J$38,3,0),VLOOKUP(D40,Datos!$H$35:$J$38,2,0))</f>
        <v>380000</v>
      </c>
      <c r="AC40" s="79">
        <f ca="1">(S40*PMT(Datos!$D$15,Datos!$D$13,-O40,,)*VLOOKUP(TODAY(),'UF HOY'!$A$2:$B$36,2,0)/12)+VLOOKUP(TODAY(),'UF HOY'!$A$2:$B$36,2,0)</f>
        <v>506956.87013142684</v>
      </c>
      <c r="AD40" s="79">
        <f t="shared" ca="1" si="22"/>
        <v>-126956.87013142684</v>
      </c>
      <c r="AE40" s="220">
        <f t="shared" ca="1" si="23"/>
        <v>2027827.4805257074</v>
      </c>
    </row>
    <row r="41" spans="1:31">
      <c r="A41" s="86" t="s">
        <v>4</v>
      </c>
      <c r="B41" s="86">
        <v>701</v>
      </c>
      <c r="C41" s="67" t="s">
        <v>129</v>
      </c>
      <c r="D41" s="67" t="s">
        <v>195</v>
      </c>
      <c r="E41" s="67"/>
      <c r="F41" s="66">
        <v>32.770000000000003</v>
      </c>
      <c r="G41" s="66">
        <v>7.36</v>
      </c>
      <c r="H41" s="67">
        <f t="shared" si="12"/>
        <v>36.450000000000003</v>
      </c>
      <c r="I41" s="68">
        <f t="shared" si="13"/>
        <v>40.130000000000003</v>
      </c>
      <c r="J41" s="69">
        <v>3050</v>
      </c>
      <c r="K41" s="70">
        <v>0</v>
      </c>
      <c r="L41" s="71">
        <v>0</v>
      </c>
      <c r="M41" s="71">
        <v>0</v>
      </c>
      <c r="N41" s="72">
        <f t="shared" si="14"/>
        <v>2592.5</v>
      </c>
      <c r="O41" s="73">
        <f t="shared" si="15"/>
        <v>3050</v>
      </c>
      <c r="P41" s="121">
        <f t="shared" si="16"/>
        <v>71.124828532235938</v>
      </c>
      <c r="Q41" s="74">
        <f t="shared" si="17"/>
        <v>0.15</v>
      </c>
      <c r="R41" s="75">
        <f t="shared" si="18"/>
        <v>457.5</v>
      </c>
      <c r="S41" s="74">
        <v>0.8</v>
      </c>
      <c r="T41" s="75">
        <f t="shared" si="19"/>
        <v>2440</v>
      </c>
      <c r="U41" s="76">
        <f t="shared" si="20"/>
        <v>4.9999999999999961E-2</v>
      </c>
      <c r="V41" s="69">
        <f t="shared" si="21"/>
        <v>152.49999999999989</v>
      </c>
      <c r="W41" s="77">
        <f ca="1">V41*VLOOKUP(TODAY(),'UF HOY'!$A$2:$B$36,2,0)</f>
        <v>6059425.8499999959</v>
      </c>
      <c r="X41" s="78">
        <f>Datos!$E$6</f>
        <v>18</v>
      </c>
      <c r="Y41" s="79">
        <f ca="1">IF((W41-1000000-Datos!$N$6)/X41&gt;0,(W41-1000000-Datos!$N$6)/X41,0)</f>
        <v>275523.65833333309</v>
      </c>
      <c r="Z41" s="78">
        <f>Datos!$E$6</f>
        <v>18</v>
      </c>
      <c r="AA41" s="79">
        <f ca="1">IF((W41-1000000-Datos!$N$6-1%*O41*VLOOKUP(TODAY(),'UF HOY'!$A$2:$B$33,2,0))/Z41&gt;0,(W41-1000000-Datos!$N$6-1%*O41*VLOOKUP(TODAY(),'UF HOY'!$A$2:$B$33,2,0))/Z41,0)</f>
        <v>208196.70444444421</v>
      </c>
      <c r="AB41" s="221">
        <f>IF(L41&gt;0,VLOOKUP(D41,Datos!$H$35:$J$38,3,0),VLOOKUP(D41,Datos!$H$35:$J$38,2,0))</f>
        <v>380000</v>
      </c>
      <c r="AC41" s="79">
        <f ca="1">(S41*PMT(Datos!$D$15,Datos!$D$13,-O41,,)*VLOOKUP(TODAY(),'UF HOY'!$A$2:$B$36,2,0)/12)+VLOOKUP(TODAY(),'UF HOY'!$A$2:$B$36,2,0)</f>
        <v>506956.87013142684</v>
      </c>
      <c r="AD41" s="79">
        <f t="shared" ca="1" si="22"/>
        <v>-126956.87013142684</v>
      </c>
      <c r="AE41" s="220">
        <f t="shared" ca="1" si="23"/>
        <v>2027827.4805257074</v>
      </c>
    </row>
    <row r="42" spans="1:31" hidden="1">
      <c r="A42" s="86" t="s">
        <v>171</v>
      </c>
      <c r="B42" s="86">
        <v>801</v>
      </c>
      <c r="C42" s="67" t="s">
        <v>129</v>
      </c>
      <c r="D42" s="67" t="s">
        <v>195</v>
      </c>
      <c r="E42" s="67"/>
      <c r="F42" s="66">
        <v>32.770000000000003</v>
      </c>
      <c r="G42" s="66">
        <v>7.36</v>
      </c>
      <c r="H42" s="67">
        <f t="shared" si="12"/>
        <v>36.450000000000003</v>
      </c>
      <c r="I42" s="68">
        <f t="shared" si="13"/>
        <v>40.130000000000003</v>
      </c>
      <c r="J42" s="69">
        <v>3050</v>
      </c>
      <c r="K42" s="70">
        <v>0</v>
      </c>
      <c r="L42" s="71">
        <v>0</v>
      </c>
      <c r="M42" s="71">
        <v>0</v>
      </c>
      <c r="N42" s="72">
        <f t="shared" si="14"/>
        <v>2592.5</v>
      </c>
      <c r="O42" s="73">
        <f t="shared" si="15"/>
        <v>3050</v>
      </c>
      <c r="P42" s="121">
        <f t="shared" si="16"/>
        <v>71.124828532235938</v>
      </c>
      <c r="Q42" s="74">
        <f t="shared" si="17"/>
        <v>0.15</v>
      </c>
      <c r="R42" s="75">
        <f t="shared" si="18"/>
        <v>457.5</v>
      </c>
      <c r="S42" s="74">
        <v>0.8</v>
      </c>
      <c r="T42" s="75">
        <f t="shared" si="19"/>
        <v>2440</v>
      </c>
      <c r="U42" s="76">
        <f t="shared" si="20"/>
        <v>4.9999999999999961E-2</v>
      </c>
      <c r="V42" s="69">
        <f t="shared" si="21"/>
        <v>152.49999999999989</v>
      </c>
      <c r="W42" s="77">
        <f ca="1">V42*VLOOKUP(TODAY(),'UF HOY'!$A$2:$B$36,2,0)</f>
        <v>6059425.8499999959</v>
      </c>
      <c r="X42" s="78">
        <f>Datos!$E$6</f>
        <v>18</v>
      </c>
      <c r="Y42" s="79">
        <f ca="1">IF((W42-1000000-Datos!$N$6)/X42&gt;0,(W42-1000000-Datos!$N$6)/X42,0)</f>
        <v>275523.65833333309</v>
      </c>
      <c r="Z42" s="78">
        <f>Datos!$E$6</f>
        <v>18</v>
      </c>
      <c r="AA42" s="79">
        <f ca="1">IF((W42-1000000-Datos!$N$6-1%*O42*VLOOKUP(TODAY(),'UF HOY'!$A$2:$B$33,2,0))/Z42&gt;0,(W42-1000000-Datos!$N$6-1%*O42*VLOOKUP(TODAY(),'UF HOY'!$A$2:$B$33,2,0))/Z42,0)</f>
        <v>208196.70444444421</v>
      </c>
      <c r="AB42" s="221">
        <f>IF(L42&gt;0,VLOOKUP(D42,Datos!$H$35:$J$38,3,0),VLOOKUP(D42,Datos!$H$35:$J$38,2,0))</f>
        <v>380000</v>
      </c>
      <c r="AC42" s="79">
        <f ca="1">(S42*PMT(Datos!$D$15,Datos!$D$13,-O42,,)*VLOOKUP(TODAY(),'UF HOY'!$A$2:$B$36,2,0)/12)+VLOOKUP(TODAY(),'UF HOY'!$A$2:$B$36,2,0)</f>
        <v>506956.87013142684</v>
      </c>
      <c r="AD42" s="79">
        <f t="shared" ca="1" si="22"/>
        <v>-126956.87013142684</v>
      </c>
      <c r="AE42" s="220">
        <f t="shared" ca="1" si="23"/>
        <v>2027827.4805257074</v>
      </c>
    </row>
    <row r="43" spans="1:31" hidden="1">
      <c r="A43" s="86" t="s">
        <v>171</v>
      </c>
      <c r="B43" s="86">
        <v>901</v>
      </c>
      <c r="C43" s="67" t="s">
        <v>129</v>
      </c>
      <c r="D43" s="67" t="s">
        <v>195</v>
      </c>
      <c r="E43" s="67"/>
      <c r="F43" s="66">
        <v>32.770000000000003</v>
      </c>
      <c r="G43" s="66">
        <v>7.36</v>
      </c>
      <c r="H43" s="67">
        <f t="shared" si="12"/>
        <v>36.450000000000003</v>
      </c>
      <c r="I43" s="68">
        <f t="shared" si="13"/>
        <v>40.130000000000003</v>
      </c>
      <c r="J43" s="69">
        <v>3050</v>
      </c>
      <c r="K43" s="70">
        <v>0</v>
      </c>
      <c r="L43" s="71">
        <v>0</v>
      </c>
      <c r="M43" s="71">
        <v>0</v>
      </c>
      <c r="N43" s="72">
        <f t="shared" si="14"/>
        <v>2592.5</v>
      </c>
      <c r="O43" s="73">
        <f t="shared" si="15"/>
        <v>3050</v>
      </c>
      <c r="P43" s="121">
        <f t="shared" si="16"/>
        <v>71.124828532235938</v>
      </c>
      <c r="Q43" s="74">
        <f t="shared" si="17"/>
        <v>0.15</v>
      </c>
      <c r="R43" s="75">
        <f t="shared" si="18"/>
        <v>457.5</v>
      </c>
      <c r="S43" s="74">
        <v>0.8</v>
      </c>
      <c r="T43" s="75">
        <f t="shared" si="19"/>
        <v>2440</v>
      </c>
      <c r="U43" s="76">
        <f t="shared" si="20"/>
        <v>4.9999999999999961E-2</v>
      </c>
      <c r="V43" s="69">
        <f t="shared" si="21"/>
        <v>152.49999999999989</v>
      </c>
      <c r="W43" s="77">
        <f ca="1">V43*VLOOKUP(TODAY(),'UF HOY'!$A$2:$B$36,2,0)</f>
        <v>6059425.8499999959</v>
      </c>
      <c r="X43" s="78">
        <f>Datos!$E$6</f>
        <v>18</v>
      </c>
      <c r="Y43" s="79">
        <f ca="1">IF((W43-1000000-Datos!$N$6)/X43&gt;0,(W43-1000000-Datos!$N$6)/X43,0)</f>
        <v>275523.65833333309</v>
      </c>
      <c r="Z43" s="78">
        <f>Datos!$E$6</f>
        <v>18</v>
      </c>
      <c r="AA43" s="79">
        <f ca="1">IF((W43-1000000-Datos!$N$6-1%*O43*VLOOKUP(TODAY(),'UF HOY'!$A$2:$B$33,2,0))/Z43&gt;0,(W43-1000000-Datos!$N$6-1%*O43*VLOOKUP(TODAY(),'UF HOY'!$A$2:$B$33,2,0))/Z43,0)</f>
        <v>208196.70444444421</v>
      </c>
      <c r="AB43" s="221">
        <f>IF(L43&gt;0,VLOOKUP(D43,Datos!$H$35:$J$38,3,0),VLOOKUP(D43,Datos!$H$35:$J$38,2,0))</f>
        <v>380000</v>
      </c>
      <c r="AC43" s="79">
        <f ca="1">(S43*PMT(Datos!$D$15,Datos!$D$13,-O43,,)*VLOOKUP(TODAY(),'UF HOY'!$A$2:$B$36,2,0)/12)+VLOOKUP(TODAY(),'UF HOY'!$A$2:$B$36,2,0)</f>
        <v>506956.87013142684</v>
      </c>
      <c r="AD43" s="79">
        <f t="shared" ca="1" si="22"/>
        <v>-126956.87013142684</v>
      </c>
      <c r="AE43" s="220">
        <f t="shared" ca="1" si="23"/>
        <v>2027827.4805257074</v>
      </c>
    </row>
    <row r="44" spans="1:31" hidden="1">
      <c r="A44" s="86" t="s">
        <v>171</v>
      </c>
      <c r="B44" s="86">
        <v>1301</v>
      </c>
      <c r="C44" s="67" t="s">
        <v>129</v>
      </c>
      <c r="D44" s="67" t="s">
        <v>195</v>
      </c>
      <c r="E44" s="67"/>
      <c r="F44" s="66">
        <v>32.770000000000003</v>
      </c>
      <c r="G44" s="66">
        <v>7.36</v>
      </c>
      <c r="H44" s="67">
        <f t="shared" si="12"/>
        <v>36.450000000000003</v>
      </c>
      <c r="I44" s="68">
        <f t="shared" si="13"/>
        <v>40.130000000000003</v>
      </c>
      <c r="J44" s="69">
        <v>3050</v>
      </c>
      <c r="K44" s="70">
        <v>0</v>
      </c>
      <c r="L44" s="71">
        <v>0</v>
      </c>
      <c r="M44" s="71">
        <v>0</v>
      </c>
      <c r="N44" s="72">
        <f t="shared" si="14"/>
        <v>2592.5</v>
      </c>
      <c r="O44" s="73">
        <f t="shared" si="15"/>
        <v>3050</v>
      </c>
      <c r="P44" s="121">
        <f t="shared" si="16"/>
        <v>71.124828532235938</v>
      </c>
      <c r="Q44" s="74">
        <f t="shared" si="17"/>
        <v>0.15</v>
      </c>
      <c r="R44" s="75">
        <f t="shared" si="18"/>
        <v>457.5</v>
      </c>
      <c r="S44" s="74">
        <v>0.8</v>
      </c>
      <c r="T44" s="75">
        <f t="shared" si="19"/>
        <v>2440</v>
      </c>
      <c r="U44" s="76">
        <f t="shared" si="20"/>
        <v>4.9999999999999961E-2</v>
      </c>
      <c r="V44" s="69">
        <f t="shared" si="21"/>
        <v>152.49999999999989</v>
      </c>
      <c r="W44" s="77">
        <f ca="1">V44*VLOOKUP(TODAY(),'UF HOY'!$A$2:$B$36,2,0)</f>
        <v>6059425.8499999959</v>
      </c>
      <c r="X44" s="78">
        <f>Datos!$E$6</f>
        <v>18</v>
      </c>
      <c r="Y44" s="79">
        <f ca="1">IF((W44-1000000-Datos!$N$6)/X44&gt;0,(W44-1000000-Datos!$N$6)/X44,0)</f>
        <v>275523.65833333309</v>
      </c>
      <c r="Z44" s="78">
        <f>Datos!$E$6</f>
        <v>18</v>
      </c>
      <c r="AA44" s="79">
        <f ca="1">IF((W44-1000000-Datos!$N$6-1%*O44*VLOOKUP(TODAY(),'UF HOY'!$A$2:$B$33,2,0))/Z44&gt;0,(W44-1000000-Datos!$N$6-1%*O44*VLOOKUP(TODAY(),'UF HOY'!$A$2:$B$33,2,0))/Z44,0)</f>
        <v>208196.70444444421</v>
      </c>
      <c r="AB44" s="221">
        <f>IF(L44&gt;0,VLOOKUP(D44,Datos!$H$35:$J$38,3,0),VLOOKUP(D44,Datos!$H$35:$J$38,2,0))</f>
        <v>380000</v>
      </c>
      <c r="AC44" s="79">
        <f ca="1">(S44*PMT(Datos!$D$15,Datos!$D$13,-O44,,)*VLOOKUP(TODAY(),'UF HOY'!$A$2:$B$36,2,0)/12)+VLOOKUP(TODAY(),'UF HOY'!$A$2:$B$36,2,0)</f>
        <v>506956.87013142684</v>
      </c>
      <c r="AD44" s="79">
        <f t="shared" ca="1" si="22"/>
        <v>-126956.87013142684</v>
      </c>
      <c r="AE44" s="220">
        <f t="shared" ca="1" si="23"/>
        <v>2027827.4805257074</v>
      </c>
    </row>
    <row r="45" spans="1:31" hidden="1">
      <c r="A45" s="86" t="s">
        <v>171</v>
      </c>
      <c r="B45" s="86">
        <v>104</v>
      </c>
      <c r="C45" s="67" t="s">
        <v>130</v>
      </c>
      <c r="D45" s="67" t="s">
        <v>195</v>
      </c>
      <c r="E45" s="67"/>
      <c r="F45" s="66">
        <v>33.67</v>
      </c>
      <c r="G45" s="66">
        <v>4.96</v>
      </c>
      <c r="H45" s="67">
        <f t="shared" si="12"/>
        <v>36.15</v>
      </c>
      <c r="I45" s="68">
        <f t="shared" si="13"/>
        <v>38.630000000000003</v>
      </c>
      <c r="J45" s="69">
        <v>3060</v>
      </c>
      <c r="K45" s="70">
        <v>0</v>
      </c>
      <c r="L45" s="71">
        <v>0</v>
      </c>
      <c r="M45" s="71">
        <v>0</v>
      </c>
      <c r="N45" s="72">
        <f t="shared" si="14"/>
        <v>2601</v>
      </c>
      <c r="O45" s="73">
        <f t="shared" si="15"/>
        <v>3060</v>
      </c>
      <c r="P45" s="121">
        <f t="shared" si="16"/>
        <v>71.950207468879668</v>
      </c>
      <c r="Q45" s="74">
        <f t="shared" si="17"/>
        <v>0.15</v>
      </c>
      <c r="R45" s="75">
        <f t="shared" si="18"/>
        <v>459</v>
      </c>
      <c r="S45" s="74">
        <v>0.8</v>
      </c>
      <c r="T45" s="75">
        <f t="shared" si="19"/>
        <v>2448</v>
      </c>
      <c r="U45" s="76">
        <f t="shared" si="20"/>
        <v>4.9999999999999961E-2</v>
      </c>
      <c r="V45" s="69">
        <f t="shared" si="21"/>
        <v>152.99999999999989</v>
      </c>
      <c r="W45" s="77">
        <f ca="1">V45*VLOOKUP(TODAY(),'UF HOY'!$A$2:$B$36,2,0)</f>
        <v>6079292.8199999956</v>
      </c>
      <c r="X45" s="78">
        <f>Datos!$E$6</f>
        <v>18</v>
      </c>
      <c r="Y45" s="79">
        <f ca="1">IF((W45-1000000-Datos!$N$6)/X45&gt;0,(W45-1000000-Datos!$N$6)/X45,0)</f>
        <v>276627.37888888863</v>
      </c>
      <c r="Z45" s="78">
        <f>Datos!$E$6</f>
        <v>18</v>
      </c>
      <c r="AA45" s="79">
        <f ca="1">IF((W45-1000000-Datos!$N$6-1%*O45*VLOOKUP(TODAY(),'UF HOY'!$A$2:$B$33,2,0))/Z45&gt;0,(W45-1000000-Datos!$N$6-1%*O45*VLOOKUP(TODAY(),'UF HOY'!$A$2:$B$33,2,0))/Z45,0)</f>
        <v>209079.68088888863</v>
      </c>
      <c r="AB45" s="221">
        <f>IF(L45&gt;0,VLOOKUP(D45,Datos!$H$35:$J$38,3,0),VLOOKUP(D45,Datos!$H$35:$J$38,2,0))</f>
        <v>380000</v>
      </c>
      <c r="AC45" s="79">
        <f ca="1">(S45*PMT(Datos!$D$15,Datos!$D$13,-O45,,)*VLOOKUP(TODAY(),'UF HOY'!$A$2:$B$36,2,0)/12)+VLOOKUP(TODAY(),'UF HOY'!$A$2:$B$36,2,0)</f>
        <v>508488.74859087425</v>
      </c>
      <c r="AD45" s="79">
        <f t="shared" ca="1" si="22"/>
        <v>-128488.74859087425</v>
      </c>
      <c r="AE45" s="220">
        <f t="shared" ca="1" si="23"/>
        <v>2033954.994363497</v>
      </c>
    </row>
    <row r="46" spans="1:31" hidden="1">
      <c r="A46" s="86" t="s">
        <v>171</v>
      </c>
      <c r="B46" s="86">
        <v>203</v>
      </c>
      <c r="C46" s="67" t="s">
        <v>129</v>
      </c>
      <c r="D46" s="67" t="s">
        <v>195</v>
      </c>
      <c r="E46" s="67"/>
      <c r="F46" s="66">
        <v>33.67</v>
      </c>
      <c r="G46" s="66">
        <v>4.96</v>
      </c>
      <c r="H46" s="67">
        <f t="shared" si="12"/>
        <v>36.15</v>
      </c>
      <c r="I46" s="68">
        <f t="shared" si="13"/>
        <v>38.630000000000003</v>
      </c>
      <c r="J46" s="69">
        <v>3060</v>
      </c>
      <c r="K46" s="70">
        <v>0</v>
      </c>
      <c r="L46" s="71">
        <v>0</v>
      </c>
      <c r="M46" s="71">
        <v>0</v>
      </c>
      <c r="N46" s="72">
        <f t="shared" si="14"/>
        <v>2601</v>
      </c>
      <c r="O46" s="73">
        <f t="shared" si="15"/>
        <v>3060</v>
      </c>
      <c r="P46" s="121">
        <f t="shared" si="16"/>
        <v>71.950207468879668</v>
      </c>
      <c r="Q46" s="74">
        <f t="shared" si="17"/>
        <v>0.15</v>
      </c>
      <c r="R46" s="75">
        <f t="shared" si="18"/>
        <v>459</v>
      </c>
      <c r="S46" s="74">
        <v>0.8</v>
      </c>
      <c r="T46" s="75">
        <f t="shared" si="19"/>
        <v>2448</v>
      </c>
      <c r="U46" s="76">
        <f t="shared" si="20"/>
        <v>4.9999999999999961E-2</v>
      </c>
      <c r="V46" s="69">
        <f t="shared" si="21"/>
        <v>152.99999999999989</v>
      </c>
      <c r="W46" s="77">
        <f ca="1">V46*VLOOKUP(TODAY(),'UF HOY'!$A$2:$B$36,2,0)</f>
        <v>6079292.8199999956</v>
      </c>
      <c r="X46" s="78">
        <f>Datos!$E$6</f>
        <v>18</v>
      </c>
      <c r="Y46" s="79">
        <f ca="1">IF((W46-1000000-Datos!$N$6)/X46&gt;0,(W46-1000000-Datos!$N$6)/X46,0)</f>
        <v>276627.37888888863</v>
      </c>
      <c r="Z46" s="78">
        <f>Datos!$E$6</f>
        <v>18</v>
      </c>
      <c r="AA46" s="79">
        <f ca="1">IF((W46-1000000-Datos!$N$6-1%*O46*VLOOKUP(TODAY(),'UF HOY'!$A$2:$B$33,2,0))/Z46&gt;0,(W46-1000000-Datos!$N$6-1%*O46*VLOOKUP(TODAY(),'UF HOY'!$A$2:$B$33,2,0))/Z46,0)</f>
        <v>209079.68088888863</v>
      </c>
      <c r="AB46" s="221">
        <f>IF(L46&gt;0,VLOOKUP(D46,Datos!$H$35:$J$38,3,0),VLOOKUP(D46,Datos!$H$35:$J$38,2,0))</f>
        <v>380000</v>
      </c>
      <c r="AC46" s="79">
        <f ca="1">(S46*PMT(Datos!$D$15,Datos!$D$13,-O46,,)*VLOOKUP(TODAY(),'UF HOY'!$A$2:$B$36,2,0)/12)+VLOOKUP(TODAY(),'UF HOY'!$A$2:$B$36,2,0)</f>
        <v>508488.74859087425</v>
      </c>
      <c r="AD46" s="79">
        <f t="shared" ca="1" si="22"/>
        <v>-128488.74859087425</v>
      </c>
      <c r="AE46" s="220">
        <f t="shared" ca="1" si="23"/>
        <v>2033954.994363497</v>
      </c>
    </row>
    <row r="47" spans="1:31">
      <c r="A47" s="86" t="s">
        <v>4</v>
      </c>
      <c r="B47" s="86">
        <v>210</v>
      </c>
      <c r="C47" s="67" t="s">
        <v>129</v>
      </c>
      <c r="D47" s="67" t="s">
        <v>195</v>
      </c>
      <c r="E47" s="67"/>
      <c r="F47" s="66">
        <v>33.67</v>
      </c>
      <c r="G47" s="66">
        <v>4.96</v>
      </c>
      <c r="H47" s="67">
        <f t="shared" si="12"/>
        <v>36.15</v>
      </c>
      <c r="I47" s="68">
        <f t="shared" si="13"/>
        <v>38.630000000000003</v>
      </c>
      <c r="J47" s="69">
        <v>3060</v>
      </c>
      <c r="K47" s="70">
        <v>0</v>
      </c>
      <c r="L47" s="71">
        <v>0</v>
      </c>
      <c r="M47" s="71">
        <v>0</v>
      </c>
      <c r="N47" s="72">
        <f t="shared" si="14"/>
        <v>2601</v>
      </c>
      <c r="O47" s="73">
        <f t="shared" si="15"/>
        <v>3060</v>
      </c>
      <c r="P47" s="121">
        <f t="shared" si="16"/>
        <v>71.950207468879668</v>
      </c>
      <c r="Q47" s="74">
        <f t="shared" si="17"/>
        <v>0.15</v>
      </c>
      <c r="R47" s="75">
        <f t="shared" si="18"/>
        <v>459</v>
      </c>
      <c r="S47" s="74">
        <v>0.8</v>
      </c>
      <c r="T47" s="75">
        <f t="shared" si="19"/>
        <v>2448</v>
      </c>
      <c r="U47" s="76">
        <f t="shared" si="20"/>
        <v>4.9999999999999961E-2</v>
      </c>
      <c r="V47" s="69">
        <f t="shared" si="21"/>
        <v>152.99999999999989</v>
      </c>
      <c r="W47" s="77">
        <f ca="1">V47*VLOOKUP(TODAY(),'UF HOY'!$A$2:$B$36,2,0)</f>
        <v>6079292.8199999956</v>
      </c>
      <c r="X47" s="78">
        <f>Datos!$E$6</f>
        <v>18</v>
      </c>
      <c r="Y47" s="79">
        <f ca="1">IF((W47-1000000-Datos!$N$6)/X47&gt;0,(W47-1000000-Datos!$N$6)/X47,0)</f>
        <v>276627.37888888863</v>
      </c>
      <c r="Z47" s="78">
        <f>Datos!$E$6</f>
        <v>18</v>
      </c>
      <c r="AA47" s="79">
        <f ca="1">IF((W47-1000000-Datos!$N$6-1%*O47*VLOOKUP(TODAY(),'UF HOY'!$A$2:$B$33,2,0))/Z47&gt;0,(W47-1000000-Datos!$N$6-1%*O47*VLOOKUP(TODAY(),'UF HOY'!$A$2:$B$33,2,0))/Z47,0)</f>
        <v>209079.68088888863</v>
      </c>
      <c r="AB47" s="221">
        <f>IF(L47&gt;0,VLOOKUP(D47,Datos!$H$35:$J$38,3,0),VLOOKUP(D47,Datos!$H$35:$J$38,2,0))</f>
        <v>380000</v>
      </c>
      <c r="AC47" s="79">
        <f ca="1">(S47*PMT(Datos!$D$15,Datos!$D$13,-O47,,)*VLOOKUP(TODAY(),'UF HOY'!$A$2:$B$36,2,0)/12)+VLOOKUP(TODAY(),'UF HOY'!$A$2:$B$36,2,0)</f>
        <v>508488.74859087425</v>
      </c>
      <c r="AD47" s="79">
        <f t="shared" ca="1" si="22"/>
        <v>-128488.74859087425</v>
      </c>
      <c r="AE47" s="220">
        <f t="shared" ca="1" si="23"/>
        <v>2033954.994363497</v>
      </c>
    </row>
    <row r="48" spans="1:31">
      <c r="A48" s="86" t="s">
        <v>4</v>
      </c>
      <c r="B48" s="86">
        <v>204</v>
      </c>
      <c r="C48" s="67" t="s">
        <v>130</v>
      </c>
      <c r="D48" s="67" t="s">
        <v>195</v>
      </c>
      <c r="E48" s="67"/>
      <c r="F48" s="66">
        <v>33.67</v>
      </c>
      <c r="G48" s="66">
        <v>4.96</v>
      </c>
      <c r="H48" s="67">
        <f t="shared" si="12"/>
        <v>36.15</v>
      </c>
      <c r="I48" s="68">
        <f t="shared" si="13"/>
        <v>38.630000000000003</v>
      </c>
      <c r="J48" s="69">
        <v>3080</v>
      </c>
      <c r="K48" s="70">
        <v>0</v>
      </c>
      <c r="L48" s="71">
        <v>0</v>
      </c>
      <c r="M48" s="71">
        <v>0</v>
      </c>
      <c r="N48" s="72">
        <f t="shared" si="14"/>
        <v>2618</v>
      </c>
      <c r="O48" s="73">
        <f t="shared" si="15"/>
        <v>3080</v>
      </c>
      <c r="P48" s="121">
        <f t="shared" si="16"/>
        <v>72.420470262793913</v>
      </c>
      <c r="Q48" s="74">
        <f t="shared" si="17"/>
        <v>0.15</v>
      </c>
      <c r="R48" s="75">
        <f t="shared" si="18"/>
        <v>462</v>
      </c>
      <c r="S48" s="74">
        <v>0.8</v>
      </c>
      <c r="T48" s="75">
        <f t="shared" si="19"/>
        <v>2464</v>
      </c>
      <c r="U48" s="76">
        <f t="shared" si="20"/>
        <v>4.9999999999999961E-2</v>
      </c>
      <c r="V48" s="69">
        <f t="shared" si="21"/>
        <v>153.99999999999989</v>
      </c>
      <c r="W48" s="77">
        <f ca="1">V48*VLOOKUP(TODAY(),'UF HOY'!$A$2:$B$36,2,0)</f>
        <v>6119026.7599999961</v>
      </c>
      <c r="X48" s="78">
        <f>Datos!$E$6</f>
        <v>18</v>
      </c>
      <c r="Y48" s="79">
        <f ca="1">IF((W48-1000000-Datos!$N$6)/X48&gt;0,(W48-1000000-Datos!$N$6)/X48,0)</f>
        <v>278834.81999999977</v>
      </c>
      <c r="Z48" s="78">
        <f>Datos!$E$6</f>
        <v>18</v>
      </c>
      <c r="AA48" s="79">
        <f ca="1">IF((W48-1000000-Datos!$N$6-1%*O48*VLOOKUP(TODAY(),'UF HOY'!$A$2:$B$33,2,0))/Z48&gt;0,(W48-1000000-Datos!$N$6-1%*O48*VLOOKUP(TODAY(),'UF HOY'!$A$2:$B$33,2,0))/Z48,0)</f>
        <v>210845.63377777755</v>
      </c>
      <c r="AB48" s="221">
        <f>IF(L48&gt;0,VLOOKUP(D48,Datos!$H$35:$J$38,3,0),VLOOKUP(D48,Datos!$H$35:$J$38,2,0))</f>
        <v>380000</v>
      </c>
      <c r="AC48" s="79">
        <f ca="1">(S48*PMT(Datos!$D$15,Datos!$D$13,-O48,,)*VLOOKUP(TODAY(),'UF HOY'!$A$2:$B$36,2,0)/12)+VLOOKUP(TODAY(),'UF HOY'!$A$2:$B$36,2,0)</f>
        <v>511552.50550976885</v>
      </c>
      <c r="AD48" s="79">
        <f t="shared" ca="1" si="22"/>
        <v>-131552.50550976885</v>
      </c>
      <c r="AE48" s="220">
        <f t="shared" ca="1" si="23"/>
        <v>2046210.0220390754</v>
      </c>
    </row>
    <row r="49" spans="1:31">
      <c r="A49" s="86" t="s">
        <v>4</v>
      </c>
      <c r="B49" s="86">
        <v>209</v>
      </c>
      <c r="C49" s="67" t="s">
        <v>130</v>
      </c>
      <c r="D49" s="67" t="s">
        <v>195</v>
      </c>
      <c r="E49" s="67"/>
      <c r="F49" s="66">
        <v>33.67</v>
      </c>
      <c r="G49" s="66">
        <v>4.96</v>
      </c>
      <c r="H49" s="67">
        <f t="shared" si="12"/>
        <v>36.15</v>
      </c>
      <c r="I49" s="68">
        <f t="shared" si="13"/>
        <v>38.630000000000003</v>
      </c>
      <c r="J49" s="69">
        <v>3080</v>
      </c>
      <c r="K49" s="70">
        <v>0</v>
      </c>
      <c r="L49" s="71">
        <v>0</v>
      </c>
      <c r="M49" s="71">
        <v>0</v>
      </c>
      <c r="N49" s="72">
        <f t="shared" si="14"/>
        <v>2618</v>
      </c>
      <c r="O49" s="73">
        <f t="shared" si="15"/>
        <v>3080</v>
      </c>
      <c r="P49" s="121">
        <f t="shared" si="16"/>
        <v>72.420470262793913</v>
      </c>
      <c r="Q49" s="74">
        <f t="shared" si="17"/>
        <v>0.15</v>
      </c>
      <c r="R49" s="75">
        <f t="shared" si="18"/>
        <v>462</v>
      </c>
      <c r="S49" s="74">
        <v>0.8</v>
      </c>
      <c r="T49" s="75">
        <f t="shared" si="19"/>
        <v>2464</v>
      </c>
      <c r="U49" s="76">
        <f t="shared" si="20"/>
        <v>4.9999999999999961E-2</v>
      </c>
      <c r="V49" s="69">
        <f t="shared" si="21"/>
        <v>153.99999999999989</v>
      </c>
      <c r="W49" s="77">
        <f ca="1">V49*VLOOKUP(TODAY(),'UF HOY'!$A$2:$B$36,2,0)</f>
        <v>6119026.7599999961</v>
      </c>
      <c r="X49" s="78">
        <f>Datos!$E$6</f>
        <v>18</v>
      </c>
      <c r="Y49" s="79">
        <f ca="1">IF((W49-1000000-Datos!$N$6)/X49&gt;0,(W49-1000000-Datos!$N$6)/X49,0)</f>
        <v>278834.81999999977</v>
      </c>
      <c r="Z49" s="78">
        <f>Datos!$E$6</f>
        <v>18</v>
      </c>
      <c r="AA49" s="79">
        <f ca="1">IF((W49-1000000-Datos!$N$6-1%*O49*VLOOKUP(TODAY(),'UF HOY'!$A$2:$B$33,2,0))/Z49&gt;0,(W49-1000000-Datos!$N$6-1%*O49*VLOOKUP(TODAY(),'UF HOY'!$A$2:$B$33,2,0))/Z49,0)</f>
        <v>210845.63377777755</v>
      </c>
      <c r="AB49" s="221">
        <f>IF(L49&gt;0,VLOOKUP(D49,Datos!$H$35:$J$38,3,0),VLOOKUP(D49,Datos!$H$35:$J$38,2,0))</f>
        <v>380000</v>
      </c>
      <c r="AC49" s="79">
        <f ca="1">(S49*PMT(Datos!$D$15,Datos!$D$13,-O49,,)*VLOOKUP(TODAY(),'UF HOY'!$A$2:$B$36,2,0)/12)+VLOOKUP(TODAY(),'UF HOY'!$A$2:$B$36,2,0)</f>
        <v>511552.50550976885</v>
      </c>
      <c r="AD49" s="79">
        <f t="shared" ca="1" si="22"/>
        <v>-131552.50550976885</v>
      </c>
      <c r="AE49" s="220">
        <f t="shared" ca="1" si="23"/>
        <v>2046210.0220390754</v>
      </c>
    </row>
    <row r="50" spans="1:31">
      <c r="A50" s="86" t="s">
        <v>4</v>
      </c>
      <c r="B50" s="86">
        <v>303</v>
      </c>
      <c r="C50" s="67" t="s">
        <v>129</v>
      </c>
      <c r="D50" s="67" t="s">
        <v>195</v>
      </c>
      <c r="E50" s="67"/>
      <c r="F50" s="66">
        <v>33.67</v>
      </c>
      <c r="G50" s="66">
        <v>4.96</v>
      </c>
      <c r="H50" s="67">
        <f t="shared" si="12"/>
        <v>36.15</v>
      </c>
      <c r="I50" s="68">
        <f t="shared" si="13"/>
        <v>38.630000000000003</v>
      </c>
      <c r="J50" s="69">
        <v>3080</v>
      </c>
      <c r="K50" s="70">
        <v>0</v>
      </c>
      <c r="L50" s="71">
        <v>0</v>
      </c>
      <c r="M50" s="71">
        <v>0</v>
      </c>
      <c r="N50" s="72">
        <f t="shared" si="14"/>
        <v>2618</v>
      </c>
      <c r="O50" s="73">
        <f t="shared" si="15"/>
        <v>3080</v>
      </c>
      <c r="P50" s="121">
        <f t="shared" si="16"/>
        <v>72.420470262793913</v>
      </c>
      <c r="Q50" s="74">
        <f t="shared" si="17"/>
        <v>0.15</v>
      </c>
      <c r="R50" s="75">
        <f t="shared" si="18"/>
        <v>462</v>
      </c>
      <c r="S50" s="74">
        <v>0.8</v>
      </c>
      <c r="T50" s="75">
        <f t="shared" si="19"/>
        <v>2464</v>
      </c>
      <c r="U50" s="76">
        <f t="shared" si="20"/>
        <v>4.9999999999999961E-2</v>
      </c>
      <c r="V50" s="69">
        <f t="shared" si="21"/>
        <v>153.99999999999989</v>
      </c>
      <c r="W50" s="77">
        <f ca="1">V50*VLOOKUP(TODAY(),'UF HOY'!$A$2:$B$36,2,0)</f>
        <v>6119026.7599999961</v>
      </c>
      <c r="X50" s="78">
        <f>Datos!$E$6</f>
        <v>18</v>
      </c>
      <c r="Y50" s="79">
        <f ca="1">IF((W50-1000000-Datos!$N$6)/X50&gt;0,(W50-1000000-Datos!$N$6)/X50,0)</f>
        <v>278834.81999999977</v>
      </c>
      <c r="Z50" s="78">
        <f>Datos!$E$6</f>
        <v>18</v>
      </c>
      <c r="AA50" s="79">
        <f ca="1">IF((W50-1000000-Datos!$N$6-1%*O50*VLOOKUP(TODAY(),'UF HOY'!$A$2:$B$33,2,0))/Z50&gt;0,(W50-1000000-Datos!$N$6-1%*O50*VLOOKUP(TODAY(),'UF HOY'!$A$2:$B$33,2,0))/Z50,0)</f>
        <v>210845.63377777755</v>
      </c>
      <c r="AB50" s="221">
        <f>IF(L50&gt;0,VLOOKUP(D50,Datos!$H$35:$J$38,3,0),VLOOKUP(D50,Datos!$H$35:$J$38,2,0))</f>
        <v>380000</v>
      </c>
      <c r="AC50" s="79">
        <f ca="1">(S50*PMT(Datos!$D$15,Datos!$D$13,-O50,,)*VLOOKUP(TODAY(),'UF HOY'!$A$2:$B$36,2,0)/12)+VLOOKUP(TODAY(),'UF HOY'!$A$2:$B$36,2,0)</f>
        <v>511552.50550976885</v>
      </c>
      <c r="AD50" s="79">
        <f t="shared" ca="1" si="22"/>
        <v>-131552.50550976885</v>
      </c>
      <c r="AE50" s="220">
        <f t="shared" ca="1" si="23"/>
        <v>2046210.0220390754</v>
      </c>
    </row>
    <row r="51" spans="1:31">
      <c r="A51" s="86" t="s">
        <v>4</v>
      </c>
      <c r="B51" s="86">
        <v>310</v>
      </c>
      <c r="C51" s="67" t="s">
        <v>129</v>
      </c>
      <c r="D51" s="67" t="s">
        <v>195</v>
      </c>
      <c r="E51" s="67"/>
      <c r="F51" s="66">
        <v>33.67</v>
      </c>
      <c r="G51" s="66">
        <v>4.96</v>
      </c>
      <c r="H51" s="67">
        <f t="shared" si="12"/>
        <v>36.15</v>
      </c>
      <c r="I51" s="68">
        <f t="shared" si="13"/>
        <v>38.630000000000003</v>
      </c>
      <c r="J51" s="69">
        <v>3080</v>
      </c>
      <c r="K51" s="70">
        <v>0</v>
      </c>
      <c r="L51" s="71">
        <v>0</v>
      </c>
      <c r="M51" s="71">
        <v>0</v>
      </c>
      <c r="N51" s="72">
        <f t="shared" si="14"/>
        <v>2618</v>
      </c>
      <c r="O51" s="73">
        <f t="shared" si="15"/>
        <v>3080</v>
      </c>
      <c r="P51" s="121">
        <f t="shared" si="16"/>
        <v>72.420470262793913</v>
      </c>
      <c r="Q51" s="74">
        <f t="shared" si="17"/>
        <v>0.15</v>
      </c>
      <c r="R51" s="75">
        <f t="shared" si="18"/>
        <v>462</v>
      </c>
      <c r="S51" s="74">
        <v>0.8</v>
      </c>
      <c r="T51" s="75">
        <f t="shared" si="19"/>
        <v>2464</v>
      </c>
      <c r="U51" s="76">
        <f t="shared" si="20"/>
        <v>4.9999999999999961E-2</v>
      </c>
      <c r="V51" s="69">
        <f t="shared" si="21"/>
        <v>153.99999999999989</v>
      </c>
      <c r="W51" s="77">
        <f ca="1">V51*VLOOKUP(TODAY(),'UF HOY'!$A$2:$B$36,2,0)</f>
        <v>6119026.7599999961</v>
      </c>
      <c r="X51" s="78">
        <f>Datos!$E$6</f>
        <v>18</v>
      </c>
      <c r="Y51" s="79">
        <f ca="1">IF((W51-1000000-Datos!$N$6)/X51&gt;0,(W51-1000000-Datos!$N$6)/X51,0)</f>
        <v>278834.81999999977</v>
      </c>
      <c r="Z51" s="78">
        <f>Datos!$E$6</f>
        <v>18</v>
      </c>
      <c r="AA51" s="79">
        <f ca="1">IF((W51-1000000-Datos!$N$6-1%*O51*VLOOKUP(TODAY(),'UF HOY'!$A$2:$B$33,2,0))/Z51&gt;0,(W51-1000000-Datos!$N$6-1%*O51*VLOOKUP(TODAY(),'UF HOY'!$A$2:$B$33,2,0))/Z51,0)</f>
        <v>210845.63377777755</v>
      </c>
      <c r="AB51" s="221">
        <f>IF(L51&gt;0,VLOOKUP(D51,Datos!$H$35:$J$38,3,0),VLOOKUP(D51,Datos!$H$35:$J$38,2,0))</f>
        <v>380000</v>
      </c>
      <c r="AC51" s="79">
        <f ca="1">(S51*PMT(Datos!$D$15,Datos!$D$13,-O51,,)*VLOOKUP(TODAY(),'UF HOY'!$A$2:$B$36,2,0)/12)+VLOOKUP(TODAY(),'UF HOY'!$A$2:$B$36,2,0)</f>
        <v>511552.50550976885</v>
      </c>
      <c r="AD51" s="79">
        <f t="shared" ca="1" si="22"/>
        <v>-131552.50550976885</v>
      </c>
      <c r="AE51" s="220">
        <f t="shared" ca="1" si="23"/>
        <v>2046210.0220390754</v>
      </c>
    </row>
    <row r="52" spans="1:31" hidden="1">
      <c r="A52" s="86" t="s">
        <v>171</v>
      </c>
      <c r="B52" s="86">
        <v>403</v>
      </c>
      <c r="C52" s="67" t="s">
        <v>129</v>
      </c>
      <c r="D52" s="67" t="s">
        <v>195</v>
      </c>
      <c r="E52" s="67"/>
      <c r="F52" s="66">
        <v>33.67</v>
      </c>
      <c r="G52" s="66">
        <v>4.96</v>
      </c>
      <c r="H52" s="67">
        <f t="shared" si="12"/>
        <v>36.15</v>
      </c>
      <c r="I52" s="68">
        <f t="shared" si="13"/>
        <v>38.630000000000003</v>
      </c>
      <c r="J52" s="69">
        <v>3080</v>
      </c>
      <c r="K52" s="70">
        <v>0</v>
      </c>
      <c r="L52" s="71">
        <v>0</v>
      </c>
      <c r="M52" s="71">
        <v>0</v>
      </c>
      <c r="N52" s="72">
        <f t="shared" si="14"/>
        <v>2618</v>
      </c>
      <c r="O52" s="73">
        <f t="shared" si="15"/>
        <v>3080</v>
      </c>
      <c r="P52" s="121">
        <f t="shared" si="16"/>
        <v>72.420470262793913</v>
      </c>
      <c r="Q52" s="74">
        <f t="shared" si="17"/>
        <v>0.15</v>
      </c>
      <c r="R52" s="75">
        <f t="shared" si="18"/>
        <v>462</v>
      </c>
      <c r="S52" s="74">
        <v>0.8</v>
      </c>
      <c r="T52" s="75">
        <f t="shared" si="19"/>
        <v>2464</v>
      </c>
      <c r="U52" s="76">
        <f t="shared" si="20"/>
        <v>4.9999999999999961E-2</v>
      </c>
      <c r="V52" s="69">
        <f t="shared" si="21"/>
        <v>153.99999999999989</v>
      </c>
      <c r="W52" s="77">
        <f ca="1">V52*VLOOKUP(TODAY(),'UF HOY'!$A$2:$B$36,2,0)</f>
        <v>6119026.7599999961</v>
      </c>
      <c r="X52" s="78">
        <f>Datos!$E$6</f>
        <v>18</v>
      </c>
      <c r="Y52" s="79">
        <f ca="1">IF((W52-1000000-Datos!$N$6)/X52&gt;0,(W52-1000000-Datos!$N$6)/X52,0)</f>
        <v>278834.81999999977</v>
      </c>
      <c r="Z52" s="78">
        <f>Datos!$E$6</f>
        <v>18</v>
      </c>
      <c r="AA52" s="79">
        <f ca="1">IF((W52-1000000-Datos!$N$6-1%*O52*VLOOKUP(TODAY(),'UF HOY'!$A$2:$B$33,2,0))/Z52&gt;0,(W52-1000000-Datos!$N$6-1%*O52*VLOOKUP(TODAY(),'UF HOY'!$A$2:$B$33,2,0))/Z52,0)</f>
        <v>210845.63377777755</v>
      </c>
      <c r="AB52" s="221">
        <f>IF(L52&gt;0,VLOOKUP(D52,Datos!$H$35:$J$38,3,0),VLOOKUP(D52,Datos!$H$35:$J$38,2,0))</f>
        <v>380000</v>
      </c>
      <c r="AC52" s="79">
        <f ca="1">(S52*PMT(Datos!$D$15,Datos!$D$13,-O52,,)*VLOOKUP(TODAY(),'UF HOY'!$A$2:$B$36,2,0)/12)+VLOOKUP(TODAY(),'UF HOY'!$A$2:$B$36,2,0)</f>
        <v>511552.50550976885</v>
      </c>
      <c r="AD52" s="79">
        <f t="shared" ca="1" si="22"/>
        <v>-131552.50550976885</v>
      </c>
      <c r="AE52" s="220">
        <f t="shared" ca="1" si="23"/>
        <v>2046210.0220390754</v>
      </c>
    </row>
    <row r="53" spans="1:31" hidden="1">
      <c r="A53" s="86" t="s">
        <v>171</v>
      </c>
      <c r="B53" s="86">
        <v>410</v>
      </c>
      <c r="C53" s="67" t="s">
        <v>129</v>
      </c>
      <c r="D53" s="67" t="s">
        <v>195</v>
      </c>
      <c r="E53" s="67"/>
      <c r="F53" s="66">
        <v>33.67</v>
      </c>
      <c r="G53" s="66">
        <v>4.96</v>
      </c>
      <c r="H53" s="67">
        <f t="shared" si="12"/>
        <v>36.15</v>
      </c>
      <c r="I53" s="68">
        <f t="shared" si="13"/>
        <v>38.630000000000003</v>
      </c>
      <c r="J53" s="69">
        <v>3080</v>
      </c>
      <c r="K53" s="70">
        <v>0</v>
      </c>
      <c r="L53" s="71">
        <v>0</v>
      </c>
      <c r="M53" s="71">
        <v>0</v>
      </c>
      <c r="N53" s="72">
        <f t="shared" si="14"/>
        <v>2618</v>
      </c>
      <c r="O53" s="73">
        <f t="shared" si="15"/>
        <v>3080</v>
      </c>
      <c r="P53" s="121">
        <f t="shared" si="16"/>
        <v>72.420470262793913</v>
      </c>
      <c r="Q53" s="74">
        <f t="shared" si="17"/>
        <v>0.15</v>
      </c>
      <c r="R53" s="75">
        <f t="shared" si="18"/>
        <v>462</v>
      </c>
      <c r="S53" s="74">
        <v>0.8</v>
      </c>
      <c r="T53" s="75">
        <f t="shared" si="19"/>
        <v>2464</v>
      </c>
      <c r="U53" s="76">
        <f t="shared" si="20"/>
        <v>4.9999999999999961E-2</v>
      </c>
      <c r="V53" s="69">
        <f t="shared" si="21"/>
        <v>153.99999999999989</v>
      </c>
      <c r="W53" s="77">
        <f ca="1">V53*VLOOKUP(TODAY(),'UF HOY'!$A$2:$B$36,2,0)</f>
        <v>6119026.7599999961</v>
      </c>
      <c r="X53" s="78">
        <f>Datos!$E$6</f>
        <v>18</v>
      </c>
      <c r="Y53" s="79">
        <f ca="1">IF((W53-1000000-Datos!$N$6)/X53&gt;0,(W53-1000000-Datos!$N$6)/X53,0)</f>
        <v>278834.81999999977</v>
      </c>
      <c r="Z53" s="78">
        <f>Datos!$E$6</f>
        <v>18</v>
      </c>
      <c r="AA53" s="79">
        <f ca="1">IF((W53-1000000-Datos!$N$6-1%*O53*VLOOKUP(TODAY(),'UF HOY'!$A$2:$B$33,2,0))/Z53&gt;0,(W53-1000000-Datos!$N$6-1%*O53*VLOOKUP(TODAY(),'UF HOY'!$A$2:$B$33,2,0))/Z53,0)</f>
        <v>210845.63377777755</v>
      </c>
      <c r="AB53" s="221">
        <f>IF(L53&gt;0,VLOOKUP(D53,Datos!$H$35:$J$38,3,0),VLOOKUP(D53,Datos!$H$35:$J$38,2,0))</f>
        <v>380000</v>
      </c>
      <c r="AC53" s="79">
        <f ca="1">(S53*PMT(Datos!$D$15,Datos!$D$13,-O53,,)*VLOOKUP(TODAY(),'UF HOY'!$A$2:$B$36,2,0)/12)+VLOOKUP(TODAY(),'UF HOY'!$A$2:$B$36,2,0)</f>
        <v>511552.50550976885</v>
      </c>
      <c r="AD53" s="79">
        <f t="shared" ca="1" si="22"/>
        <v>-131552.50550976885</v>
      </c>
      <c r="AE53" s="220">
        <f t="shared" ca="1" si="23"/>
        <v>2046210.0220390754</v>
      </c>
    </row>
    <row r="54" spans="1:31" hidden="1">
      <c r="A54" s="86" t="s">
        <v>171</v>
      </c>
      <c r="B54" s="86">
        <v>503</v>
      </c>
      <c r="C54" s="67" t="s">
        <v>129</v>
      </c>
      <c r="D54" s="67" t="s">
        <v>195</v>
      </c>
      <c r="E54" s="67"/>
      <c r="F54" s="66">
        <v>33.67</v>
      </c>
      <c r="G54" s="66">
        <v>4.96</v>
      </c>
      <c r="H54" s="67">
        <f t="shared" si="12"/>
        <v>36.15</v>
      </c>
      <c r="I54" s="68">
        <f t="shared" si="13"/>
        <v>38.630000000000003</v>
      </c>
      <c r="J54" s="69">
        <v>3080</v>
      </c>
      <c r="K54" s="70">
        <v>0</v>
      </c>
      <c r="L54" s="71">
        <v>0</v>
      </c>
      <c r="M54" s="71">
        <v>0</v>
      </c>
      <c r="N54" s="72">
        <f t="shared" si="14"/>
        <v>2618</v>
      </c>
      <c r="O54" s="73">
        <f t="shared" si="15"/>
        <v>3080</v>
      </c>
      <c r="P54" s="121">
        <f t="shared" si="16"/>
        <v>72.420470262793913</v>
      </c>
      <c r="Q54" s="74">
        <f t="shared" si="17"/>
        <v>0.15</v>
      </c>
      <c r="R54" s="75">
        <f t="shared" si="18"/>
        <v>462</v>
      </c>
      <c r="S54" s="74">
        <v>0.8</v>
      </c>
      <c r="T54" s="75">
        <f t="shared" si="19"/>
        <v>2464</v>
      </c>
      <c r="U54" s="76">
        <f t="shared" si="20"/>
        <v>4.9999999999999961E-2</v>
      </c>
      <c r="V54" s="69">
        <f t="shared" si="21"/>
        <v>153.99999999999989</v>
      </c>
      <c r="W54" s="77">
        <f ca="1">V54*VLOOKUP(TODAY(),'UF HOY'!$A$2:$B$36,2,0)</f>
        <v>6119026.7599999961</v>
      </c>
      <c r="X54" s="78">
        <f>Datos!$E$6</f>
        <v>18</v>
      </c>
      <c r="Y54" s="79">
        <f ca="1">IF((W54-1000000-Datos!$N$6)/X54&gt;0,(W54-1000000-Datos!$N$6)/X54,0)</f>
        <v>278834.81999999977</v>
      </c>
      <c r="Z54" s="78">
        <f>Datos!$E$6</f>
        <v>18</v>
      </c>
      <c r="AA54" s="79">
        <f ca="1">IF((W54-1000000-Datos!$N$6-1%*O54*VLOOKUP(TODAY(),'UF HOY'!$A$2:$B$33,2,0))/Z54&gt;0,(W54-1000000-Datos!$N$6-1%*O54*VLOOKUP(TODAY(),'UF HOY'!$A$2:$B$33,2,0))/Z54,0)</f>
        <v>210845.63377777755</v>
      </c>
      <c r="AB54" s="221">
        <f>IF(L54&gt;0,VLOOKUP(D54,Datos!$H$35:$J$38,3,0),VLOOKUP(D54,Datos!$H$35:$J$38,2,0))</f>
        <v>380000</v>
      </c>
      <c r="AC54" s="79">
        <f ca="1">(S54*PMT(Datos!$D$15,Datos!$D$13,-O54,,)*VLOOKUP(TODAY(),'UF HOY'!$A$2:$B$36,2,0)/12)+VLOOKUP(TODAY(),'UF HOY'!$A$2:$B$36,2,0)</f>
        <v>511552.50550976885</v>
      </c>
      <c r="AD54" s="79">
        <f t="shared" ca="1" si="22"/>
        <v>-131552.50550976885</v>
      </c>
      <c r="AE54" s="220">
        <f t="shared" ca="1" si="23"/>
        <v>2046210.0220390754</v>
      </c>
    </row>
    <row r="55" spans="1:31">
      <c r="A55" s="86" t="s">
        <v>4</v>
      </c>
      <c r="B55" s="86">
        <v>803</v>
      </c>
      <c r="C55" s="67" t="s">
        <v>129</v>
      </c>
      <c r="D55" s="67" t="s">
        <v>195</v>
      </c>
      <c r="E55" s="67"/>
      <c r="F55" s="66">
        <v>33.67</v>
      </c>
      <c r="G55" s="66">
        <v>4.96</v>
      </c>
      <c r="H55" s="67">
        <f t="shared" si="12"/>
        <v>36.15</v>
      </c>
      <c r="I55" s="68">
        <f t="shared" si="13"/>
        <v>38.630000000000003</v>
      </c>
      <c r="J55" s="69">
        <v>3080</v>
      </c>
      <c r="K55" s="70">
        <v>0</v>
      </c>
      <c r="L55" s="71">
        <v>0</v>
      </c>
      <c r="M55" s="71">
        <v>0</v>
      </c>
      <c r="N55" s="72">
        <f t="shared" si="14"/>
        <v>2618</v>
      </c>
      <c r="O55" s="73">
        <f t="shared" si="15"/>
        <v>3080</v>
      </c>
      <c r="P55" s="121">
        <f t="shared" si="16"/>
        <v>72.420470262793913</v>
      </c>
      <c r="Q55" s="74">
        <f t="shared" si="17"/>
        <v>0.15</v>
      </c>
      <c r="R55" s="75">
        <f t="shared" si="18"/>
        <v>462</v>
      </c>
      <c r="S55" s="74">
        <v>0.8</v>
      </c>
      <c r="T55" s="75">
        <f t="shared" si="19"/>
        <v>2464</v>
      </c>
      <c r="U55" s="76">
        <f t="shared" si="20"/>
        <v>4.9999999999999961E-2</v>
      </c>
      <c r="V55" s="69">
        <f t="shared" si="21"/>
        <v>153.99999999999989</v>
      </c>
      <c r="W55" s="77">
        <f ca="1">V55*VLOOKUP(TODAY(),'UF HOY'!$A$2:$B$36,2,0)</f>
        <v>6119026.7599999961</v>
      </c>
      <c r="X55" s="78">
        <f>Datos!$E$6</f>
        <v>18</v>
      </c>
      <c r="Y55" s="79">
        <f ca="1">IF((W55-1000000-Datos!$N$6)/X55&gt;0,(W55-1000000-Datos!$N$6)/X55,0)</f>
        <v>278834.81999999977</v>
      </c>
      <c r="Z55" s="78">
        <f>Datos!$E$6</f>
        <v>18</v>
      </c>
      <c r="AA55" s="79">
        <f ca="1">IF((W55-1000000-Datos!$N$6-1%*O55*VLOOKUP(TODAY(),'UF HOY'!$A$2:$B$33,2,0))/Z55&gt;0,(W55-1000000-Datos!$N$6-1%*O55*VLOOKUP(TODAY(),'UF HOY'!$A$2:$B$33,2,0))/Z55,0)</f>
        <v>210845.63377777755</v>
      </c>
      <c r="AB55" s="221">
        <f>IF(L55&gt;0,VLOOKUP(D55,Datos!$H$35:$J$38,3,0),VLOOKUP(D55,Datos!$H$35:$J$38,2,0))</f>
        <v>380000</v>
      </c>
      <c r="AC55" s="79">
        <f ca="1">(S55*PMT(Datos!$D$15,Datos!$D$13,-O55,,)*VLOOKUP(TODAY(),'UF HOY'!$A$2:$B$36,2,0)/12)+VLOOKUP(TODAY(),'UF HOY'!$A$2:$B$36,2,0)</f>
        <v>511552.50550976885</v>
      </c>
      <c r="AD55" s="79">
        <f t="shared" ca="1" si="22"/>
        <v>-131552.50550976885</v>
      </c>
      <c r="AE55" s="220">
        <f t="shared" ca="1" si="23"/>
        <v>2046210.0220390754</v>
      </c>
    </row>
    <row r="56" spans="1:31" hidden="1">
      <c r="A56" s="86" t="s">
        <v>171</v>
      </c>
      <c r="B56" s="86">
        <v>603</v>
      </c>
      <c r="C56" s="67" t="s">
        <v>129</v>
      </c>
      <c r="D56" s="67" t="s">
        <v>195</v>
      </c>
      <c r="E56" s="67"/>
      <c r="F56" s="66">
        <v>33.67</v>
      </c>
      <c r="G56" s="66">
        <v>4.96</v>
      </c>
      <c r="H56" s="67">
        <f t="shared" si="12"/>
        <v>36.15</v>
      </c>
      <c r="I56" s="68">
        <f t="shared" si="13"/>
        <v>38.630000000000003</v>
      </c>
      <c r="J56" s="69">
        <v>3080</v>
      </c>
      <c r="K56" s="70">
        <v>0</v>
      </c>
      <c r="L56" s="71">
        <v>0</v>
      </c>
      <c r="M56" s="71">
        <v>0</v>
      </c>
      <c r="N56" s="72">
        <f t="shared" si="14"/>
        <v>2618</v>
      </c>
      <c r="O56" s="73">
        <f t="shared" si="15"/>
        <v>3080</v>
      </c>
      <c r="P56" s="121">
        <f t="shared" si="16"/>
        <v>72.420470262793913</v>
      </c>
      <c r="Q56" s="74">
        <f t="shared" si="17"/>
        <v>0.15</v>
      </c>
      <c r="R56" s="75">
        <f t="shared" si="18"/>
        <v>462</v>
      </c>
      <c r="S56" s="74">
        <v>0.8</v>
      </c>
      <c r="T56" s="75">
        <f t="shared" si="19"/>
        <v>2464</v>
      </c>
      <c r="U56" s="76">
        <f t="shared" si="20"/>
        <v>4.9999999999999961E-2</v>
      </c>
      <c r="V56" s="69">
        <f t="shared" si="21"/>
        <v>153.99999999999989</v>
      </c>
      <c r="W56" s="77">
        <f ca="1">V56*VLOOKUP(TODAY(),'UF HOY'!$A$2:$B$36,2,0)</f>
        <v>6119026.7599999961</v>
      </c>
      <c r="X56" s="78">
        <f>Datos!$E$6</f>
        <v>18</v>
      </c>
      <c r="Y56" s="79">
        <f ca="1">IF((W56-1000000-Datos!$N$6)/X56&gt;0,(W56-1000000-Datos!$N$6)/X56,0)</f>
        <v>278834.81999999977</v>
      </c>
      <c r="Z56" s="78">
        <f>Datos!$E$6</f>
        <v>18</v>
      </c>
      <c r="AA56" s="79">
        <f ca="1">IF((W56-1000000-Datos!$N$6-1%*O56*VLOOKUP(TODAY(),'UF HOY'!$A$2:$B$33,2,0))/Z56&gt;0,(W56-1000000-Datos!$N$6-1%*O56*VLOOKUP(TODAY(),'UF HOY'!$A$2:$B$33,2,0))/Z56,0)</f>
        <v>210845.63377777755</v>
      </c>
      <c r="AB56" s="221">
        <f>IF(L56&gt;0,VLOOKUP(D56,Datos!$H$35:$J$38,3,0),VLOOKUP(D56,Datos!$H$35:$J$38,2,0))</f>
        <v>380000</v>
      </c>
      <c r="AC56" s="79">
        <f ca="1">(S56*PMT(Datos!$D$15,Datos!$D$13,-O56,,)*VLOOKUP(TODAY(),'UF HOY'!$A$2:$B$36,2,0)/12)+VLOOKUP(TODAY(),'UF HOY'!$A$2:$B$36,2,0)</f>
        <v>511552.50550976885</v>
      </c>
      <c r="AD56" s="79">
        <f t="shared" ca="1" si="22"/>
        <v>-131552.50550976885</v>
      </c>
      <c r="AE56" s="220">
        <f t="shared" ca="1" si="23"/>
        <v>2046210.0220390754</v>
      </c>
    </row>
    <row r="57" spans="1:31">
      <c r="A57" s="86" t="s">
        <v>4</v>
      </c>
      <c r="B57" s="86">
        <v>510</v>
      </c>
      <c r="C57" s="67" t="s">
        <v>129</v>
      </c>
      <c r="D57" s="67" t="s">
        <v>195</v>
      </c>
      <c r="E57" s="67"/>
      <c r="F57" s="66">
        <v>33.67</v>
      </c>
      <c r="G57" s="66">
        <v>4.96</v>
      </c>
      <c r="H57" s="67">
        <f t="shared" si="12"/>
        <v>36.15</v>
      </c>
      <c r="I57" s="68">
        <f t="shared" si="13"/>
        <v>38.630000000000003</v>
      </c>
      <c r="J57" s="69">
        <v>3080</v>
      </c>
      <c r="K57" s="70">
        <v>0</v>
      </c>
      <c r="L57" s="71">
        <v>0</v>
      </c>
      <c r="M57" s="71">
        <v>0</v>
      </c>
      <c r="N57" s="72">
        <f t="shared" si="14"/>
        <v>2618</v>
      </c>
      <c r="O57" s="73">
        <f t="shared" si="15"/>
        <v>3080</v>
      </c>
      <c r="P57" s="121">
        <f t="shared" si="16"/>
        <v>72.420470262793913</v>
      </c>
      <c r="Q57" s="74">
        <f t="shared" si="17"/>
        <v>0.15</v>
      </c>
      <c r="R57" s="75">
        <f t="shared" si="18"/>
        <v>462</v>
      </c>
      <c r="S57" s="74">
        <v>0.8</v>
      </c>
      <c r="T57" s="75">
        <f t="shared" si="19"/>
        <v>2464</v>
      </c>
      <c r="U57" s="76">
        <f t="shared" si="20"/>
        <v>4.9999999999999961E-2</v>
      </c>
      <c r="V57" s="69">
        <f t="shared" si="21"/>
        <v>153.99999999999989</v>
      </c>
      <c r="W57" s="77">
        <f ca="1">V57*VLOOKUP(TODAY(),'UF HOY'!$A$2:$B$36,2,0)</f>
        <v>6119026.7599999961</v>
      </c>
      <c r="X57" s="78">
        <f>Datos!$E$6</f>
        <v>18</v>
      </c>
      <c r="Y57" s="79">
        <f ca="1">IF((W57-1000000-Datos!$N$6)/X57&gt;0,(W57-1000000-Datos!$N$6)/X57,0)</f>
        <v>278834.81999999977</v>
      </c>
      <c r="Z57" s="78">
        <f>Datos!$E$6</f>
        <v>18</v>
      </c>
      <c r="AA57" s="79">
        <f ca="1">IF((W57-1000000-Datos!$N$6-1%*O57*VLOOKUP(TODAY(),'UF HOY'!$A$2:$B$33,2,0))/Z57&gt;0,(W57-1000000-Datos!$N$6-1%*O57*VLOOKUP(TODAY(),'UF HOY'!$A$2:$B$33,2,0))/Z57,0)</f>
        <v>210845.63377777755</v>
      </c>
      <c r="AB57" s="221">
        <f>IF(L57&gt;0,VLOOKUP(D57,Datos!$H$35:$J$38,3,0),VLOOKUP(D57,Datos!$H$35:$J$38,2,0))</f>
        <v>380000</v>
      </c>
      <c r="AC57" s="79">
        <f ca="1">(S57*PMT(Datos!$D$15,Datos!$D$13,-O57,,)*VLOOKUP(TODAY(),'UF HOY'!$A$2:$B$36,2,0)/12)+VLOOKUP(TODAY(),'UF HOY'!$A$2:$B$36,2,0)</f>
        <v>511552.50550976885</v>
      </c>
      <c r="AD57" s="79">
        <f t="shared" ca="1" si="22"/>
        <v>-131552.50550976885</v>
      </c>
      <c r="AE57" s="220">
        <f t="shared" ca="1" si="23"/>
        <v>2046210.0220390754</v>
      </c>
    </row>
    <row r="58" spans="1:31">
      <c r="A58" s="86" t="s">
        <v>4</v>
      </c>
      <c r="B58" s="86">
        <v>703</v>
      </c>
      <c r="C58" s="67" t="s">
        <v>129</v>
      </c>
      <c r="D58" s="67" t="s">
        <v>195</v>
      </c>
      <c r="E58" s="67"/>
      <c r="F58" s="66">
        <v>33.67</v>
      </c>
      <c r="G58" s="66">
        <v>4.96</v>
      </c>
      <c r="H58" s="67">
        <f t="shared" si="12"/>
        <v>36.15</v>
      </c>
      <c r="I58" s="68">
        <f t="shared" si="13"/>
        <v>38.630000000000003</v>
      </c>
      <c r="J58" s="69">
        <v>3080</v>
      </c>
      <c r="K58" s="70">
        <v>0</v>
      </c>
      <c r="L58" s="71">
        <v>0</v>
      </c>
      <c r="M58" s="71">
        <v>0</v>
      </c>
      <c r="N58" s="72">
        <f t="shared" si="14"/>
        <v>2618</v>
      </c>
      <c r="O58" s="73">
        <f t="shared" si="15"/>
        <v>3080</v>
      </c>
      <c r="P58" s="121">
        <f t="shared" si="16"/>
        <v>72.420470262793913</v>
      </c>
      <c r="Q58" s="74">
        <f t="shared" si="17"/>
        <v>0.15</v>
      </c>
      <c r="R58" s="75">
        <f t="shared" si="18"/>
        <v>462</v>
      </c>
      <c r="S58" s="74">
        <v>0.8</v>
      </c>
      <c r="T58" s="75">
        <f t="shared" si="19"/>
        <v>2464</v>
      </c>
      <c r="U58" s="76">
        <f t="shared" si="20"/>
        <v>4.9999999999999961E-2</v>
      </c>
      <c r="V58" s="69">
        <f t="shared" si="21"/>
        <v>153.99999999999989</v>
      </c>
      <c r="W58" s="77">
        <f ca="1">V58*VLOOKUP(TODAY(),'UF HOY'!$A$2:$B$36,2,0)</f>
        <v>6119026.7599999961</v>
      </c>
      <c r="X58" s="78">
        <f>Datos!$E$6</f>
        <v>18</v>
      </c>
      <c r="Y58" s="79">
        <f ca="1">IF((W58-1000000-Datos!$N$6)/X58&gt;0,(W58-1000000-Datos!$N$6)/X58,0)</f>
        <v>278834.81999999977</v>
      </c>
      <c r="Z58" s="78">
        <f>Datos!$E$6</f>
        <v>18</v>
      </c>
      <c r="AA58" s="79">
        <f ca="1">IF((W58-1000000-Datos!$N$6-1%*O58*VLOOKUP(TODAY(),'UF HOY'!$A$2:$B$33,2,0))/Z58&gt;0,(W58-1000000-Datos!$N$6-1%*O58*VLOOKUP(TODAY(),'UF HOY'!$A$2:$B$33,2,0))/Z58,0)</f>
        <v>210845.63377777755</v>
      </c>
      <c r="AB58" s="221">
        <f>IF(L58&gt;0,VLOOKUP(D58,Datos!$H$35:$J$38,3,0),VLOOKUP(D58,Datos!$H$35:$J$38,2,0))</f>
        <v>380000</v>
      </c>
      <c r="AC58" s="79">
        <f ca="1">(S58*PMT(Datos!$D$15,Datos!$D$13,-O58,,)*VLOOKUP(TODAY(),'UF HOY'!$A$2:$B$36,2,0)/12)+VLOOKUP(TODAY(),'UF HOY'!$A$2:$B$36,2,0)</f>
        <v>511552.50550976885</v>
      </c>
      <c r="AD58" s="79">
        <f t="shared" ca="1" si="22"/>
        <v>-131552.50550976885</v>
      </c>
      <c r="AE58" s="220">
        <f t="shared" ca="1" si="23"/>
        <v>2046210.0220390754</v>
      </c>
    </row>
    <row r="59" spans="1:31" hidden="1">
      <c r="A59" s="86" t="s">
        <v>171</v>
      </c>
      <c r="B59" s="86">
        <v>710</v>
      </c>
      <c r="C59" s="67" t="s">
        <v>129</v>
      </c>
      <c r="D59" s="67" t="s">
        <v>195</v>
      </c>
      <c r="E59" s="67"/>
      <c r="F59" s="66">
        <v>33.67</v>
      </c>
      <c r="G59" s="66">
        <v>4.96</v>
      </c>
      <c r="H59" s="67">
        <f t="shared" si="12"/>
        <v>36.15</v>
      </c>
      <c r="I59" s="68">
        <f t="shared" si="13"/>
        <v>38.630000000000003</v>
      </c>
      <c r="J59" s="69">
        <v>3080</v>
      </c>
      <c r="K59" s="70">
        <v>0</v>
      </c>
      <c r="L59" s="71">
        <v>0</v>
      </c>
      <c r="M59" s="71">
        <v>0</v>
      </c>
      <c r="N59" s="72">
        <f t="shared" si="14"/>
        <v>2618</v>
      </c>
      <c r="O59" s="73">
        <f t="shared" si="15"/>
        <v>3080</v>
      </c>
      <c r="P59" s="121">
        <f t="shared" si="16"/>
        <v>72.420470262793913</v>
      </c>
      <c r="Q59" s="74">
        <f t="shared" si="17"/>
        <v>0.15</v>
      </c>
      <c r="R59" s="75">
        <f t="shared" si="18"/>
        <v>462</v>
      </c>
      <c r="S59" s="74">
        <v>0.8</v>
      </c>
      <c r="T59" s="75">
        <f t="shared" si="19"/>
        <v>2464</v>
      </c>
      <c r="U59" s="76">
        <f t="shared" si="20"/>
        <v>4.9999999999999961E-2</v>
      </c>
      <c r="V59" s="69">
        <f t="shared" si="21"/>
        <v>153.99999999999989</v>
      </c>
      <c r="W59" s="77">
        <f ca="1">V59*VLOOKUP(TODAY(),'UF HOY'!$A$2:$B$36,2,0)</f>
        <v>6119026.7599999961</v>
      </c>
      <c r="X59" s="78">
        <f>Datos!$E$6</f>
        <v>18</v>
      </c>
      <c r="Y59" s="79">
        <f ca="1">IF((W59-1000000-Datos!$N$6)/X59&gt;0,(W59-1000000-Datos!$N$6)/X59,0)</f>
        <v>278834.81999999977</v>
      </c>
      <c r="Z59" s="78">
        <f>Datos!$E$6</f>
        <v>18</v>
      </c>
      <c r="AA59" s="79">
        <f ca="1">IF((W59-1000000-Datos!$N$6-1%*O59*VLOOKUP(TODAY(),'UF HOY'!$A$2:$B$33,2,0))/Z59&gt;0,(W59-1000000-Datos!$N$6-1%*O59*VLOOKUP(TODAY(),'UF HOY'!$A$2:$B$33,2,0))/Z59,0)</f>
        <v>210845.63377777755</v>
      </c>
      <c r="AB59" s="221">
        <f>IF(L59&gt;0,VLOOKUP(D59,Datos!$H$35:$J$38,3,0),VLOOKUP(D59,Datos!$H$35:$J$38,2,0))</f>
        <v>380000</v>
      </c>
      <c r="AC59" s="79">
        <f ca="1">(S59*PMT(Datos!$D$15,Datos!$D$13,-O59,,)*VLOOKUP(TODAY(),'UF HOY'!$A$2:$B$36,2,0)/12)+VLOOKUP(TODAY(),'UF HOY'!$A$2:$B$36,2,0)</f>
        <v>511552.50550976885</v>
      </c>
      <c r="AD59" s="79">
        <f t="shared" ca="1" si="22"/>
        <v>-131552.50550976885</v>
      </c>
      <c r="AE59" s="220">
        <f t="shared" ca="1" si="23"/>
        <v>2046210.0220390754</v>
      </c>
    </row>
    <row r="60" spans="1:31">
      <c r="A60" s="86" t="s">
        <v>4</v>
      </c>
      <c r="B60" s="86">
        <v>810</v>
      </c>
      <c r="C60" s="67" t="s">
        <v>129</v>
      </c>
      <c r="D60" s="67" t="s">
        <v>195</v>
      </c>
      <c r="E60" s="67"/>
      <c r="F60" s="66">
        <v>33.67</v>
      </c>
      <c r="G60" s="66">
        <v>4.96</v>
      </c>
      <c r="H60" s="67">
        <f t="shared" si="12"/>
        <v>36.15</v>
      </c>
      <c r="I60" s="68">
        <f t="shared" si="13"/>
        <v>38.630000000000003</v>
      </c>
      <c r="J60" s="69">
        <v>3080</v>
      </c>
      <c r="K60" s="70">
        <v>0</v>
      </c>
      <c r="L60" s="71">
        <v>0</v>
      </c>
      <c r="M60" s="71">
        <v>0</v>
      </c>
      <c r="N60" s="72">
        <f t="shared" si="14"/>
        <v>2618</v>
      </c>
      <c r="O60" s="73">
        <f t="shared" si="15"/>
        <v>3080</v>
      </c>
      <c r="P60" s="121">
        <f t="shared" si="16"/>
        <v>72.420470262793913</v>
      </c>
      <c r="Q60" s="74">
        <f t="shared" si="17"/>
        <v>0.15</v>
      </c>
      <c r="R60" s="75">
        <f t="shared" si="18"/>
        <v>462</v>
      </c>
      <c r="S60" s="74">
        <v>0.8</v>
      </c>
      <c r="T60" s="75">
        <f t="shared" si="19"/>
        <v>2464</v>
      </c>
      <c r="U60" s="76">
        <f t="shared" si="20"/>
        <v>4.9999999999999961E-2</v>
      </c>
      <c r="V60" s="69">
        <f t="shared" si="21"/>
        <v>153.99999999999989</v>
      </c>
      <c r="W60" s="77">
        <f ca="1">V60*VLOOKUP(TODAY(),'UF HOY'!$A$2:$B$36,2,0)</f>
        <v>6119026.7599999961</v>
      </c>
      <c r="X60" s="78">
        <f>Datos!$E$6</f>
        <v>18</v>
      </c>
      <c r="Y60" s="79">
        <f ca="1">IF((W60-1000000-Datos!$N$6)/X60&gt;0,(W60-1000000-Datos!$N$6)/X60,0)</f>
        <v>278834.81999999977</v>
      </c>
      <c r="Z60" s="78">
        <f>Datos!$E$6</f>
        <v>18</v>
      </c>
      <c r="AA60" s="79">
        <f ca="1">IF((W60-1000000-Datos!$N$6-1%*O60*VLOOKUP(TODAY(),'UF HOY'!$A$2:$B$33,2,0))/Z60&gt;0,(W60-1000000-Datos!$N$6-1%*O60*VLOOKUP(TODAY(),'UF HOY'!$A$2:$B$33,2,0))/Z60,0)</f>
        <v>210845.63377777755</v>
      </c>
      <c r="AB60" s="221">
        <f>IF(L60&gt;0,VLOOKUP(D60,Datos!$H$35:$J$38,3,0),VLOOKUP(D60,Datos!$H$35:$J$38,2,0))</f>
        <v>380000</v>
      </c>
      <c r="AC60" s="79">
        <f ca="1">(S60*PMT(Datos!$D$15,Datos!$D$13,-O60,,)*VLOOKUP(TODAY(),'UF HOY'!$A$2:$B$36,2,0)/12)+VLOOKUP(TODAY(),'UF HOY'!$A$2:$B$36,2,0)</f>
        <v>511552.50550976885</v>
      </c>
      <c r="AD60" s="79">
        <f t="shared" ca="1" si="22"/>
        <v>-131552.50550976885</v>
      </c>
      <c r="AE60" s="220">
        <f t="shared" ca="1" si="23"/>
        <v>2046210.0220390754</v>
      </c>
    </row>
    <row r="61" spans="1:31">
      <c r="A61" s="86" t="s">
        <v>4</v>
      </c>
      <c r="B61" s="86">
        <v>903</v>
      </c>
      <c r="C61" s="67" t="s">
        <v>129</v>
      </c>
      <c r="D61" s="67" t="s">
        <v>195</v>
      </c>
      <c r="E61" s="67"/>
      <c r="F61" s="66">
        <v>33.67</v>
      </c>
      <c r="G61" s="66">
        <v>4.96</v>
      </c>
      <c r="H61" s="67">
        <f t="shared" si="12"/>
        <v>36.15</v>
      </c>
      <c r="I61" s="68">
        <f t="shared" si="13"/>
        <v>38.630000000000003</v>
      </c>
      <c r="J61" s="69">
        <v>3080</v>
      </c>
      <c r="K61" s="70">
        <v>0</v>
      </c>
      <c r="L61" s="71">
        <v>0</v>
      </c>
      <c r="M61" s="71">
        <v>0</v>
      </c>
      <c r="N61" s="72">
        <f t="shared" si="14"/>
        <v>2618</v>
      </c>
      <c r="O61" s="73">
        <f t="shared" si="15"/>
        <v>3080</v>
      </c>
      <c r="P61" s="121">
        <f t="shared" si="16"/>
        <v>72.420470262793913</v>
      </c>
      <c r="Q61" s="74">
        <f t="shared" si="17"/>
        <v>0.15</v>
      </c>
      <c r="R61" s="75">
        <f t="shared" si="18"/>
        <v>462</v>
      </c>
      <c r="S61" s="74">
        <v>0.8</v>
      </c>
      <c r="T61" s="75">
        <f t="shared" si="19"/>
        <v>2464</v>
      </c>
      <c r="U61" s="76">
        <f t="shared" si="20"/>
        <v>4.9999999999999961E-2</v>
      </c>
      <c r="V61" s="69">
        <f t="shared" si="21"/>
        <v>153.99999999999989</v>
      </c>
      <c r="W61" s="77">
        <f ca="1">V61*VLOOKUP(TODAY(),'UF HOY'!$A$2:$B$36,2,0)</f>
        <v>6119026.7599999961</v>
      </c>
      <c r="X61" s="78">
        <f>Datos!$E$6</f>
        <v>18</v>
      </c>
      <c r="Y61" s="79">
        <f ca="1">IF((W61-1000000-Datos!$N$6)/X61&gt;0,(W61-1000000-Datos!$N$6)/X61,0)</f>
        <v>278834.81999999977</v>
      </c>
      <c r="Z61" s="78">
        <f>Datos!$E$6</f>
        <v>18</v>
      </c>
      <c r="AA61" s="79">
        <f ca="1">IF((W61-1000000-Datos!$N$6-1%*O61*VLOOKUP(TODAY(),'UF HOY'!$A$2:$B$33,2,0))/Z61&gt;0,(W61-1000000-Datos!$N$6-1%*O61*VLOOKUP(TODAY(),'UF HOY'!$A$2:$B$33,2,0))/Z61,0)</f>
        <v>210845.63377777755</v>
      </c>
      <c r="AB61" s="221">
        <f>IF(L61&gt;0,VLOOKUP(D61,Datos!$H$35:$J$38,3,0),VLOOKUP(D61,Datos!$H$35:$J$38,2,0))</f>
        <v>380000</v>
      </c>
      <c r="AC61" s="79">
        <f ca="1">(S61*PMT(Datos!$D$15,Datos!$D$13,-O61,,)*VLOOKUP(TODAY(),'UF HOY'!$A$2:$B$36,2,0)/12)+VLOOKUP(TODAY(),'UF HOY'!$A$2:$B$36,2,0)</f>
        <v>511552.50550976885</v>
      </c>
      <c r="AD61" s="79">
        <f t="shared" ca="1" si="22"/>
        <v>-131552.50550976885</v>
      </c>
      <c r="AE61" s="220">
        <f t="shared" ca="1" si="23"/>
        <v>2046210.0220390754</v>
      </c>
    </row>
    <row r="62" spans="1:31" hidden="1">
      <c r="A62" s="86" t="s">
        <v>171</v>
      </c>
      <c r="B62" s="86">
        <v>1001</v>
      </c>
      <c r="C62" s="67" t="s">
        <v>129</v>
      </c>
      <c r="D62" s="67" t="s">
        <v>195</v>
      </c>
      <c r="E62" s="67"/>
      <c r="F62" s="66">
        <v>32.770000000000003</v>
      </c>
      <c r="G62" s="66">
        <v>7.36</v>
      </c>
      <c r="H62" s="67">
        <f t="shared" si="12"/>
        <v>36.450000000000003</v>
      </c>
      <c r="I62" s="68">
        <f t="shared" si="13"/>
        <v>40.130000000000003</v>
      </c>
      <c r="J62" s="69">
        <v>3080</v>
      </c>
      <c r="K62" s="70">
        <v>0</v>
      </c>
      <c r="L62" s="71">
        <v>0</v>
      </c>
      <c r="M62" s="71">
        <v>0</v>
      </c>
      <c r="N62" s="72">
        <f t="shared" si="14"/>
        <v>2618</v>
      </c>
      <c r="O62" s="73">
        <f t="shared" si="15"/>
        <v>3080</v>
      </c>
      <c r="P62" s="121">
        <f t="shared" si="16"/>
        <v>71.824417009602186</v>
      </c>
      <c r="Q62" s="74">
        <f t="shared" si="17"/>
        <v>0.15</v>
      </c>
      <c r="R62" s="75">
        <f t="shared" si="18"/>
        <v>462</v>
      </c>
      <c r="S62" s="74">
        <v>0.8</v>
      </c>
      <c r="T62" s="75">
        <f t="shared" si="19"/>
        <v>2464</v>
      </c>
      <c r="U62" s="76">
        <f t="shared" si="20"/>
        <v>4.9999999999999961E-2</v>
      </c>
      <c r="V62" s="69">
        <f t="shared" si="21"/>
        <v>153.99999999999989</v>
      </c>
      <c r="W62" s="77">
        <f ca="1">V62*VLOOKUP(TODAY(),'UF HOY'!$A$2:$B$36,2,0)</f>
        <v>6119026.7599999961</v>
      </c>
      <c r="X62" s="78">
        <f>Datos!$E$6</f>
        <v>18</v>
      </c>
      <c r="Y62" s="79">
        <f ca="1">IF((W62-1000000-Datos!$N$6)/X62&gt;0,(W62-1000000-Datos!$N$6)/X62,0)</f>
        <v>278834.81999999977</v>
      </c>
      <c r="Z62" s="78">
        <f>Datos!$E$6</f>
        <v>18</v>
      </c>
      <c r="AA62" s="79">
        <f ca="1">IF((W62-1000000-Datos!$N$6-1%*O62*VLOOKUP(TODAY(),'UF HOY'!$A$2:$B$33,2,0))/Z62&gt;0,(W62-1000000-Datos!$N$6-1%*O62*VLOOKUP(TODAY(),'UF HOY'!$A$2:$B$33,2,0))/Z62,0)</f>
        <v>210845.63377777755</v>
      </c>
      <c r="AB62" s="221">
        <f>IF(L62&gt;0,VLOOKUP(D62,Datos!$H$35:$J$38,3,0),VLOOKUP(D62,Datos!$H$35:$J$38,2,0))</f>
        <v>380000</v>
      </c>
      <c r="AC62" s="79">
        <f ca="1">(S62*PMT(Datos!$D$15,Datos!$D$13,-O62,,)*VLOOKUP(TODAY(),'UF HOY'!$A$2:$B$36,2,0)/12)+VLOOKUP(TODAY(),'UF HOY'!$A$2:$B$36,2,0)</f>
        <v>511552.50550976885</v>
      </c>
      <c r="AD62" s="79">
        <f t="shared" ca="1" si="22"/>
        <v>-131552.50550976885</v>
      </c>
      <c r="AE62" s="220">
        <f t="shared" ca="1" si="23"/>
        <v>2046210.0220390754</v>
      </c>
    </row>
    <row r="63" spans="1:31">
      <c r="A63" s="86" t="s">
        <v>4</v>
      </c>
      <c r="B63" s="86">
        <v>910</v>
      </c>
      <c r="C63" s="67" t="s">
        <v>129</v>
      </c>
      <c r="D63" s="67" t="s">
        <v>195</v>
      </c>
      <c r="E63" s="67"/>
      <c r="F63" s="66">
        <v>33.67</v>
      </c>
      <c r="G63" s="66">
        <v>4.96</v>
      </c>
      <c r="H63" s="67">
        <f t="shared" si="12"/>
        <v>36.15</v>
      </c>
      <c r="I63" s="68">
        <f t="shared" si="13"/>
        <v>38.630000000000003</v>
      </c>
      <c r="J63" s="69">
        <v>3080</v>
      </c>
      <c r="K63" s="70">
        <v>0</v>
      </c>
      <c r="L63" s="71">
        <v>0</v>
      </c>
      <c r="M63" s="71">
        <v>0</v>
      </c>
      <c r="N63" s="72">
        <f t="shared" si="14"/>
        <v>2618</v>
      </c>
      <c r="O63" s="73">
        <f t="shared" si="15"/>
        <v>3080</v>
      </c>
      <c r="P63" s="121">
        <f t="shared" si="16"/>
        <v>72.420470262793913</v>
      </c>
      <c r="Q63" s="74">
        <f t="shared" si="17"/>
        <v>0.15</v>
      </c>
      <c r="R63" s="75">
        <f t="shared" si="18"/>
        <v>462</v>
      </c>
      <c r="S63" s="74">
        <v>0.8</v>
      </c>
      <c r="T63" s="75">
        <f t="shared" si="19"/>
        <v>2464</v>
      </c>
      <c r="U63" s="76">
        <f t="shared" si="20"/>
        <v>4.9999999999999961E-2</v>
      </c>
      <c r="V63" s="69">
        <f t="shared" si="21"/>
        <v>153.99999999999989</v>
      </c>
      <c r="W63" s="77">
        <f ca="1">V63*VLOOKUP(TODAY(),'UF HOY'!$A$2:$B$36,2,0)</f>
        <v>6119026.7599999961</v>
      </c>
      <c r="X63" s="78">
        <f>Datos!$E$6</f>
        <v>18</v>
      </c>
      <c r="Y63" s="79">
        <f ca="1">IF((W63-1000000-Datos!$N$6)/X63&gt;0,(W63-1000000-Datos!$N$6)/X63,0)</f>
        <v>278834.81999999977</v>
      </c>
      <c r="Z63" s="78">
        <f>Datos!$E$6</f>
        <v>18</v>
      </c>
      <c r="AA63" s="79">
        <f ca="1">IF((W63-1000000-Datos!$N$6-1%*O63*VLOOKUP(TODAY(),'UF HOY'!$A$2:$B$33,2,0))/Z63&gt;0,(W63-1000000-Datos!$N$6-1%*O63*VLOOKUP(TODAY(),'UF HOY'!$A$2:$B$33,2,0))/Z63,0)</f>
        <v>210845.63377777755</v>
      </c>
      <c r="AB63" s="221">
        <f>IF(L63&gt;0,VLOOKUP(D63,Datos!$H$35:$J$38,3,0),VLOOKUP(D63,Datos!$H$35:$J$38,2,0))</f>
        <v>380000</v>
      </c>
      <c r="AC63" s="79">
        <f ca="1">(S63*PMT(Datos!$D$15,Datos!$D$13,-O63,,)*VLOOKUP(TODAY(),'UF HOY'!$A$2:$B$36,2,0)/12)+VLOOKUP(TODAY(),'UF HOY'!$A$2:$B$36,2,0)</f>
        <v>511552.50550976885</v>
      </c>
      <c r="AD63" s="79">
        <f t="shared" ca="1" si="22"/>
        <v>-131552.50550976885</v>
      </c>
      <c r="AE63" s="220">
        <f t="shared" ca="1" si="23"/>
        <v>2046210.0220390754</v>
      </c>
    </row>
    <row r="64" spans="1:31">
      <c r="A64" s="86" t="s">
        <v>4</v>
      </c>
      <c r="B64" s="86">
        <v>1303</v>
      </c>
      <c r="C64" s="67" t="s">
        <v>129</v>
      </c>
      <c r="D64" s="67" t="s">
        <v>195</v>
      </c>
      <c r="E64" s="67"/>
      <c r="F64" s="66">
        <v>33.67</v>
      </c>
      <c r="G64" s="66">
        <v>4.96</v>
      </c>
      <c r="H64" s="67">
        <f t="shared" si="12"/>
        <v>36.15</v>
      </c>
      <c r="I64" s="68">
        <f t="shared" si="13"/>
        <v>38.630000000000003</v>
      </c>
      <c r="J64" s="69">
        <v>3080</v>
      </c>
      <c r="K64" s="70">
        <v>0</v>
      </c>
      <c r="L64" s="71">
        <v>0</v>
      </c>
      <c r="M64" s="71">
        <v>0</v>
      </c>
      <c r="N64" s="72">
        <f t="shared" si="14"/>
        <v>2618</v>
      </c>
      <c r="O64" s="73">
        <f t="shared" si="15"/>
        <v>3080</v>
      </c>
      <c r="P64" s="121">
        <f t="shared" si="16"/>
        <v>72.420470262793913</v>
      </c>
      <c r="Q64" s="74">
        <f t="shared" si="17"/>
        <v>0.15</v>
      </c>
      <c r="R64" s="75">
        <f t="shared" si="18"/>
        <v>462</v>
      </c>
      <c r="S64" s="74">
        <v>0.8</v>
      </c>
      <c r="T64" s="75">
        <f t="shared" si="19"/>
        <v>2464</v>
      </c>
      <c r="U64" s="76">
        <f t="shared" si="20"/>
        <v>4.9999999999999961E-2</v>
      </c>
      <c r="V64" s="69">
        <f t="shared" si="21"/>
        <v>153.99999999999989</v>
      </c>
      <c r="W64" s="77">
        <f ca="1">V64*VLOOKUP(TODAY(),'UF HOY'!$A$2:$B$36,2,0)</f>
        <v>6119026.7599999961</v>
      </c>
      <c r="X64" s="78">
        <f>Datos!$E$6</f>
        <v>18</v>
      </c>
      <c r="Y64" s="79">
        <f ca="1">IF((W64-1000000-Datos!$N$6)/X64&gt;0,(W64-1000000-Datos!$N$6)/X64,0)</f>
        <v>278834.81999999977</v>
      </c>
      <c r="Z64" s="78">
        <f>Datos!$E$6</f>
        <v>18</v>
      </c>
      <c r="AA64" s="79">
        <f ca="1">IF((W64-1000000-Datos!$N$6-1%*O64*VLOOKUP(TODAY(),'UF HOY'!$A$2:$B$33,2,0))/Z64&gt;0,(W64-1000000-Datos!$N$6-1%*O64*VLOOKUP(TODAY(),'UF HOY'!$A$2:$B$33,2,0))/Z64,0)</f>
        <v>210845.63377777755</v>
      </c>
      <c r="AB64" s="221">
        <f>IF(L64&gt;0,VLOOKUP(D64,Datos!$H$35:$J$38,3,0),VLOOKUP(D64,Datos!$H$35:$J$38,2,0))</f>
        <v>380000</v>
      </c>
      <c r="AC64" s="79">
        <f ca="1">(S64*PMT(Datos!$D$15,Datos!$D$13,-O64,,)*VLOOKUP(TODAY(),'UF HOY'!$A$2:$B$36,2,0)/12)+VLOOKUP(TODAY(),'UF HOY'!$A$2:$B$36,2,0)</f>
        <v>511552.50550976885</v>
      </c>
      <c r="AD64" s="79">
        <f t="shared" ca="1" si="22"/>
        <v>-131552.50550976885</v>
      </c>
      <c r="AE64" s="220">
        <f t="shared" ca="1" si="23"/>
        <v>2046210.0220390754</v>
      </c>
    </row>
    <row r="65" spans="1:31" hidden="1">
      <c r="A65" s="86" t="s">
        <v>171</v>
      </c>
      <c r="B65" s="86">
        <v>1401</v>
      </c>
      <c r="C65" s="67" t="s">
        <v>129</v>
      </c>
      <c r="D65" s="67" t="s">
        <v>195</v>
      </c>
      <c r="E65" s="67"/>
      <c r="F65" s="66">
        <v>32.770000000000003</v>
      </c>
      <c r="G65" s="66">
        <v>7.36</v>
      </c>
      <c r="H65" s="67">
        <f t="shared" si="12"/>
        <v>36.450000000000003</v>
      </c>
      <c r="I65" s="68">
        <f t="shared" si="13"/>
        <v>40.130000000000003</v>
      </c>
      <c r="J65" s="69">
        <v>3080</v>
      </c>
      <c r="K65" s="70">
        <v>0</v>
      </c>
      <c r="L65" s="71">
        <v>0</v>
      </c>
      <c r="M65" s="71">
        <v>0</v>
      </c>
      <c r="N65" s="72">
        <f t="shared" si="14"/>
        <v>2618</v>
      </c>
      <c r="O65" s="73">
        <f t="shared" si="15"/>
        <v>3080</v>
      </c>
      <c r="P65" s="121">
        <f t="shared" si="16"/>
        <v>71.824417009602186</v>
      </c>
      <c r="Q65" s="74">
        <f t="shared" si="17"/>
        <v>0.15</v>
      </c>
      <c r="R65" s="75">
        <f t="shared" si="18"/>
        <v>462</v>
      </c>
      <c r="S65" s="74">
        <v>0.8</v>
      </c>
      <c r="T65" s="75">
        <f t="shared" si="19"/>
        <v>2464</v>
      </c>
      <c r="U65" s="76">
        <f t="shared" si="20"/>
        <v>4.9999999999999961E-2</v>
      </c>
      <c r="V65" s="69">
        <f t="shared" si="21"/>
        <v>153.99999999999989</v>
      </c>
      <c r="W65" s="77">
        <f ca="1">V65*VLOOKUP(TODAY(),'UF HOY'!$A$2:$B$36,2,0)</f>
        <v>6119026.7599999961</v>
      </c>
      <c r="X65" s="78">
        <f>Datos!$E$6</f>
        <v>18</v>
      </c>
      <c r="Y65" s="79">
        <f ca="1">IF((W65-1000000-Datos!$N$6)/X65&gt;0,(W65-1000000-Datos!$N$6)/X65,0)</f>
        <v>278834.81999999977</v>
      </c>
      <c r="Z65" s="78">
        <f>Datos!$E$6</f>
        <v>18</v>
      </c>
      <c r="AA65" s="79">
        <f ca="1">IF((W65-1000000-Datos!$N$6-1%*O65*VLOOKUP(TODAY(),'UF HOY'!$A$2:$B$33,2,0))/Z65&gt;0,(W65-1000000-Datos!$N$6-1%*O65*VLOOKUP(TODAY(),'UF HOY'!$A$2:$B$33,2,0))/Z65,0)</f>
        <v>210845.63377777755</v>
      </c>
      <c r="AB65" s="221">
        <f>IF(L65&gt;0,VLOOKUP(D65,Datos!$H$35:$J$38,3,0),VLOOKUP(D65,Datos!$H$35:$J$38,2,0))</f>
        <v>380000</v>
      </c>
      <c r="AC65" s="79">
        <f ca="1">(S65*PMT(Datos!$D$15,Datos!$D$13,-O65,,)*VLOOKUP(TODAY(),'UF HOY'!$A$2:$B$36,2,0)/12)+VLOOKUP(TODAY(),'UF HOY'!$A$2:$B$36,2,0)</f>
        <v>511552.50550976885</v>
      </c>
      <c r="AD65" s="79">
        <f t="shared" ca="1" si="22"/>
        <v>-131552.50550976885</v>
      </c>
      <c r="AE65" s="220">
        <f t="shared" ca="1" si="23"/>
        <v>2046210.0220390754</v>
      </c>
    </row>
    <row r="66" spans="1:31">
      <c r="A66" s="86" t="s">
        <v>4</v>
      </c>
      <c r="B66" s="86">
        <v>1310</v>
      </c>
      <c r="C66" s="67" t="s">
        <v>129</v>
      </c>
      <c r="D66" s="67" t="s">
        <v>195</v>
      </c>
      <c r="E66" s="67"/>
      <c r="F66" s="66">
        <v>33.67</v>
      </c>
      <c r="G66" s="66">
        <v>4.96</v>
      </c>
      <c r="H66" s="67">
        <f t="shared" ref="H66:H97" si="24">F66+G66/2</f>
        <v>36.15</v>
      </c>
      <c r="I66" s="68">
        <f t="shared" ref="I66:I97" si="25">F66+G66</f>
        <v>38.630000000000003</v>
      </c>
      <c r="J66" s="69">
        <v>3080</v>
      </c>
      <c r="K66" s="70">
        <v>0</v>
      </c>
      <c r="L66" s="71">
        <v>0</v>
      </c>
      <c r="M66" s="71">
        <v>0</v>
      </c>
      <c r="N66" s="72">
        <f t="shared" ref="N66:N97" si="26">O66-R66</f>
        <v>2618</v>
      </c>
      <c r="O66" s="73">
        <f t="shared" ref="O66:O97" si="27">J66*(100%-K66)+L66+M66</f>
        <v>3080</v>
      </c>
      <c r="P66" s="121">
        <f t="shared" ref="P66:P97" si="28">(N66-L66-M66)/H66</f>
        <v>72.420470262793913</v>
      </c>
      <c r="Q66" s="74">
        <f t="shared" ref="Q66:Q97" si="29">R66/O66</f>
        <v>0.15</v>
      </c>
      <c r="R66" s="75">
        <f t="shared" ref="R66:R97" si="30">O66*0.15</f>
        <v>462</v>
      </c>
      <c r="S66" s="74">
        <v>0.8</v>
      </c>
      <c r="T66" s="75">
        <f t="shared" ref="T66:T97" si="31">S66*O66</f>
        <v>2464</v>
      </c>
      <c r="U66" s="76">
        <f t="shared" ref="U66:U97" si="32">100%-S66-Q66</f>
        <v>4.9999999999999961E-2</v>
      </c>
      <c r="V66" s="69">
        <f t="shared" ref="V66:V97" si="33">O66*U66</f>
        <v>153.99999999999989</v>
      </c>
      <c r="W66" s="77">
        <f ca="1">V66*VLOOKUP(TODAY(),'UF HOY'!$A$2:$B$36,2,0)</f>
        <v>6119026.7599999961</v>
      </c>
      <c r="X66" s="78">
        <f>Datos!$E$6</f>
        <v>18</v>
      </c>
      <c r="Y66" s="79">
        <f ca="1">IF((W66-1000000-Datos!$N$6)/X66&gt;0,(W66-1000000-Datos!$N$6)/X66,0)</f>
        <v>278834.81999999977</v>
      </c>
      <c r="Z66" s="78">
        <f>Datos!$E$6</f>
        <v>18</v>
      </c>
      <c r="AA66" s="79">
        <f ca="1">IF((W66-1000000-Datos!$N$6-1%*O66*VLOOKUP(TODAY(),'UF HOY'!$A$2:$B$33,2,0))/Z66&gt;0,(W66-1000000-Datos!$N$6-1%*O66*VLOOKUP(TODAY(),'UF HOY'!$A$2:$B$33,2,0))/Z66,0)</f>
        <v>210845.63377777755</v>
      </c>
      <c r="AB66" s="221">
        <f>IF(L66&gt;0,VLOOKUP(D66,Datos!$H$35:$J$38,3,0),VLOOKUP(D66,Datos!$H$35:$J$38,2,0))</f>
        <v>380000</v>
      </c>
      <c r="AC66" s="79">
        <f ca="1">(S66*PMT(Datos!$D$15,Datos!$D$13,-O66,,)*VLOOKUP(TODAY(),'UF HOY'!$A$2:$B$36,2,0)/12)+VLOOKUP(TODAY(),'UF HOY'!$A$2:$B$36,2,0)</f>
        <v>511552.50550976885</v>
      </c>
      <c r="AD66" s="79">
        <f t="shared" ref="AD66:AD97" ca="1" si="34">AB66-AC66</f>
        <v>-131552.50550976885</v>
      </c>
      <c r="AE66" s="220">
        <f t="shared" ref="AE66:AE97" ca="1" si="35">IF((AC66/0.25)&lt;=1600000,1600000,(AC66/0.25))</f>
        <v>2046210.0220390754</v>
      </c>
    </row>
    <row r="67" spans="1:31" hidden="1">
      <c r="A67" s="86" t="s">
        <v>171</v>
      </c>
      <c r="B67" s="86">
        <v>610</v>
      </c>
      <c r="C67" s="67" t="s">
        <v>129</v>
      </c>
      <c r="D67" s="67" t="s">
        <v>195</v>
      </c>
      <c r="E67" s="67"/>
      <c r="F67" s="66">
        <v>33.67</v>
      </c>
      <c r="G67" s="66">
        <v>4.96</v>
      </c>
      <c r="H67" s="67">
        <f t="shared" si="24"/>
        <v>36.15</v>
      </c>
      <c r="I67" s="68">
        <f t="shared" si="25"/>
        <v>38.630000000000003</v>
      </c>
      <c r="J67" s="69">
        <v>3080</v>
      </c>
      <c r="K67" s="70">
        <v>0</v>
      </c>
      <c r="L67" s="71">
        <v>0</v>
      </c>
      <c r="M67" s="71">
        <v>0</v>
      </c>
      <c r="N67" s="72">
        <f t="shared" si="26"/>
        <v>2618</v>
      </c>
      <c r="O67" s="73">
        <f t="shared" si="27"/>
        <v>3080</v>
      </c>
      <c r="P67" s="121">
        <f t="shared" si="28"/>
        <v>72.420470262793913</v>
      </c>
      <c r="Q67" s="74">
        <f t="shared" si="29"/>
        <v>0.15</v>
      </c>
      <c r="R67" s="75">
        <f t="shared" si="30"/>
        <v>462</v>
      </c>
      <c r="S67" s="74">
        <v>0.8</v>
      </c>
      <c r="T67" s="75">
        <f t="shared" si="31"/>
        <v>2464</v>
      </c>
      <c r="U67" s="76">
        <f t="shared" si="32"/>
        <v>4.9999999999999961E-2</v>
      </c>
      <c r="V67" s="69">
        <f t="shared" si="33"/>
        <v>153.99999999999989</v>
      </c>
      <c r="W67" s="77">
        <f ca="1">V67*VLOOKUP(TODAY(),'UF HOY'!$A$2:$B$36,2,0)</f>
        <v>6119026.7599999961</v>
      </c>
      <c r="X67" s="78">
        <f>Datos!$E$6</f>
        <v>18</v>
      </c>
      <c r="Y67" s="79">
        <f ca="1">IF((W67-1000000-Datos!$N$6)/X67&gt;0,(W67-1000000-Datos!$N$6)/X67,0)</f>
        <v>278834.81999999977</v>
      </c>
      <c r="Z67" s="78">
        <f>Datos!$E$6</f>
        <v>18</v>
      </c>
      <c r="AA67" s="79">
        <f ca="1">IF((W67-1000000-Datos!$N$6-1%*O67*VLOOKUP(TODAY(),'UF HOY'!$A$2:$B$33,2,0))/Z67&gt;0,(W67-1000000-Datos!$N$6-1%*O67*VLOOKUP(TODAY(),'UF HOY'!$A$2:$B$33,2,0))/Z67,0)</f>
        <v>210845.63377777755</v>
      </c>
      <c r="AB67" s="221">
        <f>IF(L67&gt;0,VLOOKUP(D67,Datos!$H$35:$J$38,3,0),VLOOKUP(D67,Datos!$H$35:$J$38,2,0))</f>
        <v>380000</v>
      </c>
      <c r="AC67" s="79">
        <f ca="1">(S67*PMT(Datos!$D$15,Datos!$D$13,-O67,,)*VLOOKUP(TODAY(),'UF HOY'!$A$2:$B$36,2,0)/12)+VLOOKUP(TODAY(),'UF HOY'!$A$2:$B$36,2,0)</f>
        <v>511552.50550976885</v>
      </c>
      <c r="AD67" s="79">
        <f t="shared" ca="1" si="34"/>
        <v>-131552.50550976885</v>
      </c>
      <c r="AE67" s="220">
        <f t="shared" ca="1" si="35"/>
        <v>2046210.0220390754</v>
      </c>
    </row>
    <row r="68" spans="1:31">
      <c r="A68" s="86" t="s">
        <v>4</v>
      </c>
      <c r="B68" s="86">
        <v>1501</v>
      </c>
      <c r="C68" s="67" t="s">
        <v>129</v>
      </c>
      <c r="D68" s="67" t="s">
        <v>195</v>
      </c>
      <c r="E68" s="67"/>
      <c r="F68" s="66">
        <v>32.770000000000003</v>
      </c>
      <c r="G68" s="66">
        <v>7.36</v>
      </c>
      <c r="H68" s="67">
        <f t="shared" si="24"/>
        <v>36.450000000000003</v>
      </c>
      <c r="I68" s="68">
        <f t="shared" si="25"/>
        <v>40.130000000000003</v>
      </c>
      <c r="J68" s="69">
        <v>3080</v>
      </c>
      <c r="K68" s="70">
        <v>0</v>
      </c>
      <c r="L68" s="71">
        <v>0</v>
      </c>
      <c r="M68" s="71">
        <v>0</v>
      </c>
      <c r="N68" s="72">
        <f t="shared" si="26"/>
        <v>2618</v>
      </c>
      <c r="O68" s="73">
        <f t="shared" si="27"/>
        <v>3080</v>
      </c>
      <c r="P68" s="121">
        <f t="shared" si="28"/>
        <v>71.824417009602186</v>
      </c>
      <c r="Q68" s="74">
        <f t="shared" si="29"/>
        <v>0.15</v>
      </c>
      <c r="R68" s="75">
        <f t="shared" si="30"/>
        <v>462</v>
      </c>
      <c r="S68" s="74">
        <v>0.8</v>
      </c>
      <c r="T68" s="75">
        <f t="shared" si="31"/>
        <v>2464</v>
      </c>
      <c r="U68" s="76">
        <f t="shared" si="32"/>
        <v>4.9999999999999961E-2</v>
      </c>
      <c r="V68" s="69">
        <f t="shared" si="33"/>
        <v>153.99999999999989</v>
      </c>
      <c r="W68" s="77">
        <f ca="1">V68*VLOOKUP(TODAY(),'UF HOY'!$A$2:$B$36,2,0)</f>
        <v>6119026.7599999961</v>
      </c>
      <c r="X68" s="78">
        <f>Datos!$E$6</f>
        <v>18</v>
      </c>
      <c r="Y68" s="79">
        <f ca="1">IF((W68-1000000-Datos!$N$6)/X68&gt;0,(W68-1000000-Datos!$N$6)/X68,0)</f>
        <v>278834.81999999977</v>
      </c>
      <c r="Z68" s="78">
        <f>Datos!$E$6</f>
        <v>18</v>
      </c>
      <c r="AA68" s="79">
        <f ca="1">IF((W68-1000000-Datos!$N$6-1%*O68*VLOOKUP(TODAY(),'UF HOY'!$A$2:$B$33,2,0))/Z68&gt;0,(W68-1000000-Datos!$N$6-1%*O68*VLOOKUP(TODAY(),'UF HOY'!$A$2:$B$33,2,0))/Z68,0)</f>
        <v>210845.63377777755</v>
      </c>
      <c r="AB68" s="221">
        <f>IF(L68&gt;0,VLOOKUP(D68,Datos!$H$35:$J$38,3,0),VLOOKUP(D68,Datos!$H$35:$J$38,2,0))</f>
        <v>380000</v>
      </c>
      <c r="AC68" s="79">
        <f ca="1">(S68*PMT(Datos!$D$15,Datos!$D$13,-O68,,)*VLOOKUP(TODAY(),'UF HOY'!$A$2:$B$36,2,0)/12)+VLOOKUP(TODAY(),'UF HOY'!$A$2:$B$36,2,0)</f>
        <v>511552.50550976885</v>
      </c>
      <c r="AD68" s="79">
        <f t="shared" ca="1" si="34"/>
        <v>-131552.50550976885</v>
      </c>
      <c r="AE68" s="220">
        <f t="shared" ca="1" si="35"/>
        <v>2046210.0220390754</v>
      </c>
    </row>
    <row r="69" spans="1:31" hidden="1">
      <c r="A69" s="86" t="s">
        <v>171</v>
      </c>
      <c r="B69" s="86">
        <v>1101</v>
      </c>
      <c r="C69" s="67" t="s">
        <v>129</v>
      </c>
      <c r="D69" s="67" t="s">
        <v>195</v>
      </c>
      <c r="E69" s="67"/>
      <c r="F69" s="66">
        <v>32.770000000000003</v>
      </c>
      <c r="G69" s="66">
        <v>7.36</v>
      </c>
      <c r="H69" s="67">
        <f t="shared" si="24"/>
        <v>36.450000000000003</v>
      </c>
      <c r="I69" s="68">
        <f t="shared" si="25"/>
        <v>40.130000000000003</v>
      </c>
      <c r="J69" s="69">
        <v>3080</v>
      </c>
      <c r="K69" s="70">
        <v>0</v>
      </c>
      <c r="L69" s="71">
        <v>0</v>
      </c>
      <c r="M69" s="71">
        <v>0</v>
      </c>
      <c r="N69" s="72">
        <f t="shared" si="26"/>
        <v>2618</v>
      </c>
      <c r="O69" s="73">
        <f t="shared" si="27"/>
        <v>3080</v>
      </c>
      <c r="P69" s="121">
        <f t="shared" si="28"/>
        <v>71.824417009602186</v>
      </c>
      <c r="Q69" s="74">
        <f t="shared" si="29"/>
        <v>0.15</v>
      </c>
      <c r="R69" s="75">
        <f t="shared" si="30"/>
        <v>462</v>
      </c>
      <c r="S69" s="74">
        <v>0.8</v>
      </c>
      <c r="T69" s="75">
        <f t="shared" si="31"/>
        <v>2464</v>
      </c>
      <c r="U69" s="76">
        <f t="shared" si="32"/>
        <v>4.9999999999999961E-2</v>
      </c>
      <c r="V69" s="69">
        <f t="shared" si="33"/>
        <v>153.99999999999989</v>
      </c>
      <c r="W69" s="77">
        <f ca="1">V69*VLOOKUP(TODAY(),'UF HOY'!$A$2:$B$36,2,0)</f>
        <v>6119026.7599999961</v>
      </c>
      <c r="X69" s="78">
        <f>Datos!$E$6</f>
        <v>18</v>
      </c>
      <c r="Y69" s="79">
        <f ca="1">IF((W69-1000000-Datos!$N$6)/X69&gt;0,(W69-1000000-Datos!$N$6)/X69,0)</f>
        <v>278834.81999999977</v>
      </c>
      <c r="Z69" s="78">
        <f>Datos!$E$6</f>
        <v>18</v>
      </c>
      <c r="AA69" s="79">
        <f ca="1">IF((W69-1000000-Datos!$N$6-1%*O69*VLOOKUP(TODAY(),'UF HOY'!$A$2:$B$33,2,0))/Z69&gt;0,(W69-1000000-Datos!$N$6-1%*O69*VLOOKUP(TODAY(),'UF HOY'!$A$2:$B$33,2,0))/Z69,0)</f>
        <v>210845.63377777755</v>
      </c>
      <c r="AB69" s="221">
        <f>IF(L69&gt;0,VLOOKUP(D69,Datos!$H$35:$J$38,3,0),VLOOKUP(D69,Datos!$H$35:$J$38,2,0))</f>
        <v>380000</v>
      </c>
      <c r="AC69" s="79">
        <f ca="1">(S69*PMT(Datos!$D$15,Datos!$D$13,-O69,,)*VLOOKUP(TODAY(),'UF HOY'!$A$2:$B$36,2,0)/12)+VLOOKUP(TODAY(),'UF HOY'!$A$2:$B$36,2,0)</f>
        <v>511552.50550976885</v>
      </c>
      <c r="AD69" s="79">
        <f t="shared" ca="1" si="34"/>
        <v>-131552.50550976885</v>
      </c>
      <c r="AE69" s="220">
        <f t="shared" ca="1" si="35"/>
        <v>2046210.0220390754</v>
      </c>
    </row>
    <row r="70" spans="1:31" hidden="1">
      <c r="A70" s="86" t="s">
        <v>171</v>
      </c>
      <c r="B70" s="86">
        <v>1201</v>
      </c>
      <c r="C70" s="67" t="s">
        <v>129</v>
      </c>
      <c r="D70" s="67" t="s">
        <v>195</v>
      </c>
      <c r="E70" s="67"/>
      <c r="F70" s="66">
        <v>32.770000000000003</v>
      </c>
      <c r="G70" s="66">
        <v>7.36</v>
      </c>
      <c r="H70" s="67">
        <f t="shared" si="24"/>
        <v>36.450000000000003</v>
      </c>
      <c r="I70" s="68">
        <f t="shared" si="25"/>
        <v>40.130000000000003</v>
      </c>
      <c r="J70" s="69">
        <v>3080</v>
      </c>
      <c r="K70" s="70">
        <v>0</v>
      </c>
      <c r="L70" s="71">
        <v>0</v>
      </c>
      <c r="M70" s="71">
        <v>0</v>
      </c>
      <c r="N70" s="72">
        <f t="shared" si="26"/>
        <v>2618</v>
      </c>
      <c r="O70" s="73">
        <f t="shared" si="27"/>
        <v>3080</v>
      </c>
      <c r="P70" s="121">
        <f t="shared" si="28"/>
        <v>71.824417009602186</v>
      </c>
      <c r="Q70" s="74">
        <f t="shared" si="29"/>
        <v>0.15</v>
      </c>
      <c r="R70" s="75">
        <f t="shared" si="30"/>
        <v>462</v>
      </c>
      <c r="S70" s="74">
        <v>0.8</v>
      </c>
      <c r="T70" s="75">
        <f t="shared" si="31"/>
        <v>2464</v>
      </c>
      <c r="U70" s="76">
        <f t="shared" si="32"/>
        <v>4.9999999999999961E-2</v>
      </c>
      <c r="V70" s="69">
        <f t="shared" si="33"/>
        <v>153.99999999999989</v>
      </c>
      <c r="W70" s="77">
        <f ca="1">V70*VLOOKUP(TODAY(),'UF HOY'!$A$2:$B$36,2,0)</f>
        <v>6119026.7599999961</v>
      </c>
      <c r="X70" s="78">
        <f>Datos!$E$6</f>
        <v>18</v>
      </c>
      <c r="Y70" s="79">
        <f ca="1">IF((W70-1000000-Datos!$N$6)/X70&gt;0,(W70-1000000-Datos!$N$6)/X70,0)</f>
        <v>278834.81999999977</v>
      </c>
      <c r="Z70" s="78">
        <f>Datos!$E$6</f>
        <v>18</v>
      </c>
      <c r="AA70" s="79">
        <f ca="1">IF((W70-1000000-Datos!$N$6-1%*O70*VLOOKUP(TODAY(),'UF HOY'!$A$2:$B$33,2,0))/Z70&gt;0,(W70-1000000-Datos!$N$6-1%*O70*VLOOKUP(TODAY(),'UF HOY'!$A$2:$B$33,2,0))/Z70,0)</f>
        <v>210845.63377777755</v>
      </c>
      <c r="AB70" s="221">
        <f>IF(L70&gt;0,VLOOKUP(D70,Datos!$H$35:$J$38,3,0),VLOOKUP(D70,Datos!$H$35:$J$38,2,0))</f>
        <v>380000</v>
      </c>
      <c r="AC70" s="79">
        <f ca="1">(S70*PMT(Datos!$D$15,Datos!$D$13,-O70,,)*VLOOKUP(TODAY(),'UF HOY'!$A$2:$B$36,2,0)/12)+VLOOKUP(TODAY(),'UF HOY'!$A$2:$B$36,2,0)</f>
        <v>511552.50550976885</v>
      </c>
      <c r="AD70" s="79">
        <f t="shared" ca="1" si="34"/>
        <v>-131552.50550976885</v>
      </c>
      <c r="AE70" s="220">
        <f t="shared" ca="1" si="35"/>
        <v>2046210.0220390754</v>
      </c>
    </row>
    <row r="71" spans="1:31" hidden="1">
      <c r="A71" s="86" t="s">
        <v>171</v>
      </c>
      <c r="B71" s="86">
        <v>1601</v>
      </c>
      <c r="C71" s="67" t="s">
        <v>129</v>
      </c>
      <c r="D71" s="67" t="s">
        <v>195</v>
      </c>
      <c r="E71" s="67"/>
      <c r="F71" s="66">
        <v>32.770000000000003</v>
      </c>
      <c r="G71" s="66">
        <v>7.36</v>
      </c>
      <c r="H71" s="67">
        <f t="shared" si="24"/>
        <v>36.450000000000003</v>
      </c>
      <c r="I71" s="68">
        <f t="shared" si="25"/>
        <v>40.130000000000003</v>
      </c>
      <c r="J71" s="69">
        <v>3080</v>
      </c>
      <c r="K71" s="70">
        <v>0</v>
      </c>
      <c r="L71" s="71">
        <v>0</v>
      </c>
      <c r="M71" s="71">
        <v>0</v>
      </c>
      <c r="N71" s="72">
        <f t="shared" si="26"/>
        <v>2618</v>
      </c>
      <c r="O71" s="73">
        <f t="shared" si="27"/>
        <v>3080</v>
      </c>
      <c r="P71" s="121">
        <f t="shared" si="28"/>
        <v>71.824417009602186</v>
      </c>
      <c r="Q71" s="74">
        <f t="shared" si="29"/>
        <v>0.15</v>
      </c>
      <c r="R71" s="75">
        <f t="shared" si="30"/>
        <v>462</v>
      </c>
      <c r="S71" s="74">
        <v>0.8</v>
      </c>
      <c r="T71" s="75">
        <f t="shared" si="31"/>
        <v>2464</v>
      </c>
      <c r="U71" s="76">
        <f t="shared" si="32"/>
        <v>4.9999999999999961E-2</v>
      </c>
      <c r="V71" s="69">
        <f t="shared" si="33"/>
        <v>153.99999999999989</v>
      </c>
      <c r="W71" s="77">
        <f ca="1">V71*VLOOKUP(TODAY(),'UF HOY'!$A$2:$B$36,2,0)</f>
        <v>6119026.7599999961</v>
      </c>
      <c r="X71" s="78">
        <f>Datos!$E$6</f>
        <v>18</v>
      </c>
      <c r="Y71" s="79">
        <f ca="1">IF((W71-1000000-Datos!$N$6)/X71&gt;0,(W71-1000000-Datos!$N$6)/X71,0)</f>
        <v>278834.81999999977</v>
      </c>
      <c r="Z71" s="78">
        <f>Datos!$E$6</f>
        <v>18</v>
      </c>
      <c r="AA71" s="79">
        <f ca="1">IF((W71-1000000-Datos!$N$6-1%*O71*VLOOKUP(TODAY(),'UF HOY'!$A$2:$B$33,2,0))/Z71&gt;0,(W71-1000000-Datos!$N$6-1%*O71*VLOOKUP(TODAY(),'UF HOY'!$A$2:$B$33,2,0))/Z71,0)</f>
        <v>210845.63377777755</v>
      </c>
      <c r="AB71" s="221">
        <f>IF(L71&gt;0,VLOOKUP(D71,Datos!$H$35:$J$38,3,0),VLOOKUP(D71,Datos!$H$35:$J$38,2,0))</f>
        <v>380000</v>
      </c>
      <c r="AC71" s="79">
        <f ca="1">(S71*PMT(Datos!$D$15,Datos!$D$13,-O71,,)*VLOOKUP(TODAY(),'UF HOY'!$A$2:$B$36,2,0)/12)+VLOOKUP(TODAY(),'UF HOY'!$A$2:$B$36,2,0)</f>
        <v>511552.50550976885</v>
      </c>
      <c r="AD71" s="79">
        <f t="shared" ca="1" si="34"/>
        <v>-131552.50550976885</v>
      </c>
      <c r="AE71" s="220">
        <f t="shared" ca="1" si="35"/>
        <v>2046210.0220390754</v>
      </c>
    </row>
    <row r="72" spans="1:31" hidden="1">
      <c r="A72" s="86" t="s">
        <v>171</v>
      </c>
      <c r="B72" s="86">
        <v>409</v>
      </c>
      <c r="C72" s="67" t="s">
        <v>130</v>
      </c>
      <c r="D72" s="67" t="s">
        <v>195</v>
      </c>
      <c r="E72" s="67"/>
      <c r="F72" s="66">
        <v>33.67</v>
      </c>
      <c r="G72" s="66">
        <v>4.96</v>
      </c>
      <c r="H72" s="67">
        <f t="shared" si="24"/>
        <v>36.15</v>
      </c>
      <c r="I72" s="68">
        <f t="shared" si="25"/>
        <v>38.630000000000003</v>
      </c>
      <c r="J72" s="69">
        <v>3120</v>
      </c>
      <c r="K72" s="70">
        <v>0</v>
      </c>
      <c r="L72" s="71">
        <v>0</v>
      </c>
      <c r="M72" s="71">
        <v>0</v>
      </c>
      <c r="N72" s="72">
        <f t="shared" si="26"/>
        <v>2652</v>
      </c>
      <c r="O72" s="73">
        <f t="shared" si="27"/>
        <v>3120</v>
      </c>
      <c r="P72" s="121">
        <f t="shared" si="28"/>
        <v>73.360995850622416</v>
      </c>
      <c r="Q72" s="74">
        <f t="shared" si="29"/>
        <v>0.15</v>
      </c>
      <c r="R72" s="75">
        <f t="shared" si="30"/>
        <v>468</v>
      </c>
      <c r="S72" s="74">
        <v>0.8</v>
      </c>
      <c r="T72" s="75">
        <f t="shared" si="31"/>
        <v>2496</v>
      </c>
      <c r="U72" s="76">
        <f t="shared" si="32"/>
        <v>4.9999999999999961E-2</v>
      </c>
      <c r="V72" s="69">
        <f t="shared" si="33"/>
        <v>155.99999999999989</v>
      </c>
      <c r="W72" s="77">
        <f ca="1">V72*VLOOKUP(TODAY(),'UF HOY'!$A$2:$B$36,2,0)</f>
        <v>6198494.6399999959</v>
      </c>
      <c r="X72" s="78">
        <f>Datos!$E$6</f>
        <v>18</v>
      </c>
      <c r="Y72" s="79">
        <f ca="1">IF((W72-1000000-Datos!$N$6)/X72&gt;0,(W72-1000000-Datos!$N$6)/X72,0)</f>
        <v>283249.702222222</v>
      </c>
      <c r="Z72" s="78">
        <f>Datos!$E$6</f>
        <v>18</v>
      </c>
      <c r="AA72" s="79">
        <f ca="1">IF((W72-1000000-Datos!$N$6-1%*O72*VLOOKUP(TODAY(),'UF HOY'!$A$2:$B$33,2,0))/Z72&gt;0,(W72-1000000-Datos!$N$6-1%*O72*VLOOKUP(TODAY(),'UF HOY'!$A$2:$B$33,2,0))/Z72,0)</f>
        <v>214377.53955555533</v>
      </c>
      <c r="AB72" s="221">
        <f>IF(L72&gt;0,VLOOKUP(D72,Datos!$H$35:$J$38,3,0),VLOOKUP(D72,Datos!$H$35:$J$38,2,0))</f>
        <v>380000</v>
      </c>
      <c r="AC72" s="79">
        <f ca="1">(S72*PMT(Datos!$D$15,Datos!$D$13,-O72,,)*VLOOKUP(TODAY(),'UF HOY'!$A$2:$B$36,2,0)/12)+VLOOKUP(TODAY(),'UF HOY'!$A$2:$B$36,2,0)</f>
        <v>517680.01934755791</v>
      </c>
      <c r="AD72" s="79">
        <f t="shared" ca="1" si="34"/>
        <v>-137680.01934755791</v>
      </c>
      <c r="AE72" s="220">
        <f t="shared" ca="1" si="35"/>
        <v>2070720.0773902317</v>
      </c>
    </row>
    <row r="73" spans="1:31">
      <c r="A73" s="86" t="s">
        <v>4</v>
      </c>
      <c r="B73" s="86">
        <v>304</v>
      </c>
      <c r="C73" s="67" t="s">
        <v>130</v>
      </c>
      <c r="D73" s="67" t="s">
        <v>195</v>
      </c>
      <c r="E73" s="67"/>
      <c r="F73" s="66">
        <v>33.67</v>
      </c>
      <c r="G73" s="66">
        <v>4.96</v>
      </c>
      <c r="H73" s="67">
        <f t="shared" si="24"/>
        <v>36.15</v>
      </c>
      <c r="I73" s="68">
        <f t="shared" si="25"/>
        <v>38.630000000000003</v>
      </c>
      <c r="J73" s="69">
        <v>3120</v>
      </c>
      <c r="K73" s="70">
        <v>0</v>
      </c>
      <c r="L73" s="71">
        <v>0</v>
      </c>
      <c r="M73" s="71">
        <v>0</v>
      </c>
      <c r="N73" s="72">
        <f t="shared" si="26"/>
        <v>2652</v>
      </c>
      <c r="O73" s="73">
        <f t="shared" si="27"/>
        <v>3120</v>
      </c>
      <c r="P73" s="121">
        <f t="shared" si="28"/>
        <v>73.360995850622416</v>
      </c>
      <c r="Q73" s="74">
        <f t="shared" si="29"/>
        <v>0.15</v>
      </c>
      <c r="R73" s="75">
        <f t="shared" si="30"/>
        <v>468</v>
      </c>
      <c r="S73" s="74">
        <v>0.8</v>
      </c>
      <c r="T73" s="75">
        <f t="shared" si="31"/>
        <v>2496</v>
      </c>
      <c r="U73" s="76">
        <f t="shared" si="32"/>
        <v>4.9999999999999961E-2</v>
      </c>
      <c r="V73" s="69">
        <f t="shared" si="33"/>
        <v>155.99999999999989</v>
      </c>
      <c r="W73" s="77">
        <f ca="1">V73*VLOOKUP(TODAY(),'UF HOY'!$A$2:$B$36,2,0)</f>
        <v>6198494.6399999959</v>
      </c>
      <c r="X73" s="78">
        <f>Datos!$E$6</f>
        <v>18</v>
      </c>
      <c r="Y73" s="79">
        <f ca="1">IF((W73-1000000-Datos!$N$6)/X73&gt;0,(W73-1000000-Datos!$N$6)/X73,0)</f>
        <v>283249.702222222</v>
      </c>
      <c r="Z73" s="78">
        <f>Datos!$E$6</f>
        <v>18</v>
      </c>
      <c r="AA73" s="79">
        <f ca="1">IF((W73-1000000-Datos!$N$6-1%*O73*VLOOKUP(TODAY(),'UF HOY'!$A$2:$B$33,2,0))/Z73&gt;0,(W73-1000000-Datos!$N$6-1%*O73*VLOOKUP(TODAY(),'UF HOY'!$A$2:$B$33,2,0))/Z73,0)</f>
        <v>214377.53955555533</v>
      </c>
      <c r="AB73" s="221">
        <f>IF(L73&gt;0,VLOOKUP(D73,Datos!$H$35:$J$38,3,0),VLOOKUP(D73,Datos!$H$35:$J$38,2,0))</f>
        <v>380000</v>
      </c>
      <c r="AC73" s="79">
        <f ca="1">(S73*PMT(Datos!$D$15,Datos!$D$13,-O73,,)*VLOOKUP(TODAY(),'UF HOY'!$A$2:$B$36,2,0)/12)+VLOOKUP(TODAY(),'UF HOY'!$A$2:$B$36,2,0)</f>
        <v>517680.01934755791</v>
      </c>
      <c r="AD73" s="79">
        <f t="shared" ca="1" si="34"/>
        <v>-137680.01934755791</v>
      </c>
      <c r="AE73" s="220">
        <f t="shared" ca="1" si="35"/>
        <v>2070720.0773902317</v>
      </c>
    </row>
    <row r="74" spans="1:31">
      <c r="A74" s="86" t="s">
        <v>4</v>
      </c>
      <c r="B74" s="86">
        <v>309</v>
      </c>
      <c r="C74" s="67" t="s">
        <v>130</v>
      </c>
      <c r="D74" s="67" t="s">
        <v>195</v>
      </c>
      <c r="E74" s="67"/>
      <c r="F74" s="66">
        <v>33.67</v>
      </c>
      <c r="G74" s="66">
        <v>4.96</v>
      </c>
      <c r="H74" s="67">
        <f t="shared" si="24"/>
        <v>36.15</v>
      </c>
      <c r="I74" s="68">
        <f t="shared" si="25"/>
        <v>38.630000000000003</v>
      </c>
      <c r="J74" s="69">
        <v>3120</v>
      </c>
      <c r="K74" s="70">
        <v>0</v>
      </c>
      <c r="L74" s="71">
        <v>0</v>
      </c>
      <c r="M74" s="71">
        <v>0</v>
      </c>
      <c r="N74" s="72">
        <f t="shared" si="26"/>
        <v>2652</v>
      </c>
      <c r="O74" s="73">
        <f t="shared" si="27"/>
        <v>3120</v>
      </c>
      <c r="P74" s="121">
        <f t="shared" si="28"/>
        <v>73.360995850622416</v>
      </c>
      <c r="Q74" s="74">
        <f t="shared" si="29"/>
        <v>0.15</v>
      </c>
      <c r="R74" s="75">
        <f t="shared" si="30"/>
        <v>468</v>
      </c>
      <c r="S74" s="74">
        <v>0.8</v>
      </c>
      <c r="T74" s="75">
        <f t="shared" si="31"/>
        <v>2496</v>
      </c>
      <c r="U74" s="76">
        <f t="shared" si="32"/>
        <v>4.9999999999999961E-2</v>
      </c>
      <c r="V74" s="69">
        <f t="shared" si="33"/>
        <v>155.99999999999989</v>
      </c>
      <c r="W74" s="77">
        <f ca="1">V74*VLOOKUP(TODAY(),'UF HOY'!$A$2:$B$36,2,0)</f>
        <v>6198494.6399999959</v>
      </c>
      <c r="X74" s="78">
        <f>Datos!$E$6</f>
        <v>18</v>
      </c>
      <c r="Y74" s="79">
        <f ca="1">IF((W74-1000000-Datos!$N$6)/X74&gt;0,(W74-1000000-Datos!$N$6)/X74,0)</f>
        <v>283249.702222222</v>
      </c>
      <c r="Z74" s="78">
        <f>Datos!$E$6</f>
        <v>18</v>
      </c>
      <c r="AA74" s="79">
        <f ca="1">IF((W74-1000000-Datos!$N$6-1%*O74*VLOOKUP(TODAY(),'UF HOY'!$A$2:$B$33,2,0))/Z74&gt;0,(W74-1000000-Datos!$N$6-1%*O74*VLOOKUP(TODAY(),'UF HOY'!$A$2:$B$33,2,0))/Z74,0)</f>
        <v>214377.53955555533</v>
      </c>
      <c r="AB74" s="221">
        <f>IF(L74&gt;0,VLOOKUP(D74,Datos!$H$35:$J$38,3,0),VLOOKUP(D74,Datos!$H$35:$J$38,2,0))</f>
        <v>380000</v>
      </c>
      <c r="AC74" s="79">
        <f ca="1">(S74*PMT(Datos!$D$15,Datos!$D$13,-O74,,)*VLOOKUP(TODAY(),'UF HOY'!$A$2:$B$36,2,0)/12)+VLOOKUP(TODAY(),'UF HOY'!$A$2:$B$36,2,0)</f>
        <v>517680.01934755791</v>
      </c>
      <c r="AD74" s="79">
        <f t="shared" ca="1" si="34"/>
        <v>-137680.01934755791</v>
      </c>
      <c r="AE74" s="220">
        <f t="shared" ca="1" si="35"/>
        <v>2070720.0773902317</v>
      </c>
    </row>
    <row r="75" spans="1:31">
      <c r="A75" s="86" t="s">
        <v>4</v>
      </c>
      <c r="B75" s="86">
        <v>404</v>
      </c>
      <c r="C75" s="67" t="s">
        <v>130</v>
      </c>
      <c r="D75" s="67" t="s">
        <v>195</v>
      </c>
      <c r="E75" s="67"/>
      <c r="F75" s="66">
        <v>33.67</v>
      </c>
      <c r="G75" s="66">
        <v>4.96</v>
      </c>
      <c r="H75" s="67">
        <f t="shared" si="24"/>
        <v>36.15</v>
      </c>
      <c r="I75" s="68">
        <f t="shared" si="25"/>
        <v>38.630000000000003</v>
      </c>
      <c r="J75" s="69">
        <v>3120</v>
      </c>
      <c r="K75" s="70">
        <v>0</v>
      </c>
      <c r="L75" s="71">
        <v>0</v>
      </c>
      <c r="M75" s="71">
        <v>0</v>
      </c>
      <c r="N75" s="72">
        <f t="shared" si="26"/>
        <v>2652</v>
      </c>
      <c r="O75" s="73">
        <f t="shared" si="27"/>
        <v>3120</v>
      </c>
      <c r="P75" s="121">
        <f t="shared" si="28"/>
        <v>73.360995850622416</v>
      </c>
      <c r="Q75" s="74">
        <f t="shared" si="29"/>
        <v>0.15</v>
      </c>
      <c r="R75" s="75">
        <f t="shared" si="30"/>
        <v>468</v>
      </c>
      <c r="S75" s="74">
        <v>0.8</v>
      </c>
      <c r="T75" s="75">
        <f t="shared" si="31"/>
        <v>2496</v>
      </c>
      <c r="U75" s="76">
        <f t="shared" si="32"/>
        <v>4.9999999999999961E-2</v>
      </c>
      <c r="V75" s="69">
        <f t="shared" si="33"/>
        <v>155.99999999999989</v>
      </c>
      <c r="W75" s="77">
        <f ca="1">V75*VLOOKUP(TODAY(),'UF HOY'!$A$2:$B$36,2,0)</f>
        <v>6198494.6399999959</v>
      </c>
      <c r="X75" s="78">
        <f>Datos!$E$6</f>
        <v>18</v>
      </c>
      <c r="Y75" s="79">
        <f ca="1">IF((W75-1000000-Datos!$N$6)/X75&gt;0,(W75-1000000-Datos!$N$6)/X75,0)</f>
        <v>283249.702222222</v>
      </c>
      <c r="Z75" s="78">
        <f>Datos!$E$6</f>
        <v>18</v>
      </c>
      <c r="AA75" s="79">
        <f ca="1">IF((W75-1000000-Datos!$N$6-1%*O75*VLOOKUP(TODAY(),'UF HOY'!$A$2:$B$33,2,0))/Z75&gt;0,(W75-1000000-Datos!$N$6-1%*O75*VLOOKUP(TODAY(),'UF HOY'!$A$2:$B$33,2,0))/Z75,0)</f>
        <v>214377.53955555533</v>
      </c>
      <c r="AB75" s="221">
        <f>IF(L75&gt;0,VLOOKUP(D75,Datos!$H$35:$J$38,3,0),VLOOKUP(D75,Datos!$H$35:$J$38,2,0))</f>
        <v>380000</v>
      </c>
      <c r="AC75" s="79">
        <f ca="1">(S75*PMT(Datos!$D$15,Datos!$D$13,-O75,,)*VLOOKUP(TODAY(),'UF HOY'!$A$2:$B$36,2,0)/12)+VLOOKUP(TODAY(),'UF HOY'!$A$2:$B$36,2,0)</f>
        <v>517680.01934755791</v>
      </c>
      <c r="AD75" s="79">
        <f t="shared" ca="1" si="34"/>
        <v>-137680.01934755791</v>
      </c>
      <c r="AE75" s="220">
        <f t="shared" ca="1" si="35"/>
        <v>2070720.0773902317</v>
      </c>
    </row>
    <row r="76" spans="1:31">
      <c r="A76" s="86" t="s">
        <v>4</v>
      </c>
      <c r="B76" s="86">
        <v>504</v>
      </c>
      <c r="C76" s="67" t="s">
        <v>130</v>
      </c>
      <c r="D76" s="67" t="s">
        <v>195</v>
      </c>
      <c r="E76" s="67"/>
      <c r="F76" s="66">
        <v>33.67</v>
      </c>
      <c r="G76" s="66">
        <v>4.96</v>
      </c>
      <c r="H76" s="67">
        <f t="shared" si="24"/>
        <v>36.15</v>
      </c>
      <c r="I76" s="68">
        <f t="shared" si="25"/>
        <v>38.630000000000003</v>
      </c>
      <c r="J76" s="69">
        <v>3120</v>
      </c>
      <c r="K76" s="70">
        <v>0</v>
      </c>
      <c r="L76" s="71">
        <v>0</v>
      </c>
      <c r="M76" s="71">
        <v>0</v>
      </c>
      <c r="N76" s="72">
        <f t="shared" si="26"/>
        <v>2652</v>
      </c>
      <c r="O76" s="73">
        <f t="shared" si="27"/>
        <v>3120</v>
      </c>
      <c r="P76" s="121">
        <f t="shared" si="28"/>
        <v>73.360995850622416</v>
      </c>
      <c r="Q76" s="74">
        <f t="shared" si="29"/>
        <v>0.15</v>
      </c>
      <c r="R76" s="75">
        <f t="shared" si="30"/>
        <v>468</v>
      </c>
      <c r="S76" s="74">
        <v>0.8</v>
      </c>
      <c r="T76" s="75">
        <f t="shared" si="31"/>
        <v>2496</v>
      </c>
      <c r="U76" s="76">
        <f t="shared" si="32"/>
        <v>4.9999999999999961E-2</v>
      </c>
      <c r="V76" s="69">
        <f t="shared" si="33"/>
        <v>155.99999999999989</v>
      </c>
      <c r="W76" s="77">
        <f ca="1">V76*VLOOKUP(TODAY(),'UF HOY'!$A$2:$B$36,2,0)</f>
        <v>6198494.6399999959</v>
      </c>
      <c r="X76" s="78">
        <f>Datos!$E$6</f>
        <v>18</v>
      </c>
      <c r="Y76" s="79">
        <f ca="1">IF((W76-1000000-Datos!$N$6)/X76&gt;0,(W76-1000000-Datos!$N$6)/X76,0)</f>
        <v>283249.702222222</v>
      </c>
      <c r="Z76" s="78">
        <f>Datos!$E$6</f>
        <v>18</v>
      </c>
      <c r="AA76" s="79">
        <f ca="1">IF((W76-1000000-Datos!$N$6-1%*O76*VLOOKUP(TODAY(),'UF HOY'!$A$2:$B$33,2,0))/Z76&gt;0,(W76-1000000-Datos!$N$6-1%*O76*VLOOKUP(TODAY(),'UF HOY'!$A$2:$B$33,2,0))/Z76,0)</f>
        <v>214377.53955555533</v>
      </c>
      <c r="AB76" s="221">
        <f>IF(L76&gt;0,VLOOKUP(D76,Datos!$H$35:$J$38,3,0),VLOOKUP(D76,Datos!$H$35:$J$38,2,0))</f>
        <v>380000</v>
      </c>
      <c r="AC76" s="79">
        <f ca="1">(S76*PMT(Datos!$D$15,Datos!$D$13,-O76,,)*VLOOKUP(TODAY(),'UF HOY'!$A$2:$B$36,2,0)/12)+VLOOKUP(TODAY(),'UF HOY'!$A$2:$B$36,2,0)</f>
        <v>517680.01934755791</v>
      </c>
      <c r="AD76" s="79">
        <f t="shared" ca="1" si="34"/>
        <v>-137680.01934755791</v>
      </c>
      <c r="AE76" s="220">
        <f t="shared" ca="1" si="35"/>
        <v>2070720.0773902317</v>
      </c>
    </row>
    <row r="77" spans="1:31">
      <c r="A77" s="86" t="s">
        <v>4</v>
      </c>
      <c r="B77" s="86">
        <v>509</v>
      </c>
      <c r="C77" s="67" t="s">
        <v>130</v>
      </c>
      <c r="D77" s="67" t="s">
        <v>195</v>
      </c>
      <c r="E77" s="67"/>
      <c r="F77" s="66">
        <v>33.67</v>
      </c>
      <c r="G77" s="66">
        <v>4.96</v>
      </c>
      <c r="H77" s="67">
        <f t="shared" si="24"/>
        <v>36.15</v>
      </c>
      <c r="I77" s="68">
        <f t="shared" si="25"/>
        <v>38.630000000000003</v>
      </c>
      <c r="J77" s="69">
        <v>3120</v>
      </c>
      <c r="K77" s="70">
        <v>0</v>
      </c>
      <c r="L77" s="71">
        <v>0</v>
      </c>
      <c r="M77" s="71">
        <v>0</v>
      </c>
      <c r="N77" s="72">
        <f t="shared" si="26"/>
        <v>2652</v>
      </c>
      <c r="O77" s="73">
        <f t="shared" si="27"/>
        <v>3120</v>
      </c>
      <c r="P77" s="121">
        <f t="shared" si="28"/>
        <v>73.360995850622416</v>
      </c>
      <c r="Q77" s="74">
        <f t="shared" si="29"/>
        <v>0.15</v>
      </c>
      <c r="R77" s="75">
        <f t="shared" si="30"/>
        <v>468</v>
      </c>
      <c r="S77" s="74">
        <v>0.8</v>
      </c>
      <c r="T77" s="75">
        <f t="shared" si="31"/>
        <v>2496</v>
      </c>
      <c r="U77" s="76">
        <f t="shared" si="32"/>
        <v>4.9999999999999961E-2</v>
      </c>
      <c r="V77" s="69">
        <f t="shared" si="33"/>
        <v>155.99999999999989</v>
      </c>
      <c r="W77" s="77">
        <f ca="1">V77*VLOOKUP(TODAY(),'UF HOY'!$A$2:$B$36,2,0)</f>
        <v>6198494.6399999959</v>
      </c>
      <c r="X77" s="78">
        <f>Datos!$E$6</f>
        <v>18</v>
      </c>
      <c r="Y77" s="79">
        <f ca="1">IF((W77-1000000-Datos!$N$6)/X77&gt;0,(W77-1000000-Datos!$N$6)/X77,0)</f>
        <v>283249.702222222</v>
      </c>
      <c r="Z77" s="78">
        <f>Datos!$E$6</f>
        <v>18</v>
      </c>
      <c r="AA77" s="79">
        <f ca="1">IF((W77-1000000-Datos!$N$6-1%*O77*VLOOKUP(TODAY(),'UF HOY'!$A$2:$B$33,2,0))/Z77&gt;0,(W77-1000000-Datos!$N$6-1%*O77*VLOOKUP(TODAY(),'UF HOY'!$A$2:$B$33,2,0))/Z77,0)</f>
        <v>214377.53955555533</v>
      </c>
      <c r="AB77" s="221">
        <f>IF(L77&gt;0,VLOOKUP(D77,Datos!$H$35:$J$38,3,0),VLOOKUP(D77,Datos!$H$35:$J$38,2,0))</f>
        <v>380000</v>
      </c>
      <c r="AC77" s="79">
        <f ca="1">(S77*PMT(Datos!$D$15,Datos!$D$13,-O77,,)*VLOOKUP(TODAY(),'UF HOY'!$A$2:$B$36,2,0)/12)+VLOOKUP(TODAY(),'UF HOY'!$A$2:$B$36,2,0)</f>
        <v>517680.01934755791</v>
      </c>
      <c r="AD77" s="79">
        <f t="shared" ca="1" si="34"/>
        <v>-137680.01934755791</v>
      </c>
      <c r="AE77" s="220">
        <f t="shared" ca="1" si="35"/>
        <v>2070720.0773902317</v>
      </c>
    </row>
    <row r="78" spans="1:31">
      <c r="A78" s="86" t="s">
        <v>4</v>
      </c>
      <c r="B78" s="86">
        <v>604</v>
      </c>
      <c r="C78" s="67" t="s">
        <v>130</v>
      </c>
      <c r="D78" s="67" t="s">
        <v>195</v>
      </c>
      <c r="E78" s="67"/>
      <c r="F78" s="66">
        <v>33.67</v>
      </c>
      <c r="G78" s="66">
        <v>4.96</v>
      </c>
      <c r="H78" s="67">
        <f t="shared" si="24"/>
        <v>36.15</v>
      </c>
      <c r="I78" s="68">
        <f t="shared" si="25"/>
        <v>38.630000000000003</v>
      </c>
      <c r="J78" s="69">
        <v>3120</v>
      </c>
      <c r="K78" s="70">
        <v>0</v>
      </c>
      <c r="L78" s="71">
        <v>0</v>
      </c>
      <c r="M78" s="71">
        <v>0</v>
      </c>
      <c r="N78" s="72">
        <f t="shared" si="26"/>
        <v>2652</v>
      </c>
      <c r="O78" s="73">
        <f t="shared" si="27"/>
        <v>3120</v>
      </c>
      <c r="P78" s="121">
        <f t="shared" si="28"/>
        <v>73.360995850622416</v>
      </c>
      <c r="Q78" s="74">
        <f t="shared" si="29"/>
        <v>0.15</v>
      </c>
      <c r="R78" s="75">
        <f t="shared" si="30"/>
        <v>468</v>
      </c>
      <c r="S78" s="74">
        <v>0.8</v>
      </c>
      <c r="T78" s="75">
        <f t="shared" si="31"/>
        <v>2496</v>
      </c>
      <c r="U78" s="76">
        <f t="shared" si="32"/>
        <v>4.9999999999999961E-2</v>
      </c>
      <c r="V78" s="69">
        <f t="shared" si="33"/>
        <v>155.99999999999989</v>
      </c>
      <c r="W78" s="77">
        <f ca="1">V78*VLOOKUP(TODAY(),'UF HOY'!$A$2:$B$36,2,0)</f>
        <v>6198494.6399999959</v>
      </c>
      <c r="X78" s="78">
        <f>Datos!$E$6</f>
        <v>18</v>
      </c>
      <c r="Y78" s="79">
        <f ca="1">IF((W78-1000000-Datos!$N$6)/X78&gt;0,(W78-1000000-Datos!$N$6)/X78,0)</f>
        <v>283249.702222222</v>
      </c>
      <c r="Z78" s="78">
        <f>Datos!$E$6</f>
        <v>18</v>
      </c>
      <c r="AA78" s="79">
        <f ca="1">IF((W78-1000000-Datos!$N$6-1%*O78*VLOOKUP(TODAY(),'UF HOY'!$A$2:$B$33,2,0))/Z78&gt;0,(W78-1000000-Datos!$N$6-1%*O78*VLOOKUP(TODAY(),'UF HOY'!$A$2:$B$33,2,0))/Z78,0)</f>
        <v>214377.53955555533</v>
      </c>
      <c r="AB78" s="221">
        <f>IF(L78&gt;0,VLOOKUP(D78,Datos!$H$35:$J$38,3,0),VLOOKUP(D78,Datos!$H$35:$J$38,2,0))</f>
        <v>380000</v>
      </c>
      <c r="AC78" s="79">
        <f ca="1">(S78*PMT(Datos!$D$15,Datos!$D$13,-O78,,)*VLOOKUP(TODAY(),'UF HOY'!$A$2:$B$36,2,0)/12)+VLOOKUP(TODAY(),'UF HOY'!$A$2:$B$36,2,0)</f>
        <v>517680.01934755791</v>
      </c>
      <c r="AD78" s="79">
        <f t="shared" ca="1" si="34"/>
        <v>-137680.01934755791</v>
      </c>
      <c r="AE78" s="220">
        <f t="shared" ca="1" si="35"/>
        <v>2070720.0773902317</v>
      </c>
    </row>
    <row r="79" spans="1:31">
      <c r="A79" s="86" t="s">
        <v>4</v>
      </c>
      <c r="B79" s="86">
        <v>609</v>
      </c>
      <c r="C79" s="67" t="s">
        <v>130</v>
      </c>
      <c r="D79" s="67" t="s">
        <v>195</v>
      </c>
      <c r="E79" s="67"/>
      <c r="F79" s="66">
        <v>33.67</v>
      </c>
      <c r="G79" s="66">
        <v>4.96</v>
      </c>
      <c r="H79" s="67">
        <f t="shared" si="24"/>
        <v>36.15</v>
      </c>
      <c r="I79" s="68">
        <f t="shared" si="25"/>
        <v>38.630000000000003</v>
      </c>
      <c r="J79" s="69">
        <v>3120</v>
      </c>
      <c r="K79" s="70">
        <v>0</v>
      </c>
      <c r="L79" s="71">
        <v>0</v>
      </c>
      <c r="M79" s="71">
        <v>0</v>
      </c>
      <c r="N79" s="72">
        <f t="shared" si="26"/>
        <v>2652</v>
      </c>
      <c r="O79" s="73">
        <f t="shared" si="27"/>
        <v>3120</v>
      </c>
      <c r="P79" s="121">
        <f t="shared" si="28"/>
        <v>73.360995850622416</v>
      </c>
      <c r="Q79" s="74">
        <f t="shared" si="29"/>
        <v>0.15</v>
      </c>
      <c r="R79" s="75">
        <f t="shared" si="30"/>
        <v>468</v>
      </c>
      <c r="S79" s="74">
        <v>0.8</v>
      </c>
      <c r="T79" s="75">
        <f t="shared" si="31"/>
        <v>2496</v>
      </c>
      <c r="U79" s="76">
        <f t="shared" si="32"/>
        <v>4.9999999999999961E-2</v>
      </c>
      <c r="V79" s="69">
        <f t="shared" si="33"/>
        <v>155.99999999999989</v>
      </c>
      <c r="W79" s="77">
        <f ca="1">V79*VLOOKUP(TODAY(),'UF HOY'!$A$2:$B$36,2,0)</f>
        <v>6198494.6399999959</v>
      </c>
      <c r="X79" s="78">
        <f>Datos!$E$6</f>
        <v>18</v>
      </c>
      <c r="Y79" s="79">
        <f ca="1">IF((W79-1000000-Datos!$N$6)/X79&gt;0,(W79-1000000-Datos!$N$6)/X79,0)</f>
        <v>283249.702222222</v>
      </c>
      <c r="Z79" s="78">
        <f>Datos!$E$6</f>
        <v>18</v>
      </c>
      <c r="AA79" s="79">
        <f ca="1">IF((W79-1000000-Datos!$N$6-1%*O79*VLOOKUP(TODAY(),'UF HOY'!$A$2:$B$33,2,0))/Z79&gt;0,(W79-1000000-Datos!$N$6-1%*O79*VLOOKUP(TODAY(),'UF HOY'!$A$2:$B$33,2,0))/Z79,0)</f>
        <v>214377.53955555533</v>
      </c>
      <c r="AB79" s="221">
        <f>IF(L79&gt;0,VLOOKUP(D79,Datos!$H$35:$J$38,3,0),VLOOKUP(D79,Datos!$H$35:$J$38,2,0))</f>
        <v>380000</v>
      </c>
      <c r="AC79" s="79">
        <f ca="1">(S79*PMT(Datos!$D$15,Datos!$D$13,-O79,,)*VLOOKUP(TODAY(),'UF HOY'!$A$2:$B$36,2,0)/12)+VLOOKUP(TODAY(),'UF HOY'!$A$2:$B$36,2,0)</f>
        <v>517680.01934755791</v>
      </c>
      <c r="AD79" s="79">
        <f t="shared" ca="1" si="34"/>
        <v>-137680.01934755791</v>
      </c>
      <c r="AE79" s="220">
        <f t="shared" ca="1" si="35"/>
        <v>2070720.0773902317</v>
      </c>
    </row>
    <row r="80" spans="1:31">
      <c r="A80" s="86" t="s">
        <v>4</v>
      </c>
      <c r="B80" s="86">
        <v>704</v>
      </c>
      <c r="C80" s="67" t="s">
        <v>130</v>
      </c>
      <c r="D80" s="67" t="s">
        <v>195</v>
      </c>
      <c r="E80" s="67"/>
      <c r="F80" s="66">
        <v>33.67</v>
      </c>
      <c r="G80" s="66">
        <v>4.96</v>
      </c>
      <c r="H80" s="67">
        <f t="shared" si="24"/>
        <v>36.15</v>
      </c>
      <c r="I80" s="68">
        <f t="shared" si="25"/>
        <v>38.630000000000003</v>
      </c>
      <c r="J80" s="69">
        <v>3120</v>
      </c>
      <c r="K80" s="70">
        <v>0</v>
      </c>
      <c r="L80" s="71">
        <v>0</v>
      </c>
      <c r="M80" s="71">
        <v>0</v>
      </c>
      <c r="N80" s="72">
        <f t="shared" si="26"/>
        <v>2652</v>
      </c>
      <c r="O80" s="73">
        <f t="shared" si="27"/>
        <v>3120</v>
      </c>
      <c r="P80" s="121">
        <f t="shared" si="28"/>
        <v>73.360995850622416</v>
      </c>
      <c r="Q80" s="74">
        <f t="shared" si="29"/>
        <v>0.15</v>
      </c>
      <c r="R80" s="75">
        <f t="shared" si="30"/>
        <v>468</v>
      </c>
      <c r="S80" s="74">
        <v>0.8</v>
      </c>
      <c r="T80" s="75">
        <f t="shared" si="31"/>
        <v>2496</v>
      </c>
      <c r="U80" s="76">
        <f t="shared" si="32"/>
        <v>4.9999999999999961E-2</v>
      </c>
      <c r="V80" s="69">
        <f t="shared" si="33"/>
        <v>155.99999999999989</v>
      </c>
      <c r="W80" s="77">
        <f ca="1">V80*VLOOKUP(TODAY(),'UF HOY'!$A$2:$B$36,2,0)</f>
        <v>6198494.6399999959</v>
      </c>
      <c r="X80" s="78">
        <f>Datos!$E$6</f>
        <v>18</v>
      </c>
      <c r="Y80" s="79">
        <f ca="1">IF((W80-1000000-Datos!$N$6)/X80&gt;0,(W80-1000000-Datos!$N$6)/X80,0)</f>
        <v>283249.702222222</v>
      </c>
      <c r="Z80" s="78">
        <f>Datos!$E$6</f>
        <v>18</v>
      </c>
      <c r="AA80" s="79">
        <f ca="1">IF((W80-1000000-Datos!$N$6-1%*O80*VLOOKUP(TODAY(),'UF HOY'!$A$2:$B$33,2,0))/Z80&gt;0,(W80-1000000-Datos!$N$6-1%*O80*VLOOKUP(TODAY(),'UF HOY'!$A$2:$B$33,2,0))/Z80,0)</f>
        <v>214377.53955555533</v>
      </c>
      <c r="AB80" s="221">
        <f>IF(L80&gt;0,VLOOKUP(D80,Datos!$H$35:$J$38,3,0),VLOOKUP(D80,Datos!$H$35:$J$38,2,0))</f>
        <v>380000</v>
      </c>
      <c r="AC80" s="79">
        <f ca="1">(S80*PMT(Datos!$D$15,Datos!$D$13,-O80,,)*VLOOKUP(TODAY(),'UF HOY'!$A$2:$B$36,2,0)/12)+VLOOKUP(TODAY(),'UF HOY'!$A$2:$B$36,2,0)</f>
        <v>517680.01934755791</v>
      </c>
      <c r="AD80" s="79">
        <f t="shared" ca="1" si="34"/>
        <v>-137680.01934755791</v>
      </c>
      <c r="AE80" s="220">
        <f t="shared" ca="1" si="35"/>
        <v>2070720.0773902317</v>
      </c>
    </row>
    <row r="81" spans="1:31">
      <c r="A81" s="86" t="s">
        <v>4</v>
      </c>
      <c r="B81" s="86">
        <v>709</v>
      </c>
      <c r="C81" s="67" t="s">
        <v>130</v>
      </c>
      <c r="D81" s="67" t="s">
        <v>195</v>
      </c>
      <c r="E81" s="67"/>
      <c r="F81" s="66">
        <v>33.67</v>
      </c>
      <c r="G81" s="66">
        <v>4.96</v>
      </c>
      <c r="H81" s="67">
        <f t="shared" si="24"/>
        <v>36.15</v>
      </c>
      <c r="I81" s="68">
        <f t="shared" si="25"/>
        <v>38.630000000000003</v>
      </c>
      <c r="J81" s="69">
        <v>3120</v>
      </c>
      <c r="K81" s="70">
        <v>0</v>
      </c>
      <c r="L81" s="71">
        <v>0</v>
      </c>
      <c r="M81" s="71">
        <v>0</v>
      </c>
      <c r="N81" s="72">
        <f t="shared" si="26"/>
        <v>2652</v>
      </c>
      <c r="O81" s="73">
        <f t="shared" si="27"/>
        <v>3120</v>
      </c>
      <c r="P81" s="121">
        <f t="shared" si="28"/>
        <v>73.360995850622416</v>
      </c>
      <c r="Q81" s="74">
        <f t="shared" si="29"/>
        <v>0.15</v>
      </c>
      <c r="R81" s="75">
        <f t="shared" si="30"/>
        <v>468</v>
      </c>
      <c r="S81" s="74">
        <v>0.8</v>
      </c>
      <c r="T81" s="75">
        <f t="shared" si="31"/>
        <v>2496</v>
      </c>
      <c r="U81" s="76">
        <f t="shared" si="32"/>
        <v>4.9999999999999961E-2</v>
      </c>
      <c r="V81" s="69">
        <f t="shared" si="33"/>
        <v>155.99999999999989</v>
      </c>
      <c r="W81" s="77">
        <f ca="1">V81*VLOOKUP(TODAY(),'UF HOY'!$A$2:$B$36,2,0)</f>
        <v>6198494.6399999959</v>
      </c>
      <c r="X81" s="78">
        <f>Datos!$E$6</f>
        <v>18</v>
      </c>
      <c r="Y81" s="79">
        <f ca="1">IF((W81-1000000-Datos!$N$6)/X81&gt;0,(W81-1000000-Datos!$N$6)/X81,0)</f>
        <v>283249.702222222</v>
      </c>
      <c r="Z81" s="78">
        <f>Datos!$E$6</f>
        <v>18</v>
      </c>
      <c r="AA81" s="79">
        <f ca="1">IF((W81-1000000-Datos!$N$6-1%*O81*VLOOKUP(TODAY(),'UF HOY'!$A$2:$B$33,2,0))/Z81&gt;0,(W81-1000000-Datos!$N$6-1%*O81*VLOOKUP(TODAY(),'UF HOY'!$A$2:$B$33,2,0))/Z81,0)</f>
        <v>214377.53955555533</v>
      </c>
      <c r="AB81" s="221">
        <f>IF(L81&gt;0,VLOOKUP(D81,Datos!$H$35:$J$38,3,0),VLOOKUP(D81,Datos!$H$35:$J$38,2,0))</f>
        <v>380000</v>
      </c>
      <c r="AC81" s="79">
        <f ca="1">(S81*PMT(Datos!$D$15,Datos!$D$13,-O81,,)*VLOOKUP(TODAY(),'UF HOY'!$A$2:$B$36,2,0)/12)+VLOOKUP(TODAY(),'UF HOY'!$A$2:$B$36,2,0)</f>
        <v>517680.01934755791</v>
      </c>
      <c r="AD81" s="79">
        <f t="shared" ca="1" si="34"/>
        <v>-137680.01934755791</v>
      </c>
      <c r="AE81" s="220">
        <f t="shared" ca="1" si="35"/>
        <v>2070720.0773902317</v>
      </c>
    </row>
    <row r="82" spans="1:31">
      <c r="A82" s="86" t="s">
        <v>4</v>
      </c>
      <c r="B82" s="86">
        <v>804</v>
      </c>
      <c r="C82" s="67" t="s">
        <v>130</v>
      </c>
      <c r="D82" s="67" t="s">
        <v>195</v>
      </c>
      <c r="E82" s="67"/>
      <c r="F82" s="66">
        <v>33.67</v>
      </c>
      <c r="G82" s="66">
        <v>4.96</v>
      </c>
      <c r="H82" s="67">
        <f t="shared" si="24"/>
        <v>36.15</v>
      </c>
      <c r="I82" s="68">
        <f t="shared" si="25"/>
        <v>38.630000000000003</v>
      </c>
      <c r="J82" s="69">
        <v>3120</v>
      </c>
      <c r="K82" s="70">
        <v>0</v>
      </c>
      <c r="L82" s="71">
        <v>0</v>
      </c>
      <c r="M82" s="71">
        <v>0</v>
      </c>
      <c r="N82" s="72">
        <f t="shared" si="26"/>
        <v>2652</v>
      </c>
      <c r="O82" s="73">
        <f t="shared" si="27"/>
        <v>3120</v>
      </c>
      <c r="P82" s="121">
        <f t="shared" si="28"/>
        <v>73.360995850622416</v>
      </c>
      <c r="Q82" s="74">
        <f t="shared" si="29"/>
        <v>0.15</v>
      </c>
      <c r="R82" s="75">
        <f t="shared" si="30"/>
        <v>468</v>
      </c>
      <c r="S82" s="74">
        <v>0.8</v>
      </c>
      <c r="T82" s="75">
        <f t="shared" si="31"/>
        <v>2496</v>
      </c>
      <c r="U82" s="76">
        <f t="shared" si="32"/>
        <v>4.9999999999999961E-2</v>
      </c>
      <c r="V82" s="69">
        <f t="shared" si="33"/>
        <v>155.99999999999989</v>
      </c>
      <c r="W82" s="77">
        <f ca="1">V82*VLOOKUP(TODAY(),'UF HOY'!$A$2:$B$36,2,0)</f>
        <v>6198494.6399999959</v>
      </c>
      <c r="X82" s="78">
        <f>Datos!$E$6</f>
        <v>18</v>
      </c>
      <c r="Y82" s="79">
        <f ca="1">IF((W82-1000000-Datos!$N$6)/X82&gt;0,(W82-1000000-Datos!$N$6)/X82,0)</f>
        <v>283249.702222222</v>
      </c>
      <c r="Z82" s="78">
        <f>Datos!$E$6</f>
        <v>18</v>
      </c>
      <c r="AA82" s="79">
        <f ca="1">IF((W82-1000000-Datos!$N$6-1%*O82*VLOOKUP(TODAY(),'UF HOY'!$A$2:$B$33,2,0))/Z82&gt;0,(W82-1000000-Datos!$N$6-1%*O82*VLOOKUP(TODAY(),'UF HOY'!$A$2:$B$33,2,0))/Z82,0)</f>
        <v>214377.53955555533</v>
      </c>
      <c r="AB82" s="221">
        <f>IF(L82&gt;0,VLOOKUP(D82,Datos!$H$35:$J$38,3,0),VLOOKUP(D82,Datos!$H$35:$J$38,2,0))</f>
        <v>380000</v>
      </c>
      <c r="AC82" s="79">
        <f ca="1">(S82*PMT(Datos!$D$15,Datos!$D$13,-O82,,)*VLOOKUP(TODAY(),'UF HOY'!$A$2:$B$36,2,0)/12)+VLOOKUP(TODAY(),'UF HOY'!$A$2:$B$36,2,0)</f>
        <v>517680.01934755791</v>
      </c>
      <c r="AD82" s="79">
        <f t="shared" ca="1" si="34"/>
        <v>-137680.01934755791</v>
      </c>
      <c r="AE82" s="220">
        <f t="shared" ca="1" si="35"/>
        <v>2070720.0773902317</v>
      </c>
    </row>
    <row r="83" spans="1:31">
      <c r="A83" s="86" t="s">
        <v>4</v>
      </c>
      <c r="B83" s="86">
        <v>904</v>
      </c>
      <c r="C83" s="67" t="s">
        <v>130</v>
      </c>
      <c r="D83" s="67" t="s">
        <v>195</v>
      </c>
      <c r="E83" s="67"/>
      <c r="F83" s="66">
        <v>33.67</v>
      </c>
      <c r="G83" s="66">
        <v>4.96</v>
      </c>
      <c r="H83" s="67">
        <f t="shared" si="24"/>
        <v>36.15</v>
      </c>
      <c r="I83" s="68">
        <f t="shared" si="25"/>
        <v>38.630000000000003</v>
      </c>
      <c r="J83" s="69">
        <v>3120</v>
      </c>
      <c r="K83" s="70">
        <v>0</v>
      </c>
      <c r="L83" s="71">
        <v>0</v>
      </c>
      <c r="M83" s="71">
        <v>0</v>
      </c>
      <c r="N83" s="72">
        <f t="shared" si="26"/>
        <v>2652</v>
      </c>
      <c r="O83" s="73">
        <f t="shared" si="27"/>
        <v>3120</v>
      </c>
      <c r="P83" s="121">
        <f t="shared" si="28"/>
        <v>73.360995850622416</v>
      </c>
      <c r="Q83" s="74">
        <f t="shared" si="29"/>
        <v>0.15</v>
      </c>
      <c r="R83" s="75">
        <f t="shared" si="30"/>
        <v>468</v>
      </c>
      <c r="S83" s="74">
        <v>0.8</v>
      </c>
      <c r="T83" s="75">
        <f t="shared" si="31"/>
        <v>2496</v>
      </c>
      <c r="U83" s="76">
        <f t="shared" si="32"/>
        <v>4.9999999999999961E-2</v>
      </c>
      <c r="V83" s="69">
        <f t="shared" si="33"/>
        <v>155.99999999999989</v>
      </c>
      <c r="W83" s="77">
        <f ca="1">V83*VLOOKUP(TODAY(),'UF HOY'!$A$2:$B$36,2,0)</f>
        <v>6198494.6399999959</v>
      </c>
      <c r="X83" s="78">
        <f>Datos!$E$6</f>
        <v>18</v>
      </c>
      <c r="Y83" s="79">
        <f ca="1">IF((W83-1000000-Datos!$N$6)/X83&gt;0,(W83-1000000-Datos!$N$6)/X83,0)</f>
        <v>283249.702222222</v>
      </c>
      <c r="Z83" s="78">
        <f>Datos!$E$6</f>
        <v>18</v>
      </c>
      <c r="AA83" s="79">
        <f ca="1">IF((W83-1000000-Datos!$N$6-1%*O83*VLOOKUP(TODAY(),'UF HOY'!$A$2:$B$33,2,0))/Z83&gt;0,(W83-1000000-Datos!$N$6-1%*O83*VLOOKUP(TODAY(),'UF HOY'!$A$2:$B$33,2,0))/Z83,0)</f>
        <v>214377.53955555533</v>
      </c>
      <c r="AB83" s="221">
        <f>IF(L83&gt;0,VLOOKUP(D83,Datos!$H$35:$J$38,3,0),VLOOKUP(D83,Datos!$H$35:$J$38,2,0))</f>
        <v>380000</v>
      </c>
      <c r="AC83" s="79">
        <f ca="1">(S83*PMT(Datos!$D$15,Datos!$D$13,-O83,,)*VLOOKUP(TODAY(),'UF HOY'!$A$2:$B$36,2,0)/12)+VLOOKUP(TODAY(),'UF HOY'!$A$2:$B$36,2,0)</f>
        <v>517680.01934755791</v>
      </c>
      <c r="AD83" s="79">
        <f t="shared" ca="1" si="34"/>
        <v>-137680.01934755791</v>
      </c>
      <c r="AE83" s="220">
        <f t="shared" ca="1" si="35"/>
        <v>2070720.0773902317</v>
      </c>
    </row>
    <row r="84" spans="1:31">
      <c r="A84" s="86" t="s">
        <v>4</v>
      </c>
      <c r="B84" s="86">
        <v>1003</v>
      </c>
      <c r="C84" s="67" t="s">
        <v>129</v>
      </c>
      <c r="D84" s="67" t="s">
        <v>195</v>
      </c>
      <c r="E84" s="67"/>
      <c r="F84" s="66">
        <v>33.67</v>
      </c>
      <c r="G84" s="66">
        <v>4.96</v>
      </c>
      <c r="H84" s="67">
        <f t="shared" si="24"/>
        <v>36.15</v>
      </c>
      <c r="I84" s="68">
        <f t="shared" si="25"/>
        <v>38.630000000000003</v>
      </c>
      <c r="J84" s="69">
        <v>3120</v>
      </c>
      <c r="K84" s="70">
        <v>0</v>
      </c>
      <c r="L84" s="71">
        <v>0</v>
      </c>
      <c r="M84" s="71">
        <v>0</v>
      </c>
      <c r="N84" s="72">
        <f t="shared" si="26"/>
        <v>2652</v>
      </c>
      <c r="O84" s="73">
        <f t="shared" si="27"/>
        <v>3120</v>
      </c>
      <c r="P84" s="121">
        <f t="shared" si="28"/>
        <v>73.360995850622416</v>
      </c>
      <c r="Q84" s="74">
        <f t="shared" si="29"/>
        <v>0.15</v>
      </c>
      <c r="R84" s="75">
        <f t="shared" si="30"/>
        <v>468</v>
      </c>
      <c r="S84" s="74">
        <v>0.8</v>
      </c>
      <c r="T84" s="75">
        <f t="shared" si="31"/>
        <v>2496</v>
      </c>
      <c r="U84" s="76">
        <f t="shared" si="32"/>
        <v>4.9999999999999961E-2</v>
      </c>
      <c r="V84" s="69">
        <f t="shared" si="33"/>
        <v>155.99999999999989</v>
      </c>
      <c r="W84" s="77">
        <f ca="1">V84*VLOOKUP(TODAY(),'UF HOY'!$A$2:$B$36,2,0)</f>
        <v>6198494.6399999959</v>
      </c>
      <c r="X84" s="78">
        <f>Datos!$E$6</f>
        <v>18</v>
      </c>
      <c r="Y84" s="79">
        <f ca="1">IF((W84-1000000-Datos!$N$6)/X84&gt;0,(W84-1000000-Datos!$N$6)/X84,0)</f>
        <v>283249.702222222</v>
      </c>
      <c r="Z84" s="78">
        <f>Datos!$E$6</f>
        <v>18</v>
      </c>
      <c r="AA84" s="79">
        <f ca="1">IF((W84-1000000-Datos!$N$6-1%*O84*VLOOKUP(TODAY(),'UF HOY'!$A$2:$B$33,2,0))/Z84&gt;0,(W84-1000000-Datos!$N$6-1%*O84*VLOOKUP(TODAY(),'UF HOY'!$A$2:$B$33,2,0))/Z84,0)</f>
        <v>214377.53955555533</v>
      </c>
      <c r="AB84" s="221">
        <f>IF(L84&gt;0,VLOOKUP(D84,Datos!$H$35:$J$38,3,0),VLOOKUP(D84,Datos!$H$35:$J$38,2,0))</f>
        <v>380000</v>
      </c>
      <c r="AC84" s="79">
        <f ca="1">(S84*PMT(Datos!$D$15,Datos!$D$13,-O84,,)*VLOOKUP(TODAY(),'UF HOY'!$A$2:$B$36,2,0)/12)+VLOOKUP(TODAY(),'UF HOY'!$A$2:$B$36,2,0)</f>
        <v>517680.01934755791</v>
      </c>
      <c r="AD84" s="79">
        <f t="shared" ca="1" si="34"/>
        <v>-137680.01934755791</v>
      </c>
      <c r="AE84" s="220">
        <f t="shared" ca="1" si="35"/>
        <v>2070720.0773902317</v>
      </c>
    </row>
    <row r="85" spans="1:31">
      <c r="A85" s="86" t="s">
        <v>4</v>
      </c>
      <c r="B85" s="86">
        <v>1010</v>
      </c>
      <c r="C85" s="67" t="s">
        <v>129</v>
      </c>
      <c r="D85" s="67" t="s">
        <v>195</v>
      </c>
      <c r="E85" s="67"/>
      <c r="F85" s="66">
        <v>33.67</v>
      </c>
      <c r="G85" s="66">
        <v>4.96</v>
      </c>
      <c r="H85" s="67">
        <f t="shared" si="24"/>
        <v>36.15</v>
      </c>
      <c r="I85" s="68">
        <f t="shared" si="25"/>
        <v>38.630000000000003</v>
      </c>
      <c r="J85" s="69">
        <v>3120</v>
      </c>
      <c r="K85" s="70">
        <v>0</v>
      </c>
      <c r="L85" s="71">
        <v>0</v>
      </c>
      <c r="M85" s="71">
        <v>0</v>
      </c>
      <c r="N85" s="72">
        <f t="shared" si="26"/>
        <v>2652</v>
      </c>
      <c r="O85" s="73">
        <f t="shared" si="27"/>
        <v>3120</v>
      </c>
      <c r="P85" s="121">
        <f t="shared" si="28"/>
        <v>73.360995850622416</v>
      </c>
      <c r="Q85" s="74">
        <f t="shared" si="29"/>
        <v>0.15</v>
      </c>
      <c r="R85" s="75">
        <f t="shared" si="30"/>
        <v>468</v>
      </c>
      <c r="S85" s="74">
        <v>0.8</v>
      </c>
      <c r="T85" s="75">
        <f t="shared" si="31"/>
        <v>2496</v>
      </c>
      <c r="U85" s="76">
        <f t="shared" si="32"/>
        <v>4.9999999999999961E-2</v>
      </c>
      <c r="V85" s="69">
        <f t="shared" si="33"/>
        <v>155.99999999999989</v>
      </c>
      <c r="W85" s="77">
        <f ca="1">V85*VLOOKUP(TODAY(),'UF HOY'!$A$2:$B$36,2,0)</f>
        <v>6198494.6399999959</v>
      </c>
      <c r="X85" s="78">
        <f>Datos!$E$6</f>
        <v>18</v>
      </c>
      <c r="Y85" s="79">
        <f ca="1">IF((W85-1000000-Datos!$N$6)/X85&gt;0,(W85-1000000-Datos!$N$6)/X85,0)</f>
        <v>283249.702222222</v>
      </c>
      <c r="Z85" s="78">
        <f>Datos!$E$6</f>
        <v>18</v>
      </c>
      <c r="AA85" s="79">
        <f ca="1">IF((W85-1000000-Datos!$N$6-1%*O85*VLOOKUP(TODAY(),'UF HOY'!$A$2:$B$33,2,0))/Z85&gt;0,(W85-1000000-Datos!$N$6-1%*O85*VLOOKUP(TODAY(),'UF HOY'!$A$2:$B$33,2,0))/Z85,0)</f>
        <v>214377.53955555533</v>
      </c>
      <c r="AB85" s="221">
        <f>IF(L85&gt;0,VLOOKUP(D85,Datos!$H$35:$J$38,3,0),VLOOKUP(D85,Datos!$H$35:$J$38,2,0))</f>
        <v>380000</v>
      </c>
      <c r="AC85" s="79">
        <f ca="1">(S85*PMT(Datos!$D$15,Datos!$D$13,-O85,,)*VLOOKUP(TODAY(),'UF HOY'!$A$2:$B$36,2,0)/12)+VLOOKUP(TODAY(),'UF HOY'!$A$2:$B$36,2,0)</f>
        <v>517680.01934755791</v>
      </c>
      <c r="AD85" s="79">
        <f t="shared" ca="1" si="34"/>
        <v>-137680.01934755791</v>
      </c>
      <c r="AE85" s="220">
        <f t="shared" ca="1" si="35"/>
        <v>2070720.0773902317</v>
      </c>
    </row>
    <row r="86" spans="1:31">
      <c r="A86" s="86" t="s">
        <v>4</v>
      </c>
      <c r="B86" s="86">
        <v>1103</v>
      </c>
      <c r="C86" s="67" t="s">
        <v>129</v>
      </c>
      <c r="D86" s="67" t="s">
        <v>195</v>
      </c>
      <c r="E86" s="67"/>
      <c r="F86" s="66">
        <v>33.67</v>
      </c>
      <c r="G86" s="66">
        <v>4.96</v>
      </c>
      <c r="H86" s="67">
        <f t="shared" si="24"/>
        <v>36.15</v>
      </c>
      <c r="I86" s="68">
        <f t="shared" si="25"/>
        <v>38.630000000000003</v>
      </c>
      <c r="J86" s="69">
        <v>3120</v>
      </c>
      <c r="K86" s="70">
        <v>0</v>
      </c>
      <c r="L86" s="71">
        <v>0</v>
      </c>
      <c r="M86" s="71">
        <v>0</v>
      </c>
      <c r="N86" s="72">
        <f t="shared" si="26"/>
        <v>2652</v>
      </c>
      <c r="O86" s="73">
        <f t="shared" si="27"/>
        <v>3120</v>
      </c>
      <c r="P86" s="121">
        <f t="shared" si="28"/>
        <v>73.360995850622416</v>
      </c>
      <c r="Q86" s="74">
        <f t="shared" si="29"/>
        <v>0.15</v>
      </c>
      <c r="R86" s="75">
        <f t="shared" si="30"/>
        <v>468</v>
      </c>
      <c r="S86" s="74">
        <v>0.8</v>
      </c>
      <c r="T86" s="75">
        <f t="shared" si="31"/>
        <v>2496</v>
      </c>
      <c r="U86" s="76">
        <f t="shared" si="32"/>
        <v>4.9999999999999961E-2</v>
      </c>
      <c r="V86" s="69">
        <f t="shared" si="33"/>
        <v>155.99999999999989</v>
      </c>
      <c r="W86" s="77">
        <f ca="1">V86*VLOOKUP(TODAY(),'UF HOY'!$A$2:$B$36,2,0)</f>
        <v>6198494.6399999959</v>
      </c>
      <c r="X86" s="78">
        <f>Datos!$E$6</f>
        <v>18</v>
      </c>
      <c r="Y86" s="79">
        <f ca="1">IF((W86-1000000-Datos!$N$6)/X86&gt;0,(W86-1000000-Datos!$N$6)/X86,0)</f>
        <v>283249.702222222</v>
      </c>
      <c r="Z86" s="78">
        <f>Datos!$E$6</f>
        <v>18</v>
      </c>
      <c r="AA86" s="79">
        <f ca="1">IF((W86-1000000-Datos!$N$6-1%*O86*VLOOKUP(TODAY(),'UF HOY'!$A$2:$B$33,2,0))/Z86&gt;0,(W86-1000000-Datos!$N$6-1%*O86*VLOOKUP(TODAY(),'UF HOY'!$A$2:$B$33,2,0))/Z86,0)</f>
        <v>214377.53955555533</v>
      </c>
      <c r="AB86" s="221">
        <f>IF(L86&gt;0,VLOOKUP(D86,Datos!$H$35:$J$38,3,0),VLOOKUP(D86,Datos!$H$35:$J$38,2,0))</f>
        <v>380000</v>
      </c>
      <c r="AC86" s="79">
        <f ca="1">(S86*PMT(Datos!$D$15,Datos!$D$13,-O86,,)*VLOOKUP(TODAY(),'UF HOY'!$A$2:$B$36,2,0)/12)+VLOOKUP(TODAY(),'UF HOY'!$A$2:$B$36,2,0)</f>
        <v>517680.01934755791</v>
      </c>
      <c r="AD86" s="79">
        <f t="shared" ca="1" si="34"/>
        <v>-137680.01934755791</v>
      </c>
      <c r="AE86" s="220">
        <f t="shared" ca="1" si="35"/>
        <v>2070720.0773902317</v>
      </c>
    </row>
    <row r="87" spans="1:31">
      <c r="A87" s="86" t="s">
        <v>4</v>
      </c>
      <c r="B87" s="86">
        <v>1110</v>
      </c>
      <c r="C87" s="67" t="s">
        <v>129</v>
      </c>
      <c r="D87" s="67" t="s">
        <v>195</v>
      </c>
      <c r="E87" s="67"/>
      <c r="F87" s="66">
        <v>33.67</v>
      </c>
      <c r="G87" s="66">
        <v>4.96</v>
      </c>
      <c r="H87" s="67">
        <f t="shared" si="24"/>
        <v>36.15</v>
      </c>
      <c r="I87" s="68">
        <f t="shared" si="25"/>
        <v>38.630000000000003</v>
      </c>
      <c r="J87" s="69">
        <v>3120</v>
      </c>
      <c r="K87" s="70">
        <v>0</v>
      </c>
      <c r="L87" s="71">
        <v>0</v>
      </c>
      <c r="M87" s="71">
        <v>0</v>
      </c>
      <c r="N87" s="72">
        <f t="shared" si="26"/>
        <v>2652</v>
      </c>
      <c r="O87" s="73">
        <f t="shared" si="27"/>
        <v>3120</v>
      </c>
      <c r="P87" s="121">
        <f t="shared" si="28"/>
        <v>73.360995850622416</v>
      </c>
      <c r="Q87" s="74">
        <f t="shared" si="29"/>
        <v>0.15</v>
      </c>
      <c r="R87" s="75">
        <f t="shared" si="30"/>
        <v>468</v>
      </c>
      <c r="S87" s="74">
        <v>0.8</v>
      </c>
      <c r="T87" s="75">
        <f t="shared" si="31"/>
        <v>2496</v>
      </c>
      <c r="U87" s="76">
        <f t="shared" si="32"/>
        <v>4.9999999999999961E-2</v>
      </c>
      <c r="V87" s="69">
        <f t="shared" si="33"/>
        <v>155.99999999999989</v>
      </c>
      <c r="W87" s="77">
        <f ca="1">V87*VLOOKUP(TODAY(),'UF HOY'!$A$2:$B$36,2,0)</f>
        <v>6198494.6399999959</v>
      </c>
      <c r="X87" s="78">
        <f>Datos!$E$6</f>
        <v>18</v>
      </c>
      <c r="Y87" s="79">
        <f ca="1">IF((W87-1000000-Datos!$N$6)/X87&gt;0,(W87-1000000-Datos!$N$6)/X87,0)</f>
        <v>283249.702222222</v>
      </c>
      <c r="Z87" s="78">
        <f>Datos!$E$6</f>
        <v>18</v>
      </c>
      <c r="AA87" s="79">
        <f ca="1">IF((W87-1000000-Datos!$N$6-1%*O87*VLOOKUP(TODAY(),'UF HOY'!$A$2:$B$33,2,0))/Z87&gt;0,(W87-1000000-Datos!$N$6-1%*O87*VLOOKUP(TODAY(),'UF HOY'!$A$2:$B$33,2,0))/Z87,0)</f>
        <v>214377.53955555533</v>
      </c>
      <c r="AB87" s="221">
        <f>IF(L87&gt;0,VLOOKUP(D87,Datos!$H$35:$J$38,3,0),VLOOKUP(D87,Datos!$H$35:$J$38,2,0))</f>
        <v>380000</v>
      </c>
      <c r="AC87" s="79">
        <f ca="1">(S87*PMT(Datos!$D$15,Datos!$D$13,-O87,,)*VLOOKUP(TODAY(),'UF HOY'!$A$2:$B$36,2,0)/12)+VLOOKUP(TODAY(),'UF HOY'!$A$2:$B$36,2,0)</f>
        <v>517680.01934755791</v>
      </c>
      <c r="AD87" s="79">
        <f t="shared" ca="1" si="34"/>
        <v>-137680.01934755791</v>
      </c>
      <c r="AE87" s="220">
        <f t="shared" ca="1" si="35"/>
        <v>2070720.0773902317</v>
      </c>
    </row>
    <row r="88" spans="1:31">
      <c r="A88" s="86" t="s">
        <v>4</v>
      </c>
      <c r="B88" s="86">
        <v>1203</v>
      </c>
      <c r="C88" s="67" t="s">
        <v>129</v>
      </c>
      <c r="D88" s="67" t="s">
        <v>195</v>
      </c>
      <c r="E88" s="67"/>
      <c r="F88" s="66">
        <v>33.67</v>
      </c>
      <c r="G88" s="66">
        <v>4.96</v>
      </c>
      <c r="H88" s="67">
        <f t="shared" si="24"/>
        <v>36.15</v>
      </c>
      <c r="I88" s="68">
        <f t="shared" si="25"/>
        <v>38.630000000000003</v>
      </c>
      <c r="J88" s="69">
        <v>3120</v>
      </c>
      <c r="K88" s="70">
        <v>0</v>
      </c>
      <c r="L88" s="71">
        <v>0</v>
      </c>
      <c r="M88" s="71">
        <v>0</v>
      </c>
      <c r="N88" s="72">
        <f t="shared" si="26"/>
        <v>2652</v>
      </c>
      <c r="O88" s="73">
        <f t="shared" si="27"/>
        <v>3120</v>
      </c>
      <c r="P88" s="121">
        <f t="shared" si="28"/>
        <v>73.360995850622416</v>
      </c>
      <c r="Q88" s="74">
        <f t="shared" si="29"/>
        <v>0.15</v>
      </c>
      <c r="R88" s="75">
        <f t="shared" si="30"/>
        <v>468</v>
      </c>
      <c r="S88" s="74">
        <v>0.8</v>
      </c>
      <c r="T88" s="75">
        <f t="shared" si="31"/>
        <v>2496</v>
      </c>
      <c r="U88" s="76">
        <f t="shared" si="32"/>
        <v>4.9999999999999961E-2</v>
      </c>
      <c r="V88" s="69">
        <f t="shared" si="33"/>
        <v>155.99999999999989</v>
      </c>
      <c r="W88" s="77">
        <f ca="1">V88*VLOOKUP(TODAY(),'UF HOY'!$A$2:$B$36,2,0)</f>
        <v>6198494.6399999959</v>
      </c>
      <c r="X88" s="78">
        <f>Datos!$E$6</f>
        <v>18</v>
      </c>
      <c r="Y88" s="79">
        <f ca="1">IF((W88-1000000-Datos!$N$6)/X88&gt;0,(W88-1000000-Datos!$N$6)/X88,0)</f>
        <v>283249.702222222</v>
      </c>
      <c r="Z88" s="78">
        <f>Datos!$E$6</f>
        <v>18</v>
      </c>
      <c r="AA88" s="79">
        <f ca="1">IF((W88-1000000-Datos!$N$6-1%*O88*VLOOKUP(TODAY(),'UF HOY'!$A$2:$B$33,2,0))/Z88&gt;0,(W88-1000000-Datos!$N$6-1%*O88*VLOOKUP(TODAY(),'UF HOY'!$A$2:$B$33,2,0))/Z88,0)</f>
        <v>214377.53955555533</v>
      </c>
      <c r="AB88" s="221">
        <f>IF(L88&gt;0,VLOOKUP(D88,Datos!$H$35:$J$38,3,0),VLOOKUP(D88,Datos!$H$35:$J$38,2,0))</f>
        <v>380000</v>
      </c>
      <c r="AC88" s="79">
        <f ca="1">(S88*PMT(Datos!$D$15,Datos!$D$13,-O88,,)*VLOOKUP(TODAY(),'UF HOY'!$A$2:$B$36,2,0)/12)+VLOOKUP(TODAY(),'UF HOY'!$A$2:$B$36,2,0)</f>
        <v>517680.01934755791</v>
      </c>
      <c r="AD88" s="79">
        <f t="shared" ca="1" si="34"/>
        <v>-137680.01934755791</v>
      </c>
      <c r="AE88" s="220">
        <f t="shared" ca="1" si="35"/>
        <v>2070720.0773902317</v>
      </c>
    </row>
    <row r="89" spans="1:31">
      <c r="A89" s="86" t="s">
        <v>4</v>
      </c>
      <c r="B89" s="86">
        <v>1210</v>
      </c>
      <c r="C89" s="67" t="s">
        <v>129</v>
      </c>
      <c r="D89" s="67" t="s">
        <v>195</v>
      </c>
      <c r="E89" s="67"/>
      <c r="F89" s="66">
        <v>33.67</v>
      </c>
      <c r="G89" s="66">
        <v>4.96</v>
      </c>
      <c r="H89" s="67">
        <f t="shared" si="24"/>
        <v>36.15</v>
      </c>
      <c r="I89" s="68">
        <f t="shared" si="25"/>
        <v>38.630000000000003</v>
      </c>
      <c r="J89" s="69">
        <v>3120</v>
      </c>
      <c r="K89" s="70">
        <v>0</v>
      </c>
      <c r="L89" s="71">
        <v>0</v>
      </c>
      <c r="M89" s="71">
        <v>0</v>
      </c>
      <c r="N89" s="72">
        <f t="shared" si="26"/>
        <v>2652</v>
      </c>
      <c r="O89" s="73">
        <f t="shared" si="27"/>
        <v>3120</v>
      </c>
      <c r="P89" s="121">
        <f t="shared" si="28"/>
        <v>73.360995850622416</v>
      </c>
      <c r="Q89" s="74">
        <f t="shared" si="29"/>
        <v>0.15</v>
      </c>
      <c r="R89" s="75">
        <f t="shared" si="30"/>
        <v>468</v>
      </c>
      <c r="S89" s="74">
        <v>0.8</v>
      </c>
      <c r="T89" s="75">
        <f t="shared" si="31"/>
        <v>2496</v>
      </c>
      <c r="U89" s="76">
        <f t="shared" si="32"/>
        <v>4.9999999999999961E-2</v>
      </c>
      <c r="V89" s="69">
        <f t="shared" si="33"/>
        <v>155.99999999999989</v>
      </c>
      <c r="W89" s="77">
        <f ca="1">V89*VLOOKUP(TODAY(),'UF HOY'!$A$2:$B$36,2,0)</f>
        <v>6198494.6399999959</v>
      </c>
      <c r="X89" s="78">
        <f>Datos!$E$6</f>
        <v>18</v>
      </c>
      <c r="Y89" s="79">
        <f ca="1">IF((W89-1000000-Datos!$N$6)/X89&gt;0,(W89-1000000-Datos!$N$6)/X89,0)</f>
        <v>283249.702222222</v>
      </c>
      <c r="Z89" s="78">
        <f>Datos!$E$6</f>
        <v>18</v>
      </c>
      <c r="AA89" s="79">
        <f ca="1">IF((W89-1000000-Datos!$N$6-1%*O89*VLOOKUP(TODAY(),'UF HOY'!$A$2:$B$33,2,0))/Z89&gt;0,(W89-1000000-Datos!$N$6-1%*O89*VLOOKUP(TODAY(),'UF HOY'!$A$2:$B$33,2,0))/Z89,0)</f>
        <v>214377.53955555533</v>
      </c>
      <c r="AB89" s="221">
        <f>IF(L89&gt;0,VLOOKUP(D89,Datos!$H$35:$J$38,3,0),VLOOKUP(D89,Datos!$H$35:$J$38,2,0))</f>
        <v>380000</v>
      </c>
      <c r="AC89" s="79">
        <f ca="1">(S89*PMT(Datos!$D$15,Datos!$D$13,-O89,,)*VLOOKUP(TODAY(),'UF HOY'!$A$2:$B$36,2,0)/12)+VLOOKUP(TODAY(),'UF HOY'!$A$2:$B$36,2,0)</f>
        <v>517680.01934755791</v>
      </c>
      <c r="AD89" s="79">
        <f t="shared" ca="1" si="34"/>
        <v>-137680.01934755791</v>
      </c>
      <c r="AE89" s="220">
        <f t="shared" ca="1" si="35"/>
        <v>2070720.0773902317</v>
      </c>
    </row>
    <row r="90" spans="1:31">
      <c r="A90" s="86" t="s">
        <v>4</v>
      </c>
      <c r="B90" s="86">
        <v>1304</v>
      </c>
      <c r="C90" s="67" t="s">
        <v>130</v>
      </c>
      <c r="D90" s="67" t="s">
        <v>195</v>
      </c>
      <c r="E90" s="67"/>
      <c r="F90" s="66">
        <v>33.67</v>
      </c>
      <c r="G90" s="66">
        <v>4.96</v>
      </c>
      <c r="H90" s="67">
        <f t="shared" si="24"/>
        <v>36.15</v>
      </c>
      <c r="I90" s="68">
        <f t="shared" si="25"/>
        <v>38.630000000000003</v>
      </c>
      <c r="J90" s="69">
        <v>3120</v>
      </c>
      <c r="K90" s="70">
        <v>0</v>
      </c>
      <c r="L90" s="71">
        <v>0</v>
      </c>
      <c r="M90" s="71">
        <v>0</v>
      </c>
      <c r="N90" s="72">
        <f t="shared" si="26"/>
        <v>2652</v>
      </c>
      <c r="O90" s="73">
        <f t="shared" si="27"/>
        <v>3120</v>
      </c>
      <c r="P90" s="121">
        <f t="shared" si="28"/>
        <v>73.360995850622416</v>
      </c>
      <c r="Q90" s="74">
        <f t="shared" si="29"/>
        <v>0.15</v>
      </c>
      <c r="R90" s="75">
        <f t="shared" si="30"/>
        <v>468</v>
      </c>
      <c r="S90" s="74">
        <v>0.8</v>
      </c>
      <c r="T90" s="75">
        <f t="shared" si="31"/>
        <v>2496</v>
      </c>
      <c r="U90" s="76">
        <f t="shared" si="32"/>
        <v>4.9999999999999961E-2</v>
      </c>
      <c r="V90" s="69">
        <f t="shared" si="33"/>
        <v>155.99999999999989</v>
      </c>
      <c r="W90" s="77">
        <f ca="1">V90*VLOOKUP(TODAY(),'UF HOY'!$A$2:$B$36,2,0)</f>
        <v>6198494.6399999959</v>
      </c>
      <c r="X90" s="78">
        <f>Datos!$E$6</f>
        <v>18</v>
      </c>
      <c r="Y90" s="79">
        <f ca="1">IF((W90-1000000-Datos!$N$6)/X90&gt;0,(W90-1000000-Datos!$N$6)/X90,0)</f>
        <v>283249.702222222</v>
      </c>
      <c r="Z90" s="78">
        <f>Datos!$E$6</f>
        <v>18</v>
      </c>
      <c r="AA90" s="79">
        <f ca="1">IF((W90-1000000-Datos!$N$6-1%*O90*VLOOKUP(TODAY(),'UF HOY'!$A$2:$B$33,2,0))/Z90&gt;0,(W90-1000000-Datos!$N$6-1%*O90*VLOOKUP(TODAY(),'UF HOY'!$A$2:$B$33,2,0))/Z90,0)</f>
        <v>214377.53955555533</v>
      </c>
      <c r="AB90" s="221">
        <f>IF(L90&gt;0,VLOOKUP(D90,Datos!$H$35:$J$38,3,0),VLOOKUP(D90,Datos!$H$35:$J$38,2,0))</f>
        <v>380000</v>
      </c>
      <c r="AC90" s="79">
        <f ca="1">(S90*PMT(Datos!$D$15,Datos!$D$13,-O90,,)*VLOOKUP(TODAY(),'UF HOY'!$A$2:$B$36,2,0)/12)+VLOOKUP(TODAY(),'UF HOY'!$A$2:$B$36,2,0)</f>
        <v>517680.01934755791</v>
      </c>
      <c r="AD90" s="79">
        <f t="shared" ca="1" si="34"/>
        <v>-137680.01934755791</v>
      </c>
      <c r="AE90" s="220">
        <f t="shared" ca="1" si="35"/>
        <v>2070720.0773902317</v>
      </c>
    </row>
    <row r="91" spans="1:31">
      <c r="A91" s="86" t="s">
        <v>4</v>
      </c>
      <c r="B91" s="86">
        <v>1403</v>
      </c>
      <c r="C91" s="67" t="s">
        <v>129</v>
      </c>
      <c r="D91" s="67" t="s">
        <v>195</v>
      </c>
      <c r="E91" s="67"/>
      <c r="F91" s="66">
        <v>33.67</v>
      </c>
      <c r="G91" s="66">
        <v>4.96</v>
      </c>
      <c r="H91" s="67">
        <f t="shared" si="24"/>
        <v>36.15</v>
      </c>
      <c r="I91" s="68">
        <f t="shared" si="25"/>
        <v>38.630000000000003</v>
      </c>
      <c r="J91" s="69">
        <v>3120</v>
      </c>
      <c r="K91" s="70">
        <v>0</v>
      </c>
      <c r="L91" s="71">
        <v>0</v>
      </c>
      <c r="M91" s="71">
        <v>0</v>
      </c>
      <c r="N91" s="72">
        <f t="shared" si="26"/>
        <v>2652</v>
      </c>
      <c r="O91" s="73">
        <f t="shared" si="27"/>
        <v>3120</v>
      </c>
      <c r="P91" s="121">
        <f t="shared" si="28"/>
        <v>73.360995850622416</v>
      </c>
      <c r="Q91" s="74">
        <f t="shared" si="29"/>
        <v>0.15</v>
      </c>
      <c r="R91" s="75">
        <f t="shared" si="30"/>
        <v>468</v>
      </c>
      <c r="S91" s="74">
        <v>0.8</v>
      </c>
      <c r="T91" s="75">
        <f t="shared" si="31"/>
        <v>2496</v>
      </c>
      <c r="U91" s="76">
        <f t="shared" si="32"/>
        <v>4.9999999999999961E-2</v>
      </c>
      <c r="V91" s="69">
        <f t="shared" si="33"/>
        <v>155.99999999999989</v>
      </c>
      <c r="W91" s="77">
        <f ca="1">V91*VLOOKUP(TODAY(),'UF HOY'!$A$2:$B$36,2,0)</f>
        <v>6198494.6399999959</v>
      </c>
      <c r="X91" s="78">
        <f>Datos!$E$6</f>
        <v>18</v>
      </c>
      <c r="Y91" s="79">
        <f ca="1">IF((W91-1000000-Datos!$N$6)/X91&gt;0,(W91-1000000-Datos!$N$6)/X91,0)</f>
        <v>283249.702222222</v>
      </c>
      <c r="Z91" s="78">
        <f>Datos!$E$6</f>
        <v>18</v>
      </c>
      <c r="AA91" s="79">
        <f ca="1">IF((W91-1000000-Datos!$N$6-1%*O91*VLOOKUP(TODAY(),'UF HOY'!$A$2:$B$33,2,0))/Z91&gt;0,(W91-1000000-Datos!$N$6-1%*O91*VLOOKUP(TODAY(),'UF HOY'!$A$2:$B$33,2,0))/Z91,0)</f>
        <v>214377.53955555533</v>
      </c>
      <c r="AB91" s="221">
        <f>IF(L91&gt;0,VLOOKUP(D91,Datos!$H$35:$J$38,3,0),VLOOKUP(D91,Datos!$H$35:$J$38,2,0))</f>
        <v>380000</v>
      </c>
      <c r="AC91" s="79">
        <f ca="1">(S91*PMT(Datos!$D$15,Datos!$D$13,-O91,,)*VLOOKUP(TODAY(),'UF HOY'!$A$2:$B$36,2,0)/12)+VLOOKUP(TODAY(),'UF HOY'!$A$2:$B$36,2,0)</f>
        <v>517680.01934755791</v>
      </c>
      <c r="AD91" s="79">
        <f t="shared" ca="1" si="34"/>
        <v>-137680.01934755791</v>
      </c>
      <c r="AE91" s="220">
        <f t="shared" ca="1" si="35"/>
        <v>2070720.0773902317</v>
      </c>
    </row>
    <row r="92" spans="1:31">
      <c r="A92" s="86" t="s">
        <v>4</v>
      </c>
      <c r="B92" s="86">
        <v>1410</v>
      </c>
      <c r="C92" s="67" t="s">
        <v>129</v>
      </c>
      <c r="D92" s="67" t="s">
        <v>195</v>
      </c>
      <c r="E92" s="67"/>
      <c r="F92" s="66">
        <v>33.67</v>
      </c>
      <c r="G92" s="66">
        <v>4.96</v>
      </c>
      <c r="H92" s="67">
        <f t="shared" si="24"/>
        <v>36.15</v>
      </c>
      <c r="I92" s="68">
        <f t="shared" si="25"/>
        <v>38.630000000000003</v>
      </c>
      <c r="J92" s="69">
        <v>3120</v>
      </c>
      <c r="K92" s="70">
        <v>0</v>
      </c>
      <c r="L92" s="71">
        <v>0</v>
      </c>
      <c r="M92" s="71">
        <v>0</v>
      </c>
      <c r="N92" s="72">
        <f t="shared" si="26"/>
        <v>2652</v>
      </c>
      <c r="O92" s="73">
        <f t="shared" si="27"/>
        <v>3120</v>
      </c>
      <c r="P92" s="121">
        <f t="shared" si="28"/>
        <v>73.360995850622416</v>
      </c>
      <c r="Q92" s="74">
        <f t="shared" si="29"/>
        <v>0.15</v>
      </c>
      <c r="R92" s="75">
        <f t="shared" si="30"/>
        <v>468</v>
      </c>
      <c r="S92" s="74">
        <v>0.8</v>
      </c>
      <c r="T92" s="75">
        <f t="shared" si="31"/>
        <v>2496</v>
      </c>
      <c r="U92" s="76">
        <f t="shared" si="32"/>
        <v>4.9999999999999961E-2</v>
      </c>
      <c r="V92" s="69">
        <f t="shared" si="33"/>
        <v>155.99999999999989</v>
      </c>
      <c r="W92" s="77">
        <f ca="1">V92*VLOOKUP(TODAY(),'UF HOY'!$A$2:$B$36,2,0)</f>
        <v>6198494.6399999959</v>
      </c>
      <c r="X92" s="78">
        <f>Datos!$E$6</f>
        <v>18</v>
      </c>
      <c r="Y92" s="79">
        <f ca="1">IF((W92-1000000-Datos!$N$6)/X92&gt;0,(W92-1000000-Datos!$N$6)/X92,0)</f>
        <v>283249.702222222</v>
      </c>
      <c r="Z92" s="78">
        <f>Datos!$E$6</f>
        <v>18</v>
      </c>
      <c r="AA92" s="79">
        <f ca="1">IF((W92-1000000-Datos!$N$6-1%*O92*VLOOKUP(TODAY(),'UF HOY'!$A$2:$B$33,2,0))/Z92&gt;0,(W92-1000000-Datos!$N$6-1%*O92*VLOOKUP(TODAY(),'UF HOY'!$A$2:$B$33,2,0))/Z92,0)</f>
        <v>214377.53955555533</v>
      </c>
      <c r="AB92" s="221">
        <f>IF(L92&gt;0,VLOOKUP(D92,Datos!$H$35:$J$38,3,0),VLOOKUP(D92,Datos!$H$35:$J$38,2,0))</f>
        <v>380000</v>
      </c>
      <c r="AC92" s="79">
        <f ca="1">(S92*PMT(Datos!$D$15,Datos!$D$13,-O92,,)*VLOOKUP(TODAY(),'UF HOY'!$A$2:$B$36,2,0)/12)+VLOOKUP(TODAY(),'UF HOY'!$A$2:$B$36,2,0)</f>
        <v>517680.01934755791</v>
      </c>
      <c r="AD92" s="79">
        <f t="shared" ca="1" si="34"/>
        <v>-137680.01934755791</v>
      </c>
      <c r="AE92" s="220">
        <f t="shared" ca="1" si="35"/>
        <v>2070720.0773902317</v>
      </c>
    </row>
    <row r="93" spans="1:31">
      <c r="A93" s="86" t="s">
        <v>4</v>
      </c>
      <c r="B93" s="86">
        <v>1503</v>
      </c>
      <c r="C93" s="67" t="s">
        <v>129</v>
      </c>
      <c r="D93" s="67" t="s">
        <v>195</v>
      </c>
      <c r="E93" s="67"/>
      <c r="F93" s="66">
        <v>33.67</v>
      </c>
      <c r="G93" s="66">
        <v>4.96</v>
      </c>
      <c r="H93" s="67">
        <f t="shared" si="24"/>
        <v>36.15</v>
      </c>
      <c r="I93" s="68">
        <f t="shared" si="25"/>
        <v>38.630000000000003</v>
      </c>
      <c r="J93" s="69">
        <v>3120</v>
      </c>
      <c r="K93" s="70">
        <v>0</v>
      </c>
      <c r="L93" s="71">
        <v>0</v>
      </c>
      <c r="M93" s="71">
        <v>0</v>
      </c>
      <c r="N93" s="72">
        <f t="shared" si="26"/>
        <v>2652</v>
      </c>
      <c r="O93" s="73">
        <f t="shared" si="27"/>
        <v>3120</v>
      </c>
      <c r="P93" s="121">
        <f t="shared" si="28"/>
        <v>73.360995850622416</v>
      </c>
      <c r="Q93" s="74">
        <f t="shared" si="29"/>
        <v>0.15</v>
      </c>
      <c r="R93" s="75">
        <f t="shared" si="30"/>
        <v>468</v>
      </c>
      <c r="S93" s="74">
        <v>0.8</v>
      </c>
      <c r="T93" s="75">
        <f t="shared" si="31"/>
        <v>2496</v>
      </c>
      <c r="U93" s="76">
        <f t="shared" si="32"/>
        <v>4.9999999999999961E-2</v>
      </c>
      <c r="V93" s="69">
        <f t="shared" si="33"/>
        <v>155.99999999999989</v>
      </c>
      <c r="W93" s="77">
        <f ca="1">V93*VLOOKUP(TODAY(),'UF HOY'!$A$2:$B$36,2,0)</f>
        <v>6198494.6399999959</v>
      </c>
      <c r="X93" s="78">
        <f>Datos!$E$6</f>
        <v>18</v>
      </c>
      <c r="Y93" s="79">
        <f ca="1">IF((W93-1000000-Datos!$N$6)/X93&gt;0,(W93-1000000-Datos!$N$6)/X93,0)</f>
        <v>283249.702222222</v>
      </c>
      <c r="Z93" s="78">
        <f>Datos!$E$6</f>
        <v>18</v>
      </c>
      <c r="AA93" s="79">
        <f ca="1">IF((W93-1000000-Datos!$N$6-1%*O93*VLOOKUP(TODAY(),'UF HOY'!$A$2:$B$33,2,0))/Z93&gt;0,(W93-1000000-Datos!$N$6-1%*O93*VLOOKUP(TODAY(),'UF HOY'!$A$2:$B$33,2,0))/Z93,0)</f>
        <v>214377.53955555533</v>
      </c>
      <c r="AB93" s="221">
        <f>IF(L93&gt;0,VLOOKUP(D93,Datos!$H$35:$J$38,3,0),VLOOKUP(D93,Datos!$H$35:$J$38,2,0))</f>
        <v>380000</v>
      </c>
      <c r="AC93" s="79">
        <f ca="1">(S93*PMT(Datos!$D$15,Datos!$D$13,-O93,,)*VLOOKUP(TODAY(),'UF HOY'!$A$2:$B$36,2,0)/12)+VLOOKUP(TODAY(),'UF HOY'!$A$2:$B$36,2,0)</f>
        <v>517680.01934755791</v>
      </c>
      <c r="AD93" s="79">
        <f t="shared" ca="1" si="34"/>
        <v>-137680.01934755791</v>
      </c>
      <c r="AE93" s="220">
        <f t="shared" ca="1" si="35"/>
        <v>2070720.0773902317</v>
      </c>
    </row>
    <row r="94" spans="1:31">
      <c r="A94" s="86" t="s">
        <v>4</v>
      </c>
      <c r="B94" s="86">
        <v>1510</v>
      </c>
      <c r="C94" s="67" t="s">
        <v>129</v>
      </c>
      <c r="D94" s="67" t="s">
        <v>195</v>
      </c>
      <c r="E94" s="67"/>
      <c r="F94" s="66">
        <v>33.67</v>
      </c>
      <c r="G94" s="66">
        <v>4.96</v>
      </c>
      <c r="H94" s="67">
        <f t="shared" si="24"/>
        <v>36.15</v>
      </c>
      <c r="I94" s="68">
        <f t="shared" si="25"/>
        <v>38.630000000000003</v>
      </c>
      <c r="J94" s="69">
        <v>3120</v>
      </c>
      <c r="K94" s="70">
        <v>0</v>
      </c>
      <c r="L94" s="71">
        <v>0</v>
      </c>
      <c r="M94" s="71">
        <v>0</v>
      </c>
      <c r="N94" s="72">
        <f t="shared" si="26"/>
        <v>2652</v>
      </c>
      <c r="O94" s="73">
        <f t="shared" si="27"/>
        <v>3120</v>
      </c>
      <c r="P94" s="121">
        <f t="shared" si="28"/>
        <v>73.360995850622416</v>
      </c>
      <c r="Q94" s="74">
        <f t="shared" si="29"/>
        <v>0.15</v>
      </c>
      <c r="R94" s="75">
        <f t="shared" si="30"/>
        <v>468</v>
      </c>
      <c r="S94" s="74">
        <v>0.8</v>
      </c>
      <c r="T94" s="75">
        <f t="shared" si="31"/>
        <v>2496</v>
      </c>
      <c r="U94" s="76">
        <f t="shared" si="32"/>
        <v>4.9999999999999961E-2</v>
      </c>
      <c r="V94" s="69">
        <f t="shared" si="33"/>
        <v>155.99999999999989</v>
      </c>
      <c r="W94" s="77">
        <f ca="1">V94*VLOOKUP(TODAY(),'UF HOY'!$A$2:$B$36,2,0)</f>
        <v>6198494.6399999959</v>
      </c>
      <c r="X94" s="78">
        <f>Datos!$E$6</f>
        <v>18</v>
      </c>
      <c r="Y94" s="79">
        <f ca="1">IF((W94-1000000-Datos!$N$6)/X94&gt;0,(W94-1000000-Datos!$N$6)/X94,0)</f>
        <v>283249.702222222</v>
      </c>
      <c r="Z94" s="78">
        <f>Datos!$E$6</f>
        <v>18</v>
      </c>
      <c r="AA94" s="79">
        <f ca="1">IF((W94-1000000-Datos!$N$6-1%*O94*VLOOKUP(TODAY(),'UF HOY'!$A$2:$B$33,2,0))/Z94&gt;0,(W94-1000000-Datos!$N$6-1%*O94*VLOOKUP(TODAY(),'UF HOY'!$A$2:$B$33,2,0))/Z94,0)</f>
        <v>214377.53955555533</v>
      </c>
      <c r="AB94" s="221">
        <f>IF(L94&gt;0,VLOOKUP(D94,Datos!$H$35:$J$38,3,0),VLOOKUP(D94,Datos!$H$35:$J$38,2,0))</f>
        <v>380000</v>
      </c>
      <c r="AC94" s="79">
        <f ca="1">(S94*PMT(Datos!$D$15,Datos!$D$13,-O94,,)*VLOOKUP(TODAY(),'UF HOY'!$A$2:$B$36,2,0)/12)+VLOOKUP(TODAY(),'UF HOY'!$A$2:$B$36,2,0)</f>
        <v>517680.01934755791</v>
      </c>
      <c r="AD94" s="79">
        <f t="shared" ca="1" si="34"/>
        <v>-137680.01934755791</v>
      </c>
      <c r="AE94" s="220">
        <f t="shared" ca="1" si="35"/>
        <v>2070720.0773902317</v>
      </c>
    </row>
    <row r="95" spans="1:31">
      <c r="A95" s="86" t="s">
        <v>4</v>
      </c>
      <c r="B95" s="86">
        <v>1603</v>
      </c>
      <c r="C95" s="67" t="s">
        <v>129</v>
      </c>
      <c r="D95" s="67" t="s">
        <v>195</v>
      </c>
      <c r="E95" s="67"/>
      <c r="F95" s="66">
        <v>33.67</v>
      </c>
      <c r="G95" s="66">
        <v>4.96</v>
      </c>
      <c r="H95" s="67">
        <f t="shared" si="24"/>
        <v>36.15</v>
      </c>
      <c r="I95" s="68">
        <f t="shared" si="25"/>
        <v>38.630000000000003</v>
      </c>
      <c r="J95" s="69">
        <v>3120</v>
      </c>
      <c r="K95" s="70">
        <v>0</v>
      </c>
      <c r="L95" s="71">
        <v>0</v>
      </c>
      <c r="M95" s="71">
        <v>0</v>
      </c>
      <c r="N95" s="72">
        <f t="shared" si="26"/>
        <v>2652</v>
      </c>
      <c r="O95" s="73">
        <f t="shared" si="27"/>
        <v>3120</v>
      </c>
      <c r="P95" s="121">
        <f t="shared" si="28"/>
        <v>73.360995850622416</v>
      </c>
      <c r="Q95" s="74">
        <f t="shared" si="29"/>
        <v>0.15</v>
      </c>
      <c r="R95" s="75">
        <f t="shared" si="30"/>
        <v>468</v>
      </c>
      <c r="S95" s="74">
        <v>0.8</v>
      </c>
      <c r="T95" s="75">
        <f t="shared" si="31"/>
        <v>2496</v>
      </c>
      <c r="U95" s="76">
        <f t="shared" si="32"/>
        <v>4.9999999999999961E-2</v>
      </c>
      <c r="V95" s="69">
        <f t="shared" si="33"/>
        <v>155.99999999999989</v>
      </c>
      <c r="W95" s="77">
        <f ca="1">V95*VLOOKUP(TODAY(),'UF HOY'!$A$2:$B$36,2,0)</f>
        <v>6198494.6399999959</v>
      </c>
      <c r="X95" s="78">
        <f>Datos!$E$6</f>
        <v>18</v>
      </c>
      <c r="Y95" s="79">
        <f ca="1">IF((W95-1000000-Datos!$N$6)/X95&gt;0,(W95-1000000-Datos!$N$6)/X95,0)</f>
        <v>283249.702222222</v>
      </c>
      <c r="Z95" s="78">
        <f>Datos!$E$6</f>
        <v>18</v>
      </c>
      <c r="AA95" s="79">
        <f ca="1">IF((W95-1000000-Datos!$N$6-1%*O95*VLOOKUP(TODAY(),'UF HOY'!$A$2:$B$33,2,0))/Z95&gt;0,(W95-1000000-Datos!$N$6-1%*O95*VLOOKUP(TODAY(),'UF HOY'!$A$2:$B$33,2,0))/Z95,0)</f>
        <v>214377.53955555533</v>
      </c>
      <c r="AB95" s="221">
        <f>IF(L95&gt;0,VLOOKUP(D95,Datos!$H$35:$J$38,3,0),VLOOKUP(D95,Datos!$H$35:$J$38,2,0))</f>
        <v>380000</v>
      </c>
      <c r="AC95" s="79">
        <f ca="1">(S95*PMT(Datos!$D$15,Datos!$D$13,-O95,,)*VLOOKUP(TODAY(),'UF HOY'!$A$2:$B$36,2,0)/12)+VLOOKUP(TODAY(),'UF HOY'!$A$2:$B$36,2,0)</f>
        <v>517680.01934755791</v>
      </c>
      <c r="AD95" s="79">
        <f t="shared" ca="1" si="34"/>
        <v>-137680.01934755791</v>
      </c>
      <c r="AE95" s="220">
        <f t="shared" ca="1" si="35"/>
        <v>2070720.0773902317</v>
      </c>
    </row>
    <row r="96" spans="1:31">
      <c r="A96" s="86" t="s">
        <v>4</v>
      </c>
      <c r="B96" s="86">
        <v>1610</v>
      </c>
      <c r="C96" s="67" t="s">
        <v>129</v>
      </c>
      <c r="D96" s="67" t="s">
        <v>195</v>
      </c>
      <c r="E96" s="67"/>
      <c r="F96" s="66">
        <v>33.67</v>
      </c>
      <c r="G96" s="66">
        <v>4.96</v>
      </c>
      <c r="H96" s="67">
        <f t="shared" si="24"/>
        <v>36.15</v>
      </c>
      <c r="I96" s="68">
        <f t="shared" si="25"/>
        <v>38.630000000000003</v>
      </c>
      <c r="J96" s="69">
        <v>3120</v>
      </c>
      <c r="K96" s="70">
        <v>0</v>
      </c>
      <c r="L96" s="71">
        <v>0</v>
      </c>
      <c r="M96" s="71">
        <v>0</v>
      </c>
      <c r="N96" s="72">
        <f t="shared" si="26"/>
        <v>2652</v>
      </c>
      <c r="O96" s="73">
        <f t="shared" si="27"/>
        <v>3120</v>
      </c>
      <c r="P96" s="121">
        <f t="shared" si="28"/>
        <v>73.360995850622416</v>
      </c>
      <c r="Q96" s="74">
        <f t="shared" si="29"/>
        <v>0.15</v>
      </c>
      <c r="R96" s="75">
        <f t="shared" si="30"/>
        <v>468</v>
      </c>
      <c r="S96" s="74">
        <v>0.8</v>
      </c>
      <c r="T96" s="75">
        <f t="shared" si="31"/>
        <v>2496</v>
      </c>
      <c r="U96" s="76">
        <f t="shared" si="32"/>
        <v>4.9999999999999961E-2</v>
      </c>
      <c r="V96" s="69">
        <f t="shared" si="33"/>
        <v>155.99999999999989</v>
      </c>
      <c r="W96" s="77">
        <f ca="1">V96*VLOOKUP(TODAY(),'UF HOY'!$A$2:$B$36,2,0)</f>
        <v>6198494.6399999959</v>
      </c>
      <c r="X96" s="78">
        <f>Datos!$E$6</f>
        <v>18</v>
      </c>
      <c r="Y96" s="79">
        <f ca="1">IF((W96-1000000-Datos!$N$6)/X96&gt;0,(W96-1000000-Datos!$N$6)/X96,0)</f>
        <v>283249.702222222</v>
      </c>
      <c r="Z96" s="78">
        <f>Datos!$E$6</f>
        <v>18</v>
      </c>
      <c r="AA96" s="79">
        <f ca="1">IF((W96-1000000-Datos!$N$6-1%*O96*VLOOKUP(TODAY(),'UF HOY'!$A$2:$B$33,2,0))/Z96&gt;0,(W96-1000000-Datos!$N$6-1%*O96*VLOOKUP(TODAY(),'UF HOY'!$A$2:$B$33,2,0))/Z96,0)</f>
        <v>214377.53955555533</v>
      </c>
      <c r="AB96" s="221">
        <f>IF(L96&gt;0,VLOOKUP(D96,Datos!$H$35:$J$38,3,0),VLOOKUP(D96,Datos!$H$35:$J$38,2,0))</f>
        <v>380000</v>
      </c>
      <c r="AC96" s="79">
        <f ca="1">(S96*PMT(Datos!$D$15,Datos!$D$13,-O96,,)*VLOOKUP(TODAY(),'UF HOY'!$A$2:$B$36,2,0)/12)+VLOOKUP(TODAY(),'UF HOY'!$A$2:$B$36,2,0)</f>
        <v>517680.01934755791</v>
      </c>
      <c r="AD96" s="79">
        <f t="shared" ca="1" si="34"/>
        <v>-137680.01934755791</v>
      </c>
      <c r="AE96" s="220">
        <f t="shared" ca="1" si="35"/>
        <v>2070720.0773902317</v>
      </c>
    </row>
    <row r="97" spans="1:31" hidden="1">
      <c r="A97" s="86" t="s">
        <v>171</v>
      </c>
      <c r="B97" s="86">
        <v>809</v>
      </c>
      <c r="C97" s="67" t="s">
        <v>130</v>
      </c>
      <c r="D97" s="67" t="s">
        <v>195</v>
      </c>
      <c r="E97" s="67"/>
      <c r="F97" s="66">
        <v>33.67</v>
      </c>
      <c r="G97" s="66">
        <v>4.96</v>
      </c>
      <c r="H97" s="67">
        <f t="shared" si="24"/>
        <v>36.15</v>
      </c>
      <c r="I97" s="68">
        <f t="shared" si="25"/>
        <v>38.630000000000003</v>
      </c>
      <c r="J97" s="69">
        <v>3120</v>
      </c>
      <c r="K97" s="70">
        <v>0</v>
      </c>
      <c r="L97" s="71">
        <v>0</v>
      </c>
      <c r="M97" s="71">
        <v>0</v>
      </c>
      <c r="N97" s="72">
        <f t="shared" si="26"/>
        <v>2652</v>
      </c>
      <c r="O97" s="73">
        <f t="shared" si="27"/>
        <v>3120</v>
      </c>
      <c r="P97" s="121">
        <f t="shared" si="28"/>
        <v>73.360995850622416</v>
      </c>
      <c r="Q97" s="74">
        <f t="shared" si="29"/>
        <v>0.15</v>
      </c>
      <c r="R97" s="75">
        <f t="shared" si="30"/>
        <v>468</v>
      </c>
      <c r="S97" s="74">
        <v>0.8</v>
      </c>
      <c r="T97" s="75">
        <f t="shared" si="31"/>
        <v>2496</v>
      </c>
      <c r="U97" s="76">
        <f t="shared" si="32"/>
        <v>4.9999999999999961E-2</v>
      </c>
      <c r="V97" s="69">
        <f t="shared" si="33"/>
        <v>155.99999999999989</v>
      </c>
      <c r="W97" s="77">
        <f ca="1">V97*VLOOKUP(TODAY(),'UF HOY'!$A$2:$B$36,2,0)</f>
        <v>6198494.6399999959</v>
      </c>
      <c r="X97" s="78">
        <f>Datos!$E$6</f>
        <v>18</v>
      </c>
      <c r="Y97" s="79">
        <f ca="1">IF((W97-1000000-Datos!$N$6)/X97&gt;0,(W97-1000000-Datos!$N$6)/X97,0)</f>
        <v>283249.702222222</v>
      </c>
      <c r="Z97" s="78">
        <f>Datos!$E$6</f>
        <v>18</v>
      </c>
      <c r="AA97" s="79">
        <f ca="1">IF((W97-1000000-Datos!$N$6-1%*O97*VLOOKUP(TODAY(),'UF HOY'!$A$2:$B$33,2,0))/Z97&gt;0,(W97-1000000-Datos!$N$6-1%*O97*VLOOKUP(TODAY(),'UF HOY'!$A$2:$B$33,2,0))/Z97,0)</f>
        <v>214377.53955555533</v>
      </c>
      <c r="AB97" s="221">
        <f>IF(L97&gt;0,VLOOKUP(D97,Datos!$H$35:$J$38,3,0),VLOOKUP(D97,Datos!$H$35:$J$38,2,0))</f>
        <v>380000</v>
      </c>
      <c r="AC97" s="79">
        <f ca="1">(S97*PMT(Datos!$D$15,Datos!$D$13,-O97,,)*VLOOKUP(TODAY(),'UF HOY'!$A$2:$B$36,2,0)/12)+VLOOKUP(TODAY(),'UF HOY'!$A$2:$B$36,2,0)</f>
        <v>517680.01934755791</v>
      </c>
      <c r="AD97" s="79">
        <f t="shared" ca="1" si="34"/>
        <v>-137680.01934755791</v>
      </c>
      <c r="AE97" s="220">
        <f t="shared" ca="1" si="35"/>
        <v>2070720.0773902317</v>
      </c>
    </row>
    <row r="98" spans="1:31" hidden="1">
      <c r="A98" s="86" t="s">
        <v>171</v>
      </c>
      <c r="B98" s="86">
        <v>909</v>
      </c>
      <c r="C98" s="67" t="s">
        <v>130</v>
      </c>
      <c r="D98" s="67" t="s">
        <v>195</v>
      </c>
      <c r="E98" s="67"/>
      <c r="F98" s="66">
        <v>33.67</v>
      </c>
      <c r="G98" s="66">
        <v>4.96</v>
      </c>
      <c r="H98" s="67">
        <f t="shared" ref="H98:H129" si="36">F98+G98/2</f>
        <v>36.15</v>
      </c>
      <c r="I98" s="68">
        <f t="shared" ref="I98:I129" si="37">F98+G98</f>
        <v>38.630000000000003</v>
      </c>
      <c r="J98" s="69">
        <v>3120</v>
      </c>
      <c r="K98" s="70">
        <v>0</v>
      </c>
      <c r="L98" s="71">
        <v>0</v>
      </c>
      <c r="M98" s="71">
        <v>0</v>
      </c>
      <c r="N98" s="72">
        <f t="shared" ref="N98:N129" si="38">O98-R98</f>
        <v>2652</v>
      </c>
      <c r="O98" s="73">
        <f t="shared" ref="O98:O129" si="39">J98*(100%-K98)+L98+M98</f>
        <v>3120</v>
      </c>
      <c r="P98" s="121">
        <f t="shared" ref="P98:P129" si="40">(N98-L98-M98)/H98</f>
        <v>73.360995850622416</v>
      </c>
      <c r="Q98" s="74">
        <f t="shared" ref="Q98:Q129" si="41">R98/O98</f>
        <v>0.15</v>
      </c>
      <c r="R98" s="75">
        <f t="shared" ref="R98:R129" si="42">O98*0.15</f>
        <v>468</v>
      </c>
      <c r="S98" s="74">
        <v>0.8</v>
      </c>
      <c r="T98" s="75">
        <f t="shared" ref="T98:T129" si="43">S98*O98</f>
        <v>2496</v>
      </c>
      <c r="U98" s="76">
        <f t="shared" ref="U98:U129" si="44">100%-S98-Q98</f>
        <v>4.9999999999999961E-2</v>
      </c>
      <c r="V98" s="69">
        <f t="shared" ref="V98:V129" si="45">O98*U98</f>
        <v>155.99999999999989</v>
      </c>
      <c r="W98" s="77">
        <f ca="1">V98*VLOOKUP(TODAY(),'UF HOY'!$A$2:$B$36,2,0)</f>
        <v>6198494.6399999959</v>
      </c>
      <c r="X98" s="78">
        <f>Datos!$E$6</f>
        <v>18</v>
      </c>
      <c r="Y98" s="79">
        <f ca="1">IF((W98-1000000-Datos!$N$6)/X98&gt;0,(W98-1000000-Datos!$N$6)/X98,0)</f>
        <v>283249.702222222</v>
      </c>
      <c r="Z98" s="78">
        <f>Datos!$E$6</f>
        <v>18</v>
      </c>
      <c r="AA98" s="79">
        <f ca="1">IF((W98-1000000-Datos!$N$6-1%*O98*VLOOKUP(TODAY(),'UF HOY'!$A$2:$B$33,2,0))/Z98&gt;0,(W98-1000000-Datos!$N$6-1%*O98*VLOOKUP(TODAY(),'UF HOY'!$A$2:$B$33,2,0))/Z98,0)</f>
        <v>214377.53955555533</v>
      </c>
      <c r="AB98" s="221">
        <f>IF(L98&gt;0,VLOOKUP(D98,Datos!$H$35:$J$38,3,0),VLOOKUP(D98,Datos!$H$35:$J$38,2,0))</f>
        <v>380000</v>
      </c>
      <c r="AC98" s="79">
        <f ca="1">(S98*PMT(Datos!$D$15,Datos!$D$13,-O98,,)*VLOOKUP(TODAY(),'UF HOY'!$A$2:$B$36,2,0)/12)+VLOOKUP(TODAY(),'UF HOY'!$A$2:$B$36,2,0)</f>
        <v>517680.01934755791</v>
      </c>
      <c r="AD98" s="79">
        <f t="shared" ref="AD98:AD129" ca="1" si="46">AB98-AC98</f>
        <v>-137680.01934755791</v>
      </c>
      <c r="AE98" s="220">
        <f t="shared" ref="AE98:AE129" ca="1" si="47">IF((AC98/0.25)&lt;=1600000,1600000,(AC98/0.25))</f>
        <v>2070720.0773902317</v>
      </c>
    </row>
    <row r="99" spans="1:31" hidden="1">
      <c r="A99" s="86" t="s">
        <v>171</v>
      </c>
      <c r="B99" s="86">
        <v>1309</v>
      </c>
      <c r="C99" s="67" t="s">
        <v>130</v>
      </c>
      <c r="D99" s="67" t="s">
        <v>195</v>
      </c>
      <c r="E99" s="67"/>
      <c r="F99" s="66">
        <v>33.67</v>
      </c>
      <c r="G99" s="66">
        <v>4.96</v>
      </c>
      <c r="H99" s="67">
        <f t="shared" si="36"/>
        <v>36.15</v>
      </c>
      <c r="I99" s="68">
        <f t="shared" si="37"/>
        <v>38.630000000000003</v>
      </c>
      <c r="J99" s="69">
        <v>3120</v>
      </c>
      <c r="K99" s="70">
        <v>0</v>
      </c>
      <c r="L99" s="71">
        <v>0</v>
      </c>
      <c r="M99" s="71">
        <v>0</v>
      </c>
      <c r="N99" s="72">
        <f t="shared" si="38"/>
        <v>2652</v>
      </c>
      <c r="O99" s="73">
        <f t="shared" si="39"/>
        <v>3120</v>
      </c>
      <c r="P99" s="121">
        <f t="shared" si="40"/>
        <v>73.360995850622416</v>
      </c>
      <c r="Q99" s="74">
        <f t="shared" si="41"/>
        <v>0.15</v>
      </c>
      <c r="R99" s="75">
        <f t="shared" si="42"/>
        <v>468</v>
      </c>
      <c r="S99" s="74">
        <v>0.8</v>
      </c>
      <c r="T99" s="75">
        <f t="shared" si="43"/>
        <v>2496</v>
      </c>
      <c r="U99" s="76">
        <f t="shared" si="44"/>
        <v>4.9999999999999961E-2</v>
      </c>
      <c r="V99" s="69">
        <f t="shared" si="45"/>
        <v>155.99999999999989</v>
      </c>
      <c r="W99" s="77">
        <f ca="1">V99*VLOOKUP(TODAY(),'UF HOY'!$A$2:$B$36,2,0)</f>
        <v>6198494.6399999959</v>
      </c>
      <c r="X99" s="78">
        <f>Datos!$E$6</f>
        <v>18</v>
      </c>
      <c r="Y99" s="79">
        <f ca="1">IF((W99-1000000-Datos!$N$6)/X99&gt;0,(W99-1000000-Datos!$N$6)/X99,0)</f>
        <v>283249.702222222</v>
      </c>
      <c r="Z99" s="78">
        <f>Datos!$E$6</f>
        <v>18</v>
      </c>
      <c r="AA99" s="79">
        <f ca="1">IF((W99-1000000-Datos!$N$6-1%*O99*VLOOKUP(TODAY(),'UF HOY'!$A$2:$B$33,2,0))/Z99&gt;0,(W99-1000000-Datos!$N$6-1%*O99*VLOOKUP(TODAY(),'UF HOY'!$A$2:$B$33,2,0))/Z99,0)</f>
        <v>214377.53955555533</v>
      </c>
      <c r="AB99" s="221">
        <f>IF(L99&gt;0,VLOOKUP(D99,Datos!$H$35:$J$38,3,0),VLOOKUP(D99,Datos!$H$35:$J$38,2,0))</f>
        <v>380000</v>
      </c>
      <c r="AC99" s="79">
        <f ca="1">(S99*PMT(Datos!$D$15,Datos!$D$13,-O99,,)*VLOOKUP(TODAY(),'UF HOY'!$A$2:$B$36,2,0)/12)+VLOOKUP(TODAY(),'UF HOY'!$A$2:$B$36,2,0)</f>
        <v>517680.01934755791</v>
      </c>
      <c r="AD99" s="79">
        <f t="shared" ca="1" si="46"/>
        <v>-137680.01934755791</v>
      </c>
      <c r="AE99" s="220">
        <f t="shared" ca="1" si="47"/>
        <v>2070720.0773902317</v>
      </c>
    </row>
    <row r="100" spans="1:31">
      <c r="A100" s="86" t="s">
        <v>4</v>
      </c>
      <c r="B100" s="86">
        <v>1004</v>
      </c>
      <c r="C100" s="67" t="s">
        <v>130</v>
      </c>
      <c r="D100" s="67" t="s">
        <v>195</v>
      </c>
      <c r="E100" s="67"/>
      <c r="F100" s="66">
        <v>33.67</v>
      </c>
      <c r="G100" s="66">
        <v>4.96</v>
      </c>
      <c r="H100" s="67">
        <f t="shared" si="36"/>
        <v>36.15</v>
      </c>
      <c r="I100" s="68">
        <f t="shared" si="37"/>
        <v>38.630000000000003</v>
      </c>
      <c r="J100" s="69">
        <v>3170</v>
      </c>
      <c r="K100" s="70">
        <v>0</v>
      </c>
      <c r="L100" s="71">
        <v>0</v>
      </c>
      <c r="M100" s="71">
        <v>0</v>
      </c>
      <c r="N100" s="72">
        <f t="shared" si="38"/>
        <v>2694.5</v>
      </c>
      <c r="O100" s="73">
        <f t="shared" si="39"/>
        <v>3170</v>
      </c>
      <c r="P100" s="121">
        <f t="shared" si="40"/>
        <v>74.53665283540802</v>
      </c>
      <c r="Q100" s="74">
        <f t="shared" si="41"/>
        <v>0.15</v>
      </c>
      <c r="R100" s="75">
        <f t="shared" si="42"/>
        <v>475.5</v>
      </c>
      <c r="S100" s="74">
        <v>0.8</v>
      </c>
      <c r="T100" s="75">
        <f t="shared" si="43"/>
        <v>2536</v>
      </c>
      <c r="U100" s="76">
        <f t="shared" si="44"/>
        <v>4.9999999999999961E-2</v>
      </c>
      <c r="V100" s="69">
        <f t="shared" si="45"/>
        <v>158.49999999999989</v>
      </c>
      <c r="W100" s="77">
        <f ca="1">V100*VLOOKUP(TODAY(),'UF HOY'!$A$2:$B$36,2,0)</f>
        <v>6297829.4899999956</v>
      </c>
      <c r="X100" s="78">
        <f>Datos!$E$6</f>
        <v>18</v>
      </c>
      <c r="Y100" s="79">
        <f ca="1">IF((W100-1000000-Datos!$N$6)/X100&gt;0,(W100-1000000-Datos!$N$6)/X100,0)</f>
        <v>288768.30499999976</v>
      </c>
      <c r="Z100" s="78">
        <f>Datos!$E$6</f>
        <v>18</v>
      </c>
      <c r="AA100" s="79">
        <f ca="1">IF((W100-1000000-Datos!$N$6-1%*O100*VLOOKUP(TODAY(),'UF HOY'!$A$2:$B$33,2,0))/Z100&gt;0,(W100-1000000-Datos!$N$6-1%*O100*VLOOKUP(TODAY(),'UF HOY'!$A$2:$B$33,2,0))/Z100,0)</f>
        <v>218792.42177777752</v>
      </c>
      <c r="AB100" s="221">
        <f>IF(L100&gt;0,VLOOKUP(D100,Datos!$H$35:$J$38,3,0),VLOOKUP(D100,Datos!$H$35:$J$38,2,0))</f>
        <v>380000</v>
      </c>
      <c r="AC100" s="79">
        <f ca="1">(S100*PMT(Datos!$D$15,Datos!$D$13,-O100,,)*VLOOKUP(TODAY(),'UF HOY'!$A$2:$B$36,2,0)/12)+VLOOKUP(TODAY(),'UF HOY'!$A$2:$B$36,2,0)</f>
        <v>525339.41164479451</v>
      </c>
      <c r="AD100" s="79">
        <f t="shared" ca="1" si="46"/>
        <v>-145339.41164479451</v>
      </c>
      <c r="AE100" s="220">
        <f t="shared" ca="1" si="47"/>
        <v>2101357.6465791781</v>
      </c>
    </row>
    <row r="101" spans="1:31">
      <c r="A101" s="86" t="s">
        <v>4</v>
      </c>
      <c r="B101" s="86">
        <v>1009</v>
      </c>
      <c r="C101" s="67" t="s">
        <v>130</v>
      </c>
      <c r="D101" s="67" t="s">
        <v>195</v>
      </c>
      <c r="E101" s="67"/>
      <c r="F101" s="66">
        <v>33.67</v>
      </c>
      <c r="G101" s="66">
        <v>4.96</v>
      </c>
      <c r="H101" s="67">
        <f t="shared" si="36"/>
        <v>36.15</v>
      </c>
      <c r="I101" s="68">
        <f t="shared" si="37"/>
        <v>38.630000000000003</v>
      </c>
      <c r="J101" s="69">
        <v>3170</v>
      </c>
      <c r="K101" s="70">
        <v>0</v>
      </c>
      <c r="L101" s="71">
        <v>0</v>
      </c>
      <c r="M101" s="71">
        <v>0</v>
      </c>
      <c r="N101" s="72">
        <f t="shared" si="38"/>
        <v>2694.5</v>
      </c>
      <c r="O101" s="73">
        <f t="shared" si="39"/>
        <v>3170</v>
      </c>
      <c r="P101" s="121">
        <f t="shared" si="40"/>
        <v>74.53665283540802</v>
      </c>
      <c r="Q101" s="74">
        <f t="shared" si="41"/>
        <v>0.15</v>
      </c>
      <c r="R101" s="75">
        <f t="shared" si="42"/>
        <v>475.5</v>
      </c>
      <c r="S101" s="74">
        <v>0.8</v>
      </c>
      <c r="T101" s="75">
        <f t="shared" si="43"/>
        <v>2536</v>
      </c>
      <c r="U101" s="76">
        <f t="shared" si="44"/>
        <v>4.9999999999999961E-2</v>
      </c>
      <c r="V101" s="69">
        <f t="shared" si="45"/>
        <v>158.49999999999989</v>
      </c>
      <c r="W101" s="77">
        <f ca="1">V101*VLOOKUP(TODAY(),'UF HOY'!$A$2:$B$36,2,0)</f>
        <v>6297829.4899999956</v>
      </c>
      <c r="X101" s="78">
        <f>Datos!$E$6</f>
        <v>18</v>
      </c>
      <c r="Y101" s="79">
        <f ca="1">IF((W101-1000000-Datos!$N$6)/X101&gt;0,(W101-1000000-Datos!$N$6)/X101,0)</f>
        <v>288768.30499999976</v>
      </c>
      <c r="Z101" s="78">
        <f>Datos!$E$6</f>
        <v>18</v>
      </c>
      <c r="AA101" s="79">
        <f ca="1">IF((W101-1000000-Datos!$N$6-1%*O101*VLOOKUP(TODAY(),'UF HOY'!$A$2:$B$33,2,0))/Z101&gt;0,(W101-1000000-Datos!$N$6-1%*O101*VLOOKUP(TODAY(),'UF HOY'!$A$2:$B$33,2,0))/Z101,0)</f>
        <v>218792.42177777752</v>
      </c>
      <c r="AB101" s="221">
        <f>IF(L101&gt;0,VLOOKUP(D101,Datos!$H$35:$J$38,3,0),VLOOKUP(D101,Datos!$H$35:$J$38,2,0))</f>
        <v>380000</v>
      </c>
      <c r="AC101" s="79">
        <f ca="1">(S101*PMT(Datos!$D$15,Datos!$D$13,-O101,,)*VLOOKUP(TODAY(),'UF HOY'!$A$2:$B$36,2,0)/12)+VLOOKUP(TODAY(),'UF HOY'!$A$2:$B$36,2,0)</f>
        <v>525339.41164479451</v>
      </c>
      <c r="AD101" s="79">
        <f t="shared" ca="1" si="46"/>
        <v>-145339.41164479451</v>
      </c>
      <c r="AE101" s="220">
        <f t="shared" ca="1" si="47"/>
        <v>2101357.6465791781</v>
      </c>
    </row>
    <row r="102" spans="1:31">
      <c r="A102" s="86" t="s">
        <v>4</v>
      </c>
      <c r="B102" s="86">
        <v>1104</v>
      </c>
      <c r="C102" s="67" t="s">
        <v>130</v>
      </c>
      <c r="D102" s="67" t="s">
        <v>195</v>
      </c>
      <c r="E102" s="67"/>
      <c r="F102" s="66">
        <v>33.67</v>
      </c>
      <c r="G102" s="66">
        <v>4.96</v>
      </c>
      <c r="H102" s="67">
        <f t="shared" si="36"/>
        <v>36.15</v>
      </c>
      <c r="I102" s="68">
        <f t="shared" si="37"/>
        <v>38.630000000000003</v>
      </c>
      <c r="J102" s="69">
        <v>3170</v>
      </c>
      <c r="K102" s="70">
        <v>0</v>
      </c>
      <c r="L102" s="71">
        <v>0</v>
      </c>
      <c r="M102" s="71">
        <v>0</v>
      </c>
      <c r="N102" s="72">
        <f t="shared" si="38"/>
        <v>2694.5</v>
      </c>
      <c r="O102" s="73">
        <f t="shared" si="39"/>
        <v>3170</v>
      </c>
      <c r="P102" s="121">
        <f t="shared" si="40"/>
        <v>74.53665283540802</v>
      </c>
      <c r="Q102" s="74">
        <f t="shared" si="41"/>
        <v>0.15</v>
      </c>
      <c r="R102" s="75">
        <f t="shared" si="42"/>
        <v>475.5</v>
      </c>
      <c r="S102" s="74">
        <v>0.8</v>
      </c>
      <c r="T102" s="75">
        <f t="shared" si="43"/>
        <v>2536</v>
      </c>
      <c r="U102" s="76">
        <f t="shared" si="44"/>
        <v>4.9999999999999961E-2</v>
      </c>
      <c r="V102" s="69">
        <f t="shared" si="45"/>
        <v>158.49999999999989</v>
      </c>
      <c r="W102" s="77">
        <f ca="1">V102*VLOOKUP(TODAY(),'UF HOY'!$A$2:$B$36,2,0)</f>
        <v>6297829.4899999956</v>
      </c>
      <c r="X102" s="78">
        <f>Datos!$E$6</f>
        <v>18</v>
      </c>
      <c r="Y102" s="79">
        <f ca="1">IF((W102-1000000-Datos!$N$6)/X102&gt;0,(W102-1000000-Datos!$N$6)/X102,0)</f>
        <v>288768.30499999976</v>
      </c>
      <c r="Z102" s="78">
        <f>Datos!$E$6</f>
        <v>18</v>
      </c>
      <c r="AA102" s="79">
        <f ca="1">IF((W102-1000000-Datos!$N$6-1%*O102*VLOOKUP(TODAY(),'UF HOY'!$A$2:$B$33,2,0))/Z102&gt;0,(W102-1000000-Datos!$N$6-1%*O102*VLOOKUP(TODAY(),'UF HOY'!$A$2:$B$33,2,0))/Z102,0)</f>
        <v>218792.42177777752</v>
      </c>
      <c r="AB102" s="221">
        <f>IF(L102&gt;0,VLOOKUP(D102,Datos!$H$35:$J$38,3,0),VLOOKUP(D102,Datos!$H$35:$J$38,2,0))</f>
        <v>380000</v>
      </c>
      <c r="AC102" s="79">
        <f ca="1">(S102*PMT(Datos!$D$15,Datos!$D$13,-O102,,)*VLOOKUP(TODAY(),'UF HOY'!$A$2:$B$36,2,0)/12)+VLOOKUP(TODAY(),'UF HOY'!$A$2:$B$36,2,0)</f>
        <v>525339.41164479451</v>
      </c>
      <c r="AD102" s="79">
        <f t="shared" ca="1" si="46"/>
        <v>-145339.41164479451</v>
      </c>
      <c r="AE102" s="220">
        <f t="shared" ca="1" si="47"/>
        <v>2101357.6465791781</v>
      </c>
    </row>
    <row r="103" spans="1:31">
      <c r="A103" s="86" t="s">
        <v>4</v>
      </c>
      <c r="B103" s="86">
        <v>1109</v>
      </c>
      <c r="C103" s="67" t="s">
        <v>130</v>
      </c>
      <c r="D103" s="67" t="s">
        <v>195</v>
      </c>
      <c r="E103" s="67"/>
      <c r="F103" s="66">
        <v>33.67</v>
      </c>
      <c r="G103" s="66">
        <v>4.96</v>
      </c>
      <c r="H103" s="67">
        <f t="shared" si="36"/>
        <v>36.15</v>
      </c>
      <c r="I103" s="68">
        <f t="shared" si="37"/>
        <v>38.630000000000003</v>
      </c>
      <c r="J103" s="69">
        <v>3170</v>
      </c>
      <c r="K103" s="70">
        <v>0</v>
      </c>
      <c r="L103" s="71">
        <v>0</v>
      </c>
      <c r="M103" s="71">
        <v>0</v>
      </c>
      <c r="N103" s="72">
        <f t="shared" si="38"/>
        <v>2694.5</v>
      </c>
      <c r="O103" s="73">
        <f t="shared" si="39"/>
        <v>3170</v>
      </c>
      <c r="P103" s="121">
        <f t="shared" si="40"/>
        <v>74.53665283540802</v>
      </c>
      <c r="Q103" s="74">
        <f t="shared" si="41"/>
        <v>0.15</v>
      </c>
      <c r="R103" s="75">
        <f t="shared" si="42"/>
        <v>475.5</v>
      </c>
      <c r="S103" s="74">
        <v>0.8</v>
      </c>
      <c r="T103" s="75">
        <f t="shared" si="43"/>
        <v>2536</v>
      </c>
      <c r="U103" s="76">
        <f t="shared" si="44"/>
        <v>4.9999999999999961E-2</v>
      </c>
      <c r="V103" s="69">
        <f t="shared" si="45"/>
        <v>158.49999999999989</v>
      </c>
      <c r="W103" s="77">
        <f ca="1">V103*VLOOKUP(TODAY(),'UF HOY'!$A$2:$B$36,2,0)</f>
        <v>6297829.4899999956</v>
      </c>
      <c r="X103" s="78">
        <f>Datos!$E$6</f>
        <v>18</v>
      </c>
      <c r="Y103" s="79">
        <f ca="1">IF((W103-1000000-Datos!$N$6)/X103&gt;0,(W103-1000000-Datos!$N$6)/X103,0)</f>
        <v>288768.30499999976</v>
      </c>
      <c r="Z103" s="78">
        <f>Datos!$E$6</f>
        <v>18</v>
      </c>
      <c r="AA103" s="79">
        <f ca="1">IF((W103-1000000-Datos!$N$6-1%*O103*VLOOKUP(TODAY(),'UF HOY'!$A$2:$B$33,2,0))/Z103&gt;0,(W103-1000000-Datos!$N$6-1%*O103*VLOOKUP(TODAY(),'UF HOY'!$A$2:$B$33,2,0))/Z103,0)</f>
        <v>218792.42177777752</v>
      </c>
      <c r="AB103" s="221">
        <f>IF(L103&gt;0,VLOOKUP(D103,Datos!$H$35:$J$38,3,0),VLOOKUP(D103,Datos!$H$35:$J$38,2,0))</f>
        <v>380000</v>
      </c>
      <c r="AC103" s="79">
        <f ca="1">(S103*PMT(Datos!$D$15,Datos!$D$13,-O103,,)*VLOOKUP(TODAY(),'UF HOY'!$A$2:$B$36,2,0)/12)+VLOOKUP(TODAY(),'UF HOY'!$A$2:$B$36,2,0)</f>
        <v>525339.41164479451</v>
      </c>
      <c r="AD103" s="79">
        <f t="shared" ca="1" si="46"/>
        <v>-145339.41164479451</v>
      </c>
      <c r="AE103" s="220">
        <f t="shared" ca="1" si="47"/>
        <v>2101357.6465791781</v>
      </c>
    </row>
    <row r="104" spans="1:31">
      <c r="A104" s="86" t="s">
        <v>4</v>
      </c>
      <c r="B104" s="86">
        <v>1204</v>
      </c>
      <c r="C104" s="67" t="s">
        <v>130</v>
      </c>
      <c r="D104" s="67" t="s">
        <v>195</v>
      </c>
      <c r="E104" s="67"/>
      <c r="F104" s="66">
        <v>33.67</v>
      </c>
      <c r="G104" s="66">
        <v>4.96</v>
      </c>
      <c r="H104" s="67">
        <f t="shared" si="36"/>
        <v>36.15</v>
      </c>
      <c r="I104" s="68">
        <f t="shared" si="37"/>
        <v>38.630000000000003</v>
      </c>
      <c r="J104" s="69">
        <v>3170</v>
      </c>
      <c r="K104" s="70">
        <v>0</v>
      </c>
      <c r="L104" s="71">
        <v>0</v>
      </c>
      <c r="M104" s="71">
        <v>0</v>
      </c>
      <c r="N104" s="72">
        <f t="shared" si="38"/>
        <v>2694.5</v>
      </c>
      <c r="O104" s="73">
        <f t="shared" si="39"/>
        <v>3170</v>
      </c>
      <c r="P104" s="121">
        <f t="shared" si="40"/>
        <v>74.53665283540802</v>
      </c>
      <c r="Q104" s="74">
        <f t="shared" si="41"/>
        <v>0.15</v>
      </c>
      <c r="R104" s="75">
        <f t="shared" si="42"/>
        <v>475.5</v>
      </c>
      <c r="S104" s="74">
        <v>0.8</v>
      </c>
      <c r="T104" s="75">
        <f t="shared" si="43"/>
        <v>2536</v>
      </c>
      <c r="U104" s="76">
        <f t="shared" si="44"/>
        <v>4.9999999999999961E-2</v>
      </c>
      <c r="V104" s="69">
        <f t="shared" si="45"/>
        <v>158.49999999999989</v>
      </c>
      <c r="W104" s="77">
        <f ca="1">V104*VLOOKUP(TODAY(),'UF HOY'!$A$2:$B$36,2,0)</f>
        <v>6297829.4899999956</v>
      </c>
      <c r="X104" s="78">
        <f>Datos!$E$6</f>
        <v>18</v>
      </c>
      <c r="Y104" s="79">
        <f ca="1">IF((W104-1000000-Datos!$N$6)/X104&gt;0,(W104-1000000-Datos!$N$6)/X104,0)</f>
        <v>288768.30499999976</v>
      </c>
      <c r="Z104" s="78">
        <f>Datos!$E$6</f>
        <v>18</v>
      </c>
      <c r="AA104" s="79">
        <f ca="1">IF((W104-1000000-Datos!$N$6-1%*O104*VLOOKUP(TODAY(),'UF HOY'!$A$2:$B$33,2,0))/Z104&gt;0,(W104-1000000-Datos!$N$6-1%*O104*VLOOKUP(TODAY(),'UF HOY'!$A$2:$B$33,2,0))/Z104,0)</f>
        <v>218792.42177777752</v>
      </c>
      <c r="AB104" s="221">
        <f>IF(L104&gt;0,VLOOKUP(D104,Datos!$H$35:$J$38,3,0),VLOOKUP(D104,Datos!$H$35:$J$38,2,0))</f>
        <v>380000</v>
      </c>
      <c r="AC104" s="79">
        <f ca="1">(S104*PMT(Datos!$D$15,Datos!$D$13,-O104,,)*VLOOKUP(TODAY(),'UF HOY'!$A$2:$B$36,2,0)/12)+VLOOKUP(TODAY(),'UF HOY'!$A$2:$B$36,2,0)</f>
        <v>525339.41164479451</v>
      </c>
      <c r="AD104" s="79">
        <f t="shared" ca="1" si="46"/>
        <v>-145339.41164479451</v>
      </c>
      <c r="AE104" s="220">
        <f t="shared" ca="1" si="47"/>
        <v>2101357.6465791781</v>
      </c>
    </row>
    <row r="105" spans="1:31">
      <c r="A105" s="86" t="s">
        <v>4</v>
      </c>
      <c r="B105" s="86">
        <v>1209</v>
      </c>
      <c r="C105" s="67" t="s">
        <v>130</v>
      </c>
      <c r="D105" s="67" t="s">
        <v>195</v>
      </c>
      <c r="E105" s="67"/>
      <c r="F105" s="66">
        <v>33.67</v>
      </c>
      <c r="G105" s="66">
        <v>4.96</v>
      </c>
      <c r="H105" s="67">
        <f t="shared" si="36"/>
        <v>36.15</v>
      </c>
      <c r="I105" s="68">
        <f t="shared" si="37"/>
        <v>38.630000000000003</v>
      </c>
      <c r="J105" s="69">
        <v>3170</v>
      </c>
      <c r="K105" s="70">
        <v>0</v>
      </c>
      <c r="L105" s="71">
        <v>0</v>
      </c>
      <c r="M105" s="71">
        <v>0</v>
      </c>
      <c r="N105" s="72">
        <f t="shared" si="38"/>
        <v>2694.5</v>
      </c>
      <c r="O105" s="73">
        <f t="shared" si="39"/>
        <v>3170</v>
      </c>
      <c r="P105" s="121">
        <f t="shared" si="40"/>
        <v>74.53665283540802</v>
      </c>
      <c r="Q105" s="74">
        <f t="shared" si="41"/>
        <v>0.15</v>
      </c>
      <c r="R105" s="75">
        <f t="shared" si="42"/>
        <v>475.5</v>
      </c>
      <c r="S105" s="74">
        <v>0.8</v>
      </c>
      <c r="T105" s="75">
        <f t="shared" si="43"/>
        <v>2536</v>
      </c>
      <c r="U105" s="76">
        <f t="shared" si="44"/>
        <v>4.9999999999999961E-2</v>
      </c>
      <c r="V105" s="69">
        <f t="shared" si="45"/>
        <v>158.49999999999989</v>
      </c>
      <c r="W105" s="77">
        <f ca="1">V105*VLOOKUP(TODAY(),'UF HOY'!$A$2:$B$36,2,0)</f>
        <v>6297829.4899999956</v>
      </c>
      <c r="X105" s="78">
        <f>Datos!$E$6</f>
        <v>18</v>
      </c>
      <c r="Y105" s="79">
        <f ca="1">IF((W105-1000000-Datos!$N$6)/X105&gt;0,(W105-1000000-Datos!$N$6)/X105,0)</f>
        <v>288768.30499999976</v>
      </c>
      <c r="Z105" s="78">
        <f>Datos!$E$6</f>
        <v>18</v>
      </c>
      <c r="AA105" s="79">
        <f ca="1">IF((W105-1000000-Datos!$N$6-1%*O105*VLOOKUP(TODAY(),'UF HOY'!$A$2:$B$33,2,0))/Z105&gt;0,(W105-1000000-Datos!$N$6-1%*O105*VLOOKUP(TODAY(),'UF HOY'!$A$2:$B$33,2,0))/Z105,0)</f>
        <v>218792.42177777752</v>
      </c>
      <c r="AB105" s="221">
        <f>IF(L105&gt;0,VLOOKUP(D105,Datos!$H$35:$J$38,3,0),VLOOKUP(D105,Datos!$H$35:$J$38,2,0))</f>
        <v>380000</v>
      </c>
      <c r="AC105" s="79">
        <f ca="1">(S105*PMT(Datos!$D$15,Datos!$D$13,-O105,,)*VLOOKUP(TODAY(),'UF HOY'!$A$2:$B$36,2,0)/12)+VLOOKUP(TODAY(),'UF HOY'!$A$2:$B$36,2,0)</f>
        <v>525339.41164479451</v>
      </c>
      <c r="AD105" s="79">
        <f t="shared" ca="1" si="46"/>
        <v>-145339.41164479451</v>
      </c>
      <c r="AE105" s="220">
        <f t="shared" ca="1" si="47"/>
        <v>2101357.6465791781</v>
      </c>
    </row>
    <row r="106" spans="1:31">
      <c r="A106" s="86" t="s">
        <v>4</v>
      </c>
      <c r="B106" s="86">
        <v>1404</v>
      </c>
      <c r="C106" s="67" t="s">
        <v>130</v>
      </c>
      <c r="D106" s="67" t="s">
        <v>195</v>
      </c>
      <c r="E106" s="67"/>
      <c r="F106" s="66">
        <v>33.67</v>
      </c>
      <c r="G106" s="66">
        <v>4.96</v>
      </c>
      <c r="H106" s="67">
        <f t="shared" si="36"/>
        <v>36.15</v>
      </c>
      <c r="I106" s="68">
        <f t="shared" si="37"/>
        <v>38.630000000000003</v>
      </c>
      <c r="J106" s="69">
        <v>3170</v>
      </c>
      <c r="K106" s="70">
        <v>0</v>
      </c>
      <c r="L106" s="71">
        <v>0</v>
      </c>
      <c r="M106" s="71">
        <v>0</v>
      </c>
      <c r="N106" s="72">
        <f t="shared" si="38"/>
        <v>2694.5</v>
      </c>
      <c r="O106" s="73">
        <f t="shared" si="39"/>
        <v>3170</v>
      </c>
      <c r="P106" s="121">
        <f t="shared" si="40"/>
        <v>74.53665283540802</v>
      </c>
      <c r="Q106" s="74">
        <f t="shared" si="41"/>
        <v>0.15</v>
      </c>
      <c r="R106" s="75">
        <f t="shared" si="42"/>
        <v>475.5</v>
      </c>
      <c r="S106" s="74">
        <v>0.8</v>
      </c>
      <c r="T106" s="75">
        <f t="shared" si="43"/>
        <v>2536</v>
      </c>
      <c r="U106" s="76">
        <f t="shared" si="44"/>
        <v>4.9999999999999961E-2</v>
      </c>
      <c r="V106" s="69">
        <f t="shared" si="45"/>
        <v>158.49999999999989</v>
      </c>
      <c r="W106" s="77">
        <f ca="1">V106*VLOOKUP(TODAY(),'UF HOY'!$A$2:$B$36,2,0)</f>
        <v>6297829.4899999956</v>
      </c>
      <c r="X106" s="78">
        <f>Datos!$E$6</f>
        <v>18</v>
      </c>
      <c r="Y106" s="79">
        <f ca="1">IF((W106-1000000-Datos!$N$6)/X106&gt;0,(W106-1000000-Datos!$N$6)/X106,0)</f>
        <v>288768.30499999976</v>
      </c>
      <c r="Z106" s="78">
        <f>Datos!$E$6</f>
        <v>18</v>
      </c>
      <c r="AA106" s="79">
        <f ca="1">IF((W106-1000000-Datos!$N$6-1%*O106*VLOOKUP(TODAY(),'UF HOY'!$A$2:$B$33,2,0))/Z106&gt;0,(W106-1000000-Datos!$N$6-1%*O106*VLOOKUP(TODAY(),'UF HOY'!$A$2:$B$33,2,0))/Z106,0)</f>
        <v>218792.42177777752</v>
      </c>
      <c r="AB106" s="221">
        <f>IF(L106&gt;0,VLOOKUP(D106,Datos!$H$35:$J$38,3,0),VLOOKUP(D106,Datos!$H$35:$J$38,2,0))</f>
        <v>380000</v>
      </c>
      <c r="AC106" s="79">
        <f ca="1">(S106*PMT(Datos!$D$15,Datos!$D$13,-O106,,)*VLOOKUP(TODAY(),'UF HOY'!$A$2:$B$36,2,0)/12)+VLOOKUP(TODAY(),'UF HOY'!$A$2:$B$36,2,0)</f>
        <v>525339.41164479451</v>
      </c>
      <c r="AD106" s="79">
        <f t="shared" ca="1" si="46"/>
        <v>-145339.41164479451</v>
      </c>
      <c r="AE106" s="220">
        <f t="shared" ca="1" si="47"/>
        <v>2101357.6465791781</v>
      </c>
    </row>
    <row r="107" spans="1:31">
      <c r="A107" s="86" t="s">
        <v>4</v>
      </c>
      <c r="B107" s="86">
        <v>1409</v>
      </c>
      <c r="C107" s="67" t="s">
        <v>130</v>
      </c>
      <c r="D107" s="67" t="s">
        <v>195</v>
      </c>
      <c r="E107" s="67"/>
      <c r="F107" s="66">
        <v>33.67</v>
      </c>
      <c r="G107" s="66">
        <v>4.96</v>
      </c>
      <c r="H107" s="67">
        <f t="shared" si="36"/>
        <v>36.15</v>
      </c>
      <c r="I107" s="68">
        <f t="shared" si="37"/>
        <v>38.630000000000003</v>
      </c>
      <c r="J107" s="69">
        <v>3170</v>
      </c>
      <c r="K107" s="70">
        <v>0</v>
      </c>
      <c r="L107" s="71">
        <v>0</v>
      </c>
      <c r="M107" s="71">
        <v>0</v>
      </c>
      <c r="N107" s="72">
        <f t="shared" si="38"/>
        <v>2694.5</v>
      </c>
      <c r="O107" s="73">
        <f t="shared" si="39"/>
        <v>3170</v>
      </c>
      <c r="P107" s="121">
        <f t="shared" si="40"/>
        <v>74.53665283540802</v>
      </c>
      <c r="Q107" s="74">
        <f t="shared" si="41"/>
        <v>0.15</v>
      </c>
      <c r="R107" s="75">
        <f t="shared" si="42"/>
        <v>475.5</v>
      </c>
      <c r="S107" s="74">
        <v>0.8</v>
      </c>
      <c r="T107" s="75">
        <f t="shared" si="43"/>
        <v>2536</v>
      </c>
      <c r="U107" s="76">
        <f t="shared" si="44"/>
        <v>4.9999999999999961E-2</v>
      </c>
      <c r="V107" s="69">
        <f t="shared" si="45"/>
        <v>158.49999999999989</v>
      </c>
      <c r="W107" s="77">
        <f ca="1">V107*VLOOKUP(TODAY(),'UF HOY'!$A$2:$B$36,2,0)</f>
        <v>6297829.4899999956</v>
      </c>
      <c r="X107" s="78">
        <f>Datos!$E$6</f>
        <v>18</v>
      </c>
      <c r="Y107" s="79">
        <f ca="1">IF((W107-1000000-Datos!$N$6)/X107&gt;0,(W107-1000000-Datos!$N$6)/X107,0)</f>
        <v>288768.30499999976</v>
      </c>
      <c r="Z107" s="78">
        <f>Datos!$E$6</f>
        <v>18</v>
      </c>
      <c r="AA107" s="79">
        <f ca="1">IF((W107-1000000-Datos!$N$6-1%*O107*VLOOKUP(TODAY(),'UF HOY'!$A$2:$B$33,2,0))/Z107&gt;0,(W107-1000000-Datos!$N$6-1%*O107*VLOOKUP(TODAY(),'UF HOY'!$A$2:$B$33,2,0))/Z107,0)</f>
        <v>218792.42177777752</v>
      </c>
      <c r="AB107" s="221">
        <f>IF(L107&gt;0,VLOOKUP(D107,Datos!$H$35:$J$38,3,0),VLOOKUP(D107,Datos!$H$35:$J$38,2,0))</f>
        <v>380000</v>
      </c>
      <c r="AC107" s="79">
        <f ca="1">(S107*PMT(Datos!$D$15,Datos!$D$13,-O107,,)*VLOOKUP(TODAY(),'UF HOY'!$A$2:$B$36,2,0)/12)+VLOOKUP(TODAY(),'UF HOY'!$A$2:$B$36,2,0)</f>
        <v>525339.41164479451</v>
      </c>
      <c r="AD107" s="79">
        <f t="shared" ca="1" si="46"/>
        <v>-145339.41164479451</v>
      </c>
      <c r="AE107" s="220">
        <f t="shared" ca="1" si="47"/>
        <v>2101357.6465791781</v>
      </c>
    </row>
    <row r="108" spans="1:31">
      <c r="A108" s="86" t="s">
        <v>4</v>
      </c>
      <c r="B108" s="86">
        <v>1509</v>
      </c>
      <c r="C108" s="67" t="s">
        <v>130</v>
      </c>
      <c r="D108" s="67" t="s">
        <v>195</v>
      </c>
      <c r="E108" s="67"/>
      <c r="F108" s="66">
        <v>33.67</v>
      </c>
      <c r="G108" s="66">
        <v>4.96</v>
      </c>
      <c r="H108" s="67">
        <f t="shared" si="36"/>
        <v>36.15</v>
      </c>
      <c r="I108" s="68">
        <f t="shared" si="37"/>
        <v>38.630000000000003</v>
      </c>
      <c r="J108" s="69">
        <v>3170</v>
      </c>
      <c r="K108" s="70">
        <v>0</v>
      </c>
      <c r="L108" s="71">
        <v>0</v>
      </c>
      <c r="M108" s="71">
        <v>0</v>
      </c>
      <c r="N108" s="72">
        <f t="shared" si="38"/>
        <v>2694.5</v>
      </c>
      <c r="O108" s="73">
        <f t="shared" si="39"/>
        <v>3170</v>
      </c>
      <c r="P108" s="121">
        <f t="shared" si="40"/>
        <v>74.53665283540802</v>
      </c>
      <c r="Q108" s="74">
        <f t="shared" si="41"/>
        <v>0.15</v>
      </c>
      <c r="R108" s="75">
        <f t="shared" si="42"/>
        <v>475.5</v>
      </c>
      <c r="S108" s="74">
        <v>0.8</v>
      </c>
      <c r="T108" s="75">
        <f t="shared" si="43"/>
        <v>2536</v>
      </c>
      <c r="U108" s="76">
        <f t="shared" si="44"/>
        <v>4.9999999999999961E-2</v>
      </c>
      <c r="V108" s="69">
        <f t="shared" si="45"/>
        <v>158.49999999999989</v>
      </c>
      <c r="W108" s="77">
        <f ca="1">V108*VLOOKUP(TODAY(),'UF HOY'!$A$2:$B$36,2,0)</f>
        <v>6297829.4899999956</v>
      </c>
      <c r="X108" s="78">
        <f>Datos!$E$6</f>
        <v>18</v>
      </c>
      <c r="Y108" s="79">
        <f ca="1">IF((W108-1000000-Datos!$N$6)/X108&gt;0,(W108-1000000-Datos!$N$6)/X108,0)</f>
        <v>288768.30499999976</v>
      </c>
      <c r="Z108" s="78">
        <f>Datos!$E$6</f>
        <v>18</v>
      </c>
      <c r="AA108" s="79">
        <f ca="1">IF((W108-1000000-Datos!$N$6-1%*O108*VLOOKUP(TODAY(),'UF HOY'!$A$2:$B$33,2,0))/Z108&gt;0,(W108-1000000-Datos!$N$6-1%*O108*VLOOKUP(TODAY(),'UF HOY'!$A$2:$B$33,2,0))/Z108,0)</f>
        <v>218792.42177777752</v>
      </c>
      <c r="AB108" s="221">
        <f>IF(L108&gt;0,VLOOKUP(D108,Datos!$H$35:$J$38,3,0),VLOOKUP(D108,Datos!$H$35:$J$38,2,0))</f>
        <v>380000</v>
      </c>
      <c r="AC108" s="79">
        <f ca="1">(S108*PMT(Datos!$D$15,Datos!$D$13,-O108,,)*VLOOKUP(TODAY(),'UF HOY'!$A$2:$B$36,2,0)/12)+VLOOKUP(TODAY(),'UF HOY'!$A$2:$B$36,2,0)</f>
        <v>525339.41164479451</v>
      </c>
      <c r="AD108" s="79">
        <f t="shared" ca="1" si="46"/>
        <v>-145339.41164479451</v>
      </c>
      <c r="AE108" s="220">
        <f t="shared" ca="1" si="47"/>
        <v>2101357.6465791781</v>
      </c>
    </row>
    <row r="109" spans="1:31">
      <c r="A109" s="86" t="s">
        <v>4</v>
      </c>
      <c r="B109" s="86">
        <v>1604</v>
      </c>
      <c r="C109" s="67" t="s">
        <v>130</v>
      </c>
      <c r="D109" s="67" t="s">
        <v>195</v>
      </c>
      <c r="E109" s="67"/>
      <c r="F109" s="66">
        <v>33.67</v>
      </c>
      <c r="G109" s="66">
        <v>4.96</v>
      </c>
      <c r="H109" s="67">
        <f t="shared" si="36"/>
        <v>36.15</v>
      </c>
      <c r="I109" s="68">
        <f t="shared" si="37"/>
        <v>38.630000000000003</v>
      </c>
      <c r="J109" s="69">
        <v>3170</v>
      </c>
      <c r="K109" s="70">
        <v>0</v>
      </c>
      <c r="L109" s="71">
        <v>0</v>
      </c>
      <c r="M109" s="71">
        <v>0</v>
      </c>
      <c r="N109" s="72">
        <f t="shared" si="38"/>
        <v>2694.5</v>
      </c>
      <c r="O109" s="73">
        <f t="shared" si="39"/>
        <v>3170</v>
      </c>
      <c r="P109" s="121">
        <f t="shared" si="40"/>
        <v>74.53665283540802</v>
      </c>
      <c r="Q109" s="74">
        <f t="shared" si="41"/>
        <v>0.15</v>
      </c>
      <c r="R109" s="75">
        <f t="shared" si="42"/>
        <v>475.5</v>
      </c>
      <c r="S109" s="74">
        <v>0.8</v>
      </c>
      <c r="T109" s="75">
        <f t="shared" si="43"/>
        <v>2536</v>
      </c>
      <c r="U109" s="76">
        <f t="shared" si="44"/>
        <v>4.9999999999999961E-2</v>
      </c>
      <c r="V109" s="69">
        <f t="shared" si="45"/>
        <v>158.49999999999989</v>
      </c>
      <c r="W109" s="77">
        <f ca="1">V109*VLOOKUP(TODAY(),'UF HOY'!$A$2:$B$36,2,0)</f>
        <v>6297829.4899999956</v>
      </c>
      <c r="X109" s="78">
        <f>Datos!$E$6</f>
        <v>18</v>
      </c>
      <c r="Y109" s="79">
        <f ca="1">IF((W109-1000000-Datos!$N$6)/X109&gt;0,(W109-1000000-Datos!$N$6)/X109,0)</f>
        <v>288768.30499999976</v>
      </c>
      <c r="Z109" s="78">
        <f>Datos!$E$6</f>
        <v>18</v>
      </c>
      <c r="AA109" s="79">
        <f ca="1">IF((W109-1000000-Datos!$N$6-1%*O109*VLOOKUP(TODAY(),'UF HOY'!$A$2:$B$33,2,0))/Z109&gt;0,(W109-1000000-Datos!$N$6-1%*O109*VLOOKUP(TODAY(),'UF HOY'!$A$2:$B$33,2,0))/Z109,0)</f>
        <v>218792.42177777752</v>
      </c>
      <c r="AB109" s="221">
        <f>IF(L109&gt;0,VLOOKUP(D109,Datos!$H$35:$J$38,3,0),VLOOKUP(D109,Datos!$H$35:$J$38,2,0))</f>
        <v>380000</v>
      </c>
      <c r="AC109" s="79">
        <f ca="1">(S109*PMT(Datos!$D$15,Datos!$D$13,-O109,,)*VLOOKUP(TODAY(),'UF HOY'!$A$2:$B$36,2,0)/12)+VLOOKUP(TODAY(),'UF HOY'!$A$2:$B$36,2,0)</f>
        <v>525339.41164479451</v>
      </c>
      <c r="AD109" s="79">
        <f t="shared" ca="1" si="46"/>
        <v>-145339.41164479451</v>
      </c>
      <c r="AE109" s="220">
        <f t="shared" ca="1" si="47"/>
        <v>2101357.6465791781</v>
      </c>
    </row>
    <row r="110" spans="1:31">
      <c r="A110" s="86" t="s">
        <v>4</v>
      </c>
      <c r="B110" s="86">
        <v>1609</v>
      </c>
      <c r="C110" s="67" t="s">
        <v>130</v>
      </c>
      <c r="D110" s="67" t="s">
        <v>195</v>
      </c>
      <c r="E110" s="67"/>
      <c r="F110" s="66">
        <v>33.67</v>
      </c>
      <c r="G110" s="66">
        <v>4.96</v>
      </c>
      <c r="H110" s="67">
        <f t="shared" si="36"/>
        <v>36.15</v>
      </c>
      <c r="I110" s="68">
        <f t="shared" si="37"/>
        <v>38.630000000000003</v>
      </c>
      <c r="J110" s="69">
        <v>3170</v>
      </c>
      <c r="K110" s="70">
        <v>0</v>
      </c>
      <c r="L110" s="71">
        <v>0</v>
      </c>
      <c r="M110" s="71">
        <v>0</v>
      </c>
      <c r="N110" s="72">
        <f t="shared" si="38"/>
        <v>2694.5</v>
      </c>
      <c r="O110" s="73">
        <f t="shared" si="39"/>
        <v>3170</v>
      </c>
      <c r="P110" s="121">
        <f t="shared" si="40"/>
        <v>74.53665283540802</v>
      </c>
      <c r="Q110" s="74">
        <f t="shared" si="41"/>
        <v>0.15</v>
      </c>
      <c r="R110" s="75">
        <f t="shared" si="42"/>
        <v>475.5</v>
      </c>
      <c r="S110" s="74">
        <v>0.8</v>
      </c>
      <c r="T110" s="75">
        <f t="shared" si="43"/>
        <v>2536</v>
      </c>
      <c r="U110" s="76">
        <f t="shared" si="44"/>
        <v>4.9999999999999961E-2</v>
      </c>
      <c r="V110" s="69">
        <f t="shared" si="45"/>
        <v>158.49999999999989</v>
      </c>
      <c r="W110" s="77">
        <f ca="1">V110*VLOOKUP(TODAY(),'UF HOY'!$A$2:$B$36,2,0)</f>
        <v>6297829.4899999956</v>
      </c>
      <c r="X110" s="78">
        <f>Datos!$E$6</f>
        <v>18</v>
      </c>
      <c r="Y110" s="79">
        <f ca="1">IF((W110-1000000-Datos!$N$6)/X110&gt;0,(W110-1000000-Datos!$N$6)/X110,0)</f>
        <v>288768.30499999976</v>
      </c>
      <c r="Z110" s="78">
        <f>Datos!$E$6</f>
        <v>18</v>
      </c>
      <c r="AA110" s="79">
        <f ca="1">IF((W110-1000000-Datos!$N$6-1%*O110*VLOOKUP(TODAY(),'UF HOY'!$A$2:$B$33,2,0))/Z110&gt;0,(W110-1000000-Datos!$N$6-1%*O110*VLOOKUP(TODAY(),'UF HOY'!$A$2:$B$33,2,0))/Z110,0)</f>
        <v>218792.42177777752</v>
      </c>
      <c r="AB110" s="221">
        <f>IF(L110&gt;0,VLOOKUP(D110,Datos!$H$35:$J$38,3,0),VLOOKUP(D110,Datos!$H$35:$J$38,2,0))</f>
        <v>380000</v>
      </c>
      <c r="AC110" s="79">
        <f ca="1">(S110*PMT(Datos!$D$15,Datos!$D$13,-O110,,)*VLOOKUP(TODAY(),'UF HOY'!$A$2:$B$36,2,0)/12)+VLOOKUP(TODAY(),'UF HOY'!$A$2:$B$36,2,0)</f>
        <v>525339.41164479451</v>
      </c>
      <c r="AD110" s="79">
        <f t="shared" ca="1" si="46"/>
        <v>-145339.41164479451</v>
      </c>
      <c r="AE110" s="220">
        <f t="shared" ca="1" si="47"/>
        <v>2101357.6465791781</v>
      </c>
    </row>
    <row r="111" spans="1:31" hidden="1">
      <c r="A111" s="86" t="s">
        <v>171</v>
      </c>
      <c r="B111" s="86">
        <v>1504</v>
      </c>
      <c r="C111" s="67" t="s">
        <v>130</v>
      </c>
      <c r="D111" s="67" t="s">
        <v>195</v>
      </c>
      <c r="E111" s="67"/>
      <c r="F111" s="66">
        <v>33.67</v>
      </c>
      <c r="G111" s="66">
        <v>4.96</v>
      </c>
      <c r="H111" s="67">
        <f t="shared" si="36"/>
        <v>36.15</v>
      </c>
      <c r="I111" s="68">
        <f t="shared" si="37"/>
        <v>38.630000000000003</v>
      </c>
      <c r="J111" s="69">
        <v>3170</v>
      </c>
      <c r="K111" s="70">
        <v>0</v>
      </c>
      <c r="L111" s="71">
        <v>0</v>
      </c>
      <c r="M111" s="71">
        <v>0</v>
      </c>
      <c r="N111" s="72">
        <f t="shared" si="38"/>
        <v>2694.5</v>
      </c>
      <c r="O111" s="73">
        <f t="shared" si="39"/>
        <v>3170</v>
      </c>
      <c r="P111" s="121">
        <f t="shared" si="40"/>
        <v>74.53665283540802</v>
      </c>
      <c r="Q111" s="74">
        <f t="shared" si="41"/>
        <v>0.15</v>
      </c>
      <c r="R111" s="75">
        <f t="shared" si="42"/>
        <v>475.5</v>
      </c>
      <c r="S111" s="74">
        <v>0.8</v>
      </c>
      <c r="T111" s="75">
        <f t="shared" si="43"/>
        <v>2536</v>
      </c>
      <c r="U111" s="76">
        <f t="shared" si="44"/>
        <v>4.9999999999999961E-2</v>
      </c>
      <c r="V111" s="69">
        <f t="shared" si="45"/>
        <v>158.49999999999989</v>
      </c>
      <c r="W111" s="77">
        <f ca="1">V111*VLOOKUP(TODAY(),'UF HOY'!$A$2:$B$36,2,0)</f>
        <v>6297829.4899999956</v>
      </c>
      <c r="X111" s="78">
        <f>Datos!$E$6</f>
        <v>18</v>
      </c>
      <c r="Y111" s="79">
        <f ca="1">IF((W111-1000000-Datos!$N$6)/X111&gt;0,(W111-1000000-Datos!$N$6)/X111,0)</f>
        <v>288768.30499999976</v>
      </c>
      <c r="Z111" s="78">
        <f>Datos!$E$6</f>
        <v>18</v>
      </c>
      <c r="AA111" s="79">
        <f ca="1">IF((W111-1000000-Datos!$N$6-1%*O111*VLOOKUP(TODAY(),'UF HOY'!$A$2:$B$33,2,0))/Z111&gt;0,(W111-1000000-Datos!$N$6-1%*O111*VLOOKUP(TODAY(),'UF HOY'!$A$2:$B$33,2,0))/Z111,0)</f>
        <v>218792.42177777752</v>
      </c>
      <c r="AB111" s="221">
        <f>IF(L111&gt;0,VLOOKUP(D111,Datos!$H$35:$J$38,3,0),VLOOKUP(D111,Datos!$H$35:$J$38,2,0))</f>
        <v>380000</v>
      </c>
      <c r="AC111" s="79">
        <f ca="1">(S111*PMT(Datos!$D$15,Datos!$D$13,-O111,,)*VLOOKUP(TODAY(),'UF HOY'!$A$2:$B$36,2,0)/12)+VLOOKUP(TODAY(),'UF HOY'!$A$2:$B$36,2,0)</f>
        <v>525339.41164479451</v>
      </c>
      <c r="AD111" s="79">
        <f t="shared" ca="1" si="46"/>
        <v>-145339.41164479451</v>
      </c>
      <c r="AE111" s="220">
        <f t="shared" ca="1" si="47"/>
        <v>2101357.6465791781</v>
      </c>
    </row>
    <row r="112" spans="1:31" hidden="1">
      <c r="A112" s="86" t="s">
        <v>171</v>
      </c>
      <c r="B112" s="86">
        <v>106</v>
      </c>
      <c r="C112" s="67" t="s">
        <v>130</v>
      </c>
      <c r="D112" s="67" t="s">
        <v>196</v>
      </c>
      <c r="E112" s="67"/>
      <c r="F112" s="66">
        <v>43.03</v>
      </c>
      <c r="G112" s="66">
        <v>9.51</v>
      </c>
      <c r="H112" s="67">
        <f t="shared" si="36"/>
        <v>47.785000000000004</v>
      </c>
      <c r="I112" s="68">
        <f t="shared" si="37"/>
        <v>52.54</v>
      </c>
      <c r="J112" s="69">
        <v>3480</v>
      </c>
      <c r="K112" s="70">
        <v>0</v>
      </c>
      <c r="L112" s="71">
        <v>370</v>
      </c>
      <c r="M112" s="71">
        <v>0</v>
      </c>
      <c r="N112" s="72">
        <f t="shared" si="38"/>
        <v>3272.5</v>
      </c>
      <c r="O112" s="73">
        <f t="shared" si="39"/>
        <v>3850</v>
      </c>
      <c r="P112" s="121">
        <f t="shared" si="40"/>
        <v>60.74081824840431</v>
      </c>
      <c r="Q112" s="74">
        <f t="shared" si="41"/>
        <v>0.15</v>
      </c>
      <c r="R112" s="75">
        <f t="shared" si="42"/>
        <v>577.5</v>
      </c>
      <c r="S112" s="74">
        <v>0.8</v>
      </c>
      <c r="T112" s="75">
        <f t="shared" si="43"/>
        <v>3080</v>
      </c>
      <c r="U112" s="76">
        <f t="shared" si="44"/>
        <v>4.9999999999999961E-2</v>
      </c>
      <c r="V112" s="69">
        <f t="shared" si="45"/>
        <v>192.49999999999986</v>
      </c>
      <c r="W112" s="77">
        <f ca="1">V112*VLOOKUP(TODAY(),'UF HOY'!$A$2:$B$36,2,0)</f>
        <v>7648783.4499999946</v>
      </c>
      <c r="X112" s="78">
        <f>Datos!$E$6</f>
        <v>18</v>
      </c>
      <c r="Y112" s="79">
        <f ca="1">IF((W112-1000000-Datos!$N$6)/X112&gt;0,(W112-1000000-Datos!$N$6)/X112,0)</f>
        <v>363821.30277777748</v>
      </c>
      <c r="Z112" s="78">
        <f>Datos!$E$6</f>
        <v>18</v>
      </c>
      <c r="AA112" s="79">
        <f ca="1">IF((W112-1000000-Datos!$N$6-1%*O112*VLOOKUP(TODAY(),'UF HOY'!$A$2:$B$33,2,0))/Z112&gt;0,(W112-1000000-Datos!$N$6-1%*O112*VLOOKUP(TODAY(),'UF HOY'!$A$2:$B$33,2,0))/Z112,0)</f>
        <v>278834.81999999966</v>
      </c>
      <c r="AB112" s="221">
        <f>IF(L112&gt;0,VLOOKUP(D112,Datos!$H$35:$J$38,3,0),VLOOKUP(D112,Datos!$H$35:$J$38,2,0))</f>
        <v>450000</v>
      </c>
      <c r="AC112" s="79">
        <f ca="1">(S112*PMT(Datos!$D$15,Datos!$D$13,-O112,,)*VLOOKUP(TODAY(),'UF HOY'!$A$2:$B$36,2,0)/12)+VLOOKUP(TODAY(),'UF HOY'!$A$2:$B$36,2,0)</f>
        <v>629507.14688721113</v>
      </c>
      <c r="AD112" s="79">
        <f t="shared" ca="1" si="46"/>
        <v>-179507.14688721113</v>
      </c>
      <c r="AE112" s="220">
        <f t="shared" ca="1" si="47"/>
        <v>2518028.5875488445</v>
      </c>
    </row>
    <row r="113" spans="1:31">
      <c r="A113" s="86" t="s">
        <v>4</v>
      </c>
      <c r="B113" s="86">
        <v>207</v>
      </c>
      <c r="C113" s="67" t="s">
        <v>130</v>
      </c>
      <c r="D113" s="67" t="s">
        <v>196</v>
      </c>
      <c r="E113" s="67"/>
      <c r="F113" s="66">
        <v>42.9</v>
      </c>
      <c r="G113" s="66">
        <v>9.1199999999999992</v>
      </c>
      <c r="H113" s="67">
        <f t="shared" si="36"/>
        <v>47.46</v>
      </c>
      <c r="I113" s="68">
        <f t="shared" si="37"/>
        <v>52.019999999999996</v>
      </c>
      <c r="J113" s="69">
        <v>3710</v>
      </c>
      <c r="K113" s="70">
        <v>0</v>
      </c>
      <c r="L113" s="71">
        <v>370</v>
      </c>
      <c r="M113" s="71">
        <v>0</v>
      </c>
      <c r="N113" s="72">
        <f t="shared" si="38"/>
        <v>3468</v>
      </c>
      <c r="O113" s="73">
        <f t="shared" si="39"/>
        <v>4080</v>
      </c>
      <c r="P113" s="121">
        <f t="shared" si="40"/>
        <v>65.27602191319005</v>
      </c>
      <c r="Q113" s="74">
        <f t="shared" si="41"/>
        <v>0.15</v>
      </c>
      <c r="R113" s="75">
        <f t="shared" si="42"/>
        <v>612</v>
      </c>
      <c r="S113" s="74">
        <v>0.8</v>
      </c>
      <c r="T113" s="75">
        <f t="shared" si="43"/>
        <v>3264</v>
      </c>
      <c r="U113" s="76">
        <f t="shared" si="44"/>
        <v>4.9999999999999961E-2</v>
      </c>
      <c r="V113" s="69">
        <f t="shared" si="45"/>
        <v>203.99999999999983</v>
      </c>
      <c r="W113" s="77">
        <f ca="1">V113*VLOOKUP(TODAY(),'UF HOY'!$A$2:$B$36,2,0)</f>
        <v>8105723.7599999933</v>
      </c>
      <c r="X113" s="78">
        <f>Datos!$E$6</f>
        <v>18</v>
      </c>
      <c r="Y113" s="79">
        <f ca="1">IF((W113-1000000-Datos!$N$6)/X113&gt;0,(W113-1000000-Datos!$N$6)/X113,0)</f>
        <v>389206.87555555516</v>
      </c>
      <c r="Z113" s="78">
        <f>Datos!$E$6</f>
        <v>18</v>
      </c>
      <c r="AA113" s="79">
        <f ca="1">IF((W113-1000000-Datos!$N$6-1%*O113*VLOOKUP(TODAY(),'UF HOY'!$A$2:$B$33,2,0))/Z113&gt;0,(W113-1000000-Datos!$N$6-1%*O113*VLOOKUP(TODAY(),'UF HOY'!$A$2:$B$33,2,0))/Z113,0)</f>
        <v>299143.27822222182</v>
      </c>
      <c r="AB113" s="221">
        <f>IF(L113&gt;0,VLOOKUP(D113,Datos!$H$35:$J$38,3,0),VLOOKUP(D113,Datos!$H$35:$J$38,2,0))</f>
        <v>450000</v>
      </c>
      <c r="AC113" s="79">
        <f ca="1">(S113*PMT(Datos!$D$15,Datos!$D$13,-O113,,)*VLOOKUP(TODAY(),'UF HOY'!$A$2:$B$36,2,0)/12)+VLOOKUP(TODAY(),'UF HOY'!$A$2:$B$36,2,0)</f>
        <v>664740.35145449894</v>
      </c>
      <c r="AD113" s="79">
        <f t="shared" ca="1" si="46"/>
        <v>-214740.35145449894</v>
      </c>
      <c r="AE113" s="220">
        <f t="shared" ca="1" si="47"/>
        <v>2658961.4058179958</v>
      </c>
    </row>
    <row r="114" spans="1:31">
      <c r="A114" s="86" t="s">
        <v>4</v>
      </c>
      <c r="B114" s="86">
        <v>206</v>
      </c>
      <c r="C114" s="67" t="s">
        <v>130</v>
      </c>
      <c r="D114" s="67" t="s">
        <v>196</v>
      </c>
      <c r="E114" s="67"/>
      <c r="F114" s="66">
        <v>42.9</v>
      </c>
      <c r="G114" s="66">
        <v>9.4600000000000009</v>
      </c>
      <c r="H114" s="67">
        <f t="shared" si="36"/>
        <v>47.629999999999995</v>
      </c>
      <c r="I114" s="68">
        <f t="shared" si="37"/>
        <v>52.36</v>
      </c>
      <c r="J114" s="69">
        <v>3720</v>
      </c>
      <c r="K114" s="70">
        <v>0</v>
      </c>
      <c r="L114" s="71">
        <v>370</v>
      </c>
      <c r="M114" s="71">
        <v>0</v>
      </c>
      <c r="N114" s="72">
        <f t="shared" si="38"/>
        <v>3476.5</v>
      </c>
      <c r="O114" s="73">
        <f t="shared" si="39"/>
        <v>4090</v>
      </c>
      <c r="P114" s="121">
        <f t="shared" si="40"/>
        <v>65.221499055217308</v>
      </c>
      <c r="Q114" s="74">
        <f t="shared" si="41"/>
        <v>0.15</v>
      </c>
      <c r="R114" s="75">
        <f t="shared" si="42"/>
        <v>613.5</v>
      </c>
      <c r="S114" s="74">
        <v>0.8</v>
      </c>
      <c r="T114" s="75">
        <f t="shared" si="43"/>
        <v>3272</v>
      </c>
      <c r="U114" s="76">
        <f t="shared" si="44"/>
        <v>4.9999999999999961E-2</v>
      </c>
      <c r="V114" s="69">
        <f t="shared" si="45"/>
        <v>204.49999999999983</v>
      </c>
      <c r="W114" s="77">
        <f ca="1">V114*VLOOKUP(TODAY(),'UF HOY'!$A$2:$B$36,2,0)</f>
        <v>8125590.7299999939</v>
      </c>
      <c r="X114" s="78">
        <f>Datos!$E$6</f>
        <v>18</v>
      </c>
      <c r="Y114" s="79">
        <f ca="1">IF((W114-1000000-Datos!$N$6)/X114&gt;0,(W114-1000000-Datos!$N$6)/X114,0)</f>
        <v>390310.59611111076</v>
      </c>
      <c r="Z114" s="78">
        <f>Datos!$E$6</f>
        <v>18</v>
      </c>
      <c r="AA114" s="79">
        <f ca="1">IF((W114-1000000-Datos!$N$6-1%*O114*VLOOKUP(TODAY(),'UF HOY'!$A$2:$B$33,2,0))/Z114&gt;0,(W114-1000000-Datos!$N$6-1%*O114*VLOOKUP(TODAY(),'UF HOY'!$A$2:$B$33,2,0))/Z114,0)</f>
        <v>300026.25466666633</v>
      </c>
      <c r="AB114" s="221">
        <f>IF(L114&gt;0,VLOOKUP(D114,Datos!$H$35:$J$38,3,0),VLOOKUP(D114,Datos!$H$35:$J$38,2,0))</f>
        <v>450000</v>
      </c>
      <c r="AC114" s="79">
        <f ca="1">(S114*PMT(Datos!$D$15,Datos!$D$13,-O114,,)*VLOOKUP(TODAY(),'UF HOY'!$A$2:$B$36,2,0)/12)+VLOOKUP(TODAY(),'UF HOY'!$A$2:$B$36,2,0)</f>
        <v>666272.22991394624</v>
      </c>
      <c r="AD114" s="79">
        <f t="shared" ca="1" si="46"/>
        <v>-216272.22991394624</v>
      </c>
      <c r="AE114" s="220">
        <f t="shared" ca="1" si="47"/>
        <v>2665088.919655785</v>
      </c>
    </row>
    <row r="115" spans="1:31" hidden="1">
      <c r="A115" s="86" t="s">
        <v>171</v>
      </c>
      <c r="B115" s="86">
        <v>807</v>
      </c>
      <c r="C115" s="67" t="s">
        <v>130</v>
      </c>
      <c r="D115" s="67" t="s">
        <v>196</v>
      </c>
      <c r="E115" s="67"/>
      <c r="F115" s="66">
        <v>42.9</v>
      </c>
      <c r="G115" s="66">
        <v>9.1199999999999992</v>
      </c>
      <c r="H115" s="67">
        <f t="shared" si="36"/>
        <v>47.46</v>
      </c>
      <c r="I115" s="68">
        <f t="shared" si="37"/>
        <v>52.019999999999996</v>
      </c>
      <c r="J115" s="69">
        <v>3740</v>
      </c>
      <c r="K115" s="70">
        <v>0</v>
      </c>
      <c r="L115" s="71">
        <v>370</v>
      </c>
      <c r="M115" s="71">
        <v>0</v>
      </c>
      <c r="N115" s="72">
        <f t="shared" si="38"/>
        <v>3493.5</v>
      </c>
      <c r="O115" s="73">
        <f t="shared" si="39"/>
        <v>4110</v>
      </c>
      <c r="P115" s="121">
        <f t="shared" si="40"/>
        <v>65.813316477033297</v>
      </c>
      <c r="Q115" s="74">
        <f t="shared" si="41"/>
        <v>0.15</v>
      </c>
      <c r="R115" s="75">
        <f t="shared" si="42"/>
        <v>616.5</v>
      </c>
      <c r="S115" s="74">
        <v>0.8</v>
      </c>
      <c r="T115" s="75">
        <f t="shared" si="43"/>
        <v>3288</v>
      </c>
      <c r="U115" s="76">
        <f t="shared" si="44"/>
        <v>4.9999999999999961E-2</v>
      </c>
      <c r="V115" s="69">
        <f t="shared" si="45"/>
        <v>205.49999999999983</v>
      </c>
      <c r="W115" s="77">
        <f ca="1">V115*VLOOKUP(TODAY(),'UF HOY'!$A$2:$B$36,2,0)</f>
        <v>8165324.6699999934</v>
      </c>
      <c r="X115" s="78">
        <f>Datos!$E$6</f>
        <v>18</v>
      </c>
      <c r="Y115" s="79">
        <f ca="1">IF((W115-1000000-Datos!$N$6)/X115&gt;0,(W115-1000000-Datos!$N$6)/X115,0)</f>
        <v>392518.03722222184</v>
      </c>
      <c r="Z115" s="78">
        <f>Datos!$E$6</f>
        <v>18</v>
      </c>
      <c r="AA115" s="79">
        <f ca="1">IF((W115-1000000-Datos!$N$6-1%*O115*VLOOKUP(TODAY(),'UF HOY'!$A$2:$B$33,2,0))/Z115&gt;0,(W115-1000000-Datos!$N$6-1%*O115*VLOOKUP(TODAY(),'UF HOY'!$A$2:$B$33,2,0))/Z115,0)</f>
        <v>301792.20755555516</v>
      </c>
      <c r="AB115" s="221">
        <f>IF(L115&gt;0,VLOOKUP(D115,Datos!$H$35:$J$38,3,0),VLOOKUP(D115,Datos!$H$35:$J$38,2,0))</f>
        <v>450000</v>
      </c>
      <c r="AC115" s="79">
        <f ca="1">(S115*PMT(Datos!$D$15,Datos!$D$13,-O115,,)*VLOOKUP(TODAY(),'UF HOY'!$A$2:$B$36,2,0)/12)+VLOOKUP(TODAY(),'UF HOY'!$A$2:$B$36,2,0)</f>
        <v>669335.98683284083</v>
      </c>
      <c r="AD115" s="79">
        <f t="shared" ca="1" si="46"/>
        <v>-219335.98683284083</v>
      </c>
      <c r="AE115" s="220">
        <f t="shared" ca="1" si="47"/>
        <v>2677343.9473313633</v>
      </c>
    </row>
    <row r="116" spans="1:31" hidden="1">
      <c r="A116" s="86" t="s">
        <v>171</v>
      </c>
      <c r="B116" s="86">
        <v>907</v>
      </c>
      <c r="C116" s="67" t="s">
        <v>130</v>
      </c>
      <c r="D116" s="67" t="s">
        <v>196</v>
      </c>
      <c r="E116" s="67"/>
      <c r="F116" s="66">
        <v>42.9</v>
      </c>
      <c r="G116" s="66">
        <v>9.1199999999999992</v>
      </c>
      <c r="H116" s="67">
        <f t="shared" si="36"/>
        <v>47.46</v>
      </c>
      <c r="I116" s="68">
        <f t="shared" si="37"/>
        <v>52.019999999999996</v>
      </c>
      <c r="J116" s="69">
        <v>3740</v>
      </c>
      <c r="K116" s="70">
        <v>0</v>
      </c>
      <c r="L116" s="71">
        <v>370</v>
      </c>
      <c r="M116" s="71">
        <v>0</v>
      </c>
      <c r="N116" s="72">
        <f t="shared" si="38"/>
        <v>3493.5</v>
      </c>
      <c r="O116" s="73">
        <f t="shared" si="39"/>
        <v>4110</v>
      </c>
      <c r="P116" s="121">
        <f t="shared" si="40"/>
        <v>65.813316477033297</v>
      </c>
      <c r="Q116" s="74">
        <f t="shared" si="41"/>
        <v>0.15</v>
      </c>
      <c r="R116" s="75">
        <f t="shared" si="42"/>
        <v>616.5</v>
      </c>
      <c r="S116" s="74">
        <v>0.8</v>
      </c>
      <c r="T116" s="75">
        <f t="shared" si="43"/>
        <v>3288</v>
      </c>
      <c r="U116" s="76">
        <f t="shared" si="44"/>
        <v>4.9999999999999961E-2</v>
      </c>
      <c r="V116" s="69">
        <f t="shared" si="45"/>
        <v>205.49999999999983</v>
      </c>
      <c r="W116" s="77">
        <f ca="1">V116*VLOOKUP(TODAY(),'UF HOY'!$A$2:$B$36,2,0)</f>
        <v>8165324.6699999934</v>
      </c>
      <c r="X116" s="78">
        <f>Datos!$E$6</f>
        <v>18</v>
      </c>
      <c r="Y116" s="79">
        <f ca="1">IF((W116-1000000-Datos!$N$6)/X116&gt;0,(W116-1000000-Datos!$N$6)/X116,0)</f>
        <v>392518.03722222184</v>
      </c>
      <c r="Z116" s="78">
        <f>Datos!$E$6</f>
        <v>18</v>
      </c>
      <c r="AA116" s="79">
        <f ca="1">IF((W116-1000000-Datos!$N$6-1%*O116*VLOOKUP(TODAY(),'UF HOY'!$A$2:$B$33,2,0))/Z116&gt;0,(W116-1000000-Datos!$N$6-1%*O116*VLOOKUP(TODAY(),'UF HOY'!$A$2:$B$33,2,0))/Z116,0)</f>
        <v>301792.20755555516</v>
      </c>
      <c r="AB116" s="221">
        <f>IF(L116&gt;0,VLOOKUP(D116,Datos!$H$35:$J$38,3,0),VLOOKUP(D116,Datos!$H$35:$J$38,2,0))</f>
        <v>450000</v>
      </c>
      <c r="AC116" s="79">
        <f ca="1">(S116*PMT(Datos!$D$15,Datos!$D$13,-O116,,)*VLOOKUP(TODAY(),'UF HOY'!$A$2:$B$36,2,0)/12)+VLOOKUP(TODAY(),'UF HOY'!$A$2:$B$36,2,0)</f>
        <v>669335.98683284083</v>
      </c>
      <c r="AD116" s="79">
        <f t="shared" ca="1" si="46"/>
        <v>-219335.98683284083</v>
      </c>
      <c r="AE116" s="220">
        <f t="shared" ca="1" si="47"/>
        <v>2677343.9473313633</v>
      </c>
    </row>
    <row r="117" spans="1:31">
      <c r="A117" s="86" t="s">
        <v>4</v>
      </c>
      <c r="B117" s="86">
        <v>307</v>
      </c>
      <c r="C117" s="67" t="s">
        <v>130</v>
      </c>
      <c r="D117" s="67" t="s">
        <v>196</v>
      </c>
      <c r="E117" s="67"/>
      <c r="F117" s="66">
        <v>42.9</v>
      </c>
      <c r="G117" s="66">
        <v>9.1199999999999992</v>
      </c>
      <c r="H117" s="67">
        <f t="shared" si="36"/>
        <v>47.46</v>
      </c>
      <c r="I117" s="68">
        <f t="shared" si="37"/>
        <v>52.019999999999996</v>
      </c>
      <c r="J117" s="69">
        <v>3740</v>
      </c>
      <c r="K117" s="70">
        <v>0</v>
      </c>
      <c r="L117" s="71">
        <v>370</v>
      </c>
      <c r="M117" s="71">
        <v>0</v>
      </c>
      <c r="N117" s="72">
        <f t="shared" si="38"/>
        <v>3493.5</v>
      </c>
      <c r="O117" s="73">
        <f t="shared" si="39"/>
        <v>4110</v>
      </c>
      <c r="P117" s="121">
        <f t="shared" si="40"/>
        <v>65.813316477033297</v>
      </c>
      <c r="Q117" s="74">
        <f t="shared" si="41"/>
        <v>0.15</v>
      </c>
      <c r="R117" s="75">
        <f t="shared" si="42"/>
        <v>616.5</v>
      </c>
      <c r="S117" s="74">
        <v>0.8</v>
      </c>
      <c r="T117" s="75">
        <f t="shared" si="43"/>
        <v>3288</v>
      </c>
      <c r="U117" s="76">
        <f t="shared" si="44"/>
        <v>4.9999999999999961E-2</v>
      </c>
      <c r="V117" s="69">
        <f t="shared" si="45"/>
        <v>205.49999999999983</v>
      </c>
      <c r="W117" s="77">
        <f ca="1">V117*VLOOKUP(TODAY(),'UF HOY'!$A$2:$B$36,2,0)</f>
        <v>8165324.6699999934</v>
      </c>
      <c r="X117" s="78">
        <f>Datos!$E$6</f>
        <v>18</v>
      </c>
      <c r="Y117" s="79">
        <f ca="1">IF((W117-1000000-Datos!$N$6)/X117&gt;0,(W117-1000000-Datos!$N$6)/X117,0)</f>
        <v>392518.03722222184</v>
      </c>
      <c r="Z117" s="78">
        <f>Datos!$E$6</f>
        <v>18</v>
      </c>
      <c r="AA117" s="79">
        <f ca="1">IF((W117-1000000-Datos!$N$6-1%*O117*VLOOKUP(TODAY(),'UF HOY'!$A$2:$B$33,2,0))/Z117&gt;0,(W117-1000000-Datos!$N$6-1%*O117*VLOOKUP(TODAY(),'UF HOY'!$A$2:$B$33,2,0))/Z117,0)</f>
        <v>301792.20755555516</v>
      </c>
      <c r="AB117" s="221">
        <f>IF(L117&gt;0,VLOOKUP(D117,Datos!$H$35:$J$38,3,0),VLOOKUP(D117,Datos!$H$35:$J$38,2,0))</f>
        <v>450000</v>
      </c>
      <c r="AC117" s="79">
        <f ca="1">(S117*PMT(Datos!$D$15,Datos!$D$13,-O117,,)*VLOOKUP(TODAY(),'UF HOY'!$A$2:$B$36,2,0)/12)+VLOOKUP(TODAY(),'UF HOY'!$A$2:$B$36,2,0)</f>
        <v>669335.98683284083</v>
      </c>
      <c r="AD117" s="79">
        <f t="shared" ca="1" si="46"/>
        <v>-219335.98683284083</v>
      </c>
      <c r="AE117" s="220">
        <f t="shared" ca="1" si="47"/>
        <v>2677343.9473313633</v>
      </c>
    </row>
    <row r="118" spans="1:31" hidden="1">
      <c r="A118" s="86" t="s">
        <v>171</v>
      </c>
      <c r="B118" s="86">
        <v>407</v>
      </c>
      <c r="C118" s="67" t="s">
        <v>130</v>
      </c>
      <c r="D118" s="67" t="s">
        <v>196</v>
      </c>
      <c r="E118" s="67"/>
      <c r="F118" s="66">
        <v>42.9</v>
      </c>
      <c r="G118" s="66">
        <v>9.1199999999999992</v>
      </c>
      <c r="H118" s="67">
        <f t="shared" si="36"/>
        <v>47.46</v>
      </c>
      <c r="I118" s="68">
        <f t="shared" si="37"/>
        <v>52.019999999999996</v>
      </c>
      <c r="J118" s="69">
        <v>3740</v>
      </c>
      <c r="K118" s="70">
        <v>0</v>
      </c>
      <c r="L118" s="71">
        <v>370</v>
      </c>
      <c r="M118" s="71">
        <v>0</v>
      </c>
      <c r="N118" s="72">
        <f t="shared" si="38"/>
        <v>3493.5</v>
      </c>
      <c r="O118" s="73">
        <f t="shared" si="39"/>
        <v>4110</v>
      </c>
      <c r="P118" s="121">
        <f t="shared" si="40"/>
        <v>65.813316477033297</v>
      </c>
      <c r="Q118" s="74">
        <f t="shared" si="41"/>
        <v>0.15</v>
      </c>
      <c r="R118" s="75">
        <f t="shared" si="42"/>
        <v>616.5</v>
      </c>
      <c r="S118" s="74">
        <v>0.8</v>
      </c>
      <c r="T118" s="75">
        <f t="shared" si="43"/>
        <v>3288</v>
      </c>
      <c r="U118" s="76">
        <f t="shared" si="44"/>
        <v>4.9999999999999961E-2</v>
      </c>
      <c r="V118" s="69">
        <f t="shared" si="45"/>
        <v>205.49999999999983</v>
      </c>
      <c r="W118" s="77">
        <f ca="1">V118*VLOOKUP(TODAY(),'UF HOY'!$A$2:$B$36,2,0)</f>
        <v>8165324.6699999934</v>
      </c>
      <c r="X118" s="78">
        <f>Datos!$E$6</f>
        <v>18</v>
      </c>
      <c r="Y118" s="79">
        <f ca="1">IF((W118-1000000-Datos!$N$6)/X118&gt;0,(W118-1000000-Datos!$N$6)/X118,0)</f>
        <v>392518.03722222184</v>
      </c>
      <c r="Z118" s="78">
        <f>Datos!$E$6</f>
        <v>18</v>
      </c>
      <c r="AA118" s="79">
        <f ca="1">IF((W118-1000000-Datos!$N$6-1%*O118*VLOOKUP(TODAY(),'UF HOY'!$A$2:$B$33,2,0))/Z118&gt;0,(W118-1000000-Datos!$N$6-1%*O118*VLOOKUP(TODAY(),'UF HOY'!$A$2:$B$33,2,0))/Z118,0)</f>
        <v>301792.20755555516</v>
      </c>
      <c r="AB118" s="221">
        <f>IF(L118&gt;0,VLOOKUP(D118,Datos!$H$35:$J$38,3,0),VLOOKUP(D118,Datos!$H$35:$J$38,2,0))</f>
        <v>450000</v>
      </c>
      <c r="AC118" s="79">
        <f ca="1">(S118*PMT(Datos!$D$15,Datos!$D$13,-O118,,)*VLOOKUP(TODAY(),'UF HOY'!$A$2:$B$36,2,0)/12)+VLOOKUP(TODAY(),'UF HOY'!$A$2:$B$36,2,0)</f>
        <v>669335.98683284083</v>
      </c>
      <c r="AD118" s="79">
        <f t="shared" ca="1" si="46"/>
        <v>-219335.98683284083</v>
      </c>
      <c r="AE118" s="220">
        <f t="shared" ca="1" si="47"/>
        <v>2677343.9473313633</v>
      </c>
    </row>
    <row r="119" spans="1:31">
      <c r="A119" s="86" t="s">
        <v>4</v>
      </c>
      <c r="B119" s="86">
        <v>507</v>
      </c>
      <c r="C119" s="67" t="s">
        <v>130</v>
      </c>
      <c r="D119" s="67" t="s">
        <v>196</v>
      </c>
      <c r="E119" s="67"/>
      <c r="F119" s="66">
        <v>42.9</v>
      </c>
      <c r="G119" s="66">
        <v>9.1199999999999992</v>
      </c>
      <c r="H119" s="67">
        <f t="shared" si="36"/>
        <v>47.46</v>
      </c>
      <c r="I119" s="68">
        <f t="shared" si="37"/>
        <v>52.019999999999996</v>
      </c>
      <c r="J119" s="69">
        <v>3740</v>
      </c>
      <c r="K119" s="70">
        <v>0</v>
      </c>
      <c r="L119" s="71">
        <v>370</v>
      </c>
      <c r="M119" s="71">
        <v>0</v>
      </c>
      <c r="N119" s="72">
        <f t="shared" si="38"/>
        <v>3493.5</v>
      </c>
      <c r="O119" s="73">
        <f t="shared" si="39"/>
        <v>4110</v>
      </c>
      <c r="P119" s="121">
        <f t="shared" si="40"/>
        <v>65.813316477033297</v>
      </c>
      <c r="Q119" s="74">
        <f t="shared" si="41"/>
        <v>0.15</v>
      </c>
      <c r="R119" s="75">
        <f t="shared" si="42"/>
        <v>616.5</v>
      </c>
      <c r="S119" s="74">
        <v>0.8</v>
      </c>
      <c r="T119" s="75">
        <f t="shared" si="43"/>
        <v>3288</v>
      </c>
      <c r="U119" s="76">
        <f t="shared" si="44"/>
        <v>4.9999999999999961E-2</v>
      </c>
      <c r="V119" s="69">
        <f t="shared" si="45"/>
        <v>205.49999999999983</v>
      </c>
      <c r="W119" s="77">
        <f ca="1">V119*VLOOKUP(TODAY(),'UF HOY'!$A$2:$B$36,2,0)</f>
        <v>8165324.6699999934</v>
      </c>
      <c r="X119" s="78">
        <f>Datos!$E$6</f>
        <v>18</v>
      </c>
      <c r="Y119" s="79">
        <f ca="1">IF((W119-1000000-Datos!$N$6)/X119&gt;0,(W119-1000000-Datos!$N$6)/X119,0)</f>
        <v>392518.03722222184</v>
      </c>
      <c r="Z119" s="78">
        <f>Datos!$E$6</f>
        <v>18</v>
      </c>
      <c r="AA119" s="79">
        <f ca="1">IF((W119-1000000-Datos!$N$6-1%*O119*VLOOKUP(TODAY(),'UF HOY'!$A$2:$B$33,2,0))/Z119&gt;0,(W119-1000000-Datos!$N$6-1%*O119*VLOOKUP(TODAY(),'UF HOY'!$A$2:$B$33,2,0))/Z119,0)</f>
        <v>301792.20755555516</v>
      </c>
      <c r="AB119" s="221">
        <f>IF(L119&gt;0,VLOOKUP(D119,Datos!$H$35:$J$38,3,0),VLOOKUP(D119,Datos!$H$35:$J$38,2,0))</f>
        <v>450000</v>
      </c>
      <c r="AC119" s="79">
        <f ca="1">(S119*PMT(Datos!$D$15,Datos!$D$13,-O119,,)*VLOOKUP(TODAY(),'UF HOY'!$A$2:$B$36,2,0)/12)+VLOOKUP(TODAY(),'UF HOY'!$A$2:$B$36,2,0)</f>
        <v>669335.98683284083</v>
      </c>
      <c r="AD119" s="79">
        <f t="shared" ca="1" si="46"/>
        <v>-219335.98683284083</v>
      </c>
      <c r="AE119" s="220">
        <f t="shared" ca="1" si="47"/>
        <v>2677343.9473313633</v>
      </c>
    </row>
    <row r="120" spans="1:31">
      <c r="A120" s="86" t="s">
        <v>4</v>
      </c>
      <c r="B120" s="86">
        <v>607</v>
      </c>
      <c r="C120" s="67" t="s">
        <v>130</v>
      </c>
      <c r="D120" s="67" t="s">
        <v>196</v>
      </c>
      <c r="E120" s="67"/>
      <c r="F120" s="66">
        <v>42.9</v>
      </c>
      <c r="G120" s="66">
        <v>9.1199999999999992</v>
      </c>
      <c r="H120" s="67">
        <f t="shared" si="36"/>
        <v>47.46</v>
      </c>
      <c r="I120" s="68">
        <f t="shared" si="37"/>
        <v>52.019999999999996</v>
      </c>
      <c r="J120" s="69">
        <v>3740</v>
      </c>
      <c r="K120" s="70">
        <v>0</v>
      </c>
      <c r="L120" s="71">
        <v>370</v>
      </c>
      <c r="M120" s="71">
        <v>0</v>
      </c>
      <c r="N120" s="72">
        <f t="shared" si="38"/>
        <v>3493.5</v>
      </c>
      <c r="O120" s="73">
        <f t="shared" si="39"/>
        <v>4110</v>
      </c>
      <c r="P120" s="121">
        <f t="shared" si="40"/>
        <v>65.813316477033297</v>
      </c>
      <c r="Q120" s="74">
        <f t="shared" si="41"/>
        <v>0.15</v>
      </c>
      <c r="R120" s="75">
        <f t="shared" si="42"/>
        <v>616.5</v>
      </c>
      <c r="S120" s="74">
        <v>0.8</v>
      </c>
      <c r="T120" s="75">
        <f t="shared" si="43"/>
        <v>3288</v>
      </c>
      <c r="U120" s="76">
        <f t="shared" si="44"/>
        <v>4.9999999999999961E-2</v>
      </c>
      <c r="V120" s="69">
        <f t="shared" si="45"/>
        <v>205.49999999999983</v>
      </c>
      <c r="W120" s="77">
        <f ca="1">V120*VLOOKUP(TODAY(),'UF HOY'!$A$2:$B$36,2,0)</f>
        <v>8165324.6699999934</v>
      </c>
      <c r="X120" s="78">
        <f>Datos!$E$6</f>
        <v>18</v>
      </c>
      <c r="Y120" s="79">
        <f ca="1">IF((W120-1000000-Datos!$N$6)/X120&gt;0,(W120-1000000-Datos!$N$6)/X120,0)</f>
        <v>392518.03722222184</v>
      </c>
      <c r="Z120" s="78">
        <f>Datos!$E$6</f>
        <v>18</v>
      </c>
      <c r="AA120" s="79">
        <f ca="1">IF((W120-1000000-Datos!$N$6-1%*O120*VLOOKUP(TODAY(),'UF HOY'!$A$2:$B$33,2,0))/Z120&gt;0,(W120-1000000-Datos!$N$6-1%*O120*VLOOKUP(TODAY(),'UF HOY'!$A$2:$B$33,2,0))/Z120,0)</f>
        <v>301792.20755555516</v>
      </c>
      <c r="AB120" s="221">
        <f>IF(L120&gt;0,VLOOKUP(D120,Datos!$H$35:$J$38,3,0),VLOOKUP(D120,Datos!$H$35:$J$38,2,0))</f>
        <v>450000</v>
      </c>
      <c r="AC120" s="79">
        <f ca="1">(S120*PMT(Datos!$D$15,Datos!$D$13,-O120,,)*VLOOKUP(TODAY(),'UF HOY'!$A$2:$B$36,2,0)/12)+VLOOKUP(TODAY(),'UF HOY'!$A$2:$B$36,2,0)</f>
        <v>669335.98683284083</v>
      </c>
      <c r="AD120" s="79">
        <f t="shared" ca="1" si="46"/>
        <v>-219335.98683284083</v>
      </c>
      <c r="AE120" s="220">
        <f t="shared" ca="1" si="47"/>
        <v>2677343.9473313633</v>
      </c>
    </row>
    <row r="121" spans="1:31">
      <c r="A121" s="86" t="s">
        <v>4</v>
      </c>
      <c r="B121" s="86">
        <v>707</v>
      </c>
      <c r="C121" s="67" t="s">
        <v>130</v>
      </c>
      <c r="D121" s="67" t="s">
        <v>196</v>
      </c>
      <c r="E121" s="67"/>
      <c r="F121" s="66">
        <v>42.9</v>
      </c>
      <c r="G121" s="66">
        <v>9.1199999999999992</v>
      </c>
      <c r="H121" s="67">
        <f t="shared" si="36"/>
        <v>47.46</v>
      </c>
      <c r="I121" s="68">
        <f t="shared" si="37"/>
        <v>52.019999999999996</v>
      </c>
      <c r="J121" s="69">
        <v>3740</v>
      </c>
      <c r="K121" s="70">
        <v>0</v>
      </c>
      <c r="L121" s="71">
        <v>370</v>
      </c>
      <c r="M121" s="71">
        <v>0</v>
      </c>
      <c r="N121" s="72">
        <f t="shared" si="38"/>
        <v>3493.5</v>
      </c>
      <c r="O121" s="73">
        <f t="shared" si="39"/>
        <v>4110</v>
      </c>
      <c r="P121" s="121">
        <f t="shared" si="40"/>
        <v>65.813316477033297</v>
      </c>
      <c r="Q121" s="74">
        <f t="shared" si="41"/>
        <v>0.15</v>
      </c>
      <c r="R121" s="75">
        <f t="shared" si="42"/>
        <v>616.5</v>
      </c>
      <c r="S121" s="74">
        <v>0.8</v>
      </c>
      <c r="T121" s="75">
        <f t="shared" si="43"/>
        <v>3288</v>
      </c>
      <c r="U121" s="76">
        <f t="shared" si="44"/>
        <v>4.9999999999999961E-2</v>
      </c>
      <c r="V121" s="69">
        <f t="shared" si="45"/>
        <v>205.49999999999983</v>
      </c>
      <c r="W121" s="77">
        <f ca="1">V121*VLOOKUP(TODAY(),'UF HOY'!$A$2:$B$36,2,0)</f>
        <v>8165324.6699999934</v>
      </c>
      <c r="X121" s="78">
        <f>Datos!$E$6</f>
        <v>18</v>
      </c>
      <c r="Y121" s="79">
        <f ca="1">IF((W121-1000000-Datos!$N$6)/X121&gt;0,(W121-1000000-Datos!$N$6)/X121,0)</f>
        <v>392518.03722222184</v>
      </c>
      <c r="Z121" s="78">
        <f>Datos!$E$6</f>
        <v>18</v>
      </c>
      <c r="AA121" s="79">
        <f ca="1">IF((W121-1000000-Datos!$N$6-1%*O121*VLOOKUP(TODAY(),'UF HOY'!$A$2:$B$33,2,0))/Z121&gt;0,(W121-1000000-Datos!$N$6-1%*O121*VLOOKUP(TODAY(),'UF HOY'!$A$2:$B$33,2,0))/Z121,0)</f>
        <v>301792.20755555516</v>
      </c>
      <c r="AB121" s="221">
        <f>IF(L121&gt;0,VLOOKUP(D121,Datos!$H$35:$J$38,3,0),VLOOKUP(D121,Datos!$H$35:$J$38,2,0))</f>
        <v>450000</v>
      </c>
      <c r="AC121" s="79">
        <f ca="1">(S121*PMT(Datos!$D$15,Datos!$D$13,-O121,,)*VLOOKUP(TODAY(),'UF HOY'!$A$2:$B$36,2,0)/12)+VLOOKUP(TODAY(),'UF HOY'!$A$2:$B$36,2,0)</f>
        <v>669335.98683284083</v>
      </c>
      <c r="AD121" s="79">
        <f t="shared" ca="1" si="46"/>
        <v>-219335.98683284083</v>
      </c>
      <c r="AE121" s="220">
        <f t="shared" ca="1" si="47"/>
        <v>2677343.9473313633</v>
      </c>
    </row>
    <row r="122" spans="1:31">
      <c r="A122" s="86" t="s">
        <v>4</v>
      </c>
      <c r="B122" s="86">
        <v>1307</v>
      </c>
      <c r="C122" s="67" t="s">
        <v>130</v>
      </c>
      <c r="D122" s="67" t="s">
        <v>196</v>
      </c>
      <c r="E122" s="67"/>
      <c r="F122" s="66">
        <v>42.9</v>
      </c>
      <c r="G122" s="66">
        <v>9.1199999999999992</v>
      </c>
      <c r="H122" s="67">
        <f t="shared" si="36"/>
        <v>47.46</v>
      </c>
      <c r="I122" s="68">
        <f t="shared" si="37"/>
        <v>52.019999999999996</v>
      </c>
      <c r="J122" s="69">
        <v>3740</v>
      </c>
      <c r="K122" s="70">
        <v>0</v>
      </c>
      <c r="L122" s="71">
        <v>370</v>
      </c>
      <c r="M122" s="71">
        <v>0</v>
      </c>
      <c r="N122" s="72">
        <f t="shared" si="38"/>
        <v>3493.5</v>
      </c>
      <c r="O122" s="73">
        <f t="shared" si="39"/>
        <v>4110</v>
      </c>
      <c r="P122" s="121">
        <f t="shared" si="40"/>
        <v>65.813316477033297</v>
      </c>
      <c r="Q122" s="74">
        <f t="shared" si="41"/>
        <v>0.15</v>
      </c>
      <c r="R122" s="75">
        <f t="shared" si="42"/>
        <v>616.5</v>
      </c>
      <c r="S122" s="74">
        <v>0.8</v>
      </c>
      <c r="T122" s="75">
        <f t="shared" si="43"/>
        <v>3288</v>
      </c>
      <c r="U122" s="76">
        <f t="shared" si="44"/>
        <v>4.9999999999999961E-2</v>
      </c>
      <c r="V122" s="69">
        <f t="shared" si="45"/>
        <v>205.49999999999983</v>
      </c>
      <c r="W122" s="77">
        <f ca="1">V122*VLOOKUP(TODAY(),'UF HOY'!$A$2:$B$36,2,0)</f>
        <v>8165324.6699999934</v>
      </c>
      <c r="X122" s="78">
        <f>Datos!$E$6</f>
        <v>18</v>
      </c>
      <c r="Y122" s="79">
        <f ca="1">IF((W122-1000000-Datos!$N$6)/X122&gt;0,(W122-1000000-Datos!$N$6)/X122,0)</f>
        <v>392518.03722222184</v>
      </c>
      <c r="Z122" s="78">
        <f>Datos!$E$6</f>
        <v>18</v>
      </c>
      <c r="AA122" s="79">
        <f ca="1">IF((W122-1000000-Datos!$N$6-1%*O122*VLOOKUP(TODAY(),'UF HOY'!$A$2:$B$33,2,0))/Z122&gt;0,(W122-1000000-Datos!$N$6-1%*O122*VLOOKUP(TODAY(),'UF HOY'!$A$2:$B$33,2,0))/Z122,0)</f>
        <v>301792.20755555516</v>
      </c>
      <c r="AB122" s="221">
        <f>IF(L122&gt;0,VLOOKUP(D122,Datos!$H$35:$J$38,3,0),VLOOKUP(D122,Datos!$H$35:$J$38,2,0))</f>
        <v>450000</v>
      </c>
      <c r="AC122" s="79">
        <f ca="1">(S122*PMT(Datos!$D$15,Datos!$D$13,-O122,,)*VLOOKUP(TODAY(),'UF HOY'!$A$2:$B$36,2,0)/12)+VLOOKUP(TODAY(),'UF HOY'!$A$2:$B$36,2,0)</f>
        <v>669335.98683284083</v>
      </c>
      <c r="AD122" s="79">
        <f t="shared" ca="1" si="46"/>
        <v>-219335.98683284083</v>
      </c>
      <c r="AE122" s="220">
        <f t="shared" ca="1" si="47"/>
        <v>2677343.9473313633</v>
      </c>
    </row>
    <row r="123" spans="1:31">
      <c r="A123" s="86" t="s">
        <v>4</v>
      </c>
      <c r="B123" s="86">
        <v>306</v>
      </c>
      <c r="C123" s="67" t="s">
        <v>130</v>
      </c>
      <c r="D123" s="67" t="s">
        <v>196</v>
      </c>
      <c r="E123" s="67"/>
      <c r="F123" s="66">
        <v>42.9</v>
      </c>
      <c r="G123" s="66">
        <v>9.4600000000000009</v>
      </c>
      <c r="H123" s="67">
        <f t="shared" si="36"/>
        <v>47.629999999999995</v>
      </c>
      <c r="I123" s="68">
        <f t="shared" si="37"/>
        <v>52.36</v>
      </c>
      <c r="J123" s="69">
        <v>3750</v>
      </c>
      <c r="K123" s="70">
        <v>0</v>
      </c>
      <c r="L123" s="71">
        <v>370</v>
      </c>
      <c r="M123" s="71">
        <v>0</v>
      </c>
      <c r="N123" s="72">
        <f t="shared" si="38"/>
        <v>3502</v>
      </c>
      <c r="O123" s="73">
        <f t="shared" si="39"/>
        <v>4120</v>
      </c>
      <c r="P123" s="121">
        <f t="shared" si="40"/>
        <v>65.756875918538739</v>
      </c>
      <c r="Q123" s="74">
        <f t="shared" si="41"/>
        <v>0.15</v>
      </c>
      <c r="R123" s="75">
        <f t="shared" si="42"/>
        <v>618</v>
      </c>
      <c r="S123" s="74">
        <v>0.8</v>
      </c>
      <c r="T123" s="75">
        <f t="shared" si="43"/>
        <v>3296</v>
      </c>
      <c r="U123" s="76">
        <f t="shared" si="44"/>
        <v>4.9999999999999961E-2</v>
      </c>
      <c r="V123" s="69">
        <f t="shared" si="45"/>
        <v>205.99999999999983</v>
      </c>
      <c r="W123" s="77">
        <f ca="1">V123*VLOOKUP(TODAY(),'UF HOY'!$A$2:$B$36,2,0)</f>
        <v>8185191.6399999941</v>
      </c>
      <c r="X123" s="78">
        <f>Datos!$E$6</f>
        <v>18</v>
      </c>
      <c r="Y123" s="79">
        <f ca="1">IF((W123-1000000-Datos!$N$6)/X123&gt;0,(W123-1000000-Datos!$N$6)/X123,0)</f>
        <v>393621.75777777744</v>
      </c>
      <c r="Z123" s="78">
        <f>Datos!$E$6</f>
        <v>18</v>
      </c>
      <c r="AA123" s="79">
        <f ca="1">IF((W123-1000000-Datos!$N$6-1%*O123*VLOOKUP(TODAY(),'UF HOY'!$A$2:$B$33,2,0))/Z123&gt;0,(W123-1000000-Datos!$N$6-1%*O123*VLOOKUP(TODAY(),'UF HOY'!$A$2:$B$33,2,0))/Z123,0)</f>
        <v>302675.18399999966</v>
      </c>
      <c r="AB123" s="221">
        <f>IF(L123&gt;0,VLOOKUP(D123,Datos!$H$35:$J$38,3,0),VLOOKUP(D123,Datos!$H$35:$J$38,2,0))</f>
        <v>450000</v>
      </c>
      <c r="AC123" s="79">
        <f ca="1">(S123*PMT(Datos!$D$15,Datos!$D$13,-O123,,)*VLOOKUP(TODAY(),'UF HOY'!$A$2:$B$36,2,0)/12)+VLOOKUP(TODAY(),'UF HOY'!$A$2:$B$36,2,0)</f>
        <v>670867.86529228813</v>
      </c>
      <c r="AD123" s="79">
        <f t="shared" ca="1" si="46"/>
        <v>-220867.86529228813</v>
      </c>
      <c r="AE123" s="220">
        <f t="shared" ca="1" si="47"/>
        <v>2683471.4611691525</v>
      </c>
    </row>
    <row r="124" spans="1:31">
      <c r="A124" s="86" t="s">
        <v>4</v>
      </c>
      <c r="B124" s="86">
        <v>406</v>
      </c>
      <c r="C124" s="67" t="s">
        <v>130</v>
      </c>
      <c r="D124" s="67" t="s">
        <v>196</v>
      </c>
      <c r="E124" s="67"/>
      <c r="F124" s="66">
        <v>42.9</v>
      </c>
      <c r="G124" s="66">
        <v>9.4600000000000009</v>
      </c>
      <c r="H124" s="67">
        <f t="shared" si="36"/>
        <v>47.629999999999995</v>
      </c>
      <c r="I124" s="68">
        <f t="shared" si="37"/>
        <v>52.36</v>
      </c>
      <c r="J124" s="69">
        <v>3750</v>
      </c>
      <c r="K124" s="70">
        <v>0</v>
      </c>
      <c r="L124" s="71">
        <v>370</v>
      </c>
      <c r="M124" s="71">
        <v>0</v>
      </c>
      <c r="N124" s="72">
        <f t="shared" si="38"/>
        <v>3502</v>
      </c>
      <c r="O124" s="73">
        <f t="shared" si="39"/>
        <v>4120</v>
      </c>
      <c r="P124" s="121">
        <f t="shared" si="40"/>
        <v>65.756875918538739</v>
      </c>
      <c r="Q124" s="74">
        <f t="shared" si="41"/>
        <v>0.15</v>
      </c>
      <c r="R124" s="75">
        <f t="shared" si="42"/>
        <v>618</v>
      </c>
      <c r="S124" s="74">
        <v>0.8</v>
      </c>
      <c r="T124" s="75">
        <f t="shared" si="43"/>
        <v>3296</v>
      </c>
      <c r="U124" s="76">
        <f t="shared" si="44"/>
        <v>4.9999999999999961E-2</v>
      </c>
      <c r="V124" s="69">
        <f t="shared" si="45"/>
        <v>205.99999999999983</v>
      </c>
      <c r="W124" s="77">
        <f ca="1">V124*VLOOKUP(TODAY(),'UF HOY'!$A$2:$B$36,2,0)</f>
        <v>8185191.6399999941</v>
      </c>
      <c r="X124" s="78">
        <f>Datos!$E$6</f>
        <v>18</v>
      </c>
      <c r="Y124" s="79">
        <f ca="1">IF((W124-1000000-Datos!$N$6)/X124&gt;0,(W124-1000000-Datos!$N$6)/X124,0)</f>
        <v>393621.75777777744</v>
      </c>
      <c r="Z124" s="78">
        <f>Datos!$E$6</f>
        <v>18</v>
      </c>
      <c r="AA124" s="79">
        <f ca="1">IF((W124-1000000-Datos!$N$6-1%*O124*VLOOKUP(TODAY(),'UF HOY'!$A$2:$B$33,2,0))/Z124&gt;0,(W124-1000000-Datos!$N$6-1%*O124*VLOOKUP(TODAY(),'UF HOY'!$A$2:$B$33,2,0))/Z124,0)</f>
        <v>302675.18399999966</v>
      </c>
      <c r="AB124" s="221">
        <f>IF(L124&gt;0,VLOOKUP(D124,Datos!$H$35:$J$38,3,0),VLOOKUP(D124,Datos!$H$35:$J$38,2,0))</f>
        <v>450000</v>
      </c>
      <c r="AC124" s="79">
        <f ca="1">(S124*PMT(Datos!$D$15,Datos!$D$13,-O124,,)*VLOOKUP(TODAY(),'UF HOY'!$A$2:$B$36,2,0)/12)+VLOOKUP(TODAY(),'UF HOY'!$A$2:$B$36,2,0)</f>
        <v>670867.86529228813</v>
      </c>
      <c r="AD124" s="79">
        <f t="shared" ca="1" si="46"/>
        <v>-220867.86529228813</v>
      </c>
      <c r="AE124" s="220">
        <f t="shared" ca="1" si="47"/>
        <v>2683471.4611691525</v>
      </c>
    </row>
    <row r="125" spans="1:31">
      <c r="A125" s="86" t="s">
        <v>4</v>
      </c>
      <c r="B125" s="86">
        <v>506</v>
      </c>
      <c r="C125" s="67" t="s">
        <v>130</v>
      </c>
      <c r="D125" s="67" t="s">
        <v>196</v>
      </c>
      <c r="E125" s="67"/>
      <c r="F125" s="66">
        <v>42.9</v>
      </c>
      <c r="G125" s="66">
        <v>9.4600000000000009</v>
      </c>
      <c r="H125" s="67">
        <f t="shared" si="36"/>
        <v>47.629999999999995</v>
      </c>
      <c r="I125" s="68">
        <f t="shared" si="37"/>
        <v>52.36</v>
      </c>
      <c r="J125" s="69">
        <v>3750</v>
      </c>
      <c r="K125" s="70">
        <v>0</v>
      </c>
      <c r="L125" s="71">
        <v>370</v>
      </c>
      <c r="M125" s="71">
        <v>0</v>
      </c>
      <c r="N125" s="72">
        <f t="shared" si="38"/>
        <v>3502</v>
      </c>
      <c r="O125" s="73">
        <f t="shared" si="39"/>
        <v>4120</v>
      </c>
      <c r="P125" s="121">
        <f t="shared" si="40"/>
        <v>65.756875918538739</v>
      </c>
      <c r="Q125" s="74">
        <f t="shared" si="41"/>
        <v>0.15</v>
      </c>
      <c r="R125" s="75">
        <f t="shared" si="42"/>
        <v>618</v>
      </c>
      <c r="S125" s="74">
        <v>0.8</v>
      </c>
      <c r="T125" s="75">
        <f t="shared" si="43"/>
        <v>3296</v>
      </c>
      <c r="U125" s="76">
        <f t="shared" si="44"/>
        <v>4.9999999999999961E-2</v>
      </c>
      <c r="V125" s="69">
        <f t="shared" si="45"/>
        <v>205.99999999999983</v>
      </c>
      <c r="W125" s="77">
        <f ca="1">V125*VLOOKUP(TODAY(),'UF HOY'!$A$2:$B$36,2,0)</f>
        <v>8185191.6399999941</v>
      </c>
      <c r="X125" s="78">
        <f>Datos!$E$6</f>
        <v>18</v>
      </c>
      <c r="Y125" s="79">
        <f ca="1">IF((W125-1000000-Datos!$N$6)/X125&gt;0,(W125-1000000-Datos!$N$6)/X125,0)</f>
        <v>393621.75777777744</v>
      </c>
      <c r="Z125" s="78">
        <f>Datos!$E$6</f>
        <v>18</v>
      </c>
      <c r="AA125" s="79">
        <f ca="1">IF((W125-1000000-Datos!$N$6-1%*O125*VLOOKUP(TODAY(),'UF HOY'!$A$2:$B$33,2,0))/Z125&gt;0,(W125-1000000-Datos!$N$6-1%*O125*VLOOKUP(TODAY(),'UF HOY'!$A$2:$B$33,2,0))/Z125,0)</f>
        <v>302675.18399999966</v>
      </c>
      <c r="AB125" s="221">
        <f>IF(L125&gt;0,VLOOKUP(D125,Datos!$H$35:$J$38,3,0),VLOOKUP(D125,Datos!$H$35:$J$38,2,0))</f>
        <v>450000</v>
      </c>
      <c r="AC125" s="79">
        <f ca="1">(S125*PMT(Datos!$D$15,Datos!$D$13,-O125,,)*VLOOKUP(TODAY(),'UF HOY'!$A$2:$B$36,2,0)/12)+VLOOKUP(TODAY(),'UF HOY'!$A$2:$B$36,2,0)</f>
        <v>670867.86529228813</v>
      </c>
      <c r="AD125" s="79">
        <f t="shared" ca="1" si="46"/>
        <v>-220867.86529228813</v>
      </c>
      <c r="AE125" s="220">
        <f t="shared" ca="1" si="47"/>
        <v>2683471.4611691525</v>
      </c>
    </row>
    <row r="126" spans="1:31">
      <c r="A126" s="86" t="s">
        <v>4</v>
      </c>
      <c r="B126" s="86">
        <v>606</v>
      </c>
      <c r="C126" s="67" t="s">
        <v>130</v>
      </c>
      <c r="D126" s="67" t="s">
        <v>196</v>
      </c>
      <c r="E126" s="67"/>
      <c r="F126" s="66">
        <v>42.9</v>
      </c>
      <c r="G126" s="66">
        <v>9.4600000000000009</v>
      </c>
      <c r="H126" s="67">
        <f t="shared" si="36"/>
        <v>47.629999999999995</v>
      </c>
      <c r="I126" s="68">
        <f t="shared" si="37"/>
        <v>52.36</v>
      </c>
      <c r="J126" s="69">
        <v>3750</v>
      </c>
      <c r="K126" s="70">
        <v>0</v>
      </c>
      <c r="L126" s="71">
        <v>370</v>
      </c>
      <c r="M126" s="71">
        <v>0</v>
      </c>
      <c r="N126" s="72">
        <f t="shared" si="38"/>
        <v>3502</v>
      </c>
      <c r="O126" s="73">
        <f t="shared" si="39"/>
        <v>4120</v>
      </c>
      <c r="P126" s="121">
        <f t="shared" si="40"/>
        <v>65.756875918538739</v>
      </c>
      <c r="Q126" s="74">
        <f t="shared" si="41"/>
        <v>0.15</v>
      </c>
      <c r="R126" s="75">
        <f t="shared" si="42"/>
        <v>618</v>
      </c>
      <c r="S126" s="74">
        <v>0.8</v>
      </c>
      <c r="T126" s="75">
        <f t="shared" si="43"/>
        <v>3296</v>
      </c>
      <c r="U126" s="76">
        <f t="shared" si="44"/>
        <v>4.9999999999999961E-2</v>
      </c>
      <c r="V126" s="69">
        <f t="shared" si="45"/>
        <v>205.99999999999983</v>
      </c>
      <c r="W126" s="77">
        <f ca="1">V126*VLOOKUP(TODAY(),'UF HOY'!$A$2:$B$36,2,0)</f>
        <v>8185191.6399999941</v>
      </c>
      <c r="X126" s="78">
        <f>Datos!$E$6</f>
        <v>18</v>
      </c>
      <c r="Y126" s="79">
        <f ca="1">IF((W126-1000000-Datos!$N$6)/X126&gt;0,(W126-1000000-Datos!$N$6)/X126,0)</f>
        <v>393621.75777777744</v>
      </c>
      <c r="Z126" s="78">
        <f>Datos!$E$6</f>
        <v>18</v>
      </c>
      <c r="AA126" s="79">
        <f ca="1">IF((W126-1000000-Datos!$N$6-1%*O126*VLOOKUP(TODAY(),'UF HOY'!$A$2:$B$33,2,0))/Z126&gt;0,(W126-1000000-Datos!$N$6-1%*O126*VLOOKUP(TODAY(),'UF HOY'!$A$2:$B$33,2,0))/Z126,0)</f>
        <v>302675.18399999966</v>
      </c>
      <c r="AB126" s="221">
        <f>IF(L126&gt;0,VLOOKUP(D126,Datos!$H$35:$J$38,3,0),VLOOKUP(D126,Datos!$H$35:$J$38,2,0))</f>
        <v>450000</v>
      </c>
      <c r="AC126" s="79">
        <f ca="1">(S126*PMT(Datos!$D$15,Datos!$D$13,-O126,,)*VLOOKUP(TODAY(),'UF HOY'!$A$2:$B$36,2,0)/12)+VLOOKUP(TODAY(),'UF HOY'!$A$2:$B$36,2,0)</f>
        <v>670867.86529228813</v>
      </c>
      <c r="AD126" s="79">
        <f t="shared" ca="1" si="46"/>
        <v>-220867.86529228813</v>
      </c>
      <c r="AE126" s="220">
        <f t="shared" ca="1" si="47"/>
        <v>2683471.4611691525</v>
      </c>
    </row>
    <row r="127" spans="1:31">
      <c r="A127" s="86" t="s">
        <v>4</v>
      </c>
      <c r="B127" s="86">
        <v>706</v>
      </c>
      <c r="C127" s="67" t="s">
        <v>130</v>
      </c>
      <c r="D127" s="67" t="s">
        <v>196</v>
      </c>
      <c r="E127" s="67"/>
      <c r="F127" s="66">
        <v>42.9</v>
      </c>
      <c r="G127" s="66">
        <v>9.4600000000000009</v>
      </c>
      <c r="H127" s="67">
        <f t="shared" si="36"/>
        <v>47.629999999999995</v>
      </c>
      <c r="I127" s="68">
        <f t="shared" si="37"/>
        <v>52.36</v>
      </c>
      <c r="J127" s="69">
        <v>3750</v>
      </c>
      <c r="K127" s="70">
        <v>0</v>
      </c>
      <c r="L127" s="71">
        <v>370</v>
      </c>
      <c r="M127" s="71">
        <v>0</v>
      </c>
      <c r="N127" s="72">
        <f t="shared" si="38"/>
        <v>3502</v>
      </c>
      <c r="O127" s="73">
        <f t="shared" si="39"/>
        <v>4120</v>
      </c>
      <c r="P127" s="121">
        <f t="shared" si="40"/>
        <v>65.756875918538739</v>
      </c>
      <c r="Q127" s="74">
        <f t="shared" si="41"/>
        <v>0.15</v>
      </c>
      <c r="R127" s="75">
        <f t="shared" si="42"/>
        <v>618</v>
      </c>
      <c r="S127" s="74">
        <v>0.8</v>
      </c>
      <c r="T127" s="75">
        <f t="shared" si="43"/>
        <v>3296</v>
      </c>
      <c r="U127" s="76">
        <f t="shared" si="44"/>
        <v>4.9999999999999961E-2</v>
      </c>
      <c r="V127" s="69">
        <f t="shared" si="45"/>
        <v>205.99999999999983</v>
      </c>
      <c r="W127" s="77">
        <f ca="1">V127*VLOOKUP(TODAY(),'UF HOY'!$A$2:$B$36,2,0)</f>
        <v>8185191.6399999941</v>
      </c>
      <c r="X127" s="78">
        <f>Datos!$E$6</f>
        <v>18</v>
      </c>
      <c r="Y127" s="79">
        <f ca="1">IF((W127-1000000-Datos!$N$6)/X127&gt;0,(W127-1000000-Datos!$N$6)/X127,0)</f>
        <v>393621.75777777744</v>
      </c>
      <c r="Z127" s="78">
        <f>Datos!$E$6</f>
        <v>18</v>
      </c>
      <c r="AA127" s="79">
        <f ca="1">IF((W127-1000000-Datos!$N$6-1%*O127*VLOOKUP(TODAY(),'UF HOY'!$A$2:$B$33,2,0))/Z127&gt;0,(W127-1000000-Datos!$N$6-1%*O127*VLOOKUP(TODAY(),'UF HOY'!$A$2:$B$33,2,0))/Z127,0)</f>
        <v>302675.18399999966</v>
      </c>
      <c r="AB127" s="221">
        <f>IF(L127&gt;0,VLOOKUP(D127,Datos!$H$35:$J$38,3,0),VLOOKUP(D127,Datos!$H$35:$J$38,2,0))</f>
        <v>450000</v>
      </c>
      <c r="AC127" s="79">
        <f ca="1">(S127*PMT(Datos!$D$15,Datos!$D$13,-O127,,)*VLOOKUP(TODAY(),'UF HOY'!$A$2:$B$36,2,0)/12)+VLOOKUP(TODAY(),'UF HOY'!$A$2:$B$36,2,0)</f>
        <v>670867.86529228813</v>
      </c>
      <c r="AD127" s="79">
        <f t="shared" ca="1" si="46"/>
        <v>-220867.86529228813</v>
      </c>
      <c r="AE127" s="220">
        <f t="shared" ca="1" si="47"/>
        <v>2683471.4611691525</v>
      </c>
    </row>
    <row r="128" spans="1:31">
      <c r="A128" s="86" t="s">
        <v>4</v>
      </c>
      <c r="B128" s="86">
        <v>806</v>
      </c>
      <c r="C128" s="67" t="s">
        <v>130</v>
      </c>
      <c r="D128" s="67" t="s">
        <v>196</v>
      </c>
      <c r="E128" s="67"/>
      <c r="F128" s="66">
        <v>42.9</v>
      </c>
      <c r="G128" s="66">
        <v>9.4600000000000009</v>
      </c>
      <c r="H128" s="67">
        <f t="shared" si="36"/>
        <v>47.629999999999995</v>
      </c>
      <c r="I128" s="68">
        <f t="shared" si="37"/>
        <v>52.36</v>
      </c>
      <c r="J128" s="69">
        <v>3750</v>
      </c>
      <c r="K128" s="70">
        <v>0</v>
      </c>
      <c r="L128" s="71">
        <v>370</v>
      </c>
      <c r="M128" s="71">
        <v>0</v>
      </c>
      <c r="N128" s="72">
        <f t="shared" si="38"/>
        <v>3502</v>
      </c>
      <c r="O128" s="73">
        <f t="shared" si="39"/>
        <v>4120</v>
      </c>
      <c r="P128" s="121">
        <f t="shared" si="40"/>
        <v>65.756875918538739</v>
      </c>
      <c r="Q128" s="74">
        <f t="shared" si="41"/>
        <v>0.15</v>
      </c>
      <c r="R128" s="75">
        <f t="shared" si="42"/>
        <v>618</v>
      </c>
      <c r="S128" s="74">
        <v>0.8</v>
      </c>
      <c r="T128" s="75">
        <f t="shared" si="43"/>
        <v>3296</v>
      </c>
      <c r="U128" s="76">
        <f t="shared" si="44"/>
        <v>4.9999999999999961E-2</v>
      </c>
      <c r="V128" s="69">
        <f t="shared" si="45"/>
        <v>205.99999999999983</v>
      </c>
      <c r="W128" s="77">
        <f ca="1">V128*VLOOKUP(TODAY(),'UF HOY'!$A$2:$B$36,2,0)</f>
        <v>8185191.6399999941</v>
      </c>
      <c r="X128" s="78">
        <f>Datos!$E$6</f>
        <v>18</v>
      </c>
      <c r="Y128" s="79">
        <f ca="1">IF((W128-1000000-Datos!$N$6)/X128&gt;0,(W128-1000000-Datos!$N$6)/X128,0)</f>
        <v>393621.75777777744</v>
      </c>
      <c r="Z128" s="78">
        <f>Datos!$E$6</f>
        <v>18</v>
      </c>
      <c r="AA128" s="79">
        <f ca="1">IF((W128-1000000-Datos!$N$6-1%*O128*VLOOKUP(TODAY(),'UF HOY'!$A$2:$B$33,2,0))/Z128&gt;0,(W128-1000000-Datos!$N$6-1%*O128*VLOOKUP(TODAY(),'UF HOY'!$A$2:$B$33,2,0))/Z128,0)</f>
        <v>302675.18399999966</v>
      </c>
      <c r="AB128" s="221">
        <f>IF(L128&gt;0,VLOOKUP(D128,Datos!$H$35:$J$38,3,0),VLOOKUP(D128,Datos!$H$35:$J$38,2,0))</f>
        <v>450000</v>
      </c>
      <c r="AC128" s="79">
        <f ca="1">(S128*PMT(Datos!$D$15,Datos!$D$13,-O128,,)*VLOOKUP(TODAY(),'UF HOY'!$A$2:$B$36,2,0)/12)+VLOOKUP(TODAY(),'UF HOY'!$A$2:$B$36,2,0)</f>
        <v>670867.86529228813</v>
      </c>
      <c r="AD128" s="79">
        <f t="shared" ca="1" si="46"/>
        <v>-220867.86529228813</v>
      </c>
      <c r="AE128" s="220">
        <f t="shared" ca="1" si="47"/>
        <v>2683471.4611691525</v>
      </c>
    </row>
    <row r="129" spans="1:31">
      <c r="A129" s="86" t="s">
        <v>4</v>
      </c>
      <c r="B129" s="86">
        <v>906</v>
      </c>
      <c r="C129" s="67" t="s">
        <v>130</v>
      </c>
      <c r="D129" s="67" t="s">
        <v>196</v>
      </c>
      <c r="E129" s="67"/>
      <c r="F129" s="66">
        <v>42.9</v>
      </c>
      <c r="G129" s="66">
        <v>9.4600000000000009</v>
      </c>
      <c r="H129" s="67">
        <f t="shared" si="36"/>
        <v>47.629999999999995</v>
      </c>
      <c r="I129" s="68">
        <f t="shared" si="37"/>
        <v>52.36</v>
      </c>
      <c r="J129" s="69">
        <v>3750</v>
      </c>
      <c r="K129" s="70">
        <v>0</v>
      </c>
      <c r="L129" s="71">
        <v>370</v>
      </c>
      <c r="M129" s="71">
        <v>0</v>
      </c>
      <c r="N129" s="72">
        <f t="shared" si="38"/>
        <v>3502</v>
      </c>
      <c r="O129" s="73">
        <f t="shared" si="39"/>
        <v>4120</v>
      </c>
      <c r="P129" s="121">
        <f t="shared" si="40"/>
        <v>65.756875918538739</v>
      </c>
      <c r="Q129" s="74">
        <f t="shared" si="41"/>
        <v>0.15</v>
      </c>
      <c r="R129" s="75">
        <f t="shared" si="42"/>
        <v>618</v>
      </c>
      <c r="S129" s="74">
        <v>0.8</v>
      </c>
      <c r="T129" s="75">
        <f t="shared" si="43"/>
        <v>3296</v>
      </c>
      <c r="U129" s="76">
        <f t="shared" si="44"/>
        <v>4.9999999999999961E-2</v>
      </c>
      <c r="V129" s="69">
        <f t="shared" si="45"/>
        <v>205.99999999999983</v>
      </c>
      <c r="W129" s="77">
        <f ca="1">V129*VLOOKUP(TODAY(),'UF HOY'!$A$2:$B$36,2,0)</f>
        <v>8185191.6399999941</v>
      </c>
      <c r="X129" s="78">
        <f>Datos!$E$6</f>
        <v>18</v>
      </c>
      <c r="Y129" s="79">
        <f ca="1">IF((W129-1000000-Datos!$N$6)/X129&gt;0,(W129-1000000-Datos!$N$6)/X129,0)</f>
        <v>393621.75777777744</v>
      </c>
      <c r="Z129" s="78">
        <f>Datos!$E$6</f>
        <v>18</v>
      </c>
      <c r="AA129" s="79">
        <f ca="1">IF((W129-1000000-Datos!$N$6-1%*O129*VLOOKUP(TODAY(),'UF HOY'!$A$2:$B$33,2,0))/Z129&gt;0,(W129-1000000-Datos!$N$6-1%*O129*VLOOKUP(TODAY(),'UF HOY'!$A$2:$B$33,2,0))/Z129,0)</f>
        <v>302675.18399999966</v>
      </c>
      <c r="AB129" s="221">
        <f>IF(L129&gt;0,VLOOKUP(D129,Datos!$H$35:$J$38,3,0),VLOOKUP(D129,Datos!$H$35:$J$38,2,0))</f>
        <v>450000</v>
      </c>
      <c r="AC129" s="79">
        <f ca="1">(S129*PMT(Datos!$D$15,Datos!$D$13,-O129,,)*VLOOKUP(TODAY(),'UF HOY'!$A$2:$B$36,2,0)/12)+VLOOKUP(TODAY(),'UF HOY'!$A$2:$B$36,2,0)</f>
        <v>670867.86529228813</v>
      </c>
      <c r="AD129" s="79">
        <f t="shared" ca="1" si="46"/>
        <v>-220867.86529228813</v>
      </c>
      <c r="AE129" s="220">
        <f t="shared" ca="1" si="47"/>
        <v>2683471.4611691525</v>
      </c>
    </row>
    <row r="130" spans="1:31">
      <c r="A130" s="86" t="s">
        <v>4</v>
      </c>
      <c r="B130" s="86">
        <v>1306</v>
      </c>
      <c r="C130" s="67" t="s">
        <v>130</v>
      </c>
      <c r="D130" s="67" t="s">
        <v>196</v>
      </c>
      <c r="E130" s="67"/>
      <c r="F130" s="66">
        <v>42.9</v>
      </c>
      <c r="G130" s="66">
        <v>9.4600000000000009</v>
      </c>
      <c r="H130" s="67">
        <f t="shared" ref="H130:H161" si="48">F130+G130/2</f>
        <v>47.629999999999995</v>
      </c>
      <c r="I130" s="68">
        <f t="shared" ref="I130:I161" si="49">F130+G130</f>
        <v>52.36</v>
      </c>
      <c r="J130" s="69">
        <v>3750</v>
      </c>
      <c r="K130" s="70">
        <v>0</v>
      </c>
      <c r="L130" s="71">
        <v>370</v>
      </c>
      <c r="M130" s="71">
        <v>0</v>
      </c>
      <c r="N130" s="72">
        <f t="shared" ref="N130:N161" si="50">O130-R130</f>
        <v>3502</v>
      </c>
      <c r="O130" s="73">
        <f t="shared" ref="O130:O161" si="51">J130*(100%-K130)+L130+M130</f>
        <v>4120</v>
      </c>
      <c r="P130" s="121">
        <f t="shared" ref="P130:P161" si="52">(N130-L130-M130)/H130</f>
        <v>65.756875918538739</v>
      </c>
      <c r="Q130" s="74">
        <f t="shared" ref="Q130:Q161" si="53">R130/O130</f>
        <v>0.15</v>
      </c>
      <c r="R130" s="75">
        <f t="shared" ref="R130:R161" si="54">O130*0.15</f>
        <v>618</v>
      </c>
      <c r="S130" s="74">
        <v>0.8</v>
      </c>
      <c r="T130" s="75">
        <f t="shared" ref="T130:T161" si="55">S130*O130</f>
        <v>3296</v>
      </c>
      <c r="U130" s="76">
        <f t="shared" ref="U130:U161" si="56">100%-S130-Q130</f>
        <v>4.9999999999999961E-2</v>
      </c>
      <c r="V130" s="69">
        <f t="shared" ref="V130:V161" si="57">O130*U130</f>
        <v>205.99999999999983</v>
      </c>
      <c r="W130" s="77">
        <f ca="1">V130*VLOOKUP(TODAY(),'UF HOY'!$A$2:$B$36,2,0)</f>
        <v>8185191.6399999941</v>
      </c>
      <c r="X130" s="78">
        <f>Datos!$E$6</f>
        <v>18</v>
      </c>
      <c r="Y130" s="79">
        <f ca="1">IF((W130-1000000-Datos!$N$6)/X130&gt;0,(W130-1000000-Datos!$N$6)/X130,0)</f>
        <v>393621.75777777744</v>
      </c>
      <c r="Z130" s="78">
        <f>Datos!$E$6</f>
        <v>18</v>
      </c>
      <c r="AA130" s="79">
        <f ca="1">IF((W130-1000000-Datos!$N$6-1%*O130*VLOOKUP(TODAY(),'UF HOY'!$A$2:$B$33,2,0))/Z130&gt;0,(W130-1000000-Datos!$N$6-1%*O130*VLOOKUP(TODAY(),'UF HOY'!$A$2:$B$33,2,0))/Z130,0)</f>
        <v>302675.18399999966</v>
      </c>
      <c r="AB130" s="221">
        <f>IF(L130&gt;0,VLOOKUP(D130,Datos!$H$35:$J$38,3,0),VLOOKUP(D130,Datos!$H$35:$J$38,2,0))</f>
        <v>450000</v>
      </c>
      <c r="AC130" s="79">
        <f ca="1">(S130*PMT(Datos!$D$15,Datos!$D$13,-O130,,)*VLOOKUP(TODAY(),'UF HOY'!$A$2:$B$36,2,0)/12)+VLOOKUP(TODAY(),'UF HOY'!$A$2:$B$36,2,0)</f>
        <v>670867.86529228813</v>
      </c>
      <c r="AD130" s="79">
        <f t="shared" ref="AD130:AD161" ca="1" si="58">AB130-AC130</f>
        <v>-220867.86529228813</v>
      </c>
      <c r="AE130" s="220">
        <f t="shared" ref="AE130:AE161" ca="1" si="59">IF((AC130/0.25)&lt;=1600000,1600000,(AC130/0.25))</f>
        <v>2683471.4611691525</v>
      </c>
    </row>
    <row r="131" spans="1:31">
      <c r="A131" s="86" t="s">
        <v>4</v>
      </c>
      <c r="B131" s="86">
        <v>1007</v>
      </c>
      <c r="C131" s="67" t="s">
        <v>130</v>
      </c>
      <c r="D131" s="67" t="s">
        <v>196</v>
      </c>
      <c r="E131" s="67"/>
      <c r="F131" s="66">
        <v>42.9</v>
      </c>
      <c r="G131" s="66">
        <v>9.1199999999999992</v>
      </c>
      <c r="H131" s="67">
        <f t="shared" si="48"/>
        <v>47.46</v>
      </c>
      <c r="I131" s="68">
        <f t="shared" si="49"/>
        <v>52.019999999999996</v>
      </c>
      <c r="J131" s="69">
        <v>3780</v>
      </c>
      <c r="K131" s="70">
        <v>0</v>
      </c>
      <c r="L131" s="71">
        <v>370</v>
      </c>
      <c r="M131" s="71">
        <v>0</v>
      </c>
      <c r="N131" s="72">
        <f t="shared" si="50"/>
        <v>3527.5</v>
      </c>
      <c r="O131" s="73">
        <f t="shared" si="51"/>
        <v>4150</v>
      </c>
      <c r="P131" s="121">
        <f t="shared" si="52"/>
        <v>66.529709228824274</v>
      </c>
      <c r="Q131" s="74">
        <f t="shared" si="53"/>
        <v>0.15</v>
      </c>
      <c r="R131" s="75">
        <f t="shared" si="54"/>
        <v>622.5</v>
      </c>
      <c r="S131" s="74">
        <v>0.8</v>
      </c>
      <c r="T131" s="75">
        <f t="shared" si="55"/>
        <v>3320</v>
      </c>
      <c r="U131" s="76">
        <f t="shared" si="56"/>
        <v>4.9999999999999961E-2</v>
      </c>
      <c r="V131" s="69">
        <f t="shared" si="57"/>
        <v>207.49999999999983</v>
      </c>
      <c r="W131" s="77">
        <f ca="1">V131*VLOOKUP(TODAY(),'UF HOY'!$A$2:$B$36,2,0)</f>
        <v>8244792.5499999933</v>
      </c>
      <c r="X131" s="78">
        <f>Datos!$E$6</f>
        <v>18</v>
      </c>
      <c r="Y131" s="79">
        <f ca="1">IF((W131-1000000-Datos!$N$6)/X131&gt;0,(W131-1000000-Datos!$N$6)/X131,0)</f>
        <v>396932.91944444407</v>
      </c>
      <c r="Z131" s="78">
        <f>Datos!$E$6</f>
        <v>18</v>
      </c>
      <c r="AA131" s="79">
        <f ca="1">IF((W131-1000000-Datos!$N$6-1%*O131*VLOOKUP(TODAY(),'UF HOY'!$A$2:$B$33,2,0))/Z131&gt;0,(W131-1000000-Datos!$N$6-1%*O131*VLOOKUP(TODAY(),'UF HOY'!$A$2:$B$33,2,0))/Z131,0)</f>
        <v>305324.11333333299</v>
      </c>
      <c r="AB131" s="221">
        <f>IF(L131&gt;0,VLOOKUP(D131,Datos!$H$35:$J$38,3,0),VLOOKUP(D131,Datos!$H$35:$J$38,2,0))</f>
        <v>450000</v>
      </c>
      <c r="AC131" s="79">
        <f ca="1">(S131*PMT(Datos!$D$15,Datos!$D$13,-O131,,)*VLOOKUP(TODAY(),'UF HOY'!$A$2:$B$36,2,0)/12)+VLOOKUP(TODAY(),'UF HOY'!$A$2:$B$36,2,0)</f>
        <v>675463.50067063002</v>
      </c>
      <c r="AD131" s="79">
        <f t="shared" ca="1" si="58"/>
        <v>-225463.50067063002</v>
      </c>
      <c r="AE131" s="220">
        <f t="shared" ca="1" si="59"/>
        <v>2701854.0026825201</v>
      </c>
    </row>
    <row r="132" spans="1:31">
      <c r="A132" s="86" t="s">
        <v>4</v>
      </c>
      <c r="B132" s="86">
        <v>1107</v>
      </c>
      <c r="C132" s="67" t="s">
        <v>130</v>
      </c>
      <c r="D132" s="67" t="s">
        <v>196</v>
      </c>
      <c r="E132" s="67"/>
      <c r="F132" s="66">
        <v>42.9</v>
      </c>
      <c r="G132" s="66">
        <v>9.1199999999999992</v>
      </c>
      <c r="H132" s="67">
        <f t="shared" si="48"/>
        <v>47.46</v>
      </c>
      <c r="I132" s="68">
        <f t="shared" si="49"/>
        <v>52.019999999999996</v>
      </c>
      <c r="J132" s="69">
        <v>3780</v>
      </c>
      <c r="K132" s="70">
        <v>0</v>
      </c>
      <c r="L132" s="71">
        <v>370</v>
      </c>
      <c r="M132" s="71">
        <v>0</v>
      </c>
      <c r="N132" s="72">
        <f t="shared" si="50"/>
        <v>3527.5</v>
      </c>
      <c r="O132" s="73">
        <f t="shared" si="51"/>
        <v>4150</v>
      </c>
      <c r="P132" s="121">
        <f t="shared" si="52"/>
        <v>66.529709228824274</v>
      </c>
      <c r="Q132" s="74">
        <f t="shared" si="53"/>
        <v>0.15</v>
      </c>
      <c r="R132" s="75">
        <f t="shared" si="54"/>
        <v>622.5</v>
      </c>
      <c r="S132" s="74">
        <v>0.8</v>
      </c>
      <c r="T132" s="75">
        <f t="shared" si="55"/>
        <v>3320</v>
      </c>
      <c r="U132" s="76">
        <f t="shared" si="56"/>
        <v>4.9999999999999961E-2</v>
      </c>
      <c r="V132" s="69">
        <f t="shared" si="57"/>
        <v>207.49999999999983</v>
      </c>
      <c r="W132" s="77">
        <f ca="1">V132*VLOOKUP(TODAY(),'UF HOY'!$A$2:$B$36,2,0)</f>
        <v>8244792.5499999933</v>
      </c>
      <c r="X132" s="78">
        <f>Datos!$E$6</f>
        <v>18</v>
      </c>
      <c r="Y132" s="79">
        <f ca="1">IF((W132-1000000-Datos!$N$6)/X132&gt;0,(W132-1000000-Datos!$N$6)/X132,0)</f>
        <v>396932.91944444407</v>
      </c>
      <c r="Z132" s="78">
        <f>Datos!$E$6</f>
        <v>18</v>
      </c>
      <c r="AA132" s="79">
        <f ca="1">IF((W132-1000000-Datos!$N$6-1%*O132*VLOOKUP(TODAY(),'UF HOY'!$A$2:$B$33,2,0))/Z132&gt;0,(W132-1000000-Datos!$N$6-1%*O132*VLOOKUP(TODAY(),'UF HOY'!$A$2:$B$33,2,0))/Z132,0)</f>
        <v>305324.11333333299</v>
      </c>
      <c r="AB132" s="221">
        <f>IF(L132&gt;0,VLOOKUP(D132,Datos!$H$35:$J$38,3,0),VLOOKUP(D132,Datos!$H$35:$J$38,2,0))</f>
        <v>450000</v>
      </c>
      <c r="AC132" s="79">
        <f ca="1">(S132*PMT(Datos!$D$15,Datos!$D$13,-O132,,)*VLOOKUP(TODAY(),'UF HOY'!$A$2:$B$36,2,0)/12)+VLOOKUP(TODAY(),'UF HOY'!$A$2:$B$36,2,0)</f>
        <v>675463.50067063002</v>
      </c>
      <c r="AD132" s="79">
        <f t="shared" ca="1" si="58"/>
        <v>-225463.50067063002</v>
      </c>
      <c r="AE132" s="220">
        <f t="shared" ca="1" si="59"/>
        <v>2701854.0026825201</v>
      </c>
    </row>
    <row r="133" spans="1:31">
      <c r="A133" s="86" t="s">
        <v>4</v>
      </c>
      <c r="B133" s="86">
        <v>1207</v>
      </c>
      <c r="C133" s="67" t="s">
        <v>130</v>
      </c>
      <c r="D133" s="67" t="s">
        <v>196</v>
      </c>
      <c r="E133" s="67"/>
      <c r="F133" s="66">
        <v>42.9</v>
      </c>
      <c r="G133" s="66">
        <v>9.1199999999999992</v>
      </c>
      <c r="H133" s="67">
        <f t="shared" si="48"/>
        <v>47.46</v>
      </c>
      <c r="I133" s="68">
        <f t="shared" si="49"/>
        <v>52.019999999999996</v>
      </c>
      <c r="J133" s="69">
        <v>3780</v>
      </c>
      <c r="K133" s="70">
        <v>0</v>
      </c>
      <c r="L133" s="71">
        <v>370</v>
      </c>
      <c r="M133" s="71">
        <v>0</v>
      </c>
      <c r="N133" s="72">
        <f t="shared" si="50"/>
        <v>3527.5</v>
      </c>
      <c r="O133" s="73">
        <f t="shared" si="51"/>
        <v>4150</v>
      </c>
      <c r="P133" s="121">
        <f t="shared" si="52"/>
        <v>66.529709228824274</v>
      </c>
      <c r="Q133" s="74">
        <f t="shared" si="53"/>
        <v>0.15</v>
      </c>
      <c r="R133" s="75">
        <f t="shared" si="54"/>
        <v>622.5</v>
      </c>
      <c r="S133" s="74">
        <v>0.8</v>
      </c>
      <c r="T133" s="75">
        <f t="shared" si="55"/>
        <v>3320</v>
      </c>
      <c r="U133" s="76">
        <f t="shared" si="56"/>
        <v>4.9999999999999961E-2</v>
      </c>
      <c r="V133" s="69">
        <f t="shared" si="57"/>
        <v>207.49999999999983</v>
      </c>
      <c r="W133" s="77">
        <f ca="1">V133*VLOOKUP(TODAY(),'UF HOY'!$A$2:$B$36,2,0)</f>
        <v>8244792.5499999933</v>
      </c>
      <c r="X133" s="78">
        <f>Datos!$E$6</f>
        <v>18</v>
      </c>
      <c r="Y133" s="79">
        <f ca="1">IF((W133-1000000-Datos!$N$6)/X133&gt;0,(W133-1000000-Datos!$N$6)/X133,0)</f>
        <v>396932.91944444407</v>
      </c>
      <c r="Z133" s="78">
        <f>Datos!$E$6</f>
        <v>18</v>
      </c>
      <c r="AA133" s="79">
        <f ca="1">IF((W133-1000000-Datos!$N$6-1%*O133*VLOOKUP(TODAY(),'UF HOY'!$A$2:$B$33,2,0))/Z133&gt;0,(W133-1000000-Datos!$N$6-1%*O133*VLOOKUP(TODAY(),'UF HOY'!$A$2:$B$33,2,0))/Z133,0)</f>
        <v>305324.11333333299</v>
      </c>
      <c r="AB133" s="221">
        <f>IF(L133&gt;0,VLOOKUP(D133,Datos!$H$35:$J$38,3,0),VLOOKUP(D133,Datos!$H$35:$J$38,2,0))</f>
        <v>450000</v>
      </c>
      <c r="AC133" s="79">
        <f ca="1">(S133*PMT(Datos!$D$15,Datos!$D$13,-O133,,)*VLOOKUP(TODAY(),'UF HOY'!$A$2:$B$36,2,0)/12)+VLOOKUP(TODAY(),'UF HOY'!$A$2:$B$36,2,0)</f>
        <v>675463.50067063002</v>
      </c>
      <c r="AD133" s="79">
        <f t="shared" ca="1" si="58"/>
        <v>-225463.50067063002</v>
      </c>
      <c r="AE133" s="220">
        <f t="shared" ca="1" si="59"/>
        <v>2701854.0026825201</v>
      </c>
    </row>
    <row r="134" spans="1:31">
      <c r="A134" s="86" t="s">
        <v>4</v>
      </c>
      <c r="B134" s="86">
        <v>1407</v>
      </c>
      <c r="C134" s="67" t="s">
        <v>130</v>
      </c>
      <c r="D134" s="67" t="s">
        <v>196</v>
      </c>
      <c r="E134" s="67"/>
      <c r="F134" s="66">
        <v>42.9</v>
      </c>
      <c r="G134" s="66">
        <v>9.1199999999999992</v>
      </c>
      <c r="H134" s="67">
        <f t="shared" si="48"/>
        <v>47.46</v>
      </c>
      <c r="I134" s="68">
        <f t="shared" si="49"/>
        <v>52.019999999999996</v>
      </c>
      <c r="J134" s="69">
        <v>3780</v>
      </c>
      <c r="K134" s="70">
        <v>0</v>
      </c>
      <c r="L134" s="71">
        <v>370</v>
      </c>
      <c r="M134" s="71">
        <v>0</v>
      </c>
      <c r="N134" s="72">
        <f t="shared" si="50"/>
        <v>3527.5</v>
      </c>
      <c r="O134" s="73">
        <f t="shared" si="51"/>
        <v>4150</v>
      </c>
      <c r="P134" s="121">
        <f t="shared" si="52"/>
        <v>66.529709228824274</v>
      </c>
      <c r="Q134" s="74">
        <f t="shared" si="53"/>
        <v>0.15</v>
      </c>
      <c r="R134" s="75">
        <f t="shared" si="54"/>
        <v>622.5</v>
      </c>
      <c r="S134" s="74">
        <v>0.8</v>
      </c>
      <c r="T134" s="75">
        <f t="shared" si="55"/>
        <v>3320</v>
      </c>
      <c r="U134" s="76">
        <f t="shared" si="56"/>
        <v>4.9999999999999961E-2</v>
      </c>
      <c r="V134" s="69">
        <f t="shared" si="57"/>
        <v>207.49999999999983</v>
      </c>
      <c r="W134" s="77">
        <f ca="1">V134*VLOOKUP(TODAY(),'UF HOY'!$A$2:$B$36,2,0)</f>
        <v>8244792.5499999933</v>
      </c>
      <c r="X134" s="78">
        <f>Datos!$E$6</f>
        <v>18</v>
      </c>
      <c r="Y134" s="79">
        <f ca="1">IF((W134-1000000-Datos!$N$6)/X134&gt;0,(W134-1000000-Datos!$N$6)/X134,0)</f>
        <v>396932.91944444407</v>
      </c>
      <c r="Z134" s="78">
        <f>Datos!$E$6</f>
        <v>18</v>
      </c>
      <c r="AA134" s="79">
        <f ca="1">IF((W134-1000000-Datos!$N$6-1%*O134*VLOOKUP(TODAY(),'UF HOY'!$A$2:$B$33,2,0))/Z134&gt;0,(W134-1000000-Datos!$N$6-1%*O134*VLOOKUP(TODAY(),'UF HOY'!$A$2:$B$33,2,0))/Z134,0)</f>
        <v>305324.11333333299</v>
      </c>
      <c r="AB134" s="221">
        <f>IF(L134&gt;0,VLOOKUP(D134,Datos!$H$35:$J$38,3,0),VLOOKUP(D134,Datos!$H$35:$J$38,2,0))</f>
        <v>450000</v>
      </c>
      <c r="AC134" s="79">
        <f ca="1">(S134*PMT(Datos!$D$15,Datos!$D$13,-O134,,)*VLOOKUP(TODAY(),'UF HOY'!$A$2:$B$36,2,0)/12)+VLOOKUP(TODAY(),'UF HOY'!$A$2:$B$36,2,0)</f>
        <v>675463.50067063002</v>
      </c>
      <c r="AD134" s="79">
        <f t="shared" ca="1" si="58"/>
        <v>-225463.50067063002</v>
      </c>
      <c r="AE134" s="220">
        <f t="shared" ca="1" si="59"/>
        <v>2701854.0026825201</v>
      </c>
    </row>
    <row r="135" spans="1:31">
      <c r="A135" s="86" t="s">
        <v>4</v>
      </c>
      <c r="B135" s="86">
        <v>1507</v>
      </c>
      <c r="C135" s="67" t="s">
        <v>130</v>
      </c>
      <c r="D135" s="67" t="s">
        <v>196</v>
      </c>
      <c r="E135" s="67"/>
      <c r="F135" s="66">
        <v>42.9</v>
      </c>
      <c r="G135" s="66">
        <v>9.1199999999999992</v>
      </c>
      <c r="H135" s="67">
        <f t="shared" si="48"/>
        <v>47.46</v>
      </c>
      <c r="I135" s="68">
        <f t="shared" si="49"/>
        <v>52.019999999999996</v>
      </c>
      <c r="J135" s="69">
        <v>3780</v>
      </c>
      <c r="K135" s="70">
        <v>0</v>
      </c>
      <c r="L135" s="71">
        <v>370</v>
      </c>
      <c r="M135" s="71">
        <v>0</v>
      </c>
      <c r="N135" s="72">
        <f t="shared" si="50"/>
        <v>3527.5</v>
      </c>
      <c r="O135" s="73">
        <f t="shared" si="51"/>
        <v>4150</v>
      </c>
      <c r="P135" s="121">
        <f t="shared" si="52"/>
        <v>66.529709228824274</v>
      </c>
      <c r="Q135" s="74">
        <f t="shared" si="53"/>
        <v>0.15</v>
      </c>
      <c r="R135" s="75">
        <f t="shared" si="54"/>
        <v>622.5</v>
      </c>
      <c r="S135" s="74">
        <v>0.8</v>
      </c>
      <c r="T135" s="75">
        <f t="shared" si="55"/>
        <v>3320</v>
      </c>
      <c r="U135" s="76">
        <f t="shared" si="56"/>
        <v>4.9999999999999961E-2</v>
      </c>
      <c r="V135" s="69">
        <f t="shared" si="57"/>
        <v>207.49999999999983</v>
      </c>
      <c r="W135" s="77">
        <f ca="1">V135*VLOOKUP(TODAY(),'UF HOY'!$A$2:$B$36,2,0)</f>
        <v>8244792.5499999933</v>
      </c>
      <c r="X135" s="78">
        <f>Datos!$E$6</f>
        <v>18</v>
      </c>
      <c r="Y135" s="79">
        <f ca="1">IF((W135-1000000-Datos!$N$6)/X135&gt;0,(W135-1000000-Datos!$N$6)/X135,0)</f>
        <v>396932.91944444407</v>
      </c>
      <c r="Z135" s="78">
        <f>Datos!$E$6</f>
        <v>18</v>
      </c>
      <c r="AA135" s="79">
        <f ca="1">IF((W135-1000000-Datos!$N$6-1%*O135*VLOOKUP(TODAY(),'UF HOY'!$A$2:$B$33,2,0))/Z135&gt;0,(W135-1000000-Datos!$N$6-1%*O135*VLOOKUP(TODAY(),'UF HOY'!$A$2:$B$33,2,0))/Z135,0)</f>
        <v>305324.11333333299</v>
      </c>
      <c r="AB135" s="221">
        <f>IF(L135&gt;0,VLOOKUP(D135,Datos!$H$35:$J$38,3,0),VLOOKUP(D135,Datos!$H$35:$J$38,2,0))</f>
        <v>450000</v>
      </c>
      <c r="AC135" s="79">
        <f ca="1">(S135*PMT(Datos!$D$15,Datos!$D$13,-O135,,)*VLOOKUP(TODAY(),'UF HOY'!$A$2:$B$36,2,0)/12)+VLOOKUP(TODAY(),'UF HOY'!$A$2:$B$36,2,0)</f>
        <v>675463.50067063002</v>
      </c>
      <c r="AD135" s="79">
        <f t="shared" ca="1" si="58"/>
        <v>-225463.50067063002</v>
      </c>
      <c r="AE135" s="220">
        <f t="shared" ca="1" si="59"/>
        <v>2701854.0026825201</v>
      </c>
    </row>
    <row r="136" spans="1:31">
      <c r="A136" s="86" t="s">
        <v>4</v>
      </c>
      <c r="B136" s="86">
        <v>1607</v>
      </c>
      <c r="C136" s="67" t="s">
        <v>130</v>
      </c>
      <c r="D136" s="67" t="s">
        <v>196</v>
      </c>
      <c r="E136" s="67"/>
      <c r="F136" s="66">
        <v>42.9</v>
      </c>
      <c r="G136" s="66">
        <v>9.1199999999999992</v>
      </c>
      <c r="H136" s="67">
        <f t="shared" si="48"/>
        <v>47.46</v>
      </c>
      <c r="I136" s="68">
        <f t="shared" si="49"/>
        <v>52.019999999999996</v>
      </c>
      <c r="J136" s="69">
        <v>3780</v>
      </c>
      <c r="K136" s="70">
        <v>0</v>
      </c>
      <c r="L136" s="71">
        <v>370</v>
      </c>
      <c r="M136" s="71">
        <v>0</v>
      </c>
      <c r="N136" s="72">
        <f t="shared" si="50"/>
        <v>3527.5</v>
      </c>
      <c r="O136" s="73">
        <f t="shared" si="51"/>
        <v>4150</v>
      </c>
      <c r="P136" s="121">
        <f t="shared" si="52"/>
        <v>66.529709228824274</v>
      </c>
      <c r="Q136" s="74">
        <f t="shared" si="53"/>
        <v>0.15</v>
      </c>
      <c r="R136" s="75">
        <f t="shared" si="54"/>
        <v>622.5</v>
      </c>
      <c r="S136" s="74">
        <v>0.8</v>
      </c>
      <c r="T136" s="75">
        <f t="shared" si="55"/>
        <v>3320</v>
      </c>
      <c r="U136" s="76">
        <f t="shared" si="56"/>
        <v>4.9999999999999961E-2</v>
      </c>
      <c r="V136" s="69">
        <f t="shared" si="57"/>
        <v>207.49999999999983</v>
      </c>
      <c r="W136" s="77">
        <f ca="1">V136*VLOOKUP(TODAY(),'UF HOY'!$A$2:$B$36,2,0)</f>
        <v>8244792.5499999933</v>
      </c>
      <c r="X136" s="78">
        <f>Datos!$E$6</f>
        <v>18</v>
      </c>
      <c r="Y136" s="79">
        <f ca="1">IF((W136-1000000-Datos!$N$6)/X136&gt;0,(W136-1000000-Datos!$N$6)/X136,0)</f>
        <v>396932.91944444407</v>
      </c>
      <c r="Z136" s="78">
        <f>Datos!$E$6</f>
        <v>18</v>
      </c>
      <c r="AA136" s="79">
        <f ca="1">IF((W136-1000000-Datos!$N$6-1%*O136*VLOOKUP(TODAY(),'UF HOY'!$A$2:$B$33,2,0))/Z136&gt;0,(W136-1000000-Datos!$N$6-1%*O136*VLOOKUP(TODAY(),'UF HOY'!$A$2:$B$33,2,0))/Z136,0)</f>
        <v>305324.11333333299</v>
      </c>
      <c r="AB136" s="221">
        <f>IF(L136&gt;0,VLOOKUP(D136,Datos!$H$35:$J$38,3,0),VLOOKUP(D136,Datos!$H$35:$J$38,2,0))</f>
        <v>450000</v>
      </c>
      <c r="AC136" s="79">
        <f ca="1">(S136*PMT(Datos!$D$15,Datos!$D$13,-O136,,)*VLOOKUP(TODAY(),'UF HOY'!$A$2:$B$36,2,0)/12)+VLOOKUP(TODAY(),'UF HOY'!$A$2:$B$36,2,0)</f>
        <v>675463.50067063002</v>
      </c>
      <c r="AD136" s="79">
        <f t="shared" ca="1" si="58"/>
        <v>-225463.50067063002</v>
      </c>
      <c r="AE136" s="220">
        <f t="shared" ca="1" si="59"/>
        <v>2701854.0026825201</v>
      </c>
    </row>
    <row r="137" spans="1:31">
      <c r="A137" s="86" t="s">
        <v>4</v>
      </c>
      <c r="B137" s="86">
        <v>1006</v>
      </c>
      <c r="C137" s="67" t="s">
        <v>130</v>
      </c>
      <c r="D137" s="67" t="s">
        <v>196</v>
      </c>
      <c r="E137" s="67"/>
      <c r="F137" s="66">
        <v>42.9</v>
      </c>
      <c r="G137" s="66">
        <v>9.4600000000000009</v>
      </c>
      <c r="H137" s="67">
        <f t="shared" si="48"/>
        <v>47.629999999999995</v>
      </c>
      <c r="I137" s="68">
        <f t="shared" si="49"/>
        <v>52.36</v>
      </c>
      <c r="J137" s="69">
        <v>3790</v>
      </c>
      <c r="K137" s="70">
        <v>0</v>
      </c>
      <c r="L137" s="71">
        <v>370</v>
      </c>
      <c r="M137" s="71">
        <v>0</v>
      </c>
      <c r="N137" s="72">
        <f t="shared" si="50"/>
        <v>3536</v>
      </c>
      <c r="O137" s="73">
        <f t="shared" si="51"/>
        <v>4160</v>
      </c>
      <c r="P137" s="121">
        <f t="shared" si="52"/>
        <v>66.470711736300657</v>
      </c>
      <c r="Q137" s="74">
        <f t="shared" si="53"/>
        <v>0.15</v>
      </c>
      <c r="R137" s="75">
        <f t="shared" si="54"/>
        <v>624</v>
      </c>
      <c r="S137" s="74">
        <v>0.8</v>
      </c>
      <c r="T137" s="75">
        <f t="shared" si="55"/>
        <v>3328</v>
      </c>
      <c r="U137" s="76">
        <f t="shared" si="56"/>
        <v>4.9999999999999961E-2</v>
      </c>
      <c r="V137" s="69">
        <f t="shared" si="57"/>
        <v>207.99999999999983</v>
      </c>
      <c r="W137" s="77">
        <f ca="1">V137*VLOOKUP(TODAY(),'UF HOY'!$A$2:$B$36,2,0)</f>
        <v>8264659.519999994</v>
      </c>
      <c r="X137" s="78">
        <f>Datos!$E$6</f>
        <v>18</v>
      </c>
      <c r="Y137" s="79">
        <f ca="1">IF((W137-1000000-Datos!$N$6)/X137&gt;0,(W137-1000000-Datos!$N$6)/X137,0)</f>
        <v>398036.63999999966</v>
      </c>
      <c r="Z137" s="78">
        <f>Datos!$E$6</f>
        <v>18</v>
      </c>
      <c r="AA137" s="79">
        <f ca="1">IF((W137-1000000-Datos!$N$6-1%*O137*VLOOKUP(TODAY(),'UF HOY'!$A$2:$B$33,2,0))/Z137&gt;0,(W137-1000000-Datos!$N$6-1%*O137*VLOOKUP(TODAY(),'UF HOY'!$A$2:$B$33,2,0))/Z137,0)</f>
        <v>306207.08977777744</v>
      </c>
      <c r="AB137" s="221">
        <f>IF(L137&gt;0,VLOOKUP(D137,Datos!$H$35:$J$38,3,0),VLOOKUP(D137,Datos!$H$35:$J$38,2,0))</f>
        <v>450000</v>
      </c>
      <c r="AC137" s="79">
        <f ca="1">(S137*PMT(Datos!$D$15,Datos!$D$13,-O137,,)*VLOOKUP(TODAY(),'UF HOY'!$A$2:$B$36,2,0)/12)+VLOOKUP(TODAY(),'UF HOY'!$A$2:$B$36,2,0)</f>
        <v>676995.37913007732</v>
      </c>
      <c r="AD137" s="79">
        <f t="shared" ca="1" si="58"/>
        <v>-226995.37913007732</v>
      </c>
      <c r="AE137" s="220">
        <f t="shared" ca="1" si="59"/>
        <v>2707981.5165203093</v>
      </c>
    </row>
    <row r="138" spans="1:31">
      <c r="A138" s="86" t="s">
        <v>4</v>
      </c>
      <c r="B138" s="86">
        <v>1106</v>
      </c>
      <c r="C138" s="67" t="s">
        <v>130</v>
      </c>
      <c r="D138" s="67" t="s">
        <v>196</v>
      </c>
      <c r="E138" s="67"/>
      <c r="F138" s="66">
        <v>42.9</v>
      </c>
      <c r="G138" s="66">
        <v>9.4600000000000009</v>
      </c>
      <c r="H138" s="67">
        <f t="shared" si="48"/>
        <v>47.629999999999995</v>
      </c>
      <c r="I138" s="68">
        <f t="shared" si="49"/>
        <v>52.36</v>
      </c>
      <c r="J138" s="69">
        <v>3790</v>
      </c>
      <c r="K138" s="70">
        <v>0</v>
      </c>
      <c r="L138" s="71">
        <v>370</v>
      </c>
      <c r="M138" s="71">
        <v>0</v>
      </c>
      <c r="N138" s="72">
        <f t="shared" si="50"/>
        <v>3536</v>
      </c>
      <c r="O138" s="73">
        <f t="shared" si="51"/>
        <v>4160</v>
      </c>
      <c r="P138" s="121">
        <f t="shared" si="52"/>
        <v>66.470711736300657</v>
      </c>
      <c r="Q138" s="74">
        <f t="shared" si="53"/>
        <v>0.15</v>
      </c>
      <c r="R138" s="75">
        <f t="shared" si="54"/>
        <v>624</v>
      </c>
      <c r="S138" s="74">
        <v>0.8</v>
      </c>
      <c r="T138" s="75">
        <f t="shared" si="55"/>
        <v>3328</v>
      </c>
      <c r="U138" s="76">
        <f t="shared" si="56"/>
        <v>4.9999999999999961E-2</v>
      </c>
      <c r="V138" s="69">
        <f t="shared" si="57"/>
        <v>207.99999999999983</v>
      </c>
      <c r="W138" s="77">
        <f ca="1">V138*VLOOKUP(TODAY(),'UF HOY'!$A$2:$B$36,2,0)</f>
        <v>8264659.519999994</v>
      </c>
      <c r="X138" s="78">
        <f>Datos!$E$6</f>
        <v>18</v>
      </c>
      <c r="Y138" s="79">
        <f ca="1">IF((W138-1000000-Datos!$N$6)/X138&gt;0,(W138-1000000-Datos!$N$6)/X138,0)</f>
        <v>398036.63999999966</v>
      </c>
      <c r="Z138" s="78">
        <f>Datos!$E$6</f>
        <v>18</v>
      </c>
      <c r="AA138" s="79">
        <f ca="1">IF((W138-1000000-Datos!$N$6-1%*O138*VLOOKUP(TODAY(),'UF HOY'!$A$2:$B$33,2,0))/Z138&gt;0,(W138-1000000-Datos!$N$6-1%*O138*VLOOKUP(TODAY(),'UF HOY'!$A$2:$B$33,2,0))/Z138,0)</f>
        <v>306207.08977777744</v>
      </c>
      <c r="AB138" s="221">
        <f>IF(L138&gt;0,VLOOKUP(D138,Datos!$H$35:$J$38,3,0),VLOOKUP(D138,Datos!$H$35:$J$38,2,0))</f>
        <v>450000</v>
      </c>
      <c r="AC138" s="79">
        <f ca="1">(S138*PMT(Datos!$D$15,Datos!$D$13,-O138,,)*VLOOKUP(TODAY(),'UF HOY'!$A$2:$B$36,2,0)/12)+VLOOKUP(TODAY(),'UF HOY'!$A$2:$B$36,2,0)</f>
        <v>676995.37913007732</v>
      </c>
      <c r="AD138" s="79">
        <f t="shared" ca="1" si="58"/>
        <v>-226995.37913007732</v>
      </c>
      <c r="AE138" s="220">
        <f t="shared" ca="1" si="59"/>
        <v>2707981.5165203093</v>
      </c>
    </row>
    <row r="139" spans="1:31">
      <c r="A139" s="86" t="s">
        <v>4</v>
      </c>
      <c r="B139" s="86">
        <v>1206</v>
      </c>
      <c r="C139" s="67" t="s">
        <v>130</v>
      </c>
      <c r="D139" s="67" t="s">
        <v>196</v>
      </c>
      <c r="E139" s="67"/>
      <c r="F139" s="66">
        <v>42.9</v>
      </c>
      <c r="G139" s="66">
        <v>9.4600000000000009</v>
      </c>
      <c r="H139" s="67">
        <f t="shared" si="48"/>
        <v>47.629999999999995</v>
      </c>
      <c r="I139" s="68">
        <f t="shared" si="49"/>
        <v>52.36</v>
      </c>
      <c r="J139" s="69">
        <v>3790</v>
      </c>
      <c r="K139" s="70">
        <v>0</v>
      </c>
      <c r="L139" s="71">
        <v>370</v>
      </c>
      <c r="M139" s="71">
        <v>0</v>
      </c>
      <c r="N139" s="72">
        <f t="shared" si="50"/>
        <v>3536</v>
      </c>
      <c r="O139" s="73">
        <f t="shared" si="51"/>
        <v>4160</v>
      </c>
      <c r="P139" s="121">
        <f t="shared" si="52"/>
        <v>66.470711736300657</v>
      </c>
      <c r="Q139" s="74">
        <f t="shared" si="53"/>
        <v>0.15</v>
      </c>
      <c r="R139" s="75">
        <f t="shared" si="54"/>
        <v>624</v>
      </c>
      <c r="S139" s="74">
        <v>0.8</v>
      </c>
      <c r="T139" s="75">
        <f t="shared" si="55"/>
        <v>3328</v>
      </c>
      <c r="U139" s="76">
        <f t="shared" si="56"/>
        <v>4.9999999999999961E-2</v>
      </c>
      <c r="V139" s="69">
        <f t="shared" si="57"/>
        <v>207.99999999999983</v>
      </c>
      <c r="W139" s="77">
        <f ca="1">V139*VLOOKUP(TODAY(),'UF HOY'!$A$2:$B$36,2,0)</f>
        <v>8264659.519999994</v>
      </c>
      <c r="X139" s="78">
        <f>Datos!$E$6</f>
        <v>18</v>
      </c>
      <c r="Y139" s="79">
        <f ca="1">IF((W139-1000000-Datos!$N$6)/X139&gt;0,(W139-1000000-Datos!$N$6)/X139,0)</f>
        <v>398036.63999999966</v>
      </c>
      <c r="Z139" s="78">
        <f>Datos!$E$6</f>
        <v>18</v>
      </c>
      <c r="AA139" s="79">
        <f ca="1">IF((W139-1000000-Datos!$N$6-1%*O139*VLOOKUP(TODAY(),'UF HOY'!$A$2:$B$33,2,0))/Z139&gt;0,(W139-1000000-Datos!$N$6-1%*O139*VLOOKUP(TODAY(),'UF HOY'!$A$2:$B$33,2,0))/Z139,0)</f>
        <v>306207.08977777744</v>
      </c>
      <c r="AB139" s="221">
        <f>IF(L139&gt;0,VLOOKUP(D139,Datos!$H$35:$J$38,3,0),VLOOKUP(D139,Datos!$H$35:$J$38,2,0))</f>
        <v>450000</v>
      </c>
      <c r="AC139" s="79">
        <f ca="1">(S139*PMT(Datos!$D$15,Datos!$D$13,-O139,,)*VLOOKUP(TODAY(),'UF HOY'!$A$2:$B$36,2,0)/12)+VLOOKUP(TODAY(),'UF HOY'!$A$2:$B$36,2,0)</f>
        <v>676995.37913007732</v>
      </c>
      <c r="AD139" s="79">
        <f t="shared" ca="1" si="58"/>
        <v>-226995.37913007732</v>
      </c>
      <c r="AE139" s="220">
        <f t="shared" ca="1" si="59"/>
        <v>2707981.5165203093</v>
      </c>
    </row>
    <row r="140" spans="1:31">
      <c r="A140" s="86" t="s">
        <v>4</v>
      </c>
      <c r="B140" s="86">
        <v>1406</v>
      </c>
      <c r="C140" s="67" t="s">
        <v>130</v>
      </c>
      <c r="D140" s="67" t="s">
        <v>196</v>
      </c>
      <c r="E140" s="67"/>
      <c r="F140" s="66">
        <v>42.9</v>
      </c>
      <c r="G140" s="66">
        <v>9.4600000000000009</v>
      </c>
      <c r="H140" s="67">
        <f t="shared" si="48"/>
        <v>47.629999999999995</v>
      </c>
      <c r="I140" s="68">
        <f t="shared" si="49"/>
        <v>52.36</v>
      </c>
      <c r="J140" s="69">
        <v>3790</v>
      </c>
      <c r="K140" s="70">
        <v>0</v>
      </c>
      <c r="L140" s="71">
        <v>370</v>
      </c>
      <c r="M140" s="71">
        <v>0</v>
      </c>
      <c r="N140" s="72">
        <f t="shared" si="50"/>
        <v>3536</v>
      </c>
      <c r="O140" s="73">
        <f t="shared" si="51"/>
        <v>4160</v>
      </c>
      <c r="P140" s="121">
        <f t="shared" si="52"/>
        <v>66.470711736300657</v>
      </c>
      <c r="Q140" s="74">
        <f t="shared" si="53"/>
        <v>0.15</v>
      </c>
      <c r="R140" s="75">
        <f t="shared" si="54"/>
        <v>624</v>
      </c>
      <c r="S140" s="74">
        <v>0.8</v>
      </c>
      <c r="T140" s="75">
        <f t="shared" si="55"/>
        <v>3328</v>
      </c>
      <c r="U140" s="76">
        <f t="shared" si="56"/>
        <v>4.9999999999999961E-2</v>
      </c>
      <c r="V140" s="69">
        <f t="shared" si="57"/>
        <v>207.99999999999983</v>
      </c>
      <c r="W140" s="77">
        <f ca="1">V140*VLOOKUP(TODAY(),'UF HOY'!$A$2:$B$36,2,0)</f>
        <v>8264659.519999994</v>
      </c>
      <c r="X140" s="78">
        <f>Datos!$E$6</f>
        <v>18</v>
      </c>
      <c r="Y140" s="79">
        <f ca="1">IF((W140-1000000-Datos!$N$6)/X140&gt;0,(W140-1000000-Datos!$N$6)/X140,0)</f>
        <v>398036.63999999966</v>
      </c>
      <c r="Z140" s="78">
        <f>Datos!$E$6</f>
        <v>18</v>
      </c>
      <c r="AA140" s="79">
        <f ca="1">IF((W140-1000000-Datos!$N$6-1%*O140*VLOOKUP(TODAY(),'UF HOY'!$A$2:$B$33,2,0))/Z140&gt;0,(W140-1000000-Datos!$N$6-1%*O140*VLOOKUP(TODAY(),'UF HOY'!$A$2:$B$33,2,0))/Z140,0)</f>
        <v>306207.08977777744</v>
      </c>
      <c r="AB140" s="221">
        <f>IF(L140&gt;0,VLOOKUP(D140,Datos!$H$35:$J$38,3,0),VLOOKUP(D140,Datos!$H$35:$J$38,2,0))</f>
        <v>450000</v>
      </c>
      <c r="AC140" s="79">
        <f ca="1">(S140*PMT(Datos!$D$15,Datos!$D$13,-O140,,)*VLOOKUP(TODAY(),'UF HOY'!$A$2:$B$36,2,0)/12)+VLOOKUP(TODAY(),'UF HOY'!$A$2:$B$36,2,0)</f>
        <v>676995.37913007732</v>
      </c>
      <c r="AD140" s="79">
        <f t="shared" ca="1" si="58"/>
        <v>-226995.37913007732</v>
      </c>
      <c r="AE140" s="220">
        <f t="shared" ca="1" si="59"/>
        <v>2707981.5165203093</v>
      </c>
    </row>
    <row r="141" spans="1:31">
      <c r="A141" s="86" t="s">
        <v>4</v>
      </c>
      <c r="B141" s="86">
        <v>1506</v>
      </c>
      <c r="C141" s="67" t="s">
        <v>130</v>
      </c>
      <c r="D141" s="67" t="s">
        <v>196</v>
      </c>
      <c r="E141" s="67"/>
      <c r="F141" s="66">
        <v>42.9</v>
      </c>
      <c r="G141" s="66">
        <v>9.4600000000000009</v>
      </c>
      <c r="H141" s="67">
        <f t="shared" si="48"/>
        <v>47.629999999999995</v>
      </c>
      <c r="I141" s="68">
        <f t="shared" si="49"/>
        <v>52.36</v>
      </c>
      <c r="J141" s="69">
        <v>3790</v>
      </c>
      <c r="K141" s="70">
        <v>0</v>
      </c>
      <c r="L141" s="71">
        <v>370</v>
      </c>
      <c r="M141" s="71">
        <v>0</v>
      </c>
      <c r="N141" s="72">
        <f t="shared" si="50"/>
        <v>3536</v>
      </c>
      <c r="O141" s="73">
        <f t="shared" si="51"/>
        <v>4160</v>
      </c>
      <c r="P141" s="121">
        <f t="shared" si="52"/>
        <v>66.470711736300657</v>
      </c>
      <c r="Q141" s="74">
        <f t="shared" si="53"/>
        <v>0.15</v>
      </c>
      <c r="R141" s="75">
        <f t="shared" si="54"/>
        <v>624</v>
      </c>
      <c r="S141" s="74">
        <v>0.8</v>
      </c>
      <c r="T141" s="75">
        <f t="shared" si="55"/>
        <v>3328</v>
      </c>
      <c r="U141" s="76">
        <f t="shared" si="56"/>
        <v>4.9999999999999961E-2</v>
      </c>
      <c r="V141" s="69">
        <f t="shared" si="57"/>
        <v>207.99999999999983</v>
      </c>
      <c r="W141" s="77">
        <f ca="1">V141*VLOOKUP(TODAY(),'UF HOY'!$A$2:$B$36,2,0)</f>
        <v>8264659.519999994</v>
      </c>
      <c r="X141" s="78">
        <f>Datos!$E$6</f>
        <v>18</v>
      </c>
      <c r="Y141" s="79">
        <f ca="1">IF((W141-1000000-Datos!$N$6)/X141&gt;0,(W141-1000000-Datos!$N$6)/X141,0)</f>
        <v>398036.63999999966</v>
      </c>
      <c r="Z141" s="78">
        <f>Datos!$E$6</f>
        <v>18</v>
      </c>
      <c r="AA141" s="79">
        <f ca="1">IF((W141-1000000-Datos!$N$6-1%*O141*VLOOKUP(TODAY(),'UF HOY'!$A$2:$B$33,2,0))/Z141&gt;0,(W141-1000000-Datos!$N$6-1%*O141*VLOOKUP(TODAY(),'UF HOY'!$A$2:$B$33,2,0))/Z141,0)</f>
        <v>306207.08977777744</v>
      </c>
      <c r="AB141" s="221">
        <f>IF(L141&gt;0,VLOOKUP(D141,Datos!$H$35:$J$38,3,0),VLOOKUP(D141,Datos!$H$35:$J$38,2,0))</f>
        <v>450000</v>
      </c>
      <c r="AC141" s="79">
        <f ca="1">(S141*PMT(Datos!$D$15,Datos!$D$13,-O141,,)*VLOOKUP(TODAY(),'UF HOY'!$A$2:$B$36,2,0)/12)+VLOOKUP(TODAY(),'UF HOY'!$A$2:$B$36,2,0)</f>
        <v>676995.37913007732</v>
      </c>
      <c r="AD141" s="79">
        <f t="shared" ca="1" si="58"/>
        <v>-226995.37913007732</v>
      </c>
      <c r="AE141" s="220">
        <f t="shared" ca="1" si="59"/>
        <v>2707981.5165203093</v>
      </c>
    </row>
    <row r="142" spans="1:31">
      <c r="A142" s="86" t="s">
        <v>4</v>
      </c>
      <c r="B142" s="86">
        <v>1606</v>
      </c>
      <c r="C142" s="67" t="s">
        <v>130</v>
      </c>
      <c r="D142" s="67" t="s">
        <v>196</v>
      </c>
      <c r="E142" s="67"/>
      <c r="F142" s="66">
        <v>42.9</v>
      </c>
      <c r="G142" s="66">
        <v>9.4600000000000009</v>
      </c>
      <c r="H142" s="67">
        <f t="shared" si="48"/>
        <v>47.629999999999995</v>
      </c>
      <c r="I142" s="68">
        <f t="shared" si="49"/>
        <v>52.36</v>
      </c>
      <c r="J142" s="69">
        <v>3790</v>
      </c>
      <c r="K142" s="70">
        <v>0</v>
      </c>
      <c r="L142" s="71">
        <v>370</v>
      </c>
      <c r="M142" s="71">
        <v>0</v>
      </c>
      <c r="N142" s="72">
        <f t="shared" si="50"/>
        <v>3536</v>
      </c>
      <c r="O142" s="73">
        <f t="shared" si="51"/>
        <v>4160</v>
      </c>
      <c r="P142" s="121">
        <f t="shared" si="52"/>
        <v>66.470711736300657</v>
      </c>
      <c r="Q142" s="74">
        <f t="shared" si="53"/>
        <v>0.15</v>
      </c>
      <c r="R142" s="75">
        <f t="shared" si="54"/>
        <v>624</v>
      </c>
      <c r="S142" s="74">
        <v>0.8</v>
      </c>
      <c r="T142" s="75">
        <f t="shared" si="55"/>
        <v>3328</v>
      </c>
      <c r="U142" s="76">
        <f t="shared" si="56"/>
        <v>4.9999999999999961E-2</v>
      </c>
      <c r="V142" s="69">
        <f t="shared" si="57"/>
        <v>207.99999999999983</v>
      </c>
      <c r="W142" s="77">
        <f ca="1">V142*VLOOKUP(TODAY(),'UF HOY'!$A$2:$B$36,2,0)</f>
        <v>8264659.519999994</v>
      </c>
      <c r="X142" s="78">
        <f>Datos!$E$6</f>
        <v>18</v>
      </c>
      <c r="Y142" s="79">
        <f ca="1">IF((W142-1000000-Datos!$N$6)/X142&gt;0,(W142-1000000-Datos!$N$6)/X142,0)</f>
        <v>398036.63999999966</v>
      </c>
      <c r="Z142" s="78">
        <f>Datos!$E$6</f>
        <v>18</v>
      </c>
      <c r="AA142" s="79">
        <f ca="1">IF((W142-1000000-Datos!$N$6-1%*O142*VLOOKUP(TODAY(),'UF HOY'!$A$2:$B$33,2,0))/Z142&gt;0,(W142-1000000-Datos!$N$6-1%*O142*VLOOKUP(TODAY(),'UF HOY'!$A$2:$B$33,2,0))/Z142,0)</f>
        <v>306207.08977777744</v>
      </c>
      <c r="AB142" s="221">
        <f>IF(L142&gt;0,VLOOKUP(D142,Datos!$H$35:$J$38,3,0),VLOOKUP(D142,Datos!$H$35:$J$38,2,0))</f>
        <v>450000</v>
      </c>
      <c r="AC142" s="79">
        <f ca="1">(S142*PMT(Datos!$D$15,Datos!$D$13,-O142,,)*VLOOKUP(TODAY(),'UF HOY'!$A$2:$B$36,2,0)/12)+VLOOKUP(TODAY(),'UF HOY'!$A$2:$B$36,2,0)</f>
        <v>676995.37913007732</v>
      </c>
      <c r="AD142" s="79">
        <f t="shared" ca="1" si="58"/>
        <v>-226995.37913007732</v>
      </c>
      <c r="AE142" s="220">
        <f t="shared" ca="1" si="59"/>
        <v>2707981.5165203093</v>
      </c>
    </row>
    <row r="143" spans="1:31">
      <c r="A143" s="86" t="s">
        <v>4</v>
      </c>
      <c r="B143" s="86">
        <v>211</v>
      </c>
      <c r="C143" s="67" t="s">
        <v>129</v>
      </c>
      <c r="D143" s="67" t="s">
        <v>194</v>
      </c>
      <c r="E143" s="67"/>
      <c r="F143" s="66">
        <v>48.37</v>
      </c>
      <c r="G143" s="66">
        <v>8.68</v>
      </c>
      <c r="H143" s="67">
        <f t="shared" si="48"/>
        <v>52.709999999999994</v>
      </c>
      <c r="I143" s="68">
        <f t="shared" si="49"/>
        <v>57.05</v>
      </c>
      <c r="J143" s="69">
        <v>3900</v>
      </c>
      <c r="K143" s="70">
        <v>0</v>
      </c>
      <c r="L143" s="71">
        <v>370</v>
      </c>
      <c r="M143" s="71">
        <v>0</v>
      </c>
      <c r="N143" s="72">
        <f t="shared" si="50"/>
        <v>3629.5</v>
      </c>
      <c r="O143" s="73">
        <f t="shared" si="51"/>
        <v>4270</v>
      </c>
      <c r="P143" s="121">
        <f t="shared" si="52"/>
        <v>61.838360842344912</v>
      </c>
      <c r="Q143" s="74">
        <f t="shared" si="53"/>
        <v>0.15</v>
      </c>
      <c r="R143" s="75">
        <f t="shared" si="54"/>
        <v>640.5</v>
      </c>
      <c r="S143" s="74">
        <v>0.8</v>
      </c>
      <c r="T143" s="75">
        <f t="shared" si="55"/>
        <v>3416</v>
      </c>
      <c r="U143" s="76">
        <f t="shared" si="56"/>
        <v>4.9999999999999961E-2</v>
      </c>
      <c r="V143" s="69">
        <f t="shared" si="57"/>
        <v>213.49999999999983</v>
      </c>
      <c r="W143" s="77">
        <f ca="1">V143*VLOOKUP(TODAY(),'UF HOY'!$A$2:$B$36,2,0)</f>
        <v>8483196.1899999939</v>
      </c>
      <c r="X143" s="78">
        <f>Datos!$E$6</f>
        <v>18</v>
      </c>
      <c r="Y143" s="79">
        <f ca="1">IF((W143-1000000-Datos!$N$6)/X143&gt;0,(W143-1000000-Datos!$N$6)/X143,0)</f>
        <v>410177.56611111079</v>
      </c>
      <c r="Z143" s="78">
        <f>Datos!$E$6</f>
        <v>18</v>
      </c>
      <c r="AA143" s="79">
        <f ca="1">IF((W143-1000000-Datos!$N$6-1%*O143*VLOOKUP(TODAY(),'UF HOY'!$A$2:$B$33,2,0))/Z143&gt;0,(W143-1000000-Datos!$N$6-1%*O143*VLOOKUP(TODAY(),'UF HOY'!$A$2:$B$33,2,0))/Z143,0)</f>
        <v>315919.83066666633</v>
      </c>
      <c r="AB143" s="221">
        <f>IF(L143&gt;0,VLOOKUP(D143,Datos!$H$35:$J$38,3,0),VLOOKUP(D143,Datos!$H$35:$J$38,2,0))</f>
        <v>500000</v>
      </c>
      <c r="AC143" s="79">
        <f ca="1">(S143*PMT(Datos!$D$15,Datos!$D$13,-O143,,)*VLOOKUP(TODAY(),'UF HOY'!$A$2:$B$36,2,0)/12)+VLOOKUP(TODAY(),'UF HOY'!$A$2:$B$36,2,0)</f>
        <v>693846.04218399781</v>
      </c>
      <c r="AD143" s="79">
        <f t="shared" ca="1" si="58"/>
        <v>-193846.04218399781</v>
      </c>
      <c r="AE143" s="220">
        <f t="shared" ca="1" si="59"/>
        <v>2775384.1687359912</v>
      </c>
    </row>
    <row r="144" spans="1:31">
      <c r="A144" s="86" t="s">
        <v>4</v>
      </c>
      <c r="B144" s="86">
        <v>208</v>
      </c>
      <c r="C144" s="67" t="s">
        <v>130</v>
      </c>
      <c r="D144" s="67" t="s">
        <v>194</v>
      </c>
      <c r="E144" s="67"/>
      <c r="F144" s="66">
        <v>48.37</v>
      </c>
      <c r="G144" s="66">
        <v>8.68</v>
      </c>
      <c r="H144" s="67">
        <f t="shared" si="48"/>
        <v>52.709999999999994</v>
      </c>
      <c r="I144" s="68">
        <f t="shared" si="49"/>
        <v>57.05</v>
      </c>
      <c r="J144" s="69">
        <v>3930</v>
      </c>
      <c r="K144" s="70">
        <v>0</v>
      </c>
      <c r="L144" s="71">
        <v>370</v>
      </c>
      <c r="M144" s="71">
        <v>0</v>
      </c>
      <c r="N144" s="72">
        <f t="shared" si="50"/>
        <v>3655</v>
      </c>
      <c r="O144" s="73">
        <f t="shared" si="51"/>
        <v>4300</v>
      </c>
      <c r="P144" s="121">
        <f t="shared" si="52"/>
        <v>62.322140011383048</v>
      </c>
      <c r="Q144" s="74">
        <f t="shared" si="53"/>
        <v>0.15</v>
      </c>
      <c r="R144" s="75">
        <f t="shared" si="54"/>
        <v>645</v>
      </c>
      <c r="S144" s="74">
        <v>0.8</v>
      </c>
      <c r="T144" s="75">
        <f t="shared" si="55"/>
        <v>3440</v>
      </c>
      <c r="U144" s="76">
        <f t="shared" si="56"/>
        <v>4.9999999999999961E-2</v>
      </c>
      <c r="V144" s="69">
        <f t="shared" si="57"/>
        <v>214.99999999999983</v>
      </c>
      <c r="W144" s="77">
        <f ca="1">V144*VLOOKUP(TODAY(),'UF HOY'!$A$2:$B$36,2,0)</f>
        <v>8542797.099999994</v>
      </c>
      <c r="X144" s="78">
        <f>Datos!$E$6</f>
        <v>18</v>
      </c>
      <c r="Y144" s="79">
        <f ca="1">IF((W144-1000000-Datos!$N$6)/X144&gt;0,(W144-1000000-Datos!$N$6)/X144,0)</f>
        <v>413488.72777777747</v>
      </c>
      <c r="Z144" s="78">
        <f>Datos!$E$6</f>
        <v>18</v>
      </c>
      <c r="AA144" s="79">
        <f ca="1">IF((W144-1000000-Datos!$N$6-1%*O144*VLOOKUP(TODAY(),'UF HOY'!$A$2:$B$33,2,0))/Z144&gt;0,(W144-1000000-Datos!$N$6-1%*O144*VLOOKUP(TODAY(),'UF HOY'!$A$2:$B$33,2,0))/Z144,0)</f>
        <v>318568.75999999966</v>
      </c>
      <c r="AB144" s="221">
        <f>IF(L144&gt;0,VLOOKUP(D144,Datos!$H$35:$J$38,3,0),VLOOKUP(D144,Datos!$H$35:$J$38,2,0))</f>
        <v>500000</v>
      </c>
      <c r="AC144" s="79">
        <f ca="1">(S144*PMT(Datos!$D$15,Datos!$D$13,-O144,,)*VLOOKUP(TODAY(),'UF HOY'!$A$2:$B$36,2,0)/12)+VLOOKUP(TODAY(),'UF HOY'!$A$2:$B$36,2,0)</f>
        <v>698441.67756233946</v>
      </c>
      <c r="AD144" s="79">
        <f t="shared" ca="1" si="58"/>
        <v>-198441.67756233946</v>
      </c>
      <c r="AE144" s="220">
        <f t="shared" ca="1" si="59"/>
        <v>2793766.7102493579</v>
      </c>
    </row>
    <row r="145" spans="1:31">
      <c r="A145" s="86" t="s">
        <v>4</v>
      </c>
      <c r="B145" s="86">
        <v>311</v>
      </c>
      <c r="C145" s="67" t="s">
        <v>129</v>
      </c>
      <c r="D145" s="67" t="s">
        <v>194</v>
      </c>
      <c r="E145" s="67"/>
      <c r="F145" s="66">
        <v>48.37</v>
      </c>
      <c r="G145" s="66">
        <v>8.68</v>
      </c>
      <c r="H145" s="67">
        <f t="shared" si="48"/>
        <v>52.709999999999994</v>
      </c>
      <c r="I145" s="68">
        <f t="shared" si="49"/>
        <v>57.05</v>
      </c>
      <c r="J145" s="69">
        <v>3930</v>
      </c>
      <c r="K145" s="70">
        <v>0</v>
      </c>
      <c r="L145" s="71">
        <v>370</v>
      </c>
      <c r="M145" s="71">
        <v>0</v>
      </c>
      <c r="N145" s="72">
        <f t="shared" si="50"/>
        <v>3655</v>
      </c>
      <c r="O145" s="73">
        <f t="shared" si="51"/>
        <v>4300</v>
      </c>
      <c r="P145" s="121">
        <f t="shared" si="52"/>
        <v>62.322140011383048</v>
      </c>
      <c r="Q145" s="74">
        <f t="shared" si="53"/>
        <v>0.15</v>
      </c>
      <c r="R145" s="75">
        <f t="shared" si="54"/>
        <v>645</v>
      </c>
      <c r="S145" s="74">
        <v>0.8</v>
      </c>
      <c r="T145" s="75">
        <f t="shared" si="55"/>
        <v>3440</v>
      </c>
      <c r="U145" s="76">
        <f t="shared" si="56"/>
        <v>4.9999999999999961E-2</v>
      </c>
      <c r="V145" s="69">
        <f t="shared" si="57"/>
        <v>214.99999999999983</v>
      </c>
      <c r="W145" s="77">
        <f ca="1">V145*VLOOKUP(TODAY(),'UF HOY'!$A$2:$B$36,2,0)</f>
        <v>8542797.099999994</v>
      </c>
      <c r="X145" s="78">
        <f>Datos!$E$6</f>
        <v>18</v>
      </c>
      <c r="Y145" s="79">
        <f ca="1">IF((W145-1000000-Datos!$N$6)/X145&gt;0,(W145-1000000-Datos!$N$6)/X145,0)</f>
        <v>413488.72777777747</v>
      </c>
      <c r="Z145" s="78">
        <f>Datos!$E$6</f>
        <v>18</v>
      </c>
      <c r="AA145" s="79">
        <f ca="1">IF((W145-1000000-Datos!$N$6-1%*O145*VLOOKUP(TODAY(),'UF HOY'!$A$2:$B$33,2,0))/Z145&gt;0,(W145-1000000-Datos!$N$6-1%*O145*VLOOKUP(TODAY(),'UF HOY'!$A$2:$B$33,2,0))/Z145,0)</f>
        <v>318568.75999999966</v>
      </c>
      <c r="AB145" s="221">
        <f>IF(L145&gt;0,VLOOKUP(D145,Datos!$H$35:$J$38,3,0),VLOOKUP(D145,Datos!$H$35:$J$38,2,0))</f>
        <v>500000</v>
      </c>
      <c r="AC145" s="79">
        <f ca="1">(S145*PMT(Datos!$D$15,Datos!$D$13,-O145,,)*VLOOKUP(TODAY(),'UF HOY'!$A$2:$B$36,2,0)/12)+VLOOKUP(TODAY(),'UF HOY'!$A$2:$B$36,2,0)</f>
        <v>698441.67756233946</v>
      </c>
      <c r="AD145" s="79">
        <f t="shared" ca="1" si="58"/>
        <v>-198441.67756233946</v>
      </c>
      <c r="AE145" s="220">
        <f t="shared" ca="1" si="59"/>
        <v>2793766.7102493579</v>
      </c>
    </row>
    <row r="146" spans="1:31">
      <c r="A146" s="86" t="s">
        <v>4</v>
      </c>
      <c r="B146" s="86">
        <v>411</v>
      </c>
      <c r="C146" s="67" t="s">
        <v>129</v>
      </c>
      <c r="D146" s="67" t="s">
        <v>194</v>
      </c>
      <c r="E146" s="67"/>
      <c r="F146" s="66">
        <v>48.37</v>
      </c>
      <c r="G146" s="66">
        <v>8.68</v>
      </c>
      <c r="H146" s="67">
        <f t="shared" si="48"/>
        <v>52.709999999999994</v>
      </c>
      <c r="I146" s="68">
        <f t="shared" si="49"/>
        <v>57.05</v>
      </c>
      <c r="J146" s="69">
        <v>3930</v>
      </c>
      <c r="K146" s="70">
        <v>0</v>
      </c>
      <c r="L146" s="71">
        <v>370</v>
      </c>
      <c r="M146" s="71">
        <v>0</v>
      </c>
      <c r="N146" s="72">
        <f t="shared" si="50"/>
        <v>3655</v>
      </c>
      <c r="O146" s="73">
        <f t="shared" si="51"/>
        <v>4300</v>
      </c>
      <c r="P146" s="121">
        <f t="shared" si="52"/>
        <v>62.322140011383048</v>
      </c>
      <c r="Q146" s="74">
        <f t="shared" si="53"/>
        <v>0.15</v>
      </c>
      <c r="R146" s="75">
        <f t="shared" si="54"/>
        <v>645</v>
      </c>
      <c r="S146" s="74">
        <v>0.8</v>
      </c>
      <c r="T146" s="75">
        <f t="shared" si="55"/>
        <v>3440</v>
      </c>
      <c r="U146" s="76">
        <f t="shared" si="56"/>
        <v>4.9999999999999961E-2</v>
      </c>
      <c r="V146" s="69">
        <f t="shared" si="57"/>
        <v>214.99999999999983</v>
      </c>
      <c r="W146" s="77">
        <f ca="1">V146*VLOOKUP(TODAY(),'UF HOY'!$A$2:$B$36,2,0)</f>
        <v>8542797.099999994</v>
      </c>
      <c r="X146" s="78">
        <f>Datos!$E$6</f>
        <v>18</v>
      </c>
      <c r="Y146" s="79">
        <f ca="1">IF((W146-1000000-Datos!$N$6)/X146&gt;0,(W146-1000000-Datos!$N$6)/X146,0)</f>
        <v>413488.72777777747</v>
      </c>
      <c r="Z146" s="78">
        <f>Datos!$E$6</f>
        <v>18</v>
      </c>
      <c r="AA146" s="79">
        <f ca="1">IF((W146-1000000-Datos!$N$6-1%*O146*VLOOKUP(TODAY(),'UF HOY'!$A$2:$B$33,2,0))/Z146&gt;0,(W146-1000000-Datos!$N$6-1%*O146*VLOOKUP(TODAY(),'UF HOY'!$A$2:$B$33,2,0))/Z146,0)</f>
        <v>318568.75999999966</v>
      </c>
      <c r="AB146" s="221">
        <f>IF(L146&gt;0,VLOOKUP(D146,Datos!$H$35:$J$38,3,0),VLOOKUP(D146,Datos!$H$35:$J$38,2,0))</f>
        <v>500000</v>
      </c>
      <c r="AC146" s="79">
        <f ca="1">(S146*PMT(Datos!$D$15,Datos!$D$13,-O146,,)*VLOOKUP(TODAY(),'UF HOY'!$A$2:$B$36,2,0)/12)+VLOOKUP(TODAY(),'UF HOY'!$A$2:$B$36,2,0)</f>
        <v>698441.67756233946</v>
      </c>
      <c r="AD146" s="79">
        <f t="shared" ca="1" si="58"/>
        <v>-198441.67756233946</v>
      </c>
      <c r="AE146" s="220">
        <f t="shared" ca="1" si="59"/>
        <v>2793766.7102493579</v>
      </c>
    </row>
    <row r="147" spans="1:31">
      <c r="A147" s="86" t="s">
        <v>4</v>
      </c>
      <c r="B147" s="86">
        <v>511</v>
      </c>
      <c r="C147" s="67" t="s">
        <v>129</v>
      </c>
      <c r="D147" s="67" t="s">
        <v>194</v>
      </c>
      <c r="E147" s="67"/>
      <c r="F147" s="66">
        <v>48.37</v>
      </c>
      <c r="G147" s="66">
        <v>8.68</v>
      </c>
      <c r="H147" s="67">
        <f t="shared" si="48"/>
        <v>52.709999999999994</v>
      </c>
      <c r="I147" s="68">
        <f t="shared" si="49"/>
        <v>57.05</v>
      </c>
      <c r="J147" s="69">
        <v>3930</v>
      </c>
      <c r="K147" s="70">
        <v>0</v>
      </c>
      <c r="L147" s="71">
        <v>370</v>
      </c>
      <c r="M147" s="71">
        <v>0</v>
      </c>
      <c r="N147" s="72">
        <f t="shared" si="50"/>
        <v>3655</v>
      </c>
      <c r="O147" s="73">
        <f t="shared" si="51"/>
        <v>4300</v>
      </c>
      <c r="P147" s="121">
        <f t="shared" si="52"/>
        <v>62.322140011383048</v>
      </c>
      <c r="Q147" s="74">
        <f t="shared" si="53"/>
        <v>0.15</v>
      </c>
      <c r="R147" s="75">
        <f t="shared" si="54"/>
        <v>645</v>
      </c>
      <c r="S147" s="74">
        <v>0.8</v>
      </c>
      <c r="T147" s="75">
        <f t="shared" si="55"/>
        <v>3440</v>
      </c>
      <c r="U147" s="76">
        <f t="shared" si="56"/>
        <v>4.9999999999999961E-2</v>
      </c>
      <c r="V147" s="69">
        <f t="shared" si="57"/>
        <v>214.99999999999983</v>
      </c>
      <c r="W147" s="77">
        <f ca="1">V147*VLOOKUP(TODAY(),'UF HOY'!$A$2:$B$36,2,0)</f>
        <v>8542797.099999994</v>
      </c>
      <c r="X147" s="78">
        <f>Datos!$E$6</f>
        <v>18</v>
      </c>
      <c r="Y147" s="79">
        <f ca="1">IF((W147-1000000-Datos!$N$6)/X147&gt;0,(W147-1000000-Datos!$N$6)/X147,0)</f>
        <v>413488.72777777747</v>
      </c>
      <c r="Z147" s="78">
        <f>Datos!$E$6</f>
        <v>18</v>
      </c>
      <c r="AA147" s="79">
        <f ca="1">IF((W147-1000000-Datos!$N$6-1%*O147*VLOOKUP(TODAY(),'UF HOY'!$A$2:$B$33,2,0))/Z147&gt;0,(W147-1000000-Datos!$N$6-1%*O147*VLOOKUP(TODAY(),'UF HOY'!$A$2:$B$33,2,0))/Z147,0)</f>
        <v>318568.75999999966</v>
      </c>
      <c r="AB147" s="221">
        <f>IF(L147&gt;0,VLOOKUP(D147,Datos!$H$35:$J$38,3,0),VLOOKUP(D147,Datos!$H$35:$J$38,2,0))</f>
        <v>500000</v>
      </c>
      <c r="AC147" s="79">
        <f ca="1">(S147*PMT(Datos!$D$15,Datos!$D$13,-O147,,)*VLOOKUP(TODAY(),'UF HOY'!$A$2:$B$36,2,0)/12)+VLOOKUP(TODAY(),'UF HOY'!$A$2:$B$36,2,0)</f>
        <v>698441.67756233946</v>
      </c>
      <c r="AD147" s="79">
        <f t="shared" ca="1" si="58"/>
        <v>-198441.67756233946</v>
      </c>
      <c r="AE147" s="220">
        <f t="shared" ca="1" si="59"/>
        <v>2793766.7102493579</v>
      </c>
    </row>
    <row r="148" spans="1:31">
      <c r="A148" s="86" t="s">
        <v>4</v>
      </c>
      <c r="B148" s="86">
        <v>611</v>
      </c>
      <c r="C148" s="67" t="s">
        <v>129</v>
      </c>
      <c r="D148" s="67" t="s">
        <v>194</v>
      </c>
      <c r="E148" s="67"/>
      <c r="F148" s="66">
        <v>48.37</v>
      </c>
      <c r="G148" s="66">
        <v>8.68</v>
      </c>
      <c r="H148" s="67">
        <f t="shared" si="48"/>
        <v>52.709999999999994</v>
      </c>
      <c r="I148" s="68">
        <f t="shared" si="49"/>
        <v>57.05</v>
      </c>
      <c r="J148" s="69">
        <v>3930</v>
      </c>
      <c r="K148" s="70">
        <v>0</v>
      </c>
      <c r="L148" s="71">
        <v>370</v>
      </c>
      <c r="M148" s="71">
        <v>0</v>
      </c>
      <c r="N148" s="72">
        <f t="shared" si="50"/>
        <v>3655</v>
      </c>
      <c r="O148" s="73">
        <f t="shared" si="51"/>
        <v>4300</v>
      </c>
      <c r="P148" s="121">
        <f t="shared" si="52"/>
        <v>62.322140011383048</v>
      </c>
      <c r="Q148" s="74">
        <f t="shared" si="53"/>
        <v>0.15</v>
      </c>
      <c r="R148" s="75">
        <f t="shared" si="54"/>
        <v>645</v>
      </c>
      <c r="S148" s="74">
        <v>0.8</v>
      </c>
      <c r="T148" s="75">
        <f t="shared" si="55"/>
        <v>3440</v>
      </c>
      <c r="U148" s="76">
        <f t="shared" si="56"/>
        <v>4.9999999999999961E-2</v>
      </c>
      <c r="V148" s="69">
        <f t="shared" si="57"/>
        <v>214.99999999999983</v>
      </c>
      <c r="W148" s="77">
        <f ca="1">V148*VLOOKUP(TODAY(),'UF HOY'!$A$2:$B$36,2,0)</f>
        <v>8542797.099999994</v>
      </c>
      <c r="X148" s="78">
        <f>Datos!$E$6</f>
        <v>18</v>
      </c>
      <c r="Y148" s="79">
        <f ca="1">IF((W148-1000000-Datos!$N$6)/X148&gt;0,(W148-1000000-Datos!$N$6)/X148,0)</f>
        <v>413488.72777777747</v>
      </c>
      <c r="Z148" s="78">
        <f>Datos!$E$6</f>
        <v>18</v>
      </c>
      <c r="AA148" s="79">
        <f ca="1">IF((W148-1000000-Datos!$N$6-1%*O148*VLOOKUP(TODAY(),'UF HOY'!$A$2:$B$33,2,0))/Z148&gt;0,(W148-1000000-Datos!$N$6-1%*O148*VLOOKUP(TODAY(),'UF HOY'!$A$2:$B$33,2,0))/Z148,0)</f>
        <v>318568.75999999966</v>
      </c>
      <c r="AB148" s="221">
        <f>IF(L148&gt;0,VLOOKUP(D148,Datos!$H$35:$J$38,3,0),VLOOKUP(D148,Datos!$H$35:$J$38,2,0))</f>
        <v>500000</v>
      </c>
      <c r="AC148" s="79">
        <f ca="1">(S148*PMT(Datos!$D$15,Datos!$D$13,-O148,,)*VLOOKUP(TODAY(),'UF HOY'!$A$2:$B$36,2,0)/12)+VLOOKUP(TODAY(),'UF HOY'!$A$2:$B$36,2,0)</f>
        <v>698441.67756233946</v>
      </c>
      <c r="AD148" s="79">
        <f t="shared" ca="1" si="58"/>
        <v>-198441.67756233946</v>
      </c>
      <c r="AE148" s="220">
        <f t="shared" ca="1" si="59"/>
        <v>2793766.7102493579</v>
      </c>
    </row>
    <row r="149" spans="1:31">
      <c r="A149" s="86" t="s">
        <v>4</v>
      </c>
      <c r="B149" s="86">
        <v>711</v>
      </c>
      <c r="C149" s="67" t="s">
        <v>129</v>
      </c>
      <c r="D149" s="67" t="s">
        <v>194</v>
      </c>
      <c r="E149" s="67"/>
      <c r="F149" s="66">
        <v>48.37</v>
      </c>
      <c r="G149" s="66">
        <v>8.68</v>
      </c>
      <c r="H149" s="67">
        <f t="shared" si="48"/>
        <v>52.709999999999994</v>
      </c>
      <c r="I149" s="68">
        <f t="shared" si="49"/>
        <v>57.05</v>
      </c>
      <c r="J149" s="69">
        <v>3930</v>
      </c>
      <c r="K149" s="70">
        <v>0</v>
      </c>
      <c r="L149" s="71">
        <v>370</v>
      </c>
      <c r="M149" s="71">
        <v>0</v>
      </c>
      <c r="N149" s="72">
        <f t="shared" si="50"/>
        <v>3655</v>
      </c>
      <c r="O149" s="73">
        <f t="shared" si="51"/>
        <v>4300</v>
      </c>
      <c r="P149" s="121">
        <f t="shared" si="52"/>
        <v>62.322140011383048</v>
      </c>
      <c r="Q149" s="74">
        <f t="shared" si="53"/>
        <v>0.15</v>
      </c>
      <c r="R149" s="75">
        <f t="shared" si="54"/>
        <v>645</v>
      </c>
      <c r="S149" s="74">
        <v>0.8</v>
      </c>
      <c r="T149" s="75">
        <f t="shared" si="55"/>
        <v>3440</v>
      </c>
      <c r="U149" s="76">
        <f t="shared" si="56"/>
        <v>4.9999999999999961E-2</v>
      </c>
      <c r="V149" s="69">
        <f t="shared" si="57"/>
        <v>214.99999999999983</v>
      </c>
      <c r="W149" s="77">
        <f ca="1">V149*VLOOKUP(TODAY(),'UF HOY'!$A$2:$B$36,2,0)</f>
        <v>8542797.099999994</v>
      </c>
      <c r="X149" s="78">
        <f>Datos!$E$6</f>
        <v>18</v>
      </c>
      <c r="Y149" s="79">
        <f ca="1">IF((W149-1000000-Datos!$N$6)/X149&gt;0,(W149-1000000-Datos!$N$6)/X149,0)</f>
        <v>413488.72777777747</v>
      </c>
      <c r="Z149" s="78">
        <f>Datos!$E$6</f>
        <v>18</v>
      </c>
      <c r="AA149" s="79">
        <f ca="1">IF((W149-1000000-Datos!$N$6-1%*O149*VLOOKUP(TODAY(),'UF HOY'!$A$2:$B$33,2,0))/Z149&gt;0,(W149-1000000-Datos!$N$6-1%*O149*VLOOKUP(TODAY(),'UF HOY'!$A$2:$B$33,2,0))/Z149,0)</f>
        <v>318568.75999999966</v>
      </c>
      <c r="AB149" s="221">
        <f>IF(L149&gt;0,VLOOKUP(D149,Datos!$H$35:$J$38,3,0),VLOOKUP(D149,Datos!$H$35:$J$38,2,0))</f>
        <v>500000</v>
      </c>
      <c r="AC149" s="79">
        <f ca="1">(S149*PMT(Datos!$D$15,Datos!$D$13,-O149,,)*VLOOKUP(TODAY(),'UF HOY'!$A$2:$B$36,2,0)/12)+VLOOKUP(TODAY(),'UF HOY'!$A$2:$B$36,2,0)</f>
        <v>698441.67756233946</v>
      </c>
      <c r="AD149" s="79">
        <f t="shared" ca="1" si="58"/>
        <v>-198441.67756233946</v>
      </c>
      <c r="AE149" s="220">
        <f t="shared" ca="1" si="59"/>
        <v>2793766.7102493579</v>
      </c>
    </row>
    <row r="150" spans="1:31">
      <c r="A150" s="86" t="s">
        <v>4</v>
      </c>
      <c r="B150" s="86">
        <v>811</v>
      </c>
      <c r="C150" s="67" t="s">
        <v>129</v>
      </c>
      <c r="D150" s="67" t="s">
        <v>194</v>
      </c>
      <c r="E150" s="67"/>
      <c r="F150" s="66">
        <v>48.37</v>
      </c>
      <c r="G150" s="66">
        <v>8.68</v>
      </c>
      <c r="H150" s="67">
        <f t="shared" si="48"/>
        <v>52.709999999999994</v>
      </c>
      <c r="I150" s="68">
        <f t="shared" si="49"/>
        <v>57.05</v>
      </c>
      <c r="J150" s="69">
        <v>3930</v>
      </c>
      <c r="K150" s="70">
        <v>0</v>
      </c>
      <c r="L150" s="71">
        <v>370</v>
      </c>
      <c r="M150" s="71">
        <v>0</v>
      </c>
      <c r="N150" s="72">
        <f t="shared" si="50"/>
        <v>3655</v>
      </c>
      <c r="O150" s="73">
        <f t="shared" si="51"/>
        <v>4300</v>
      </c>
      <c r="P150" s="121">
        <f t="shared" si="52"/>
        <v>62.322140011383048</v>
      </c>
      <c r="Q150" s="74">
        <f t="shared" si="53"/>
        <v>0.15</v>
      </c>
      <c r="R150" s="75">
        <f t="shared" si="54"/>
        <v>645</v>
      </c>
      <c r="S150" s="74">
        <v>0.8</v>
      </c>
      <c r="T150" s="75">
        <f t="shared" si="55"/>
        <v>3440</v>
      </c>
      <c r="U150" s="76">
        <f t="shared" si="56"/>
        <v>4.9999999999999961E-2</v>
      </c>
      <c r="V150" s="69">
        <f t="shared" si="57"/>
        <v>214.99999999999983</v>
      </c>
      <c r="W150" s="77">
        <f ca="1">V150*VLOOKUP(TODAY(),'UF HOY'!$A$2:$B$36,2,0)</f>
        <v>8542797.099999994</v>
      </c>
      <c r="X150" s="78">
        <f>Datos!$E$6</f>
        <v>18</v>
      </c>
      <c r="Y150" s="79">
        <f ca="1">IF((W150-1000000-Datos!$N$6)/X150&gt;0,(W150-1000000-Datos!$N$6)/X150,0)</f>
        <v>413488.72777777747</v>
      </c>
      <c r="Z150" s="78">
        <f>Datos!$E$6</f>
        <v>18</v>
      </c>
      <c r="AA150" s="79">
        <f ca="1">IF((W150-1000000-Datos!$N$6-1%*O150*VLOOKUP(TODAY(),'UF HOY'!$A$2:$B$33,2,0))/Z150&gt;0,(W150-1000000-Datos!$N$6-1%*O150*VLOOKUP(TODAY(),'UF HOY'!$A$2:$B$33,2,0))/Z150,0)</f>
        <v>318568.75999999966</v>
      </c>
      <c r="AB150" s="221">
        <f>IF(L150&gt;0,VLOOKUP(D150,Datos!$H$35:$J$38,3,0),VLOOKUP(D150,Datos!$H$35:$J$38,2,0))</f>
        <v>500000</v>
      </c>
      <c r="AC150" s="79">
        <f ca="1">(S150*PMT(Datos!$D$15,Datos!$D$13,-O150,,)*VLOOKUP(TODAY(),'UF HOY'!$A$2:$B$36,2,0)/12)+VLOOKUP(TODAY(),'UF HOY'!$A$2:$B$36,2,0)</f>
        <v>698441.67756233946</v>
      </c>
      <c r="AD150" s="79">
        <f t="shared" ca="1" si="58"/>
        <v>-198441.67756233946</v>
      </c>
      <c r="AE150" s="220">
        <f t="shared" ca="1" si="59"/>
        <v>2793766.7102493579</v>
      </c>
    </row>
    <row r="151" spans="1:31">
      <c r="A151" s="86" t="s">
        <v>4</v>
      </c>
      <c r="B151" s="86">
        <v>911</v>
      </c>
      <c r="C151" s="67" t="s">
        <v>129</v>
      </c>
      <c r="D151" s="67" t="s">
        <v>194</v>
      </c>
      <c r="E151" s="67"/>
      <c r="F151" s="66">
        <v>48.37</v>
      </c>
      <c r="G151" s="66">
        <v>8.68</v>
      </c>
      <c r="H151" s="67">
        <f t="shared" si="48"/>
        <v>52.709999999999994</v>
      </c>
      <c r="I151" s="68">
        <f t="shared" si="49"/>
        <v>57.05</v>
      </c>
      <c r="J151" s="69">
        <v>3930</v>
      </c>
      <c r="K151" s="70">
        <v>0</v>
      </c>
      <c r="L151" s="71">
        <v>370</v>
      </c>
      <c r="M151" s="71">
        <v>0</v>
      </c>
      <c r="N151" s="72">
        <f t="shared" si="50"/>
        <v>3655</v>
      </c>
      <c r="O151" s="73">
        <f t="shared" si="51"/>
        <v>4300</v>
      </c>
      <c r="P151" s="121">
        <f t="shared" si="52"/>
        <v>62.322140011383048</v>
      </c>
      <c r="Q151" s="74">
        <f t="shared" si="53"/>
        <v>0.15</v>
      </c>
      <c r="R151" s="75">
        <f t="shared" si="54"/>
        <v>645</v>
      </c>
      <c r="S151" s="74">
        <v>0.8</v>
      </c>
      <c r="T151" s="75">
        <f t="shared" si="55"/>
        <v>3440</v>
      </c>
      <c r="U151" s="76">
        <f t="shared" si="56"/>
        <v>4.9999999999999961E-2</v>
      </c>
      <c r="V151" s="69">
        <f t="shared" si="57"/>
        <v>214.99999999999983</v>
      </c>
      <c r="W151" s="77">
        <f ca="1">V151*VLOOKUP(TODAY(),'UF HOY'!$A$2:$B$36,2,0)</f>
        <v>8542797.099999994</v>
      </c>
      <c r="X151" s="78">
        <f>Datos!$E$6</f>
        <v>18</v>
      </c>
      <c r="Y151" s="79">
        <f ca="1">IF((W151-1000000-Datos!$N$6)/X151&gt;0,(W151-1000000-Datos!$N$6)/X151,0)</f>
        <v>413488.72777777747</v>
      </c>
      <c r="Z151" s="78">
        <f>Datos!$E$6</f>
        <v>18</v>
      </c>
      <c r="AA151" s="79">
        <f ca="1">IF((W151-1000000-Datos!$N$6-1%*O151*VLOOKUP(TODAY(),'UF HOY'!$A$2:$B$33,2,0))/Z151&gt;0,(W151-1000000-Datos!$N$6-1%*O151*VLOOKUP(TODAY(),'UF HOY'!$A$2:$B$33,2,0))/Z151,0)</f>
        <v>318568.75999999966</v>
      </c>
      <c r="AB151" s="221">
        <f>IF(L151&gt;0,VLOOKUP(D151,Datos!$H$35:$J$38,3,0),VLOOKUP(D151,Datos!$H$35:$J$38,2,0))</f>
        <v>500000</v>
      </c>
      <c r="AC151" s="79">
        <f ca="1">(S151*PMT(Datos!$D$15,Datos!$D$13,-O151,,)*VLOOKUP(TODAY(),'UF HOY'!$A$2:$B$36,2,0)/12)+VLOOKUP(TODAY(),'UF HOY'!$A$2:$B$36,2,0)</f>
        <v>698441.67756233946</v>
      </c>
      <c r="AD151" s="79">
        <f t="shared" ca="1" si="58"/>
        <v>-198441.67756233946</v>
      </c>
      <c r="AE151" s="220">
        <f t="shared" ca="1" si="59"/>
        <v>2793766.7102493579</v>
      </c>
    </row>
    <row r="152" spans="1:31">
      <c r="A152" s="86" t="s">
        <v>4</v>
      </c>
      <c r="B152" s="86">
        <v>1311</v>
      </c>
      <c r="C152" s="67" t="s">
        <v>129</v>
      </c>
      <c r="D152" s="67" t="s">
        <v>194</v>
      </c>
      <c r="E152" s="67"/>
      <c r="F152" s="66">
        <v>48.37</v>
      </c>
      <c r="G152" s="66">
        <v>8.68</v>
      </c>
      <c r="H152" s="67">
        <f t="shared" si="48"/>
        <v>52.709999999999994</v>
      </c>
      <c r="I152" s="68">
        <f t="shared" si="49"/>
        <v>57.05</v>
      </c>
      <c r="J152" s="69">
        <v>3930</v>
      </c>
      <c r="K152" s="70">
        <v>0</v>
      </c>
      <c r="L152" s="71">
        <v>370</v>
      </c>
      <c r="M152" s="71">
        <v>0</v>
      </c>
      <c r="N152" s="72">
        <f t="shared" si="50"/>
        <v>3655</v>
      </c>
      <c r="O152" s="73">
        <f t="shared" si="51"/>
        <v>4300</v>
      </c>
      <c r="P152" s="121">
        <f t="shared" si="52"/>
        <v>62.322140011383048</v>
      </c>
      <c r="Q152" s="74">
        <f t="shared" si="53"/>
        <v>0.15</v>
      </c>
      <c r="R152" s="75">
        <f t="shared" si="54"/>
        <v>645</v>
      </c>
      <c r="S152" s="74">
        <v>0.8</v>
      </c>
      <c r="T152" s="75">
        <f t="shared" si="55"/>
        <v>3440</v>
      </c>
      <c r="U152" s="76">
        <f t="shared" si="56"/>
        <v>4.9999999999999961E-2</v>
      </c>
      <c r="V152" s="69">
        <f t="shared" si="57"/>
        <v>214.99999999999983</v>
      </c>
      <c r="W152" s="77">
        <f ca="1">V152*VLOOKUP(TODAY(),'UF HOY'!$A$2:$B$36,2,0)</f>
        <v>8542797.099999994</v>
      </c>
      <c r="X152" s="78">
        <f>Datos!$E$6</f>
        <v>18</v>
      </c>
      <c r="Y152" s="79">
        <f ca="1">IF((W152-1000000-Datos!$N$6)/X152&gt;0,(W152-1000000-Datos!$N$6)/X152,0)</f>
        <v>413488.72777777747</v>
      </c>
      <c r="Z152" s="78">
        <f>Datos!$E$6</f>
        <v>18</v>
      </c>
      <c r="AA152" s="79">
        <f ca="1">IF((W152-1000000-Datos!$N$6-1%*O152*VLOOKUP(TODAY(),'UF HOY'!$A$2:$B$33,2,0))/Z152&gt;0,(W152-1000000-Datos!$N$6-1%*O152*VLOOKUP(TODAY(),'UF HOY'!$A$2:$B$33,2,0))/Z152,0)</f>
        <v>318568.75999999966</v>
      </c>
      <c r="AB152" s="221">
        <f>IF(L152&gt;0,VLOOKUP(D152,Datos!$H$35:$J$38,3,0),VLOOKUP(D152,Datos!$H$35:$J$38,2,0))</f>
        <v>500000</v>
      </c>
      <c r="AC152" s="79">
        <f ca="1">(S152*PMT(Datos!$D$15,Datos!$D$13,-O152,,)*VLOOKUP(TODAY(),'UF HOY'!$A$2:$B$36,2,0)/12)+VLOOKUP(TODAY(),'UF HOY'!$A$2:$B$36,2,0)</f>
        <v>698441.67756233946</v>
      </c>
      <c r="AD152" s="79">
        <f t="shared" ca="1" si="58"/>
        <v>-198441.67756233946</v>
      </c>
      <c r="AE152" s="220">
        <f t="shared" ca="1" si="59"/>
        <v>2793766.7102493579</v>
      </c>
    </row>
    <row r="153" spans="1:31" hidden="1">
      <c r="A153" s="86" t="s">
        <v>171</v>
      </c>
      <c r="B153" s="86">
        <v>708</v>
      </c>
      <c r="C153" s="67" t="s">
        <v>130</v>
      </c>
      <c r="D153" s="67" t="s">
        <v>194</v>
      </c>
      <c r="E153" s="67"/>
      <c r="F153" s="66">
        <v>48.37</v>
      </c>
      <c r="G153" s="66">
        <v>8.68</v>
      </c>
      <c r="H153" s="67">
        <f t="shared" si="48"/>
        <v>52.709999999999994</v>
      </c>
      <c r="I153" s="68">
        <f t="shared" si="49"/>
        <v>57.05</v>
      </c>
      <c r="J153" s="69">
        <v>3980</v>
      </c>
      <c r="K153" s="70">
        <v>0</v>
      </c>
      <c r="L153" s="71">
        <v>370</v>
      </c>
      <c r="M153" s="71">
        <v>110</v>
      </c>
      <c r="N153" s="72">
        <f t="shared" si="50"/>
        <v>3791</v>
      </c>
      <c r="O153" s="73">
        <f t="shared" si="51"/>
        <v>4460</v>
      </c>
      <c r="P153" s="121">
        <f t="shared" si="52"/>
        <v>62.815405046480748</v>
      </c>
      <c r="Q153" s="74">
        <f t="shared" si="53"/>
        <v>0.15</v>
      </c>
      <c r="R153" s="75">
        <f t="shared" si="54"/>
        <v>669</v>
      </c>
      <c r="S153" s="74">
        <v>0.8</v>
      </c>
      <c r="T153" s="75">
        <f t="shared" si="55"/>
        <v>3568</v>
      </c>
      <c r="U153" s="76">
        <f t="shared" si="56"/>
        <v>4.9999999999999961E-2</v>
      </c>
      <c r="V153" s="69">
        <f t="shared" si="57"/>
        <v>222.99999999999983</v>
      </c>
      <c r="W153" s="77">
        <f ca="1">V153*VLOOKUP(TODAY(),'UF HOY'!$A$2:$B$36,2,0)</f>
        <v>8860668.6199999936</v>
      </c>
      <c r="X153" s="78">
        <f>Datos!$E$6</f>
        <v>18</v>
      </c>
      <c r="Y153" s="79">
        <f ca="1">IF((W153-1000000-Datos!$N$6)/X153&gt;0,(W153-1000000-Datos!$N$6)/X153,0)</f>
        <v>431148.2566666663</v>
      </c>
      <c r="Z153" s="78">
        <f>Datos!$E$6</f>
        <v>18</v>
      </c>
      <c r="AA153" s="79">
        <f ca="1">IF((W153-1000000-Datos!$N$6-1%*O153*VLOOKUP(TODAY(),'UF HOY'!$A$2:$B$33,2,0))/Z153&gt;0,(W153-1000000-Datos!$N$6-1%*O153*VLOOKUP(TODAY(),'UF HOY'!$A$2:$B$33,2,0))/Z153,0)</f>
        <v>332696.38311111071</v>
      </c>
      <c r="AB153" s="221">
        <f>IF(L153&gt;0,VLOOKUP(D153,Datos!$H$35:$J$38,3,0),VLOOKUP(D153,Datos!$H$35:$J$38,2,0))</f>
        <v>500000</v>
      </c>
      <c r="AC153" s="79">
        <f ca="1">(S153*PMT(Datos!$D$15,Datos!$D$13,-O153,,)*VLOOKUP(TODAY(),'UF HOY'!$A$2:$B$36,2,0)/12)+VLOOKUP(TODAY(),'UF HOY'!$A$2:$B$36,2,0)</f>
        <v>722951.73291349644</v>
      </c>
      <c r="AD153" s="79">
        <f t="shared" ca="1" si="58"/>
        <v>-222951.73291349644</v>
      </c>
      <c r="AE153" s="220">
        <f t="shared" ca="1" si="59"/>
        <v>2891806.9316539858</v>
      </c>
    </row>
    <row r="154" spans="1:31">
      <c r="A154" s="86" t="s">
        <v>4</v>
      </c>
      <c r="B154" s="86">
        <v>308</v>
      </c>
      <c r="C154" s="67" t="s">
        <v>130</v>
      </c>
      <c r="D154" s="67" t="s">
        <v>194</v>
      </c>
      <c r="E154" s="67"/>
      <c r="F154" s="66">
        <v>48.37</v>
      </c>
      <c r="G154" s="66">
        <v>8.68</v>
      </c>
      <c r="H154" s="67">
        <f t="shared" si="48"/>
        <v>52.709999999999994</v>
      </c>
      <c r="I154" s="68">
        <f t="shared" si="49"/>
        <v>57.05</v>
      </c>
      <c r="J154" s="69">
        <v>3980</v>
      </c>
      <c r="K154" s="70">
        <v>0</v>
      </c>
      <c r="L154" s="71">
        <v>370</v>
      </c>
      <c r="M154" s="71">
        <v>0</v>
      </c>
      <c r="N154" s="72">
        <f t="shared" si="50"/>
        <v>3697.5</v>
      </c>
      <c r="O154" s="73">
        <f t="shared" si="51"/>
        <v>4350</v>
      </c>
      <c r="P154" s="121">
        <f t="shared" si="52"/>
        <v>63.128438626446602</v>
      </c>
      <c r="Q154" s="74">
        <f t="shared" si="53"/>
        <v>0.15</v>
      </c>
      <c r="R154" s="75">
        <f t="shared" si="54"/>
        <v>652.5</v>
      </c>
      <c r="S154" s="74">
        <v>0.8</v>
      </c>
      <c r="T154" s="75">
        <f t="shared" si="55"/>
        <v>3480</v>
      </c>
      <c r="U154" s="76">
        <f t="shared" si="56"/>
        <v>4.9999999999999961E-2</v>
      </c>
      <c r="V154" s="69">
        <f t="shared" si="57"/>
        <v>217.49999999999983</v>
      </c>
      <c r="W154" s="77">
        <f ca="1">V154*VLOOKUP(TODAY(),'UF HOY'!$A$2:$B$36,2,0)</f>
        <v>8642131.9499999937</v>
      </c>
      <c r="X154" s="78">
        <f>Datos!$E$6</f>
        <v>18</v>
      </c>
      <c r="Y154" s="79">
        <f ca="1">IF((W154-1000000-Datos!$N$6)/X154&gt;0,(W154-1000000-Datos!$N$6)/X154,0)</f>
        <v>419007.33055555518</v>
      </c>
      <c r="Z154" s="78">
        <f>Datos!$E$6</f>
        <v>18</v>
      </c>
      <c r="AA154" s="79">
        <f ca="1">IF((W154-1000000-Datos!$N$6-1%*O154*VLOOKUP(TODAY(),'UF HOY'!$A$2:$B$33,2,0))/Z154&gt;0,(W154-1000000-Datos!$N$6-1%*O154*VLOOKUP(TODAY(),'UF HOY'!$A$2:$B$33,2,0))/Z154,0)</f>
        <v>322983.64222222182</v>
      </c>
      <c r="AB154" s="221">
        <f>IF(L154&gt;0,VLOOKUP(D154,Datos!$H$35:$J$38,3,0),VLOOKUP(D154,Datos!$H$35:$J$38,2,0))</f>
        <v>500000</v>
      </c>
      <c r="AC154" s="79">
        <f ca="1">(S154*PMT(Datos!$D$15,Datos!$D$13,-O154,,)*VLOOKUP(TODAY(),'UF HOY'!$A$2:$B$36,2,0)/12)+VLOOKUP(TODAY(),'UF HOY'!$A$2:$B$36,2,0)</f>
        <v>706101.06985957618</v>
      </c>
      <c r="AD154" s="79">
        <f t="shared" ca="1" si="58"/>
        <v>-206101.06985957618</v>
      </c>
      <c r="AE154" s="220">
        <f t="shared" ca="1" si="59"/>
        <v>2824404.2794383047</v>
      </c>
    </row>
    <row r="155" spans="1:31">
      <c r="A155" s="86" t="s">
        <v>4</v>
      </c>
      <c r="B155" s="86">
        <v>408</v>
      </c>
      <c r="C155" s="67" t="s">
        <v>130</v>
      </c>
      <c r="D155" s="67" t="s">
        <v>194</v>
      </c>
      <c r="E155" s="67"/>
      <c r="F155" s="66">
        <v>48.37</v>
      </c>
      <c r="G155" s="66">
        <v>8.68</v>
      </c>
      <c r="H155" s="67">
        <f t="shared" si="48"/>
        <v>52.709999999999994</v>
      </c>
      <c r="I155" s="68">
        <f t="shared" si="49"/>
        <v>57.05</v>
      </c>
      <c r="J155" s="69">
        <v>3980</v>
      </c>
      <c r="K155" s="70">
        <v>0</v>
      </c>
      <c r="L155" s="71">
        <v>370</v>
      </c>
      <c r="M155" s="71">
        <v>0</v>
      </c>
      <c r="N155" s="72">
        <f t="shared" si="50"/>
        <v>3697.5</v>
      </c>
      <c r="O155" s="73">
        <f t="shared" si="51"/>
        <v>4350</v>
      </c>
      <c r="P155" s="121">
        <f t="shared" si="52"/>
        <v>63.128438626446602</v>
      </c>
      <c r="Q155" s="74">
        <f t="shared" si="53"/>
        <v>0.15</v>
      </c>
      <c r="R155" s="75">
        <f t="shared" si="54"/>
        <v>652.5</v>
      </c>
      <c r="S155" s="74">
        <v>0.8</v>
      </c>
      <c r="T155" s="75">
        <f t="shared" si="55"/>
        <v>3480</v>
      </c>
      <c r="U155" s="76">
        <f t="shared" si="56"/>
        <v>4.9999999999999961E-2</v>
      </c>
      <c r="V155" s="69">
        <f t="shared" si="57"/>
        <v>217.49999999999983</v>
      </c>
      <c r="W155" s="77">
        <f ca="1">V155*VLOOKUP(TODAY(),'UF HOY'!$A$2:$B$36,2,0)</f>
        <v>8642131.9499999937</v>
      </c>
      <c r="X155" s="78">
        <f>Datos!$E$6</f>
        <v>18</v>
      </c>
      <c r="Y155" s="79">
        <f ca="1">IF((W155-1000000-Datos!$N$6)/X155&gt;0,(W155-1000000-Datos!$N$6)/X155,0)</f>
        <v>419007.33055555518</v>
      </c>
      <c r="Z155" s="78">
        <f>Datos!$E$6</f>
        <v>18</v>
      </c>
      <c r="AA155" s="79">
        <f ca="1">IF((W155-1000000-Datos!$N$6-1%*O155*VLOOKUP(TODAY(),'UF HOY'!$A$2:$B$33,2,0))/Z155&gt;0,(W155-1000000-Datos!$N$6-1%*O155*VLOOKUP(TODAY(),'UF HOY'!$A$2:$B$33,2,0))/Z155,0)</f>
        <v>322983.64222222182</v>
      </c>
      <c r="AB155" s="221">
        <f>IF(L155&gt;0,VLOOKUP(D155,Datos!$H$35:$J$38,3,0),VLOOKUP(D155,Datos!$H$35:$J$38,2,0))</f>
        <v>500000</v>
      </c>
      <c r="AC155" s="79">
        <f ca="1">(S155*PMT(Datos!$D$15,Datos!$D$13,-O155,,)*VLOOKUP(TODAY(),'UF HOY'!$A$2:$B$36,2,0)/12)+VLOOKUP(TODAY(),'UF HOY'!$A$2:$B$36,2,0)</f>
        <v>706101.06985957618</v>
      </c>
      <c r="AD155" s="79">
        <f t="shared" ca="1" si="58"/>
        <v>-206101.06985957618</v>
      </c>
      <c r="AE155" s="220">
        <f t="shared" ca="1" si="59"/>
        <v>2824404.2794383047</v>
      </c>
    </row>
    <row r="156" spans="1:31">
      <c r="A156" s="86" t="s">
        <v>4</v>
      </c>
      <c r="B156" s="86">
        <v>508</v>
      </c>
      <c r="C156" s="67" t="s">
        <v>130</v>
      </c>
      <c r="D156" s="67" t="s">
        <v>194</v>
      </c>
      <c r="E156" s="67"/>
      <c r="F156" s="66">
        <v>48.37</v>
      </c>
      <c r="G156" s="66">
        <v>8.68</v>
      </c>
      <c r="H156" s="67">
        <f t="shared" si="48"/>
        <v>52.709999999999994</v>
      </c>
      <c r="I156" s="68">
        <f t="shared" si="49"/>
        <v>57.05</v>
      </c>
      <c r="J156" s="69">
        <v>3980</v>
      </c>
      <c r="K156" s="70">
        <v>0</v>
      </c>
      <c r="L156" s="71">
        <v>370</v>
      </c>
      <c r="M156" s="71">
        <v>0</v>
      </c>
      <c r="N156" s="72">
        <f t="shared" si="50"/>
        <v>3697.5</v>
      </c>
      <c r="O156" s="73">
        <f t="shared" si="51"/>
        <v>4350</v>
      </c>
      <c r="P156" s="121">
        <f t="shared" si="52"/>
        <v>63.128438626446602</v>
      </c>
      <c r="Q156" s="74">
        <f t="shared" si="53"/>
        <v>0.15</v>
      </c>
      <c r="R156" s="75">
        <f t="shared" si="54"/>
        <v>652.5</v>
      </c>
      <c r="S156" s="74">
        <v>0.8</v>
      </c>
      <c r="T156" s="75">
        <f t="shared" si="55"/>
        <v>3480</v>
      </c>
      <c r="U156" s="76">
        <f t="shared" si="56"/>
        <v>4.9999999999999961E-2</v>
      </c>
      <c r="V156" s="69">
        <f t="shared" si="57"/>
        <v>217.49999999999983</v>
      </c>
      <c r="W156" s="77">
        <f ca="1">V156*VLOOKUP(TODAY(),'UF HOY'!$A$2:$B$36,2,0)</f>
        <v>8642131.9499999937</v>
      </c>
      <c r="X156" s="78">
        <f>Datos!$E$6</f>
        <v>18</v>
      </c>
      <c r="Y156" s="79">
        <f ca="1">IF((W156-1000000-Datos!$N$6)/X156&gt;0,(W156-1000000-Datos!$N$6)/X156,0)</f>
        <v>419007.33055555518</v>
      </c>
      <c r="Z156" s="78">
        <f>Datos!$E$6</f>
        <v>18</v>
      </c>
      <c r="AA156" s="79">
        <f ca="1">IF((W156-1000000-Datos!$N$6-1%*O156*VLOOKUP(TODAY(),'UF HOY'!$A$2:$B$33,2,0))/Z156&gt;0,(W156-1000000-Datos!$N$6-1%*O156*VLOOKUP(TODAY(),'UF HOY'!$A$2:$B$33,2,0))/Z156,0)</f>
        <v>322983.64222222182</v>
      </c>
      <c r="AB156" s="221">
        <f>IF(L156&gt;0,VLOOKUP(D156,Datos!$H$35:$J$38,3,0),VLOOKUP(D156,Datos!$H$35:$J$38,2,0))</f>
        <v>500000</v>
      </c>
      <c r="AC156" s="79">
        <f ca="1">(S156*PMT(Datos!$D$15,Datos!$D$13,-O156,,)*VLOOKUP(TODAY(),'UF HOY'!$A$2:$B$36,2,0)/12)+VLOOKUP(TODAY(),'UF HOY'!$A$2:$B$36,2,0)</f>
        <v>706101.06985957618</v>
      </c>
      <c r="AD156" s="79">
        <f t="shared" ca="1" si="58"/>
        <v>-206101.06985957618</v>
      </c>
      <c r="AE156" s="220">
        <f t="shared" ca="1" si="59"/>
        <v>2824404.2794383047</v>
      </c>
    </row>
    <row r="157" spans="1:31">
      <c r="A157" s="86" t="s">
        <v>4</v>
      </c>
      <c r="B157" s="86">
        <v>608</v>
      </c>
      <c r="C157" s="67" t="s">
        <v>130</v>
      </c>
      <c r="D157" s="67" t="s">
        <v>194</v>
      </c>
      <c r="E157" s="67"/>
      <c r="F157" s="66">
        <v>48.37</v>
      </c>
      <c r="G157" s="66">
        <v>8.68</v>
      </c>
      <c r="H157" s="67">
        <f t="shared" si="48"/>
        <v>52.709999999999994</v>
      </c>
      <c r="I157" s="68">
        <f t="shared" si="49"/>
        <v>57.05</v>
      </c>
      <c r="J157" s="69">
        <v>3980</v>
      </c>
      <c r="K157" s="70">
        <v>0</v>
      </c>
      <c r="L157" s="71">
        <v>370</v>
      </c>
      <c r="M157" s="71">
        <v>0</v>
      </c>
      <c r="N157" s="72">
        <f t="shared" si="50"/>
        <v>3697.5</v>
      </c>
      <c r="O157" s="73">
        <f t="shared" si="51"/>
        <v>4350</v>
      </c>
      <c r="P157" s="121">
        <f t="shared" si="52"/>
        <v>63.128438626446602</v>
      </c>
      <c r="Q157" s="74">
        <f t="shared" si="53"/>
        <v>0.15</v>
      </c>
      <c r="R157" s="75">
        <f t="shared" si="54"/>
        <v>652.5</v>
      </c>
      <c r="S157" s="74">
        <v>0.8</v>
      </c>
      <c r="T157" s="75">
        <f t="shared" si="55"/>
        <v>3480</v>
      </c>
      <c r="U157" s="76">
        <f t="shared" si="56"/>
        <v>4.9999999999999961E-2</v>
      </c>
      <c r="V157" s="69">
        <f t="shared" si="57"/>
        <v>217.49999999999983</v>
      </c>
      <c r="W157" s="77">
        <f ca="1">V157*VLOOKUP(TODAY(),'UF HOY'!$A$2:$B$36,2,0)</f>
        <v>8642131.9499999937</v>
      </c>
      <c r="X157" s="78">
        <f>Datos!$E$6</f>
        <v>18</v>
      </c>
      <c r="Y157" s="79">
        <f ca="1">IF((W157-1000000-Datos!$N$6)/X157&gt;0,(W157-1000000-Datos!$N$6)/X157,0)</f>
        <v>419007.33055555518</v>
      </c>
      <c r="Z157" s="78">
        <f>Datos!$E$6</f>
        <v>18</v>
      </c>
      <c r="AA157" s="79">
        <f ca="1">IF((W157-1000000-Datos!$N$6-1%*O157*VLOOKUP(TODAY(),'UF HOY'!$A$2:$B$33,2,0))/Z157&gt;0,(W157-1000000-Datos!$N$6-1%*O157*VLOOKUP(TODAY(),'UF HOY'!$A$2:$B$33,2,0))/Z157,0)</f>
        <v>322983.64222222182</v>
      </c>
      <c r="AB157" s="221">
        <f>IF(L157&gt;0,VLOOKUP(D157,Datos!$H$35:$J$38,3,0),VLOOKUP(D157,Datos!$H$35:$J$38,2,0))</f>
        <v>500000</v>
      </c>
      <c r="AC157" s="79">
        <f ca="1">(S157*PMT(Datos!$D$15,Datos!$D$13,-O157,,)*VLOOKUP(TODAY(),'UF HOY'!$A$2:$B$36,2,0)/12)+VLOOKUP(TODAY(),'UF HOY'!$A$2:$B$36,2,0)</f>
        <v>706101.06985957618</v>
      </c>
      <c r="AD157" s="79">
        <f t="shared" ca="1" si="58"/>
        <v>-206101.06985957618</v>
      </c>
      <c r="AE157" s="220">
        <f t="shared" ca="1" si="59"/>
        <v>2824404.2794383047</v>
      </c>
    </row>
    <row r="158" spans="1:31">
      <c r="A158" s="86" t="s">
        <v>4</v>
      </c>
      <c r="B158" s="86">
        <v>808</v>
      </c>
      <c r="C158" s="67" t="s">
        <v>130</v>
      </c>
      <c r="D158" s="67" t="s">
        <v>194</v>
      </c>
      <c r="E158" s="67"/>
      <c r="F158" s="66">
        <v>48.37</v>
      </c>
      <c r="G158" s="66">
        <v>8.68</v>
      </c>
      <c r="H158" s="67">
        <f t="shared" si="48"/>
        <v>52.709999999999994</v>
      </c>
      <c r="I158" s="68">
        <f t="shared" si="49"/>
        <v>57.05</v>
      </c>
      <c r="J158" s="69">
        <v>3980</v>
      </c>
      <c r="K158" s="70">
        <v>0</v>
      </c>
      <c r="L158" s="71">
        <v>370</v>
      </c>
      <c r="M158" s="71">
        <v>0</v>
      </c>
      <c r="N158" s="72">
        <f t="shared" si="50"/>
        <v>3697.5</v>
      </c>
      <c r="O158" s="73">
        <f t="shared" si="51"/>
        <v>4350</v>
      </c>
      <c r="P158" s="121">
        <f t="shared" si="52"/>
        <v>63.128438626446602</v>
      </c>
      <c r="Q158" s="74">
        <f t="shared" si="53"/>
        <v>0.15</v>
      </c>
      <c r="R158" s="75">
        <f t="shared" si="54"/>
        <v>652.5</v>
      </c>
      <c r="S158" s="74">
        <v>0.8</v>
      </c>
      <c r="T158" s="75">
        <f t="shared" si="55"/>
        <v>3480</v>
      </c>
      <c r="U158" s="76">
        <f t="shared" si="56"/>
        <v>4.9999999999999961E-2</v>
      </c>
      <c r="V158" s="69">
        <f t="shared" si="57"/>
        <v>217.49999999999983</v>
      </c>
      <c r="W158" s="77">
        <f ca="1">V158*VLOOKUP(TODAY(),'UF HOY'!$A$2:$B$36,2,0)</f>
        <v>8642131.9499999937</v>
      </c>
      <c r="X158" s="78">
        <f>Datos!$E$6</f>
        <v>18</v>
      </c>
      <c r="Y158" s="79">
        <f ca="1">IF((W158-1000000-Datos!$N$6)/X158&gt;0,(W158-1000000-Datos!$N$6)/X158,0)</f>
        <v>419007.33055555518</v>
      </c>
      <c r="Z158" s="78">
        <f>Datos!$E$6</f>
        <v>18</v>
      </c>
      <c r="AA158" s="79">
        <f ca="1">IF((W158-1000000-Datos!$N$6-1%*O158*VLOOKUP(TODAY(),'UF HOY'!$A$2:$B$33,2,0))/Z158&gt;0,(W158-1000000-Datos!$N$6-1%*O158*VLOOKUP(TODAY(),'UF HOY'!$A$2:$B$33,2,0))/Z158,0)</f>
        <v>322983.64222222182</v>
      </c>
      <c r="AB158" s="221">
        <f>IF(L158&gt;0,VLOOKUP(D158,Datos!$H$35:$J$38,3,0),VLOOKUP(D158,Datos!$H$35:$J$38,2,0))</f>
        <v>500000</v>
      </c>
      <c r="AC158" s="79">
        <f ca="1">(S158*PMT(Datos!$D$15,Datos!$D$13,-O158,,)*VLOOKUP(TODAY(),'UF HOY'!$A$2:$B$36,2,0)/12)+VLOOKUP(TODAY(),'UF HOY'!$A$2:$B$36,2,0)</f>
        <v>706101.06985957618</v>
      </c>
      <c r="AD158" s="79">
        <f t="shared" ca="1" si="58"/>
        <v>-206101.06985957618</v>
      </c>
      <c r="AE158" s="220">
        <f t="shared" ca="1" si="59"/>
        <v>2824404.2794383047</v>
      </c>
    </row>
    <row r="159" spans="1:31">
      <c r="A159" s="86" t="s">
        <v>4</v>
      </c>
      <c r="B159" s="86">
        <v>908</v>
      </c>
      <c r="C159" s="67" t="s">
        <v>130</v>
      </c>
      <c r="D159" s="67" t="s">
        <v>194</v>
      </c>
      <c r="E159" s="67"/>
      <c r="F159" s="66">
        <v>48.37</v>
      </c>
      <c r="G159" s="66">
        <v>8.68</v>
      </c>
      <c r="H159" s="67">
        <f t="shared" si="48"/>
        <v>52.709999999999994</v>
      </c>
      <c r="I159" s="68">
        <f t="shared" si="49"/>
        <v>57.05</v>
      </c>
      <c r="J159" s="69">
        <v>3980</v>
      </c>
      <c r="K159" s="70">
        <v>0</v>
      </c>
      <c r="L159" s="71">
        <v>370</v>
      </c>
      <c r="M159" s="71">
        <v>0</v>
      </c>
      <c r="N159" s="72">
        <f t="shared" si="50"/>
        <v>3697.5</v>
      </c>
      <c r="O159" s="73">
        <f t="shared" si="51"/>
        <v>4350</v>
      </c>
      <c r="P159" s="121">
        <f t="shared" si="52"/>
        <v>63.128438626446602</v>
      </c>
      <c r="Q159" s="74">
        <f t="shared" si="53"/>
        <v>0.15</v>
      </c>
      <c r="R159" s="75">
        <f t="shared" si="54"/>
        <v>652.5</v>
      </c>
      <c r="S159" s="74">
        <v>0.8</v>
      </c>
      <c r="T159" s="75">
        <f t="shared" si="55"/>
        <v>3480</v>
      </c>
      <c r="U159" s="76">
        <f t="shared" si="56"/>
        <v>4.9999999999999961E-2</v>
      </c>
      <c r="V159" s="69">
        <f t="shared" si="57"/>
        <v>217.49999999999983</v>
      </c>
      <c r="W159" s="77">
        <f ca="1">V159*VLOOKUP(TODAY(),'UF HOY'!$A$2:$B$36,2,0)</f>
        <v>8642131.9499999937</v>
      </c>
      <c r="X159" s="78">
        <f>Datos!$E$6</f>
        <v>18</v>
      </c>
      <c r="Y159" s="79">
        <f ca="1">IF((W159-1000000-Datos!$N$6)/X159&gt;0,(W159-1000000-Datos!$N$6)/X159,0)</f>
        <v>419007.33055555518</v>
      </c>
      <c r="Z159" s="78">
        <f>Datos!$E$6</f>
        <v>18</v>
      </c>
      <c r="AA159" s="79">
        <f ca="1">IF((W159-1000000-Datos!$N$6-1%*O159*VLOOKUP(TODAY(),'UF HOY'!$A$2:$B$33,2,0))/Z159&gt;0,(W159-1000000-Datos!$N$6-1%*O159*VLOOKUP(TODAY(),'UF HOY'!$A$2:$B$33,2,0))/Z159,0)</f>
        <v>322983.64222222182</v>
      </c>
      <c r="AB159" s="221">
        <f>IF(L159&gt;0,VLOOKUP(D159,Datos!$H$35:$J$38,3,0),VLOOKUP(D159,Datos!$H$35:$J$38,2,0))</f>
        <v>500000</v>
      </c>
      <c r="AC159" s="79">
        <f ca="1">(S159*PMT(Datos!$D$15,Datos!$D$13,-O159,,)*VLOOKUP(TODAY(),'UF HOY'!$A$2:$B$36,2,0)/12)+VLOOKUP(TODAY(),'UF HOY'!$A$2:$B$36,2,0)</f>
        <v>706101.06985957618</v>
      </c>
      <c r="AD159" s="79">
        <f t="shared" ca="1" si="58"/>
        <v>-206101.06985957618</v>
      </c>
      <c r="AE159" s="220">
        <f t="shared" ca="1" si="59"/>
        <v>2824404.2794383047</v>
      </c>
    </row>
    <row r="160" spans="1:31">
      <c r="A160" s="86" t="s">
        <v>4</v>
      </c>
      <c r="B160" s="86">
        <v>1011</v>
      </c>
      <c r="C160" s="67" t="s">
        <v>129</v>
      </c>
      <c r="D160" s="67" t="s">
        <v>194</v>
      </c>
      <c r="E160" s="67"/>
      <c r="F160" s="66">
        <v>48.37</v>
      </c>
      <c r="G160" s="66">
        <v>8.68</v>
      </c>
      <c r="H160" s="67">
        <f t="shared" si="48"/>
        <v>52.709999999999994</v>
      </c>
      <c r="I160" s="68">
        <f t="shared" si="49"/>
        <v>57.05</v>
      </c>
      <c r="J160" s="69">
        <v>3980</v>
      </c>
      <c r="K160" s="70">
        <v>0</v>
      </c>
      <c r="L160" s="71">
        <v>370</v>
      </c>
      <c r="M160" s="71">
        <v>0</v>
      </c>
      <c r="N160" s="72">
        <f t="shared" si="50"/>
        <v>3697.5</v>
      </c>
      <c r="O160" s="73">
        <f t="shared" si="51"/>
        <v>4350</v>
      </c>
      <c r="P160" s="121">
        <f t="shared" si="52"/>
        <v>63.128438626446602</v>
      </c>
      <c r="Q160" s="74">
        <f t="shared" si="53"/>
        <v>0.15</v>
      </c>
      <c r="R160" s="75">
        <f t="shared" si="54"/>
        <v>652.5</v>
      </c>
      <c r="S160" s="74">
        <v>0.8</v>
      </c>
      <c r="T160" s="75">
        <f t="shared" si="55"/>
        <v>3480</v>
      </c>
      <c r="U160" s="76">
        <f t="shared" si="56"/>
        <v>4.9999999999999961E-2</v>
      </c>
      <c r="V160" s="69">
        <f t="shared" si="57"/>
        <v>217.49999999999983</v>
      </c>
      <c r="W160" s="77">
        <f ca="1">V160*VLOOKUP(TODAY(),'UF HOY'!$A$2:$B$36,2,0)</f>
        <v>8642131.9499999937</v>
      </c>
      <c r="X160" s="78">
        <f>Datos!$E$6</f>
        <v>18</v>
      </c>
      <c r="Y160" s="79">
        <f ca="1">IF((W160-1000000-Datos!$N$6)/X160&gt;0,(W160-1000000-Datos!$N$6)/X160,0)</f>
        <v>419007.33055555518</v>
      </c>
      <c r="Z160" s="78">
        <f>Datos!$E$6</f>
        <v>18</v>
      </c>
      <c r="AA160" s="79">
        <f ca="1">IF((W160-1000000-Datos!$N$6-1%*O160*VLOOKUP(TODAY(),'UF HOY'!$A$2:$B$33,2,0))/Z160&gt;0,(W160-1000000-Datos!$N$6-1%*O160*VLOOKUP(TODAY(),'UF HOY'!$A$2:$B$33,2,0))/Z160,0)</f>
        <v>322983.64222222182</v>
      </c>
      <c r="AB160" s="221">
        <f>IF(L160&gt;0,VLOOKUP(D160,Datos!$H$35:$J$38,3,0),VLOOKUP(D160,Datos!$H$35:$J$38,2,0))</f>
        <v>500000</v>
      </c>
      <c r="AC160" s="79">
        <f ca="1">(S160*PMT(Datos!$D$15,Datos!$D$13,-O160,,)*VLOOKUP(TODAY(),'UF HOY'!$A$2:$B$36,2,0)/12)+VLOOKUP(TODAY(),'UF HOY'!$A$2:$B$36,2,0)</f>
        <v>706101.06985957618</v>
      </c>
      <c r="AD160" s="79">
        <f t="shared" ca="1" si="58"/>
        <v>-206101.06985957618</v>
      </c>
      <c r="AE160" s="220">
        <f t="shared" ca="1" si="59"/>
        <v>2824404.2794383047</v>
      </c>
    </row>
    <row r="161" spans="1:31">
      <c r="A161" s="86" t="s">
        <v>4</v>
      </c>
      <c r="B161" s="86">
        <v>1111</v>
      </c>
      <c r="C161" s="67" t="s">
        <v>129</v>
      </c>
      <c r="D161" s="67" t="s">
        <v>194</v>
      </c>
      <c r="E161" s="67"/>
      <c r="F161" s="66">
        <v>48.37</v>
      </c>
      <c r="G161" s="66">
        <v>8.68</v>
      </c>
      <c r="H161" s="67">
        <f t="shared" si="48"/>
        <v>52.709999999999994</v>
      </c>
      <c r="I161" s="68">
        <f t="shared" si="49"/>
        <v>57.05</v>
      </c>
      <c r="J161" s="69">
        <v>3980</v>
      </c>
      <c r="K161" s="70">
        <v>0</v>
      </c>
      <c r="L161" s="71">
        <v>370</v>
      </c>
      <c r="M161" s="71">
        <v>0</v>
      </c>
      <c r="N161" s="72">
        <f t="shared" si="50"/>
        <v>3697.5</v>
      </c>
      <c r="O161" s="73">
        <f t="shared" si="51"/>
        <v>4350</v>
      </c>
      <c r="P161" s="121">
        <f t="shared" si="52"/>
        <v>63.128438626446602</v>
      </c>
      <c r="Q161" s="74">
        <f t="shared" si="53"/>
        <v>0.15</v>
      </c>
      <c r="R161" s="75">
        <f t="shared" si="54"/>
        <v>652.5</v>
      </c>
      <c r="S161" s="74">
        <v>0.8</v>
      </c>
      <c r="T161" s="75">
        <f t="shared" si="55"/>
        <v>3480</v>
      </c>
      <c r="U161" s="76">
        <f t="shared" si="56"/>
        <v>4.9999999999999961E-2</v>
      </c>
      <c r="V161" s="69">
        <f t="shared" si="57"/>
        <v>217.49999999999983</v>
      </c>
      <c r="W161" s="77">
        <f ca="1">V161*VLOOKUP(TODAY(),'UF HOY'!$A$2:$B$36,2,0)</f>
        <v>8642131.9499999937</v>
      </c>
      <c r="X161" s="78">
        <f>Datos!$E$6</f>
        <v>18</v>
      </c>
      <c r="Y161" s="79">
        <f ca="1">IF((W161-1000000-Datos!$N$6)/X161&gt;0,(W161-1000000-Datos!$N$6)/X161,0)</f>
        <v>419007.33055555518</v>
      </c>
      <c r="Z161" s="78">
        <f>Datos!$E$6</f>
        <v>18</v>
      </c>
      <c r="AA161" s="79">
        <f ca="1">IF((W161-1000000-Datos!$N$6-1%*O161*VLOOKUP(TODAY(),'UF HOY'!$A$2:$B$33,2,0))/Z161&gt;0,(W161-1000000-Datos!$N$6-1%*O161*VLOOKUP(TODAY(),'UF HOY'!$A$2:$B$33,2,0))/Z161,0)</f>
        <v>322983.64222222182</v>
      </c>
      <c r="AB161" s="221">
        <f>IF(L161&gt;0,VLOOKUP(D161,Datos!$H$35:$J$38,3,0),VLOOKUP(D161,Datos!$H$35:$J$38,2,0))</f>
        <v>500000</v>
      </c>
      <c r="AC161" s="79">
        <f ca="1">(S161*PMT(Datos!$D$15,Datos!$D$13,-O161,,)*VLOOKUP(TODAY(),'UF HOY'!$A$2:$B$36,2,0)/12)+VLOOKUP(TODAY(),'UF HOY'!$A$2:$B$36,2,0)</f>
        <v>706101.06985957618</v>
      </c>
      <c r="AD161" s="79">
        <f t="shared" ca="1" si="58"/>
        <v>-206101.06985957618</v>
      </c>
      <c r="AE161" s="220">
        <f t="shared" ca="1" si="59"/>
        <v>2824404.2794383047</v>
      </c>
    </row>
    <row r="162" spans="1:31">
      <c r="A162" s="86" t="s">
        <v>4</v>
      </c>
      <c r="B162" s="86">
        <v>1211</v>
      </c>
      <c r="C162" s="67" t="s">
        <v>129</v>
      </c>
      <c r="D162" s="67" t="s">
        <v>194</v>
      </c>
      <c r="E162" s="67"/>
      <c r="F162" s="66">
        <v>48.37</v>
      </c>
      <c r="G162" s="66">
        <v>8.68</v>
      </c>
      <c r="H162" s="67">
        <f t="shared" ref="H162:H172" si="60">F162+G162/2</f>
        <v>52.709999999999994</v>
      </c>
      <c r="I162" s="68">
        <f t="shared" ref="I162:I172" si="61">F162+G162</f>
        <v>57.05</v>
      </c>
      <c r="J162" s="69">
        <v>3980</v>
      </c>
      <c r="K162" s="70">
        <v>0</v>
      </c>
      <c r="L162" s="71">
        <v>370</v>
      </c>
      <c r="M162" s="71">
        <v>0</v>
      </c>
      <c r="N162" s="72">
        <f t="shared" ref="N162:N172" si="62">O162-R162</f>
        <v>3697.5</v>
      </c>
      <c r="O162" s="73">
        <f t="shared" ref="O162:O172" si="63">J162*(100%-K162)+L162+M162</f>
        <v>4350</v>
      </c>
      <c r="P162" s="121">
        <f t="shared" ref="P162:P172" si="64">(N162-L162-M162)/H162</f>
        <v>63.128438626446602</v>
      </c>
      <c r="Q162" s="74">
        <f t="shared" ref="Q162:Q172" si="65">R162/O162</f>
        <v>0.15</v>
      </c>
      <c r="R162" s="75">
        <f t="shared" ref="R162:R172" si="66">O162*0.15</f>
        <v>652.5</v>
      </c>
      <c r="S162" s="74">
        <v>0.8</v>
      </c>
      <c r="T162" s="75">
        <f t="shared" ref="T162:T172" si="67">S162*O162</f>
        <v>3480</v>
      </c>
      <c r="U162" s="76">
        <f t="shared" ref="U162:U172" si="68">100%-S162-Q162</f>
        <v>4.9999999999999961E-2</v>
      </c>
      <c r="V162" s="69">
        <f t="shared" ref="V162:V172" si="69">O162*U162</f>
        <v>217.49999999999983</v>
      </c>
      <c r="W162" s="77">
        <f ca="1">V162*VLOOKUP(TODAY(),'UF HOY'!$A$2:$B$36,2,0)</f>
        <v>8642131.9499999937</v>
      </c>
      <c r="X162" s="78">
        <f>Datos!$E$6</f>
        <v>18</v>
      </c>
      <c r="Y162" s="79">
        <f ca="1">IF((W162-1000000-Datos!$N$6)/X162&gt;0,(W162-1000000-Datos!$N$6)/X162,0)</f>
        <v>419007.33055555518</v>
      </c>
      <c r="Z162" s="78">
        <f>Datos!$E$6</f>
        <v>18</v>
      </c>
      <c r="AA162" s="79">
        <f ca="1">IF((W162-1000000-Datos!$N$6-1%*O162*VLOOKUP(TODAY(),'UF HOY'!$A$2:$B$33,2,0))/Z162&gt;0,(W162-1000000-Datos!$N$6-1%*O162*VLOOKUP(TODAY(),'UF HOY'!$A$2:$B$33,2,0))/Z162,0)</f>
        <v>322983.64222222182</v>
      </c>
      <c r="AB162" s="221">
        <f>IF(L162&gt;0,VLOOKUP(D162,Datos!$H$35:$J$38,3,0),VLOOKUP(D162,Datos!$H$35:$J$38,2,0))</f>
        <v>500000</v>
      </c>
      <c r="AC162" s="79">
        <f ca="1">(S162*PMT(Datos!$D$15,Datos!$D$13,-O162,,)*VLOOKUP(TODAY(),'UF HOY'!$A$2:$B$36,2,0)/12)+VLOOKUP(TODAY(),'UF HOY'!$A$2:$B$36,2,0)</f>
        <v>706101.06985957618</v>
      </c>
      <c r="AD162" s="79">
        <f t="shared" ref="AD162:AD172" ca="1" si="70">AB162-AC162</f>
        <v>-206101.06985957618</v>
      </c>
      <c r="AE162" s="220">
        <f t="shared" ref="AE162:AE172" ca="1" si="71">IF((AC162/0.25)&lt;=1600000,1600000,(AC162/0.25))</f>
        <v>2824404.2794383047</v>
      </c>
    </row>
    <row r="163" spans="1:31">
      <c r="A163" s="86" t="s">
        <v>4</v>
      </c>
      <c r="B163" s="86">
        <v>1308</v>
      </c>
      <c r="C163" s="67" t="s">
        <v>130</v>
      </c>
      <c r="D163" s="67" t="s">
        <v>194</v>
      </c>
      <c r="E163" s="67"/>
      <c r="F163" s="66">
        <v>48.37</v>
      </c>
      <c r="G163" s="66">
        <v>8.68</v>
      </c>
      <c r="H163" s="67">
        <f t="shared" si="60"/>
        <v>52.709999999999994</v>
      </c>
      <c r="I163" s="68">
        <f t="shared" si="61"/>
        <v>57.05</v>
      </c>
      <c r="J163" s="69">
        <v>3980</v>
      </c>
      <c r="K163" s="70">
        <v>0</v>
      </c>
      <c r="L163" s="71">
        <v>370</v>
      </c>
      <c r="M163" s="71">
        <v>0</v>
      </c>
      <c r="N163" s="72">
        <f t="shared" si="62"/>
        <v>3697.5</v>
      </c>
      <c r="O163" s="73">
        <f t="shared" si="63"/>
        <v>4350</v>
      </c>
      <c r="P163" s="121">
        <f t="shared" si="64"/>
        <v>63.128438626446602</v>
      </c>
      <c r="Q163" s="74">
        <f t="shared" si="65"/>
        <v>0.15</v>
      </c>
      <c r="R163" s="75">
        <f t="shared" si="66"/>
        <v>652.5</v>
      </c>
      <c r="S163" s="74">
        <v>0.8</v>
      </c>
      <c r="T163" s="75">
        <f t="shared" si="67"/>
        <v>3480</v>
      </c>
      <c r="U163" s="76">
        <f t="shared" si="68"/>
        <v>4.9999999999999961E-2</v>
      </c>
      <c r="V163" s="69">
        <f t="shared" si="69"/>
        <v>217.49999999999983</v>
      </c>
      <c r="W163" s="77">
        <f ca="1">V163*VLOOKUP(TODAY(),'UF HOY'!$A$2:$B$36,2,0)</f>
        <v>8642131.9499999937</v>
      </c>
      <c r="X163" s="78">
        <f>Datos!$E$6</f>
        <v>18</v>
      </c>
      <c r="Y163" s="79">
        <f ca="1">IF((W163-1000000-Datos!$N$6)/X163&gt;0,(W163-1000000-Datos!$N$6)/X163,0)</f>
        <v>419007.33055555518</v>
      </c>
      <c r="Z163" s="78">
        <f>Datos!$E$6</f>
        <v>18</v>
      </c>
      <c r="AA163" s="79">
        <f ca="1">IF((W163-1000000-Datos!$N$6-1%*O163*VLOOKUP(TODAY(),'UF HOY'!$A$2:$B$33,2,0))/Z163&gt;0,(W163-1000000-Datos!$N$6-1%*O163*VLOOKUP(TODAY(),'UF HOY'!$A$2:$B$33,2,0))/Z163,0)</f>
        <v>322983.64222222182</v>
      </c>
      <c r="AB163" s="221">
        <f>IF(L163&gt;0,VLOOKUP(D163,Datos!$H$35:$J$38,3,0),VLOOKUP(D163,Datos!$H$35:$J$38,2,0))</f>
        <v>500000</v>
      </c>
      <c r="AC163" s="79">
        <f ca="1">(S163*PMT(Datos!$D$15,Datos!$D$13,-O163,,)*VLOOKUP(TODAY(),'UF HOY'!$A$2:$B$36,2,0)/12)+VLOOKUP(TODAY(),'UF HOY'!$A$2:$B$36,2,0)</f>
        <v>706101.06985957618</v>
      </c>
      <c r="AD163" s="79">
        <f t="shared" ca="1" si="70"/>
        <v>-206101.06985957618</v>
      </c>
      <c r="AE163" s="220">
        <f t="shared" ca="1" si="71"/>
        <v>2824404.2794383047</v>
      </c>
    </row>
    <row r="164" spans="1:31">
      <c r="A164" s="86" t="s">
        <v>4</v>
      </c>
      <c r="B164" s="86">
        <v>1411</v>
      </c>
      <c r="C164" s="67" t="s">
        <v>129</v>
      </c>
      <c r="D164" s="67" t="s">
        <v>194</v>
      </c>
      <c r="E164" s="67"/>
      <c r="F164" s="66">
        <v>48.37</v>
      </c>
      <c r="G164" s="66">
        <v>8.68</v>
      </c>
      <c r="H164" s="67">
        <f t="shared" si="60"/>
        <v>52.709999999999994</v>
      </c>
      <c r="I164" s="68">
        <f t="shared" si="61"/>
        <v>57.05</v>
      </c>
      <c r="J164" s="69">
        <v>3980</v>
      </c>
      <c r="K164" s="70">
        <v>0</v>
      </c>
      <c r="L164" s="71">
        <v>370</v>
      </c>
      <c r="M164" s="71">
        <v>0</v>
      </c>
      <c r="N164" s="72">
        <f t="shared" si="62"/>
        <v>3697.5</v>
      </c>
      <c r="O164" s="73">
        <f t="shared" si="63"/>
        <v>4350</v>
      </c>
      <c r="P164" s="121">
        <f t="shared" si="64"/>
        <v>63.128438626446602</v>
      </c>
      <c r="Q164" s="74">
        <f t="shared" si="65"/>
        <v>0.15</v>
      </c>
      <c r="R164" s="75">
        <f t="shared" si="66"/>
        <v>652.5</v>
      </c>
      <c r="S164" s="74">
        <v>0.8</v>
      </c>
      <c r="T164" s="75">
        <f t="shared" si="67"/>
        <v>3480</v>
      </c>
      <c r="U164" s="76">
        <f t="shared" si="68"/>
        <v>4.9999999999999961E-2</v>
      </c>
      <c r="V164" s="69">
        <f t="shared" si="69"/>
        <v>217.49999999999983</v>
      </c>
      <c r="W164" s="77">
        <f ca="1">V164*VLOOKUP(TODAY(),'UF HOY'!$A$2:$B$36,2,0)</f>
        <v>8642131.9499999937</v>
      </c>
      <c r="X164" s="78">
        <f>Datos!$E$6</f>
        <v>18</v>
      </c>
      <c r="Y164" s="79">
        <f ca="1">IF((W164-1000000-Datos!$N$6)/X164&gt;0,(W164-1000000-Datos!$N$6)/X164,0)</f>
        <v>419007.33055555518</v>
      </c>
      <c r="Z164" s="78">
        <f>Datos!$E$6</f>
        <v>18</v>
      </c>
      <c r="AA164" s="79">
        <f ca="1">IF((W164-1000000-Datos!$N$6-1%*O164*VLOOKUP(TODAY(),'UF HOY'!$A$2:$B$33,2,0))/Z164&gt;0,(W164-1000000-Datos!$N$6-1%*O164*VLOOKUP(TODAY(),'UF HOY'!$A$2:$B$33,2,0))/Z164,0)</f>
        <v>322983.64222222182</v>
      </c>
      <c r="AB164" s="221">
        <f>IF(L164&gt;0,VLOOKUP(D164,Datos!$H$35:$J$38,3,0),VLOOKUP(D164,Datos!$H$35:$J$38,2,0))</f>
        <v>500000</v>
      </c>
      <c r="AC164" s="79">
        <f ca="1">(S164*PMT(Datos!$D$15,Datos!$D$13,-O164,,)*VLOOKUP(TODAY(),'UF HOY'!$A$2:$B$36,2,0)/12)+VLOOKUP(TODAY(),'UF HOY'!$A$2:$B$36,2,0)</f>
        <v>706101.06985957618</v>
      </c>
      <c r="AD164" s="79">
        <f t="shared" ca="1" si="70"/>
        <v>-206101.06985957618</v>
      </c>
      <c r="AE164" s="220">
        <f t="shared" ca="1" si="71"/>
        <v>2824404.2794383047</v>
      </c>
    </row>
    <row r="165" spans="1:31">
      <c r="A165" s="86" t="s">
        <v>4</v>
      </c>
      <c r="B165" s="86">
        <v>1511</v>
      </c>
      <c r="C165" s="67" t="s">
        <v>129</v>
      </c>
      <c r="D165" s="67" t="s">
        <v>194</v>
      </c>
      <c r="E165" s="67"/>
      <c r="F165" s="66">
        <v>48.37</v>
      </c>
      <c r="G165" s="66">
        <v>8.68</v>
      </c>
      <c r="H165" s="67">
        <f t="shared" si="60"/>
        <v>52.709999999999994</v>
      </c>
      <c r="I165" s="68">
        <f t="shared" si="61"/>
        <v>57.05</v>
      </c>
      <c r="J165" s="69">
        <v>3980</v>
      </c>
      <c r="K165" s="70">
        <v>0</v>
      </c>
      <c r="L165" s="71">
        <v>370</v>
      </c>
      <c r="M165" s="71">
        <v>0</v>
      </c>
      <c r="N165" s="72">
        <f t="shared" si="62"/>
        <v>3697.5</v>
      </c>
      <c r="O165" s="73">
        <f t="shared" si="63"/>
        <v>4350</v>
      </c>
      <c r="P165" s="121">
        <f t="shared" si="64"/>
        <v>63.128438626446602</v>
      </c>
      <c r="Q165" s="74">
        <f t="shared" si="65"/>
        <v>0.15</v>
      </c>
      <c r="R165" s="75">
        <f t="shared" si="66"/>
        <v>652.5</v>
      </c>
      <c r="S165" s="74">
        <v>0.8</v>
      </c>
      <c r="T165" s="75">
        <f t="shared" si="67"/>
        <v>3480</v>
      </c>
      <c r="U165" s="76">
        <f t="shared" si="68"/>
        <v>4.9999999999999961E-2</v>
      </c>
      <c r="V165" s="69">
        <f t="shared" si="69"/>
        <v>217.49999999999983</v>
      </c>
      <c r="W165" s="77">
        <f ca="1">V165*VLOOKUP(TODAY(),'UF HOY'!$A$2:$B$36,2,0)</f>
        <v>8642131.9499999937</v>
      </c>
      <c r="X165" s="78">
        <f>Datos!$E$6</f>
        <v>18</v>
      </c>
      <c r="Y165" s="79">
        <f ca="1">IF((W165-1000000-Datos!$N$6)/X165&gt;0,(W165-1000000-Datos!$N$6)/X165,0)</f>
        <v>419007.33055555518</v>
      </c>
      <c r="Z165" s="78">
        <f>Datos!$E$6</f>
        <v>18</v>
      </c>
      <c r="AA165" s="79">
        <f ca="1">IF((W165-1000000-Datos!$N$6-1%*O165*VLOOKUP(TODAY(),'UF HOY'!$A$2:$B$33,2,0))/Z165&gt;0,(W165-1000000-Datos!$N$6-1%*O165*VLOOKUP(TODAY(),'UF HOY'!$A$2:$B$33,2,0))/Z165,0)</f>
        <v>322983.64222222182</v>
      </c>
      <c r="AB165" s="221">
        <f>IF(L165&gt;0,VLOOKUP(D165,Datos!$H$35:$J$38,3,0),VLOOKUP(D165,Datos!$H$35:$J$38,2,0))</f>
        <v>500000</v>
      </c>
      <c r="AC165" s="79">
        <f ca="1">(S165*PMT(Datos!$D$15,Datos!$D$13,-O165,,)*VLOOKUP(TODAY(),'UF HOY'!$A$2:$B$36,2,0)/12)+VLOOKUP(TODAY(),'UF HOY'!$A$2:$B$36,2,0)</f>
        <v>706101.06985957618</v>
      </c>
      <c r="AD165" s="79">
        <f t="shared" ca="1" si="70"/>
        <v>-206101.06985957618</v>
      </c>
      <c r="AE165" s="220">
        <f t="shared" ca="1" si="71"/>
        <v>2824404.2794383047</v>
      </c>
    </row>
    <row r="166" spans="1:31">
      <c r="A166" s="86" t="s">
        <v>4</v>
      </c>
      <c r="B166" s="86">
        <v>1611</v>
      </c>
      <c r="C166" s="67" t="s">
        <v>129</v>
      </c>
      <c r="D166" s="67" t="s">
        <v>194</v>
      </c>
      <c r="E166" s="67"/>
      <c r="F166" s="66">
        <v>48.37</v>
      </c>
      <c r="G166" s="66">
        <v>8.68</v>
      </c>
      <c r="H166" s="67">
        <f t="shared" si="60"/>
        <v>52.709999999999994</v>
      </c>
      <c r="I166" s="68">
        <f t="shared" si="61"/>
        <v>57.05</v>
      </c>
      <c r="J166" s="69">
        <v>3980</v>
      </c>
      <c r="K166" s="70">
        <v>0</v>
      </c>
      <c r="L166" s="71">
        <v>370</v>
      </c>
      <c r="M166" s="71">
        <v>0</v>
      </c>
      <c r="N166" s="72">
        <f t="shared" si="62"/>
        <v>3697.5</v>
      </c>
      <c r="O166" s="73">
        <f t="shared" si="63"/>
        <v>4350</v>
      </c>
      <c r="P166" s="121">
        <f t="shared" si="64"/>
        <v>63.128438626446602</v>
      </c>
      <c r="Q166" s="74">
        <f t="shared" si="65"/>
        <v>0.15</v>
      </c>
      <c r="R166" s="75">
        <f t="shared" si="66"/>
        <v>652.5</v>
      </c>
      <c r="S166" s="74">
        <v>0.8</v>
      </c>
      <c r="T166" s="75">
        <f t="shared" si="67"/>
        <v>3480</v>
      </c>
      <c r="U166" s="76">
        <f t="shared" si="68"/>
        <v>4.9999999999999961E-2</v>
      </c>
      <c r="V166" s="69">
        <f t="shared" si="69"/>
        <v>217.49999999999983</v>
      </c>
      <c r="W166" s="77">
        <f ca="1">V166*VLOOKUP(TODAY(),'UF HOY'!$A$2:$B$36,2,0)</f>
        <v>8642131.9499999937</v>
      </c>
      <c r="X166" s="78">
        <f>Datos!$E$6</f>
        <v>18</v>
      </c>
      <c r="Y166" s="79">
        <f ca="1">IF((W166-1000000-Datos!$N$6)/X166&gt;0,(W166-1000000-Datos!$N$6)/X166,0)</f>
        <v>419007.33055555518</v>
      </c>
      <c r="Z166" s="78">
        <f>Datos!$E$6</f>
        <v>18</v>
      </c>
      <c r="AA166" s="79">
        <f ca="1">IF((W166-1000000-Datos!$N$6-1%*O166*VLOOKUP(TODAY(),'UF HOY'!$A$2:$B$33,2,0))/Z166&gt;0,(W166-1000000-Datos!$N$6-1%*O166*VLOOKUP(TODAY(),'UF HOY'!$A$2:$B$33,2,0))/Z166,0)</f>
        <v>322983.64222222182</v>
      </c>
      <c r="AB166" s="221">
        <f>IF(L166&gt;0,VLOOKUP(D166,Datos!$H$35:$J$38,3,0),VLOOKUP(D166,Datos!$H$35:$J$38,2,0))</f>
        <v>500000</v>
      </c>
      <c r="AC166" s="79">
        <f ca="1">(S166*PMT(Datos!$D$15,Datos!$D$13,-O166,,)*VLOOKUP(TODAY(),'UF HOY'!$A$2:$B$36,2,0)/12)+VLOOKUP(TODAY(),'UF HOY'!$A$2:$B$36,2,0)</f>
        <v>706101.06985957618</v>
      </c>
      <c r="AD166" s="79">
        <f t="shared" ca="1" si="70"/>
        <v>-206101.06985957618</v>
      </c>
      <c r="AE166" s="220">
        <f t="shared" ca="1" si="71"/>
        <v>2824404.2794383047</v>
      </c>
    </row>
    <row r="167" spans="1:31" hidden="1">
      <c r="A167" s="86" t="s">
        <v>171</v>
      </c>
      <c r="B167" s="86">
        <v>1508</v>
      </c>
      <c r="C167" s="67" t="s">
        <v>130</v>
      </c>
      <c r="D167" s="67" t="s">
        <v>194</v>
      </c>
      <c r="E167" s="67"/>
      <c r="F167" s="66">
        <v>48.37</v>
      </c>
      <c r="G167" s="66">
        <v>8.68</v>
      </c>
      <c r="H167" s="67">
        <f t="shared" si="60"/>
        <v>52.709999999999994</v>
      </c>
      <c r="I167" s="68">
        <f t="shared" si="61"/>
        <v>57.05</v>
      </c>
      <c r="J167" s="69">
        <v>4010</v>
      </c>
      <c r="K167" s="70">
        <v>0</v>
      </c>
      <c r="L167" s="71">
        <v>370</v>
      </c>
      <c r="M167" s="71">
        <v>0</v>
      </c>
      <c r="N167" s="72">
        <f t="shared" si="62"/>
        <v>3723</v>
      </c>
      <c r="O167" s="73">
        <f t="shared" si="63"/>
        <v>4380</v>
      </c>
      <c r="P167" s="121">
        <f t="shared" si="64"/>
        <v>63.612217795484739</v>
      </c>
      <c r="Q167" s="74">
        <f t="shared" si="65"/>
        <v>0.15</v>
      </c>
      <c r="R167" s="75">
        <f t="shared" si="66"/>
        <v>657</v>
      </c>
      <c r="S167" s="74">
        <v>0.8</v>
      </c>
      <c r="T167" s="75">
        <f t="shared" si="67"/>
        <v>3504</v>
      </c>
      <c r="U167" s="76">
        <f t="shared" si="68"/>
        <v>4.9999999999999961E-2</v>
      </c>
      <c r="V167" s="69">
        <f t="shared" si="69"/>
        <v>218.99999999999983</v>
      </c>
      <c r="W167" s="77">
        <f ca="1">V167*VLOOKUP(TODAY(),'UF HOY'!$A$2:$B$36,2,0)</f>
        <v>8701732.8599999938</v>
      </c>
      <c r="X167" s="78">
        <f>Datos!$E$6</f>
        <v>18</v>
      </c>
      <c r="Y167" s="79">
        <f ca="1">IF((W167-1000000-Datos!$N$6)/X167&gt;0,(W167-1000000-Datos!$N$6)/X167,0)</f>
        <v>422318.49222222186</v>
      </c>
      <c r="Z167" s="78">
        <f>Datos!$E$6</f>
        <v>18</v>
      </c>
      <c r="AA167" s="79">
        <f ca="1">IF((W167-1000000-Datos!$N$6-1%*O167*VLOOKUP(TODAY(),'UF HOY'!$A$2:$B$33,2,0))/Z167&gt;0,(W167-1000000-Datos!$N$6-1%*O167*VLOOKUP(TODAY(),'UF HOY'!$A$2:$B$33,2,0))/Z167,0)</f>
        <v>325632.57155555516</v>
      </c>
      <c r="AB167" s="221">
        <f>IF(L167&gt;0,VLOOKUP(D167,Datos!$H$35:$J$38,3,0),VLOOKUP(D167,Datos!$H$35:$J$38,2,0))</f>
        <v>500000</v>
      </c>
      <c r="AC167" s="79">
        <f ca="1">(S167*PMT(Datos!$D$15,Datos!$D$13,-O167,,)*VLOOKUP(TODAY(),'UF HOY'!$A$2:$B$36,2,0)/12)+VLOOKUP(TODAY(),'UF HOY'!$A$2:$B$36,2,0)</f>
        <v>710696.70523791807</v>
      </c>
      <c r="AD167" s="79">
        <f t="shared" ca="1" si="70"/>
        <v>-210696.70523791807</v>
      </c>
      <c r="AE167" s="220">
        <f t="shared" ca="1" si="71"/>
        <v>2842786.8209516723</v>
      </c>
    </row>
    <row r="168" spans="1:31">
      <c r="A168" s="86" t="s">
        <v>4</v>
      </c>
      <c r="B168" s="86">
        <v>1008</v>
      </c>
      <c r="C168" s="67" t="s">
        <v>130</v>
      </c>
      <c r="D168" s="67" t="s">
        <v>194</v>
      </c>
      <c r="E168" s="67"/>
      <c r="F168" s="66">
        <v>48.37</v>
      </c>
      <c r="G168" s="66">
        <v>8.68</v>
      </c>
      <c r="H168" s="67">
        <f t="shared" si="60"/>
        <v>52.709999999999994</v>
      </c>
      <c r="I168" s="68">
        <f t="shared" si="61"/>
        <v>57.05</v>
      </c>
      <c r="J168" s="69">
        <v>4010</v>
      </c>
      <c r="K168" s="70">
        <v>0</v>
      </c>
      <c r="L168" s="71">
        <v>370</v>
      </c>
      <c r="M168" s="71">
        <v>0</v>
      </c>
      <c r="N168" s="72">
        <f t="shared" si="62"/>
        <v>3723</v>
      </c>
      <c r="O168" s="73">
        <f t="shared" si="63"/>
        <v>4380</v>
      </c>
      <c r="P168" s="121">
        <f t="shared" si="64"/>
        <v>63.612217795484739</v>
      </c>
      <c r="Q168" s="74">
        <f t="shared" si="65"/>
        <v>0.15</v>
      </c>
      <c r="R168" s="75">
        <f t="shared" si="66"/>
        <v>657</v>
      </c>
      <c r="S168" s="74">
        <v>0.8</v>
      </c>
      <c r="T168" s="75">
        <f t="shared" si="67"/>
        <v>3504</v>
      </c>
      <c r="U168" s="76">
        <f t="shared" si="68"/>
        <v>4.9999999999999961E-2</v>
      </c>
      <c r="V168" s="69">
        <f t="shared" si="69"/>
        <v>218.99999999999983</v>
      </c>
      <c r="W168" s="77">
        <f ca="1">V168*VLOOKUP(TODAY(),'UF HOY'!$A$2:$B$36,2,0)</f>
        <v>8701732.8599999938</v>
      </c>
      <c r="X168" s="78">
        <f>Datos!$E$6</f>
        <v>18</v>
      </c>
      <c r="Y168" s="79">
        <f ca="1">IF((W168-1000000-Datos!$N$6)/X168&gt;0,(W168-1000000-Datos!$N$6)/X168,0)</f>
        <v>422318.49222222186</v>
      </c>
      <c r="Z168" s="78">
        <f>Datos!$E$6</f>
        <v>18</v>
      </c>
      <c r="AA168" s="79">
        <f ca="1">IF((W168-1000000-Datos!$N$6-1%*O168*VLOOKUP(TODAY(),'UF HOY'!$A$2:$B$33,2,0))/Z168&gt;0,(W168-1000000-Datos!$N$6-1%*O168*VLOOKUP(TODAY(),'UF HOY'!$A$2:$B$33,2,0))/Z168,0)</f>
        <v>325632.57155555516</v>
      </c>
      <c r="AB168" s="221">
        <f>IF(L168&gt;0,VLOOKUP(D168,Datos!$H$35:$J$38,3,0),VLOOKUP(D168,Datos!$H$35:$J$38,2,0))</f>
        <v>500000</v>
      </c>
      <c r="AC168" s="79">
        <f ca="1">(S168*PMT(Datos!$D$15,Datos!$D$13,-O168,,)*VLOOKUP(TODAY(),'UF HOY'!$A$2:$B$36,2,0)/12)+VLOOKUP(TODAY(),'UF HOY'!$A$2:$B$36,2,0)</f>
        <v>710696.70523791807</v>
      </c>
      <c r="AD168" s="79">
        <f t="shared" ca="1" si="70"/>
        <v>-210696.70523791807</v>
      </c>
      <c r="AE168" s="220">
        <f t="shared" ca="1" si="71"/>
        <v>2842786.8209516723</v>
      </c>
    </row>
    <row r="169" spans="1:31" hidden="1">
      <c r="A169" s="86" t="s">
        <v>171</v>
      </c>
      <c r="B169" s="86">
        <v>1608</v>
      </c>
      <c r="C169" s="67" t="s">
        <v>130</v>
      </c>
      <c r="D169" s="67" t="s">
        <v>194</v>
      </c>
      <c r="E169" s="67"/>
      <c r="F169" s="66">
        <v>48.37</v>
      </c>
      <c r="G169" s="66">
        <v>8.68</v>
      </c>
      <c r="H169" s="67">
        <f t="shared" si="60"/>
        <v>52.709999999999994</v>
      </c>
      <c r="I169" s="68">
        <f t="shared" si="61"/>
        <v>57.05</v>
      </c>
      <c r="J169" s="69">
        <v>4010</v>
      </c>
      <c r="K169" s="70">
        <v>0</v>
      </c>
      <c r="L169" s="71">
        <v>370</v>
      </c>
      <c r="M169" s="71">
        <v>0</v>
      </c>
      <c r="N169" s="72">
        <f t="shared" si="62"/>
        <v>3723</v>
      </c>
      <c r="O169" s="73">
        <f t="shared" si="63"/>
        <v>4380</v>
      </c>
      <c r="P169" s="121">
        <f t="shared" si="64"/>
        <v>63.612217795484739</v>
      </c>
      <c r="Q169" s="74">
        <f t="shared" si="65"/>
        <v>0.15</v>
      </c>
      <c r="R169" s="75">
        <f t="shared" si="66"/>
        <v>657</v>
      </c>
      <c r="S169" s="74">
        <v>0.8</v>
      </c>
      <c r="T169" s="75">
        <f t="shared" si="67"/>
        <v>3504</v>
      </c>
      <c r="U169" s="76">
        <f t="shared" si="68"/>
        <v>4.9999999999999961E-2</v>
      </c>
      <c r="V169" s="69">
        <f t="shared" si="69"/>
        <v>218.99999999999983</v>
      </c>
      <c r="W169" s="77">
        <f ca="1">V169*VLOOKUP(TODAY(),'UF HOY'!$A$2:$B$36,2,0)</f>
        <v>8701732.8599999938</v>
      </c>
      <c r="X169" s="78">
        <f>Datos!$E$6</f>
        <v>18</v>
      </c>
      <c r="Y169" s="79">
        <f ca="1">IF((W169-1000000-Datos!$N$6)/X169&gt;0,(W169-1000000-Datos!$N$6)/X169,0)</f>
        <v>422318.49222222186</v>
      </c>
      <c r="Z169" s="78">
        <f>Datos!$E$6</f>
        <v>18</v>
      </c>
      <c r="AA169" s="79">
        <f ca="1">IF((W169-1000000-Datos!$N$6-1%*O169*VLOOKUP(TODAY(),'UF HOY'!$A$2:$B$33,2,0))/Z169&gt;0,(W169-1000000-Datos!$N$6-1%*O169*VLOOKUP(TODAY(),'UF HOY'!$A$2:$B$33,2,0))/Z169,0)</f>
        <v>325632.57155555516</v>
      </c>
      <c r="AB169" s="221">
        <f>IF(L169&gt;0,VLOOKUP(D169,Datos!$H$35:$J$38,3,0),VLOOKUP(D169,Datos!$H$35:$J$38,2,0))</f>
        <v>500000</v>
      </c>
      <c r="AC169" s="79">
        <f ca="1">(S169*PMT(Datos!$D$15,Datos!$D$13,-O169,,)*VLOOKUP(TODAY(),'UF HOY'!$A$2:$B$36,2,0)/12)+VLOOKUP(TODAY(),'UF HOY'!$A$2:$B$36,2,0)</f>
        <v>710696.70523791807</v>
      </c>
      <c r="AD169" s="79">
        <f t="shared" ca="1" si="70"/>
        <v>-210696.70523791807</v>
      </c>
      <c r="AE169" s="220">
        <f t="shared" ca="1" si="71"/>
        <v>2842786.8209516723</v>
      </c>
    </row>
    <row r="170" spans="1:31">
      <c r="A170" s="86" t="s">
        <v>4</v>
      </c>
      <c r="B170" s="86">
        <v>1108</v>
      </c>
      <c r="C170" s="67" t="s">
        <v>130</v>
      </c>
      <c r="D170" s="67" t="s">
        <v>194</v>
      </c>
      <c r="E170" s="67"/>
      <c r="F170" s="66">
        <v>48.37</v>
      </c>
      <c r="G170" s="66">
        <v>8.68</v>
      </c>
      <c r="H170" s="67">
        <f t="shared" si="60"/>
        <v>52.709999999999994</v>
      </c>
      <c r="I170" s="68">
        <f t="shared" si="61"/>
        <v>57.05</v>
      </c>
      <c r="J170" s="69">
        <v>4010</v>
      </c>
      <c r="K170" s="70">
        <v>0</v>
      </c>
      <c r="L170" s="71">
        <v>370</v>
      </c>
      <c r="M170" s="71">
        <v>0</v>
      </c>
      <c r="N170" s="72">
        <f t="shared" si="62"/>
        <v>3723</v>
      </c>
      <c r="O170" s="73">
        <f t="shared" si="63"/>
        <v>4380</v>
      </c>
      <c r="P170" s="121">
        <f t="shared" si="64"/>
        <v>63.612217795484739</v>
      </c>
      <c r="Q170" s="74">
        <f t="shared" si="65"/>
        <v>0.15</v>
      </c>
      <c r="R170" s="75">
        <f t="shared" si="66"/>
        <v>657</v>
      </c>
      <c r="S170" s="74">
        <v>0.8</v>
      </c>
      <c r="T170" s="75">
        <f t="shared" si="67"/>
        <v>3504</v>
      </c>
      <c r="U170" s="76">
        <f t="shared" si="68"/>
        <v>4.9999999999999961E-2</v>
      </c>
      <c r="V170" s="69">
        <f t="shared" si="69"/>
        <v>218.99999999999983</v>
      </c>
      <c r="W170" s="77">
        <f ca="1">V170*VLOOKUP(TODAY(),'UF HOY'!$A$2:$B$36,2,0)</f>
        <v>8701732.8599999938</v>
      </c>
      <c r="X170" s="78">
        <f>Datos!$E$6</f>
        <v>18</v>
      </c>
      <c r="Y170" s="79">
        <f ca="1">IF((W170-1000000-Datos!$N$6)/X170&gt;0,(W170-1000000-Datos!$N$6)/X170,0)</f>
        <v>422318.49222222186</v>
      </c>
      <c r="Z170" s="78">
        <f>Datos!$E$6</f>
        <v>18</v>
      </c>
      <c r="AA170" s="79">
        <f ca="1">IF((W170-1000000-Datos!$N$6-1%*O170*VLOOKUP(TODAY(),'UF HOY'!$A$2:$B$33,2,0))/Z170&gt;0,(W170-1000000-Datos!$N$6-1%*O170*VLOOKUP(TODAY(),'UF HOY'!$A$2:$B$33,2,0))/Z170,0)</f>
        <v>325632.57155555516</v>
      </c>
      <c r="AB170" s="221">
        <f>IF(L170&gt;0,VLOOKUP(D170,Datos!$H$35:$J$38,3,0),VLOOKUP(D170,Datos!$H$35:$J$38,2,0))</f>
        <v>500000</v>
      </c>
      <c r="AC170" s="79">
        <f ca="1">(S170*PMT(Datos!$D$15,Datos!$D$13,-O170,,)*VLOOKUP(TODAY(),'UF HOY'!$A$2:$B$36,2,0)/12)+VLOOKUP(TODAY(),'UF HOY'!$A$2:$B$36,2,0)</f>
        <v>710696.70523791807</v>
      </c>
      <c r="AD170" s="79">
        <f t="shared" ca="1" si="70"/>
        <v>-210696.70523791807</v>
      </c>
      <c r="AE170" s="220">
        <f t="shared" ca="1" si="71"/>
        <v>2842786.8209516723</v>
      </c>
    </row>
    <row r="171" spans="1:31">
      <c r="A171" s="86" t="s">
        <v>4</v>
      </c>
      <c r="B171" s="86">
        <v>1208</v>
      </c>
      <c r="C171" s="67" t="s">
        <v>130</v>
      </c>
      <c r="D171" s="67" t="s">
        <v>194</v>
      </c>
      <c r="E171" s="67"/>
      <c r="F171" s="66">
        <v>48.37</v>
      </c>
      <c r="G171" s="66">
        <v>8.68</v>
      </c>
      <c r="H171" s="67">
        <f t="shared" si="60"/>
        <v>52.709999999999994</v>
      </c>
      <c r="I171" s="68">
        <f t="shared" si="61"/>
        <v>57.05</v>
      </c>
      <c r="J171" s="69">
        <v>4010</v>
      </c>
      <c r="K171" s="70">
        <v>0</v>
      </c>
      <c r="L171" s="71">
        <v>370</v>
      </c>
      <c r="M171" s="71">
        <v>0</v>
      </c>
      <c r="N171" s="72">
        <f t="shared" si="62"/>
        <v>3723</v>
      </c>
      <c r="O171" s="73">
        <f t="shared" si="63"/>
        <v>4380</v>
      </c>
      <c r="P171" s="121">
        <f t="shared" si="64"/>
        <v>63.612217795484739</v>
      </c>
      <c r="Q171" s="74">
        <f t="shared" si="65"/>
        <v>0.15</v>
      </c>
      <c r="R171" s="75">
        <f t="shared" si="66"/>
        <v>657</v>
      </c>
      <c r="S171" s="74">
        <v>0.8</v>
      </c>
      <c r="T171" s="75">
        <f t="shared" si="67"/>
        <v>3504</v>
      </c>
      <c r="U171" s="76">
        <f t="shared" si="68"/>
        <v>4.9999999999999961E-2</v>
      </c>
      <c r="V171" s="69">
        <f t="shared" si="69"/>
        <v>218.99999999999983</v>
      </c>
      <c r="W171" s="77">
        <f ca="1">V171*VLOOKUP(TODAY(),'UF HOY'!$A$2:$B$36,2,0)</f>
        <v>8701732.8599999938</v>
      </c>
      <c r="X171" s="78">
        <f>Datos!$E$6</f>
        <v>18</v>
      </c>
      <c r="Y171" s="79">
        <f ca="1">IF((W171-1000000-Datos!$N$6)/X171&gt;0,(W171-1000000-Datos!$N$6)/X171,0)</f>
        <v>422318.49222222186</v>
      </c>
      <c r="Z171" s="78">
        <f>Datos!$E$6</f>
        <v>18</v>
      </c>
      <c r="AA171" s="79">
        <f ca="1">IF((W171-1000000-Datos!$N$6-1%*O171*VLOOKUP(TODAY(),'UF HOY'!$A$2:$B$33,2,0))/Z171&gt;0,(W171-1000000-Datos!$N$6-1%*O171*VLOOKUP(TODAY(),'UF HOY'!$A$2:$B$33,2,0))/Z171,0)</f>
        <v>325632.57155555516</v>
      </c>
      <c r="AB171" s="221">
        <f>IF(L171&gt;0,VLOOKUP(D171,Datos!$H$35:$J$38,3,0),VLOOKUP(D171,Datos!$H$35:$J$38,2,0))</f>
        <v>500000</v>
      </c>
      <c r="AC171" s="79">
        <f ca="1">(S171*PMT(Datos!$D$15,Datos!$D$13,-O171,,)*VLOOKUP(TODAY(),'UF HOY'!$A$2:$B$36,2,0)/12)+VLOOKUP(TODAY(),'UF HOY'!$A$2:$B$36,2,0)</f>
        <v>710696.70523791807</v>
      </c>
      <c r="AD171" s="79">
        <f t="shared" ca="1" si="70"/>
        <v>-210696.70523791807</v>
      </c>
      <c r="AE171" s="220">
        <f t="shared" ca="1" si="71"/>
        <v>2842786.8209516723</v>
      </c>
    </row>
    <row r="172" spans="1:31">
      <c r="A172" s="86" t="s">
        <v>4</v>
      </c>
      <c r="B172" s="86">
        <v>1408</v>
      </c>
      <c r="C172" s="67" t="s">
        <v>130</v>
      </c>
      <c r="D172" s="67" t="s">
        <v>194</v>
      </c>
      <c r="E172" s="67"/>
      <c r="F172" s="66">
        <v>48.37</v>
      </c>
      <c r="G172" s="66">
        <v>8.68</v>
      </c>
      <c r="H172" s="67">
        <f t="shared" si="60"/>
        <v>52.709999999999994</v>
      </c>
      <c r="I172" s="68">
        <f t="shared" si="61"/>
        <v>57.05</v>
      </c>
      <c r="J172" s="69">
        <v>4010</v>
      </c>
      <c r="K172" s="70">
        <v>0</v>
      </c>
      <c r="L172" s="71">
        <v>370</v>
      </c>
      <c r="M172" s="71">
        <v>0</v>
      </c>
      <c r="N172" s="72">
        <f t="shared" si="62"/>
        <v>3723</v>
      </c>
      <c r="O172" s="73">
        <f t="shared" si="63"/>
        <v>4380</v>
      </c>
      <c r="P172" s="121">
        <f t="shared" si="64"/>
        <v>63.612217795484739</v>
      </c>
      <c r="Q172" s="74">
        <f t="shared" si="65"/>
        <v>0.15</v>
      </c>
      <c r="R172" s="75">
        <f t="shared" si="66"/>
        <v>657</v>
      </c>
      <c r="S172" s="74">
        <v>0.8</v>
      </c>
      <c r="T172" s="75">
        <f t="shared" si="67"/>
        <v>3504</v>
      </c>
      <c r="U172" s="76">
        <f t="shared" si="68"/>
        <v>4.9999999999999961E-2</v>
      </c>
      <c r="V172" s="69">
        <f t="shared" si="69"/>
        <v>218.99999999999983</v>
      </c>
      <c r="W172" s="77">
        <f ca="1">V172*VLOOKUP(TODAY(),'UF HOY'!$A$2:$B$36,2,0)</f>
        <v>8701732.8599999938</v>
      </c>
      <c r="X172" s="78">
        <f>Datos!$E$6</f>
        <v>18</v>
      </c>
      <c r="Y172" s="79">
        <f ca="1">IF((W172-1000000-Datos!$N$6)/X172&gt;0,(W172-1000000-Datos!$N$6)/X172,0)</f>
        <v>422318.49222222186</v>
      </c>
      <c r="Z172" s="78">
        <f>Datos!$E$6</f>
        <v>18</v>
      </c>
      <c r="AA172" s="79">
        <f ca="1">IF((W172-1000000-Datos!$N$6-1%*O172*VLOOKUP(TODAY(),'UF HOY'!$A$2:$B$33,2,0))/Z172&gt;0,(W172-1000000-Datos!$N$6-1%*O172*VLOOKUP(TODAY(),'UF HOY'!$A$2:$B$33,2,0))/Z172,0)</f>
        <v>325632.57155555516</v>
      </c>
      <c r="AB172" s="221">
        <f>IF(L172&gt;0,VLOOKUP(D172,Datos!$H$35:$J$38,3,0),VLOOKUP(D172,Datos!$H$35:$J$38,2,0))</f>
        <v>500000</v>
      </c>
      <c r="AC172" s="79">
        <f ca="1">(S172*PMT(Datos!$D$15,Datos!$D$13,-O172,,)*VLOOKUP(TODAY(),'UF HOY'!$A$2:$B$36,2,0)/12)+VLOOKUP(TODAY(),'UF HOY'!$A$2:$B$36,2,0)</f>
        <v>710696.70523791807</v>
      </c>
      <c r="AD172" s="79">
        <f t="shared" ca="1" si="70"/>
        <v>-210696.70523791807</v>
      </c>
      <c r="AE172" s="220">
        <f t="shared" ca="1" si="71"/>
        <v>2842786.8209516723</v>
      </c>
    </row>
    <row r="173" spans="1:31">
      <c r="A173" s="46"/>
      <c r="B173" s="46"/>
      <c r="C173" s="5"/>
      <c r="D173" s="46"/>
      <c r="E173" s="46"/>
      <c r="F173" s="46"/>
      <c r="G173" s="46"/>
      <c r="H173" s="46"/>
      <c r="I173" s="46"/>
      <c r="J173" s="5"/>
      <c r="K173" s="6"/>
      <c r="L173" s="25"/>
      <c r="M173" s="7"/>
      <c r="N173" s="46"/>
      <c r="Z173" s="44"/>
    </row>
    <row r="174" spans="1:31">
      <c r="E174" s="46"/>
      <c r="L174" s="102" t="s">
        <v>249</v>
      </c>
      <c r="M174" s="47"/>
      <c r="N174" s="48"/>
      <c r="R174" s="62"/>
    </row>
    <row r="175" spans="1:31">
      <c r="E175" s="46"/>
      <c r="L175" s="102" t="s">
        <v>250</v>
      </c>
      <c r="M175" s="47"/>
      <c r="N175" s="48"/>
    </row>
    <row r="176" spans="1:31">
      <c r="E176" s="46"/>
      <c r="L176" s="46"/>
      <c r="M176" s="47"/>
      <c r="N176" s="47"/>
      <c r="O176" s="49"/>
      <c r="P176" s="49"/>
      <c r="Q176" s="45"/>
    </row>
    <row r="177" spans="5:16">
      <c r="E177" s="46"/>
      <c r="L177" s="46"/>
      <c r="M177" s="47"/>
      <c r="N177" s="48"/>
      <c r="O177" s="50"/>
      <c r="P177" s="50"/>
    </row>
    <row r="178" spans="5:16">
      <c r="E178" s="46"/>
      <c r="F178" s="46"/>
      <c r="G178" s="46"/>
      <c r="H178" s="46"/>
      <c r="I178" s="46"/>
      <c r="L178" s="46"/>
      <c r="M178" s="48"/>
      <c r="N178" s="48"/>
      <c r="O178" s="51"/>
      <c r="P178" s="51"/>
    </row>
    <row r="179" spans="5:16">
      <c r="E179" s="46"/>
      <c r="F179" s="46"/>
      <c r="G179" s="46"/>
      <c r="H179" s="46"/>
      <c r="I179" s="46"/>
      <c r="L179" s="46"/>
      <c r="M179" s="48"/>
      <c r="N179" s="48"/>
    </row>
    <row r="180" spans="5:16">
      <c r="E180" s="46"/>
      <c r="F180" s="46"/>
      <c r="G180" s="46"/>
      <c r="H180" s="46"/>
      <c r="I180" s="46"/>
      <c r="L180" s="46"/>
      <c r="M180" s="48"/>
      <c r="N180" s="48"/>
      <c r="O180" s="45"/>
      <c r="P180" s="45"/>
    </row>
    <row r="182" spans="5:16">
      <c r="M182" s="48"/>
      <c r="O182" s="52"/>
      <c r="P182" s="52"/>
    </row>
    <row r="190" spans="5:16">
      <c r="L190" s="49"/>
      <c r="N190" s="53"/>
    </row>
    <row r="191" spans="5:16">
      <c r="L191" s="49"/>
      <c r="N191" s="53"/>
    </row>
    <row r="192" spans="5:16">
      <c r="L192" s="49"/>
      <c r="N192" s="53"/>
    </row>
  </sheetData>
  <autoFilter ref="A1:AE172" xr:uid="{348093B8-CB61-4E2F-AACE-6C49C1809F11}">
    <filterColumn colId="0">
      <filters>
        <filter val="Disponible"/>
      </filters>
    </filterColumn>
    <sortState xmlns:xlrd2="http://schemas.microsoft.com/office/spreadsheetml/2017/richdata2" ref="A30:AE172">
      <sortCondition ref="N1:N172"/>
    </sortState>
  </autoFilter>
  <conditionalFormatting sqref="A1:AD1 J171:K172 Q167:Q172 J165:K166 Q161:Q165 J159:K160 Q155:Q159 J152:K154 Q148:Q153 J146:K147 Q142:Q146 J140:K141 Q136:Q140 J133:K135 Q129:Q133 J127:K128 Q123:Q127 J121:K122 Q117:Q121 J114:K116 Q110:Q115 J108:K109 Q104:Q108 J102:K103 Q98:Q102 J96:K97 Q93:Q95 J91:K92 Q87:Q91 J85:K86 Q81:Q85 J78:K80 Q74:Q78 J72:K73 Q68:Q72 J66:K67 Q62:Q66 Q55:Q60 J53:K54 Q49:Q53 J47:K48 Q43:Q47 J41:K42 Q38:Q40 J36:K37 Q32:Q36 J30:K31 Q26:Q30 J23:K25 Q19:Q23 J17:K18 Q13:Q17 J11:K12 H2:AD2 B7:G7 Q6:Q11 J7:P7 J3:Q5 M114:P115 M116:Q116 M121:P121 M122:Q122 M127:P127 M128:Q128 M133:P133 M134:Q135 M140:P140 M141:Q141 M146:P146 M147:Q147 M152:P153 M154:Q154 M159:P159 M160:Q160 M165:P165 M166:Q166 M171:P172 H3:I172 M103:Q103 M92:Q92 M73:Q73 J59:K61 M48:Q48 M37:Q37 M18:Q18 M11:P11 M12:Q12 M17:P17 M23:P23 M30:P30 M31:Q31 M41:Q42 M53:P53 M54:Q54 M59:P60 M61:Q61 M66:P66 M67:Q67 M72:P72 M78:P78 M85:P85 M86:Q86 M96:Q97 M108:P108 M109:Q109 M102:P102 M91:P91 M79:Q80 M47:P47 M36:P36 M24:Q25 R3:AD172">
    <cfRule type="expression" dxfId="108" priority="95">
      <formula>ROW()=CELL("fila")</formula>
    </cfRule>
  </conditionalFormatting>
  <conditionalFormatting sqref="B171:G172 B165:G166 B159:G160 B152:G154 B146:G147 B140:G141 B127:G128 B121:G122 B114:G116 B108:G109 B102:G103 A2:G2 B96:G97 B91:G92 B85:G86 B78:G80 B72:G73 B66:G67 B59:G61 B53:G54 B47:G48 B41:G42 B36:G37 B30:G31 B23:G25 B17:G18 B11:G12 B3:G5 B133:G135 A3:A172">
    <cfRule type="expression" dxfId="107" priority="94">
      <formula>ROW()=CELL("fila")</formula>
    </cfRule>
  </conditionalFormatting>
  <conditionalFormatting sqref="B169:G170 J169:K170 M169:P170">
    <cfRule type="expression" dxfId="106" priority="93">
      <formula>ROW()=CELL("fila")</formula>
    </cfRule>
  </conditionalFormatting>
  <conditionalFormatting sqref="B168:G168 J168:K168 M168:P168">
    <cfRule type="expression" dxfId="105" priority="92">
      <formula>ROW()=CELL("fila")</formula>
    </cfRule>
  </conditionalFormatting>
  <conditionalFormatting sqref="B167:G167 J167:K167 M167:P167">
    <cfRule type="expression" dxfId="104" priority="91">
      <formula>ROW()=CELL("fila")</formula>
    </cfRule>
  </conditionalFormatting>
  <conditionalFormatting sqref="B163:G164 J163:K164 M163:P164">
    <cfRule type="expression" dxfId="103" priority="90">
      <formula>ROW()=CELL("fila")</formula>
    </cfRule>
  </conditionalFormatting>
  <conditionalFormatting sqref="B162:G162 J162:K162 M162:P162">
    <cfRule type="expression" dxfId="102" priority="89">
      <formula>ROW()=CELL("fila")</formula>
    </cfRule>
  </conditionalFormatting>
  <conditionalFormatting sqref="B161:G161 J161:K161 M161:P161">
    <cfRule type="expression" dxfId="101" priority="88">
      <formula>ROW()=CELL("fila")</formula>
    </cfRule>
  </conditionalFormatting>
  <conditionalFormatting sqref="B157:G158 J157:K158 M157:P158">
    <cfRule type="expression" dxfId="100" priority="87">
      <formula>ROW()=CELL("fila")</formula>
    </cfRule>
  </conditionalFormatting>
  <conditionalFormatting sqref="B156:G156 J156:K156 M156:P156">
    <cfRule type="expression" dxfId="99" priority="86">
      <formula>ROW()=CELL("fila")</formula>
    </cfRule>
  </conditionalFormatting>
  <conditionalFormatting sqref="B155:G155 J155:K155 M155:P155">
    <cfRule type="expression" dxfId="98" priority="85">
      <formula>ROW()=CELL("fila")</formula>
    </cfRule>
  </conditionalFormatting>
  <conditionalFormatting sqref="B150:G151 J150:K151 M150:P151">
    <cfRule type="expression" dxfId="97" priority="84">
      <formula>ROW()=CELL("fila")</formula>
    </cfRule>
  </conditionalFormatting>
  <conditionalFormatting sqref="B149:G149 J149:K149 M149:P149">
    <cfRule type="expression" dxfId="96" priority="83">
      <formula>ROW()=CELL("fila")</formula>
    </cfRule>
  </conditionalFormatting>
  <conditionalFormatting sqref="B148:G148 J148:K148 M148:P148">
    <cfRule type="expression" dxfId="95" priority="82">
      <formula>ROW()=CELL("fila")</formula>
    </cfRule>
  </conditionalFormatting>
  <conditionalFormatting sqref="B144:G145 J144:K145 M144:P145">
    <cfRule type="expression" dxfId="94" priority="81">
      <formula>ROW()=CELL("fila")</formula>
    </cfRule>
  </conditionalFormatting>
  <conditionalFormatting sqref="B143:G143 J143:K143 M143:P143">
    <cfRule type="expression" dxfId="93" priority="80">
      <formula>ROW()=CELL("fila")</formula>
    </cfRule>
  </conditionalFormatting>
  <conditionalFormatting sqref="B142:G142 J142:K142 M142:P142">
    <cfRule type="expression" dxfId="92" priority="79">
      <formula>ROW()=CELL("fila")</formula>
    </cfRule>
  </conditionalFormatting>
  <conditionalFormatting sqref="B138:G139 J138:K139 M138:P139">
    <cfRule type="expression" dxfId="91" priority="78">
      <formula>ROW()=CELL("fila")</formula>
    </cfRule>
  </conditionalFormatting>
  <conditionalFormatting sqref="B137:G137 J137:K137 M137:P137">
    <cfRule type="expression" dxfId="90" priority="77">
      <formula>ROW()=CELL("fila")</formula>
    </cfRule>
  </conditionalFormatting>
  <conditionalFormatting sqref="B136:G136 J136:K136 M136:P136">
    <cfRule type="expression" dxfId="89" priority="76">
      <formula>ROW()=CELL("fila")</formula>
    </cfRule>
  </conditionalFormatting>
  <conditionalFormatting sqref="B131:G132 J131:K132 M131:P132">
    <cfRule type="expression" dxfId="88" priority="75">
      <formula>ROW()=CELL("fila")</formula>
    </cfRule>
  </conditionalFormatting>
  <conditionalFormatting sqref="B130:G130 J130:K130 M130:P130">
    <cfRule type="expression" dxfId="87" priority="74">
      <formula>ROW()=CELL("fila")</formula>
    </cfRule>
  </conditionalFormatting>
  <conditionalFormatting sqref="B129:G129 J129:K129 M129:P129">
    <cfRule type="expression" dxfId="86" priority="73">
      <formula>ROW()=CELL("fila")</formula>
    </cfRule>
  </conditionalFormatting>
  <conditionalFormatting sqref="B125:G126 J125:K126 M125:P126">
    <cfRule type="expression" dxfId="85" priority="72">
      <formula>ROW()=CELL("fila")</formula>
    </cfRule>
  </conditionalFormatting>
  <conditionalFormatting sqref="B124:G124 J124:K124 M124:P124">
    <cfRule type="expression" dxfId="84" priority="71">
      <formula>ROW()=CELL("fila")</formula>
    </cfRule>
  </conditionalFormatting>
  <conditionalFormatting sqref="B123:G123 J123:K123 M123:P123">
    <cfRule type="expression" dxfId="83" priority="70">
      <formula>ROW()=CELL("fila")</formula>
    </cfRule>
  </conditionalFormatting>
  <conditionalFormatting sqref="B119:G120 J119:K120 M119:P120">
    <cfRule type="expression" dxfId="82" priority="69">
      <formula>ROW()=CELL("fila")</formula>
    </cfRule>
  </conditionalFormatting>
  <conditionalFormatting sqref="B118:G118 J118:K118 M118:P118">
    <cfRule type="expression" dxfId="81" priority="68">
      <formula>ROW()=CELL("fila")</formula>
    </cfRule>
  </conditionalFormatting>
  <conditionalFormatting sqref="B117:G117 J117:K117 M117:P117">
    <cfRule type="expression" dxfId="80" priority="67">
      <formula>ROW()=CELL("fila")</formula>
    </cfRule>
  </conditionalFormatting>
  <conditionalFormatting sqref="B112:G113 J112:P112 J113:K113 M113:P113 L113:L114 L106 L95 L84 L73 L62 L51 L40 L29 L18 L117 L123:L125 L128 L134:L136 L139 L145:L147 L150 L156:L158 L161 L167:L169 L172 L101:L103 L90:L92 L79:L81 L68:L70 L57:L59 L46:L48 L35:L37 L24:L26 L13:L15">
    <cfRule type="expression" dxfId="79" priority="66">
      <formula>ROW()=CELL("fila")</formula>
    </cfRule>
  </conditionalFormatting>
  <conditionalFormatting sqref="B111:G111 J111:K111 M111:P111">
    <cfRule type="expression" dxfId="78" priority="65">
      <formula>ROW()=CELL("fila")</formula>
    </cfRule>
  </conditionalFormatting>
  <conditionalFormatting sqref="B110:G110 J110:K110 M110:P110">
    <cfRule type="expression" dxfId="77" priority="64">
      <formula>ROW()=CELL("fila")</formula>
    </cfRule>
  </conditionalFormatting>
  <conditionalFormatting sqref="B106:G107 J106:K107 M106:P107">
    <cfRule type="expression" dxfId="76" priority="63">
      <formula>ROW()=CELL("fila")</formula>
    </cfRule>
  </conditionalFormatting>
  <conditionalFormatting sqref="B105:G105 J105:K105 M105:P105">
    <cfRule type="expression" dxfId="75" priority="62">
      <formula>ROW()=CELL("fila")</formula>
    </cfRule>
  </conditionalFormatting>
  <conditionalFormatting sqref="B104:G104 J104:K104 M104:P104">
    <cfRule type="expression" dxfId="74" priority="61">
      <formula>ROW()=CELL("fila")</formula>
    </cfRule>
  </conditionalFormatting>
  <conditionalFormatting sqref="B100:G101 J100:K101 M100:P101">
    <cfRule type="expression" dxfId="73" priority="60">
      <formula>ROW()=CELL("fila")</formula>
    </cfRule>
  </conditionalFormatting>
  <conditionalFormatting sqref="B99:G99 J99:K99 M99:P99">
    <cfRule type="expression" dxfId="72" priority="59">
      <formula>ROW()=CELL("fila")</formula>
    </cfRule>
  </conditionalFormatting>
  <conditionalFormatting sqref="B98:G98 J98:K98 M98:P98">
    <cfRule type="expression" dxfId="71" priority="58">
      <formula>ROW()=CELL("fila")</formula>
    </cfRule>
  </conditionalFormatting>
  <conditionalFormatting sqref="B95:G95 J95:K95 M95:P95">
    <cfRule type="expression" dxfId="70" priority="57">
      <formula>ROW()=CELL("fila")</formula>
    </cfRule>
  </conditionalFormatting>
  <conditionalFormatting sqref="B94:G94 J94:K94 M94:P94">
    <cfRule type="expression" dxfId="69" priority="56">
      <formula>ROW()=CELL("fila")</formula>
    </cfRule>
  </conditionalFormatting>
  <conditionalFormatting sqref="B93:G93 J93:K93 M93:P93">
    <cfRule type="expression" dxfId="68" priority="55">
      <formula>ROW()=CELL("fila")</formula>
    </cfRule>
  </conditionalFormatting>
  <conditionalFormatting sqref="B89:G90 J89:K90 M89:P90">
    <cfRule type="expression" dxfId="67" priority="54">
      <formula>ROW()=CELL("fila")</formula>
    </cfRule>
  </conditionalFormatting>
  <conditionalFormatting sqref="B88:G88 J88:K88 M88:P88">
    <cfRule type="expression" dxfId="66" priority="53">
      <formula>ROW()=CELL("fila")</formula>
    </cfRule>
  </conditionalFormatting>
  <conditionalFormatting sqref="B87:G87 J87:K87 M87:P87">
    <cfRule type="expression" dxfId="65" priority="52">
      <formula>ROW()=CELL("fila")</formula>
    </cfRule>
  </conditionalFormatting>
  <conditionalFormatting sqref="B83:G84 J83:K84 M83:P84">
    <cfRule type="expression" dxfId="64" priority="51">
      <formula>ROW()=CELL("fila")</formula>
    </cfRule>
  </conditionalFormatting>
  <conditionalFormatting sqref="B82:G82 J82:K82 M82:P82">
    <cfRule type="expression" dxfId="63" priority="50">
      <formula>ROW()=CELL("fila")</formula>
    </cfRule>
  </conditionalFormatting>
  <conditionalFormatting sqref="B81:G81 J81:K81 M81:P81">
    <cfRule type="expression" dxfId="62" priority="49">
      <formula>ROW()=CELL("fila")</formula>
    </cfRule>
  </conditionalFormatting>
  <conditionalFormatting sqref="B76:G77 J76:K77 M76:P77">
    <cfRule type="expression" dxfId="61" priority="48">
      <formula>ROW()=CELL("fila")</formula>
    </cfRule>
  </conditionalFormatting>
  <conditionalFormatting sqref="B75:G75 J75:K75 M75:P75">
    <cfRule type="expression" dxfId="60" priority="47">
      <formula>ROW()=CELL("fila")</formula>
    </cfRule>
  </conditionalFormatting>
  <conditionalFormatting sqref="B74:G74 J74:K74 M74:P74">
    <cfRule type="expression" dxfId="59" priority="46">
      <formula>ROW()=CELL("fila")</formula>
    </cfRule>
  </conditionalFormatting>
  <conditionalFormatting sqref="B70:G71 J70:K71 M70:P71">
    <cfRule type="expression" dxfId="58" priority="45">
      <formula>ROW()=CELL("fila")</formula>
    </cfRule>
  </conditionalFormatting>
  <conditionalFormatting sqref="B69:G69 J69:K69 M69:P69">
    <cfRule type="expression" dxfId="57" priority="44">
      <formula>ROW()=CELL("fila")</formula>
    </cfRule>
  </conditionalFormatting>
  <conditionalFormatting sqref="B68:G68 J68:K68 M68:P68">
    <cfRule type="expression" dxfId="56" priority="43">
      <formula>ROW()=CELL("fila")</formula>
    </cfRule>
  </conditionalFormatting>
  <conditionalFormatting sqref="B64:G65 J64:K65 M64:P65">
    <cfRule type="expression" dxfId="55" priority="42">
      <formula>ROW()=CELL("fila")</formula>
    </cfRule>
  </conditionalFormatting>
  <conditionalFormatting sqref="B63:G63 J63:K63 M63:P63">
    <cfRule type="expression" dxfId="54" priority="41">
      <formula>ROW()=CELL("fila")</formula>
    </cfRule>
  </conditionalFormatting>
  <conditionalFormatting sqref="B62:G62 J62:K62 M62:P62">
    <cfRule type="expression" dxfId="53" priority="40">
      <formula>ROW()=CELL("fila")</formula>
    </cfRule>
  </conditionalFormatting>
  <conditionalFormatting sqref="B57:G58 J57:K58 M57:P58">
    <cfRule type="expression" dxfId="52" priority="39">
      <formula>ROW()=CELL("fila")</formula>
    </cfRule>
  </conditionalFormatting>
  <conditionalFormatting sqref="B56:G56 J56:K56 M56:P56">
    <cfRule type="expression" dxfId="51" priority="38">
      <formula>ROW()=CELL("fila")</formula>
    </cfRule>
  </conditionalFormatting>
  <conditionalFormatting sqref="B55:G55 J55:K55 M55:P55">
    <cfRule type="expression" dxfId="50" priority="37">
      <formula>ROW()=CELL("fila")</formula>
    </cfRule>
  </conditionalFormatting>
  <conditionalFormatting sqref="B51:G52 J51:K52 M51:P52">
    <cfRule type="expression" dxfId="49" priority="36">
      <formula>ROW()=CELL("fila")</formula>
    </cfRule>
  </conditionalFormatting>
  <conditionalFormatting sqref="B50:G50 J50:K50 M50:P50">
    <cfRule type="expression" dxfId="48" priority="35">
      <formula>ROW()=CELL("fila")</formula>
    </cfRule>
  </conditionalFormatting>
  <conditionalFormatting sqref="B49:G49 J49:K49 M49:P49">
    <cfRule type="expression" dxfId="47" priority="34">
      <formula>ROW()=CELL("fila")</formula>
    </cfRule>
  </conditionalFormatting>
  <conditionalFormatting sqref="B45:G46 J45:K46 M45:P46">
    <cfRule type="expression" dxfId="46" priority="33">
      <formula>ROW()=CELL("fila")</formula>
    </cfRule>
  </conditionalFormatting>
  <conditionalFormatting sqref="B44:G44 J44:K44 M44:P44">
    <cfRule type="expression" dxfId="45" priority="32">
      <formula>ROW()=CELL("fila")</formula>
    </cfRule>
  </conditionalFormatting>
  <conditionalFormatting sqref="B43:G43 J43:K43 M43:P43">
    <cfRule type="expression" dxfId="44" priority="31">
      <formula>ROW()=CELL("fila")</formula>
    </cfRule>
  </conditionalFormatting>
  <conditionalFormatting sqref="B40:G40 J40:K40 M40:P40">
    <cfRule type="expression" dxfId="43" priority="30">
      <formula>ROW()=CELL("fila")</formula>
    </cfRule>
  </conditionalFormatting>
  <conditionalFormatting sqref="B39:G39 J39:K39 M39:P39">
    <cfRule type="expression" dxfId="42" priority="29">
      <formula>ROW()=CELL("fila")</formula>
    </cfRule>
  </conditionalFormatting>
  <conditionalFormatting sqref="B38:G38 J38:K38 M38:P38">
    <cfRule type="expression" dxfId="41" priority="28">
      <formula>ROW()=CELL("fila")</formula>
    </cfRule>
  </conditionalFormatting>
  <conditionalFormatting sqref="B34:G35 J34:K35 M34:P35">
    <cfRule type="expression" dxfId="40" priority="27">
      <formula>ROW()=CELL("fila")</formula>
    </cfRule>
  </conditionalFormatting>
  <conditionalFormatting sqref="B33:G33 J33:K33 M33:P33">
    <cfRule type="expression" dxfId="39" priority="26">
      <formula>ROW()=CELL("fila")</formula>
    </cfRule>
  </conditionalFormatting>
  <conditionalFormatting sqref="B32:G32 J32:K32 M32:P32">
    <cfRule type="expression" dxfId="38" priority="25">
      <formula>ROW()=CELL("fila")</formula>
    </cfRule>
  </conditionalFormatting>
  <conditionalFormatting sqref="B28:G29 J28:K29 M28:P29">
    <cfRule type="expression" dxfId="37" priority="24">
      <formula>ROW()=CELL("fila")</formula>
    </cfRule>
  </conditionalFormatting>
  <conditionalFormatting sqref="B27:G27 J27:K27 M27:P27">
    <cfRule type="expression" dxfId="36" priority="23">
      <formula>ROW()=CELL("fila")</formula>
    </cfRule>
  </conditionalFormatting>
  <conditionalFormatting sqref="B26:G26 J26:K26 M26:P26">
    <cfRule type="expression" dxfId="35" priority="22">
      <formula>ROW()=CELL("fila")</formula>
    </cfRule>
  </conditionalFormatting>
  <conditionalFormatting sqref="B21:G22 J21:K22 M21:P22">
    <cfRule type="expression" dxfId="34" priority="21">
      <formula>ROW()=CELL("fila")</formula>
    </cfRule>
  </conditionalFormatting>
  <conditionalFormatting sqref="B20:G20 J20:K20 M20:P20">
    <cfRule type="expression" dxfId="33" priority="20">
      <formula>ROW()=CELL("fila")</formula>
    </cfRule>
  </conditionalFormatting>
  <conditionalFormatting sqref="B19:G19 J19:K19 M19:P19">
    <cfRule type="expression" dxfId="32" priority="19">
      <formula>ROW()=CELL("fila")</formula>
    </cfRule>
  </conditionalFormatting>
  <conditionalFormatting sqref="B15:G16 J15:K16 M15:P16">
    <cfRule type="expression" dxfId="31" priority="18">
      <formula>ROW()=CELL("fila")</formula>
    </cfRule>
  </conditionalFormatting>
  <conditionalFormatting sqref="B14:G14 J14:K14 M14:P14">
    <cfRule type="expression" dxfId="30" priority="17">
      <formula>ROW()=CELL("fila")</formula>
    </cfRule>
  </conditionalFormatting>
  <conditionalFormatting sqref="B13:G13 J13:K13 M13:P13">
    <cfRule type="expression" dxfId="29" priority="16">
      <formula>ROW()=CELL("fila")</formula>
    </cfRule>
  </conditionalFormatting>
  <conditionalFormatting sqref="B9:G10 J9:K10 M9:P10">
    <cfRule type="expression" dxfId="28" priority="15">
      <formula>ROW()=CELL("fila")</formula>
    </cfRule>
  </conditionalFormatting>
  <conditionalFormatting sqref="B8:G8 J8:K8 M8:P8">
    <cfRule type="expression" dxfId="27" priority="14">
      <formula>ROW()=CELL("fila")</formula>
    </cfRule>
  </conditionalFormatting>
  <conditionalFormatting sqref="B6:G6 J6:P6 L8:L12 L16:L17 L19:L23 L27:L28 L30:L34 L38:L39 L41:L45 L49:L50 L52:L56 L60:L61 L63:L67 L71:L72 L74:L78 L82:L83 L85:L89 L93:L94 L96:L100 L104:L105 L107:L111 L115:L116 L118:L122 L126:L127 L129:L133 L137:L138 L140:L144 L148:L149 L151:L155 L159:L160 L162:L166 L170:L171">
    <cfRule type="expression" dxfId="26" priority="4">
      <formula>ROW()=CELL("fila")</formula>
    </cfRule>
  </conditionalFormatting>
  <conditionalFormatting sqref="AE1">
    <cfRule type="expression" dxfId="25" priority="3">
      <formula>ROW()=CELL("fila")</formula>
    </cfRule>
  </conditionalFormatting>
  <conditionalFormatting sqref="AE2:AE172">
    <cfRule type="expression" dxfId="24" priority="1">
      <formula>ROW()=CELL("fila")</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69BD1-E20D-48D1-A8DE-3AF06E1DB3C1}">
  <sheetPr codeName="Hoja11" filterMode="1">
    <tabColor rgb="FF002060"/>
  </sheetPr>
  <dimension ref="A1:AG166"/>
  <sheetViews>
    <sheetView showGridLines="0" zoomScale="80" zoomScaleNormal="80" workbookViewId="0">
      <pane ySplit="1" topLeftCell="A9" activePane="bottomLeft" state="frozen"/>
      <selection activeCell="O15" activeCellId="1" sqref="B15 O15"/>
      <selection pane="bottomLeft" activeCell="I149" sqref="I149"/>
    </sheetView>
  </sheetViews>
  <sheetFormatPr baseColWidth="10" defaultColWidth="11" defaultRowHeight="15.5"/>
  <cols>
    <col min="1" max="1" width="11" style="44"/>
    <col min="2" max="2" width="12.5" style="44" bestFit="1" customWidth="1"/>
    <col min="3" max="3" width="11" style="44"/>
    <col min="4" max="4" width="12" style="44" bestFit="1" customWidth="1"/>
    <col min="5" max="5" width="9.75" style="44" hidden="1" customWidth="1"/>
    <col min="6" max="6" width="11" style="44" hidden="1" customWidth="1"/>
    <col min="7" max="8" width="11.5" style="44" hidden="1" customWidth="1"/>
    <col min="9" max="9" width="11.5" style="44" customWidth="1"/>
    <col min="10" max="10" width="13.5" style="44" bestFit="1" customWidth="1"/>
    <col min="11" max="11" width="11" style="44"/>
    <col min="12" max="12" width="8.08203125" style="44" bestFit="1" customWidth="1"/>
    <col min="13" max="13" width="8.5" style="44" bestFit="1" customWidth="1"/>
    <col min="14" max="14" width="11.5" style="44" customWidth="1"/>
    <col min="15" max="16" width="11" style="44"/>
    <col min="17" max="17" width="8.83203125" style="44" bestFit="1" customWidth="1"/>
    <col min="18" max="18" width="11" style="44" customWidth="1"/>
    <col min="19" max="19" width="10.75" style="44" customWidth="1"/>
    <col min="20" max="20" width="14.83203125" style="44" bestFit="1" customWidth="1"/>
    <col min="21" max="21" width="10.5" style="44" bestFit="1" customWidth="1"/>
    <col min="22" max="22" width="11" style="44" customWidth="1"/>
    <col min="23" max="24" width="11" style="44"/>
    <col min="25" max="25" width="15.58203125" style="44" bestFit="1" customWidth="1"/>
    <col min="26" max="26" width="12.5" style="49" hidden="1" customWidth="1"/>
    <col min="27" max="27" width="14.5" style="44" hidden="1" customWidth="1"/>
    <col min="28" max="28" width="12.33203125" style="44" customWidth="1"/>
    <col min="29" max="29" width="11.33203125" style="44" bestFit="1" customWidth="1"/>
    <col min="30" max="31" width="11" style="44"/>
    <col min="32" max="32" width="12" style="44" bestFit="1" customWidth="1"/>
    <col min="33" max="33" width="13.08203125" style="44" bestFit="1" customWidth="1"/>
    <col min="34" max="16384" width="11" style="44"/>
  </cols>
  <sheetData>
    <row r="1" spans="1:33" ht="20">
      <c r="A1" s="63" t="s">
        <v>0</v>
      </c>
      <c r="B1" s="63" t="s">
        <v>5</v>
      </c>
      <c r="C1" s="63" t="s">
        <v>9</v>
      </c>
      <c r="D1" s="64" t="s">
        <v>8</v>
      </c>
      <c r="E1" s="64" t="s">
        <v>47</v>
      </c>
      <c r="F1" s="64" t="s">
        <v>30</v>
      </c>
      <c r="G1" s="64" t="s">
        <v>31</v>
      </c>
      <c r="H1" s="64" t="s">
        <v>6</v>
      </c>
      <c r="I1" s="64" t="s">
        <v>53</v>
      </c>
      <c r="J1" s="64" t="s">
        <v>7</v>
      </c>
      <c r="K1" s="64" t="s">
        <v>1</v>
      </c>
      <c r="L1" s="64" t="s">
        <v>25</v>
      </c>
      <c r="M1" s="64" t="s">
        <v>26</v>
      </c>
      <c r="N1" s="64" t="s">
        <v>2</v>
      </c>
      <c r="O1" s="64" t="s">
        <v>16</v>
      </c>
      <c r="P1" s="120" t="s">
        <v>182</v>
      </c>
      <c r="Q1" s="65" t="s">
        <v>14</v>
      </c>
      <c r="R1" s="65" t="s">
        <v>23</v>
      </c>
      <c r="S1" s="65" t="s">
        <v>58</v>
      </c>
      <c r="T1" s="65" t="s">
        <v>27</v>
      </c>
      <c r="U1" s="65" t="s">
        <v>13</v>
      </c>
      <c r="V1" s="65" t="s">
        <v>22</v>
      </c>
      <c r="W1" s="65" t="s">
        <v>12</v>
      </c>
      <c r="X1" s="65" t="s">
        <v>20</v>
      </c>
      <c r="Y1" s="65" t="s">
        <v>3</v>
      </c>
      <c r="Z1" s="65" t="s">
        <v>113</v>
      </c>
      <c r="AA1" s="65" t="s">
        <v>21</v>
      </c>
      <c r="AB1" s="65" t="s">
        <v>17</v>
      </c>
      <c r="AC1" s="65" t="s">
        <v>19</v>
      </c>
      <c r="AD1" s="65" t="s">
        <v>18</v>
      </c>
      <c r="AE1" s="219" t="s">
        <v>255</v>
      </c>
    </row>
    <row r="2" spans="1:33" hidden="1">
      <c r="A2" s="66" t="s">
        <v>171</v>
      </c>
      <c r="B2" s="66">
        <v>102</v>
      </c>
      <c r="C2" s="67" t="s">
        <v>131</v>
      </c>
      <c r="D2" s="67" t="s">
        <v>194</v>
      </c>
      <c r="E2" s="67"/>
      <c r="F2" s="66">
        <v>48.16</v>
      </c>
      <c r="G2" s="66">
        <v>12.72</v>
      </c>
      <c r="H2" s="67">
        <f t="shared" ref="H2:H33" si="0">F2+G2/2</f>
        <v>54.519999999999996</v>
      </c>
      <c r="I2" s="68">
        <f t="shared" ref="I2:I33" si="1">F2+G2</f>
        <v>60.879999999999995</v>
      </c>
      <c r="J2" s="69">
        <v>3890</v>
      </c>
      <c r="K2" s="70">
        <v>0</v>
      </c>
      <c r="L2" s="71">
        <v>400</v>
      </c>
      <c r="M2" s="71">
        <v>160</v>
      </c>
      <c r="N2" s="72">
        <f t="shared" ref="N2:N33" si="2">O2-R2</f>
        <v>3782.5</v>
      </c>
      <c r="O2" s="73">
        <f t="shared" ref="O2:O33" si="3">J2*(100%-K2)+L2+M2</f>
        <v>4450</v>
      </c>
      <c r="P2" s="121">
        <f t="shared" ref="P2:P33" si="4">(N2-L2-M2)/H2</f>
        <v>59.106749816581079</v>
      </c>
      <c r="Q2" s="74">
        <f t="shared" ref="Q2:Q33" si="5">R2/O2</f>
        <v>0.15</v>
      </c>
      <c r="R2" s="75">
        <f t="shared" ref="R2:R33" si="6">O2*0.15</f>
        <v>667.5</v>
      </c>
      <c r="S2" s="74">
        <v>0.8</v>
      </c>
      <c r="T2" s="75">
        <f t="shared" ref="T2:T33" si="7">S2*O2</f>
        <v>3560</v>
      </c>
      <c r="U2" s="76">
        <f t="shared" ref="U2:U33" si="8">100%-S2-Q2</f>
        <v>4.9999999999999961E-2</v>
      </c>
      <c r="V2" s="69">
        <f t="shared" ref="V2:V33" si="9">O2*U2</f>
        <v>222.49999999999983</v>
      </c>
      <c r="W2" s="77">
        <f ca="1">V2*VLOOKUP(TODAY(),'UF HOY'!$A$2:$B$36,2,0)</f>
        <v>8840801.6499999929</v>
      </c>
      <c r="X2" s="78">
        <f>Datos!$E$3</f>
        <v>15</v>
      </c>
      <c r="Y2" s="79">
        <f ca="1">IF((W2-1000000-Datos!$N$3)/X2&gt;0,(W2-1000000-Datos!$N$3)/X2,0)</f>
        <v>516053.44333333283</v>
      </c>
      <c r="Z2" s="78">
        <f>Datos!$G$3</f>
        <v>15</v>
      </c>
      <c r="AA2" s="79">
        <f ca="1">IF((W2-1000000-Datos!$N$3)/Z2&gt;0,(W2-1000000-Datos!$N$3)/Z2,0)</f>
        <v>516053.44333333283</v>
      </c>
      <c r="AB2" s="79">
        <f>IF(L2&gt;0,VLOOKUP(D2,Datos!$H$30:$J$33,3,0),VLOOKUP(D2,Datos!$H$30:$J$33,2,0))</f>
        <v>490000</v>
      </c>
      <c r="AC2" s="79">
        <f ca="1">(S2*PMT(Datos!$D$15,Datos!$D$13,-O2,,)*VLOOKUP(TODAY(),'UF HOY'!$A$2:$B$36,2,0)/12)</f>
        <v>681685.91445404908</v>
      </c>
      <c r="AD2" s="79">
        <f t="shared" ref="AD2:AD33" ca="1" si="10">AB2-AC2</f>
        <v>-191685.91445404908</v>
      </c>
      <c r="AE2" s="220">
        <f t="shared" ref="AE2:AE33" ca="1" si="11">AC2/0.25</f>
        <v>2726743.6578161963</v>
      </c>
      <c r="AF2" s="45"/>
      <c r="AG2" s="45"/>
    </row>
    <row r="3" spans="1:33" hidden="1">
      <c r="A3" s="66" t="s">
        <v>171</v>
      </c>
      <c r="B3" s="66">
        <v>103</v>
      </c>
      <c r="C3" s="67" t="s">
        <v>131</v>
      </c>
      <c r="D3" s="67" t="s">
        <v>195</v>
      </c>
      <c r="E3" s="67"/>
      <c r="F3" s="66">
        <v>32.520000000000003</v>
      </c>
      <c r="G3" s="66">
        <v>8.35</v>
      </c>
      <c r="H3" s="67">
        <f t="shared" si="0"/>
        <v>36.695</v>
      </c>
      <c r="I3" s="68">
        <f t="shared" si="1"/>
        <v>40.870000000000005</v>
      </c>
      <c r="J3" s="69">
        <v>2910</v>
      </c>
      <c r="K3" s="70">
        <v>0</v>
      </c>
      <c r="L3" s="71">
        <v>0</v>
      </c>
      <c r="M3" s="71">
        <v>0</v>
      </c>
      <c r="N3" s="72">
        <f t="shared" si="2"/>
        <v>2473.5</v>
      </c>
      <c r="O3" s="73">
        <f t="shared" si="3"/>
        <v>2910</v>
      </c>
      <c r="P3" s="121">
        <f t="shared" si="4"/>
        <v>67.407003678975343</v>
      </c>
      <c r="Q3" s="74">
        <f t="shared" si="5"/>
        <v>0.15</v>
      </c>
      <c r="R3" s="75">
        <f t="shared" si="6"/>
        <v>436.5</v>
      </c>
      <c r="S3" s="74">
        <v>0.8</v>
      </c>
      <c r="T3" s="75">
        <f t="shared" si="7"/>
        <v>2328</v>
      </c>
      <c r="U3" s="76">
        <f t="shared" si="8"/>
        <v>4.9999999999999961E-2</v>
      </c>
      <c r="V3" s="69">
        <f t="shared" si="9"/>
        <v>145.49999999999989</v>
      </c>
      <c r="W3" s="77">
        <f ca="1">V3*VLOOKUP(TODAY(),'UF HOY'!$A$2:$B$36,2,0)</f>
        <v>5781288.2699999958</v>
      </c>
      <c r="X3" s="78">
        <f>Datos!$E$3</f>
        <v>15</v>
      </c>
      <c r="Y3" s="79">
        <f ca="1">IF((W3-1000000-Datos!$N$3)/X3&gt;0,(W3-1000000-Datos!$N$3)/X3,0)</f>
        <v>312085.88466666639</v>
      </c>
      <c r="Z3" s="78">
        <f>Datos!$G$3</f>
        <v>15</v>
      </c>
      <c r="AA3" s="79">
        <f ca="1">IF((W3-1000000-Datos!$N$3)/Z3&gt;0,(W3-1000000-Datos!$N$3)/Z3,0)</f>
        <v>312085.88466666639</v>
      </c>
      <c r="AB3" s="79">
        <f>IF(L3&gt;0,VLOOKUP(D3,Datos!$H$30:$J$33,3,0),VLOOKUP(D3,Datos!$H$30:$J$33,2,0))</f>
        <v>350000</v>
      </c>
      <c r="AC3" s="79">
        <f ca="1">(S3*PMT(Datos!$D$15,Datos!$D$13,-O3,,)*VLOOKUP(TODAY(),'UF HOY'!$A$2:$B$36,2,0)/12)</f>
        <v>445776.63169916457</v>
      </c>
      <c r="AD3" s="79">
        <f t="shared" ca="1" si="10"/>
        <v>-95776.631699164573</v>
      </c>
      <c r="AE3" s="220">
        <f t="shared" ca="1" si="11"/>
        <v>1783106.5267966583</v>
      </c>
      <c r="AF3" s="45"/>
    </row>
    <row r="4" spans="1:33" hidden="1">
      <c r="A4" s="66" t="s">
        <v>171</v>
      </c>
      <c r="B4" s="66">
        <v>104</v>
      </c>
      <c r="C4" s="67" t="s">
        <v>123</v>
      </c>
      <c r="D4" s="67" t="s">
        <v>195</v>
      </c>
      <c r="E4" s="67"/>
      <c r="F4" s="66">
        <v>36.549999999999997</v>
      </c>
      <c r="G4" s="66">
        <v>4.92</v>
      </c>
      <c r="H4" s="67">
        <f t="shared" si="0"/>
        <v>39.01</v>
      </c>
      <c r="I4" s="68">
        <f t="shared" si="1"/>
        <v>41.47</v>
      </c>
      <c r="J4" s="69">
        <v>3090</v>
      </c>
      <c r="K4" s="70">
        <v>0</v>
      </c>
      <c r="L4" s="71">
        <v>0</v>
      </c>
      <c r="M4" s="71">
        <v>0</v>
      </c>
      <c r="N4" s="72">
        <f t="shared" si="2"/>
        <v>2626.5</v>
      </c>
      <c r="O4" s="73">
        <f t="shared" si="3"/>
        <v>3090</v>
      </c>
      <c r="P4" s="121">
        <f t="shared" si="4"/>
        <v>67.328890028197904</v>
      </c>
      <c r="Q4" s="74">
        <f t="shared" si="5"/>
        <v>0.15</v>
      </c>
      <c r="R4" s="75">
        <f t="shared" si="6"/>
        <v>463.5</v>
      </c>
      <c r="S4" s="74">
        <v>0.8</v>
      </c>
      <c r="T4" s="75">
        <f t="shared" si="7"/>
        <v>2472</v>
      </c>
      <c r="U4" s="76">
        <f t="shared" si="8"/>
        <v>4.9999999999999961E-2</v>
      </c>
      <c r="V4" s="69">
        <f t="shared" si="9"/>
        <v>154.49999999999989</v>
      </c>
      <c r="W4" s="77">
        <f ca="1">V4*VLOOKUP(TODAY(),'UF HOY'!$A$2:$B$36,2,0)</f>
        <v>6138893.7299999958</v>
      </c>
      <c r="X4" s="78">
        <f>Datos!$E$3</f>
        <v>15</v>
      </c>
      <c r="Y4" s="79">
        <f ca="1">IF((W4-1000000-Datos!$N$3)/X4&gt;0,(W4-1000000-Datos!$N$3)/X4,0)</f>
        <v>335926.24866666639</v>
      </c>
      <c r="Z4" s="78">
        <f>Datos!$G$3</f>
        <v>15</v>
      </c>
      <c r="AA4" s="79">
        <f ca="1">IF((W4-1000000-Datos!$N$3)/Z4&gt;0,(W4-1000000-Datos!$N$3)/Z4,0)</f>
        <v>335926.24866666639</v>
      </c>
      <c r="AB4" s="79">
        <f>IF(L4&gt;0,VLOOKUP(D4,Datos!$H$30:$J$33,3,0),VLOOKUP(D4,Datos!$H$30:$J$33,2,0))</f>
        <v>350000</v>
      </c>
      <c r="AC4" s="79">
        <f ca="1">(S4*PMT(Datos!$D$15,Datos!$D$13,-O4,,)*VLOOKUP(TODAY(),'UF HOY'!$A$2:$B$36,2,0)/12)</f>
        <v>473350.44396921614</v>
      </c>
      <c r="AD4" s="79">
        <f t="shared" ca="1" si="10"/>
        <v>-123350.44396921614</v>
      </c>
      <c r="AE4" s="220">
        <f t="shared" ca="1" si="11"/>
        <v>1893401.7758768646</v>
      </c>
      <c r="AF4" s="45"/>
    </row>
    <row r="5" spans="1:33" hidden="1">
      <c r="A5" s="66" t="s">
        <v>171</v>
      </c>
      <c r="B5" s="66">
        <v>105</v>
      </c>
      <c r="C5" s="67" t="s">
        <v>124</v>
      </c>
      <c r="D5" s="67" t="s">
        <v>195</v>
      </c>
      <c r="E5" s="67"/>
      <c r="F5" s="66">
        <v>36.549999999999997</v>
      </c>
      <c r="G5" s="66">
        <v>5.48</v>
      </c>
      <c r="H5" s="67">
        <f t="shared" si="0"/>
        <v>39.29</v>
      </c>
      <c r="I5" s="68">
        <f t="shared" si="1"/>
        <v>42.03</v>
      </c>
      <c r="J5" s="69">
        <v>3090</v>
      </c>
      <c r="K5" s="70">
        <v>0</v>
      </c>
      <c r="L5" s="71">
        <v>0</v>
      </c>
      <c r="M5" s="71">
        <v>0</v>
      </c>
      <c r="N5" s="72">
        <f t="shared" si="2"/>
        <v>2626.5</v>
      </c>
      <c r="O5" s="73">
        <f t="shared" si="3"/>
        <v>3090</v>
      </c>
      <c r="P5" s="121">
        <f t="shared" si="4"/>
        <v>66.849071010435225</v>
      </c>
      <c r="Q5" s="74">
        <f t="shared" si="5"/>
        <v>0.15</v>
      </c>
      <c r="R5" s="75">
        <f t="shared" si="6"/>
        <v>463.5</v>
      </c>
      <c r="S5" s="74">
        <v>0.8</v>
      </c>
      <c r="T5" s="75">
        <f t="shared" si="7"/>
        <v>2472</v>
      </c>
      <c r="U5" s="76">
        <f t="shared" si="8"/>
        <v>4.9999999999999961E-2</v>
      </c>
      <c r="V5" s="69">
        <f t="shared" si="9"/>
        <v>154.49999999999989</v>
      </c>
      <c r="W5" s="77">
        <f ca="1">V5*VLOOKUP(TODAY(),'UF HOY'!$A$2:$B$36,2,0)</f>
        <v>6138893.7299999958</v>
      </c>
      <c r="X5" s="78">
        <f>Datos!$E$3</f>
        <v>15</v>
      </c>
      <c r="Y5" s="79">
        <f ca="1">IF((W5-1000000-Datos!$N$3)/X5&gt;0,(W5-1000000-Datos!$N$3)/X5,0)</f>
        <v>335926.24866666639</v>
      </c>
      <c r="Z5" s="78">
        <f>Datos!$G$3</f>
        <v>15</v>
      </c>
      <c r="AA5" s="79">
        <f ca="1">IF((W5-1000000-Datos!$N$3)/Z5&gt;0,(W5-1000000-Datos!$N$3)/Z5,0)</f>
        <v>335926.24866666639</v>
      </c>
      <c r="AB5" s="79">
        <f>IF(L5&gt;0,VLOOKUP(D5,Datos!$H$30:$J$33,3,0),VLOOKUP(D5,Datos!$H$30:$J$33,2,0))</f>
        <v>350000</v>
      </c>
      <c r="AC5" s="79">
        <f ca="1">(S5*PMT(Datos!$D$15,Datos!$D$13,-O5,,)*VLOOKUP(TODAY(),'UF HOY'!$A$2:$B$36,2,0)/12)</f>
        <v>473350.44396921614</v>
      </c>
      <c r="AD5" s="79">
        <f t="shared" ca="1" si="10"/>
        <v>-123350.44396921614</v>
      </c>
      <c r="AE5" s="220">
        <f t="shared" ca="1" si="11"/>
        <v>1893401.7758768646</v>
      </c>
      <c r="AF5" s="45"/>
    </row>
    <row r="6" spans="1:33" hidden="1">
      <c r="A6" s="66" t="s">
        <v>171</v>
      </c>
      <c r="B6" s="66">
        <v>106</v>
      </c>
      <c r="C6" s="67" t="s">
        <v>103</v>
      </c>
      <c r="D6" s="67" t="s">
        <v>195</v>
      </c>
      <c r="E6" s="67"/>
      <c r="F6" s="66">
        <v>32.520000000000003</v>
      </c>
      <c r="G6" s="66">
        <v>9.6</v>
      </c>
      <c r="H6" s="67">
        <f t="shared" si="0"/>
        <v>37.32</v>
      </c>
      <c r="I6" s="68">
        <f t="shared" si="1"/>
        <v>42.120000000000005</v>
      </c>
      <c r="J6" s="69">
        <v>2950</v>
      </c>
      <c r="K6" s="70">
        <v>0</v>
      </c>
      <c r="L6" s="71">
        <v>0</v>
      </c>
      <c r="M6" s="71">
        <v>0</v>
      </c>
      <c r="N6" s="69">
        <f t="shared" si="2"/>
        <v>2507.5</v>
      </c>
      <c r="O6" s="73">
        <f t="shared" si="3"/>
        <v>2950</v>
      </c>
      <c r="P6" s="121">
        <f t="shared" si="4"/>
        <v>67.189174705251872</v>
      </c>
      <c r="Q6" s="74">
        <f t="shared" si="5"/>
        <v>0.15</v>
      </c>
      <c r="R6" s="75">
        <f t="shared" si="6"/>
        <v>442.5</v>
      </c>
      <c r="S6" s="74">
        <v>0.8</v>
      </c>
      <c r="T6" s="87">
        <f t="shared" si="7"/>
        <v>2360</v>
      </c>
      <c r="U6" s="88">
        <f t="shared" si="8"/>
        <v>4.9999999999999961E-2</v>
      </c>
      <c r="V6" s="69">
        <f t="shared" si="9"/>
        <v>147.49999999999989</v>
      </c>
      <c r="W6" s="89">
        <f ca="1">V6*VLOOKUP(TODAY(),'UF HOY'!$A$2:$B$36,2,0)</f>
        <v>5860756.1499999957</v>
      </c>
      <c r="X6" s="78">
        <f>Datos!$E$3</f>
        <v>15</v>
      </c>
      <c r="Y6" s="79">
        <f ca="1">IF((W6-1000000-Datos!$N$3)/X6&gt;0,(W6-1000000-Datos!$N$3)/X6,0)</f>
        <v>317383.74333333306</v>
      </c>
      <c r="Z6" s="78">
        <f>Datos!$G$3</f>
        <v>15</v>
      </c>
      <c r="AA6" s="79">
        <f ca="1">IF((W6-1000000-Datos!$N$3)/Z6&gt;0,(W6-1000000-Datos!$N$3)/Z6,0)</f>
        <v>317383.74333333306</v>
      </c>
      <c r="AB6" s="79">
        <f>IF(L6&gt;0,VLOOKUP(D6,Datos!$H$30:$J$33,3,0),VLOOKUP(D6,Datos!$H$30:$J$33,2,0))</f>
        <v>350000</v>
      </c>
      <c r="AC6" s="79">
        <f ca="1">(S6*PMT(Datos!$D$15,Datos!$D$13,-O6,,)*VLOOKUP(TODAY(),'UF HOY'!$A$2:$B$36,2,0)/12)</f>
        <v>451904.14553695387</v>
      </c>
      <c r="AD6" s="89">
        <f t="shared" ca="1" si="10"/>
        <v>-101904.14553695387</v>
      </c>
      <c r="AE6" s="220">
        <f t="shared" ca="1" si="11"/>
        <v>1807616.5821478155</v>
      </c>
      <c r="AF6" s="45"/>
    </row>
    <row r="7" spans="1:33" hidden="1">
      <c r="A7" s="66" t="s">
        <v>171</v>
      </c>
      <c r="B7" s="66">
        <v>107</v>
      </c>
      <c r="C7" s="67" t="s">
        <v>103</v>
      </c>
      <c r="D7" s="67" t="s">
        <v>196</v>
      </c>
      <c r="E7" s="67"/>
      <c r="F7" s="66">
        <v>42.9</v>
      </c>
      <c r="G7" s="66">
        <v>11.95</v>
      </c>
      <c r="H7" s="67">
        <f t="shared" si="0"/>
        <v>48.875</v>
      </c>
      <c r="I7" s="68">
        <f t="shared" si="1"/>
        <v>54.849999999999994</v>
      </c>
      <c r="J7" s="69">
        <v>3660</v>
      </c>
      <c r="K7" s="70">
        <v>0</v>
      </c>
      <c r="L7" s="71">
        <v>400</v>
      </c>
      <c r="M7" s="71">
        <v>120</v>
      </c>
      <c r="N7" s="72">
        <f t="shared" si="2"/>
        <v>3553</v>
      </c>
      <c r="O7" s="73">
        <f t="shared" si="3"/>
        <v>4180</v>
      </c>
      <c r="P7" s="121">
        <f t="shared" si="4"/>
        <v>62.056265984654729</v>
      </c>
      <c r="Q7" s="74">
        <f t="shared" si="5"/>
        <v>0.15</v>
      </c>
      <c r="R7" s="75">
        <f t="shared" si="6"/>
        <v>627</v>
      </c>
      <c r="S7" s="74">
        <v>0.8</v>
      </c>
      <c r="T7" s="75">
        <f t="shared" si="7"/>
        <v>3344</v>
      </c>
      <c r="U7" s="76">
        <f t="shared" si="8"/>
        <v>4.9999999999999961E-2</v>
      </c>
      <c r="V7" s="69">
        <f t="shared" si="9"/>
        <v>208.99999999999983</v>
      </c>
      <c r="W7" s="77">
        <f ca="1">V7*VLOOKUP(TODAY(),'UF HOY'!$A$2:$B$36,2,0)</f>
        <v>8304393.4599999934</v>
      </c>
      <c r="X7" s="78">
        <f>Datos!$E$3</f>
        <v>15</v>
      </c>
      <c r="Y7" s="79">
        <f ca="1">IF((W7-1000000-Datos!$N$3)/X7&gt;0,(W7-1000000-Datos!$N$3)/X7,0)</f>
        <v>480292.89733333292</v>
      </c>
      <c r="Z7" s="78">
        <f>Datos!$G$3</f>
        <v>15</v>
      </c>
      <c r="AA7" s="79">
        <f ca="1">IF((W7-1000000-Datos!$N$3)/Z7&gt;0,(W7-1000000-Datos!$N$3)/Z7,0)</f>
        <v>480292.89733333292</v>
      </c>
      <c r="AB7" s="79">
        <f>IF(L7&gt;0,VLOOKUP(D7,Datos!$H$30:$J$33,3,0),VLOOKUP(D7,Datos!$H$30:$J$33,2,0))</f>
        <v>440000</v>
      </c>
      <c r="AC7" s="79">
        <f ca="1">(S7*PMT(Datos!$D$15,Datos!$D$13,-O7,,)*VLOOKUP(TODAY(),'UF HOY'!$A$2:$B$36,2,0)/12)</f>
        <v>640325.19604897185</v>
      </c>
      <c r="AD7" s="79">
        <f t="shared" ca="1" si="10"/>
        <v>-200325.19604897185</v>
      </c>
      <c r="AE7" s="220">
        <f t="shared" ca="1" si="11"/>
        <v>2561300.7841958874</v>
      </c>
      <c r="AF7" s="45"/>
    </row>
    <row r="8" spans="1:33" hidden="1">
      <c r="A8" s="66" t="s">
        <v>171</v>
      </c>
      <c r="B8" s="66">
        <v>109</v>
      </c>
      <c r="C8" s="67" t="s">
        <v>103</v>
      </c>
      <c r="D8" s="67" t="s">
        <v>196</v>
      </c>
      <c r="E8" s="67"/>
      <c r="F8" s="66">
        <v>42.9</v>
      </c>
      <c r="G8" s="66">
        <v>12.54</v>
      </c>
      <c r="H8" s="67">
        <f t="shared" si="0"/>
        <v>49.17</v>
      </c>
      <c r="I8" s="68">
        <f t="shared" si="1"/>
        <v>55.44</v>
      </c>
      <c r="J8" s="69">
        <v>3660</v>
      </c>
      <c r="K8" s="70">
        <v>0</v>
      </c>
      <c r="L8" s="71">
        <v>400</v>
      </c>
      <c r="M8" s="71">
        <v>140</v>
      </c>
      <c r="N8" s="72">
        <f t="shared" si="2"/>
        <v>3570</v>
      </c>
      <c r="O8" s="73">
        <f t="shared" si="3"/>
        <v>4200</v>
      </c>
      <c r="P8" s="121">
        <f t="shared" si="4"/>
        <v>61.622940817571688</v>
      </c>
      <c r="Q8" s="74">
        <f t="shared" si="5"/>
        <v>0.15</v>
      </c>
      <c r="R8" s="75">
        <f t="shared" si="6"/>
        <v>630</v>
      </c>
      <c r="S8" s="74">
        <v>0.8</v>
      </c>
      <c r="T8" s="75">
        <f t="shared" si="7"/>
        <v>3360</v>
      </c>
      <c r="U8" s="76">
        <f t="shared" si="8"/>
        <v>4.9999999999999961E-2</v>
      </c>
      <c r="V8" s="69">
        <f t="shared" si="9"/>
        <v>209.99999999999983</v>
      </c>
      <c r="W8" s="77">
        <f ca="1">V8*VLOOKUP(TODAY(),'UF HOY'!$A$2:$B$36,2,0)</f>
        <v>8344127.3999999939</v>
      </c>
      <c r="X8" s="78">
        <f>Datos!$E$3</f>
        <v>15</v>
      </c>
      <c r="Y8" s="79">
        <f ca="1">IF((W8-1000000-Datos!$N$3)/X8&gt;0,(W8-1000000-Datos!$N$3)/X8,0)</f>
        <v>482941.82666666625</v>
      </c>
      <c r="Z8" s="78">
        <f>Datos!$G$3</f>
        <v>15</v>
      </c>
      <c r="AA8" s="79">
        <f ca="1">IF((W8-1000000-Datos!$N$3)/Z8&gt;0,(W8-1000000-Datos!$N$3)/Z8,0)</f>
        <v>482941.82666666625</v>
      </c>
      <c r="AB8" s="79">
        <f>IF(L8&gt;0,VLOOKUP(D8,Datos!$H$30:$J$33,3,0),VLOOKUP(D8,Datos!$H$30:$J$33,2,0))</f>
        <v>440000</v>
      </c>
      <c r="AC8" s="79">
        <f ca="1">(S8*PMT(Datos!$D$15,Datos!$D$13,-O8,,)*VLOOKUP(TODAY(),'UF HOY'!$A$2:$B$36,2,0)/12)</f>
        <v>643388.95296786656</v>
      </c>
      <c r="AD8" s="79">
        <f t="shared" ca="1" si="10"/>
        <v>-203388.95296786656</v>
      </c>
      <c r="AE8" s="220">
        <f t="shared" ca="1" si="11"/>
        <v>2573555.8118714662</v>
      </c>
      <c r="AF8" s="45"/>
    </row>
    <row r="9" spans="1:33">
      <c r="A9" s="66" t="s">
        <v>4</v>
      </c>
      <c r="B9" s="66">
        <v>201</v>
      </c>
      <c r="C9" s="67" t="s">
        <v>131</v>
      </c>
      <c r="D9" s="67" t="s">
        <v>196</v>
      </c>
      <c r="E9" s="67"/>
      <c r="F9" s="66">
        <v>46.09</v>
      </c>
      <c r="G9" s="66">
        <v>4.8899999999999997</v>
      </c>
      <c r="H9" s="67">
        <f t="shared" si="0"/>
        <v>48.535000000000004</v>
      </c>
      <c r="I9" s="68">
        <f t="shared" si="1"/>
        <v>50.980000000000004</v>
      </c>
      <c r="J9" s="69">
        <v>3620</v>
      </c>
      <c r="K9" s="70">
        <v>0</v>
      </c>
      <c r="L9" s="71">
        <v>400</v>
      </c>
      <c r="M9" s="71">
        <v>160</v>
      </c>
      <c r="N9" s="72">
        <f t="shared" si="2"/>
        <v>3553</v>
      </c>
      <c r="O9" s="73">
        <f t="shared" si="3"/>
        <v>4180</v>
      </c>
      <c r="P9" s="121">
        <f t="shared" si="4"/>
        <v>61.666838364067161</v>
      </c>
      <c r="Q9" s="74">
        <f t="shared" si="5"/>
        <v>0.15</v>
      </c>
      <c r="R9" s="75">
        <f t="shared" si="6"/>
        <v>627</v>
      </c>
      <c r="S9" s="74">
        <v>0.8</v>
      </c>
      <c r="T9" s="75">
        <f t="shared" si="7"/>
        <v>3344</v>
      </c>
      <c r="U9" s="76">
        <f t="shared" si="8"/>
        <v>4.9999999999999961E-2</v>
      </c>
      <c r="V9" s="69">
        <f t="shared" si="9"/>
        <v>208.99999999999983</v>
      </c>
      <c r="W9" s="77">
        <f ca="1">V9*VLOOKUP(TODAY(),'UF HOY'!$A$2:$B$36,2,0)</f>
        <v>8304393.4599999934</v>
      </c>
      <c r="X9" s="78">
        <f>Datos!$E$3</f>
        <v>15</v>
      </c>
      <c r="Y9" s="79">
        <f ca="1">IF((W9-1000000-Datos!$N$3)/X9&gt;0,(W9-1000000-Datos!$N$3)/X9,0)</f>
        <v>480292.89733333292</v>
      </c>
      <c r="Z9" s="78">
        <f>Datos!$G$3</f>
        <v>15</v>
      </c>
      <c r="AA9" s="79">
        <f ca="1">IF((W9-1000000-Datos!$N$3)/Z9&gt;0,(W9-1000000-Datos!$N$3)/Z9,0)</f>
        <v>480292.89733333292</v>
      </c>
      <c r="AB9" s="79">
        <f>IF(L9&gt;0,VLOOKUP(D9,Datos!$H$30:$J$33,3,0),VLOOKUP(D9,Datos!$H$30:$J$33,2,0))</f>
        <v>440000</v>
      </c>
      <c r="AC9" s="79">
        <f ca="1">(S9*PMT(Datos!$D$15,Datos!$D$13,-O9,,)*VLOOKUP(TODAY(),'UF HOY'!$A$2:$B$36,2,0)/12)</f>
        <v>640325.19604897185</v>
      </c>
      <c r="AD9" s="79">
        <f t="shared" ca="1" si="10"/>
        <v>-200325.19604897185</v>
      </c>
      <c r="AE9" s="220">
        <f t="shared" ca="1" si="11"/>
        <v>2561300.7841958874</v>
      </c>
      <c r="AF9" s="45"/>
    </row>
    <row r="10" spans="1:33" hidden="1">
      <c r="A10" s="66" t="s">
        <v>171</v>
      </c>
      <c r="B10" s="66">
        <v>114</v>
      </c>
      <c r="C10" s="67" t="s">
        <v>122</v>
      </c>
      <c r="D10" s="67" t="s">
        <v>195</v>
      </c>
      <c r="E10" s="67"/>
      <c r="F10" s="66">
        <v>36.56</v>
      </c>
      <c r="G10" s="66">
        <v>4.9800000000000004</v>
      </c>
      <c r="H10" s="67">
        <f t="shared" si="0"/>
        <v>39.050000000000004</v>
      </c>
      <c r="I10" s="68">
        <f t="shared" si="1"/>
        <v>41.540000000000006</v>
      </c>
      <c r="J10" s="69">
        <v>3040</v>
      </c>
      <c r="K10" s="70">
        <v>0</v>
      </c>
      <c r="L10" s="71">
        <v>0</v>
      </c>
      <c r="M10" s="71">
        <v>0</v>
      </c>
      <c r="N10" s="72">
        <f t="shared" si="2"/>
        <v>2584</v>
      </c>
      <c r="O10" s="73">
        <f t="shared" si="3"/>
        <v>3040</v>
      </c>
      <c r="P10" s="121">
        <f t="shared" si="4"/>
        <v>66.171574903969258</v>
      </c>
      <c r="Q10" s="74">
        <f t="shared" si="5"/>
        <v>0.15</v>
      </c>
      <c r="R10" s="75">
        <f t="shared" si="6"/>
        <v>456</v>
      </c>
      <c r="S10" s="74">
        <v>0.8</v>
      </c>
      <c r="T10" s="75">
        <f t="shared" si="7"/>
        <v>2432</v>
      </c>
      <c r="U10" s="76">
        <f t="shared" si="8"/>
        <v>4.9999999999999961E-2</v>
      </c>
      <c r="V10" s="69">
        <f t="shared" si="9"/>
        <v>151.99999999999989</v>
      </c>
      <c r="W10" s="77">
        <f ca="1">V10*VLOOKUP(TODAY(),'UF HOY'!$A$2:$B$36,2,0)</f>
        <v>6039558.8799999962</v>
      </c>
      <c r="X10" s="78">
        <f>Datos!$E$3</f>
        <v>15</v>
      </c>
      <c r="Y10" s="79">
        <f ca="1">IF((W10-1000000-Datos!$N$3)/X10&gt;0,(W10-1000000-Datos!$N$3)/X10,0)</f>
        <v>329303.92533333309</v>
      </c>
      <c r="Z10" s="78">
        <f>Datos!$G$3</f>
        <v>15</v>
      </c>
      <c r="AA10" s="79">
        <f ca="1">IF((W10-1000000-Datos!$N$3)/Z10&gt;0,(W10-1000000-Datos!$N$3)/Z10,0)</f>
        <v>329303.92533333309</v>
      </c>
      <c r="AB10" s="79">
        <f>IF(L10&gt;0,VLOOKUP(D10,Datos!$H$30:$J$33,3,0),VLOOKUP(D10,Datos!$H$30:$J$33,2,0))</f>
        <v>350000</v>
      </c>
      <c r="AC10" s="79">
        <f ca="1">(S10*PMT(Datos!$D$15,Datos!$D$13,-O10,,)*VLOOKUP(TODAY(),'UF HOY'!$A$2:$B$36,2,0)/12)</f>
        <v>465691.05167197954</v>
      </c>
      <c r="AD10" s="79">
        <f t="shared" ca="1" si="10"/>
        <v>-115691.05167197954</v>
      </c>
      <c r="AE10" s="220">
        <f t="shared" ca="1" si="11"/>
        <v>1862764.2066879182</v>
      </c>
      <c r="AF10" s="45"/>
    </row>
    <row r="11" spans="1:33" hidden="1">
      <c r="A11" s="66" t="s">
        <v>171</v>
      </c>
      <c r="B11" s="66">
        <v>115</v>
      </c>
      <c r="C11" s="67" t="s">
        <v>123</v>
      </c>
      <c r="D11" s="67" t="s">
        <v>195</v>
      </c>
      <c r="E11" s="67"/>
      <c r="F11" s="66">
        <v>36.53</v>
      </c>
      <c r="G11" s="66">
        <v>4.8499999999999996</v>
      </c>
      <c r="H11" s="67">
        <f t="shared" si="0"/>
        <v>38.954999999999998</v>
      </c>
      <c r="I11" s="68">
        <f t="shared" si="1"/>
        <v>41.38</v>
      </c>
      <c r="J11" s="69">
        <v>3090</v>
      </c>
      <c r="K11" s="70">
        <v>0</v>
      </c>
      <c r="L11" s="71">
        <v>0</v>
      </c>
      <c r="M11" s="71">
        <v>0</v>
      </c>
      <c r="N11" s="72">
        <f t="shared" si="2"/>
        <v>2626.5</v>
      </c>
      <c r="O11" s="73">
        <f t="shared" si="3"/>
        <v>3090</v>
      </c>
      <c r="P11" s="121">
        <f t="shared" si="4"/>
        <v>67.423950712360423</v>
      </c>
      <c r="Q11" s="74">
        <f t="shared" si="5"/>
        <v>0.15</v>
      </c>
      <c r="R11" s="75">
        <f t="shared" si="6"/>
        <v>463.5</v>
      </c>
      <c r="S11" s="74">
        <v>0.8</v>
      </c>
      <c r="T11" s="75">
        <f t="shared" si="7"/>
        <v>2472</v>
      </c>
      <c r="U11" s="76">
        <f t="shared" si="8"/>
        <v>4.9999999999999961E-2</v>
      </c>
      <c r="V11" s="69">
        <f t="shared" si="9"/>
        <v>154.49999999999989</v>
      </c>
      <c r="W11" s="77">
        <f ca="1">V11*VLOOKUP(TODAY(),'UF HOY'!$A$2:$B$36,2,0)</f>
        <v>6138893.7299999958</v>
      </c>
      <c r="X11" s="78">
        <f>Datos!$E$3</f>
        <v>15</v>
      </c>
      <c r="Y11" s="79">
        <f ca="1">IF((W11-1000000-Datos!$N$3)/X11&gt;0,(W11-1000000-Datos!$N$3)/X11,0)</f>
        <v>335926.24866666639</v>
      </c>
      <c r="Z11" s="78">
        <f>Datos!$G$3</f>
        <v>15</v>
      </c>
      <c r="AA11" s="79">
        <f ca="1">IF((W11-1000000-Datos!$N$3)/Z11&gt;0,(W11-1000000-Datos!$N$3)/Z11,0)</f>
        <v>335926.24866666639</v>
      </c>
      <c r="AB11" s="79">
        <f>IF(L11&gt;0,VLOOKUP(D11,Datos!$H$30:$J$33,3,0),VLOOKUP(D11,Datos!$H$30:$J$33,2,0))</f>
        <v>350000</v>
      </c>
      <c r="AC11" s="79">
        <f ca="1">(S11*PMT(Datos!$D$15,Datos!$D$13,-O11,,)*VLOOKUP(TODAY(),'UF HOY'!$A$2:$B$36,2,0)/12)</f>
        <v>473350.44396921614</v>
      </c>
      <c r="AD11" s="79">
        <f t="shared" ca="1" si="10"/>
        <v>-123350.44396921614</v>
      </c>
      <c r="AE11" s="220">
        <f t="shared" ca="1" si="11"/>
        <v>1893401.7758768646</v>
      </c>
      <c r="AF11" s="45"/>
    </row>
    <row r="12" spans="1:33">
      <c r="A12" s="66" t="s">
        <v>4</v>
      </c>
      <c r="B12" s="66">
        <v>409</v>
      </c>
      <c r="C12" s="67" t="s">
        <v>103</v>
      </c>
      <c r="D12" s="67" t="s">
        <v>196</v>
      </c>
      <c r="E12" s="67"/>
      <c r="F12" s="66">
        <v>42.9</v>
      </c>
      <c r="G12" s="66">
        <v>12.54</v>
      </c>
      <c r="H12" s="67">
        <f t="shared" si="0"/>
        <v>49.17</v>
      </c>
      <c r="I12" s="68">
        <f t="shared" si="1"/>
        <v>55.44</v>
      </c>
      <c r="J12" s="69">
        <v>3770</v>
      </c>
      <c r="K12" s="70">
        <v>0</v>
      </c>
      <c r="L12" s="71">
        <v>400</v>
      </c>
      <c r="M12" s="71">
        <v>130</v>
      </c>
      <c r="N12" s="72">
        <f t="shared" si="2"/>
        <v>3655</v>
      </c>
      <c r="O12" s="73">
        <f t="shared" si="3"/>
        <v>4300</v>
      </c>
      <c r="P12" s="121">
        <f t="shared" si="4"/>
        <v>63.555013219442749</v>
      </c>
      <c r="Q12" s="74">
        <f t="shared" si="5"/>
        <v>0.15</v>
      </c>
      <c r="R12" s="75">
        <f t="shared" si="6"/>
        <v>645</v>
      </c>
      <c r="S12" s="74">
        <v>0.8</v>
      </c>
      <c r="T12" s="75">
        <f t="shared" si="7"/>
        <v>3440</v>
      </c>
      <c r="U12" s="76">
        <f t="shared" si="8"/>
        <v>4.9999999999999961E-2</v>
      </c>
      <c r="V12" s="69">
        <f t="shared" si="9"/>
        <v>214.99999999999983</v>
      </c>
      <c r="W12" s="77">
        <f ca="1">V12*VLOOKUP(TODAY(),'UF HOY'!$A$2:$B$36,2,0)</f>
        <v>8542797.099999994</v>
      </c>
      <c r="X12" s="78">
        <f>Datos!$E$3</f>
        <v>15</v>
      </c>
      <c r="Y12" s="79">
        <f ca="1">IF((W12-1000000-Datos!$N$3)/X12&gt;0,(W12-1000000-Datos!$N$3)/X12,0)</f>
        <v>496186.47333333292</v>
      </c>
      <c r="Z12" s="78">
        <f>Datos!$G$3</f>
        <v>15</v>
      </c>
      <c r="AA12" s="79">
        <f ca="1">IF((W12-1000000-Datos!$N$3)/Z12&gt;0,(W12-1000000-Datos!$N$3)/Z12,0)</f>
        <v>496186.47333333292</v>
      </c>
      <c r="AB12" s="79">
        <f>IF(L12&gt;0,VLOOKUP(D12,Datos!$H$30:$J$33,3,0),VLOOKUP(D12,Datos!$H$30:$J$33,2,0))</f>
        <v>440000</v>
      </c>
      <c r="AC12" s="79">
        <f ca="1">(S12*PMT(Datos!$D$15,Datos!$D$13,-O12,,)*VLOOKUP(TODAY(),'UF HOY'!$A$2:$B$36,2,0)/12)</f>
        <v>658707.73756233952</v>
      </c>
      <c r="AD12" s="79">
        <f t="shared" ca="1" si="10"/>
        <v>-218707.73756233952</v>
      </c>
      <c r="AE12" s="220">
        <f t="shared" ca="1" si="11"/>
        <v>2634830.9502493581</v>
      </c>
      <c r="AF12" s="45"/>
    </row>
    <row r="13" spans="1:33">
      <c r="A13" s="66" t="s">
        <v>4</v>
      </c>
      <c r="B13" s="66">
        <v>709</v>
      </c>
      <c r="C13" s="67" t="s">
        <v>103</v>
      </c>
      <c r="D13" s="67" t="s">
        <v>196</v>
      </c>
      <c r="E13" s="67"/>
      <c r="F13" s="66">
        <v>42.9</v>
      </c>
      <c r="G13" s="66">
        <v>12.54</v>
      </c>
      <c r="H13" s="67">
        <f t="shared" si="0"/>
        <v>49.17</v>
      </c>
      <c r="I13" s="68">
        <f t="shared" si="1"/>
        <v>55.44</v>
      </c>
      <c r="J13" s="69">
        <v>3770</v>
      </c>
      <c r="K13" s="70">
        <v>0</v>
      </c>
      <c r="L13" s="71">
        <v>400</v>
      </c>
      <c r="M13" s="71">
        <v>130</v>
      </c>
      <c r="N13" s="72">
        <f t="shared" si="2"/>
        <v>3655</v>
      </c>
      <c r="O13" s="73">
        <f t="shared" si="3"/>
        <v>4300</v>
      </c>
      <c r="P13" s="121">
        <f t="shared" si="4"/>
        <v>63.555013219442749</v>
      </c>
      <c r="Q13" s="74">
        <f t="shared" si="5"/>
        <v>0.15</v>
      </c>
      <c r="R13" s="75">
        <f t="shared" si="6"/>
        <v>645</v>
      </c>
      <c r="S13" s="74">
        <v>0.8</v>
      </c>
      <c r="T13" s="75">
        <f t="shared" si="7"/>
        <v>3440</v>
      </c>
      <c r="U13" s="76">
        <f t="shared" si="8"/>
        <v>4.9999999999999961E-2</v>
      </c>
      <c r="V13" s="69">
        <f t="shared" si="9"/>
        <v>214.99999999999983</v>
      </c>
      <c r="W13" s="77">
        <f ca="1">V13*VLOOKUP(TODAY(),'UF HOY'!$A$2:$B$36,2,0)</f>
        <v>8542797.099999994</v>
      </c>
      <c r="X13" s="78">
        <f>Datos!$E$3</f>
        <v>15</v>
      </c>
      <c r="Y13" s="79">
        <f ca="1">IF((W13-1000000-Datos!$N$3)/X13&gt;0,(W13-1000000-Datos!$N$3)/X13,0)</f>
        <v>496186.47333333292</v>
      </c>
      <c r="Z13" s="78">
        <f>Datos!$G$3</f>
        <v>15</v>
      </c>
      <c r="AA13" s="79">
        <f ca="1">IF((W13-1000000-Datos!$N$3)/Z13&gt;0,(W13-1000000-Datos!$N$3)/Z13,0)</f>
        <v>496186.47333333292</v>
      </c>
      <c r="AB13" s="79">
        <f>IF(L13&gt;0,VLOOKUP(D13,Datos!$H$30:$J$33,3,0),VLOOKUP(D13,Datos!$H$30:$J$33,2,0))</f>
        <v>440000</v>
      </c>
      <c r="AC13" s="79">
        <f ca="1">(S13*PMT(Datos!$D$15,Datos!$D$13,-O13,,)*VLOOKUP(TODAY(),'UF HOY'!$A$2:$B$36,2,0)/12)</f>
        <v>658707.73756233952</v>
      </c>
      <c r="AD13" s="79">
        <f t="shared" ca="1" si="10"/>
        <v>-218707.73756233952</v>
      </c>
      <c r="AE13" s="220">
        <f t="shared" ca="1" si="11"/>
        <v>2634830.9502493581</v>
      </c>
      <c r="AF13" s="45"/>
    </row>
    <row r="14" spans="1:33" hidden="1">
      <c r="A14" s="66" t="s">
        <v>171</v>
      </c>
      <c r="B14" s="66">
        <v>202</v>
      </c>
      <c r="C14" s="67" t="s">
        <v>131</v>
      </c>
      <c r="D14" s="67" t="s">
        <v>194</v>
      </c>
      <c r="E14" s="67"/>
      <c r="F14" s="66">
        <v>48.16</v>
      </c>
      <c r="G14" s="66">
        <v>12.72</v>
      </c>
      <c r="H14" s="67">
        <f t="shared" si="0"/>
        <v>54.519999999999996</v>
      </c>
      <c r="I14" s="68">
        <f t="shared" si="1"/>
        <v>60.879999999999995</v>
      </c>
      <c r="J14" s="69">
        <v>3940</v>
      </c>
      <c r="K14" s="70">
        <v>0</v>
      </c>
      <c r="L14" s="71">
        <v>400</v>
      </c>
      <c r="M14" s="71">
        <v>160</v>
      </c>
      <c r="N14" s="72">
        <f t="shared" si="2"/>
        <v>3825</v>
      </c>
      <c r="O14" s="73">
        <f t="shared" si="3"/>
        <v>4500</v>
      </c>
      <c r="P14" s="121">
        <f t="shared" si="4"/>
        <v>59.886280264123265</v>
      </c>
      <c r="Q14" s="74">
        <f t="shared" si="5"/>
        <v>0.15</v>
      </c>
      <c r="R14" s="75">
        <f t="shared" si="6"/>
        <v>675</v>
      </c>
      <c r="S14" s="74">
        <v>0.8</v>
      </c>
      <c r="T14" s="75">
        <f t="shared" si="7"/>
        <v>3600</v>
      </c>
      <c r="U14" s="76">
        <f t="shared" si="8"/>
        <v>4.9999999999999961E-2</v>
      </c>
      <c r="V14" s="69">
        <f t="shared" si="9"/>
        <v>224.99999999999983</v>
      </c>
      <c r="W14" s="77">
        <f ca="1">V14*VLOOKUP(TODAY(),'UF HOY'!$A$2:$B$36,2,0)</f>
        <v>8940136.4999999944</v>
      </c>
      <c r="X14" s="78">
        <f>Datos!$E$3</f>
        <v>15</v>
      </c>
      <c r="Y14" s="79">
        <f ca="1">IF((W14-1000000-Datos!$N$3)/X14&gt;0,(W14-1000000-Datos!$N$3)/X14,0)</f>
        <v>522675.76666666631</v>
      </c>
      <c r="Z14" s="78">
        <f>Datos!$G$3</f>
        <v>15</v>
      </c>
      <c r="AA14" s="79">
        <f ca="1">IF((W14-1000000-Datos!$N$3)/Z14&gt;0,(W14-1000000-Datos!$N$3)/Z14,0)</f>
        <v>522675.76666666631</v>
      </c>
      <c r="AB14" s="79">
        <f>IF(L14&gt;0,VLOOKUP(D14,Datos!$H$30:$J$33,3,0),VLOOKUP(D14,Datos!$H$30:$J$33,2,0))</f>
        <v>490000</v>
      </c>
      <c r="AC14" s="79">
        <f ca="1">(S14*PMT(Datos!$D$15,Datos!$D$13,-O14,,)*VLOOKUP(TODAY(),'UF HOY'!$A$2:$B$36,2,0)/12)</f>
        <v>689345.30675128545</v>
      </c>
      <c r="AD14" s="79">
        <f t="shared" ca="1" si="10"/>
        <v>-199345.30675128545</v>
      </c>
      <c r="AE14" s="220">
        <f t="shared" ca="1" si="11"/>
        <v>2757381.2270051418</v>
      </c>
      <c r="AF14" s="45"/>
    </row>
    <row r="15" spans="1:33" hidden="1">
      <c r="A15" s="66" t="s">
        <v>171</v>
      </c>
      <c r="B15" s="66">
        <v>204</v>
      </c>
      <c r="C15" s="67" t="s">
        <v>123</v>
      </c>
      <c r="D15" s="67" t="s">
        <v>195</v>
      </c>
      <c r="E15" s="67"/>
      <c r="F15" s="66">
        <v>36.549999999999997</v>
      </c>
      <c r="G15" s="66">
        <v>4.92</v>
      </c>
      <c r="H15" s="67">
        <f t="shared" si="0"/>
        <v>39.01</v>
      </c>
      <c r="I15" s="68">
        <f t="shared" si="1"/>
        <v>41.47</v>
      </c>
      <c r="J15" s="69">
        <v>3110</v>
      </c>
      <c r="K15" s="70">
        <v>0</v>
      </c>
      <c r="L15" s="71">
        <v>0</v>
      </c>
      <c r="M15" s="71">
        <v>0</v>
      </c>
      <c r="N15" s="72">
        <f t="shared" si="2"/>
        <v>2643.5</v>
      </c>
      <c r="O15" s="73">
        <f t="shared" si="3"/>
        <v>3110</v>
      </c>
      <c r="P15" s="121">
        <f t="shared" si="4"/>
        <v>67.764675724173287</v>
      </c>
      <c r="Q15" s="74">
        <f t="shared" si="5"/>
        <v>0.15</v>
      </c>
      <c r="R15" s="75">
        <f t="shared" si="6"/>
        <v>466.5</v>
      </c>
      <c r="S15" s="74">
        <v>0.8</v>
      </c>
      <c r="T15" s="75">
        <f t="shared" si="7"/>
        <v>2488</v>
      </c>
      <c r="U15" s="76">
        <f t="shared" si="8"/>
        <v>4.9999999999999961E-2</v>
      </c>
      <c r="V15" s="69">
        <f t="shared" si="9"/>
        <v>155.49999999999989</v>
      </c>
      <c r="W15" s="77">
        <f ca="1">V15*VLOOKUP(TODAY(),'UF HOY'!$A$2:$B$36,2,0)</f>
        <v>6178627.6699999962</v>
      </c>
      <c r="X15" s="78">
        <f>Datos!$E$3</f>
        <v>15</v>
      </c>
      <c r="Y15" s="79">
        <f ca="1">IF((W15-1000000-Datos!$N$3)/X15&gt;0,(W15-1000000-Datos!$N$3)/X15,0)</f>
        <v>338575.17799999972</v>
      </c>
      <c r="Z15" s="78">
        <f>Datos!$G$3</f>
        <v>15</v>
      </c>
      <c r="AA15" s="79">
        <f ca="1">IF((W15-1000000-Datos!$N$3)/Z15&gt;0,(W15-1000000-Datos!$N$3)/Z15,0)</f>
        <v>338575.17799999972</v>
      </c>
      <c r="AB15" s="79">
        <f>IF(L15&gt;0,VLOOKUP(D15,Datos!$H$30:$J$33,3,0),VLOOKUP(D15,Datos!$H$30:$J$33,2,0))</f>
        <v>350000</v>
      </c>
      <c r="AC15" s="79">
        <f ca="1">(S15*PMT(Datos!$D$15,Datos!$D$13,-O15,,)*VLOOKUP(TODAY(),'UF HOY'!$A$2:$B$36,2,0)/12)</f>
        <v>476414.20088811073</v>
      </c>
      <c r="AD15" s="79">
        <f t="shared" ca="1" si="10"/>
        <v>-126414.20088811073</v>
      </c>
      <c r="AE15" s="220">
        <f t="shared" ca="1" si="11"/>
        <v>1905656.8035524429</v>
      </c>
      <c r="AF15" s="45"/>
    </row>
    <row r="16" spans="1:33" hidden="1">
      <c r="A16" s="66" t="s">
        <v>171</v>
      </c>
      <c r="B16" s="66">
        <v>205</v>
      </c>
      <c r="C16" s="67" t="s">
        <v>124</v>
      </c>
      <c r="D16" s="67" t="s">
        <v>195</v>
      </c>
      <c r="E16" s="67"/>
      <c r="F16" s="66">
        <v>36.549999999999997</v>
      </c>
      <c r="G16" s="66">
        <v>5.48</v>
      </c>
      <c r="H16" s="67">
        <f t="shared" si="0"/>
        <v>39.29</v>
      </c>
      <c r="I16" s="68">
        <f t="shared" si="1"/>
        <v>42.03</v>
      </c>
      <c r="J16" s="69">
        <v>3180</v>
      </c>
      <c r="K16" s="70">
        <v>0</v>
      </c>
      <c r="L16" s="71">
        <v>400</v>
      </c>
      <c r="M16" s="71">
        <v>0</v>
      </c>
      <c r="N16" s="72">
        <f t="shared" si="2"/>
        <v>3043</v>
      </c>
      <c r="O16" s="73">
        <f t="shared" si="3"/>
        <v>3580</v>
      </c>
      <c r="P16" s="121">
        <f t="shared" si="4"/>
        <v>67.26902519725121</v>
      </c>
      <c r="Q16" s="74">
        <f t="shared" si="5"/>
        <v>0.15</v>
      </c>
      <c r="R16" s="75">
        <f t="shared" si="6"/>
        <v>537</v>
      </c>
      <c r="S16" s="74">
        <v>0.8</v>
      </c>
      <c r="T16" s="75">
        <f t="shared" si="7"/>
        <v>2864</v>
      </c>
      <c r="U16" s="76">
        <f t="shared" si="8"/>
        <v>4.9999999999999961E-2</v>
      </c>
      <c r="V16" s="69">
        <f t="shared" si="9"/>
        <v>178.99999999999986</v>
      </c>
      <c r="W16" s="77">
        <f ca="1">V16*VLOOKUP(TODAY(),'UF HOY'!$A$2:$B$36,2,0)</f>
        <v>7112375.2599999951</v>
      </c>
      <c r="X16" s="78">
        <f>Datos!$E$3</f>
        <v>15</v>
      </c>
      <c r="Y16" s="79">
        <f ca="1">IF((W16-1000000-Datos!$N$3)/X16&gt;0,(W16-1000000-Datos!$N$3)/X16,0)</f>
        <v>400825.01733333303</v>
      </c>
      <c r="Z16" s="78">
        <f>Datos!$G$3</f>
        <v>15</v>
      </c>
      <c r="AA16" s="79">
        <f ca="1">IF((W16-1000000-Datos!$N$3)/Z16&gt;0,(W16-1000000-Datos!$N$3)/Z16,0)</f>
        <v>400825.01733333303</v>
      </c>
      <c r="AB16" s="79">
        <f>IF(L16&gt;0,VLOOKUP(D16,Datos!$H$30:$J$33,3,0),VLOOKUP(D16,Datos!$H$30:$J$33,2,0))</f>
        <v>390000</v>
      </c>
      <c r="AC16" s="79">
        <f ca="1">(S16*PMT(Datos!$D$15,Datos!$D$13,-O16,,)*VLOOKUP(TODAY(),'UF HOY'!$A$2:$B$36,2,0)/12)</f>
        <v>548412.48848213395</v>
      </c>
      <c r="AD16" s="79">
        <f t="shared" ca="1" si="10"/>
        <v>-158412.48848213395</v>
      </c>
      <c r="AE16" s="220">
        <f t="shared" ca="1" si="11"/>
        <v>2193649.9539285358</v>
      </c>
      <c r="AF16" s="45"/>
    </row>
    <row r="17" spans="1:32" ht="14.25" hidden="1" customHeight="1">
      <c r="A17" s="66" t="s">
        <v>171</v>
      </c>
      <c r="B17" s="66">
        <v>207</v>
      </c>
      <c r="C17" s="67" t="s">
        <v>103</v>
      </c>
      <c r="D17" s="67" t="s">
        <v>196</v>
      </c>
      <c r="E17" s="67"/>
      <c r="F17" s="66">
        <v>42.9</v>
      </c>
      <c r="G17" s="66">
        <v>11.95</v>
      </c>
      <c r="H17" s="67">
        <f t="shared" si="0"/>
        <v>48.875</v>
      </c>
      <c r="I17" s="68">
        <f t="shared" si="1"/>
        <v>54.849999999999994</v>
      </c>
      <c r="J17" s="69">
        <v>3720</v>
      </c>
      <c r="K17" s="70">
        <v>0</v>
      </c>
      <c r="L17" s="71">
        <v>400</v>
      </c>
      <c r="M17" s="71">
        <v>160</v>
      </c>
      <c r="N17" s="72">
        <f t="shared" si="2"/>
        <v>3638</v>
      </c>
      <c r="O17" s="73">
        <f t="shared" si="3"/>
        <v>4280</v>
      </c>
      <c r="P17" s="121">
        <f t="shared" si="4"/>
        <v>62.976982097186699</v>
      </c>
      <c r="Q17" s="74">
        <f t="shared" si="5"/>
        <v>0.15</v>
      </c>
      <c r="R17" s="75">
        <f t="shared" si="6"/>
        <v>642</v>
      </c>
      <c r="S17" s="74">
        <v>0.8</v>
      </c>
      <c r="T17" s="75">
        <f t="shared" si="7"/>
        <v>3424</v>
      </c>
      <c r="U17" s="76">
        <f t="shared" si="8"/>
        <v>4.9999999999999961E-2</v>
      </c>
      <c r="V17" s="69">
        <f t="shared" si="9"/>
        <v>213.99999999999983</v>
      </c>
      <c r="W17" s="77">
        <f ca="1">V17*VLOOKUP(TODAY(),'UF HOY'!$A$2:$B$36,2,0)</f>
        <v>8503063.1599999946</v>
      </c>
      <c r="X17" s="78">
        <f>Datos!$E$3</f>
        <v>15</v>
      </c>
      <c r="Y17" s="79">
        <f ca="1">IF((W17-1000000-Datos!$N$3)/X17&gt;0,(W17-1000000-Datos!$N$3)/X17,0)</f>
        <v>493537.54399999965</v>
      </c>
      <c r="Z17" s="78">
        <f>Datos!$G$3</f>
        <v>15</v>
      </c>
      <c r="AA17" s="79">
        <f ca="1">IF((W17-1000000-Datos!$N$3)/Z17&gt;0,(W17-1000000-Datos!$N$3)/Z17,0)</f>
        <v>493537.54399999965</v>
      </c>
      <c r="AB17" s="79">
        <f>IF(L17&gt;0,VLOOKUP(D17,Datos!$H$30:$J$33,3,0),VLOOKUP(D17,Datos!$H$30:$J$33,2,0))</f>
        <v>440000</v>
      </c>
      <c r="AC17" s="79">
        <f ca="1">(S17*PMT(Datos!$D$15,Datos!$D$13,-O17,,)*VLOOKUP(TODAY(),'UF HOY'!$A$2:$B$36,2,0)/12)</f>
        <v>655643.98064344493</v>
      </c>
      <c r="AD17" s="79">
        <f t="shared" ca="1" si="10"/>
        <v>-215643.98064344493</v>
      </c>
      <c r="AE17" s="220">
        <f t="shared" ca="1" si="11"/>
        <v>2622575.9225737797</v>
      </c>
      <c r="AF17" s="45"/>
    </row>
    <row r="18" spans="1:32" hidden="1">
      <c r="A18" s="66" t="s">
        <v>171</v>
      </c>
      <c r="B18" s="66">
        <v>209</v>
      </c>
      <c r="C18" s="67" t="s">
        <v>103</v>
      </c>
      <c r="D18" s="67" t="s">
        <v>196</v>
      </c>
      <c r="E18" s="67"/>
      <c r="F18" s="66">
        <v>42.9</v>
      </c>
      <c r="G18" s="66">
        <v>12.54</v>
      </c>
      <c r="H18" s="67">
        <f t="shared" si="0"/>
        <v>49.17</v>
      </c>
      <c r="I18" s="68">
        <f t="shared" si="1"/>
        <v>55.44</v>
      </c>
      <c r="J18" s="69">
        <v>3730</v>
      </c>
      <c r="K18" s="70">
        <v>0</v>
      </c>
      <c r="L18" s="71">
        <v>400</v>
      </c>
      <c r="M18" s="71">
        <v>160</v>
      </c>
      <c r="N18" s="72">
        <f t="shared" si="2"/>
        <v>3646.5</v>
      </c>
      <c r="O18" s="73">
        <f t="shared" si="3"/>
        <v>4290</v>
      </c>
      <c r="P18" s="121">
        <f t="shared" si="4"/>
        <v>62.772015456579211</v>
      </c>
      <c r="Q18" s="74">
        <f t="shared" si="5"/>
        <v>0.15</v>
      </c>
      <c r="R18" s="75">
        <f t="shared" si="6"/>
        <v>643.5</v>
      </c>
      <c r="S18" s="74">
        <v>0.8</v>
      </c>
      <c r="T18" s="75">
        <f t="shared" si="7"/>
        <v>3432</v>
      </c>
      <c r="U18" s="76">
        <f t="shared" si="8"/>
        <v>4.9999999999999961E-2</v>
      </c>
      <c r="V18" s="69">
        <f t="shared" si="9"/>
        <v>214.49999999999983</v>
      </c>
      <c r="W18" s="77">
        <f ca="1">V18*VLOOKUP(TODAY(),'UF HOY'!$A$2:$B$36,2,0)</f>
        <v>8522930.1299999934</v>
      </c>
      <c r="X18" s="78">
        <f>Datos!$E$3</f>
        <v>15</v>
      </c>
      <c r="Y18" s="79">
        <f ca="1">IF((W18-1000000-Datos!$N$3)/X18&gt;0,(W18-1000000-Datos!$N$3)/X18,0)</f>
        <v>494862.00866666622</v>
      </c>
      <c r="Z18" s="78">
        <f>Datos!$G$3</f>
        <v>15</v>
      </c>
      <c r="AA18" s="79">
        <f ca="1">IF((W18-1000000-Datos!$N$3)/Z18&gt;0,(W18-1000000-Datos!$N$3)/Z18,0)</f>
        <v>494862.00866666622</v>
      </c>
      <c r="AB18" s="79">
        <f>IF(L18&gt;0,VLOOKUP(D18,Datos!$H$30:$J$33,3,0),VLOOKUP(D18,Datos!$H$30:$J$33,2,0))</f>
        <v>440000</v>
      </c>
      <c r="AC18" s="79">
        <f ca="1">(S18*PMT(Datos!$D$15,Datos!$D$13,-O18,,)*VLOOKUP(TODAY(),'UF HOY'!$A$2:$B$36,2,0)/12)</f>
        <v>657175.85910289222</v>
      </c>
      <c r="AD18" s="79">
        <f t="shared" ca="1" si="10"/>
        <v>-217175.85910289222</v>
      </c>
      <c r="AE18" s="220">
        <f t="shared" ca="1" si="11"/>
        <v>2628703.4364115689</v>
      </c>
      <c r="AF18" s="45"/>
    </row>
    <row r="19" spans="1:32">
      <c r="A19" s="66" t="s">
        <v>4</v>
      </c>
      <c r="B19" s="86">
        <v>307</v>
      </c>
      <c r="C19" s="67" t="s">
        <v>103</v>
      </c>
      <c r="D19" s="67" t="s">
        <v>196</v>
      </c>
      <c r="E19" s="67"/>
      <c r="F19" s="66">
        <v>42.9</v>
      </c>
      <c r="G19" s="66">
        <v>11.95</v>
      </c>
      <c r="H19" s="67">
        <f t="shared" si="0"/>
        <v>48.875</v>
      </c>
      <c r="I19" s="68">
        <f t="shared" si="1"/>
        <v>54.849999999999994</v>
      </c>
      <c r="J19" s="69">
        <v>3760</v>
      </c>
      <c r="K19" s="70">
        <v>0</v>
      </c>
      <c r="L19" s="71">
        <v>400</v>
      </c>
      <c r="M19" s="71">
        <v>160</v>
      </c>
      <c r="N19" s="72">
        <f t="shared" si="2"/>
        <v>3672</v>
      </c>
      <c r="O19" s="73">
        <f t="shared" si="3"/>
        <v>4320</v>
      </c>
      <c r="P19" s="121">
        <f t="shared" si="4"/>
        <v>63.672634271099746</v>
      </c>
      <c r="Q19" s="74">
        <f t="shared" si="5"/>
        <v>0.15</v>
      </c>
      <c r="R19" s="75">
        <f t="shared" si="6"/>
        <v>648</v>
      </c>
      <c r="S19" s="74">
        <v>0.8</v>
      </c>
      <c r="T19" s="75">
        <f t="shared" si="7"/>
        <v>3456</v>
      </c>
      <c r="U19" s="76">
        <f t="shared" si="8"/>
        <v>4.9999999999999961E-2</v>
      </c>
      <c r="V19" s="69">
        <f t="shared" si="9"/>
        <v>215.99999999999983</v>
      </c>
      <c r="W19" s="77">
        <f ca="1">V19*VLOOKUP(TODAY(),'UF HOY'!$A$2:$B$36,2,0)</f>
        <v>8582531.0399999935</v>
      </c>
      <c r="X19" s="78">
        <f>Datos!$E$3</f>
        <v>15</v>
      </c>
      <c r="Y19" s="79">
        <f ca="1">IF((W19-1000000-Datos!$N$3)/X19&gt;0,(W19-1000000-Datos!$N$3)/X19,0)</f>
        <v>498835.40266666625</v>
      </c>
      <c r="Z19" s="78">
        <f>Datos!$G$3</f>
        <v>15</v>
      </c>
      <c r="AA19" s="79">
        <f ca="1">IF((W19-1000000-Datos!$N$3)/Z19&gt;0,(W19-1000000-Datos!$N$3)/Z19,0)</f>
        <v>498835.40266666625</v>
      </c>
      <c r="AB19" s="79">
        <f>IF(L19&gt;0,VLOOKUP(D19,Datos!$H$30:$J$33,3,0),VLOOKUP(D19,Datos!$H$30:$J$33,2,0))</f>
        <v>440000</v>
      </c>
      <c r="AC19" s="79">
        <f ca="1">(S19*PMT(Datos!$D$15,Datos!$D$13,-O19,,)*VLOOKUP(TODAY(),'UF HOY'!$A$2:$B$36,2,0)/12)</f>
        <v>661771.49448123423</v>
      </c>
      <c r="AD19" s="79">
        <f t="shared" ca="1" si="10"/>
        <v>-221771.49448123423</v>
      </c>
      <c r="AE19" s="220">
        <f t="shared" ca="1" si="11"/>
        <v>2647085.9779249369</v>
      </c>
      <c r="AF19" s="45"/>
    </row>
    <row r="20" spans="1:32" hidden="1">
      <c r="A20" s="66" t="s">
        <v>171</v>
      </c>
      <c r="B20" s="66">
        <v>211</v>
      </c>
      <c r="C20" s="67" t="s">
        <v>129</v>
      </c>
      <c r="D20" s="67" t="s">
        <v>195</v>
      </c>
      <c r="E20" s="67"/>
      <c r="F20" s="66">
        <v>33.36</v>
      </c>
      <c r="G20" s="66">
        <v>9.1999999999999993</v>
      </c>
      <c r="H20" s="67">
        <f t="shared" si="0"/>
        <v>37.96</v>
      </c>
      <c r="I20" s="68">
        <f t="shared" si="1"/>
        <v>42.56</v>
      </c>
      <c r="J20" s="69">
        <v>3010</v>
      </c>
      <c r="K20" s="70">
        <v>0</v>
      </c>
      <c r="L20" s="71">
        <v>0</v>
      </c>
      <c r="M20" s="71">
        <v>0</v>
      </c>
      <c r="N20" s="72">
        <f t="shared" si="2"/>
        <v>2558.5</v>
      </c>
      <c r="O20" s="73">
        <f t="shared" si="3"/>
        <v>3010</v>
      </c>
      <c r="P20" s="121">
        <f t="shared" si="4"/>
        <v>67.399894625922016</v>
      </c>
      <c r="Q20" s="74">
        <f t="shared" si="5"/>
        <v>0.15</v>
      </c>
      <c r="R20" s="75">
        <f t="shared" si="6"/>
        <v>451.5</v>
      </c>
      <c r="S20" s="74">
        <v>0.8</v>
      </c>
      <c r="T20" s="75">
        <f t="shared" si="7"/>
        <v>2408</v>
      </c>
      <c r="U20" s="76">
        <f t="shared" si="8"/>
        <v>4.9999999999999961E-2</v>
      </c>
      <c r="V20" s="69">
        <f t="shared" si="9"/>
        <v>150.49999999999989</v>
      </c>
      <c r="W20" s="77">
        <f ca="1">V20*VLOOKUP(TODAY(),'UF HOY'!$A$2:$B$36,2,0)</f>
        <v>5979957.969999996</v>
      </c>
      <c r="X20" s="78">
        <f>Datos!$E$3</f>
        <v>15</v>
      </c>
      <c r="Y20" s="79">
        <f ca="1">IF((W20-1000000-Datos!$N$3)/X20&gt;0,(W20-1000000-Datos!$N$3)/X20,0)</f>
        <v>325330.53133333306</v>
      </c>
      <c r="Z20" s="78">
        <f>Datos!$G$3</f>
        <v>15</v>
      </c>
      <c r="AA20" s="79">
        <f ca="1">IF((W20-1000000-Datos!$N$3)/Z20&gt;0,(W20-1000000-Datos!$N$3)/Z20,0)</f>
        <v>325330.53133333306</v>
      </c>
      <c r="AB20" s="79">
        <f>IF(L20&gt;0,VLOOKUP(D20,Datos!$H$30:$J$33,3,0),VLOOKUP(D20,Datos!$H$30:$J$33,2,0))</f>
        <v>350000</v>
      </c>
      <c r="AC20" s="79">
        <f ca="1">(S20*PMT(Datos!$D$15,Datos!$D$13,-O20,,)*VLOOKUP(TODAY(),'UF HOY'!$A$2:$B$36,2,0)/12)</f>
        <v>461095.41629363777</v>
      </c>
      <c r="AD20" s="79">
        <f t="shared" ca="1" si="10"/>
        <v>-111095.41629363777</v>
      </c>
      <c r="AE20" s="220">
        <f t="shared" ca="1" si="11"/>
        <v>1844381.6651745511</v>
      </c>
      <c r="AF20" s="45"/>
    </row>
    <row r="21" spans="1:32" hidden="1">
      <c r="A21" s="66" t="s">
        <v>171</v>
      </c>
      <c r="B21" s="66">
        <v>213</v>
      </c>
      <c r="C21" s="67" t="s">
        <v>129</v>
      </c>
      <c r="D21" s="67" t="s">
        <v>195</v>
      </c>
      <c r="E21" s="67"/>
      <c r="F21" s="66">
        <v>33.53</v>
      </c>
      <c r="G21" s="66">
        <v>9.1199999999999992</v>
      </c>
      <c r="H21" s="67">
        <f t="shared" si="0"/>
        <v>38.090000000000003</v>
      </c>
      <c r="I21" s="68">
        <f t="shared" si="1"/>
        <v>42.65</v>
      </c>
      <c r="J21" s="69">
        <v>3010</v>
      </c>
      <c r="K21" s="70">
        <v>0</v>
      </c>
      <c r="L21" s="71">
        <v>0</v>
      </c>
      <c r="M21" s="71">
        <v>0</v>
      </c>
      <c r="N21" s="72">
        <f t="shared" si="2"/>
        <v>2558.5</v>
      </c>
      <c r="O21" s="73">
        <f t="shared" si="3"/>
        <v>3010</v>
      </c>
      <c r="P21" s="121">
        <f t="shared" si="4"/>
        <v>67.169860855867682</v>
      </c>
      <c r="Q21" s="74">
        <f t="shared" si="5"/>
        <v>0.15</v>
      </c>
      <c r="R21" s="75">
        <f t="shared" si="6"/>
        <v>451.5</v>
      </c>
      <c r="S21" s="74">
        <v>0.8</v>
      </c>
      <c r="T21" s="75">
        <f t="shared" si="7"/>
        <v>2408</v>
      </c>
      <c r="U21" s="76">
        <f t="shared" si="8"/>
        <v>4.9999999999999961E-2</v>
      </c>
      <c r="V21" s="69">
        <f t="shared" si="9"/>
        <v>150.49999999999989</v>
      </c>
      <c r="W21" s="77">
        <f ca="1">V21*VLOOKUP(TODAY(),'UF HOY'!$A$2:$B$36,2,0)</f>
        <v>5979957.969999996</v>
      </c>
      <c r="X21" s="78">
        <f>Datos!$E$3</f>
        <v>15</v>
      </c>
      <c r="Y21" s="79">
        <f ca="1">IF((W21-1000000-Datos!$N$3)/X21&gt;0,(W21-1000000-Datos!$N$3)/X21,0)</f>
        <v>325330.53133333306</v>
      </c>
      <c r="Z21" s="78">
        <f>Datos!$G$3</f>
        <v>15</v>
      </c>
      <c r="AA21" s="79">
        <f ca="1">IF((W21-1000000-Datos!$N$3)/Z21&gt;0,(W21-1000000-Datos!$N$3)/Z21,0)</f>
        <v>325330.53133333306</v>
      </c>
      <c r="AB21" s="79">
        <f>IF(L21&gt;0,VLOOKUP(D21,Datos!$H$30:$J$33,3,0),VLOOKUP(D21,Datos!$H$30:$J$33,2,0))</f>
        <v>350000</v>
      </c>
      <c r="AC21" s="79">
        <f ca="1">(S21*PMT(Datos!$D$15,Datos!$D$13,-O21,,)*VLOOKUP(TODAY(),'UF HOY'!$A$2:$B$36,2,0)/12)</f>
        <v>461095.41629363777</v>
      </c>
      <c r="AD21" s="79">
        <f t="shared" ca="1" si="10"/>
        <v>-111095.41629363777</v>
      </c>
      <c r="AE21" s="220">
        <f t="shared" ca="1" si="11"/>
        <v>1844381.6651745511</v>
      </c>
      <c r="AF21" s="45"/>
    </row>
    <row r="22" spans="1:32" hidden="1">
      <c r="A22" s="66" t="s">
        <v>171</v>
      </c>
      <c r="B22" s="66">
        <v>214</v>
      </c>
      <c r="C22" s="67" t="s">
        <v>122</v>
      </c>
      <c r="D22" s="67" t="s">
        <v>195</v>
      </c>
      <c r="E22" s="67"/>
      <c r="F22" s="66">
        <v>36.56</v>
      </c>
      <c r="G22" s="66">
        <v>4.9800000000000004</v>
      </c>
      <c r="H22" s="67">
        <f t="shared" si="0"/>
        <v>39.050000000000004</v>
      </c>
      <c r="I22" s="68">
        <f t="shared" si="1"/>
        <v>41.540000000000006</v>
      </c>
      <c r="J22" s="69">
        <v>3090</v>
      </c>
      <c r="K22" s="70">
        <v>0</v>
      </c>
      <c r="L22" s="71">
        <v>0</v>
      </c>
      <c r="M22" s="71">
        <v>0</v>
      </c>
      <c r="N22" s="72">
        <f t="shared" si="2"/>
        <v>2626.5</v>
      </c>
      <c r="O22" s="73">
        <f t="shared" si="3"/>
        <v>3090</v>
      </c>
      <c r="P22" s="121">
        <f t="shared" si="4"/>
        <v>67.25992317541612</v>
      </c>
      <c r="Q22" s="74">
        <f t="shared" si="5"/>
        <v>0.15</v>
      </c>
      <c r="R22" s="75">
        <f t="shared" si="6"/>
        <v>463.5</v>
      </c>
      <c r="S22" s="74">
        <v>0.8</v>
      </c>
      <c r="T22" s="75">
        <f t="shared" si="7"/>
        <v>2472</v>
      </c>
      <c r="U22" s="76">
        <f t="shared" si="8"/>
        <v>4.9999999999999961E-2</v>
      </c>
      <c r="V22" s="69">
        <f t="shared" si="9"/>
        <v>154.49999999999989</v>
      </c>
      <c r="W22" s="77">
        <f ca="1">V22*VLOOKUP(TODAY(),'UF HOY'!$A$2:$B$36,2,0)</f>
        <v>6138893.7299999958</v>
      </c>
      <c r="X22" s="78">
        <f>Datos!$E$3</f>
        <v>15</v>
      </c>
      <c r="Y22" s="79">
        <f ca="1">IF((W22-1000000-Datos!$N$3)/X22&gt;0,(W22-1000000-Datos!$N$3)/X22,0)</f>
        <v>335926.24866666639</v>
      </c>
      <c r="Z22" s="78">
        <f>Datos!$G$3</f>
        <v>15</v>
      </c>
      <c r="AA22" s="79">
        <f ca="1">IF((W22-1000000-Datos!$N$3)/Z22&gt;0,(W22-1000000-Datos!$N$3)/Z22,0)</f>
        <v>335926.24866666639</v>
      </c>
      <c r="AB22" s="79">
        <f>IF(L22&gt;0,VLOOKUP(D22,Datos!$H$30:$J$33,3,0),VLOOKUP(D22,Datos!$H$30:$J$33,2,0))</f>
        <v>350000</v>
      </c>
      <c r="AC22" s="79">
        <f ca="1">(S22*PMT(Datos!$D$15,Datos!$D$13,-O22,,)*VLOOKUP(TODAY(),'UF HOY'!$A$2:$B$36,2,0)/12)</f>
        <v>473350.44396921614</v>
      </c>
      <c r="AD22" s="79">
        <f t="shared" ca="1" si="10"/>
        <v>-123350.44396921614</v>
      </c>
      <c r="AE22" s="220">
        <f t="shared" ca="1" si="11"/>
        <v>1893401.7758768646</v>
      </c>
      <c r="AF22" s="45"/>
    </row>
    <row r="23" spans="1:32" hidden="1">
      <c r="A23" s="66" t="s">
        <v>171</v>
      </c>
      <c r="B23" s="66">
        <v>215</v>
      </c>
      <c r="C23" s="67" t="s">
        <v>123</v>
      </c>
      <c r="D23" s="67" t="s">
        <v>195</v>
      </c>
      <c r="E23" s="67"/>
      <c r="F23" s="66">
        <v>36.53</v>
      </c>
      <c r="G23" s="66">
        <v>4.8499999999999996</v>
      </c>
      <c r="H23" s="67">
        <f t="shared" si="0"/>
        <v>38.954999999999998</v>
      </c>
      <c r="I23" s="68">
        <f t="shared" si="1"/>
        <v>41.38</v>
      </c>
      <c r="J23" s="69">
        <v>3150</v>
      </c>
      <c r="K23" s="70">
        <v>0</v>
      </c>
      <c r="L23" s="71">
        <v>0</v>
      </c>
      <c r="M23" s="71">
        <v>0</v>
      </c>
      <c r="N23" s="72">
        <f t="shared" si="2"/>
        <v>2677.5</v>
      </c>
      <c r="O23" s="73">
        <f t="shared" si="3"/>
        <v>3150</v>
      </c>
      <c r="P23" s="121">
        <f t="shared" si="4"/>
        <v>68.733153638814017</v>
      </c>
      <c r="Q23" s="74">
        <f t="shared" si="5"/>
        <v>0.15</v>
      </c>
      <c r="R23" s="75">
        <f t="shared" si="6"/>
        <v>472.5</v>
      </c>
      <c r="S23" s="74">
        <v>0.8</v>
      </c>
      <c r="T23" s="75">
        <f t="shared" si="7"/>
        <v>2520</v>
      </c>
      <c r="U23" s="76">
        <f t="shared" si="8"/>
        <v>4.9999999999999961E-2</v>
      </c>
      <c r="V23" s="69">
        <f t="shared" si="9"/>
        <v>157.49999999999989</v>
      </c>
      <c r="W23" s="77">
        <f ca="1">V23*VLOOKUP(TODAY(),'UF HOY'!$A$2:$B$36,2,0)</f>
        <v>6258095.5499999961</v>
      </c>
      <c r="X23" s="78">
        <f>Datos!$E$3</f>
        <v>15</v>
      </c>
      <c r="Y23" s="79">
        <f ca="1">IF((W23-1000000-Datos!$N$3)/X23&gt;0,(W23-1000000-Datos!$N$3)/X23,0)</f>
        <v>343873.03666666639</v>
      </c>
      <c r="Z23" s="78">
        <f>Datos!$G$3</f>
        <v>15</v>
      </c>
      <c r="AA23" s="79">
        <f ca="1">IF((W23-1000000-Datos!$N$3)/Z23&gt;0,(W23-1000000-Datos!$N$3)/Z23,0)</f>
        <v>343873.03666666639</v>
      </c>
      <c r="AB23" s="79">
        <f>IF(L23&gt;0,VLOOKUP(D23,Datos!$H$30:$J$33,3,0),VLOOKUP(D23,Datos!$H$30:$J$33,2,0))</f>
        <v>350000</v>
      </c>
      <c r="AC23" s="79">
        <f ca="1">(S23*PMT(Datos!$D$15,Datos!$D$13,-O23,,)*VLOOKUP(TODAY(),'UF HOY'!$A$2:$B$36,2,0)/12)</f>
        <v>482541.71472589998</v>
      </c>
      <c r="AD23" s="79">
        <f t="shared" ca="1" si="10"/>
        <v>-132541.71472589998</v>
      </c>
      <c r="AE23" s="220">
        <f t="shared" ca="1" si="11"/>
        <v>1930166.8589035999</v>
      </c>
      <c r="AF23" s="45"/>
    </row>
    <row r="24" spans="1:32">
      <c r="A24" s="66" t="s">
        <v>4</v>
      </c>
      <c r="B24" s="66">
        <v>607</v>
      </c>
      <c r="C24" s="67" t="s">
        <v>103</v>
      </c>
      <c r="D24" s="67" t="s">
        <v>196</v>
      </c>
      <c r="E24" s="67"/>
      <c r="F24" s="66">
        <v>42.9</v>
      </c>
      <c r="G24" s="66">
        <v>11.95</v>
      </c>
      <c r="H24" s="67">
        <f t="shared" si="0"/>
        <v>48.875</v>
      </c>
      <c r="I24" s="68">
        <f t="shared" si="1"/>
        <v>54.849999999999994</v>
      </c>
      <c r="J24" s="69">
        <v>3760</v>
      </c>
      <c r="K24" s="70">
        <v>0</v>
      </c>
      <c r="L24" s="71">
        <v>400</v>
      </c>
      <c r="M24" s="71">
        <v>160</v>
      </c>
      <c r="N24" s="72">
        <f t="shared" si="2"/>
        <v>3672</v>
      </c>
      <c r="O24" s="73">
        <f t="shared" si="3"/>
        <v>4320</v>
      </c>
      <c r="P24" s="121">
        <f t="shared" si="4"/>
        <v>63.672634271099746</v>
      </c>
      <c r="Q24" s="74">
        <f t="shared" si="5"/>
        <v>0.15</v>
      </c>
      <c r="R24" s="75">
        <f t="shared" si="6"/>
        <v>648</v>
      </c>
      <c r="S24" s="74">
        <v>0.8</v>
      </c>
      <c r="T24" s="75">
        <f t="shared" si="7"/>
        <v>3456</v>
      </c>
      <c r="U24" s="76">
        <f t="shared" si="8"/>
        <v>4.9999999999999961E-2</v>
      </c>
      <c r="V24" s="69">
        <f t="shared" si="9"/>
        <v>215.99999999999983</v>
      </c>
      <c r="W24" s="77">
        <f ca="1">V24*VLOOKUP(TODAY(),'UF HOY'!$A$2:$B$36,2,0)</f>
        <v>8582531.0399999935</v>
      </c>
      <c r="X24" s="78">
        <f>Datos!$E$3</f>
        <v>15</v>
      </c>
      <c r="Y24" s="79">
        <f ca="1">IF((W24-1000000-Datos!$N$3)/X24&gt;0,(W24-1000000-Datos!$N$3)/X24,0)</f>
        <v>498835.40266666625</v>
      </c>
      <c r="Z24" s="78">
        <f>Datos!$G$3</f>
        <v>15</v>
      </c>
      <c r="AA24" s="79">
        <f ca="1">IF((W24-1000000-Datos!$N$3)/Z24&gt;0,(W24-1000000-Datos!$N$3)/Z24,0)</f>
        <v>498835.40266666625</v>
      </c>
      <c r="AB24" s="79">
        <f>IF(L24&gt;0,VLOOKUP(D24,Datos!$H$30:$J$33,3,0),VLOOKUP(D24,Datos!$H$30:$J$33,2,0))</f>
        <v>440000</v>
      </c>
      <c r="AC24" s="79">
        <f ca="1">(S24*PMT(Datos!$D$15,Datos!$D$13,-O24,,)*VLOOKUP(TODAY(),'UF HOY'!$A$2:$B$36,2,0)/12)</f>
        <v>661771.49448123423</v>
      </c>
      <c r="AD24" s="79">
        <f t="shared" ca="1" si="10"/>
        <v>-221771.49448123423</v>
      </c>
      <c r="AE24" s="220">
        <f t="shared" ca="1" si="11"/>
        <v>2647085.9779249369</v>
      </c>
      <c r="AF24" s="45"/>
    </row>
    <row r="25" spans="1:32" hidden="1">
      <c r="A25" s="66" t="s">
        <v>171</v>
      </c>
      <c r="B25" s="66">
        <v>301</v>
      </c>
      <c r="C25" s="67" t="s">
        <v>131</v>
      </c>
      <c r="D25" s="67" t="s">
        <v>196</v>
      </c>
      <c r="E25" s="67"/>
      <c r="F25" s="66">
        <v>46.09</v>
      </c>
      <c r="G25" s="66">
        <v>4.8899999999999997</v>
      </c>
      <c r="H25" s="67">
        <f t="shared" si="0"/>
        <v>48.535000000000004</v>
      </c>
      <c r="I25" s="68">
        <f t="shared" si="1"/>
        <v>50.980000000000004</v>
      </c>
      <c r="J25" s="69">
        <v>3650</v>
      </c>
      <c r="K25" s="70">
        <v>0</v>
      </c>
      <c r="L25" s="71">
        <v>0</v>
      </c>
      <c r="M25" s="71">
        <v>0</v>
      </c>
      <c r="N25" s="72">
        <f t="shared" si="2"/>
        <v>3102.5</v>
      </c>
      <c r="O25" s="73">
        <f t="shared" si="3"/>
        <v>3650</v>
      </c>
      <c r="P25" s="121">
        <f t="shared" si="4"/>
        <v>63.922942206654987</v>
      </c>
      <c r="Q25" s="74">
        <f t="shared" si="5"/>
        <v>0.15</v>
      </c>
      <c r="R25" s="75">
        <f t="shared" si="6"/>
        <v>547.5</v>
      </c>
      <c r="S25" s="74">
        <v>0.8</v>
      </c>
      <c r="T25" s="75">
        <f t="shared" si="7"/>
        <v>2920</v>
      </c>
      <c r="U25" s="76">
        <f t="shared" si="8"/>
        <v>4.9999999999999961E-2</v>
      </c>
      <c r="V25" s="69">
        <f t="shared" si="9"/>
        <v>182.49999999999986</v>
      </c>
      <c r="W25" s="77">
        <f ca="1">V25*VLOOKUP(TODAY(),'UF HOY'!$A$2:$B$36,2,0)</f>
        <v>7251444.0499999952</v>
      </c>
      <c r="X25" s="78">
        <f>Datos!$E$3</f>
        <v>15</v>
      </c>
      <c r="Y25" s="79">
        <f ca="1">IF((W25-1000000-Datos!$N$3)/X25&gt;0,(W25-1000000-Datos!$N$3)/X25,0)</f>
        <v>410096.26999999967</v>
      </c>
      <c r="Z25" s="78">
        <f>Datos!$G$3</f>
        <v>15</v>
      </c>
      <c r="AA25" s="79">
        <f ca="1">IF((W25-1000000-Datos!$N$3)/Z25&gt;0,(W25-1000000-Datos!$N$3)/Z25,0)</f>
        <v>410096.26999999967</v>
      </c>
      <c r="AB25" s="79">
        <f>IF(L25&gt;0,VLOOKUP(D25,Datos!$H$30:$J$33,3,0),VLOOKUP(D25,Datos!$H$30:$J$33,2,0))</f>
        <v>400000</v>
      </c>
      <c r="AC25" s="79">
        <f ca="1">(S25*PMT(Datos!$D$15,Datos!$D$13,-O25,,)*VLOOKUP(TODAY(),'UF HOY'!$A$2:$B$36,2,0)/12)</f>
        <v>559135.63769826514</v>
      </c>
      <c r="AD25" s="79">
        <f t="shared" ca="1" si="10"/>
        <v>-159135.63769826514</v>
      </c>
      <c r="AE25" s="220">
        <f t="shared" ca="1" si="11"/>
        <v>2236542.5507930606</v>
      </c>
      <c r="AF25" s="45"/>
    </row>
    <row r="26" spans="1:32" hidden="1">
      <c r="A26" s="66" t="s">
        <v>171</v>
      </c>
      <c r="B26" s="86">
        <v>302</v>
      </c>
      <c r="C26" s="67" t="s">
        <v>131</v>
      </c>
      <c r="D26" s="67" t="s">
        <v>194</v>
      </c>
      <c r="E26" s="67"/>
      <c r="F26" s="66">
        <v>48.16</v>
      </c>
      <c r="G26" s="66">
        <v>12.72</v>
      </c>
      <c r="H26" s="67">
        <f t="shared" si="0"/>
        <v>54.519999999999996</v>
      </c>
      <c r="I26" s="68">
        <f t="shared" si="1"/>
        <v>60.879999999999995</v>
      </c>
      <c r="J26" s="69">
        <v>3970</v>
      </c>
      <c r="K26" s="70">
        <v>0</v>
      </c>
      <c r="L26" s="71">
        <v>400</v>
      </c>
      <c r="M26" s="71">
        <v>160</v>
      </c>
      <c r="N26" s="72">
        <f t="shared" si="2"/>
        <v>3850.5</v>
      </c>
      <c r="O26" s="73">
        <f t="shared" si="3"/>
        <v>4530</v>
      </c>
      <c r="P26" s="121">
        <f t="shared" si="4"/>
        <v>60.353998532648575</v>
      </c>
      <c r="Q26" s="74">
        <f t="shared" si="5"/>
        <v>0.15</v>
      </c>
      <c r="R26" s="75">
        <f t="shared" si="6"/>
        <v>679.5</v>
      </c>
      <c r="S26" s="74">
        <v>0.8</v>
      </c>
      <c r="T26" s="75">
        <f t="shared" si="7"/>
        <v>3624</v>
      </c>
      <c r="U26" s="76">
        <f t="shared" si="8"/>
        <v>4.9999999999999961E-2</v>
      </c>
      <c r="V26" s="69">
        <f t="shared" si="9"/>
        <v>226.49999999999983</v>
      </c>
      <c r="W26" s="77">
        <f ca="1">V26*VLOOKUP(TODAY(),'UF HOY'!$A$2:$B$36,2,0)</f>
        <v>8999737.4099999946</v>
      </c>
      <c r="X26" s="78">
        <f>Datos!$E$3</f>
        <v>15</v>
      </c>
      <c r="Y26" s="79">
        <f ca="1">IF((W26-1000000-Datos!$N$3)/X26&gt;0,(W26-1000000-Datos!$N$3)/X26,0)</f>
        <v>526649.16066666634</v>
      </c>
      <c r="Z26" s="78">
        <f>Datos!$G$3</f>
        <v>15</v>
      </c>
      <c r="AA26" s="79">
        <f ca="1">IF((W26-1000000-Datos!$N$3)/Z26&gt;0,(W26-1000000-Datos!$N$3)/Z26,0)</f>
        <v>526649.16066666634</v>
      </c>
      <c r="AB26" s="79">
        <f>IF(L26&gt;0,VLOOKUP(D26,Datos!$H$30:$J$33,3,0),VLOOKUP(D26,Datos!$H$30:$J$33,2,0))</f>
        <v>490000</v>
      </c>
      <c r="AC26" s="79">
        <f ca="1">(S26*PMT(Datos!$D$15,Datos!$D$13,-O26,,)*VLOOKUP(TODAY(),'UF HOY'!$A$2:$B$36,2,0)/12)</f>
        <v>693940.94212962734</v>
      </c>
      <c r="AD26" s="79">
        <f t="shared" ca="1" si="10"/>
        <v>-203940.94212962734</v>
      </c>
      <c r="AE26" s="220">
        <f t="shared" ca="1" si="11"/>
        <v>2775763.7685185093</v>
      </c>
      <c r="AF26" s="45"/>
    </row>
    <row r="27" spans="1:32" hidden="1">
      <c r="A27" s="66" t="s">
        <v>171</v>
      </c>
      <c r="B27" s="66">
        <v>304</v>
      </c>
      <c r="C27" s="67" t="s">
        <v>123</v>
      </c>
      <c r="D27" s="67" t="s">
        <v>195</v>
      </c>
      <c r="E27" s="67"/>
      <c r="F27" s="66">
        <v>36.549999999999997</v>
      </c>
      <c r="G27" s="66">
        <v>4.92</v>
      </c>
      <c r="H27" s="67">
        <f t="shared" si="0"/>
        <v>39.01</v>
      </c>
      <c r="I27" s="68">
        <f t="shared" si="1"/>
        <v>41.47</v>
      </c>
      <c r="J27" s="69">
        <v>3150</v>
      </c>
      <c r="K27" s="70">
        <v>0</v>
      </c>
      <c r="L27" s="71">
        <v>0</v>
      </c>
      <c r="M27" s="71">
        <v>0</v>
      </c>
      <c r="N27" s="72">
        <f t="shared" si="2"/>
        <v>2677.5</v>
      </c>
      <c r="O27" s="73">
        <f t="shared" si="3"/>
        <v>3150</v>
      </c>
      <c r="P27" s="121">
        <f t="shared" si="4"/>
        <v>68.636247116124068</v>
      </c>
      <c r="Q27" s="74">
        <f t="shared" si="5"/>
        <v>0.15</v>
      </c>
      <c r="R27" s="75">
        <f t="shared" si="6"/>
        <v>472.5</v>
      </c>
      <c r="S27" s="74">
        <v>0.8</v>
      </c>
      <c r="T27" s="75">
        <f t="shared" si="7"/>
        <v>2520</v>
      </c>
      <c r="U27" s="76">
        <f t="shared" si="8"/>
        <v>4.9999999999999961E-2</v>
      </c>
      <c r="V27" s="69">
        <f t="shared" si="9"/>
        <v>157.49999999999989</v>
      </c>
      <c r="W27" s="77">
        <f ca="1">V27*VLOOKUP(TODAY(),'UF HOY'!$A$2:$B$36,2,0)</f>
        <v>6258095.5499999961</v>
      </c>
      <c r="X27" s="78">
        <f>Datos!$E$3</f>
        <v>15</v>
      </c>
      <c r="Y27" s="79">
        <f ca="1">IF((W27-1000000-Datos!$N$3)/X27&gt;0,(W27-1000000-Datos!$N$3)/X27,0)</f>
        <v>343873.03666666639</v>
      </c>
      <c r="Z27" s="78">
        <f>Datos!$G$3</f>
        <v>15</v>
      </c>
      <c r="AA27" s="79">
        <f ca="1">IF((W27-1000000-Datos!$N$3)/Z27&gt;0,(W27-1000000-Datos!$N$3)/Z27,0)</f>
        <v>343873.03666666639</v>
      </c>
      <c r="AB27" s="79">
        <f>IF(L27&gt;0,VLOOKUP(D27,Datos!$H$30:$J$33,3,0),VLOOKUP(D27,Datos!$H$30:$J$33,2,0))</f>
        <v>350000</v>
      </c>
      <c r="AC27" s="79">
        <f ca="1">(S27*PMT(Datos!$D$15,Datos!$D$13,-O27,,)*VLOOKUP(TODAY(),'UF HOY'!$A$2:$B$36,2,0)/12)</f>
        <v>482541.71472589998</v>
      </c>
      <c r="AD27" s="79">
        <f t="shared" ca="1" si="10"/>
        <v>-132541.71472589998</v>
      </c>
      <c r="AE27" s="220">
        <f t="shared" ca="1" si="11"/>
        <v>1930166.8589035999</v>
      </c>
      <c r="AF27" s="45"/>
    </row>
    <row r="28" spans="1:32" hidden="1">
      <c r="A28" s="66" t="s">
        <v>171</v>
      </c>
      <c r="B28" s="66">
        <v>305</v>
      </c>
      <c r="C28" s="67" t="s">
        <v>124</v>
      </c>
      <c r="D28" s="67" t="s">
        <v>195</v>
      </c>
      <c r="E28" s="67"/>
      <c r="F28" s="66">
        <v>36.549999999999997</v>
      </c>
      <c r="G28" s="66">
        <v>5.48</v>
      </c>
      <c r="H28" s="67">
        <f t="shared" si="0"/>
        <v>39.29</v>
      </c>
      <c r="I28" s="68">
        <f t="shared" si="1"/>
        <v>42.03</v>
      </c>
      <c r="J28" s="69">
        <v>3210</v>
      </c>
      <c r="K28" s="70">
        <v>0</v>
      </c>
      <c r="L28" s="71">
        <v>0</v>
      </c>
      <c r="M28" s="71">
        <v>0</v>
      </c>
      <c r="N28" s="72">
        <f t="shared" si="2"/>
        <v>2728.5</v>
      </c>
      <c r="O28" s="73">
        <f t="shared" si="3"/>
        <v>3210</v>
      </c>
      <c r="P28" s="121">
        <f t="shared" si="4"/>
        <v>69.445151438024951</v>
      </c>
      <c r="Q28" s="74">
        <f t="shared" si="5"/>
        <v>0.15</v>
      </c>
      <c r="R28" s="75">
        <f t="shared" si="6"/>
        <v>481.5</v>
      </c>
      <c r="S28" s="74">
        <v>0.8</v>
      </c>
      <c r="T28" s="75">
        <f t="shared" si="7"/>
        <v>2568</v>
      </c>
      <c r="U28" s="76">
        <f t="shared" si="8"/>
        <v>4.9999999999999961E-2</v>
      </c>
      <c r="V28" s="69">
        <f t="shared" si="9"/>
        <v>160.49999999999989</v>
      </c>
      <c r="W28" s="77">
        <f ca="1">V28*VLOOKUP(TODAY(),'UF HOY'!$A$2:$B$36,2,0)</f>
        <v>6377297.3699999955</v>
      </c>
      <c r="X28" s="78">
        <f>Datos!$E$3</f>
        <v>15</v>
      </c>
      <c r="Y28" s="79">
        <f ca="1">IF((W28-1000000-Datos!$N$3)/X28&gt;0,(W28-1000000-Datos!$N$3)/X28,0)</f>
        <v>351819.82466666639</v>
      </c>
      <c r="Z28" s="78">
        <f>Datos!$G$3</f>
        <v>15</v>
      </c>
      <c r="AA28" s="79">
        <f ca="1">IF((W28-1000000-Datos!$N$3)/Z28&gt;0,(W28-1000000-Datos!$N$3)/Z28,0)</f>
        <v>351819.82466666639</v>
      </c>
      <c r="AB28" s="79">
        <f>IF(L28&gt;0,VLOOKUP(D28,Datos!$H$30:$J$33,3,0),VLOOKUP(D28,Datos!$H$30:$J$33,2,0))</f>
        <v>350000</v>
      </c>
      <c r="AC28" s="79">
        <f ca="1">(S28*PMT(Datos!$D$15,Datos!$D$13,-O28,,)*VLOOKUP(TODAY(),'UF HOY'!$A$2:$B$36,2,0)/12)</f>
        <v>491732.9854825837</v>
      </c>
      <c r="AD28" s="79">
        <f t="shared" ca="1" si="10"/>
        <v>-141732.9854825837</v>
      </c>
      <c r="AE28" s="220">
        <f t="shared" ca="1" si="11"/>
        <v>1966931.9419303348</v>
      </c>
      <c r="AF28" s="45"/>
    </row>
    <row r="29" spans="1:32" ht="14.25" customHeight="1">
      <c r="A29" s="66" t="s">
        <v>4</v>
      </c>
      <c r="B29" s="66">
        <v>707</v>
      </c>
      <c r="C29" s="67" t="s">
        <v>103</v>
      </c>
      <c r="D29" s="67" t="s">
        <v>196</v>
      </c>
      <c r="E29" s="67"/>
      <c r="F29" s="66">
        <v>42.9</v>
      </c>
      <c r="G29" s="66">
        <v>11.95</v>
      </c>
      <c r="H29" s="67">
        <f t="shared" si="0"/>
        <v>48.875</v>
      </c>
      <c r="I29" s="68">
        <f t="shared" si="1"/>
        <v>54.849999999999994</v>
      </c>
      <c r="J29" s="69">
        <v>3760</v>
      </c>
      <c r="K29" s="70">
        <v>0</v>
      </c>
      <c r="L29" s="71">
        <v>400</v>
      </c>
      <c r="M29" s="71">
        <v>160</v>
      </c>
      <c r="N29" s="72">
        <f t="shared" si="2"/>
        <v>3672</v>
      </c>
      <c r="O29" s="73">
        <f t="shared" si="3"/>
        <v>4320</v>
      </c>
      <c r="P29" s="121">
        <f t="shared" si="4"/>
        <v>63.672634271099746</v>
      </c>
      <c r="Q29" s="74">
        <f t="shared" si="5"/>
        <v>0.15</v>
      </c>
      <c r="R29" s="75">
        <f t="shared" si="6"/>
        <v>648</v>
      </c>
      <c r="S29" s="74">
        <v>0.8</v>
      </c>
      <c r="T29" s="75">
        <f t="shared" si="7"/>
        <v>3456</v>
      </c>
      <c r="U29" s="76">
        <f t="shared" si="8"/>
        <v>4.9999999999999961E-2</v>
      </c>
      <c r="V29" s="69">
        <f t="shared" si="9"/>
        <v>215.99999999999983</v>
      </c>
      <c r="W29" s="77">
        <f ca="1">V29*VLOOKUP(TODAY(),'UF HOY'!$A$2:$B$36,2,0)</f>
        <v>8582531.0399999935</v>
      </c>
      <c r="X29" s="78">
        <f>Datos!$E$3</f>
        <v>15</v>
      </c>
      <c r="Y29" s="79">
        <f ca="1">IF((W29-1000000-Datos!$N$3)/X29&gt;0,(W29-1000000-Datos!$N$3)/X29,0)</f>
        <v>498835.40266666625</v>
      </c>
      <c r="Z29" s="78">
        <f>Datos!$G$3</f>
        <v>15</v>
      </c>
      <c r="AA29" s="79">
        <f ca="1">IF((W29-1000000-Datos!$N$3)/Z29&gt;0,(W29-1000000-Datos!$N$3)/Z29,0)</f>
        <v>498835.40266666625</v>
      </c>
      <c r="AB29" s="79">
        <f>IF(L29&gt;0,VLOOKUP(D29,Datos!$H$30:$J$33,3,0),VLOOKUP(D29,Datos!$H$30:$J$33,2,0))</f>
        <v>440000</v>
      </c>
      <c r="AC29" s="79">
        <f ca="1">(S29*PMT(Datos!$D$15,Datos!$D$13,-O29,,)*VLOOKUP(TODAY(),'UF HOY'!$A$2:$B$36,2,0)/12)</f>
        <v>661771.49448123423</v>
      </c>
      <c r="AD29" s="79">
        <f t="shared" ca="1" si="10"/>
        <v>-221771.49448123423</v>
      </c>
      <c r="AE29" s="220">
        <f t="shared" ca="1" si="11"/>
        <v>2647085.9779249369</v>
      </c>
      <c r="AF29" s="45"/>
    </row>
    <row r="30" spans="1:32" hidden="1">
      <c r="A30" s="66" t="s">
        <v>171</v>
      </c>
      <c r="B30" s="66">
        <v>309</v>
      </c>
      <c r="C30" s="67" t="s">
        <v>103</v>
      </c>
      <c r="D30" s="67" t="s">
        <v>196</v>
      </c>
      <c r="E30" s="67"/>
      <c r="F30" s="66">
        <v>42.9</v>
      </c>
      <c r="G30" s="66">
        <v>12.54</v>
      </c>
      <c r="H30" s="67">
        <f t="shared" si="0"/>
        <v>49.17</v>
      </c>
      <c r="I30" s="68">
        <f t="shared" si="1"/>
        <v>55.44</v>
      </c>
      <c r="J30" s="69">
        <v>3770</v>
      </c>
      <c r="K30" s="70">
        <v>0</v>
      </c>
      <c r="L30" s="71">
        <v>400</v>
      </c>
      <c r="M30" s="71">
        <v>160</v>
      </c>
      <c r="N30" s="72">
        <f t="shared" si="2"/>
        <v>3680.5</v>
      </c>
      <c r="O30" s="73">
        <f t="shared" si="3"/>
        <v>4330</v>
      </c>
      <c r="P30" s="121">
        <f t="shared" si="4"/>
        <v>63.463494000406747</v>
      </c>
      <c r="Q30" s="74">
        <f t="shared" si="5"/>
        <v>0.15</v>
      </c>
      <c r="R30" s="75">
        <f t="shared" si="6"/>
        <v>649.5</v>
      </c>
      <c r="S30" s="74">
        <v>0.8</v>
      </c>
      <c r="T30" s="75">
        <f t="shared" si="7"/>
        <v>3464</v>
      </c>
      <c r="U30" s="76">
        <f t="shared" si="8"/>
        <v>4.9999999999999961E-2</v>
      </c>
      <c r="V30" s="69">
        <f t="shared" si="9"/>
        <v>216.49999999999983</v>
      </c>
      <c r="W30" s="77">
        <f ca="1">V30*VLOOKUP(TODAY(),'UF HOY'!$A$2:$B$36,2,0)</f>
        <v>8602398.0099999942</v>
      </c>
      <c r="X30" s="78">
        <f>Datos!$E$3</f>
        <v>15</v>
      </c>
      <c r="Y30" s="79">
        <f ca="1">IF((W30-1000000-Datos!$N$3)/X30&gt;0,(W30-1000000-Datos!$N$3)/X30,0)</f>
        <v>500159.86733333295</v>
      </c>
      <c r="Z30" s="78">
        <f>Datos!$G$3</f>
        <v>15</v>
      </c>
      <c r="AA30" s="79">
        <f ca="1">IF((W30-1000000-Datos!$N$3)/Z30&gt;0,(W30-1000000-Datos!$N$3)/Z30,0)</f>
        <v>500159.86733333295</v>
      </c>
      <c r="AB30" s="79">
        <f>IF(L30&gt;0,VLOOKUP(D30,Datos!$H$30:$J$33,3,0),VLOOKUP(D30,Datos!$H$30:$J$33,2,0))</f>
        <v>440000</v>
      </c>
      <c r="AC30" s="79">
        <f ca="1">(S30*PMT(Datos!$D$15,Datos!$D$13,-O30,,)*VLOOKUP(TODAY(),'UF HOY'!$A$2:$B$36,2,0)/12)</f>
        <v>663303.37294068141</v>
      </c>
      <c r="AD30" s="79">
        <f t="shared" ca="1" si="10"/>
        <v>-223303.37294068141</v>
      </c>
      <c r="AE30" s="220">
        <f t="shared" ca="1" si="11"/>
        <v>2653213.4917627256</v>
      </c>
      <c r="AF30" s="45"/>
    </row>
    <row r="31" spans="1:32" hidden="1">
      <c r="A31" s="66" t="s">
        <v>171</v>
      </c>
      <c r="B31" s="66">
        <v>310</v>
      </c>
      <c r="C31" s="67" t="s">
        <v>121</v>
      </c>
      <c r="D31" s="67" t="s">
        <v>194</v>
      </c>
      <c r="E31" s="67"/>
      <c r="F31" s="66">
        <v>53.54</v>
      </c>
      <c r="G31" s="66">
        <v>5.3</v>
      </c>
      <c r="H31" s="67">
        <f t="shared" si="0"/>
        <v>56.19</v>
      </c>
      <c r="I31" s="68">
        <f t="shared" si="1"/>
        <v>58.839999999999996</v>
      </c>
      <c r="J31" s="69">
        <v>4010</v>
      </c>
      <c r="K31" s="70">
        <v>0</v>
      </c>
      <c r="L31" s="71">
        <v>400</v>
      </c>
      <c r="M31" s="71">
        <v>160</v>
      </c>
      <c r="N31" s="72">
        <f t="shared" si="2"/>
        <v>3884.5</v>
      </c>
      <c r="O31" s="73">
        <f t="shared" si="3"/>
        <v>4570</v>
      </c>
      <c r="P31" s="121">
        <f t="shared" si="4"/>
        <v>59.165331909592453</v>
      </c>
      <c r="Q31" s="74">
        <f t="shared" si="5"/>
        <v>0.15</v>
      </c>
      <c r="R31" s="75">
        <f t="shared" si="6"/>
        <v>685.5</v>
      </c>
      <c r="S31" s="74">
        <v>0.8</v>
      </c>
      <c r="T31" s="75">
        <f t="shared" si="7"/>
        <v>3656</v>
      </c>
      <c r="U31" s="76">
        <f t="shared" si="8"/>
        <v>4.9999999999999961E-2</v>
      </c>
      <c r="V31" s="69">
        <f t="shared" si="9"/>
        <v>228.49999999999983</v>
      </c>
      <c r="W31" s="77">
        <f ca="1">V31*VLOOKUP(TODAY(),'UF HOY'!$A$2:$B$36,2,0)</f>
        <v>9079205.2899999935</v>
      </c>
      <c r="X31" s="78">
        <f>Datos!$E$3</f>
        <v>15</v>
      </c>
      <c r="Y31" s="79">
        <f ca="1">IF((W31-1000000-Datos!$N$3)/X31&gt;0,(W31-1000000-Datos!$N$3)/X31,0)</f>
        <v>531947.01933333289</v>
      </c>
      <c r="Z31" s="78">
        <f>Datos!$G$3</f>
        <v>15</v>
      </c>
      <c r="AA31" s="79">
        <f ca="1">IF((W31-1000000-Datos!$N$3)/Z31&gt;0,(W31-1000000-Datos!$N$3)/Z31,0)</f>
        <v>531947.01933333289</v>
      </c>
      <c r="AB31" s="79">
        <f>IF(L31&gt;0,VLOOKUP(D31,Datos!$H$30:$J$33,3,0),VLOOKUP(D31,Datos!$H$30:$J$33,2,0))</f>
        <v>490000</v>
      </c>
      <c r="AC31" s="79">
        <f ca="1">(S31*PMT(Datos!$D$15,Datos!$D$13,-O31,,)*VLOOKUP(TODAY(),'UF HOY'!$A$2:$B$36,2,0)/12)</f>
        <v>700068.45596741664</v>
      </c>
      <c r="AD31" s="79">
        <f t="shared" ca="1" si="10"/>
        <v>-210068.45596741664</v>
      </c>
      <c r="AE31" s="220">
        <f t="shared" ca="1" si="11"/>
        <v>2800273.8238696666</v>
      </c>
      <c r="AF31" s="45"/>
    </row>
    <row r="32" spans="1:32" hidden="1">
      <c r="A32" s="66" t="s">
        <v>171</v>
      </c>
      <c r="B32" s="66">
        <v>311</v>
      </c>
      <c r="C32" s="67" t="s">
        <v>129</v>
      </c>
      <c r="D32" s="67" t="s">
        <v>195</v>
      </c>
      <c r="E32" s="67"/>
      <c r="F32" s="66">
        <v>33.36</v>
      </c>
      <c r="G32" s="66">
        <v>9.1999999999999993</v>
      </c>
      <c r="H32" s="67">
        <f t="shared" si="0"/>
        <v>37.96</v>
      </c>
      <c r="I32" s="68">
        <f t="shared" si="1"/>
        <v>42.56</v>
      </c>
      <c r="J32" s="69">
        <v>3030</v>
      </c>
      <c r="K32" s="70">
        <v>0</v>
      </c>
      <c r="L32" s="71">
        <v>0</v>
      </c>
      <c r="M32" s="71">
        <v>0</v>
      </c>
      <c r="N32" s="72">
        <f t="shared" si="2"/>
        <v>2575.5</v>
      </c>
      <c r="O32" s="73">
        <f t="shared" si="3"/>
        <v>3030</v>
      </c>
      <c r="P32" s="121">
        <f t="shared" si="4"/>
        <v>67.847734457323497</v>
      </c>
      <c r="Q32" s="74">
        <f t="shared" si="5"/>
        <v>0.15</v>
      </c>
      <c r="R32" s="75">
        <f t="shared" si="6"/>
        <v>454.5</v>
      </c>
      <c r="S32" s="74">
        <v>0.8</v>
      </c>
      <c r="T32" s="75">
        <f t="shared" si="7"/>
        <v>2424</v>
      </c>
      <c r="U32" s="76">
        <f t="shared" si="8"/>
        <v>4.9999999999999961E-2</v>
      </c>
      <c r="V32" s="69">
        <f t="shared" si="9"/>
        <v>151.49999999999989</v>
      </c>
      <c r="W32" s="77">
        <f ca="1">V32*VLOOKUP(TODAY(),'UF HOY'!$A$2:$B$36,2,0)</f>
        <v>6019691.9099999955</v>
      </c>
      <c r="X32" s="78">
        <f>Datos!$E$3</f>
        <v>15</v>
      </c>
      <c r="Y32" s="79">
        <f ca="1">IF((W32-1000000-Datos!$N$3)/X32&gt;0,(W32-1000000-Datos!$N$3)/X32,0)</f>
        <v>327979.46066666639</v>
      </c>
      <c r="Z32" s="78">
        <f>Datos!$G$3</f>
        <v>15</v>
      </c>
      <c r="AA32" s="79">
        <f ca="1">IF((W32-1000000-Datos!$N$3)/Z32&gt;0,(W32-1000000-Datos!$N$3)/Z32,0)</f>
        <v>327979.46066666639</v>
      </c>
      <c r="AB32" s="79">
        <f>IF(L32&gt;0,VLOOKUP(D32,Datos!$H$30:$J$33,3,0),VLOOKUP(D32,Datos!$H$30:$J$33,2,0))</f>
        <v>350000</v>
      </c>
      <c r="AC32" s="79">
        <f ca="1">(S32*PMT(Datos!$D$15,Datos!$D$13,-O32,,)*VLOOKUP(TODAY(),'UF HOY'!$A$2:$B$36,2,0)/12)</f>
        <v>464159.17321253225</v>
      </c>
      <c r="AD32" s="79">
        <f t="shared" ca="1" si="10"/>
        <v>-114159.17321253225</v>
      </c>
      <c r="AE32" s="220">
        <f t="shared" ca="1" si="11"/>
        <v>1856636.692850129</v>
      </c>
      <c r="AF32" s="45"/>
    </row>
    <row r="33" spans="1:32" hidden="1">
      <c r="A33" s="66" t="s">
        <v>171</v>
      </c>
      <c r="B33" s="66">
        <v>313</v>
      </c>
      <c r="C33" s="67" t="s">
        <v>129</v>
      </c>
      <c r="D33" s="67" t="s">
        <v>195</v>
      </c>
      <c r="E33" s="67"/>
      <c r="F33" s="66">
        <v>33.53</v>
      </c>
      <c r="G33" s="66">
        <v>9.1199999999999992</v>
      </c>
      <c r="H33" s="67">
        <f t="shared" si="0"/>
        <v>38.090000000000003</v>
      </c>
      <c r="I33" s="68">
        <f t="shared" si="1"/>
        <v>42.65</v>
      </c>
      <c r="J33" s="69">
        <v>3040</v>
      </c>
      <c r="K33" s="70">
        <v>0</v>
      </c>
      <c r="L33" s="71">
        <v>0</v>
      </c>
      <c r="M33" s="71">
        <v>0</v>
      </c>
      <c r="N33" s="72">
        <f t="shared" si="2"/>
        <v>2584</v>
      </c>
      <c r="O33" s="73">
        <f t="shared" si="3"/>
        <v>3040</v>
      </c>
      <c r="P33" s="121">
        <f t="shared" si="4"/>
        <v>67.83932790758729</v>
      </c>
      <c r="Q33" s="74">
        <f t="shared" si="5"/>
        <v>0.15</v>
      </c>
      <c r="R33" s="75">
        <f t="shared" si="6"/>
        <v>456</v>
      </c>
      <c r="S33" s="74">
        <v>0.8</v>
      </c>
      <c r="T33" s="75">
        <f t="shared" si="7"/>
        <v>2432</v>
      </c>
      <c r="U33" s="76">
        <f t="shared" si="8"/>
        <v>4.9999999999999961E-2</v>
      </c>
      <c r="V33" s="69">
        <f t="shared" si="9"/>
        <v>151.99999999999989</v>
      </c>
      <c r="W33" s="77">
        <f ca="1">V33*VLOOKUP(TODAY(),'UF HOY'!$A$2:$B$36,2,0)</f>
        <v>6039558.8799999962</v>
      </c>
      <c r="X33" s="78">
        <f>Datos!$E$3</f>
        <v>15</v>
      </c>
      <c r="Y33" s="79">
        <f ca="1">IF((W33-1000000-Datos!$N$3)/X33&gt;0,(W33-1000000-Datos!$N$3)/X33,0)</f>
        <v>329303.92533333309</v>
      </c>
      <c r="Z33" s="78">
        <f>Datos!$G$3</f>
        <v>15</v>
      </c>
      <c r="AA33" s="79">
        <f ca="1">IF((W33-1000000-Datos!$N$3)/Z33&gt;0,(W33-1000000-Datos!$N$3)/Z33,0)</f>
        <v>329303.92533333309</v>
      </c>
      <c r="AB33" s="79">
        <f>IF(L33&gt;0,VLOOKUP(D33,Datos!$H$30:$J$33,3,0),VLOOKUP(D33,Datos!$H$30:$J$33,2,0))</f>
        <v>350000</v>
      </c>
      <c r="AC33" s="79">
        <f ca="1">(S33*PMT(Datos!$D$15,Datos!$D$13,-O33,,)*VLOOKUP(TODAY(),'UF HOY'!$A$2:$B$36,2,0)/12)</f>
        <v>465691.05167197954</v>
      </c>
      <c r="AD33" s="79">
        <f t="shared" ca="1" si="10"/>
        <v>-115691.05167197954</v>
      </c>
      <c r="AE33" s="220">
        <f t="shared" ca="1" si="11"/>
        <v>1862764.2066879182</v>
      </c>
      <c r="AF33" s="45"/>
    </row>
    <row r="34" spans="1:32" hidden="1">
      <c r="A34" s="66" t="s">
        <v>171</v>
      </c>
      <c r="B34" s="66">
        <v>314</v>
      </c>
      <c r="C34" s="67" t="s">
        <v>122</v>
      </c>
      <c r="D34" s="67" t="s">
        <v>195</v>
      </c>
      <c r="E34" s="67"/>
      <c r="F34" s="66">
        <v>36.56</v>
      </c>
      <c r="G34" s="66">
        <v>4.9800000000000004</v>
      </c>
      <c r="H34" s="67">
        <f t="shared" ref="H34:H65" si="12">F34+G34/2</f>
        <v>39.050000000000004</v>
      </c>
      <c r="I34" s="68">
        <f t="shared" ref="I34:I65" si="13">F34+G34</f>
        <v>41.540000000000006</v>
      </c>
      <c r="J34" s="69">
        <v>3120</v>
      </c>
      <c r="K34" s="70">
        <v>0</v>
      </c>
      <c r="L34" s="71">
        <v>0</v>
      </c>
      <c r="M34" s="71">
        <v>0</v>
      </c>
      <c r="N34" s="72">
        <f t="shared" ref="N34:N65" si="14">O34-R34</f>
        <v>2652</v>
      </c>
      <c r="O34" s="73">
        <f t="shared" ref="O34:O65" si="15">J34*(100%-K34)+L34+M34</f>
        <v>3120</v>
      </c>
      <c r="P34" s="121">
        <f t="shared" ref="P34:P65" si="16">(N34-L34-M34)/H34</f>
        <v>67.912932138284248</v>
      </c>
      <c r="Q34" s="74">
        <f t="shared" ref="Q34:Q65" si="17">R34/O34</f>
        <v>0.15</v>
      </c>
      <c r="R34" s="75">
        <f t="shared" ref="R34:R65" si="18">O34*0.15</f>
        <v>468</v>
      </c>
      <c r="S34" s="74">
        <v>0.8</v>
      </c>
      <c r="T34" s="75">
        <f t="shared" ref="T34:T65" si="19">S34*O34</f>
        <v>2496</v>
      </c>
      <c r="U34" s="76">
        <f t="shared" ref="U34:U65" si="20">100%-S34-Q34</f>
        <v>4.9999999999999961E-2</v>
      </c>
      <c r="V34" s="69">
        <f t="shared" ref="V34:V65" si="21">O34*U34</f>
        <v>155.99999999999989</v>
      </c>
      <c r="W34" s="77">
        <f ca="1">V34*VLOOKUP(TODAY(),'UF HOY'!$A$2:$B$36,2,0)</f>
        <v>6198494.6399999959</v>
      </c>
      <c r="X34" s="78">
        <f>Datos!$E$3</f>
        <v>15</v>
      </c>
      <c r="Y34" s="79">
        <f ca="1">IF((W34-1000000-Datos!$N$3)/X34&gt;0,(W34-1000000-Datos!$N$3)/X34,0)</f>
        <v>339899.64266666642</v>
      </c>
      <c r="Z34" s="78">
        <f>Datos!$G$3</f>
        <v>15</v>
      </c>
      <c r="AA34" s="79">
        <f ca="1">IF((W34-1000000-Datos!$N$3)/Z34&gt;0,(W34-1000000-Datos!$N$3)/Z34,0)</f>
        <v>339899.64266666642</v>
      </c>
      <c r="AB34" s="79">
        <f>IF(L34&gt;0,VLOOKUP(D34,Datos!$H$30:$J$33,3,0),VLOOKUP(D34,Datos!$H$30:$J$33,2,0))</f>
        <v>350000</v>
      </c>
      <c r="AC34" s="79">
        <f ca="1">(S34*PMT(Datos!$D$15,Datos!$D$13,-O34,,)*VLOOKUP(TODAY(),'UF HOY'!$A$2:$B$36,2,0)/12)</f>
        <v>477946.07934755791</v>
      </c>
      <c r="AD34" s="79">
        <f t="shared" ref="AD34:AD65" ca="1" si="22">AB34-AC34</f>
        <v>-127946.07934755791</v>
      </c>
      <c r="AE34" s="220">
        <f t="shared" ref="AE34:AE65" ca="1" si="23">AC34/0.25</f>
        <v>1911784.3173902316</v>
      </c>
      <c r="AF34" s="45"/>
    </row>
    <row r="35" spans="1:32" hidden="1">
      <c r="A35" s="66" t="s">
        <v>171</v>
      </c>
      <c r="B35" s="66">
        <v>315</v>
      </c>
      <c r="C35" s="67" t="s">
        <v>123</v>
      </c>
      <c r="D35" s="67" t="s">
        <v>195</v>
      </c>
      <c r="E35" s="67"/>
      <c r="F35" s="66">
        <v>36.53</v>
      </c>
      <c r="G35" s="66">
        <v>4.8499999999999996</v>
      </c>
      <c r="H35" s="67">
        <f t="shared" si="12"/>
        <v>38.954999999999998</v>
      </c>
      <c r="I35" s="68">
        <f t="shared" si="13"/>
        <v>41.38</v>
      </c>
      <c r="J35" s="69">
        <v>3190</v>
      </c>
      <c r="K35" s="70">
        <v>0</v>
      </c>
      <c r="L35" s="71">
        <v>0</v>
      </c>
      <c r="M35" s="71">
        <v>0</v>
      </c>
      <c r="N35" s="72">
        <f t="shared" si="14"/>
        <v>2711.5</v>
      </c>
      <c r="O35" s="73">
        <f t="shared" si="15"/>
        <v>3190</v>
      </c>
      <c r="P35" s="121">
        <f t="shared" si="16"/>
        <v>69.605955589783079</v>
      </c>
      <c r="Q35" s="74">
        <f t="shared" si="17"/>
        <v>0.15</v>
      </c>
      <c r="R35" s="75">
        <f t="shared" si="18"/>
        <v>478.5</v>
      </c>
      <c r="S35" s="74">
        <v>0.8</v>
      </c>
      <c r="T35" s="75">
        <f t="shared" si="19"/>
        <v>2552</v>
      </c>
      <c r="U35" s="76">
        <f t="shared" si="20"/>
        <v>4.9999999999999961E-2</v>
      </c>
      <c r="V35" s="69">
        <f t="shared" si="21"/>
        <v>159.49999999999989</v>
      </c>
      <c r="W35" s="77">
        <f ca="1">V35*VLOOKUP(TODAY(),'UF HOY'!$A$2:$B$36,2,0)</f>
        <v>6337563.429999996</v>
      </c>
      <c r="X35" s="78">
        <f>Datos!$E$3</f>
        <v>15</v>
      </c>
      <c r="Y35" s="79">
        <f ca="1">IF((W35-1000000-Datos!$N$3)/X35&gt;0,(W35-1000000-Datos!$N$3)/X35,0)</f>
        <v>349170.89533333306</v>
      </c>
      <c r="Z35" s="78">
        <f>Datos!$G$3</f>
        <v>15</v>
      </c>
      <c r="AA35" s="79">
        <f ca="1">IF((W35-1000000-Datos!$N$3)/Z35&gt;0,(W35-1000000-Datos!$N$3)/Z35,0)</f>
        <v>349170.89533333306</v>
      </c>
      <c r="AB35" s="79">
        <f>IF(L35&gt;0,VLOOKUP(D35,Datos!$H$30:$J$33,3,0),VLOOKUP(D35,Datos!$H$30:$J$33,2,0))</f>
        <v>350000</v>
      </c>
      <c r="AC35" s="79">
        <f ca="1">(S35*PMT(Datos!$D$15,Datos!$D$13,-O35,,)*VLOOKUP(TODAY(),'UF HOY'!$A$2:$B$36,2,0)/12)</f>
        <v>488669.2285636891</v>
      </c>
      <c r="AD35" s="79">
        <f t="shared" ca="1" si="22"/>
        <v>-138669.2285636891</v>
      </c>
      <c r="AE35" s="220">
        <f t="shared" ca="1" si="23"/>
        <v>1954676.9142547564</v>
      </c>
      <c r="AF35" s="45"/>
    </row>
    <row r="36" spans="1:32" hidden="1">
      <c r="A36" s="66" t="s">
        <v>171</v>
      </c>
      <c r="B36" s="66">
        <v>316</v>
      </c>
      <c r="C36" s="67" t="s">
        <v>130</v>
      </c>
      <c r="D36" s="67" t="s">
        <v>194</v>
      </c>
      <c r="E36" s="67"/>
      <c r="F36" s="66">
        <v>49.27</v>
      </c>
      <c r="G36" s="66">
        <v>8.8000000000000007</v>
      </c>
      <c r="H36" s="67">
        <f t="shared" si="12"/>
        <v>53.67</v>
      </c>
      <c r="I36" s="68">
        <f t="shared" si="13"/>
        <v>58.070000000000007</v>
      </c>
      <c r="J36" s="69">
        <v>4000</v>
      </c>
      <c r="K36" s="70">
        <v>0</v>
      </c>
      <c r="L36" s="71">
        <v>400</v>
      </c>
      <c r="M36" s="71">
        <v>160</v>
      </c>
      <c r="N36" s="72">
        <f t="shared" si="14"/>
        <v>3876</v>
      </c>
      <c r="O36" s="73">
        <f t="shared" si="15"/>
        <v>4560</v>
      </c>
      <c r="P36" s="121">
        <f t="shared" si="16"/>
        <v>61.78498229923607</v>
      </c>
      <c r="Q36" s="74">
        <f t="shared" si="17"/>
        <v>0.15</v>
      </c>
      <c r="R36" s="75">
        <f t="shared" si="18"/>
        <v>684</v>
      </c>
      <c r="S36" s="74">
        <v>0.8</v>
      </c>
      <c r="T36" s="75">
        <f t="shared" si="19"/>
        <v>3648</v>
      </c>
      <c r="U36" s="76">
        <f t="shared" si="20"/>
        <v>4.9999999999999961E-2</v>
      </c>
      <c r="V36" s="69">
        <f t="shared" si="21"/>
        <v>227.99999999999983</v>
      </c>
      <c r="W36" s="77">
        <f ca="1">V36*VLOOKUP(TODAY(),'UF HOY'!$A$2:$B$36,2,0)</f>
        <v>9059338.3199999928</v>
      </c>
      <c r="X36" s="78">
        <f>Datos!$E$3</f>
        <v>15</v>
      </c>
      <c r="Y36" s="79">
        <f ca="1">IF((W36-1000000-Datos!$N$3)/X36&gt;0,(W36-1000000-Datos!$N$3)/X36,0)</f>
        <v>530622.5546666662</v>
      </c>
      <c r="Z36" s="78">
        <f>Datos!$G$3</f>
        <v>15</v>
      </c>
      <c r="AA36" s="79">
        <f ca="1">IF((W36-1000000-Datos!$N$3)/Z36&gt;0,(W36-1000000-Datos!$N$3)/Z36,0)</f>
        <v>530622.5546666662</v>
      </c>
      <c r="AB36" s="79">
        <f>IF(L36&gt;0,VLOOKUP(D36,Datos!$H$30:$J$33,3,0),VLOOKUP(D36,Datos!$H$30:$J$33,2,0))</f>
        <v>490000</v>
      </c>
      <c r="AC36" s="79">
        <f ca="1">(S36*PMT(Datos!$D$15,Datos!$D$13,-O36,,)*VLOOKUP(TODAY(),'UF HOY'!$A$2:$B$36,2,0)/12)</f>
        <v>698536.57750796934</v>
      </c>
      <c r="AD36" s="79">
        <f t="shared" ca="1" si="22"/>
        <v>-208536.57750796934</v>
      </c>
      <c r="AE36" s="220">
        <f t="shared" ca="1" si="23"/>
        <v>2794146.3100318774</v>
      </c>
      <c r="AF36" s="45"/>
    </row>
    <row r="37" spans="1:32" hidden="1">
      <c r="A37" s="66" t="s">
        <v>171</v>
      </c>
      <c r="B37" s="66">
        <v>401</v>
      </c>
      <c r="C37" s="67" t="s">
        <v>131</v>
      </c>
      <c r="D37" s="67" t="s">
        <v>196</v>
      </c>
      <c r="E37" s="67"/>
      <c r="F37" s="66">
        <v>46.09</v>
      </c>
      <c r="G37" s="66">
        <v>4.8899999999999997</v>
      </c>
      <c r="H37" s="67">
        <f t="shared" si="12"/>
        <v>48.535000000000004</v>
      </c>
      <c r="I37" s="68">
        <f t="shared" si="13"/>
        <v>50.980000000000004</v>
      </c>
      <c r="J37" s="69">
        <v>3650</v>
      </c>
      <c r="K37" s="70">
        <v>0</v>
      </c>
      <c r="L37" s="71">
        <v>400</v>
      </c>
      <c r="M37" s="71">
        <v>120</v>
      </c>
      <c r="N37" s="72">
        <f t="shared" si="14"/>
        <v>3544.5</v>
      </c>
      <c r="O37" s="73">
        <f t="shared" si="15"/>
        <v>4170</v>
      </c>
      <c r="P37" s="121">
        <f t="shared" si="16"/>
        <v>62.315854537962288</v>
      </c>
      <c r="Q37" s="74">
        <f t="shared" si="17"/>
        <v>0.15</v>
      </c>
      <c r="R37" s="75">
        <f t="shared" si="18"/>
        <v>625.5</v>
      </c>
      <c r="S37" s="74">
        <v>0.8</v>
      </c>
      <c r="T37" s="75">
        <f t="shared" si="19"/>
        <v>3336</v>
      </c>
      <c r="U37" s="76">
        <f t="shared" si="20"/>
        <v>4.9999999999999961E-2</v>
      </c>
      <c r="V37" s="69">
        <f t="shared" si="21"/>
        <v>208.49999999999983</v>
      </c>
      <c r="W37" s="77">
        <f ca="1">V37*VLOOKUP(TODAY(),'UF HOY'!$A$2:$B$36,2,0)</f>
        <v>8284526.4899999937</v>
      </c>
      <c r="X37" s="78">
        <f>Datos!$E$3</f>
        <v>15</v>
      </c>
      <c r="Y37" s="79">
        <f ca="1">IF((W37-1000000-Datos!$N$3)/X37&gt;0,(W37-1000000-Datos!$N$3)/X37,0)</f>
        <v>478968.43266666622</v>
      </c>
      <c r="Z37" s="78">
        <f>Datos!$G$3</f>
        <v>15</v>
      </c>
      <c r="AA37" s="79">
        <f ca="1">IF((W37-1000000-Datos!$N$3)/Z37&gt;0,(W37-1000000-Datos!$N$3)/Z37,0)</f>
        <v>478968.43266666622</v>
      </c>
      <c r="AB37" s="79">
        <f>IF(L37&gt;0,VLOOKUP(D37,Datos!$H$30:$J$33,3,0),VLOOKUP(D37,Datos!$H$30:$J$33,2,0))</f>
        <v>440000</v>
      </c>
      <c r="AC37" s="79">
        <f ca="1">(S37*PMT(Datos!$D$15,Datos!$D$13,-O37,,)*VLOOKUP(TODAY(),'UF HOY'!$A$2:$B$36,2,0)/12)</f>
        <v>638793.31758952467</v>
      </c>
      <c r="AD37" s="79">
        <f t="shared" ca="1" si="22"/>
        <v>-198793.31758952467</v>
      </c>
      <c r="AE37" s="220">
        <f t="shared" ca="1" si="23"/>
        <v>2555173.2703580987</v>
      </c>
      <c r="AF37" s="45"/>
    </row>
    <row r="38" spans="1:32" hidden="1">
      <c r="A38" s="66" t="s">
        <v>171</v>
      </c>
      <c r="B38" s="66">
        <v>402</v>
      </c>
      <c r="C38" s="67" t="s">
        <v>131</v>
      </c>
      <c r="D38" s="67" t="s">
        <v>194</v>
      </c>
      <c r="E38" s="67"/>
      <c r="F38" s="66">
        <v>48.16</v>
      </c>
      <c r="G38" s="66">
        <v>12.72</v>
      </c>
      <c r="H38" s="67">
        <f t="shared" si="12"/>
        <v>54.519999999999996</v>
      </c>
      <c r="I38" s="68">
        <f t="shared" si="13"/>
        <v>60.879999999999995</v>
      </c>
      <c r="J38" s="69">
        <v>3850</v>
      </c>
      <c r="K38" s="70">
        <v>0</v>
      </c>
      <c r="L38" s="71">
        <v>400</v>
      </c>
      <c r="M38" s="71">
        <v>120</v>
      </c>
      <c r="N38" s="72">
        <f t="shared" si="14"/>
        <v>3714.5</v>
      </c>
      <c r="O38" s="73">
        <f t="shared" si="15"/>
        <v>4370</v>
      </c>
      <c r="P38" s="121">
        <f t="shared" si="16"/>
        <v>58.5931768158474</v>
      </c>
      <c r="Q38" s="74">
        <f t="shared" si="17"/>
        <v>0.15</v>
      </c>
      <c r="R38" s="75">
        <f t="shared" si="18"/>
        <v>655.5</v>
      </c>
      <c r="S38" s="74">
        <v>0.8</v>
      </c>
      <c r="T38" s="75">
        <f t="shared" si="19"/>
        <v>3496</v>
      </c>
      <c r="U38" s="76">
        <f t="shared" si="20"/>
        <v>4.9999999999999961E-2</v>
      </c>
      <c r="V38" s="69">
        <f t="shared" si="21"/>
        <v>218.49999999999983</v>
      </c>
      <c r="W38" s="77">
        <f ca="1">V38*VLOOKUP(TODAY(),'UF HOY'!$A$2:$B$36,2,0)</f>
        <v>8681865.8899999931</v>
      </c>
      <c r="X38" s="78">
        <f>Datos!$E$3</f>
        <v>15</v>
      </c>
      <c r="Y38" s="79">
        <f ca="1">IF((W38-1000000-Datos!$N$3)/X38&gt;0,(W38-1000000-Datos!$N$3)/X38,0)</f>
        <v>505457.72599999956</v>
      </c>
      <c r="Z38" s="78">
        <f>Datos!$G$3</f>
        <v>15</v>
      </c>
      <c r="AA38" s="79">
        <f ca="1">IF((W38-1000000-Datos!$N$3)/Z38&gt;0,(W38-1000000-Datos!$N$3)/Z38,0)</f>
        <v>505457.72599999956</v>
      </c>
      <c r="AB38" s="79">
        <f>IF(L38&gt;0,VLOOKUP(D38,Datos!$H$30:$J$33,3,0),VLOOKUP(D38,Datos!$H$30:$J$33,2,0))</f>
        <v>490000</v>
      </c>
      <c r="AC38" s="79">
        <f ca="1">(S38*PMT(Datos!$D$15,Datos!$D$13,-O38,,)*VLOOKUP(TODAY(),'UF HOY'!$A$2:$B$36,2,0)/12)</f>
        <v>669430.88677847071</v>
      </c>
      <c r="AD38" s="79">
        <f t="shared" ca="1" si="22"/>
        <v>-179430.88677847071</v>
      </c>
      <c r="AE38" s="220">
        <f t="shared" ca="1" si="23"/>
        <v>2677723.5471138828</v>
      </c>
      <c r="AF38" s="45"/>
    </row>
    <row r="39" spans="1:32" hidden="1">
      <c r="A39" s="66" t="s">
        <v>171</v>
      </c>
      <c r="B39" s="86">
        <v>404</v>
      </c>
      <c r="C39" s="67" t="s">
        <v>123</v>
      </c>
      <c r="D39" s="67" t="s">
        <v>195</v>
      </c>
      <c r="E39" s="67"/>
      <c r="F39" s="66">
        <v>36.549999999999997</v>
      </c>
      <c r="G39" s="66">
        <v>4.92</v>
      </c>
      <c r="H39" s="67">
        <f t="shared" si="12"/>
        <v>39.01</v>
      </c>
      <c r="I39" s="68">
        <f t="shared" si="13"/>
        <v>41.47</v>
      </c>
      <c r="J39" s="69">
        <v>3150</v>
      </c>
      <c r="K39" s="70">
        <v>0</v>
      </c>
      <c r="L39" s="71">
        <v>0</v>
      </c>
      <c r="M39" s="71">
        <v>0</v>
      </c>
      <c r="N39" s="72">
        <f t="shared" si="14"/>
        <v>2677.5</v>
      </c>
      <c r="O39" s="73">
        <f t="shared" si="15"/>
        <v>3150</v>
      </c>
      <c r="P39" s="121">
        <f t="shared" si="16"/>
        <v>68.636247116124068</v>
      </c>
      <c r="Q39" s="74">
        <f t="shared" si="17"/>
        <v>0.15</v>
      </c>
      <c r="R39" s="75">
        <f t="shared" si="18"/>
        <v>472.5</v>
      </c>
      <c r="S39" s="74">
        <v>0.8</v>
      </c>
      <c r="T39" s="75">
        <f t="shared" si="19"/>
        <v>2520</v>
      </c>
      <c r="U39" s="76">
        <f t="shared" si="20"/>
        <v>4.9999999999999961E-2</v>
      </c>
      <c r="V39" s="69">
        <f t="shared" si="21"/>
        <v>157.49999999999989</v>
      </c>
      <c r="W39" s="77">
        <f ca="1">V39*VLOOKUP(TODAY(),'UF HOY'!$A$2:$B$36,2,0)</f>
        <v>6258095.5499999961</v>
      </c>
      <c r="X39" s="78">
        <f>Datos!$E$3</f>
        <v>15</v>
      </c>
      <c r="Y39" s="79">
        <f ca="1">IF((W39-1000000-Datos!$N$3)/X39&gt;0,(W39-1000000-Datos!$N$3)/X39,0)</f>
        <v>343873.03666666639</v>
      </c>
      <c r="Z39" s="78">
        <f>Datos!$G$3</f>
        <v>15</v>
      </c>
      <c r="AA39" s="79">
        <f ca="1">IF((W39-1000000-Datos!$N$3)/Z39&gt;0,(W39-1000000-Datos!$N$3)/Z39,0)</f>
        <v>343873.03666666639</v>
      </c>
      <c r="AB39" s="79">
        <f>IF(L39&gt;0,VLOOKUP(D39,Datos!$H$30:$J$33,3,0),VLOOKUP(D39,Datos!$H$30:$J$33,2,0))</f>
        <v>350000</v>
      </c>
      <c r="AC39" s="79">
        <f ca="1">(S39*PMT(Datos!$D$15,Datos!$D$13,-O39,,)*VLOOKUP(TODAY(),'UF HOY'!$A$2:$B$36,2,0)/12)</f>
        <v>482541.71472589998</v>
      </c>
      <c r="AD39" s="79">
        <f t="shared" ca="1" si="22"/>
        <v>-132541.71472589998</v>
      </c>
      <c r="AE39" s="220">
        <f t="shared" ca="1" si="23"/>
        <v>1930166.8589035999</v>
      </c>
      <c r="AF39" s="45"/>
    </row>
    <row r="40" spans="1:32" hidden="1">
      <c r="A40" s="66" t="s">
        <v>171</v>
      </c>
      <c r="B40" s="66">
        <v>405</v>
      </c>
      <c r="C40" s="67" t="s">
        <v>124</v>
      </c>
      <c r="D40" s="67" t="s">
        <v>195</v>
      </c>
      <c r="E40" s="67"/>
      <c r="F40" s="66">
        <v>36.549999999999997</v>
      </c>
      <c r="G40" s="66">
        <v>5.48</v>
      </c>
      <c r="H40" s="67">
        <f t="shared" si="12"/>
        <v>39.29</v>
      </c>
      <c r="I40" s="68">
        <f t="shared" si="13"/>
        <v>42.03</v>
      </c>
      <c r="J40" s="69">
        <v>3210</v>
      </c>
      <c r="K40" s="70">
        <v>0</v>
      </c>
      <c r="L40" s="71">
        <v>0</v>
      </c>
      <c r="M40" s="71">
        <v>0</v>
      </c>
      <c r="N40" s="72">
        <f t="shared" si="14"/>
        <v>2728.5</v>
      </c>
      <c r="O40" s="73">
        <f t="shared" si="15"/>
        <v>3210</v>
      </c>
      <c r="P40" s="121">
        <f t="shared" si="16"/>
        <v>69.445151438024951</v>
      </c>
      <c r="Q40" s="74">
        <f t="shared" si="17"/>
        <v>0.15</v>
      </c>
      <c r="R40" s="75">
        <f t="shared" si="18"/>
        <v>481.5</v>
      </c>
      <c r="S40" s="74">
        <v>0.8</v>
      </c>
      <c r="T40" s="75">
        <f t="shared" si="19"/>
        <v>2568</v>
      </c>
      <c r="U40" s="76">
        <f t="shared" si="20"/>
        <v>4.9999999999999961E-2</v>
      </c>
      <c r="V40" s="69">
        <f t="shared" si="21"/>
        <v>160.49999999999989</v>
      </c>
      <c r="W40" s="77">
        <f ca="1">V40*VLOOKUP(TODAY(),'UF HOY'!$A$2:$B$36,2,0)</f>
        <v>6377297.3699999955</v>
      </c>
      <c r="X40" s="78">
        <f>Datos!$E$3</f>
        <v>15</v>
      </c>
      <c r="Y40" s="79">
        <f ca="1">IF((W40-1000000-Datos!$N$3)/X40&gt;0,(W40-1000000-Datos!$N$3)/X40,0)</f>
        <v>351819.82466666639</v>
      </c>
      <c r="Z40" s="78">
        <f>Datos!$G$3</f>
        <v>15</v>
      </c>
      <c r="AA40" s="79">
        <f ca="1">IF((W40-1000000-Datos!$N$3)/Z40&gt;0,(W40-1000000-Datos!$N$3)/Z40,0)</f>
        <v>351819.82466666639</v>
      </c>
      <c r="AB40" s="79">
        <f>IF(L40&gt;0,VLOOKUP(D40,Datos!$H$30:$J$33,3,0),VLOOKUP(D40,Datos!$H$30:$J$33,2,0))</f>
        <v>350000</v>
      </c>
      <c r="AC40" s="79">
        <f ca="1">(S40*PMT(Datos!$D$15,Datos!$D$13,-O40,,)*VLOOKUP(TODAY(),'UF HOY'!$A$2:$B$36,2,0)/12)</f>
        <v>491732.9854825837</v>
      </c>
      <c r="AD40" s="79">
        <f t="shared" ca="1" si="22"/>
        <v>-141732.9854825837</v>
      </c>
      <c r="AE40" s="220">
        <f t="shared" ca="1" si="23"/>
        <v>1966931.9419303348</v>
      </c>
      <c r="AF40" s="45"/>
    </row>
    <row r="41" spans="1:32" ht="14.25" hidden="1" customHeight="1">
      <c r="A41" s="66" t="s">
        <v>171</v>
      </c>
      <c r="B41" s="66">
        <v>406</v>
      </c>
      <c r="C41" s="67" t="s">
        <v>103</v>
      </c>
      <c r="D41" s="67" t="s">
        <v>195</v>
      </c>
      <c r="E41" s="67"/>
      <c r="F41" s="66">
        <v>32.520000000000003</v>
      </c>
      <c r="G41" s="66">
        <v>9.6</v>
      </c>
      <c r="H41" s="67">
        <f t="shared" si="12"/>
        <v>37.32</v>
      </c>
      <c r="I41" s="68">
        <f t="shared" si="13"/>
        <v>42.120000000000005</v>
      </c>
      <c r="J41" s="69">
        <v>3040</v>
      </c>
      <c r="K41" s="70">
        <v>0</v>
      </c>
      <c r="L41" s="71">
        <v>0</v>
      </c>
      <c r="M41" s="71">
        <v>0</v>
      </c>
      <c r="N41" s="69">
        <f t="shared" si="14"/>
        <v>2584</v>
      </c>
      <c r="O41" s="73">
        <f t="shared" si="15"/>
        <v>3040</v>
      </c>
      <c r="P41" s="121">
        <f t="shared" si="16"/>
        <v>69.239013933547696</v>
      </c>
      <c r="Q41" s="74">
        <f t="shared" si="17"/>
        <v>0.15</v>
      </c>
      <c r="R41" s="75">
        <f t="shared" si="18"/>
        <v>456</v>
      </c>
      <c r="S41" s="74">
        <v>0.8</v>
      </c>
      <c r="T41" s="87">
        <f t="shared" si="19"/>
        <v>2432</v>
      </c>
      <c r="U41" s="88">
        <f t="shared" si="20"/>
        <v>4.9999999999999961E-2</v>
      </c>
      <c r="V41" s="69">
        <f t="shared" si="21"/>
        <v>151.99999999999989</v>
      </c>
      <c r="W41" s="89">
        <f ca="1">V41*VLOOKUP(TODAY(),'UF HOY'!$A$2:$B$36,2,0)</f>
        <v>6039558.8799999962</v>
      </c>
      <c r="X41" s="78">
        <f>Datos!$E$3</f>
        <v>15</v>
      </c>
      <c r="Y41" s="79">
        <f ca="1">IF((W41-1000000-Datos!$N$3)/X41&gt;0,(W41-1000000-Datos!$N$3)/X41,0)</f>
        <v>329303.92533333309</v>
      </c>
      <c r="Z41" s="78">
        <f>Datos!$G$3</f>
        <v>15</v>
      </c>
      <c r="AA41" s="79">
        <f ca="1">IF((W41-1000000-Datos!$N$3)/Z41&gt;0,(W41-1000000-Datos!$N$3)/Z41,0)</f>
        <v>329303.92533333309</v>
      </c>
      <c r="AB41" s="79">
        <f>IF(L41&gt;0,VLOOKUP(D41,Datos!$H$30:$J$33,3,0),VLOOKUP(D41,Datos!$H$30:$J$33,2,0))</f>
        <v>350000</v>
      </c>
      <c r="AC41" s="79">
        <f ca="1">(S41*PMT(Datos!$D$15,Datos!$D$13,-O41,,)*VLOOKUP(TODAY(),'UF HOY'!$A$2:$B$36,2,0)/12)</f>
        <v>465691.05167197954</v>
      </c>
      <c r="AD41" s="89">
        <f t="shared" ca="1" si="22"/>
        <v>-115691.05167197954</v>
      </c>
      <c r="AE41" s="220">
        <f t="shared" ca="1" si="23"/>
        <v>1862764.2066879182</v>
      </c>
      <c r="AF41" s="45"/>
    </row>
    <row r="42" spans="1:32" hidden="1">
      <c r="A42" s="66" t="s">
        <v>171</v>
      </c>
      <c r="B42" s="66">
        <v>407</v>
      </c>
      <c r="C42" s="67" t="s">
        <v>103</v>
      </c>
      <c r="D42" s="67" t="s">
        <v>196</v>
      </c>
      <c r="E42" s="67"/>
      <c r="F42" s="66">
        <v>42.9</v>
      </c>
      <c r="G42" s="66">
        <v>11.95</v>
      </c>
      <c r="H42" s="67">
        <f t="shared" si="12"/>
        <v>48.875</v>
      </c>
      <c r="I42" s="68">
        <f t="shared" si="13"/>
        <v>54.849999999999994</v>
      </c>
      <c r="J42" s="69">
        <v>3760</v>
      </c>
      <c r="K42" s="70">
        <v>0</v>
      </c>
      <c r="L42" s="71">
        <v>400</v>
      </c>
      <c r="M42" s="71">
        <v>160</v>
      </c>
      <c r="N42" s="72">
        <f t="shared" si="14"/>
        <v>3672</v>
      </c>
      <c r="O42" s="73">
        <f t="shared" si="15"/>
        <v>4320</v>
      </c>
      <c r="P42" s="121">
        <f t="shared" si="16"/>
        <v>63.672634271099746</v>
      </c>
      <c r="Q42" s="74">
        <f t="shared" si="17"/>
        <v>0.15</v>
      </c>
      <c r="R42" s="75">
        <f t="shared" si="18"/>
        <v>648</v>
      </c>
      <c r="S42" s="74">
        <v>0.8</v>
      </c>
      <c r="T42" s="75">
        <f t="shared" si="19"/>
        <v>3456</v>
      </c>
      <c r="U42" s="76">
        <f t="shared" si="20"/>
        <v>4.9999999999999961E-2</v>
      </c>
      <c r="V42" s="69">
        <f t="shared" si="21"/>
        <v>215.99999999999983</v>
      </c>
      <c r="W42" s="77">
        <f ca="1">V42*VLOOKUP(TODAY(),'UF HOY'!$A$2:$B$36,2,0)</f>
        <v>8582531.0399999935</v>
      </c>
      <c r="X42" s="78">
        <f>Datos!$E$3</f>
        <v>15</v>
      </c>
      <c r="Y42" s="79">
        <f ca="1">IF((W42-1000000-Datos!$N$3)/X42&gt;0,(W42-1000000-Datos!$N$3)/X42,0)</f>
        <v>498835.40266666625</v>
      </c>
      <c r="Z42" s="78">
        <f>Datos!$G$3</f>
        <v>15</v>
      </c>
      <c r="AA42" s="79">
        <f ca="1">IF((W42-1000000-Datos!$N$3)/Z42&gt;0,(W42-1000000-Datos!$N$3)/Z42,0)</f>
        <v>498835.40266666625</v>
      </c>
      <c r="AB42" s="79">
        <f>IF(L42&gt;0,VLOOKUP(D42,Datos!$H$30:$J$33,3,0),VLOOKUP(D42,Datos!$H$30:$J$33,2,0))</f>
        <v>440000</v>
      </c>
      <c r="AC42" s="79">
        <f ca="1">(S42*PMT(Datos!$D$15,Datos!$D$13,-O42,,)*VLOOKUP(TODAY(),'UF HOY'!$A$2:$B$36,2,0)/12)</f>
        <v>661771.49448123423</v>
      </c>
      <c r="AD42" s="79">
        <f t="shared" ca="1" si="22"/>
        <v>-221771.49448123423</v>
      </c>
      <c r="AE42" s="220">
        <f t="shared" ca="1" si="23"/>
        <v>2647085.9779249369</v>
      </c>
      <c r="AF42" s="45"/>
    </row>
    <row r="43" spans="1:32">
      <c r="A43" s="66" t="s">
        <v>4</v>
      </c>
      <c r="B43" s="66">
        <v>116</v>
      </c>
      <c r="C43" s="67" t="s">
        <v>130</v>
      </c>
      <c r="D43" s="67" t="s">
        <v>194</v>
      </c>
      <c r="E43" s="67"/>
      <c r="F43" s="66">
        <v>49.27</v>
      </c>
      <c r="G43" s="66">
        <v>8.8000000000000007</v>
      </c>
      <c r="H43" s="67">
        <f t="shared" si="12"/>
        <v>53.67</v>
      </c>
      <c r="I43" s="68">
        <f t="shared" si="13"/>
        <v>58.070000000000007</v>
      </c>
      <c r="J43" s="69">
        <v>3900</v>
      </c>
      <c r="K43" s="70">
        <v>0</v>
      </c>
      <c r="L43" s="71">
        <v>400</v>
      </c>
      <c r="M43" s="71">
        <v>160</v>
      </c>
      <c r="N43" s="72">
        <f t="shared" si="14"/>
        <v>3791</v>
      </c>
      <c r="O43" s="73">
        <f t="shared" si="15"/>
        <v>4460</v>
      </c>
      <c r="P43" s="121">
        <f t="shared" si="16"/>
        <v>60.201229737283398</v>
      </c>
      <c r="Q43" s="74">
        <f t="shared" si="17"/>
        <v>0.15</v>
      </c>
      <c r="R43" s="75">
        <f t="shared" si="18"/>
        <v>669</v>
      </c>
      <c r="S43" s="74">
        <v>0.8</v>
      </c>
      <c r="T43" s="87">
        <f t="shared" si="19"/>
        <v>3568</v>
      </c>
      <c r="U43" s="88">
        <f t="shared" si="20"/>
        <v>4.9999999999999961E-2</v>
      </c>
      <c r="V43" s="69">
        <f t="shared" si="21"/>
        <v>222.99999999999983</v>
      </c>
      <c r="W43" s="89">
        <f ca="1">V43*VLOOKUP(TODAY(),'UF HOY'!$A$2:$B$36,2,0)</f>
        <v>8860668.6199999936</v>
      </c>
      <c r="X43" s="78">
        <f>Datos!$E$3</f>
        <v>15</v>
      </c>
      <c r="Y43" s="79">
        <f ca="1">IF((W43-1000000-Datos!$N$3)/X43&gt;0,(W43-1000000-Datos!$N$3)/X43,0)</f>
        <v>517377.90799999959</v>
      </c>
      <c r="Z43" s="78">
        <f>Datos!$G$3</f>
        <v>15</v>
      </c>
      <c r="AA43" s="79">
        <f ca="1">IF((W43-1000000-Datos!$N$3)/Z43&gt;0,(W43-1000000-Datos!$N$3)/Z43,0)</f>
        <v>517377.90799999959</v>
      </c>
      <c r="AB43" s="79">
        <f>IF(L43&gt;0,VLOOKUP(D43,Datos!$H$30:$J$33,3,0),VLOOKUP(D43,Datos!$H$30:$J$33,2,0))</f>
        <v>490000</v>
      </c>
      <c r="AC43" s="79">
        <f ca="1">(S43*PMT(Datos!$D$15,Datos!$D$13,-O43,,)*VLOOKUP(TODAY(),'UF HOY'!$A$2:$B$36,2,0)/12)</f>
        <v>683217.79291349638</v>
      </c>
      <c r="AD43" s="89">
        <f t="shared" ca="1" si="22"/>
        <v>-193217.79291349638</v>
      </c>
      <c r="AE43" s="220">
        <f t="shared" ca="1" si="23"/>
        <v>2732871.1716539855</v>
      </c>
      <c r="AF43" s="45"/>
    </row>
    <row r="44" spans="1:32" hidden="1">
      <c r="A44" s="66" t="s">
        <v>171</v>
      </c>
      <c r="B44" s="66">
        <v>410</v>
      </c>
      <c r="C44" s="67" t="s">
        <v>121</v>
      </c>
      <c r="D44" s="67" t="s">
        <v>194</v>
      </c>
      <c r="E44" s="67"/>
      <c r="F44" s="66">
        <v>53.54</v>
      </c>
      <c r="G44" s="66">
        <v>5.3</v>
      </c>
      <c r="H44" s="67">
        <f t="shared" si="12"/>
        <v>56.19</v>
      </c>
      <c r="I44" s="68">
        <f t="shared" si="13"/>
        <v>58.839999999999996</v>
      </c>
      <c r="J44" s="69">
        <v>4010</v>
      </c>
      <c r="K44" s="70">
        <v>0</v>
      </c>
      <c r="L44" s="71">
        <v>400</v>
      </c>
      <c r="M44" s="71">
        <v>160</v>
      </c>
      <c r="N44" s="72">
        <f t="shared" si="14"/>
        <v>3884.5</v>
      </c>
      <c r="O44" s="73">
        <f t="shared" si="15"/>
        <v>4570</v>
      </c>
      <c r="P44" s="121">
        <f t="shared" si="16"/>
        <v>59.165331909592453</v>
      </c>
      <c r="Q44" s="74">
        <f t="shared" si="17"/>
        <v>0.15</v>
      </c>
      <c r="R44" s="75">
        <f t="shared" si="18"/>
        <v>685.5</v>
      </c>
      <c r="S44" s="74">
        <v>0.8</v>
      </c>
      <c r="T44" s="75">
        <f t="shared" si="19"/>
        <v>3656</v>
      </c>
      <c r="U44" s="76">
        <f t="shared" si="20"/>
        <v>4.9999999999999961E-2</v>
      </c>
      <c r="V44" s="69">
        <f t="shared" si="21"/>
        <v>228.49999999999983</v>
      </c>
      <c r="W44" s="77">
        <f ca="1">V44*VLOOKUP(TODAY(),'UF HOY'!$A$2:$B$36,2,0)</f>
        <v>9079205.2899999935</v>
      </c>
      <c r="X44" s="78">
        <f>Datos!$E$3</f>
        <v>15</v>
      </c>
      <c r="Y44" s="79">
        <f ca="1">IF((W44-1000000-Datos!$N$3)/X44&gt;0,(W44-1000000-Datos!$N$3)/X44,0)</f>
        <v>531947.01933333289</v>
      </c>
      <c r="Z44" s="78">
        <f>Datos!$G$3</f>
        <v>15</v>
      </c>
      <c r="AA44" s="79">
        <f ca="1">IF((W44-1000000-Datos!$N$3)/Z44&gt;0,(W44-1000000-Datos!$N$3)/Z44,0)</f>
        <v>531947.01933333289</v>
      </c>
      <c r="AB44" s="79">
        <f>IF(L44&gt;0,VLOOKUP(D44,Datos!$H$30:$J$33,3,0),VLOOKUP(D44,Datos!$H$30:$J$33,2,0))</f>
        <v>490000</v>
      </c>
      <c r="AC44" s="79">
        <f ca="1">(S44*PMT(Datos!$D$15,Datos!$D$13,-O44,,)*VLOOKUP(TODAY(),'UF HOY'!$A$2:$B$36,2,0)/12)</f>
        <v>700068.45596741664</v>
      </c>
      <c r="AD44" s="79">
        <f t="shared" ca="1" si="22"/>
        <v>-210068.45596741664</v>
      </c>
      <c r="AE44" s="220">
        <f t="shared" ca="1" si="23"/>
        <v>2800273.8238696666</v>
      </c>
      <c r="AF44" s="45"/>
    </row>
    <row r="45" spans="1:32" hidden="1">
      <c r="A45" s="66" t="s">
        <v>171</v>
      </c>
      <c r="B45" s="66">
        <v>411</v>
      </c>
      <c r="C45" s="67" t="s">
        <v>129</v>
      </c>
      <c r="D45" s="67" t="s">
        <v>195</v>
      </c>
      <c r="E45" s="67"/>
      <c r="F45" s="66">
        <v>33.36</v>
      </c>
      <c r="G45" s="66">
        <v>9.1999999999999993</v>
      </c>
      <c r="H45" s="67">
        <f t="shared" si="12"/>
        <v>37.96</v>
      </c>
      <c r="I45" s="68">
        <f t="shared" si="13"/>
        <v>42.56</v>
      </c>
      <c r="J45" s="69">
        <v>3030</v>
      </c>
      <c r="K45" s="70">
        <v>0</v>
      </c>
      <c r="L45" s="71">
        <v>0</v>
      </c>
      <c r="M45" s="71">
        <v>0</v>
      </c>
      <c r="N45" s="69">
        <f t="shared" si="14"/>
        <v>2575.5</v>
      </c>
      <c r="O45" s="73">
        <f t="shared" si="15"/>
        <v>3030</v>
      </c>
      <c r="P45" s="121">
        <f t="shared" si="16"/>
        <v>67.847734457323497</v>
      </c>
      <c r="Q45" s="74">
        <f t="shared" si="17"/>
        <v>0.15</v>
      </c>
      <c r="R45" s="75">
        <f t="shared" si="18"/>
        <v>454.5</v>
      </c>
      <c r="S45" s="74">
        <v>0.8</v>
      </c>
      <c r="T45" s="87">
        <f t="shared" si="19"/>
        <v>2424</v>
      </c>
      <c r="U45" s="88">
        <f t="shared" si="20"/>
        <v>4.9999999999999961E-2</v>
      </c>
      <c r="V45" s="69">
        <f t="shared" si="21"/>
        <v>151.49999999999989</v>
      </c>
      <c r="W45" s="89">
        <f ca="1">V45*VLOOKUP(TODAY(),'UF HOY'!$A$2:$B$36,2,0)</f>
        <v>6019691.9099999955</v>
      </c>
      <c r="X45" s="78">
        <f>Datos!$E$3</f>
        <v>15</v>
      </c>
      <c r="Y45" s="79">
        <f ca="1">IF((W45-1000000-Datos!$N$3)/X45&gt;0,(W45-1000000-Datos!$N$3)/X45,0)</f>
        <v>327979.46066666639</v>
      </c>
      <c r="Z45" s="78">
        <f>Datos!$G$3</f>
        <v>15</v>
      </c>
      <c r="AA45" s="79">
        <f ca="1">IF((W45-1000000-Datos!$N$3)/Z45&gt;0,(W45-1000000-Datos!$N$3)/Z45,0)</f>
        <v>327979.46066666639</v>
      </c>
      <c r="AB45" s="79">
        <f>IF(L45&gt;0,VLOOKUP(D45,Datos!$H$30:$J$33,3,0),VLOOKUP(D45,Datos!$H$30:$J$33,2,0))</f>
        <v>350000</v>
      </c>
      <c r="AC45" s="79">
        <f ca="1">(S45*PMT(Datos!$D$15,Datos!$D$13,-O45,,)*VLOOKUP(TODAY(),'UF HOY'!$A$2:$B$36,2,0)/12)</f>
        <v>464159.17321253225</v>
      </c>
      <c r="AD45" s="89">
        <f t="shared" ca="1" si="22"/>
        <v>-114159.17321253225</v>
      </c>
      <c r="AE45" s="220">
        <f t="shared" ca="1" si="23"/>
        <v>1856636.692850129</v>
      </c>
      <c r="AF45" s="45"/>
    </row>
    <row r="46" spans="1:32" hidden="1">
      <c r="A46" s="66" t="s">
        <v>171</v>
      </c>
      <c r="B46" s="66">
        <v>413</v>
      </c>
      <c r="C46" s="67" t="s">
        <v>129</v>
      </c>
      <c r="D46" s="67" t="s">
        <v>195</v>
      </c>
      <c r="E46" s="67"/>
      <c r="F46" s="66">
        <v>33.53</v>
      </c>
      <c r="G46" s="66">
        <v>9.1199999999999992</v>
      </c>
      <c r="H46" s="67">
        <f t="shared" si="12"/>
        <v>38.090000000000003</v>
      </c>
      <c r="I46" s="68">
        <f t="shared" si="13"/>
        <v>42.65</v>
      </c>
      <c r="J46" s="69">
        <v>3040</v>
      </c>
      <c r="K46" s="70">
        <v>0</v>
      </c>
      <c r="L46" s="71">
        <v>0</v>
      </c>
      <c r="M46" s="71">
        <v>0</v>
      </c>
      <c r="N46" s="72">
        <f t="shared" si="14"/>
        <v>2584</v>
      </c>
      <c r="O46" s="73">
        <f t="shared" si="15"/>
        <v>3040</v>
      </c>
      <c r="P46" s="121">
        <f t="shared" si="16"/>
        <v>67.83932790758729</v>
      </c>
      <c r="Q46" s="74">
        <f t="shared" si="17"/>
        <v>0.15</v>
      </c>
      <c r="R46" s="75">
        <f t="shared" si="18"/>
        <v>456</v>
      </c>
      <c r="S46" s="74">
        <v>0.8</v>
      </c>
      <c r="T46" s="75">
        <f t="shared" si="19"/>
        <v>2432</v>
      </c>
      <c r="U46" s="76">
        <f t="shared" si="20"/>
        <v>4.9999999999999961E-2</v>
      </c>
      <c r="V46" s="69">
        <f t="shared" si="21"/>
        <v>151.99999999999989</v>
      </c>
      <c r="W46" s="77">
        <f ca="1">V46*VLOOKUP(TODAY(),'UF HOY'!$A$2:$B$36,2,0)</f>
        <v>6039558.8799999962</v>
      </c>
      <c r="X46" s="78">
        <f>Datos!$E$3</f>
        <v>15</v>
      </c>
      <c r="Y46" s="79">
        <f ca="1">IF((W46-1000000-Datos!$N$3)/X46&gt;0,(W46-1000000-Datos!$N$3)/X46,0)</f>
        <v>329303.92533333309</v>
      </c>
      <c r="Z46" s="78">
        <f>Datos!$G$3</f>
        <v>15</v>
      </c>
      <c r="AA46" s="79">
        <f ca="1">IF((W46-1000000-Datos!$N$3)/Z46&gt;0,(W46-1000000-Datos!$N$3)/Z46,0)</f>
        <v>329303.92533333309</v>
      </c>
      <c r="AB46" s="79">
        <f>IF(L46&gt;0,VLOOKUP(D46,Datos!$H$30:$J$33,3,0),VLOOKUP(D46,Datos!$H$30:$J$33,2,0))</f>
        <v>350000</v>
      </c>
      <c r="AC46" s="79">
        <f ca="1">(S46*PMT(Datos!$D$15,Datos!$D$13,-O46,,)*VLOOKUP(TODAY(),'UF HOY'!$A$2:$B$36,2,0)/12)</f>
        <v>465691.05167197954</v>
      </c>
      <c r="AD46" s="79">
        <f t="shared" ca="1" si="22"/>
        <v>-115691.05167197954</v>
      </c>
      <c r="AE46" s="220">
        <f t="shared" ca="1" si="23"/>
        <v>1862764.2066879182</v>
      </c>
      <c r="AF46" s="45"/>
    </row>
    <row r="47" spans="1:32" hidden="1">
      <c r="A47" s="66" t="s">
        <v>171</v>
      </c>
      <c r="B47" s="66">
        <v>414</v>
      </c>
      <c r="C47" s="67" t="s">
        <v>122</v>
      </c>
      <c r="D47" s="67" t="s">
        <v>195</v>
      </c>
      <c r="E47" s="67"/>
      <c r="F47" s="66">
        <v>36.56</v>
      </c>
      <c r="G47" s="66">
        <v>4.9800000000000004</v>
      </c>
      <c r="H47" s="67">
        <f t="shared" si="12"/>
        <v>39.050000000000004</v>
      </c>
      <c r="I47" s="68">
        <f t="shared" si="13"/>
        <v>41.540000000000006</v>
      </c>
      <c r="J47" s="69">
        <v>3120</v>
      </c>
      <c r="K47" s="70">
        <v>0</v>
      </c>
      <c r="L47" s="71">
        <v>0</v>
      </c>
      <c r="M47" s="71">
        <v>0</v>
      </c>
      <c r="N47" s="72">
        <f t="shared" si="14"/>
        <v>2652</v>
      </c>
      <c r="O47" s="73">
        <f t="shared" si="15"/>
        <v>3120</v>
      </c>
      <c r="P47" s="121">
        <f t="shared" si="16"/>
        <v>67.912932138284248</v>
      </c>
      <c r="Q47" s="74">
        <f t="shared" si="17"/>
        <v>0.15</v>
      </c>
      <c r="R47" s="75">
        <f t="shared" si="18"/>
        <v>468</v>
      </c>
      <c r="S47" s="74">
        <v>0.8</v>
      </c>
      <c r="T47" s="75">
        <f t="shared" si="19"/>
        <v>2496</v>
      </c>
      <c r="U47" s="76">
        <f t="shared" si="20"/>
        <v>4.9999999999999961E-2</v>
      </c>
      <c r="V47" s="69">
        <f t="shared" si="21"/>
        <v>155.99999999999989</v>
      </c>
      <c r="W47" s="77">
        <f ca="1">V47*VLOOKUP(TODAY(),'UF HOY'!$A$2:$B$36,2,0)</f>
        <v>6198494.6399999959</v>
      </c>
      <c r="X47" s="78">
        <f>Datos!$E$3</f>
        <v>15</v>
      </c>
      <c r="Y47" s="79">
        <f ca="1">IF((W47-1000000-Datos!$N$3)/X47&gt;0,(W47-1000000-Datos!$N$3)/X47,0)</f>
        <v>339899.64266666642</v>
      </c>
      <c r="Z47" s="78">
        <f>Datos!$G$3</f>
        <v>15</v>
      </c>
      <c r="AA47" s="79">
        <f ca="1">IF((W47-1000000-Datos!$N$3)/Z47&gt;0,(W47-1000000-Datos!$N$3)/Z47,0)</f>
        <v>339899.64266666642</v>
      </c>
      <c r="AB47" s="79">
        <f>IF(L47&gt;0,VLOOKUP(D47,Datos!$H$30:$J$33,3,0),VLOOKUP(D47,Datos!$H$30:$J$33,2,0))</f>
        <v>350000</v>
      </c>
      <c r="AC47" s="79">
        <f ca="1">(S47*PMT(Datos!$D$15,Datos!$D$13,-O47,,)*VLOOKUP(TODAY(),'UF HOY'!$A$2:$B$36,2,0)/12)</f>
        <v>477946.07934755791</v>
      </c>
      <c r="AD47" s="79">
        <f t="shared" ca="1" si="22"/>
        <v>-127946.07934755791</v>
      </c>
      <c r="AE47" s="220">
        <f t="shared" ca="1" si="23"/>
        <v>1911784.3173902316</v>
      </c>
      <c r="AF47" s="45"/>
    </row>
    <row r="48" spans="1:32" hidden="1">
      <c r="A48" s="66" t="s">
        <v>171</v>
      </c>
      <c r="B48" s="66">
        <v>415</v>
      </c>
      <c r="C48" s="67" t="s">
        <v>123</v>
      </c>
      <c r="D48" s="67" t="s">
        <v>195</v>
      </c>
      <c r="E48" s="67"/>
      <c r="F48" s="66">
        <v>36.53</v>
      </c>
      <c r="G48" s="66">
        <v>4.8499999999999996</v>
      </c>
      <c r="H48" s="67">
        <f t="shared" si="12"/>
        <v>38.954999999999998</v>
      </c>
      <c r="I48" s="68">
        <f t="shared" si="13"/>
        <v>41.38</v>
      </c>
      <c r="J48" s="69">
        <v>3190</v>
      </c>
      <c r="K48" s="70">
        <v>0</v>
      </c>
      <c r="L48" s="71">
        <v>0</v>
      </c>
      <c r="M48" s="71">
        <v>0</v>
      </c>
      <c r="N48" s="72">
        <f t="shared" si="14"/>
        <v>2711.5</v>
      </c>
      <c r="O48" s="73">
        <f t="shared" si="15"/>
        <v>3190</v>
      </c>
      <c r="P48" s="121">
        <f t="shared" si="16"/>
        <v>69.605955589783079</v>
      </c>
      <c r="Q48" s="74">
        <f t="shared" si="17"/>
        <v>0.15</v>
      </c>
      <c r="R48" s="75">
        <f t="shared" si="18"/>
        <v>478.5</v>
      </c>
      <c r="S48" s="74">
        <v>0.8</v>
      </c>
      <c r="T48" s="75">
        <f t="shared" si="19"/>
        <v>2552</v>
      </c>
      <c r="U48" s="76">
        <f t="shared" si="20"/>
        <v>4.9999999999999961E-2</v>
      </c>
      <c r="V48" s="69">
        <f t="shared" si="21"/>
        <v>159.49999999999989</v>
      </c>
      <c r="W48" s="77">
        <f ca="1">V48*VLOOKUP(TODAY(),'UF HOY'!$A$2:$B$36,2,0)</f>
        <v>6337563.429999996</v>
      </c>
      <c r="X48" s="78">
        <f>Datos!$E$3</f>
        <v>15</v>
      </c>
      <c r="Y48" s="79">
        <f ca="1">IF((W48-1000000-Datos!$N$3)/X48&gt;0,(W48-1000000-Datos!$N$3)/X48,0)</f>
        <v>349170.89533333306</v>
      </c>
      <c r="Z48" s="78">
        <f>Datos!$G$3</f>
        <v>15</v>
      </c>
      <c r="AA48" s="79">
        <f ca="1">IF((W48-1000000-Datos!$N$3)/Z48&gt;0,(W48-1000000-Datos!$N$3)/Z48,0)</f>
        <v>349170.89533333306</v>
      </c>
      <c r="AB48" s="79">
        <f>IF(L48&gt;0,VLOOKUP(D48,Datos!$H$30:$J$33,3,0),VLOOKUP(D48,Datos!$H$30:$J$33,2,0))</f>
        <v>350000</v>
      </c>
      <c r="AC48" s="79">
        <f ca="1">(S48*PMT(Datos!$D$15,Datos!$D$13,-O48,,)*VLOOKUP(TODAY(),'UF HOY'!$A$2:$B$36,2,0)/12)</f>
        <v>488669.2285636891</v>
      </c>
      <c r="AD48" s="79">
        <f t="shared" ca="1" si="22"/>
        <v>-138669.2285636891</v>
      </c>
      <c r="AE48" s="220">
        <f t="shared" ca="1" si="23"/>
        <v>1954676.9142547564</v>
      </c>
      <c r="AF48" s="45"/>
    </row>
    <row r="49" spans="1:32" hidden="1">
      <c r="A49" s="66" t="s">
        <v>171</v>
      </c>
      <c r="B49" s="66">
        <v>416</v>
      </c>
      <c r="C49" s="67" t="s">
        <v>130</v>
      </c>
      <c r="D49" s="67" t="s">
        <v>194</v>
      </c>
      <c r="E49" s="67"/>
      <c r="F49" s="66">
        <v>49.27</v>
      </c>
      <c r="G49" s="66">
        <v>8.8000000000000007</v>
      </c>
      <c r="H49" s="67">
        <f t="shared" si="12"/>
        <v>53.67</v>
      </c>
      <c r="I49" s="68">
        <f t="shared" si="13"/>
        <v>58.070000000000007</v>
      </c>
      <c r="J49" s="69">
        <v>4000</v>
      </c>
      <c r="K49" s="70">
        <v>0</v>
      </c>
      <c r="L49" s="71">
        <v>400</v>
      </c>
      <c r="M49" s="71">
        <v>140</v>
      </c>
      <c r="N49" s="72">
        <f t="shared" si="14"/>
        <v>3859</v>
      </c>
      <c r="O49" s="73">
        <f t="shared" si="15"/>
        <v>4540</v>
      </c>
      <c r="P49" s="121">
        <f t="shared" si="16"/>
        <v>61.840879448481459</v>
      </c>
      <c r="Q49" s="74">
        <f t="shared" si="17"/>
        <v>0.15</v>
      </c>
      <c r="R49" s="75">
        <f t="shared" si="18"/>
        <v>681</v>
      </c>
      <c r="S49" s="74">
        <v>0.8</v>
      </c>
      <c r="T49" s="75">
        <f t="shared" si="19"/>
        <v>3632</v>
      </c>
      <c r="U49" s="76">
        <f t="shared" si="20"/>
        <v>4.9999999999999961E-2</v>
      </c>
      <c r="V49" s="69">
        <f t="shared" si="21"/>
        <v>226.99999999999983</v>
      </c>
      <c r="W49" s="77">
        <f ca="1">V49*VLOOKUP(TODAY(),'UF HOY'!$A$2:$B$36,2,0)</f>
        <v>9019604.3799999934</v>
      </c>
      <c r="X49" s="78">
        <f>Datos!$E$3</f>
        <v>15</v>
      </c>
      <c r="Y49" s="79">
        <f ca="1">IF((W49-1000000-Datos!$N$3)/X49&gt;0,(W49-1000000-Datos!$N$3)/X49,0)</f>
        <v>527973.62533333292</v>
      </c>
      <c r="Z49" s="78">
        <f>Datos!$G$3</f>
        <v>15</v>
      </c>
      <c r="AA49" s="79">
        <f ca="1">IF((W49-1000000-Datos!$N$3)/Z49&gt;0,(W49-1000000-Datos!$N$3)/Z49,0)</f>
        <v>527973.62533333292</v>
      </c>
      <c r="AB49" s="79">
        <f>IF(L49&gt;0,VLOOKUP(D49,Datos!$H$30:$J$33,3,0),VLOOKUP(D49,Datos!$H$30:$J$33,2,0))</f>
        <v>490000</v>
      </c>
      <c r="AC49" s="79">
        <f ca="1">(S49*PMT(Datos!$D$15,Datos!$D$13,-O49,,)*VLOOKUP(TODAY(),'UF HOY'!$A$2:$B$36,2,0)/12)</f>
        <v>695472.82058907475</v>
      </c>
      <c r="AD49" s="79">
        <f t="shared" ca="1" si="22"/>
        <v>-205472.82058907475</v>
      </c>
      <c r="AE49" s="220">
        <f t="shared" ca="1" si="23"/>
        <v>2781891.282356299</v>
      </c>
      <c r="AF49" s="45"/>
    </row>
    <row r="50" spans="1:32" hidden="1">
      <c r="A50" s="66" t="s">
        <v>171</v>
      </c>
      <c r="B50" s="66">
        <v>501</v>
      </c>
      <c r="C50" s="67" t="s">
        <v>131</v>
      </c>
      <c r="D50" s="67" t="s">
        <v>196</v>
      </c>
      <c r="E50" s="67"/>
      <c r="F50" s="66">
        <v>46.09</v>
      </c>
      <c r="G50" s="66">
        <v>4.8899999999999997</v>
      </c>
      <c r="H50" s="67">
        <f t="shared" si="12"/>
        <v>48.535000000000004</v>
      </c>
      <c r="I50" s="68">
        <f t="shared" si="13"/>
        <v>50.980000000000004</v>
      </c>
      <c r="J50" s="69">
        <v>3650</v>
      </c>
      <c r="K50" s="70">
        <v>0</v>
      </c>
      <c r="L50" s="71">
        <v>400</v>
      </c>
      <c r="M50" s="71">
        <v>130</v>
      </c>
      <c r="N50" s="72">
        <f t="shared" si="14"/>
        <v>3553</v>
      </c>
      <c r="O50" s="73">
        <f t="shared" si="15"/>
        <v>4180</v>
      </c>
      <c r="P50" s="121">
        <f t="shared" si="16"/>
        <v>62.284949005872043</v>
      </c>
      <c r="Q50" s="74">
        <f t="shared" si="17"/>
        <v>0.15</v>
      </c>
      <c r="R50" s="75">
        <f t="shared" si="18"/>
        <v>627</v>
      </c>
      <c r="S50" s="74">
        <v>0.8</v>
      </c>
      <c r="T50" s="75">
        <f t="shared" si="19"/>
        <v>3344</v>
      </c>
      <c r="U50" s="76">
        <f t="shared" si="20"/>
        <v>4.9999999999999961E-2</v>
      </c>
      <c r="V50" s="69">
        <f t="shared" si="21"/>
        <v>208.99999999999983</v>
      </c>
      <c r="W50" s="77">
        <f ca="1">V50*VLOOKUP(TODAY(),'UF HOY'!$A$2:$B$36,2,0)</f>
        <v>8304393.4599999934</v>
      </c>
      <c r="X50" s="78">
        <f>Datos!$E$3</f>
        <v>15</v>
      </c>
      <c r="Y50" s="79">
        <f ca="1">IF((W50-1000000-Datos!$N$3)/X50&gt;0,(W50-1000000-Datos!$N$3)/X50,0)</f>
        <v>480292.89733333292</v>
      </c>
      <c r="Z50" s="78">
        <f>Datos!$G$3</f>
        <v>15</v>
      </c>
      <c r="AA50" s="79">
        <f ca="1">IF((W50-1000000-Datos!$N$3)/Z50&gt;0,(W50-1000000-Datos!$N$3)/Z50,0)</f>
        <v>480292.89733333292</v>
      </c>
      <c r="AB50" s="79">
        <f>IF(L50&gt;0,VLOOKUP(D50,Datos!$H$30:$J$33,3,0),VLOOKUP(D50,Datos!$H$30:$J$33,2,0))</f>
        <v>440000</v>
      </c>
      <c r="AC50" s="79">
        <f ca="1">(S50*PMT(Datos!$D$15,Datos!$D$13,-O50,,)*VLOOKUP(TODAY(),'UF HOY'!$A$2:$B$36,2,0)/12)</f>
        <v>640325.19604897185</v>
      </c>
      <c r="AD50" s="79">
        <f t="shared" ca="1" si="22"/>
        <v>-200325.19604897185</v>
      </c>
      <c r="AE50" s="220">
        <f t="shared" ca="1" si="23"/>
        <v>2561300.7841958874</v>
      </c>
      <c r="AF50" s="45"/>
    </row>
    <row r="51" spans="1:32" hidden="1">
      <c r="A51" s="66" t="s">
        <v>171</v>
      </c>
      <c r="B51" s="66">
        <v>502</v>
      </c>
      <c r="C51" s="67" t="s">
        <v>131</v>
      </c>
      <c r="D51" s="67" t="s">
        <v>194</v>
      </c>
      <c r="E51" s="67"/>
      <c r="F51" s="66">
        <v>48.16</v>
      </c>
      <c r="G51" s="66">
        <v>12.72</v>
      </c>
      <c r="H51" s="67">
        <f t="shared" si="12"/>
        <v>54.519999999999996</v>
      </c>
      <c r="I51" s="68">
        <f t="shared" si="13"/>
        <v>60.879999999999995</v>
      </c>
      <c r="J51" s="69">
        <v>3970</v>
      </c>
      <c r="K51" s="70">
        <v>0</v>
      </c>
      <c r="L51" s="71">
        <v>400</v>
      </c>
      <c r="M51" s="71">
        <v>150</v>
      </c>
      <c r="N51" s="72">
        <f t="shared" si="14"/>
        <v>3842</v>
      </c>
      <c r="O51" s="73">
        <f t="shared" si="15"/>
        <v>4520</v>
      </c>
      <c r="P51" s="121">
        <f t="shared" si="16"/>
        <v>60.381511371973595</v>
      </c>
      <c r="Q51" s="74">
        <f t="shared" si="17"/>
        <v>0.15</v>
      </c>
      <c r="R51" s="75">
        <f t="shared" si="18"/>
        <v>678</v>
      </c>
      <c r="S51" s="74">
        <v>0.8</v>
      </c>
      <c r="T51" s="75">
        <f t="shared" si="19"/>
        <v>3616</v>
      </c>
      <c r="U51" s="76">
        <f t="shared" si="20"/>
        <v>4.9999999999999961E-2</v>
      </c>
      <c r="V51" s="69">
        <f t="shared" si="21"/>
        <v>225.99999999999983</v>
      </c>
      <c r="W51" s="77">
        <f ca="1">V51*VLOOKUP(TODAY(),'UF HOY'!$A$2:$B$36,2,0)</f>
        <v>8979870.4399999939</v>
      </c>
      <c r="X51" s="78">
        <f>Datos!$E$3</f>
        <v>15</v>
      </c>
      <c r="Y51" s="79">
        <f ca="1">IF((W51-1000000-Datos!$N$3)/X51&gt;0,(W51-1000000-Datos!$N$3)/X51,0)</f>
        <v>525324.69599999965</v>
      </c>
      <c r="Z51" s="78">
        <f>Datos!$G$3</f>
        <v>15</v>
      </c>
      <c r="AA51" s="79">
        <f ca="1">IF((W51-1000000-Datos!$N$3)/Z51&gt;0,(W51-1000000-Datos!$N$3)/Z51,0)</f>
        <v>525324.69599999965</v>
      </c>
      <c r="AB51" s="79">
        <f>IF(L51&gt;0,VLOOKUP(D51,Datos!$H$30:$J$33,3,0),VLOOKUP(D51,Datos!$H$30:$J$33,2,0))</f>
        <v>490000</v>
      </c>
      <c r="AC51" s="79">
        <f ca="1">(S51*PMT(Datos!$D$15,Datos!$D$13,-O51,,)*VLOOKUP(TODAY(),'UF HOY'!$A$2:$B$36,2,0)/12)</f>
        <v>692409.06367018016</v>
      </c>
      <c r="AD51" s="79">
        <f t="shared" ca="1" si="22"/>
        <v>-202409.06367018016</v>
      </c>
      <c r="AE51" s="220">
        <f t="shared" ca="1" si="23"/>
        <v>2769636.2546807206</v>
      </c>
      <c r="AF51" s="45"/>
    </row>
    <row r="52" spans="1:32" hidden="1">
      <c r="A52" s="66" t="s">
        <v>171</v>
      </c>
      <c r="B52" s="66">
        <v>504</v>
      </c>
      <c r="C52" s="67" t="s">
        <v>123</v>
      </c>
      <c r="D52" s="67" t="s">
        <v>195</v>
      </c>
      <c r="E52" s="67"/>
      <c r="F52" s="66">
        <v>36.549999999999997</v>
      </c>
      <c r="G52" s="66">
        <v>4.92</v>
      </c>
      <c r="H52" s="67">
        <f t="shared" si="12"/>
        <v>39.01</v>
      </c>
      <c r="I52" s="68">
        <f t="shared" si="13"/>
        <v>41.47</v>
      </c>
      <c r="J52" s="69">
        <v>3150</v>
      </c>
      <c r="K52" s="70">
        <v>0</v>
      </c>
      <c r="L52" s="71">
        <v>0</v>
      </c>
      <c r="M52" s="71">
        <v>0</v>
      </c>
      <c r="N52" s="69">
        <f t="shared" si="14"/>
        <v>2677.5</v>
      </c>
      <c r="O52" s="73">
        <f t="shared" si="15"/>
        <v>3150</v>
      </c>
      <c r="P52" s="121">
        <f t="shared" si="16"/>
        <v>68.636247116124068</v>
      </c>
      <c r="Q52" s="74">
        <f t="shared" si="17"/>
        <v>0.15</v>
      </c>
      <c r="R52" s="75">
        <f t="shared" si="18"/>
        <v>472.5</v>
      </c>
      <c r="S52" s="74">
        <v>0.8</v>
      </c>
      <c r="T52" s="87">
        <f t="shared" si="19"/>
        <v>2520</v>
      </c>
      <c r="U52" s="88">
        <f t="shared" si="20"/>
        <v>4.9999999999999961E-2</v>
      </c>
      <c r="V52" s="69">
        <f t="shared" si="21"/>
        <v>157.49999999999989</v>
      </c>
      <c r="W52" s="89">
        <f ca="1">V52*VLOOKUP(TODAY(),'UF HOY'!$A$2:$B$36,2,0)</f>
        <v>6258095.5499999961</v>
      </c>
      <c r="X52" s="78">
        <f>Datos!$E$3</f>
        <v>15</v>
      </c>
      <c r="Y52" s="79">
        <f ca="1">IF((W52-1000000-Datos!$N$3)/X52&gt;0,(W52-1000000-Datos!$N$3)/X52,0)</f>
        <v>343873.03666666639</v>
      </c>
      <c r="Z52" s="78">
        <f>Datos!$G$3</f>
        <v>15</v>
      </c>
      <c r="AA52" s="79">
        <f ca="1">IF((W52-1000000-Datos!$N$3)/Z52&gt;0,(W52-1000000-Datos!$N$3)/Z52,0)</f>
        <v>343873.03666666639</v>
      </c>
      <c r="AB52" s="79">
        <f>IF(L52&gt;0,VLOOKUP(D52,Datos!$H$30:$J$33,3,0),VLOOKUP(D52,Datos!$H$30:$J$33,2,0))</f>
        <v>350000</v>
      </c>
      <c r="AC52" s="79">
        <f ca="1">(S52*PMT(Datos!$D$15,Datos!$D$13,-O52,,)*VLOOKUP(TODAY(),'UF HOY'!$A$2:$B$36,2,0)/12)</f>
        <v>482541.71472589998</v>
      </c>
      <c r="AD52" s="89">
        <f t="shared" ca="1" si="22"/>
        <v>-132541.71472589998</v>
      </c>
      <c r="AE52" s="220">
        <f t="shared" ca="1" si="23"/>
        <v>1930166.8589035999</v>
      </c>
      <c r="AF52" s="45"/>
    </row>
    <row r="53" spans="1:32" ht="14.25" hidden="1" customHeight="1">
      <c r="A53" s="66" t="s">
        <v>171</v>
      </c>
      <c r="B53" s="66">
        <v>505</v>
      </c>
      <c r="C53" s="67" t="s">
        <v>124</v>
      </c>
      <c r="D53" s="67" t="s">
        <v>195</v>
      </c>
      <c r="E53" s="67"/>
      <c r="F53" s="66">
        <v>36.549999999999997</v>
      </c>
      <c r="G53" s="66">
        <v>5.48</v>
      </c>
      <c r="H53" s="67">
        <f t="shared" si="12"/>
        <v>39.29</v>
      </c>
      <c r="I53" s="68">
        <f t="shared" si="13"/>
        <v>42.03</v>
      </c>
      <c r="J53" s="69">
        <v>3210</v>
      </c>
      <c r="K53" s="70">
        <v>0</v>
      </c>
      <c r="L53" s="71">
        <v>400</v>
      </c>
      <c r="M53" s="71">
        <v>120</v>
      </c>
      <c r="N53" s="72">
        <f t="shared" si="14"/>
        <v>3170.5</v>
      </c>
      <c r="O53" s="73">
        <f t="shared" si="15"/>
        <v>3730</v>
      </c>
      <c r="P53" s="121">
        <f t="shared" si="16"/>
        <v>67.459913463985743</v>
      </c>
      <c r="Q53" s="74">
        <f t="shared" si="17"/>
        <v>0.15</v>
      </c>
      <c r="R53" s="75">
        <f t="shared" si="18"/>
        <v>559.5</v>
      </c>
      <c r="S53" s="74">
        <v>0.8</v>
      </c>
      <c r="T53" s="75">
        <f t="shared" si="19"/>
        <v>2984</v>
      </c>
      <c r="U53" s="76">
        <f t="shared" si="20"/>
        <v>4.9999999999999961E-2</v>
      </c>
      <c r="V53" s="69">
        <f t="shared" si="21"/>
        <v>186.49999999999986</v>
      </c>
      <c r="W53" s="77">
        <f ca="1">V53*VLOOKUP(TODAY(),'UF HOY'!$A$2:$B$36,2,0)</f>
        <v>7410379.8099999949</v>
      </c>
      <c r="X53" s="78">
        <f>Datos!$E$3</f>
        <v>15</v>
      </c>
      <c r="Y53" s="79">
        <f ca="1">IF((W53-1000000-Datos!$N$3)/X53&gt;0,(W53-1000000-Datos!$N$3)/X53,0)</f>
        <v>420691.987333333</v>
      </c>
      <c r="Z53" s="78">
        <f>Datos!$G$3</f>
        <v>15</v>
      </c>
      <c r="AA53" s="79">
        <f ca="1">IF((W53-1000000-Datos!$N$3)/Z53&gt;0,(W53-1000000-Datos!$N$3)/Z53,0)</f>
        <v>420691.987333333</v>
      </c>
      <c r="AB53" s="79">
        <f>IF(L53&gt;0,VLOOKUP(D53,Datos!$H$30:$J$33,3,0),VLOOKUP(D53,Datos!$H$30:$J$33,2,0))</f>
        <v>390000</v>
      </c>
      <c r="AC53" s="79">
        <f ca="1">(S53*PMT(Datos!$D$15,Datos!$D$13,-O53,,)*VLOOKUP(TODAY(),'UF HOY'!$A$2:$B$36,2,0)/12)</f>
        <v>571390.6653738434</v>
      </c>
      <c r="AD53" s="79">
        <f t="shared" ca="1" si="22"/>
        <v>-181390.6653738434</v>
      </c>
      <c r="AE53" s="220">
        <f t="shared" ca="1" si="23"/>
        <v>2285562.6614953736</v>
      </c>
      <c r="AF53" s="45"/>
    </row>
    <row r="54" spans="1:32" hidden="1">
      <c r="A54" s="66" t="s">
        <v>171</v>
      </c>
      <c r="B54" s="66">
        <v>507</v>
      </c>
      <c r="C54" s="67" t="s">
        <v>103</v>
      </c>
      <c r="D54" s="67" t="s">
        <v>196</v>
      </c>
      <c r="E54" s="67"/>
      <c r="F54" s="66">
        <v>42.9</v>
      </c>
      <c r="G54" s="66">
        <v>11.95</v>
      </c>
      <c r="H54" s="67">
        <f t="shared" si="12"/>
        <v>48.875</v>
      </c>
      <c r="I54" s="68">
        <f t="shared" si="13"/>
        <v>54.849999999999994</v>
      </c>
      <c r="J54" s="69">
        <v>3760</v>
      </c>
      <c r="K54" s="70">
        <v>0</v>
      </c>
      <c r="L54" s="71">
        <v>400</v>
      </c>
      <c r="M54" s="71">
        <v>160</v>
      </c>
      <c r="N54" s="72">
        <f t="shared" si="14"/>
        <v>3672</v>
      </c>
      <c r="O54" s="73">
        <f t="shared" si="15"/>
        <v>4320</v>
      </c>
      <c r="P54" s="121">
        <f t="shared" si="16"/>
        <v>63.672634271099746</v>
      </c>
      <c r="Q54" s="74">
        <f t="shared" si="17"/>
        <v>0.15</v>
      </c>
      <c r="R54" s="75">
        <f t="shared" si="18"/>
        <v>648</v>
      </c>
      <c r="S54" s="74">
        <v>0.8</v>
      </c>
      <c r="T54" s="75">
        <f t="shared" si="19"/>
        <v>3456</v>
      </c>
      <c r="U54" s="76">
        <f t="shared" si="20"/>
        <v>4.9999999999999961E-2</v>
      </c>
      <c r="V54" s="69">
        <f t="shared" si="21"/>
        <v>215.99999999999983</v>
      </c>
      <c r="W54" s="77">
        <f ca="1">V54*VLOOKUP(TODAY(),'UF HOY'!$A$2:$B$36,2,0)</f>
        <v>8582531.0399999935</v>
      </c>
      <c r="X54" s="78">
        <f>Datos!$E$3</f>
        <v>15</v>
      </c>
      <c r="Y54" s="79">
        <f ca="1">IF((W54-1000000-Datos!$N$3)/X54&gt;0,(W54-1000000-Datos!$N$3)/X54,0)</f>
        <v>498835.40266666625</v>
      </c>
      <c r="Z54" s="78">
        <f>Datos!$G$3</f>
        <v>15</v>
      </c>
      <c r="AA54" s="79">
        <f ca="1">IF((W54-1000000-Datos!$N$3)/Z54&gt;0,(W54-1000000-Datos!$N$3)/Z54,0)</f>
        <v>498835.40266666625</v>
      </c>
      <c r="AB54" s="79">
        <f>IF(L54&gt;0,VLOOKUP(D54,Datos!$H$30:$J$33,3,0),VLOOKUP(D54,Datos!$H$30:$J$33,2,0))</f>
        <v>440000</v>
      </c>
      <c r="AC54" s="79">
        <f ca="1">(S54*PMT(Datos!$D$15,Datos!$D$13,-O54,,)*VLOOKUP(TODAY(),'UF HOY'!$A$2:$B$36,2,0)/12)</f>
        <v>661771.49448123423</v>
      </c>
      <c r="AD54" s="79">
        <f t="shared" ca="1" si="22"/>
        <v>-221771.49448123423</v>
      </c>
      <c r="AE54" s="220">
        <f t="shared" ca="1" si="23"/>
        <v>2647085.9779249369</v>
      </c>
      <c r="AF54" s="45"/>
    </row>
    <row r="55" spans="1:32" hidden="1">
      <c r="A55" s="66" t="s">
        <v>171</v>
      </c>
      <c r="B55" s="66">
        <v>509</v>
      </c>
      <c r="C55" s="67" t="s">
        <v>103</v>
      </c>
      <c r="D55" s="67" t="s">
        <v>196</v>
      </c>
      <c r="E55" s="67"/>
      <c r="F55" s="66">
        <v>42.9</v>
      </c>
      <c r="G55" s="66">
        <v>12.54</v>
      </c>
      <c r="H55" s="67">
        <f t="shared" si="12"/>
        <v>49.17</v>
      </c>
      <c r="I55" s="68">
        <f t="shared" si="13"/>
        <v>55.44</v>
      </c>
      <c r="J55" s="69">
        <v>3770</v>
      </c>
      <c r="K55" s="70">
        <v>0</v>
      </c>
      <c r="L55" s="71">
        <v>400</v>
      </c>
      <c r="M55" s="71">
        <v>130</v>
      </c>
      <c r="N55" s="72">
        <f t="shared" si="14"/>
        <v>3655</v>
      </c>
      <c r="O55" s="73">
        <f t="shared" si="15"/>
        <v>4300</v>
      </c>
      <c r="P55" s="121">
        <f t="shared" si="16"/>
        <v>63.555013219442749</v>
      </c>
      <c r="Q55" s="74">
        <f t="shared" si="17"/>
        <v>0.15</v>
      </c>
      <c r="R55" s="75">
        <f t="shared" si="18"/>
        <v>645</v>
      </c>
      <c r="S55" s="74">
        <v>0.8</v>
      </c>
      <c r="T55" s="75">
        <f t="shared" si="19"/>
        <v>3440</v>
      </c>
      <c r="U55" s="76">
        <f t="shared" si="20"/>
        <v>4.9999999999999961E-2</v>
      </c>
      <c r="V55" s="69">
        <f t="shared" si="21"/>
        <v>214.99999999999983</v>
      </c>
      <c r="W55" s="77">
        <f ca="1">V55*VLOOKUP(TODAY(),'UF HOY'!$A$2:$B$36,2,0)</f>
        <v>8542797.099999994</v>
      </c>
      <c r="X55" s="78">
        <f>Datos!$E$3</f>
        <v>15</v>
      </c>
      <c r="Y55" s="79">
        <f ca="1">IF((W55-1000000-Datos!$N$3)/X55&gt;0,(W55-1000000-Datos!$N$3)/X55,0)</f>
        <v>496186.47333333292</v>
      </c>
      <c r="Z55" s="78">
        <f>Datos!$G$3</f>
        <v>15</v>
      </c>
      <c r="AA55" s="79">
        <f ca="1">IF((W55-1000000-Datos!$N$3)/Z55&gt;0,(W55-1000000-Datos!$N$3)/Z55,0)</f>
        <v>496186.47333333292</v>
      </c>
      <c r="AB55" s="79">
        <f>IF(L55&gt;0,VLOOKUP(D55,Datos!$H$30:$J$33,3,0),VLOOKUP(D55,Datos!$H$30:$J$33,2,0))</f>
        <v>440000</v>
      </c>
      <c r="AC55" s="79">
        <f ca="1">(S55*PMT(Datos!$D$15,Datos!$D$13,-O55,,)*VLOOKUP(TODAY(),'UF HOY'!$A$2:$B$36,2,0)/12)</f>
        <v>658707.73756233952</v>
      </c>
      <c r="AD55" s="79">
        <f t="shared" ca="1" si="22"/>
        <v>-218707.73756233952</v>
      </c>
      <c r="AE55" s="220">
        <f t="shared" ca="1" si="23"/>
        <v>2634830.9502493581</v>
      </c>
      <c r="AF55" s="45"/>
    </row>
    <row r="56" spans="1:32" hidden="1">
      <c r="A56" s="66" t="s">
        <v>171</v>
      </c>
      <c r="B56" s="66">
        <v>510</v>
      </c>
      <c r="C56" s="67" t="s">
        <v>121</v>
      </c>
      <c r="D56" s="67" t="s">
        <v>194</v>
      </c>
      <c r="E56" s="67"/>
      <c r="F56" s="66">
        <v>53.54</v>
      </c>
      <c r="G56" s="66">
        <v>5.3</v>
      </c>
      <c r="H56" s="67">
        <f t="shared" si="12"/>
        <v>56.19</v>
      </c>
      <c r="I56" s="68">
        <f t="shared" si="13"/>
        <v>58.839999999999996</v>
      </c>
      <c r="J56" s="69">
        <v>4010</v>
      </c>
      <c r="K56" s="70">
        <v>0</v>
      </c>
      <c r="L56" s="71">
        <v>400</v>
      </c>
      <c r="M56" s="71">
        <v>160</v>
      </c>
      <c r="N56" s="72">
        <f t="shared" si="14"/>
        <v>3884.5</v>
      </c>
      <c r="O56" s="73">
        <f t="shared" si="15"/>
        <v>4570</v>
      </c>
      <c r="P56" s="121">
        <f t="shared" si="16"/>
        <v>59.165331909592453</v>
      </c>
      <c r="Q56" s="74">
        <f t="shared" si="17"/>
        <v>0.15</v>
      </c>
      <c r="R56" s="75">
        <f t="shared" si="18"/>
        <v>685.5</v>
      </c>
      <c r="S56" s="74">
        <v>0.8</v>
      </c>
      <c r="T56" s="75">
        <f t="shared" si="19"/>
        <v>3656</v>
      </c>
      <c r="U56" s="76">
        <f t="shared" si="20"/>
        <v>4.9999999999999961E-2</v>
      </c>
      <c r="V56" s="69">
        <f t="shared" si="21"/>
        <v>228.49999999999983</v>
      </c>
      <c r="W56" s="77">
        <f ca="1">V56*VLOOKUP(TODAY(),'UF HOY'!$A$2:$B$36,2,0)</f>
        <v>9079205.2899999935</v>
      </c>
      <c r="X56" s="78">
        <f>Datos!$E$3</f>
        <v>15</v>
      </c>
      <c r="Y56" s="79">
        <f ca="1">IF((W56-1000000-Datos!$N$3)/X56&gt;0,(W56-1000000-Datos!$N$3)/X56,0)</f>
        <v>531947.01933333289</v>
      </c>
      <c r="Z56" s="78">
        <f>Datos!$G$3</f>
        <v>15</v>
      </c>
      <c r="AA56" s="79">
        <f ca="1">IF((W56-1000000-Datos!$N$3)/Z56&gt;0,(W56-1000000-Datos!$N$3)/Z56,0)</f>
        <v>531947.01933333289</v>
      </c>
      <c r="AB56" s="79">
        <f>IF(L56&gt;0,VLOOKUP(D56,Datos!$H$30:$J$33,3,0),VLOOKUP(D56,Datos!$H$30:$J$33,2,0))</f>
        <v>490000</v>
      </c>
      <c r="AC56" s="79">
        <f ca="1">(S56*PMT(Datos!$D$15,Datos!$D$13,-O56,,)*VLOOKUP(TODAY(),'UF HOY'!$A$2:$B$36,2,0)/12)</f>
        <v>700068.45596741664</v>
      </c>
      <c r="AD56" s="79">
        <f t="shared" ca="1" si="22"/>
        <v>-210068.45596741664</v>
      </c>
      <c r="AE56" s="220">
        <f t="shared" ca="1" si="23"/>
        <v>2800273.8238696666</v>
      </c>
      <c r="AF56" s="45"/>
    </row>
    <row r="57" spans="1:32" hidden="1">
      <c r="A57" s="66" t="s">
        <v>171</v>
      </c>
      <c r="B57" s="86">
        <v>511</v>
      </c>
      <c r="C57" s="67" t="s">
        <v>129</v>
      </c>
      <c r="D57" s="67" t="s">
        <v>195</v>
      </c>
      <c r="E57" s="67"/>
      <c r="F57" s="66">
        <v>33.36</v>
      </c>
      <c r="G57" s="66">
        <v>9.1999999999999993</v>
      </c>
      <c r="H57" s="67">
        <f t="shared" si="12"/>
        <v>37.96</v>
      </c>
      <c r="I57" s="68">
        <f t="shared" si="13"/>
        <v>42.56</v>
      </c>
      <c r="J57" s="69">
        <v>3030</v>
      </c>
      <c r="K57" s="70">
        <v>0</v>
      </c>
      <c r="L57" s="71">
        <v>0</v>
      </c>
      <c r="M57" s="71">
        <v>0</v>
      </c>
      <c r="N57" s="72">
        <f t="shared" si="14"/>
        <v>2575.5</v>
      </c>
      <c r="O57" s="73">
        <f t="shared" si="15"/>
        <v>3030</v>
      </c>
      <c r="P57" s="121">
        <f t="shared" si="16"/>
        <v>67.847734457323497</v>
      </c>
      <c r="Q57" s="74">
        <f t="shared" si="17"/>
        <v>0.15</v>
      </c>
      <c r="R57" s="75">
        <f t="shared" si="18"/>
        <v>454.5</v>
      </c>
      <c r="S57" s="74">
        <v>0.8</v>
      </c>
      <c r="T57" s="75">
        <f t="shared" si="19"/>
        <v>2424</v>
      </c>
      <c r="U57" s="76">
        <f t="shared" si="20"/>
        <v>4.9999999999999961E-2</v>
      </c>
      <c r="V57" s="69">
        <f t="shared" si="21"/>
        <v>151.49999999999989</v>
      </c>
      <c r="W57" s="77">
        <f ca="1">V57*VLOOKUP(TODAY(),'UF HOY'!$A$2:$B$36,2,0)</f>
        <v>6019691.9099999955</v>
      </c>
      <c r="X57" s="78">
        <f>Datos!$E$3</f>
        <v>15</v>
      </c>
      <c r="Y57" s="79">
        <f ca="1">IF((W57-1000000-Datos!$N$3)/X57&gt;0,(W57-1000000-Datos!$N$3)/X57,0)</f>
        <v>327979.46066666639</v>
      </c>
      <c r="Z57" s="78">
        <f>Datos!$G$3</f>
        <v>15</v>
      </c>
      <c r="AA57" s="79">
        <f ca="1">IF((W57-1000000-Datos!$N$3)/Z57&gt;0,(W57-1000000-Datos!$N$3)/Z57,0)</f>
        <v>327979.46066666639</v>
      </c>
      <c r="AB57" s="79">
        <f>IF(L57&gt;0,VLOOKUP(D57,Datos!$H$30:$J$33,3,0),VLOOKUP(D57,Datos!$H$30:$J$33,2,0))</f>
        <v>350000</v>
      </c>
      <c r="AC57" s="79">
        <f ca="1">(S57*PMT(Datos!$D$15,Datos!$D$13,-O57,,)*VLOOKUP(TODAY(),'UF HOY'!$A$2:$B$36,2,0)/12)</f>
        <v>464159.17321253225</v>
      </c>
      <c r="AD57" s="79">
        <f t="shared" ca="1" si="22"/>
        <v>-114159.17321253225</v>
      </c>
      <c r="AE57" s="220">
        <f t="shared" ca="1" si="23"/>
        <v>1856636.692850129</v>
      </c>
      <c r="AF57" s="45"/>
    </row>
    <row r="58" spans="1:32" hidden="1">
      <c r="A58" s="66" t="s">
        <v>171</v>
      </c>
      <c r="B58" s="66">
        <v>513</v>
      </c>
      <c r="C58" s="67" t="s">
        <v>129</v>
      </c>
      <c r="D58" s="67" t="s">
        <v>195</v>
      </c>
      <c r="E58" s="67"/>
      <c r="F58" s="66">
        <v>33.53</v>
      </c>
      <c r="G58" s="66">
        <v>9.1199999999999992</v>
      </c>
      <c r="H58" s="67">
        <f t="shared" si="12"/>
        <v>38.090000000000003</v>
      </c>
      <c r="I58" s="68">
        <f t="shared" si="13"/>
        <v>42.65</v>
      </c>
      <c r="J58" s="69">
        <v>3040</v>
      </c>
      <c r="K58" s="70">
        <v>0</v>
      </c>
      <c r="L58" s="71">
        <v>0</v>
      </c>
      <c r="M58" s="71">
        <v>0</v>
      </c>
      <c r="N58" s="72">
        <f t="shared" si="14"/>
        <v>2584</v>
      </c>
      <c r="O58" s="73">
        <f t="shared" si="15"/>
        <v>3040</v>
      </c>
      <c r="P58" s="121">
        <f t="shared" si="16"/>
        <v>67.83932790758729</v>
      </c>
      <c r="Q58" s="74">
        <f t="shared" si="17"/>
        <v>0.15</v>
      </c>
      <c r="R58" s="75">
        <f t="shared" si="18"/>
        <v>456</v>
      </c>
      <c r="S58" s="74">
        <v>0.8</v>
      </c>
      <c r="T58" s="75">
        <f t="shared" si="19"/>
        <v>2432</v>
      </c>
      <c r="U58" s="76">
        <f t="shared" si="20"/>
        <v>4.9999999999999961E-2</v>
      </c>
      <c r="V58" s="69">
        <f t="shared" si="21"/>
        <v>151.99999999999989</v>
      </c>
      <c r="W58" s="77">
        <f ca="1">V58*VLOOKUP(TODAY(),'UF HOY'!$A$2:$B$36,2,0)</f>
        <v>6039558.8799999962</v>
      </c>
      <c r="X58" s="78">
        <f>Datos!$E$3</f>
        <v>15</v>
      </c>
      <c r="Y58" s="79">
        <f ca="1">IF((W58-1000000-Datos!$N$3)/X58&gt;0,(W58-1000000-Datos!$N$3)/X58,0)</f>
        <v>329303.92533333309</v>
      </c>
      <c r="Z58" s="78">
        <f>Datos!$G$3</f>
        <v>15</v>
      </c>
      <c r="AA58" s="79">
        <f ca="1">IF((W58-1000000-Datos!$N$3)/Z58&gt;0,(W58-1000000-Datos!$N$3)/Z58,0)</f>
        <v>329303.92533333309</v>
      </c>
      <c r="AB58" s="79">
        <f>IF(L58&gt;0,VLOOKUP(D58,Datos!$H$30:$J$33,3,0),VLOOKUP(D58,Datos!$H$30:$J$33,2,0))</f>
        <v>350000</v>
      </c>
      <c r="AC58" s="79">
        <f ca="1">(S58*PMT(Datos!$D$15,Datos!$D$13,-O58,,)*VLOOKUP(TODAY(),'UF HOY'!$A$2:$B$36,2,0)/12)</f>
        <v>465691.05167197954</v>
      </c>
      <c r="AD58" s="79">
        <f t="shared" ca="1" si="22"/>
        <v>-115691.05167197954</v>
      </c>
      <c r="AE58" s="220">
        <f t="shared" ca="1" si="23"/>
        <v>1862764.2066879182</v>
      </c>
      <c r="AF58" s="45"/>
    </row>
    <row r="59" spans="1:32" hidden="1">
      <c r="A59" s="66" t="s">
        <v>171</v>
      </c>
      <c r="B59" s="66">
        <v>514</v>
      </c>
      <c r="C59" s="67" t="s">
        <v>122</v>
      </c>
      <c r="D59" s="67" t="s">
        <v>195</v>
      </c>
      <c r="E59" s="67"/>
      <c r="F59" s="66">
        <v>36.56</v>
      </c>
      <c r="G59" s="66">
        <v>4.9800000000000004</v>
      </c>
      <c r="H59" s="67">
        <f t="shared" si="12"/>
        <v>39.050000000000004</v>
      </c>
      <c r="I59" s="68">
        <f t="shared" si="13"/>
        <v>41.540000000000006</v>
      </c>
      <c r="J59" s="69">
        <v>3120</v>
      </c>
      <c r="K59" s="70">
        <v>0</v>
      </c>
      <c r="L59" s="71">
        <v>0</v>
      </c>
      <c r="M59" s="71">
        <v>0</v>
      </c>
      <c r="N59" s="72">
        <f t="shared" si="14"/>
        <v>2652</v>
      </c>
      <c r="O59" s="73">
        <f t="shared" si="15"/>
        <v>3120</v>
      </c>
      <c r="P59" s="121">
        <f t="shared" si="16"/>
        <v>67.912932138284248</v>
      </c>
      <c r="Q59" s="74">
        <f t="shared" si="17"/>
        <v>0.15</v>
      </c>
      <c r="R59" s="75">
        <f t="shared" si="18"/>
        <v>468</v>
      </c>
      <c r="S59" s="74">
        <v>0.8</v>
      </c>
      <c r="T59" s="75">
        <f t="shared" si="19"/>
        <v>2496</v>
      </c>
      <c r="U59" s="76">
        <f t="shared" si="20"/>
        <v>4.9999999999999961E-2</v>
      </c>
      <c r="V59" s="69">
        <f t="shared" si="21"/>
        <v>155.99999999999989</v>
      </c>
      <c r="W59" s="77">
        <f ca="1">V59*VLOOKUP(TODAY(),'UF HOY'!$A$2:$B$36,2,0)</f>
        <v>6198494.6399999959</v>
      </c>
      <c r="X59" s="78">
        <f>Datos!$E$3</f>
        <v>15</v>
      </c>
      <c r="Y59" s="79">
        <f ca="1">IF((W59-1000000-Datos!$N$3)/X59&gt;0,(W59-1000000-Datos!$N$3)/X59,0)</f>
        <v>339899.64266666642</v>
      </c>
      <c r="Z59" s="78">
        <f>Datos!$G$3</f>
        <v>15</v>
      </c>
      <c r="AA59" s="79">
        <f ca="1">IF((W59-1000000-Datos!$N$3)/Z59&gt;0,(W59-1000000-Datos!$N$3)/Z59,0)</f>
        <v>339899.64266666642</v>
      </c>
      <c r="AB59" s="79">
        <f>IF(L59&gt;0,VLOOKUP(D59,Datos!$H$30:$J$33,3,0),VLOOKUP(D59,Datos!$H$30:$J$33,2,0))</f>
        <v>350000</v>
      </c>
      <c r="AC59" s="79">
        <f ca="1">(S59*PMT(Datos!$D$15,Datos!$D$13,-O59,,)*VLOOKUP(TODAY(),'UF HOY'!$A$2:$B$36,2,0)/12)</f>
        <v>477946.07934755791</v>
      </c>
      <c r="AD59" s="79">
        <f t="shared" ca="1" si="22"/>
        <v>-127946.07934755791</v>
      </c>
      <c r="AE59" s="220">
        <f t="shared" ca="1" si="23"/>
        <v>1911784.3173902316</v>
      </c>
      <c r="AF59" s="45"/>
    </row>
    <row r="60" spans="1:32" hidden="1">
      <c r="A60" s="66" t="s">
        <v>171</v>
      </c>
      <c r="B60" s="66">
        <v>515</v>
      </c>
      <c r="C60" s="67" t="s">
        <v>123</v>
      </c>
      <c r="D60" s="67" t="s">
        <v>195</v>
      </c>
      <c r="E60" s="67"/>
      <c r="F60" s="66">
        <v>36.53</v>
      </c>
      <c r="G60" s="66">
        <v>4.8499999999999996</v>
      </c>
      <c r="H60" s="67">
        <f t="shared" si="12"/>
        <v>38.954999999999998</v>
      </c>
      <c r="I60" s="68">
        <f t="shared" si="13"/>
        <v>41.38</v>
      </c>
      <c r="J60" s="69">
        <v>3190</v>
      </c>
      <c r="K60" s="70">
        <v>0</v>
      </c>
      <c r="L60" s="71">
        <v>400</v>
      </c>
      <c r="M60" s="71">
        <v>0</v>
      </c>
      <c r="N60" s="72">
        <f t="shared" si="14"/>
        <v>3051.5</v>
      </c>
      <c r="O60" s="73">
        <f t="shared" si="15"/>
        <v>3590</v>
      </c>
      <c r="P60" s="121">
        <f t="shared" si="16"/>
        <v>68.065716852778849</v>
      </c>
      <c r="Q60" s="74">
        <f t="shared" si="17"/>
        <v>0.15</v>
      </c>
      <c r="R60" s="75">
        <f t="shared" si="18"/>
        <v>538.5</v>
      </c>
      <c r="S60" s="74">
        <v>0.8</v>
      </c>
      <c r="T60" s="75">
        <f t="shared" si="19"/>
        <v>2872</v>
      </c>
      <c r="U60" s="76">
        <f t="shared" si="20"/>
        <v>4.9999999999999961E-2</v>
      </c>
      <c r="V60" s="69">
        <f t="shared" si="21"/>
        <v>179.49999999999986</v>
      </c>
      <c r="W60" s="77">
        <f ca="1">V60*VLOOKUP(TODAY(),'UF HOY'!$A$2:$B$36,2,0)</f>
        <v>7132242.2299999949</v>
      </c>
      <c r="X60" s="78">
        <f>Datos!$E$3</f>
        <v>15</v>
      </c>
      <c r="Y60" s="79">
        <f ca="1">IF((W60-1000000-Datos!$N$3)/X60&gt;0,(W60-1000000-Datos!$N$3)/X60,0)</f>
        <v>402149.48199999967</v>
      </c>
      <c r="Z60" s="78">
        <f>Datos!$G$3</f>
        <v>15</v>
      </c>
      <c r="AA60" s="79">
        <f ca="1">IF((W60-1000000-Datos!$N$3)/Z60&gt;0,(W60-1000000-Datos!$N$3)/Z60,0)</f>
        <v>402149.48199999967</v>
      </c>
      <c r="AB60" s="79">
        <f>IF(L60&gt;0,VLOOKUP(D60,Datos!$H$30:$J$33,3,0),VLOOKUP(D60,Datos!$H$30:$J$33,2,0))</f>
        <v>390000</v>
      </c>
      <c r="AC60" s="79">
        <f ca="1">(S60*PMT(Datos!$D$15,Datos!$D$13,-O60,,)*VLOOKUP(TODAY(),'UF HOY'!$A$2:$B$36,2,0)/12)</f>
        <v>549944.36694158125</v>
      </c>
      <c r="AD60" s="79">
        <f t="shared" ca="1" si="22"/>
        <v>-159944.36694158125</v>
      </c>
      <c r="AE60" s="220">
        <f t="shared" ca="1" si="23"/>
        <v>2199777.467766325</v>
      </c>
      <c r="AF60" s="45"/>
    </row>
    <row r="61" spans="1:32" hidden="1">
      <c r="A61" s="66" t="s">
        <v>171</v>
      </c>
      <c r="B61" s="66">
        <v>516</v>
      </c>
      <c r="C61" s="67" t="s">
        <v>130</v>
      </c>
      <c r="D61" s="67" t="s">
        <v>194</v>
      </c>
      <c r="E61" s="67"/>
      <c r="F61" s="66">
        <v>49.27</v>
      </c>
      <c r="G61" s="66">
        <v>8.8000000000000007</v>
      </c>
      <c r="H61" s="67">
        <f t="shared" si="12"/>
        <v>53.67</v>
      </c>
      <c r="I61" s="68">
        <f t="shared" si="13"/>
        <v>58.070000000000007</v>
      </c>
      <c r="J61" s="69">
        <v>4000</v>
      </c>
      <c r="K61" s="70">
        <v>0</v>
      </c>
      <c r="L61" s="71">
        <v>400</v>
      </c>
      <c r="M61" s="71">
        <v>160</v>
      </c>
      <c r="N61" s="72">
        <f t="shared" si="14"/>
        <v>3876</v>
      </c>
      <c r="O61" s="73">
        <f t="shared" si="15"/>
        <v>4560</v>
      </c>
      <c r="P61" s="121">
        <f t="shared" si="16"/>
        <v>61.78498229923607</v>
      </c>
      <c r="Q61" s="74">
        <f t="shared" si="17"/>
        <v>0.15</v>
      </c>
      <c r="R61" s="75">
        <f t="shared" si="18"/>
        <v>684</v>
      </c>
      <c r="S61" s="74">
        <v>0.8</v>
      </c>
      <c r="T61" s="75">
        <f t="shared" si="19"/>
        <v>3648</v>
      </c>
      <c r="U61" s="76">
        <f t="shared" si="20"/>
        <v>4.9999999999999961E-2</v>
      </c>
      <c r="V61" s="69">
        <f t="shared" si="21"/>
        <v>227.99999999999983</v>
      </c>
      <c r="W61" s="77">
        <f ca="1">V61*VLOOKUP(TODAY(),'UF HOY'!$A$2:$B$36,2,0)</f>
        <v>9059338.3199999928</v>
      </c>
      <c r="X61" s="78">
        <f>Datos!$E$3</f>
        <v>15</v>
      </c>
      <c r="Y61" s="79">
        <f ca="1">IF((W61-1000000-Datos!$N$3)/X61&gt;0,(W61-1000000-Datos!$N$3)/X61,0)</f>
        <v>530622.5546666662</v>
      </c>
      <c r="Z61" s="78">
        <f>Datos!$G$3</f>
        <v>15</v>
      </c>
      <c r="AA61" s="79">
        <f ca="1">IF((W61-1000000-Datos!$N$3)/Z61&gt;0,(W61-1000000-Datos!$N$3)/Z61,0)</f>
        <v>530622.5546666662</v>
      </c>
      <c r="AB61" s="79">
        <f>IF(L61&gt;0,VLOOKUP(D61,Datos!$H$30:$J$33,3,0),VLOOKUP(D61,Datos!$H$30:$J$33,2,0))</f>
        <v>490000</v>
      </c>
      <c r="AC61" s="79">
        <f ca="1">(S61*PMT(Datos!$D$15,Datos!$D$13,-O61,,)*VLOOKUP(TODAY(),'UF HOY'!$A$2:$B$36,2,0)/12)</f>
        <v>698536.57750796934</v>
      </c>
      <c r="AD61" s="79">
        <f t="shared" ca="1" si="22"/>
        <v>-208536.57750796934</v>
      </c>
      <c r="AE61" s="220">
        <f t="shared" ca="1" si="23"/>
        <v>2794146.3100318774</v>
      </c>
      <c r="AF61" s="45"/>
    </row>
    <row r="62" spans="1:32" hidden="1">
      <c r="A62" s="66" t="s">
        <v>171</v>
      </c>
      <c r="B62" s="66">
        <v>601</v>
      </c>
      <c r="C62" s="67" t="s">
        <v>131</v>
      </c>
      <c r="D62" s="67" t="s">
        <v>196</v>
      </c>
      <c r="E62" s="67"/>
      <c r="F62" s="66">
        <v>46.09</v>
      </c>
      <c r="G62" s="66">
        <v>4.8899999999999997</v>
      </c>
      <c r="H62" s="67">
        <f t="shared" si="12"/>
        <v>48.535000000000004</v>
      </c>
      <c r="I62" s="68">
        <f t="shared" si="13"/>
        <v>50.980000000000004</v>
      </c>
      <c r="J62" s="69">
        <v>3650</v>
      </c>
      <c r="K62" s="70">
        <v>0</v>
      </c>
      <c r="L62" s="71">
        <v>400</v>
      </c>
      <c r="M62" s="71">
        <v>130</v>
      </c>
      <c r="N62" s="72">
        <f t="shared" si="14"/>
        <v>3553</v>
      </c>
      <c r="O62" s="180">
        <f t="shared" si="15"/>
        <v>4180</v>
      </c>
      <c r="P62" s="121">
        <f t="shared" si="16"/>
        <v>62.284949005872043</v>
      </c>
      <c r="Q62" s="74">
        <f t="shared" si="17"/>
        <v>0.15</v>
      </c>
      <c r="R62" s="75">
        <f t="shared" si="18"/>
        <v>627</v>
      </c>
      <c r="S62" s="74">
        <v>0.8</v>
      </c>
      <c r="T62" s="75">
        <f t="shared" si="19"/>
        <v>3344</v>
      </c>
      <c r="U62" s="76">
        <f t="shared" si="20"/>
        <v>4.9999999999999961E-2</v>
      </c>
      <c r="V62" s="69">
        <f t="shared" si="21"/>
        <v>208.99999999999983</v>
      </c>
      <c r="W62" s="77">
        <f ca="1">V62*VLOOKUP(TODAY(),'UF HOY'!$A$2:$B$36,2,0)</f>
        <v>8304393.4599999934</v>
      </c>
      <c r="X62" s="78">
        <f>Datos!$E$3</f>
        <v>15</v>
      </c>
      <c r="Y62" s="79">
        <f ca="1">IF((W62-1000000-Datos!$N$3)/X62&gt;0,(W62-1000000-Datos!$N$3)/X62,0)</f>
        <v>480292.89733333292</v>
      </c>
      <c r="Z62" s="78">
        <f>Datos!$G$3</f>
        <v>15</v>
      </c>
      <c r="AA62" s="79">
        <f ca="1">IF((W62-1000000-Datos!$N$3)/Z62&gt;0,(W62-1000000-Datos!$N$3)/Z62,0)</f>
        <v>480292.89733333292</v>
      </c>
      <c r="AB62" s="79">
        <f>IF(L62&gt;0,VLOOKUP(D62,Datos!$H$30:$J$33,3,0),VLOOKUP(D62,Datos!$H$30:$J$33,2,0))</f>
        <v>440000</v>
      </c>
      <c r="AC62" s="79">
        <f ca="1">(S62*PMT(Datos!$D$15,Datos!$D$13,-O62,,)*VLOOKUP(TODAY(),'UF HOY'!$A$2:$B$36,2,0)/12)</f>
        <v>640325.19604897185</v>
      </c>
      <c r="AD62" s="79">
        <f t="shared" ca="1" si="22"/>
        <v>-200325.19604897185</v>
      </c>
      <c r="AE62" s="220">
        <f t="shared" ca="1" si="23"/>
        <v>2561300.7841958874</v>
      </c>
      <c r="AF62" s="45"/>
    </row>
    <row r="63" spans="1:32" hidden="1">
      <c r="A63" s="66" t="s">
        <v>171</v>
      </c>
      <c r="B63" s="66">
        <v>602</v>
      </c>
      <c r="C63" s="67" t="s">
        <v>131</v>
      </c>
      <c r="D63" s="67" t="s">
        <v>194</v>
      </c>
      <c r="E63" s="67"/>
      <c r="F63" s="66">
        <v>48.16</v>
      </c>
      <c r="G63" s="66">
        <v>12.72</v>
      </c>
      <c r="H63" s="67">
        <f t="shared" si="12"/>
        <v>54.519999999999996</v>
      </c>
      <c r="I63" s="68">
        <f t="shared" si="13"/>
        <v>60.879999999999995</v>
      </c>
      <c r="J63" s="69">
        <v>3970</v>
      </c>
      <c r="K63" s="70">
        <v>0</v>
      </c>
      <c r="L63" s="71">
        <v>400</v>
      </c>
      <c r="M63" s="71">
        <v>130</v>
      </c>
      <c r="N63" s="72">
        <f t="shared" si="14"/>
        <v>3825</v>
      </c>
      <c r="O63" s="73">
        <f t="shared" si="15"/>
        <v>4500</v>
      </c>
      <c r="P63" s="121">
        <f t="shared" si="16"/>
        <v>60.436537050623627</v>
      </c>
      <c r="Q63" s="74">
        <f t="shared" si="17"/>
        <v>0.15</v>
      </c>
      <c r="R63" s="75">
        <f t="shared" si="18"/>
        <v>675</v>
      </c>
      <c r="S63" s="74">
        <v>0.8</v>
      </c>
      <c r="T63" s="75">
        <f t="shared" si="19"/>
        <v>3600</v>
      </c>
      <c r="U63" s="76">
        <f t="shared" si="20"/>
        <v>4.9999999999999961E-2</v>
      </c>
      <c r="V63" s="69">
        <f t="shared" si="21"/>
        <v>224.99999999999983</v>
      </c>
      <c r="W63" s="77">
        <f ca="1">V63*VLOOKUP(TODAY(),'UF HOY'!$A$2:$B$36,2,0)</f>
        <v>8940136.4999999944</v>
      </c>
      <c r="X63" s="78">
        <f>Datos!$E$3</f>
        <v>15</v>
      </c>
      <c r="Y63" s="79">
        <f ca="1">IF((W63-1000000-Datos!$N$3)/X63&gt;0,(W63-1000000-Datos!$N$3)/X63,0)</f>
        <v>522675.76666666631</v>
      </c>
      <c r="Z63" s="78">
        <f>Datos!$G$3</f>
        <v>15</v>
      </c>
      <c r="AA63" s="79">
        <f ca="1">IF((W63-1000000-Datos!$N$3)/Z63&gt;0,(W63-1000000-Datos!$N$3)/Z63,0)</f>
        <v>522675.76666666631</v>
      </c>
      <c r="AB63" s="79">
        <f>IF(L63&gt;0,VLOOKUP(D63,Datos!$H$30:$J$33,3,0),VLOOKUP(D63,Datos!$H$30:$J$33,2,0))</f>
        <v>490000</v>
      </c>
      <c r="AC63" s="79">
        <f ca="1">(S63*PMT(Datos!$D$15,Datos!$D$13,-O63,,)*VLOOKUP(TODAY(),'UF HOY'!$A$2:$B$36,2,0)/12)</f>
        <v>689345.30675128545</v>
      </c>
      <c r="AD63" s="79">
        <f t="shared" ca="1" si="22"/>
        <v>-199345.30675128545</v>
      </c>
      <c r="AE63" s="220">
        <f t="shared" ca="1" si="23"/>
        <v>2757381.2270051418</v>
      </c>
      <c r="AF63" s="45"/>
    </row>
    <row r="64" spans="1:32" ht="14.25" hidden="1" customHeight="1">
      <c r="A64" s="66" t="s">
        <v>171</v>
      </c>
      <c r="B64" s="66">
        <v>604</v>
      </c>
      <c r="C64" s="67" t="s">
        <v>123</v>
      </c>
      <c r="D64" s="67" t="s">
        <v>195</v>
      </c>
      <c r="E64" s="67"/>
      <c r="F64" s="66">
        <v>36.549999999999997</v>
      </c>
      <c r="G64" s="66">
        <v>4.92</v>
      </c>
      <c r="H64" s="67">
        <f t="shared" si="12"/>
        <v>39.01</v>
      </c>
      <c r="I64" s="68">
        <f t="shared" si="13"/>
        <v>41.47</v>
      </c>
      <c r="J64" s="69">
        <v>3150</v>
      </c>
      <c r="K64" s="70">
        <v>0</v>
      </c>
      <c r="L64" s="71">
        <v>0</v>
      </c>
      <c r="M64" s="71">
        <v>0</v>
      </c>
      <c r="N64" s="72">
        <f t="shared" si="14"/>
        <v>2677.5</v>
      </c>
      <c r="O64" s="73">
        <f t="shared" si="15"/>
        <v>3150</v>
      </c>
      <c r="P64" s="121">
        <f t="shared" si="16"/>
        <v>68.636247116124068</v>
      </c>
      <c r="Q64" s="74">
        <f t="shared" si="17"/>
        <v>0.15</v>
      </c>
      <c r="R64" s="75">
        <f t="shared" si="18"/>
        <v>472.5</v>
      </c>
      <c r="S64" s="74">
        <v>0.8</v>
      </c>
      <c r="T64" s="75">
        <f t="shared" si="19"/>
        <v>2520</v>
      </c>
      <c r="U64" s="76">
        <f t="shared" si="20"/>
        <v>4.9999999999999961E-2</v>
      </c>
      <c r="V64" s="69">
        <f t="shared" si="21"/>
        <v>157.49999999999989</v>
      </c>
      <c r="W64" s="77">
        <f ca="1">V64*VLOOKUP(TODAY(),'UF HOY'!$A$2:$B$36,2,0)</f>
        <v>6258095.5499999961</v>
      </c>
      <c r="X64" s="78">
        <f>Datos!$E$3</f>
        <v>15</v>
      </c>
      <c r="Y64" s="79">
        <f ca="1">IF((W64-1000000-Datos!$N$3)/X64&gt;0,(W64-1000000-Datos!$N$3)/X64,0)</f>
        <v>343873.03666666639</v>
      </c>
      <c r="Z64" s="78">
        <f>Datos!$G$3</f>
        <v>15</v>
      </c>
      <c r="AA64" s="79">
        <f ca="1">IF((W64-1000000-Datos!$N$3)/Z64&gt;0,(W64-1000000-Datos!$N$3)/Z64,0)</f>
        <v>343873.03666666639</v>
      </c>
      <c r="AB64" s="79">
        <f>IF(L64&gt;0,VLOOKUP(D64,Datos!$H$30:$J$33,3,0),VLOOKUP(D64,Datos!$H$30:$J$33,2,0))</f>
        <v>350000</v>
      </c>
      <c r="AC64" s="79">
        <f ca="1">(S64*PMT(Datos!$D$15,Datos!$D$13,-O64,,)*VLOOKUP(TODAY(),'UF HOY'!$A$2:$B$36,2,0)/12)</f>
        <v>482541.71472589998</v>
      </c>
      <c r="AD64" s="79">
        <f t="shared" ca="1" si="22"/>
        <v>-132541.71472589998</v>
      </c>
      <c r="AE64" s="220">
        <f t="shared" ca="1" si="23"/>
        <v>1930166.8589035999</v>
      </c>
      <c r="AF64" s="45"/>
    </row>
    <row r="65" spans="1:32">
      <c r="A65" s="66" t="s">
        <v>4</v>
      </c>
      <c r="B65" s="66">
        <v>110</v>
      </c>
      <c r="C65" s="67" t="s">
        <v>121</v>
      </c>
      <c r="D65" s="67" t="s">
        <v>194</v>
      </c>
      <c r="E65" s="67"/>
      <c r="F65" s="66">
        <v>53.54</v>
      </c>
      <c r="G65" s="66">
        <v>5.3</v>
      </c>
      <c r="H65" s="67">
        <f t="shared" si="12"/>
        <v>56.19</v>
      </c>
      <c r="I65" s="68">
        <f t="shared" si="13"/>
        <v>58.839999999999996</v>
      </c>
      <c r="J65" s="69">
        <v>3910</v>
      </c>
      <c r="K65" s="70">
        <v>0</v>
      </c>
      <c r="L65" s="71">
        <v>400</v>
      </c>
      <c r="M65" s="71">
        <v>160</v>
      </c>
      <c r="N65" s="72">
        <f t="shared" si="14"/>
        <v>3799.5</v>
      </c>
      <c r="O65" s="73">
        <f t="shared" si="15"/>
        <v>4470</v>
      </c>
      <c r="P65" s="121">
        <f t="shared" si="16"/>
        <v>57.652607225484964</v>
      </c>
      <c r="Q65" s="74">
        <f t="shared" si="17"/>
        <v>0.15</v>
      </c>
      <c r="R65" s="75">
        <f t="shared" si="18"/>
        <v>670.5</v>
      </c>
      <c r="S65" s="74">
        <v>0.8</v>
      </c>
      <c r="T65" s="75">
        <f t="shared" si="19"/>
        <v>3576</v>
      </c>
      <c r="U65" s="76">
        <f t="shared" si="20"/>
        <v>4.9999999999999961E-2</v>
      </c>
      <c r="V65" s="69">
        <f t="shared" si="21"/>
        <v>223.49999999999983</v>
      </c>
      <c r="W65" s="77">
        <f ca="1">V65*VLOOKUP(TODAY(),'UF HOY'!$A$2:$B$36,2,0)</f>
        <v>8880535.5899999943</v>
      </c>
      <c r="X65" s="78">
        <f>Datos!$E$3</f>
        <v>15</v>
      </c>
      <c r="Y65" s="79">
        <f ca="1">IF((W65-1000000-Datos!$N$3)/X65&gt;0,(W65-1000000-Datos!$N$3)/X65,0)</f>
        <v>518702.37266666628</v>
      </c>
      <c r="Z65" s="78">
        <f>Datos!$G$3</f>
        <v>15</v>
      </c>
      <c r="AA65" s="79">
        <f ca="1">IF((W65-1000000-Datos!$N$3)/Z65&gt;0,(W65-1000000-Datos!$N$3)/Z65,0)</f>
        <v>518702.37266666628</v>
      </c>
      <c r="AB65" s="79">
        <f>IF(L65&gt;0,VLOOKUP(D65,Datos!$H$30:$J$33,3,0),VLOOKUP(D65,Datos!$H$30:$J$33,2,0))</f>
        <v>490000</v>
      </c>
      <c r="AC65" s="79">
        <f ca="1">(S65*PMT(Datos!$D$15,Datos!$D$13,-O65,,)*VLOOKUP(TODAY(),'UF HOY'!$A$2:$B$36,2,0)/12)</f>
        <v>684749.67137294367</v>
      </c>
      <c r="AD65" s="79">
        <f t="shared" ca="1" si="22"/>
        <v>-194749.67137294367</v>
      </c>
      <c r="AE65" s="220">
        <f t="shared" ca="1" si="23"/>
        <v>2738998.6854917747</v>
      </c>
      <c r="AF65" s="45"/>
    </row>
    <row r="66" spans="1:32" hidden="1">
      <c r="A66" s="66" t="s">
        <v>171</v>
      </c>
      <c r="B66" s="66">
        <v>608</v>
      </c>
      <c r="C66" s="67" t="s">
        <v>103</v>
      </c>
      <c r="D66" s="67" t="s">
        <v>195</v>
      </c>
      <c r="E66" s="67"/>
      <c r="F66" s="66">
        <v>32.520000000000003</v>
      </c>
      <c r="G66" s="66">
        <v>9.01</v>
      </c>
      <c r="H66" s="67">
        <f t="shared" ref="H66:H97" si="24">F66+G66/2</f>
        <v>37.025000000000006</v>
      </c>
      <c r="I66" s="68">
        <f t="shared" ref="I66:I97" si="25">F66+G66</f>
        <v>41.53</v>
      </c>
      <c r="J66" s="69">
        <v>3020</v>
      </c>
      <c r="K66" s="70">
        <v>0</v>
      </c>
      <c r="L66" s="71">
        <v>0</v>
      </c>
      <c r="M66" s="71">
        <v>0</v>
      </c>
      <c r="N66" s="72">
        <f t="shared" ref="N66:N97" si="26">O66-R66</f>
        <v>2567</v>
      </c>
      <c r="O66" s="73">
        <f t="shared" ref="O66:O97" si="27">J66*(100%-K66)+L66+M66</f>
        <v>3020</v>
      </c>
      <c r="P66" s="121">
        <f t="shared" ref="P66:P97" si="28">(N66-L66-M66)/H66</f>
        <v>69.331532748143132</v>
      </c>
      <c r="Q66" s="74">
        <f t="shared" ref="Q66:Q97" si="29">R66/O66</f>
        <v>0.15</v>
      </c>
      <c r="R66" s="75">
        <f t="shared" ref="R66:R97" si="30">O66*0.15</f>
        <v>453</v>
      </c>
      <c r="S66" s="74">
        <v>0.8</v>
      </c>
      <c r="T66" s="75">
        <f t="shared" ref="T66:T97" si="31">S66*O66</f>
        <v>2416</v>
      </c>
      <c r="U66" s="76">
        <f t="shared" ref="U66:U97" si="32">100%-S66-Q66</f>
        <v>4.9999999999999961E-2</v>
      </c>
      <c r="V66" s="69">
        <f t="shared" ref="V66:V97" si="33">O66*U66</f>
        <v>150.99999999999989</v>
      </c>
      <c r="W66" s="77">
        <f ca="1">V66*VLOOKUP(TODAY(),'UF HOY'!$A$2:$B$36,2,0)</f>
        <v>5999824.9399999958</v>
      </c>
      <c r="X66" s="78">
        <f>Datos!$E$3</f>
        <v>15</v>
      </c>
      <c r="Y66" s="79">
        <f ca="1">IF((W66-1000000-Datos!$N$3)/X66&gt;0,(W66-1000000-Datos!$N$3)/X66,0)</f>
        <v>326654.99599999969</v>
      </c>
      <c r="Z66" s="78">
        <f>Datos!$G$3</f>
        <v>15</v>
      </c>
      <c r="AA66" s="79">
        <f ca="1">IF((W66-1000000-Datos!$N$3)/Z66&gt;0,(W66-1000000-Datos!$N$3)/Z66,0)</f>
        <v>326654.99599999969</v>
      </c>
      <c r="AB66" s="79">
        <f>IF(L66&gt;0,VLOOKUP(D66,Datos!$H$30:$J$33,3,0),VLOOKUP(D66,Datos!$H$30:$J$33,2,0))</f>
        <v>350000</v>
      </c>
      <c r="AC66" s="79">
        <f ca="1">(S66*PMT(Datos!$D$15,Datos!$D$13,-O66,,)*VLOOKUP(TODAY(),'UF HOY'!$A$2:$B$36,2,0)/12)</f>
        <v>462627.29475308495</v>
      </c>
      <c r="AD66" s="79">
        <f t="shared" ref="AD66:AD97" ca="1" si="34">AB66-AC66</f>
        <v>-112627.29475308495</v>
      </c>
      <c r="AE66" s="220">
        <f t="shared" ref="AE66:AE97" ca="1" si="35">AC66/0.25</f>
        <v>1850509.1790123398</v>
      </c>
      <c r="AF66" s="45"/>
    </row>
    <row r="67" spans="1:32" hidden="1">
      <c r="A67" s="66" t="s">
        <v>171</v>
      </c>
      <c r="B67" s="66">
        <v>609</v>
      </c>
      <c r="C67" s="67" t="s">
        <v>103</v>
      </c>
      <c r="D67" s="67" t="s">
        <v>196</v>
      </c>
      <c r="E67" s="67"/>
      <c r="F67" s="66">
        <v>42.9</v>
      </c>
      <c r="G67" s="66">
        <v>12.54</v>
      </c>
      <c r="H67" s="67">
        <f t="shared" si="24"/>
        <v>49.17</v>
      </c>
      <c r="I67" s="68">
        <f t="shared" si="25"/>
        <v>55.44</v>
      </c>
      <c r="J67" s="69">
        <v>3770</v>
      </c>
      <c r="K67" s="70">
        <v>0</v>
      </c>
      <c r="L67" s="71">
        <v>400</v>
      </c>
      <c r="M67" s="71">
        <v>130</v>
      </c>
      <c r="N67" s="72">
        <f t="shared" si="26"/>
        <v>3655</v>
      </c>
      <c r="O67" s="73">
        <f t="shared" si="27"/>
        <v>4300</v>
      </c>
      <c r="P67" s="121">
        <f t="shared" si="28"/>
        <v>63.555013219442749</v>
      </c>
      <c r="Q67" s="74">
        <f t="shared" si="29"/>
        <v>0.15</v>
      </c>
      <c r="R67" s="75">
        <f t="shared" si="30"/>
        <v>645</v>
      </c>
      <c r="S67" s="74">
        <v>0.8</v>
      </c>
      <c r="T67" s="75">
        <f t="shared" si="31"/>
        <v>3440</v>
      </c>
      <c r="U67" s="76">
        <f t="shared" si="32"/>
        <v>4.9999999999999961E-2</v>
      </c>
      <c r="V67" s="69">
        <f t="shared" si="33"/>
        <v>214.99999999999983</v>
      </c>
      <c r="W67" s="77">
        <f ca="1">V67*VLOOKUP(TODAY(),'UF HOY'!$A$2:$B$36,2,0)</f>
        <v>8542797.099999994</v>
      </c>
      <c r="X67" s="78">
        <f>Datos!$E$3</f>
        <v>15</v>
      </c>
      <c r="Y67" s="79">
        <f ca="1">IF((W67-1000000-Datos!$N$3)/X67&gt;0,(W67-1000000-Datos!$N$3)/X67,0)</f>
        <v>496186.47333333292</v>
      </c>
      <c r="Z67" s="78">
        <f>Datos!$G$3</f>
        <v>15</v>
      </c>
      <c r="AA67" s="79">
        <f ca="1">IF((W67-1000000-Datos!$N$3)/Z67&gt;0,(W67-1000000-Datos!$N$3)/Z67,0)</f>
        <v>496186.47333333292</v>
      </c>
      <c r="AB67" s="79">
        <f>IF(L67&gt;0,VLOOKUP(D67,Datos!$H$30:$J$33,3,0),VLOOKUP(D67,Datos!$H$30:$J$33,2,0))</f>
        <v>440000</v>
      </c>
      <c r="AC67" s="79">
        <f ca="1">(S67*PMT(Datos!$D$15,Datos!$D$13,-O67,,)*VLOOKUP(TODAY(),'UF HOY'!$A$2:$B$36,2,0)/12)</f>
        <v>658707.73756233952</v>
      </c>
      <c r="AD67" s="79">
        <f t="shared" ca="1" si="34"/>
        <v>-218707.73756233952</v>
      </c>
      <c r="AE67" s="220">
        <f t="shared" ca="1" si="35"/>
        <v>2634830.9502493581</v>
      </c>
      <c r="AF67" s="45"/>
    </row>
    <row r="68" spans="1:32" hidden="1">
      <c r="A68" s="66" t="s">
        <v>171</v>
      </c>
      <c r="B68" s="66">
        <v>610</v>
      </c>
      <c r="C68" s="67" t="s">
        <v>121</v>
      </c>
      <c r="D68" s="67" t="s">
        <v>194</v>
      </c>
      <c r="E68" s="67"/>
      <c r="F68" s="66">
        <v>53.54</v>
      </c>
      <c r="G68" s="66">
        <v>5.3</v>
      </c>
      <c r="H68" s="67">
        <f t="shared" si="24"/>
        <v>56.19</v>
      </c>
      <c r="I68" s="68">
        <f t="shared" si="25"/>
        <v>58.839999999999996</v>
      </c>
      <c r="J68" s="69">
        <v>4010</v>
      </c>
      <c r="K68" s="70">
        <v>0</v>
      </c>
      <c r="L68" s="71">
        <v>400</v>
      </c>
      <c r="M68" s="71">
        <v>160</v>
      </c>
      <c r="N68" s="72">
        <f t="shared" si="26"/>
        <v>3884.5</v>
      </c>
      <c r="O68" s="73">
        <f t="shared" si="27"/>
        <v>4570</v>
      </c>
      <c r="P68" s="121">
        <f t="shared" si="28"/>
        <v>59.165331909592453</v>
      </c>
      <c r="Q68" s="74">
        <f t="shared" si="29"/>
        <v>0.15</v>
      </c>
      <c r="R68" s="75">
        <f t="shared" si="30"/>
        <v>685.5</v>
      </c>
      <c r="S68" s="74">
        <v>0.8</v>
      </c>
      <c r="T68" s="75">
        <f t="shared" si="31"/>
        <v>3656</v>
      </c>
      <c r="U68" s="76">
        <f t="shared" si="32"/>
        <v>4.9999999999999961E-2</v>
      </c>
      <c r="V68" s="69">
        <f t="shared" si="33"/>
        <v>228.49999999999983</v>
      </c>
      <c r="W68" s="77">
        <f ca="1">V68*VLOOKUP(TODAY(),'UF HOY'!$A$2:$B$36,2,0)</f>
        <v>9079205.2899999935</v>
      </c>
      <c r="X68" s="78">
        <f>Datos!$E$3</f>
        <v>15</v>
      </c>
      <c r="Y68" s="79">
        <f ca="1">IF((W68-1000000-Datos!$N$3)/X68&gt;0,(W68-1000000-Datos!$N$3)/X68,0)</f>
        <v>531947.01933333289</v>
      </c>
      <c r="Z68" s="78">
        <f>Datos!$G$3</f>
        <v>15</v>
      </c>
      <c r="AA68" s="79">
        <f ca="1">IF((W68-1000000-Datos!$N$3)/Z68&gt;0,(W68-1000000-Datos!$N$3)/Z68,0)</f>
        <v>531947.01933333289</v>
      </c>
      <c r="AB68" s="79">
        <f>IF(L68&gt;0,VLOOKUP(D68,Datos!$H$30:$J$33,3,0),VLOOKUP(D68,Datos!$H$30:$J$33,2,0))</f>
        <v>490000</v>
      </c>
      <c r="AC68" s="79">
        <f ca="1">(S68*PMT(Datos!$D$15,Datos!$D$13,-O68,,)*VLOOKUP(TODAY(),'UF HOY'!$A$2:$B$36,2,0)/12)</f>
        <v>700068.45596741664</v>
      </c>
      <c r="AD68" s="79">
        <f t="shared" ca="1" si="34"/>
        <v>-210068.45596741664</v>
      </c>
      <c r="AE68" s="220">
        <f t="shared" ca="1" si="35"/>
        <v>2800273.8238696666</v>
      </c>
      <c r="AF68" s="45"/>
    </row>
    <row r="69" spans="1:32" hidden="1">
      <c r="A69" s="66" t="s">
        <v>171</v>
      </c>
      <c r="B69" s="66">
        <v>613</v>
      </c>
      <c r="C69" s="67" t="s">
        <v>129</v>
      </c>
      <c r="D69" s="67" t="s">
        <v>195</v>
      </c>
      <c r="E69" s="67"/>
      <c r="F69" s="66">
        <v>33.53</v>
      </c>
      <c r="G69" s="66">
        <v>9.1199999999999992</v>
      </c>
      <c r="H69" s="67">
        <f t="shared" si="24"/>
        <v>38.090000000000003</v>
      </c>
      <c r="I69" s="68">
        <f t="shared" si="25"/>
        <v>42.65</v>
      </c>
      <c r="J69" s="69">
        <v>3040</v>
      </c>
      <c r="K69" s="70">
        <v>0</v>
      </c>
      <c r="L69" s="71">
        <v>0</v>
      </c>
      <c r="M69" s="71">
        <v>0</v>
      </c>
      <c r="N69" s="72">
        <f t="shared" si="26"/>
        <v>2584</v>
      </c>
      <c r="O69" s="73">
        <f t="shared" si="27"/>
        <v>3040</v>
      </c>
      <c r="P69" s="121">
        <f t="shared" si="28"/>
        <v>67.83932790758729</v>
      </c>
      <c r="Q69" s="74">
        <f t="shared" si="29"/>
        <v>0.15</v>
      </c>
      <c r="R69" s="75">
        <f t="shared" si="30"/>
        <v>456</v>
      </c>
      <c r="S69" s="74">
        <v>0.8</v>
      </c>
      <c r="T69" s="75">
        <f t="shared" si="31"/>
        <v>2432</v>
      </c>
      <c r="U69" s="76">
        <f t="shared" si="32"/>
        <v>4.9999999999999961E-2</v>
      </c>
      <c r="V69" s="69">
        <f t="shared" si="33"/>
        <v>151.99999999999989</v>
      </c>
      <c r="W69" s="77">
        <f ca="1">V69*VLOOKUP(TODAY(),'UF HOY'!$A$2:$B$36,2,0)</f>
        <v>6039558.8799999962</v>
      </c>
      <c r="X69" s="78">
        <f>Datos!$E$3</f>
        <v>15</v>
      </c>
      <c r="Y69" s="79">
        <f ca="1">IF((W69-1000000-Datos!$N$3)/X69&gt;0,(W69-1000000-Datos!$N$3)/X69,0)</f>
        <v>329303.92533333309</v>
      </c>
      <c r="Z69" s="78">
        <f>Datos!$G$3</f>
        <v>15</v>
      </c>
      <c r="AA69" s="79">
        <f ca="1">IF((W69-1000000-Datos!$N$3)/Z69&gt;0,(W69-1000000-Datos!$N$3)/Z69,0)</f>
        <v>329303.92533333309</v>
      </c>
      <c r="AB69" s="79">
        <f>IF(L69&gt;0,VLOOKUP(D69,Datos!$H$30:$J$33,3,0),VLOOKUP(D69,Datos!$H$30:$J$33,2,0))</f>
        <v>350000</v>
      </c>
      <c r="AC69" s="79">
        <f ca="1">(S69*PMT(Datos!$D$15,Datos!$D$13,-O69,,)*VLOOKUP(TODAY(),'UF HOY'!$A$2:$B$36,2,0)/12)</f>
        <v>465691.05167197954</v>
      </c>
      <c r="AD69" s="79">
        <f t="shared" ca="1" si="34"/>
        <v>-115691.05167197954</v>
      </c>
      <c r="AE69" s="220">
        <f t="shared" ca="1" si="35"/>
        <v>1862764.2066879182</v>
      </c>
      <c r="AF69" s="45"/>
    </row>
    <row r="70" spans="1:32" hidden="1">
      <c r="A70" s="66" t="s">
        <v>171</v>
      </c>
      <c r="B70" s="66">
        <v>614</v>
      </c>
      <c r="C70" s="67" t="s">
        <v>122</v>
      </c>
      <c r="D70" s="67" t="s">
        <v>195</v>
      </c>
      <c r="E70" s="67"/>
      <c r="F70" s="66">
        <v>36.56</v>
      </c>
      <c r="G70" s="66">
        <v>4.9800000000000004</v>
      </c>
      <c r="H70" s="67">
        <f t="shared" si="24"/>
        <v>39.050000000000004</v>
      </c>
      <c r="I70" s="68">
        <f t="shared" si="25"/>
        <v>41.540000000000006</v>
      </c>
      <c r="J70" s="69">
        <v>3120</v>
      </c>
      <c r="K70" s="70">
        <v>0</v>
      </c>
      <c r="L70" s="71">
        <v>0</v>
      </c>
      <c r="M70" s="71">
        <v>0</v>
      </c>
      <c r="N70" s="72">
        <f t="shared" si="26"/>
        <v>2652</v>
      </c>
      <c r="O70" s="73">
        <f t="shared" si="27"/>
        <v>3120</v>
      </c>
      <c r="P70" s="121">
        <f t="shared" si="28"/>
        <v>67.912932138284248</v>
      </c>
      <c r="Q70" s="74">
        <f t="shared" si="29"/>
        <v>0.15</v>
      </c>
      <c r="R70" s="75">
        <f t="shared" si="30"/>
        <v>468</v>
      </c>
      <c r="S70" s="74">
        <v>0.8</v>
      </c>
      <c r="T70" s="75">
        <f t="shared" si="31"/>
        <v>2496</v>
      </c>
      <c r="U70" s="76">
        <f t="shared" si="32"/>
        <v>4.9999999999999961E-2</v>
      </c>
      <c r="V70" s="69">
        <f t="shared" si="33"/>
        <v>155.99999999999989</v>
      </c>
      <c r="W70" s="77">
        <f ca="1">V70*VLOOKUP(TODAY(),'UF HOY'!$A$2:$B$36,2,0)</f>
        <v>6198494.6399999959</v>
      </c>
      <c r="X70" s="78">
        <f>Datos!$E$3</f>
        <v>15</v>
      </c>
      <c r="Y70" s="79">
        <f ca="1">IF((W70-1000000-Datos!$N$3)/X70&gt;0,(W70-1000000-Datos!$N$3)/X70,0)</f>
        <v>339899.64266666642</v>
      </c>
      <c r="Z70" s="78">
        <f>Datos!$G$3</f>
        <v>15</v>
      </c>
      <c r="AA70" s="79">
        <f ca="1">IF((W70-1000000-Datos!$N$3)/Z70&gt;0,(W70-1000000-Datos!$N$3)/Z70,0)</f>
        <v>339899.64266666642</v>
      </c>
      <c r="AB70" s="79">
        <f>IF(L70&gt;0,VLOOKUP(D70,Datos!$H$30:$J$33,3,0),VLOOKUP(D70,Datos!$H$30:$J$33,2,0))</f>
        <v>350000</v>
      </c>
      <c r="AC70" s="79">
        <f ca="1">(S70*PMT(Datos!$D$15,Datos!$D$13,-O70,,)*VLOOKUP(TODAY(),'UF HOY'!$A$2:$B$36,2,0)/12)</f>
        <v>477946.07934755791</v>
      </c>
      <c r="AD70" s="79">
        <f t="shared" ca="1" si="34"/>
        <v>-127946.07934755791</v>
      </c>
      <c r="AE70" s="220">
        <f t="shared" ca="1" si="35"/>
        <v>1911784.3173902316</v>
      </c>
      <c r="AF70" s="45"/>
    </row>
    <row r="71" spans="1:32" hidden="1">
      <c r="A71" s="66" t="s">
        <v>171</v>
      </c>
      <c r="B71" s="66">
        <v>615</v>
      </c>
      <c r="C71" s="67" t="s">
        <v>123</v>
      </c>
      <c r="D71" s="67" t="s">
        <v>195</v>
      </c>
      <c r="E71" s="67"/>
      <c r="F71" s="66">
        <v>36.53</v>
      </c>
      <c r="G71" s="66">
        <v>4.8499999999999996</v>
      </c>
      <c r="H71" s="67">
        <f t="shared" si="24"/>
        <v>38.954999999999998</v>
      </c>
      <c r="I71" s="68">
        <f t="shared" si="25"/>
        <v>41.38</v>
      </c>
      <c r="J71" s="69">
        <v>3190</v>
      </c>
      <c r="K71" s="70">
        <v>0</v>
      </c>
      <c r="L71" s="71">
        <v>0</v>
      </c>
      <c r="M71" s="71">
        <v>0</v>
      </c>
      <c r="N71" s="72">
        <f t="shared" si="26"/>
        <v>2711.5</v>
      </c>
      <c r="O71" s="73">
        <f t="shared" si="27"/>
        <v>3190</v>
      </c>
      <c r="P71" s="121">
        <f t="shared" si="28"/>
        <v>69.605955589783079</v>
      </c>
      <c r="Q71" s="74">
        <f t="shared" si="29"/>
        <v>0.15</v>
      </c>
      <c r="R71" s="75">
        <f t="shared" si="30"/>
        <v>478.5</v>
      </c>
      <c r="S71" s="74">
        <v>0.8</v>
      </c>
      <c r="T71" s="75">
        <f t="shared" si="31"/>
        <v>2552</v>
      </c>
      <c r="U71" s="76">
        <f t="shared" si="32"/>
        <v>4.9999999999999961E-2</v>
      </c>
      <c r="V71" s="69">
        <f t="shared" si="33"/>
        <v>159.49999999999989</v>
      </c>
      <c r="W71" s="77">
        <f ca="1">V71*VLOOKUP(TODAY(),'UF HOY'!$A$2:$B$36,2,0)</f>
        <v>6337563.429999996</v>
      </c>
      <c r="X71" s="78">
        <f>Datos!$E$3</f>
        <v>15</v>
      </c>
      <c r="Y71" s="79">
        <f ca="1">IF((W71-1000000-Datos!$N$3)/X71&gt;0,(W71-1000000-Datos!$N$3)/X71,0)</f>
        <v>349170.89533333306</v>
      </c>
      <c r="Z71" s="78">
        <f>Datos!$G$3</f>
        <v>15</v>
      </c>
      <c r="AA71" s="79">
        <f ca="1">IF((W71-1000000-Datos!$N$3)/Z71&gt;0,(W71-1000000-Datos!$N$3)/Z71,0)</f>
        <v>349170.89533333306</v>
      </c>
      <c r="AB71" s="79">
        <f>IF(L71&gt;0,VLOOKUP(D71,Datos!$H$30:$J$33,3,0),VLOOKUP(D71,Datos!$H$30:$J$33,2,0))</f>
        <v>350000</v>
      </c>
      <c r="AC71" s="79">
        <f ca="1">(S71*PMT(Datos!$D$15,Datos!$D$13,-O71,,)*VLOOKUP(TODAY(),'UF HOY'!$A$2:$B$36,2,0)/12)</f>
        <v>488669.2285636891</v>
      </c>
      <c r="AD71" s="79">
        <f t="shared" ca="1" si="34"/>
        <v>-138669.2285636891</v>
      </c>
      <c r="AE71" s="220">
        <f t="shared" ca="1" si="35"/>
        <v>1954676.9142547564</v>
      </c>
      <c r="AF71" s="45"/>
    </row>
    <row r="72" spans="1:32" hidden="1">
      <c r="A72" s="66" t="s">
        <v>171</v>
      </c>
      <c r="B72" s="66">
        <v>616</v>
      </c>
      <c r="C72" s="67" t="s">
        <v>130</v>
      </c>
      <c r="D72" s="67" t="s">
        <v>194</v>
      </c>
      <c r="E72" s="67"/>
      <c r="F72" s="66">
        <v>49.27</v>
      </c>
      <c r="G72" s="66">
        <v>8.8000000000000007</v>
      </c>
      <c r="H72" s="67">
        <f t="shared" si="24"/>
        <v>53.67</v>
      </c>
      <c r="I72" s="68">
        <f t="shared" si="25"/>
        <v>58.070000000000007</v>
      </c>
      <c r="J72" s="69">
        <v>4000</v>
      </c>
      <c r="K72" s="70">
        <v>0</v>
      </c>
      <c r="L72" s="71">
        <v>400</v>
      </c>
      <c r="M72" s="71">
        <v>130</v>
      </c>
      <c r="N72" s="72">
        <f t="shared" si="26"/>
        <v>3850.5</v>
      </c>
      <c r="O72" s="73">
        <f t="shared" si="27"/>
        <v>4530</v>
      </c>
      <c r="P72" s="121">
        <f t="shared" si="28"/>
        <v>61.86882802310415</v>
      </c>
      <c r="Q72" s="74">
        <f t="shared" si="29"/>
        <v>0.15</v>
      </c>
      <c r="R72" s="75">
        <f t="shared" si="30"/>
        <v>679.5</v>
      </c>
      <c r="S72" s="74">
        <v>0.8</v>
      </c>
      <c r="T72" s="75">
        <f t="shared" si="31"/>
        <v>3624</v>
      </c>
      <c r="U72" s="76">
        <f t="shared" si="32"/>
        <v>4.9999999999999961E-2</v>
      </c>
      <c r="V72" s="69">
        <f t="shared" si="33"/>
        <v>226.49999999999983</v>
      </c>
      <c r="W72" s="77">
        <f ca="1">V72*VLOOKUP(TODAY(),'UF HOY'!$A$2:$B$36,2,0)</f>
        <v>8999737.4099999946</v>
      </c>
      <c r="X72" s="78">
        <f>Datos!$E$3</f>
        <v>15</v>
      </c>
      <c r="Y72" s="79">
        <f ca="1">IF((W72-1000000-Datos!$N$3)/X72&gt;0,(W72-1000000-Datos!$N$3)/X72,0)</f>
        <v>526649.16066666634</v>
      </c>
      <c r="Z72" s="78">
        <f>Datos!$G$3</f>
        <v>15</v>
      </c>
      <c r="AA72" s="79">
        <f ca="1">IF((W72-1000000-Datos!$N$3)/Z72&gt;0,(W72-1000000-Datos!$N$3)/Z72,0)</f>
        <v>526649.16066666634</v>
      </c>
      <c r="AB72" s="79">
        <f>IF(L72&gt;0,VLOOKUP(D72,Datos!$H$30:$J$33,3,0),VLOOKUP(D72,Datos!$H$30:$J$33,2,0))</f>
        <v>490000</v>
      </c>
      <c r="AC72" s="79">
        <f ca="1">(S72*PMT(Datos!$D$15,Datos!$D$13,-O72,,)*VLOOKUP(TODAY(),'UF HOY'!$A$2:$B$36,2,0)/12)</f>
        <v>693940.94212962734</v>
      </c>
      <c r="AD72" s="79">
        <f t="shared" ca="1" si="34"/>
        <v>-203940.94212962734</v>
      </c>
      <c r="AE72" s="220">
        <f t="shared" ca="1" si="35"/>
        <v>2775763.7685185093</v>
      </c>
      <c r="AF72" s="45"/>
    </row>
    <row r="73" spans="1:32" hidden="1">
      <c r="A73" s="66" t="s">
        <v>171</v>
      </c>
      <c r="B73" s="66">
        <v>701</v>
      </c>
      <c r="C73" s="67" t="s">
        <v>131</v>
      </c>
      <c r="D73" s="67" t="s">
        <v>196</v>
      </c>
      <c r="E73" s="67"/>
      <c r="F73" s="66">
        <v>46.09</v>
      </c>
      <c r="G73" s="66">
        <v>4.8899999999999997</v>
      </c>
      <c r="H73" s="67">
        <f t="shared" si="24"/>
        <v>48.535000000000004</v>
      </c>
      <c r="I73" s="68">
        <f t="shared" si="25"/>
        <v>50.980000000000004</v>
      </c>
      <c r="J73" s="69">
        <v>3650</v>
      </c>
      <c r="K73" s="70">
        <v>0</v>
      </c>
      <c r="L73" s="71">
        <v>0</v>
      </c>
      <c r="M73" s="71">
        <v>0</v>
      </c>
      <c r="N73" s="72">
        <f t="shared" si="26"/>
        <v>3102.5</v>
      </c>
      <c r="O73" s="73">
        <f t="shared" si="27"/>
        <v>3650</v>
      </c>
      <c r="P73" s="121">
        <f t="shared" si="28"/>
        <v>63.922942206654987</v>
      </c>
      <c r="Q73" s="74">
        <f t="shared" si="29"/>
        <v>0.15</v>
      </c>
      <c r="R73" s="75">
        <f t="shared" si="30"/>
        <v>547.5</v>
      </c>
      <c r="S73" s="74">
        <v>0.8</v>
      </c>
      <c r="T73" s="75">
        <f t="shared" si="31"/>
        <v>2920</v>
      </c>
      <c r="U73" s="76">
        <f t="shared" si="32"/>
        <v>4.9999999999999961E-2</v>
      </c>
      <c r="V73" s="69">
        <f t="shared" si="33"/>
        <v>182.49999999999986</v>
      </c>
      <c r="W73" s="77">
        <f ca="1">V73*VLOOKUP(TODAY(),'UF HOY'!$A$2:$B$36,2,0)</f>
        <v>7251444.0499999952</v>
      </c>
      <c r="X73" s="78">
        <f>Datos!$E$3</f>
        <v>15</v>
      </c>
      <c r="Y73" s="79">
        <f ca="1">IF((W73-1000000-Datos!$N$3)/X73&gt;0,(W73-1000000-Datos!$N$3)/X73,0)</f>
        <v>410096.26999999967</v>
      </c>
      <c r="Z73" s="78">
        <f>Datos!$G$3</f>
        <v>15</v>
      </c>
      <c r="AA73" s="79">
        <f ca="1">IF((W73-1000000-Datos!$N$3)/Z73&gt;0,(W73-1000000-Datos!$N$3)/Z73,0)</f>
        <v>410096.26999999967</v>
      </c>
      <c r="AB73" s="79">
        <f>IF(L73&gt;0,VLOOKUP(D73,Datos!$H$30:$J$33,3,0),VLOOKUP(D73,Datos!$H$30:$J$33,2,0))</f>
        <v>400000</v>
      </c>
      <c r="AC73" s="79">
        <f ca="1">(S73*PMT(Datos!$D$15,Datos!$D$13,-O73,,)*VLOOKUP(TODAY(),'UF HOY'!$A$2:$B$36,2,0)/12)</f>
        <v>559135.63769826514</v>
      </c>
      <c r="AD73" s="79">
        <f t="shared" ca="1" si="34"/>
        <v>-159135.63769826514</v>
      </c>
      <c r="AE73" s="220">
        <f t="shared" ca="1" si="35"/>
        <v>2236542.5507930606</v>
      </c>
      <c r="AF73" s="45"/>
    </row>
    <row r="74" spans="1:32" hidden="1">
      <c r="A74" s="66" t="s">
        <v>171</v>
      </c>
      <c r="B74" s="86">
        <v>702</v>
      </c>
      <c r="C74" s="67" t="s">
        <v>131</v>
      </c>
      <c r="D74" s="67" t="s">
        <v>194</v>
      </c>
      <c r="E74" s="67"/>
      <c r="F74" s="66">
        <v>48.16</v>
      </c>
      <c r="G74" s="66">
        <v>12.72</v>
      </c>
      <c r="H74" s="67">
        <f t="shared" si="24"/>
        <v>54.519999999999996</v>
      </c>
      <c r="I74" s="68">
        <f t="shared" si="25"/>
        <v>60.879999999999995</v>
      </c>
      <c r="J74" s="69">
        <v>3970</v>
      </c>
      <c r="K74" s="70">
        <v>0</v>
      </c>
      <c r="L74" s="71">
        <v>400</v>
      </c>
      <c r="M74" s="71">
        <v>130</v>
      </c>
      <c r="N74" s="72">
        <f t="shared" si="26"/>
        <v>3825</v>
      </c>
      <c r="O74" s="73">
        <f t="shared" si="27"/>
        <v>4500</v>
      </c>
      <c r="P74" s="121">
        <f t="shared" si="28"/>
        <v>60.436537050623627</v>
      </c>
      <c r="Q74" s="74">
        <f t="shared" si="29"/>
        <v>0.15</v>
      </c>
      <c r="R74" s="75">
        <f t="shared" si="30"/>
        <v>675</v>
      </c>
      <c r="S74" s="74">
        <v>0.8</v>
      </c>
      <c r="T74" s="75">
        <f t="shared" si="31"/>
        <v>3600</v>
      </c>
      <c r="U74" s="76">
        <f t="shared" si="32"/>
        <v>4.9999999999999961E-2</v>
      </c>
      <c r="V74" s="69">
        <f t="shared" si="33"/>
        <v>224.99999999999983</v>
      </c>
      <c r="W74" s="77">
        <f ca="1">V74*VLOOKUP(TODAY(),'UF HOY'!$A$2:$B$36,2,0)</f>
        <v>8940136.4999999944</v>
      </c>
      <c r="X74" s="78">
        <f>Datos!$E$3</f>
        <v>15</v>
      </c>
      <c r="Y74" s="79">
        <f ca="1">IF((W74-1000000-Datos!$N$3)/X74&gt;0,(W74-1000000-Datos!$N$3)/X74,0)</f>
        <v>522675.76666666631</v>
      </c>
      <c r="Z74" s="78">
        <f>Datos!$G$3</f>
        <v>15</v>
      </c>
      <c r="AA74" s="79">
        <f ca="1">IF((W74-1000000-Datos!$N$3)/Z74&gt;0,(W74-1000000-Datos!$N$3)/Z74,0)</f>
        <v>522675.76666666631</v>
      </c>
      <c r="AB74" s="79">
        <f>IF(L74&gt;0,VLOOKUP(D74,Datos!$H$30:$J$33,3,0),VLOOKUP(D74,Datos!$H$30:$J$33,2,0))</f>
        <v>490000</v>
      </c>
      <c r="AC74" s="79">
        <f ca="1">(S74*PMT(Datos!$D$15,Datos!$D$13,-O74,,)*VLOOKUP(TODAY(),'UF HOY'!$A$2:$B$36,2,0)/12)</f>
        <v>689345.30675128545</v>
      </c>
      <c r="AD74" s="79">
        <f t="shared" ca="1" si="34"/>
        <v>-199345.30675128545</v>
      </c>
      <c r="AE74" s="220">
        <f t="shared" ca="1" si="35"/>
        <v>2757381.2270051418</v>
      </c>
      <c r="AF74" s="45"/>
    </row>
    <row r="75" spans="1:32" hidden="1">
      <c r="A75" s="66" t="s">
        <v>171</v>
      </c>
      <c r="B75" s="66">
        <v>704</v>
      </c>
      <c r="C75" s="67" t="s">
        <v>123</v>
      </c>
      <c r="D75" s="67" t="s">
        <v>195</v>
      </c>
      <c r="E75" s="67"/>
      <c r="F75" s="66">
        <v>36.549999999999997</v>
      </c>
      <c r="G75" s="66">
        <v>4.92</v>
      </c>
      <c r="H75" s="67">
        <f t="shared" si="24"/>
        <v>39.01</v>
      </c>
      <c r="I75" s="68">
        <f t="shared" si="25"/>
        <v>41.47</v>
      </c>
      <c r="J75" s="69">
        <v>3150</v>
      </c>
      <c r="K75" s="70">
        <v>0</v>
      </c>
      <c r="L75" s="71">
        <v>400</v>
      </c>
      <c r="M75" s="71">
        <v>120</v>
      </c>
      <c r="N75" s="72">
        <f t="shared" si="26"/>
        <v>3119.5</v>
      </c>
      <c r="O75" s="73">
        <f t="shared" si="27"/>
        <v>3670</v>
      </c>
      <c r="P75" s="121">
        <f t="shared" si="28"/>
        <v>66.636759805178158</v>
      </c>
      <c r="Q75" s="74">
        <f t="shared" si="29"/>
        <v>0.15</v>
      </c>
      <c r="R75" s="75">
        <f t="shared" si="30"/>
        <v>550.5</v>
      </c>
      <c r="S75" s="74">
        <v>0.8</v>
      </c>
      <c r="T75" s="75">
        <f t="shared" si="31"/>
        <v>2936</v>
      </c>
      <c r="U75" s="76">
        <f t="shared" si="32"/>
        <v>4.9999999999999961E-2</v>
      </c>
      <c r="V75" s="69">
        <f t="shared" si="33"/>
        <v>183.49999999999986</v>
      </c>
      <c r="W75" s="77">
        <f ca="1">V75*VLOOKUP(TODAY(),'UF HOY'!$A$2:$B$36,2,0)</f>
        <v>7291177.9899999946</v>
      </c>
      <c r="X75" s="78">
        <f>Datos!$E$3</f>
        <v>15</v>
      </c>
      <c r="Y75" s="79">
        <f ca="1">IF((W75-1000000-Datos!$N$3)/X75&gt;0,(W75-1000000-Datos!$N$3)/X75,0)</f>
        <v>412745.199333333</v>
      </c>
      <c r="Z75" s="78">
        <f>Datos!$G$3</f>
        <v>15</v>
      </c>
      <c r="AA75" s="79">
        <f ca="1">IF((W75-1000000-Datos!$N$3)/Z75&gt;0,(W75-1000000-Datos!$N$3)/Z75,0)</f>
        <v>412745.199333333</v>
      </c>
      <c r="AB75" s="79">
        <f>IF(L75&gt;0,VLOOKUP(D75,Datos!$H$30:$J$33,3,0),VLOOKUP(D75,Datos!$H$30:$J$33,2,0))</f>
        <v>390000</v>
      </c>
      <c r="AC75" s="79">
        <f ca="1">(S75*PMT(Datos!$D$15,Datos!$D$13,-O75,,)*VLOOKUP(TODAY(),'UF HOY'!$A$2:$B$36,2,0)/12)</f>
        <v>562199.3946171595</v>
      </c>
      <c r="AD75" s="79">
        <f t="shared" ca="1" si="34"/>
        <v>-172199.3946171595</v>
      </c>
      <c r="AE75" s="220">
        <f t="shared" ca="1" si="35"/>
        <v>2248797.578468638</v>
      </c>
      <c r="AF75" s="45"/>
    </row>
    <row r="76" spans="1:32" ht="14.25" hidden="1" customHeight="1">
      <c r="A76" s="66" t="s">
        <v>171</v>
      </c>
      <c r="B76" s="66">
        <v>706</v>
      </c>
      <c r="C76" s="67" t="s">
        <v>103</v>
      </c>
      <c r="D76" s="67" t="s">
        <v>195</v>
      </c>
      <c r="E76" s="67"/>
      <c r="F76" s="66">
        <v>32.520000000000003</v>
      </c>
      <c r="G76" s="66">
        <v>9.6</v>
      </c>
      <c r="H76" s="67">
        <f t="shared" si="24"/>
        <v>37.32</v>
      </c>
      <c r="I76" s="68">
        <f t="shared" si="25"/>
        <v>42.120000000000005</v>
      </c>
      <c r="J76" s="69">
        <v>3040</v>
      </c>
      <c r="K76" s="70">
        <v>0</v>
      </c>
      <c r="L76" s="71">
        <v>0</v>
      </c>
      <c r="M76" s="71">
        <v>0</v>
      </c>
      <c r="N76" s="72">
        <f t="shared" si="26"/>
        <v>2584</v>
      </c>
      <c r="O76" s="73">
        <f t="shared" si="27"/>
        <v>3040</v>
      </c>
      <c r="P76" s="121">
        <f t="shared" si="28"/>
        <v>69.239013933547696</v>
      </c>
      <c r="Q76" s="74">
        <f t="shared" si="29"/>
        <v>0.15</v>
      </c>
      <c r="R76" s="75">
        <f t="shared" si="30"/>
        <v>456</v>
      </c>
      <c r="S76" s="74">
        <v>0.8</v>
      </c>
      <c r="T76" s="75">
        <f t="shared" si="31"/>
        <v>2432</v>
      </c>
      <c r="U76" s="76">
        <f t="shared" si="32"/>
        <v>4.9999999999999961E-2</v>
      </c>
      <c r="V76" s="69">
        <f t="shared" si="33"/>
        <v>151.99999999999989</v>
      </c>
      <c r="W76" s="77">
        <f ca="1">V76*VLOOKUP(TODAY(),'UF HOY'!$A$2:$B$36,2,0)</f>
        <v>6039558.8799999962</v>
      </c>
      <c r="X76" s="78">
        <f>Datos!$E$3</f>
        <v>15</v>
      </c>
      <c r="Y76" s="79">
        <f ca="1">IF((W76-1000000-Datos!$N$3)/X76&gt;0,(W76-1000000-Datos!$N$3)/X76,0)</f>
        <v>329303.92533333309</v>
      </c>
      <c r="Z76" s="78">
        <f>Datos!$G$3</f>
        <v>15</v>
      </c>
      <c r="AA76" s="79">
        <f ca="1">IF((W76-1000000-Datos!$N$3)/Z76&gt;0,(W76-1000000-Datos!$N$3)/Z76,0)</f>
        <v>329303.92533333309</v>
      </c>
      <c r="AB76" s="79">
        <f>IF(L76&gt;0,VLOOKUP(D76,Datos!$H$30:$J$33,3,0),VLOOKUP(D76,Datos!$H$30:$J$33,2,0))</f>
        <v>350000</v>
      </c>
      <c r="AC76" s="79">
        <f ca="1">(S76*PMT(Datos!$D$15,Datos!$D$13,-O76,,)*VLOOKUP(TODAY(),'UF HOY'!$A$2:$B$36,2,0)/12)</f>
        <v>465691.05167197954</v>
      </c>
      <c r="AD76" s="79">
        <f t="shared" ca="1" si="34"/>
        <v>-115691.05167197954</v>
      </c>
      <c r="AE76" s="220">
        <f t="shared" ca="1" si="35"/>
        <v>1862764.2066879182</v>
      </c>
      <c r="AF76" s="45"/>
    </row>
    <row r="77" spans="1:32">
      <c r="A77" s="66" t="s">
        <v>4</v>
      </c>
      <c r="B77" s="66">
        <v>216</v>
      </c>
      <c r="C77" s="67" t="s">
        <v>130</v>
      </c>
      <c r="D77" s="67" t="s">
        <v>194</v>
      </c>
      <c r="E77" s="67"/>
      <c r="F77" s="66">
        <v>49.27</v>
      </c>
      <c r="G77" s="66">
        <v>8.8000000000000007</v>
      </c>
      <c r="H77" s="67">
        <f t="shared" si="24"/>
        <v>53.67</v>
      </c>
      <c r="I77" s="68">
        <f t="shared" si="25"/>
        <v>58.070000000000007</v>
      </c>
      <c r="J77" s="69">
        <v>3950</v>
      </c>
      <c r="K77" s="70">
        <v>0</v>
      </c>
      <c r="L77" s="71">
        <v>400</v>
      </c>
      <c r="M77" s="71">
        <v>160</v>
      </c>
      <c r="N77" s="72">
        <f t="shared" si="26"/>
        <v>3833.5</v>
      </c>
      <c r="O77" s="73">
        <f t="shared" si="27"/>
        <v>4510</v>
      </c>
      <c r="P77" s="121">
        <f t="shared" si="28"/>
        <v>60.993106018259731</v>
      </c>
      <c r="Q77" s="74">
        <f t="shared" si="29"/>
        <v>0.15</v>
      </c>
      <c r="R77" s="75">
        <f t="shared" si="30"/>
        <v>676.5</v>
      </c>
      <c r="S77" s="74">
        <v>0.8</v>
      </c>
      <c r="T77" s="75">
        <f t="shared" si="31"/>
        <v>3608</v>
      </c>
      <c r="U77" s="76">
        <f t="shared" si="32"/>
        <v>4.9999999999999961E-2</v>
      </c>
      <c r="V77" s="69">
        <f t="shared" si="33"/>
        <v>225.49999999999983</v>
      </c>
      <c r="W77" s="77">
        <f ca="1">V77*VLOOKUP(TODAY(),'UF HOY'!$A$2:$B$36,2,0)</f>
        <v>8960003.4699999932</v>
      </c>
      <c r="X77" s="78">
        <f>Datos!$E$3</f>
        <v>15</v>
      </c>
      <c r="Y77" s="79">
        <f ca="1">IF((W77-1000000-Datos!$N$3)/X77&gt;0,(W77-1000000-Datos!$N$3)/X77,0)</f>
        <v>524000.23133333289</v>
      </c>
      <c r="Z77" s="78">
        <f>Datos!$G$3</f>
        <v>15</v>
      </c>
      <c r="AA77" s="79">
        <f ca="1">IF((W77-1000000-Datos!$N$3)/Z77&gt;0,(W77-1000000-Datos!$N$3)/Z77,0)</f>
        <v>524000.23133333289</v>
      </c>
      <c r="AB77" s="79">
        <f>IF(L77&gt;0,VLOOKUP(D77,Datos!$H$30:$J$33,3,0),VLOOKUP(D77,Datos!$H$30:$J$33,2,0))</f>
        <v>490000</v>
      </c>
      <c r="AC77" s="79">
        <f ca="1">(S77*PMT(Datos!$D$15,Datos!$D$13,-O77,,)*VLOOKUP(TODAY(),'UF HOY'!$A$2:$B$36,2,0)/12)</f>
        <v>690877.18521073286</v>
      </c>
      <c r="AD77" s="79">
        <f t="shared" ca="1" si="34"/>
        <v>-200877.18521073286</v>
      </c>
      <c r="AE77" s="220">
        <f t="shared" ca="1" si="35"/>
        <v>2763508.7408429314</v>
      </c>
      <c r="AF77" s="45"/>
    </row>
    <row r="78" spans="1:32">
      <c r="A78" s="66" t="s">
        <v>4</v>
      </c>
      <c r="B78" s="66">
        <v>210</v>
      </c>
      <c r="C78" s="67" t="s">
        <v>121</v>
      </c>
      <c r="D78" s="67" t="s">
        <v>194</v>
      </c>
      <c r="E78" s="67"/>
      <c r="F78" s="66">
        <v>53.54</v>
      </c>
      <c r="G78" s="66">
        <v>5.3</v>
      </c>
      <c r="H78" s="67">
        <f t="shared" si="24"/>
        <v>56.19</v>
      </c>
      <c r="I78" s="68">
        <f t="shared" si="25"/>
        <v>58.839999999999996</v>
      </c>
      <c r="J78" s="69">
        <v>4010</v>
      </c>
      <c r="K78" s="70">
        <v>0</v>
      </c>
      <c r="L78" s="71">
        <v>400</v>
      </c>
      <c r="M78" s="71">
        <v>160</v>
      </c>
      <c r="N78" s="72">
        <f t="shared" si="26"/>
        <v>3884.5</v>
      </c>
      <c r="O78" s="73">
        <f t="shared" si="27"/>
        <v>4570</v>
      </c>
      <c r="P78" s="121">
        <f t="shared" si="28"/>
        <v>59.165331909592453</v>
      </c>
      <c r="Q78" s="74">
        <f t="shared" si="29"/>
        <v>0.15</v>
      </c>
      <c r="R78" s="75">
        <f t="shared" si="30"/>
        <v>685.5</v>
      </c>
      <c r="S78" s="74">
        <v>0.8</v>
      </c>
      <c r="T78" s="75">
        <f t="shared" si="31"/>
        <v>3656</v>
      </c>
      <c r="U78" s="76">
        <f t="shared" si="32"/>
        <v>4.9999999999999961E-2</v>
      </c>
      <c r="V78" s="69">
        <f t="shared" si="33"/>
        <v>228.49999999999983</v>
      </c>
      <c r="W78" s="77">
        <f ca="1">V78*VLOOKUP(TODAY(),'UF HOY'!$A$2:$B$36,2,0)</f>
        <v>9079205.2899999935</v>
      </c>
      <c r="X78" s="78">
        <f>Datos!$E$3</f>
        <v>15</v>
      </c>
      <c r="Y78" s="79">
        <f ca="1">IF((W78-1000000-Datos!$N$3)/X78&gt;0,(W78-1000000-Datos!$N$3)/X78,0)</f>
        <v>531947.01933333289</v>
      </c>
      <c r="Z78" s="78">
        <f>Datos!$G$3</f>
        <v>15</v>
      </c>
      <c r="AA78" s="79">
        <f ca="1">IF((W78-1000000-Datos!$N$3)/Z78&gt;0,(W78-1000000-Datos!$N$3)/Z78,0)</f>
        <v>531947.01933333289</v>
      </c>
      <c r="AB78" s="79">
        <f>IF(L78&gt;0,VLOOKUP(D78,Datos!$H$30:$J$33,3,0),VLOOKUP(D78,Datos!$H$30:$J$33,2,0))</f>
        <v>490000</v>
      </c>
      <c r="AC78" s="79">
        <f ca="1">(S78*PMT(Datos!$D$15,Datos!$D$13,-O78,,)*VLOOKUP(TODAY(),'UF HOY'!$A$2:$B$36,2,0)/12)</f>
        <v>700068.45596741664</v>
      </c>
      <c r="AD78" s="79">
        <f t="shared" ca="1" si="34"/>
        <v>-210068.45596741664</v>
      </c>
      <c r="AE78" s="220">
        <f t="shared" ca="1" si="35"/>
        <v>2800273.8238696666</v>
      </c>
      <c r="AF78" s="45"/>
    </row>
    <row r="79" spans="1:32" hidden="1">
      <c r="A79" s="66" t="s">
        <v>171</v>
      </c>
      <c r="B79" s="66">
        <v>710</v>
      </c>
      <c r="C79" s="67" t="s">
        <v>121</v>
      </c>
      <c r="D79" s="67" t="s">
        <v>194</v>
      </c>
      <c r="E79" s="67"/>
      <c r="F79" s="66">
        <v>53.54</v>
      </c>
      <c r="G79" s="66">
        <v>5.3</v>
      </c>
      <c r="H79" s="67">
        <f t="shared" si="24"/>
        <v>56.19</v>
      </c>
      <c r="I79" s="68">
        <f t="shared" si="25"/>
        <v>58.839999999999996</v>
      </c>
      <c r="J79" s="69">
        <v>4010</v>
      </c>
      <c r="K79" s="70">
        <v>0</v>
      </c>
      <c r="L79" s="71">
        <v>400</v>
      </c>
      <c r="M79" s="71">
        <v>160</v>
      </c>
      <c r="N79" s="72">
        <f t="shared" si="26"/>
        <v>3884.5</v>
      </c>
      <c r="O79" s="73">
        <f t="shared" si="27"/>
        <v>4570</v>
      </c>
      <c r="P79" s="121">
        <f t="shared" si="28"/>
        <v>59.165331909592453</v>
      </c>
      <c r="Q79" s="74">
        <f t="shared" si="29"/>
        <v>0.15</v>
      </c>
      <c r="R79" s="75">
        <f t="shared" si="30"/>
        <v>685.5</v>
      </c>
      <c r="S79" s="74">
        <v>0.8</v>
      </c>
      <c r="T79" s="75">
        <f t="shared" si="31"/>
        <v>3656</v>
      </c>
      <c r="U79" s="76">
        <f t="shared" si="32"/>
        <v>4.9999999999999961E-2</v>
      </c>
      <c r="V79" s="69">
        <f t="shared" si="33"/>
        <v>228.49999999999983</v>
      </c>
      <c r="W79" s="77">
        <f ca="1">V79*VLOOKUP(TODAY(),'UF HOY'!$A$2:$B$36,2,0)</f>
        <v>9079205.2899999935</v>
      </c>
      <c r="X79" s="78">
        <f>Datos!$E$3</f>
        <v>15</v>
      </c>
      <c r="Y79" s="79">
        <f ca="1">IF((W79-1000000-Datos!$N$3)/X79&gt;0,(W79-1000000-Datos!$N$3)/X79,0)</f>
        <v>531947.01933333289</v>
      </c>
      <c r="Z79" s="78">
        <f>Datos!$G$3</f>
        <v>15</v>
      </c>
      <c r="AA79" s="79">
        <f ca="1">IF((W79-1000000-Datos!$N$3)/Z79&gt;0,(W79-1000000-Datos!$N$3)/Z79,0)</f>
        <v>531947.01933333289</v>
      </c>
      <c r="AB79" s="79">
        <f>IF(L79&gt;0,VLOOKUP(D79,Datos!$H$30:$J$33,3,0),VLOOKUP(D79,Datos!$H$30:$J$33,2,0))</f>
        <v>490000</v>
      </c>
      <c r="AC79" s="79">
        <f ca="1">(S79*PMT(Datos!$D$15,Datos!$D$13,-O79,,)*VLOOKUP(TODAY(),'UF HOY'!$A$2:$B$36,2,0)/12)</f>
        <v>700068.45596741664</v>
      </c>
      <c r="AD79" s="79">
        <f t="shared" ca="1" si="34"/>
        <v>-210068.45596741664</v>
      </c>
      <c r="AE79" s="220">
        <f t="shared" ca="1" si="35"/>
        <v>2800273.8238696666</v>
      </c>
      <c r="AF79" s="45"/>
    </row>
    <row r="80" spans="1:32" hidden="1">
      <c r="A80" s="66" t="s">
        <v>171</v>
      </c>
      <c r="B80" s="66">
        <v>711</v>
      </c>
      <c r="C80" s="67" t="s">
        <v>129</v>
      </c>
      <c r="D80" s="67" t="s">
        <v>195</v>
      </c>
      <c r="E80" s="67"/>
      <c r="F80" s="66">
        <v>33.36</v>
      </c>
      <c r="G80" s="66">
        <v>9.1999999999999993</v>
      </c>
      <c r="H80" s="67">
        <f t="shared" si="24"/>
        <v>37.96</v>
      </c>
      <c r="I80" s="68">
        <f t="shared" si="25"/>
        <v>42.56</v>
      </c>
      <c r="J80" s="69">
        <v>3030</v>
      </c>
      <c r="K80" s="70">
        <v>0</v>
      </c>
      <c r="L80" s="71">
        <v>0</v>
      </c>
      <c r="M80" s="71">
        <v>0</v>
      </c>
      <c r="N80" s="72">
        <f t="shared" si="26"/>
        <v>2575.5</v>
      </c>
      <c r="O80" s="73">
        <f t="shared" si="27"/>
        <v>3030</v>
      </c>
      <c r="P80" s="121">
        <f t="shared" si="28"/>
        <v>67.847734457323497</v>
      </c>
      <c r="Q80" s="74">
        <f t="shared" si="29"/>
        <v>0.15</v>
      </c>
      <c r="R80" s="75">
        <f t="shared" si="30"/>
        <v>454.5</v>
      </c>
      <c r="S80" s="74">
        <v>0.8</v>
      </c>
      <c r="T80" s="75">
        <f t="shared" si="31"/>
        <v>2424</v>
      </c>
      <c r="U80" s="76">
        <f t="shared" si="32"/>
        <v>4.9999999999999961E-2</v>
      </c>
      <c r="V80" s="69">
        <f t="shared" si="33"/>
        <v>151.49999999999989</v>
      </c>
      <c r="W80" s="77">
        <f ca="1">V80*VLOOKUP(TODAY(),'UF HOY'!$A$2:$B$36,2,0)</f>
        <v>6019691.9099999955</v>
      </c>
      <c r="X80" s="78">
        <f>Datos!$E$3</f>
        <v>15</v>
      </c>
      <c r="Y80" s="79">
        <f ca="1">IF((W80-1000000-Datos!$N$3)/X80&gt;0,(W80-1000000-Datos!$N$3)/X80,0)</f>
        <v>327979.46066666639</v>
      </c>
      <c r="Z80" s="78">
        <f>Datos!$G$3</f>
        <v>15</v>
      </c>
      <c r="AA80" s="79">
        <f ca="1">IF((W80-1000000-Datos!$N$3)/Z80&gt;0,(W80-1000000-Datos!$N$3)/Z80,0)</f>
        <v>327979.46066666639</v>
      </c>
      <c r="AB80" s="79">
        <f>IF(L80&gt;0,VLOOKUP(D80,Datos!$H$30:$J$33,3,0),VLOOKUP(D80,Datos!$H$30:$J$33,2,0))</f>
        <v>350000</v>
      </c>
      <c r="AC80" s="79">
        <f ca="1">(S80*PMT(Datos!$D$15,Datos!$D$13,-O80,,)*VLOOKUP(TODAY(),'UF HOY'!$A$2:$B$36,2,0)/12)</f>
        <v>464159.17321253225</v>
      </c>
      <c r="AD80" s="79">
        <f t="shared" ca="1" si="34"/>
        <v>-114159.17321253225</v>
      </c>
      <c r="AE80" s="220">
        <f t="shared" ca="1" si="35"/>
        <v>1856636.692850129</v>
      </c>
      <c r="AF80" s="45"/>
    </row>
    <row r="81" spans="1:32" hidden="1">
      <c r="A81" s="66" t="s">
        <v>171</v>
      </c>
      <c r="B81" s="66">
        <v>714</v>
      </c>
      <c r="C81" s="67" t="s">
        <v>122</v>
      </c>
      <c r="D81" s="67" t="s">
        <v>195</v>
      </c>
      <c r="E81" s="67"/>
      <c r="F81" s="66">
        <v>36.56</v>
      </c>
      <c r="G81" s="66">
        <v>4.9800000000000004</v>
      </c>
      <c r="H81" s="67">
        <f t="shared" si="24"/>
        <v>39.050000000000004</v>
      </c>
      <c r="I81" s="68">
        <f t="shared" si="25"/>
        <v>41.540000000000006</v>
      </c>
      <c r="J81" s="69">
        <v>3120</v>
      </c>
      <c r="K81" s="70">
        <v>0</v>
      </c>
      <c r="L81" s="71">
        <v>400</v>
      </c>
      <c r="M81" s="71">
        <v>0</v>
      </c>
      <c r="N81" s="72">
        <f t="shared" si="26"/>
        <v>2992</v>
      </c>
      <c r="O81" s="73">
        <f t="shared" si="27"/>
        <v>3520</v>
      </c>
      <c r="P81" s="121">
        <f t="shared" si="28"/>
        <v>66.376440460947492</v>
      </c>
      <c r="Q81" s="74">
        <f t="shared" si="29"/>
        <v>0.15</v>
      </c>
      <c r="R81" s="75">
        <f t="shared" si="30"/>
        <v>528</v>
      </c>
      <c r="S81" s="74">
        <v>0.8</v>
      </c>
      <c r="T81" s="75">
        <f t="shared" si="31"/>
        <v>2816</v>
      </c>
      <c r="U81" s="76">
        <f t="shared" si="32"/>
        <v>4.9999999999999961E-2</v>
      </c>
      <c r="V81" s="69">
        <f t="shared" si="33"/>
        <v>175.99999999999986</v>
      </c>
      <c r="W81" s="77">
        <f ca="1">V81*VLOOKUP(TODAY(),'UF HOY'!$A$2:$B$36,2,0)</f>
        <v>6993173.4399999948</v>
      </c>
      <c r="X81" s="78">
        <f>Datos!$E$3</f>
        <v>15</v>
      </c>
      <c r="Y81" s="79">
        <f ca="1">IF((W81-1000000-Datos!$N$3)/X81&gt;0,(W81-1000000-Datos!$N$3)/X81,0)</f>
        <v>392878.22933333297</v>
      </c>
      <c r="Z81" s="78">
        <f>Datos!$G$3</f>
        <v>15</v>
      </c>
      <c r="AA81" s="79">
        <f ca="1">IF((W81-1000000-Datos!$N$3)/Z81&gt;0,(W81-1000000-Datos!$N$3)/Z81,0)</f>
        <v>392878.22933333297</v>
      </c>
      <c r="AB81" s="79">
        <f>IF(L81&gt;0,VLOOKUP(D81,Datos!$H$30:$J$33,3,0),VLOOKUP(D81,Datos!$H$30:$J$33,2,0))</f>
        <v>390000</v>
      </c>
      <c r="AC81" s="79">
        <f ca="1">(S81*PMT(Datos!$D$15,Datos!$D$13,-O81,,)*VLOOKUP(TODAY(),'UF HOY'!$A$2:$B$36,2,0)/12)</f>
        <v>539221.21772545006</v>
      </c>
      <c r="AD81" s="79">
        <f t="shared" ca="1" si="34"/>
        <v>-149221.21772545006</v>
      </c>
      <c r="AE81" s="220">
        <f t="shared" ca="1" si="35"/>
        <v>2156884.8709018002</v>
      </c>
      <c r="AF81" s="45"/>
    </row>
    <row r="82" spans="1:32" hidden="1">
      <c r="A82" s="66" t="s">
        <v>171</v>
      </c>
      <c r="B82" s="66">
        <v>715</v>
      </c>
      <c r="C82" s="67" t="s">
        <v>123</v>
      </c>
      <c r="D82" s="67" t="s">
        <v>195</v>
      </c>
      <c r="E82" s="67"/>
      <c r="F82" s="66">
        <v>36.53</v>
      </c>
      <c r="G82" s="66">
        <v>4.8499999999999996</v>
      </c>
      <c r="H82" s="67">
        <f t="shared" si="24"/>
        <v>38.954999999999998</v>
      </c>
      <c r="I82" s="68">
        <f t="shared" si="25"/>
        <v>41.38</v>
      </c>
      <c r="J82" s="69">
        <v>3190</v>
      </c>
      <c r="K82" s="70">
        <v>0</v>
      </c>
      <c r="L82" s="71">
        <v>0</v>
      </c>
      <c r="M82" s="71">
        <v>0</v>
      </c>
      <c r="N82" s="72">
        <f t="shared" si="26"/>
        <v>2711.5</v>
      </c>
      <c r="O82" s="73">
        <f t="shared" si="27"/>
        <v>3190</v>
      </c>
      <c r="P82" s="121">
        <f t="shared" si="28"/>
        <v>69.605955589783079</v>
      </c>
      <c r="Q82" s="74">
        <f t="shared" si="29"/>
        <v>0.15</v>
      </c>
      <c r="R82" s="75">
        <f t="shared" si="30"/>
        <v>478.5</v>
      </c>
      <c r="S82" s="74">
        <v>0.8</v>
      </c>
      <c r="T82" s="75">
        <f t="shared" si="31"/>
        <v>2552</v>
      </c>
      <c r="U82" s="76">
        <f t="shared" si="32"/>
        <v>4.9999999999999961E-2</v>
      </c>
      <c r="V82" s="69">
        <f t="shared" si="33"/>
        <v>159.49999999999989</v>
      </c>
      <c r="W82" s="77">
        <f ca="1">V82*VLOOKUP(TODAY(),'UF HOY'!$A$2:$B$36,2,0)</f>
        <v>6337563.429999996</v>
      </c>
      <c r="X82" s="78">
        <f>Datos!$E$3</f>
        <v>15</v>
      </c>
      <c r="Y82" s="79">
        <f ca="1">IF((W82-1000000-Datos!$N$3)/X82&gt;0,(W82-1000000-Datos!$N$3)/X82,0)</f>
        <v>349170.89533333306</v>
      </c>
      <c r="Z82" s="78">
        <f>Datos!$G$3</f>
        <v>15</v>
      </c>
      <c r="AA82" s="79">
        <f ca="1">IF((W82-1000000-Datos!$N$3)/Z82&gt;0,(W82-1000000-Datos!$N$3)/Z82,0)</f>
        <v>349170.89533333306</v>
      </c>
      <c r="AB82" s="79">
        <f>IF(L82&gt;0,VLOOKUP(D82,Datos!$H$30:$J$33,3,0),VLOOKUP(D82,Datos!$H$30:$J$33,2,0))</f>
        <v>350000</v>
      </c>
      <c r="AC82" s="79">
        <f ca="1">(S82*PMT(Datos!$D$15,Datos!$D$13,-O82,,)*VLOOKUP(TODAY(),'UF HOY'!$A$2:$B$36,2,0)/12)</f>
        <v>488669.2285636891</v>
      </c>
      <c r="AD82" s="79">
        <f t="shared" ca="1" si="34"/>
        <v>-138669.2285636891</v>
      </c>
      <c r="AE82" s="220">
        <f t="shared" ca="1" si="35"/>
        <v>1954676.9142547564</v>
      </c>
      <c r="AF82" s="45"/>
    </row>
    <row r="83" spans="1:32" hidden="1">
      <c r="A83" s="66" t="s">
        <v>171</v>
      </c>
      <c r="B83" s="66">
        <v>716</v>
      </c>
      <c r="C83" s="67" t="s">
        <v>130</v>
      </c>
      <c r="D83" s="67" t="s">
        <v>194</v>
      </c>
      <c r="E83" s="67"/>
      <c r="F83" s="66">
        <v>49.27</v>
      </c>
      <c r="G83" s="66">
        <v>8.8000000000000007</v>
      </c>
      <c r="H83" s="67">
        <f t="shared" si="24"/>
        <v>53.67</v>
      </c>
      <c r="I83" s="68">
        <f t="shared" si="25"/>
        <v>58.070000000000007</v>
      </c>
      <c r="J83" s="69">
        <v>4000</v>
      </c>
      <c r="K83" s="70">
        <v>0</v>
      </c>
      <c r="L83" s="71">
        <v>400</v>
      </c>
      <c r="M83" s="71">
        <v>130</v>
      </c>
      <c r="N83" s="72">
        <f t="shared" si="26"/>
        <v>3850.5</v>
      </c>
      <c r="O83" s="73">
        <f t="shared" si="27"/>
        <v>4530</v>
      </c>
      <c r="P83" s="121">
        <f t="shared" si="28"/>
        <v>61.86882802310415</v>
      </c>
      <c r="Q83" s="74">
        <f t="shared" si="29"/>
        <v>0.15</v>
      </c>
      <c r="R83" s="75">
        <f t="shared" si="30"/>
        <v>679.5</v>
      </c>
      <c r="S83" s="74">
        <v>0.8</v>
      </c>
      <c r="T83" s="75">
        <f t="shared" si="31"/>
        <v>3624</v>
      </c>
      <c r="U83" s="76">
        <f t="shared" si="32"/>
        <v>4.9999999999999961E-2</v>
      </c>
      <c r="V83" s="69">
        <f t="shared" si="33"/>
        <v>226.49999999999983</v>
      </c>
      <c r="W83" s="77">
        <f ca="1">V83*VLOOKUP(TODAY(),'UF HOY'!$A$2:$B$36,2,0)</f>
        <v>8999737.4099999946</v>
      </c>
      <c r="X83" s="78">
        <f>Datos!$E$3</f>
        <v>15</v>
      </c>
      <c r="Y83" s="79">
        <f ca="1">IF((W83-1000000-Datos!$N$3)/X83&gt;0,(W83-1000000-Datos!$N$3)/X83,0)</f>
        <v>526649.16066666634</v>
      </c>
      <c r="Z83" s="78">
        <f>Datos!$G$3</f>
        <v>15</v>
      </c>
      <c r="AA83" s="79">
        <f ca="1">IF((W83-1000000-Datos!$N$3)/Z83&gt;0,(W83-1000000-Datos!$N$3)/Z83,0)</f>
        <v>526649.16066666634</v>
      </c>
      <c r="AB83" s="79">
        <f>IF(L83&gt;0,VLOOKUP(D83,Datos!$H$30:$J$33,3,0),VLOOKUP(D83,Datos!$H$30:$J$33,2,0))</f>
        <v>490000</v>
      </c>
      <c r="AC83" s="79">
        <f ca="1">(S83*PMT(Datos!$D$15,Datos!$D$13,-O83,,)*VLOOKUP(TODAY(),'UF HOY'!$A$2:$B$36,2,0)/12)</f>
        <v>693940.94212962734</v>
      </c>
      <c r="AD83" s="79">
        <f t="shared" ca="1" si="34"/>
        <v>-203940.94212962734</v>
      </c>
      <c r="AE83" s="220">
        <f t="shared" ca="1" si="35"/>
        <v>2775763.7685185093</v>
      </c>
      <c r="AF83" s="45"/>
    </row>
    <row r="84" spans="1:32" hidden="1">
      <c r="A84" s="66" t="s">
        <v>171</v>
      </c>
      <c r="B84" s="66">
        <v>801</v>
      </c>
      <c r="C84" s="67" t="s">
        <v>131</v>
      </c>
      <c r="D84" s="67" t="s">
        <v>196</v>
      </c>
      <c r="E84" s="67"/>
      <c r="F84" s="66">
        <v>46.09</v>
      </c>
      <c r="G84" s="66">
        <v>4.8899999999999997</v>
      </c>
      <c r="H84" s="67">
        <f t="shared" si="24"/>
        <v>48.535000000000004</v>
      </c>
      <c r="I84" s="68">
        <f t="shared" si="25"/>
        <v>50.980000000000004</v>
      </c>
      <c r="J84" s="69">
        <v>3650</v>
      </c>
      <c r="K84" s="70">
        <v>0</v>
      </c>
      <c r="L84" s="71">
        <v>400</v>
      </c>
      <c r="M84" s="71">
        <v>0</v>
      </c>
      <c r="N84" s="72">
        <f t="shared" si="26"/>
        <v>3442.5</v>
      </c>
      <c r="O84" s="73">
        <f t="shared" si="27"/>
        <v>4050</v>
      </c>
      <c r="P84" s="121">
        <f t="shared" si="28"/>
        <v>62.686720923045222</v>
      </c>
      <c r="Q84" s="74">
        <f t="shared" si="29"/>
        <v>0.15</v>
      </c>
      <c r="R84" s="75">
        <f t="shared" si="30"/>
        <v>607.5</v>
      </c>
      <c r="S84" s="74">
        <v>0.75</v>
      </c>
      <c r="T84" s="75">
        <f t="shared" si="31"/>
        <v>3037.5</v>
      </c>
      <c r="U84" s="76">
        <f t="shared" si="32"/>
        <v>0.1</v>
      </c>
      <c r="V84" s="69">
        <f t="shared" si="33"/>
        <v>405</v>
      </c>
      <c r="W84" s="77">
        <f ca="1">V84*VLOOKUP(TODAY(),'UF HOY'!$A$2:$B$36,2,0)</f>
        <v>16092245.700000001</v>
      </c>
      <c r="X84" s="78">
        <f>Datos!$E$3</f>
        <v>15</v>
      </c>
      <c r="Y84" s="79">
        <f ca="1">IF((W84-1000000-Datos!$N$3)/X84&gt;0,(W84-1000000-Datos!$N$3)/X84,0)</f>
        <v>999483.04666666675</v>
      </c>
      <c r="Z84" s="78">
        <f>Datos!$G$3</f>
        <v>15</v>
      </c>
      <c r="AA84" s="79">
        <f ca="1">IF((W84-1000000-Datos!$N$3)/Z84&gt;0,(W84-1000000-Datos!$N$3)/Z84,0)</f>
        <v>999483.04666666675</v>
      </c>
      <c r="AB84" s="79">
        <f>IF(L84&gt;0,VLOOKUP(D84,Datos!$H$30:$J$33,3,0),VLOOKUP(D84,Datos!$H$30:$J$33,2,0))</f>
        <v>440000</v>
      </c>
      <c r="AC84" s="79">
        <f ca="1">(S84*PMT(Datos!$D$15,Datos!$D$13,-O84,,)*VLOOKUP(TODAY(),'UF HOY'!$A$2:$B$36,2,0)/12)</f>
        <v>581635.1025713972</v>
      </c>
      <c r="AD84" s="79">
        <f t="shared" ca="1" si="34"/>
        <v>-141635.1025713972</v>
      </c>
      <c r="AE84" s="220">
        <f t="shared" ca="1" si="35"/>
        <v>2326540.4102855888</v>
      </c>
      <c r="AF84" s="45"/>
    </row>
    <row r="85" spans="1:32" hidden="1">
      <c r="A85" s="66" t="s">
        <v>171</v>
      </c>
      <c r="B85" s="66">
        <v>802</v>
      </c>
      <c r="C85" s="67" t="s">
        <v>131</v>
      </c>
      <c r="D85" s="67" t="s">
        <v>194</v>
      </c>
      <c r="E85" s="67"/>
      <c r="F85" s="66">
        <v>48.16</v>
      </c>
      <c r="G85" s="66">
        <v>12.72</v>
      </c>
      <c r="H85" s="67">
        <f t="shared" si="24"/>
        <v>54.519999999999996</v>
      </c>
      <c r="I85" s="68">
        <f t="shared" si="25"/>
        <v>60.879999999999995</v>
      </c>
      <c r="J85" s="69">
        <v>3970</v>
      </c>
      <c r="K85" s="70">
        <v>0</v>
      </c>
      <c r="L85" s="71">
        <v>400</v>
      </c>
      <c r="M85" s="71">
        <v>150</v>
      </c>
      <c r="N85" s="69">
        <f t="shared" si="26"/>
        <v>3842</v>
      </c>
      <c r="O85" s="73">
        <f t="shared" si="27"/>
        <v>4520</v>
      </c>
      <c r="P85" s="121">
        <f t="shared" si="28"/>
        <v>60.381511371973595</v>
      </c>
      <c r="Q85" s="74">
        <f t="shared" si="29"/>
        <v>0.15</v>
      </c>
      <c r="R85" s="75">
        <f t="shared" si="30"/>
        <v>678</v>
      </c>
      <c r="S85" s="74">
        <v>0.8</v>
      </c>
      <c r="T85" s="87">
        <f t="shared" si="31"/>
        <v>3616</v>
      </c>
      <c r="U85" s="88">
        <f t="shared" si="32"/>
        <v>4.9999999999999961E-2</v>
      </c>
      <c r="V85" s="69">
        <f t="shared" si="33"/>
        <v>225.99999999999983</v>
      </c>
      <c r="W85" s="89">
        <f ca="1">V85*VLOOKUP(TODAY(),'UF HOY'!$A$2:$B$36,2,0)</f>
        <v>8979870.4399999939</v>
      </c>
      <c r="X85" s="78">
        <f>Datos!$E$3</f>
        <v>15</v>
      </c>
      <c r="Y85" s="79">
        <f ca="1">IF((W85-1000000-Datos!$N$3)/X85&gt;0,(W85-1000000-Datos!$N$3)/X85,0)</f>
        <v>525324.69599999965</v>
      </c>
      <c r="Z85" s="78">
        <f>Datos!$G$3</f>
        <v>15</v>
      </c>
      <c r="AA85" s="79">
        <f ca="1">IF((W85-1000000-Datos!$N$3)/Z85&gt;0,(W85-1000000-Datos!$N$3)/Z85,0)</f>
        <v>525324.69599999965</v>
      </c>
      <c r="AB85" s="79">
        <f>IF(L85&gt;0,VLOOKUP(D85,Datos!$H$30:$J$33,3,0),VLOOKUP(D85,Datos!$H$30:$J$33,2,0))</f>
        <v>490000</v>
      </c>
      <c r="AC85" s="79">
        <f ca="1">(S85*PMT(Datos!$D$15,Datos!$D$13,-O85,,)*VLOOKUP(TODAY(),'UF HOY'!$A$2:$B$36,2,0)/12)</f>
        <v>692409.06367018016</v>
      </c>
      <c r="AD85" s="89">
        <f t="shared" ca="1" si="34"/>
        <v>-202409.06367018016</v>
      </c>
      <c r="AE85" s="220">
        <f t="shared" ca="1" si="35"/>
        <v>2769636.2546807206</v>
      </c>
      <c r="AF85" s="45"/>
    </row>
    <row r="86" spans="1:32" hidden="1">
      <c r="A86" s="66" t="s">
        <v>171</v>
      </c>
      <c r="B86" s="66">
        <v>804</v>
      </c>
      <c r="C86" s="67" t="s">
        <v>123</v>
      </c>
      <c r="D86" s="67" t="s">
        <v>195</v>
      </c>
      <c r="E86" s="67"/>
      <c r="F86" s="66">
        <v>36.549999999999997</v>
      </c>
      <c r="G86" s="66">
        <v>4.92</v>
      </c>
      <c r="H86" s="67">
        <f t="shared" si="24"/>
        <v>39.01</v>
      </c>
      <c r="I86" s="68">
        <f t="shared" si="25"/>
        <v>41.47</v>
      </c>
      <c r="J86" s="69">
        <v>3150</v>
      </c>
      <c r="K86" s="70">
        <v>0</v>
      </c>
      <c r="L86" s="71">
        <v>400</v>
      </c>
      <c r="M86" s="71">
        <v>120</v>
      </c>
      <c r="N86" s="72">
        <f t="shared" si="26"/>
        <v>3119.5</v>
      </c>
      <c r="O86" s="73">
        <f t="shared" si="27"/>
        <v>3670</v>
      </c>
      <c r="P86" s="121">
        <f t="shared" si="28"/>
        <v>66.636759805178158</v>
      </c>
      <c r="Q86" s="74">
        <f t="shared" si="29"/>
        <v>0.15</v>
      </c>
      <c r="R86" s="75">
        <f t="shared" si="30"/>
        <v>550.5</v>
      </c>
      <c r="S86" s="74">
        <v>0.8</v>
      </c>
      <c r="T86" s="75">
        <f t="shared" si="31"/>
        <v>2936</v>
      </c>
      <c r="U86" s="76">
        <f t="shared" si="32"/>
        <v>4.9999999999999961E-2</v>
      </c>
      <c r="V86" s="69">
        <f t="shared" si="33"/>
        <v>183.49999999999986</v>
      </c>
      <c r="W86" s="77">
        <f ca="1">V86*VLOOKUP(TODAY(),'UF HOY'!$A$2:$B$36,2,0)</f>
        <v>7291177.9899999946</v>
      </c>
      <c r="X86" s="78">
        <f>Datos!$E$3</f>
        <v>15</v>
      </c>
      <c r="Y86" s="79">
        <f ca="1">IF((W86-1000000-Datos!$N$3)/X86&gt;0,(W86-1000000-Datos!$N$3)/X86,0)</f>
        <v>412745.199333333</v>
      </c>
      <c r="Z86" s="78">
        <f>Datos!$G$3</f>
        <v>15</v>
      </c>
      <c r="AA86" s="79">
        <f ca="1">IF((W86-1000000-Datos!$N$3)/Z86&gt;0,(W86-1000000-Datos!$N$3)/Z86,0)</f>
        <v>412745.199333333</v>
      </c>
      <c r="AB86" s="79">
        <f>IF(L86&gt;0,VLOOKUP(D86,Datos!$H$30:$J$33,3,0),VLOOKUP(D86,Datos!$H$30:$J$33,2,0))</f>
        <v>390000</v>
      </c>
      <c r="AC86" s="79">
        <f ca="1">(S86*PMT(Datos!$D$15,Datos!$D$13,-O86,,)*VLOOKUP(TODAY(),'UF HOY'!$A$2:$B$36,2,0)/12)</f>
        <v>562199.3946171595</v>
      </c>
      <c r="AD86" s="79">
        <f t="shared" ca="1" si="34"/>
        <v>-172199.3946171595</v>
      </c>
      <c r="AE86" s="220">
        <f t="shared" ca="1" si="35"/>
        <v>2248797.578468638</v>
      </c>
      <c r="AF86" s="45"/>
    </row>
    <row r="87" spans="1:32" hidden="1">
      <c r="A87" s="66" t="s">
        <v>171</v>
      </c>
      <c r="B87" s="66">
        <v>805</v>
      </c>
      <c r="C87" s="67" t="s">
        <v>124</v>
      </c>
      <c r="D87" s="67" t="s">
        <v>195</v>
      </c>
      <c r="E87" s="67"/>
      <c r="F87" s="66">
        <v>36.549999999999997</v>
      </c>
      <c r="G87" s="66">
        <v>5.48</v>
      </c>
      <c r="H87" s="67">
        <f t="shared" si="24"/>
        <v>39.29</v>
      </c>
      <c r="I87" s="68">
        <f t="shared" si="25"/>
        <v>42.03</v>
      </c>
      <c r="J87" s="69">
        <v>3210</v>
      </c>
      <c r="K87" s="70">
        <v>0</v>
      </c>
      <c r="L87" s="71">
        <v>0</v>
      </c>
      <c r="M87" s="71">
        <v>0</v>
      </c>
      <c r="N87" s="72">
        <f t="shared" si="26"/>
        <v>2728.5</v>
      </c>
      <c r="O87" s="73">
        <f t="shared" si="27"/>
        <v>3210</v>
      </c>
      <c r="P87" s="121">
        <f t="shared" si="28"/>
        <v>69.445151438024951</v>
      </c>
      <c r="Q87" s="74">
        <f t="shared" si="29"/>
        <v>0.15</v>
      </c>
      <c r="R87" s="75">
        <f t="shared" si="30"/>
        <v>481.5</v>
      </c>
      <c r="S87" s="74">
        <v>0.8</v>
      </c>
      <c r="T87" s="75">
        <f t="shared" si="31"/>
        <v>2568</v>
      </c>
      <c r="U87" s="76">
        <f t="shared" si="32"/>
        <v>4.9999999999999961E-2</v>
      </c>
      <c r="V87" s="69">
        <f t="shared" si="33"/>
        <v>160.49999999999989</v>
      </c>
      <c r="W87" s="77">
        <f ca="1">V87*VLOOKUP(TODAY(),'UF HOY'!$A$2:$B$36,2,0)</f>
        <v>6377297.3699999955</v>
      </c>
      <c r="X87" s="78">
        <f>Datos!$E$3</f>
        <v>15</v>
      </c>
      <c r="Y87" s="79">
        <f ca="1">IF((W87-1000000-Datos!$N$3)/X87&gt;0,(W87-1000000-Datos!$N$3)/X87,0)</f>
        <v>351819.82466666639</v>
      </c>
      <c r="Z87" s="78">
        <f>Datos!$G$3</f>
        <v>15</v>
      </c>
      <c r="AA87" s="79">
        <f ca="1">IF((W87-1000000-Datos!$N$3)/Z87&gt;0,(W87-1000000-Datos!$N$3)/Z87,0)</f>
        <v>351819.82466666639</v>
      </c>
      <c r="AB87" s="79">
        <f>IF(L87&gt;0,VLOOKUP(D87,Datos!$H$30:$J$33,3,0),VLOOKUP(D87,Datos!$H$30:$J$33,2,0))</f>
        <v>350000</v>
      </c>
      <c r="AC87" s="79">
        <f ca="1">(S87*PMT(Datos!$D$15,Datos!$D$13,-O87,,)*VLOOKUP(TODAY(),'UF HOY'!$A$2:$B$36,2,0)/12)</f>
        <v>491732.9854825837</v>
      </c>
      <c r="AD87" s="79">
        <f t="shared" ca="1" si="34"/>
        <v>-141732.9854825837</v>
      </c>
      <c r="AE87" s="220">
        <f t="shared" ca="1" si="35"/>
        <v>1966931.9419303348</v>
      </c>
      <c r="AF87" s="45"/>
    </row>
    <row r="88" spans="1:32" ht="14.25" hidden="1" customHeight="1">
      <c r="A88" s="66" t="s">
        <v>171</v>
      </c>
      <c r="B88" s="66">
        <v>807</v>
      </c>
      <c r="C88" s="67" t="s">
        <v>103</v>
      </c>
      <c r="D88" s="67" t="s">
        <v>196</v>
      </c>
      <c r="E88" s="67"/>
      <c r="F88" s="66">
        <v>42.9</v>
      </c>
      <c r="G88" s="66">
        <v>11.95</v>
      </c>
      <c r="H88" s="67">
        <f t="shared" si="24"/>
        <v>48.875</v>
      </c>
      <c r="I88" s="68">
        <f t="shared" si="25"/>
        <v>54.849999999999994</v>
      </c>
      <c r="J88" s="69">
        <v>3760</v>
      </c>
      <c r="K88" s="70">
        <v>0</v>
      </c>
      <c r="L88" s="71">
        <v>400</v>
      </c>
      <c r="M88" s="71">
        <v>120</v>
      </c>
      <c r="N88" s="72">
        <f t="shared" si="26"/>
        <v>3638</v>
      </c>
      <c r="O88" s="73">
        <f t="shared" si="27"/>
        <v>4280</v>
      </c>
      <c r="P88" s="121">
        <f t="shared" si="28"/>
        <v>63.795396419437338</v>
      </c>
      <c r="Q88" s="74">
        <f t="shared" si="29"/>
        <v>0.15</v>
      </c>
      <c r="R88" s="75">
        <f t="shared" si="30"/>
        <v>642</v>
      </c>
      <c r="S88" s="74">
        <v>0.8</v>
      </c>
      <c r="T88" s="75">
        <f t="shared" si="31"/>
        <v>3424</v>
      </c>
      <c r="U88" s="76">
        <f t="shared" si="32"/>
        <v>4.9999999999999961E-2</v>
      </c>
      <c r="V88" s="69">
        <f t="shared" si="33"/>
        <v>213.99999999999983</v>
      </c>
      <c r="W88" s="77">
        <f ca="1">V88*VLOOKUP(TODAY(),'UF HOY'!$A$2:$B$36,2,0)</f>
        <v>8503063.1599999946</v>
      </c>
      <c r="X88" s="78">
        <f>Datos!$E$3</f>
        <v>15</v>
      </c>
      <c r="Y88" s="79">
        <f ca="1">IF((W88-1000000-Datos!$N$3)/X88&gt;0,(W88-1000000-Datos!$N$3)/X88,0)</f>
        <v>493537.54399999965</v>
      </c>
      <c r="Z88" s="78">
        <f>Datos!$G$3</f>
        <v>15</v>
      </c>
      <c r="AA88" s="79">
        <f ca="1">IF((W88-1000000-Datos!$N$3)/Z88&gt;0,(W88-1000000-Datos!$N$3)/Z88,0)</f>
        <v>493537.54399999965</v>
      </c>
      <c r="AB88" s="79">
        <f>IF(L88&gt;0,VLOOKUP(D88,Datos!$H$30:$J$33,3,0),VLOOKUP(D88,Datos!$H$30:$J$33,2,0))</f>
        <v>440000</v>
      </c>
      <c r="AC88" s="79">
        <f ca="1">(S88*PMT(Datos!$D$15,Datos!$D$13,-O88,,)*VLOOKUP(TODAY(),'UF HOY'!$A$2:$B$36,2,0)/12)</f>
        <v>655643.98064344493</v>
      </c>
      <c r="AD88" s="79">
        <f t="shared" ca="1" si="34"/>
        <v>-215643.98064344493</v>
      </c>
      <c r="AE88" s="220">
        <f t="shared" ca="1" si="35"/>
        <v>2622575.9225737797</v>
      </c>
      <c r="AF88" s="45"/>
    </row>
    <row r="89" spans="1:32" hidden="1">
      <c r="A89" s="66" t="s">
        <v>171</v>
      </c>
      <c r="B89" s="66">
        <v>808</v>
      </c>
      <c r="C89" s="67" t="s">
        <v>103</v>
      </c>
      <c r="D89" s="67" t="s">
        <v>195</v>
      </c>
      <c r="E89" s="67"/>
      <c r="F89" s="66">
        <v>32.520000000000003</v>
      </c>
      <c r="G89" s="66">
        <v>9.01</v>
      </c>
      <c r="H89" s="67">
        <f t="shared" si="24"/>
        <v>37.025000000000006</v>
      </c>
      <c r="I89" s="68">
        <f t="shared" si="25"/>
        <v>41.53</v>
      </c>
      <c r="J89" s="69">
        <v>3020</v>
      </c>
      <c r="K89" s="70">
        <v>0</v>
      </c>
      <c r="L89" s="71">
        <v>0</v>
      </c>
      <c r="M89" s="71">
        <v>0</v>
      </c>
      <c r="N89" s="72">
        <f t="shared" si="26"/>
        <v>2567</v>
      </c>
      <c r="O89" s="73">
        <f t="shared" si="27"/>
        <v>3020</v>
      </c>
      <c r="P89" s="121">
        <f t="shared" si="28"/>
        <v>69.331532748143132</v>
      </c>
      <c r="Q89" s="74">
        <f t="shared" si="29"/>
        <v>0.15</v>
      </c>
      <c r="R89" s="75">
        <f t="shared" si="30"/>
        <v>453</v>
      </c>
      <c r="S89" s="74">
        <v>0.8</v>
      </c>
      <c r="T89" s="75">
        <f t="shared" si="31"/>
        <v>2416</v>
      </c>
      <c r="U89" s="76">
        <f t="shared" si="32"/>
        <v>4.9999999999999961E-2</v>
      </c>
      <c r="V89" s="69">
        <f t="shared" si="33"/>
        <v>150.99999999999989</v>
      </c>
      <c r="W89" s="77">
        <f ca="1">V89*VLOOKUP(TODAY(),'UF HOY'!$A$2:$B$36,2,0)</f>
        <v>5999824.9399999958</v>
      </c>
      <c r="X89" s="78">
        <f>Datos!$E$3</f>
        <v>15</v>
      </c>
      <c r="Y89" s="79">
        <f ca="1">IF((W89-1000000-Datos!$N$3)/X89&gt;0,(W89-1000000-Datos!$N$3)/X89,0)</f>
        <v>326654.99599999969</v>
      </c>
      <c r="Z89" s="78">
        <f>Datos!$G$3</f>
        <v>15</v>
      </c>
      <c r="AA89" s="79">
        <f ca="1">IF((W89-1000000-Datos!$N$3)/Z89&gt;0,(W89-1000000-Datos!$N$3)/Z89,0)</f>
        <v>326654.99599999969</v>
      </c>
      <c r="AB89" s="79">
        <f>IF(L89&gt;0,VLOOKUP(D89,Datos!$H$30:$J$33,3,0),VLOOKUP(D89,Datos!$H$30:$J$33,2,0))</f>
        <v>350000</v>
      </c>
      <c r="AC89" s="79">
        <f ca="1">(S89*PMT(Datos!$D$15,Datos!$D$13,-O89,,)*VLOOKUP(TODAY(),'UF HOY'!$A$2:$B$36,2,0)/12)</f>
        <v>462627.29475308495</v>
      </c>
      <c r="AD89" s="79">
        <f t="shared" ca="1" si="34"/>
        <v>-112627.29475308495</v>
      </c>
      <c r="AE89" s="220">
        <f t="shared" ca="1" si="35"/>
        <v>1850509.1790123398</v>
      </c>
      <c r="AF89" s="45"/>
    </row>
    <row r="90" spans="1:32" hidden="1">
      <c r="A90" s="66" t="s">
        <v>171</v>
      </c>
      <c r="B90" s="66">
        <v>809</v>
      </c>
      <c r="C90" s="67" t="s">
        <v>103</v>
      </c>
      <c r="D90" s="67" t="s">
        <v>196</v>
      </c>
      <c r="E90" s="67"/>
      <c r="F90" s="66">
        <v>42.9</v>
      </c>
      <c r="G90" s="66">
        <v>12.54</v>
      </c>
      <c r="H90" s="67">
        <f t="shared" si="24"/>
        <v>49.17</v>
      </c>
      <c r="I90" s="68">
        <f t="shared" si="25"/>
        <v>55.44</v>
      </c>
      <c r="J90" s="69">
        <v>3770</v>
      </c>
      <c r="K90" s="70">
        <v>0</v>
      </c>
      <c r="L90" s="71">
        <v>400</v>
      </c>
      <c r="M90" s="71">
        <v>160</v>
      </c>
      <c r="N90" s="72">
        <f t="shared" si="26"/>
        <v>3680.5</v>
      </c>
      <c r="O90" s="73">
        <f t="shared" si="27"/>
        <v>4330</v>
      </c>
      <c r="P90" s="121">
        <f t="shared" si="28"/>
        <v>63.463494000406747</v>
      </c>
      <c r="Q90" s="74">
        <f t="shared" si="29"/>
        <v>0.15</v>
      </c>
      <c r="R90" s="75">
        <f t="shared" si="30"/>
        <v>649.5</v>
      </c>
      <c r="S90" s="74">
        <v>0.8</v>
      </c>
      <c r="T90" s="75">
        <f t="shared" si="31"/>
        <v>3464</v>
      </c>
      <c r="U90" s="76">
        <f t="shared" si="32"/>
        <v>4.9999999999999961E-2</v>
      </c>
      <c r="V90" s="69">
        <f t="shared" si="33"/>
        <v>216.49999999999983</v>
      </c>
      <c r="W90" s="77">
        <f ca="1">V90*VLOOKUP(TODAY(),'UF HOY'!$A$2:$B$36,2,0)</f>
        <v>8602398.0099999942</v>
      </c>
      <c r="X90" s="78">
        <f>Datos!$E$3</f>
        <v>15</v>
      </c>
      <c r="Y90" s="79">
        <f ca="1">IF((W90-1000000-Datos!$N$3)/X90&gt;0,(W90-1000000-Datos!$N$3)/X90,0)</f>
        <v>500159.86733333295</v>
      </c>
      <c r="Z90" s="78">
        <f>Datos!$G$3</f>
        <v>15</v>
      </c>
      <c r="AA90" s="79">
        <f ca="1">IF((W90-1000000-Datos!$N$3)/Z90&gt;0,(W90-1000000-Datos!$N$3)/Z90,0)</f>
        <v>500159.86733333295</v>
      </c>
      <c r="AB90" s="79">
        <f>IF(L90&gt;0,VLOOKUP(D90,Datos!$H$30:$J$33,3,0),VLOOKUP(D90,Datos!$H$30:$J$33,2,0))</f>
        <v>440000</v>
      </c>
      <c r="AC90" s="79">
        <f ca="1">(S90*PMT(Datos!$D$15,Datos!$D$13,-O90,,)*VLOOKUP(TODAY(),'UF HOY'!$A$2:$B$36,2,0)/12)</f>
        <v>663303.37294068141</v>
      </c>
      <c r="AD90" s="79">
        <f t="shared" ca="1" si="34"/>
        <v>-223303.37294068141</v>
      </c>
      <c r="AE90" s="220">
        <f t="shared" ca="1" si="35"/>
        <v>2653213.4917627256</v>
      </c>
      <c r="AF90" s="45"/>
    </row>
    <row r="91" spans="1:32" hidden="1">
      <c r="A91" s="66" t="s">
        <v>171</v>
      </c>
      <c r="B91" s="66">
        <v>810</v>
      </c>
      <c r="C91" s="67" t="s">
        <v>121</v>
      </c>
      <c r="D91" s="67" t="s">
        <v>194</v>
      </c>
      <c r="E91" s="67"/>
      <c r="F91" s="66">
        <v>53.54</v>
      </c>
      <c r="G91" s="66">
        <v>5.3</v>
      </c>
      <c r="H91" s="67">
        <f t="shared" si="24"/>
        <v>56.19</v>
      </c>
      <c r="I91" s="68">
        <f t="shared" si="25"/>
        <v>58.839999999999996</v>
      </c>
      <c r="J91" s="69">
        <v>4010</v>
      </c>
      <c r="K91" s="70">
        <v>0</v>
      </c>
      <c r="L91" s="71">
        <v>400</v>
      </c>
      <c r="M91" s="71">
        <v>130</v>
      </c>
      <c r="N91" s="72">
        <f t="shared" si="26"/>
        <v>3859</v>
      </c>
      <c r="O91" s="73">
        <f t="shared" si="27"/>
        <v>4540</v>
      </c>
      <c r="P91" s="121">
        <f t="shared" si="28"/>
        <v>59.245417334045207</v>
      </c>
      <c r="Q91" s="74">
        <f t="shared" si="29"/>
        <v>0.15</v>
      </c>
      <c r="R91" s="75">
        <f t="shared" si="30"/>
        <v>681</v>
      </c>
      <c r="S91" s="74">
        <v>0.8</v>
      </c>
      <c r="T91" s="75">
        <f t="shared" si="31"/>
        <v>3632</v>
      </c>
      <c r="U91" s="76">
        <f t="shared" si="32"/>
        <v>4.9999999999999961E-2</v>
      </c>
      <c r="V91" s="69">
        <f t="shared" si="33"/>
        <v>226.99999999999983</v>
      </c>
      <c r="W91" s="77">
        <f ca="1">V91*VLOOKUP(TODAY(),'UF HOY'!$A$2:$B$36,2,0)</f>
        <v>9019604.3799999934</v>
      </c>
      <c r="X91" s="78">
        <f>Datos!$E$3</f>
        <v>15</v>
      </c>
      <c r="Y91" s="79">
        <f ca="1">IF((W91-1000000-Datos!$N$3)/X91&gt;0,(W91-1000000-Datos!$N$3)/X91,0)</f>
        <v>527973.62533333292</v>
      </c>
      <c r="Z91" s="78">
        <f>Datos!$G$3</f>
        <v>15</v>
      </c>
      <c r="AA91" s="79">
        <f ca="1">IF((W91-1000000-Datos!$N$3)/Z91&gt;0,(W91-1000000-Datos!$N$3)/Z91,0)</f>
        <v>527973.62533333292</v>
      </c>
      <c r="AB91" s="79">
        <f>IF(L91&gt;0,VLOOKUP(D91,Datos!$H$30:$J$33,3,0),VLOOKUP(D91,Datos!$H$30:$J$33,2,0))</f>
        <v>490000</v>
      </c>
      <c r="AC91" s="79">
        <f ca="1">(S91*PMT(Datos!$D$15,Datos!$D$13,-O91,,)*VLOOKUP(TODAY(),'UF HOY'!$A$2:$B$36,2,0)/12)</f>
        <v>695472.82058907475</v>
      </c>
      <c r="AD91" s="79">
        <f t="shared" ca="1" si="34"/>
        <v>-205472.82058907475</v>
      </c>
      <c r="AE91" s="220">
        <f t="shared" ca="1" si="35"/>
        <v>2781891.282356299</v>
      </c>
      <c r="AF91" s="45"/>
    </row>
    <row r="92" spans="1:32" hidden="1">
      <c r="A92" s="66" t="s">
        <v>171</v>
      </c>
      <c r="B92" s="66">
        <v>811</v>
      </c>
      <c r="C92" s="67" t="s">
        <v>129</v>
      </c>
      <c r="D92" s="67" t="s">
        <v>195</v>
      </c>
      <c r="E92" s="67"/>
      <c r="F92" s="66">
        <v>33.36</v>
      </c>
      <c r="G92" s="66">
        <v>9.1999999999999993</v>
      </c>
      <c r="H92" s="67">
        <f t="shared" si="24"/>
        <v>37.96</v>
      </c>
      <c r="I92" s="68">
        <f t="shared" si="25"/>
        <v>42.56</v>
      </c>
      <c r="J92" s="69">
        <v>3030</v>
      </c>
      <c r="K92" s="70">
        <v>0</v>
      </c>
      <c r="L92" s="71">
        <v>0</v>
      </c>
      <c r="M92" s="71">
        <v>0</v>
      </c>
      <c r="N92" s="72">
        <f t="shared" si="26"/>
        <v>2575.5</v>
      </c>
      <c r="O92" s="73">
        <f t="shared" si="27"/>
        <v>3030</v>
      </c>
      <c r="P92" s="121">
        <f t="shared" si="28"/>
        <v>67.847734457323497</v>
      </c>
      <c r="Q92" s="74">
        <f t="shared" si="29"/>
        <v>0.15</v>
      </c>
      <c r="R92" s="75">
        <f t="shared" si="30"/>
        <v>454.5</v>
      </c>
      <c r="S92" s="74">
        <v>0.8</v>
      </c>
      <c r="T92" s="75">
        <f t="shared" si="31"/>
        <v>2424</v>
      </c>
      <c r="U92" s="76">
        <f t="shared" si="32"/>
        <v>4.9999999999999961E-2</v>
      </c>
      <c r="V92" s="69">
        <f t="shared" si="33"/>
        <v>151.49999999999989</v>
      </c>
      <c r="W92" s="77">
        <f ca="1">V92*VLOOKUP(TODAY(),'UF HOY'!$A$2:$B$36,2,0)</f>
        <v>6019691.9099999955</v>
      </c>
      <c r="X92" s="78">
        <f>Datos!$E$3</f>
        <v>15</v>
      </c>
      <c r="Y92" s="79">
        <f ca="1">IF((W92-1000000-Datos!$N$3)/X92&gt;0,(W92-1000000-Datos!$N$3)/X92,0)</f>
        <v>327979.46066666639</v>
      </c>
      <c r="Z92" s="78">
        <f>Datos!$G$3</f>
        <v>15</v>
      </c>
      <c r="AA92" s="79">
        <f ca="1">IF((W92-1000000-Datos!$N$3)/Z92&gt;0,(W92-1000000-Datos!$N$3)/Z92,0)</f>
        <v>327979.46066666639</v>
      </c>
      <c r="AB92" s="79">
        <f>IF(L92&gt;0,VLOOKUP(D92,Datos!$H$30:$J$33,3,0),VLOOKUP(D92,Datos!$H$30:$J$33,2,0))</f>
        <v>350000</v>
      </c>
      <c r="AC92" s="79">
        <f ca="1">(S92*PMT(Datos!$D$15,Datos!$D$13,-O92,,)*VLOOKUP(TODAY(),'UF HOY'!$A$2:$B$36,2,0)/12)</f>
        <v>464159.17321253225</v>
      </c>
      <c r="AD92" s="79">
        <f t="shared" ca="1" si="34"/>
        <v>-114159.17321253225</v>
      </c>
      <c r="AE92" s="220">
        <f t="shared" ca="1" si="35"/>
        <v>1856636.692850129</v>
      </c>
      <c r="AF92" s="45"/>
    </row>
    <row r="93" spans="1:32" hidden="1">
      <c r="A93" s="66" t="s">
        <v>171</v>
      </c>
      <c r="B93" s="66">
        <v>813</v>
      </c>
      <c r="C93" s="67" t="s">
        <v>129</v>
      </c>
      <c r="D93" s="67" t="s">
        <v>195</v>
      </c>
      <c r="E93" s="67"/>
      <c r="F93" s="66">
        <v>33.53</v>
      </c>
      <c r="G93" s="66">
        <v>9.1199999999999992</v>
      </c>
      <c r="H93" s="67">
        <f t="shared" si="24"/>
        <v>38.090000000000003</v>
      </c>
      <c r="I93" s="68">
        <f t="shared" si="25"/>
        <v>42.65</v>
      </c>
      <c r="J93" s="69">
        <v>3040</v>
      </c>
      <c r="K93" s="70">
        <v>0</v>
      </c>
      <c r="L93" s="71">
        <v>0</v>
      </c>
      <c r="M93" s="71">
        <v>0</v>
      </c>
      <c r="N93" s="72">
        <f t="shared" si="26"/>
        <v>2584</v>
      </c>
      <c r="O93" s="73">
        <f t="shared" si="27"/>
        <v>3040</v>
      </c>
      <c r="P93" s="121">
        <f t="shared" si="28"/>
        <v>67.83932790758729</v>
      </c>
      <c r="Q93" s="74">
        <f t="shared" si="29"/>
        <v>0.15</v>
      </c>
      <c r="R93" s="75">
        <f t="shared" si="30"/>
        <v>456</v>
      </c>
      <c r="S93" s="74">
        <v>0.8</v>
      </c>
      <c r="T93" s="75">
        <f t="shared" si="31"/>
        <v>2432</v>
      </c>
      <c r="U93" s="76">
        <f t="shared" si="32"/>
        <v>4.9999999999999961E-2</v>
      </c>
      <c r="V93" s="69">
        <f t="shared" si="33"/>
        <v>151.99999999999989</v>
      </c>
      <c r="W93" s="77">
        <f ca="1">V93*VLOOKUP(TODAY(),'UF HOY'!$A$2:$B$36,2,0)</f>
        <v>6039558.8799999962</v>
      </c>
      <c r="X93" s="78">
        <f>Datos!$E$3</f>
        <v>15</v>
      </c>
      <c r="Y93" s="79">
        <f ca="1">IF((W93-1000000-Datos!$N$3)/X93&gt;0,(W93-1000000-Datos!$N$3)/X93,0)</f>
        <v>329303.92533333309</v>
      </c>
      <c r="Z93" s="78">
        <f>Datos!$G$3</f>
        <v>15</v>
      </c>
      <c r="AA93" s="79">
        <f ca="1">IF((W93-1000000-Datos!$N$3)/Z93&gt;0,(W93-1000000-Datos!$N$3)/Z93,0)</f>
        <v>329303.92533333309</v>
      </c>
      <c r="AB93" s="79">
        <f>IF(L93&gt;0,VLOOKUP(D93,Datos!$H$30:$J$33,3,0),VLOOKUP(D93,Datos!$H$30:$J$33,2,0))</f>
        <v>350000</v>
      </c>
      <c r="AC93" s="79">
        <f ca="1">(S93*PMT(Datos!$D$15,Datos!$D$13,-O93,,)*VLOOKUP(TODAY(),'UF HOY'!$A$2:$B$36,2,0)/12)</f>
        <v>465691.05167197954</v>
      </c>
      <c r="AD93" s="79">
        <f t="shared" ca="1" si="34"/>
        <v>-115691.05167197954</v>
      </c>
      <c r="AE93" s="220">
        <f t="shared" ca="1" si="35"/>
        <v>1862764.2066879182</v>
      </c>
      <c r="AF93" s="45"/>
    </row>
    <row r="94" spans="1:32" hidden="1">
      <c r="A94" s="66" t="s">
        <v>171</v>
      </c>
      <c r="B94" s="66">
        <v>814</v>
      </c>
      <c r="C94" s="67" t="s">
        <v>122</v>
      </c>
      <c r="D94" s="67" t="s">
        <v>195</v>
      </c>
      <c r="E94" s="67"/>
      <c r="F94" s="66">
        <v>36.56</v>
      </c>
      <c r="G94" s="66">
        <v>4.9800000000000004</v>
      </c>
      <c r="H94" s="67">
        <f t="shared" si="24"/>
        <v>39.050000000000004</v>
      </c>
      <c r="I94" s="68">
        <f t="shared" si="25"/>
        <v>41.540000000000006</v>
      </c>
      <c r="J94" s="69">
        <v>3120</v>
      </c>
      <c r="K94" s="70">
        <v>0</v>
      </c>
      <c r="L94" s="71">
        <v>0</v>
      </c>
      <c r="M94" s="71">
        <v>0</v>
      </c>
      <c r="N94" s="72">
        <f t="shared" si="26"/>
        <v>2652</v>
      </c>
      <c r="O94" s="73">
        <f t="shared" si="27"/>
        <v>3120</v>
      </c>
      <c r="P94" s="121">
        <f t="shared" si="28"/>
        <v>67.912932138284248</v>
      </c>
      <c r="Q94" s="74">
        <f t="shared" si="29"/>
        <v>0.15</v>
      </c>
      <c r="R94" s="75">
        <f t="shared" si="30"/>
        <v>468</v>
      </c>
      <c r="S94" s="74">
        <v>0.8</v>
      </c>
      <c r="T94" s="75">
        <f t="shared" si="31"/>
        <v>2496</v>
      </c>
      <c r="U94" s="76">
        <f t="shared" si="32"/>
        <v>4.9999999999999961E-2</v>
      </c>
      <c r="V94" s="69">
        <f t="shared" si="33"/>
        <v>155.99999999999989</v>
      </c>
      <c r="W94" s="77">
        <f ca="1">V94*VLOOKUP(TODAY(),'UF HOY'!$A$2:$B$36,2,0)</f>
        <v>6198494.6399999959</v>
      </c>
      <c r="X94" s="78">
        <f>Datos!$E$3</f>
        <v>15</v>
      </c>
      <c r="Y94" s="79">
        <f ca="1">IF((W94-1000000-Datos!$N$3)/X94&gt;0,(W94-1000000-Datos!$N$3)/X94,0)</f>
        <v>339899.64266666642</v>
      </c>
      <c r="Z94" s="78">
        <f>Datos!$G$3</f>
        <v>15</v>
      </c>
      <c r="AA94" s="79">
        <f ca="1">IF((W94-1000000-Datos!$N$3)/Z94&gt;0,(W94-1000000-Datos!$N$3)/Z94,0)</f>
        <v>339899.64266666642</v>
      </c>
      <c r="AB94" s="79">
        <f>IF(L94&gt;0,VLOOKUP(D94,Datos!$H$30:$J$33,3,0),VLOOKUP(D94,Datos!$H$30:$J$33,2,0))</f>
        <v>350000</v>
      </c>
      <c r="AC94" s="79">
        <f ca="1">(S94*PMT(Datos!$D$15,Datos!$D$13,-O94,,)*VLOOKUP(TODAY(),'UF HOY'!$A$2:$B$36,2,0)/12)</f>
        <v>477946.07934755791</v>
      </c>
      <c r="AD94" s="79">
        <f t="shared" ca="1" si="34"/>
        <v>-127946.07934755791</v>
      </c>
      <c r="AE94" s="220">
        <f t="shared" ca="1" si="35"/>
        <v>1911784.3173902316</v>
      </c>
      <c r="AF94" s="45"/>
    </row>
    <row r="95" spans="1:32" hidden="1">
      <c r="A95" s="66" t="s">
        <v>171</v>
      </c>
      <c r="B95" s="66">
        <v>815</v>
      </c>
      <c r="C95" s="67" t="s">
        <v>123</v>
      </c>
      <c r="D95" s="67" t="s">
        <v>195</v>
      </c>
      <c r="E95" s="67"/>
      <c r="F95" s="66">
        <v>36.53</v>
      </c>
      <c r="G95" s="66">
        <v>4.8499999999999996</v>
      </c>
      <c r="H95" s="67">
        <f t="shared" si="24"/>
        <v>38.954999999999998</v>
      </c>
      <c r="I95" s="68">
        <f t="shared" si="25"/>
        <v>41.38</v>
      </c>
      <c r="J95" s="69">
        <v>3190</v>
      </c>
      <c r="K95" s="70">
        <v>0</v>
      </c>
      <c r="L95" s="71">
        <v>0</v>
      </c>
      <c r="M95" s="71">
        <v>0</v>
      </c>
      <c r="N95" s="72">
        <f t="shared" si="26"/>
        <v>2711.5</v>
      </c>
      <c r="O95" s="73">
        <f t="shared" si="27"/>
        <v>3190</v>
      </c>
      <c r="P95" s="121">
        <f t="shared" si="28"/>
        <v>69.605955589783079</v>
      </c>
      <c r="Q95" s="74">
        <f t="shared" si="29"/>
        <v>0.15</v>
      </c>
      <c r="R95" s="75">
        <f t="shared" si="30"/>
        <v>478.5</v>
      </c>
      <c r="S95" s="74">
        <v>0.8</v>
      </c>
      <c r="T95" s="75">
        <f t="shared" si="31"/>
        <v>2552</v>
      </c>
      <c r="U95" s="76">
        <f t="shared" si="32"/>
        <v>4.9999999999999961E-2</v>
      </c>
      <c r="V95" s="69">
        <f t="shared" si="33"/>
        <v>159.49999999999989</v>
      </c>
      <c r="W95" s="77">
        <f ca="1">V95*VLOOKUP(TODAY(),'UF HOY'!$A$2:$B$36,2,0)</f>
        <v>6337563.429999996</v>
      </c>
      <c r="X95" s="78">
        <f>Datos!$E$3</f>
        <v>15</v>
      </c>
      <c r="Y95" s="79">
        <f ca="1">IF((W95-1000000-Datos!$N$3)/X95&gt;0,(W95-1000000-Datos!$N$3)/X95,0)</f>
        <v>349170.89533333306</v>
      </c>
      <c r="Z95" s="78">
        <f>Datos!$G$3</f>
        <v>15</v>
      </c>
      <c r="AA95" s="79">
        <f ca="1">IF((W95-1000000-Datos!$N$3)/Z95&gt;0,(W95-1000000-Datos!$N$3)/Z95,0)</f>
        <v>349170.89533333306</v>
      </c>
      <c r="AB95" s="79">
        <f>IF(L95&gt;0,VLOOKUP(D95,Datos!$H$30:$J$33,3,0),VLOOKUP(D95,Datos!$H$30:$J$33,2,0))</f>
        <v>350000</v>
      </c>
      <c r="AC95" s="79">
        <f ca="1">(S95*PMT(Datos!$D$15,Datos!$D$13,-O95,,)*VLOOKUP(TODAY(),'UF HOY'!$A$2:$B$36,2,0)/12)</f>
        <v>488669.2285636891</v>
      </c>
      <c r="AD95" s="79">
        <f t="shared" ca="1" si="34"/>
        <v>-138669.2285636891</v>
      </c>
      <c r="AE95" s="220">
        <f t="shared" ca="1" si="35"/>
        <v>1954676.9142547564</v>
      </c>
      <c r="AF95" s="45"/>
    </row>
    <row r="96" spans="1:32" hidden="1">
      <c r="A96" s="66" t="s">
        <v>171</v>
      </c>
      <c r="B96" s="86">
        <v>901</v>
      </c>
      <c r="C96" s="67" t="s">
        <v>131</v>
      </c>
      <c r="D96" s="67" t="s">
        <v>196</v>
      </c>
      <c r="E96" s="67"/>
      <c r="F96" s="66">
        <v>46.09</v>
      </c>
      <c r="G96" s="66">
        <v>4.8899999999999997</v>
      </c>
      <c r="H96" s="67">
        <f t="shared" si="24"/>
        <v>48.535000000000004</v>
      </c>
      <c r="I96" s="68">
        <f t="shared" si="25"/>
        <v>50.980000000000004</v>
      </c>
      <c r="J96" s="69">
        <v>3650</v>
      </c>
      <c r="K96" s="70">
        <v>0</v>
      </c>
      <c r="L96" s="71">
        <v>400</v>
      </c>
      <c r="M96" s="71">
        <v>120</v>
      </c>
      <c r="N96" s="72">
        <f t="shared" si="26"/>
        <v>3544.5</v>
      </c>
      <c r="O96" s="73">
        <f t="shared" si="27"/>
        <v>4170</v>
      </c>
      <c r="P96" s="121">
        <f t="shared" si="28"/>
        <v>62.315854537962288</v>
      </c>
      <c r="Q96" s="74">
        <f t="shared" si="29"/>
        <v>0.15</v>
      </c>
      <c r="R96" s="75">
        <f t="shared" si="30"/>
        <v>625.5</v>
      </c>
      <c r="S96" s="74">
        <v>0.8</v>
      </c>
      <c r="T96" s="75">
        <f t="shared" si="31"/>
        <v>3336</v>
      </c>
      <c r="U96" s="76">
        <f t="shared" si="32"/>
        <v>4.9999999999999961E-2</v>
      </c>
      <c r="V96" s="69">
        <f t="shared" si="33"/>
        <v>208.49999999999983</v>
      </c>
      <c r="W96" s="77">
        <f ca="1">V96*VLOOKUP(TODAY(),'UF HOY'!$A$2:$B$36,2,0)</f>
        <v>8284526.4899999937</v>
      </c>
      <c r="X96" s="78">
        <f>Datos!$E$3</f>
        <v>15</v>
      </c>
      <c r="Y96" s="79">
        <f ca="1">IF((W96-1000000-Datos!$N$3)/X96&gt;0,(W96-1000000-Datos!$N$3)/X96,0)</f>
        <v>478968.43266666622</v>
      </c>
      <c r="Z96" s="78">
        <f>Datos!$G$3</f>
        <v>15</v>
      </c>
      <c r="AA96" s="79">
        <f ca="1">IF((W96-1000000-Datos!$N$3)/Z96&gt;0,(W96-1000000-Datos!$N$3)/Z96,0)</f>
        <v>478968.43266666622</v>
      </c>
      <c r="AB96" s="79">
        <f>IF(L96&gt;0,VLOOKUP(D96,Datos!$H$30:$J$33,3,0),VLOOKUP(D96,Datos!$H$30:$J$33,2,0))</f>
        <v>440000</v>
      </c>
      <c r="AC96" s="79">
        <f ca="1">(S96*PMT(Datos!$D$15,Datos!$D$13,-O96,,)*VLOOKUP(TODAY(),'UF HOY'!$A$2:$B$36,2,0)/12)</f>
        <v>638793.31758952467</v>
      </c>
      <c r="AD96" s="79">
        <f t="shared" ca="1" si="34"/>
        <v>-198793.31758952467</v>
      </c>
      <c r="AE96" s="220">
        <f t="shared" ca="1" si="35"/>
        <v>2555173.2703580987</v>
      </c>
      <c r="AF96" s="45"/>
    </row>
    <row r="97" spans="1:32" hidden="1">
      <c r="A97" s="66" t="s">
        <v>171</v>
      </c>
      <c r="B97" s="66">
        <v>902</v>
      </c>
      <c r="C97" s="67" t="s">
        <v>131</v>
      </c>
      <c r="D97" s="67" t="s">
        <v>194</v>
      </c>
      <c r="E97" s="67"/>
      <c r="F97" s="66">
        <v>48.16</v>
      </c>
      <c r="G97" s="66">
        <v>12.72</v>
      </c>
      <c r="H97" s="67">
        <f t="shared" si="24"/>
        <v>54.519999999999996</v>
      </c>
      <c r="I97" s="68">
        <f t="shared" si="25"/>
        <v>60.879999999999995</v>
      </c>
      <c r="J97" s="69">
        <v>3970</v>
      </c>
      <c r="K97" s="70">
        <v>0</v>
      </c>
      <c r="L97" s="71">
        <v>400</v>
      </c>
      <c r="M97" s="71">
        <v>120</v>
      </c>
      <c r="N97" s="72">
        <f t="shared" si="26"/>
        <v>3816.5</v>
      </c>
      <c r="O97" s="73">
        <f t="shared" si="27"/>
        <v>4490</v>
      </c>
      <c r="P97" s="121">
        <f t="shared" si="28"/>
        <v>60.464049889948647</v>
      </c>
      <c r="Q97" s="74">
        <f t="shared" si="29"/>
        <v>0.15</v>
      </c>
      <c r="R97" s="75">
        <f t="shared" si="30"/>
        <v>673.5</v>
      </c>
      <c r="S97" s="74">
        <v>0.8</v>
      </c>
      <c r="T97" s="75">
        <f t="shared" si="31"/>
        <v>3592</v>
      </c>
      <c r="U97" s="76">
        <f t="shared" si="32"/>
        <v>4.9999999999999961E-2</v>
      </c>
      <c r="V97" s="69">
        <f t="shared" si="33"/>
        <v>224.49999999999983</v>
      </c>
      <c r="W97" s="77">
        <f ca="1">V97*VLOOKUP(TODAY(),'UF HOY'!$A$2:$B$36,2,0)</f>
        <v>8920269.5299999937</v>
      </c>
      <c r="X97" s="78">
        <f>Datos!$E$3</f>
        <v>15</v>
      </c>
      <c r="Y97" s="79">
        <f ca="1">IF((W97-1000000-Datos!$N$3)/X97&gt;0,(W97-1000000-Datos!$N$3)/X97,0)</f>
        <v>521351.30199999956</v>
      </c>
      <c r="Z97" s="78">
        <f>Datos!$G$3</f>
        <v>15</v>
      </c>
      <c r="AA97" s="79">
        <f ca="1">IF((W97-1000000-Datos!$N$3)/Z97&gt;0,(W97-1000000-Datos!$N$3)/Z97,0)</f>
        <v>521351.30199999956</v>
      </c>
      <c r="AB97" s="79">
        <f>IF(L97&gt;0,VLOOKUP(D97,Datos!$H$30:$J$33,3,0),VLOOKUP(D97,Datos!$H$30:$J$33,2,0))</f>
        <v>490000</v>
      </c>
      <c r="AC97" s="79">
        <f ca="1">(S97*PMT(Datos!$D$15,Datos!$D$13,-O97,,)*VLOOKUP(TODAY(),'UF HOY'!$A$2:$B$36,2,0)/12)</f>
        <v>687813.42829183827</v>
      </c>
      <c r="AD97" s="79">
        <f t="shared" ca="1" si="34"/>
        <v>-197813.42829183827</v>
      </c>
      <c r="AE97" s="220">
        <f t="shared" ca="1" si="35"/>
        <v>2751253.7131673531</v>
      </c>
      <c r="AF97" s="45"/>
    </row>
    <row r="98" spans="1:32" hidden="1">
      <c r="A98" s="66" t="s">
        <v>171</v>
      </c>
      <c r="B98" s="66">
        <v>904</v>
      </c>
      <c r="C98" s="67" t="s">
        <v>123</v>
      </c>
      <c r="D98" s="67" t="s">
        <v>195</v>
      </c>
      <c r="E98" s="67"/>
      <c r="F98" s="66">
        <v>36.549999999999997</v>
      </c>
      <c r="G98" s="66">
        <v>4.92</v>
      </c>
      <c r="H98" s="67">
        <f t="shared" ref="H98:H129" si="36">F98+G98/2</f>
        <v>39.01</v>
      </c>
      <c r="I98" s="68">
        <f t="shared" ref="I98:I129" si="37">F98+G98</f>
        <v>41.47</v>
      </c>
      <c r="J98" s="69">
        <v>3150</v>
      </c>
      <c r="K98" s="70">
        <v>0</v>
      </c>
      <c r="L98" s="71">
        <v>0</v>
      </c>
      <c r="M98" s="71">
        <v>0</v>
      </c>
      <c r="N98" s="72">
        <f t="shared" ref="N98:N129" si="38">O98-R98</f>
        <v>2677.5</v>
      </c>
      <c r="O98" s="73">
        <f t="shared" ref="O98:O129" si="39">J98*(100%-K98)+L98+M98</f>
        <v>3150</v>
      </c>
      <c r="P98" s="121">
        <f t="shared" ref="P98:P129" si="40">(N98-L98-M98)/H98</f>
        <v>68.636247116124068</v>
      </c>
      <c r="Q98" s="74">
        <f t="shared" ref="Q98:Q129" si="41">R98/O98</f>
        <v>0.15</v>
      </c>
      <c r="R98" s="75">
        <f t="shared" ref="R98:R115" si="42">O98*0.15</f>
        <v>472.5</v>
      </c>
      <c r="S98" s="74">
        <v>0.8</v>
      </c>
      <c r="T98" s="75">
        <f t="shared" ref="T98:T129" si="43">S98*O98</f>
        <v>2520</v>
      </c>
      <c r="U98" s="76">
        <f t="shared" ref="U98:U129" si="44">100%-S98-Q98</f>
        <v>4.9999999999999961E-2</v>
      </c>
      <c r="V98" s="69">
        <f t="shared" ref="V98:V129" si="45">O98*U98</f>
        <v>157.49999999999989</v>
      </c>
      <c r="W98" s="77">
        <f ca="1">V98*VLOOKUP(TODAY(),'UF HOY'!$A$2:$B$36,2,0)</f>
        <v>6258095.5499999961</v>
      </c>
      <c r="X98" s="78">
        <f>Datos!$E$3</f>
        <v>15</v>
      </c>
      <c r="Y98" s="79">
        <f ca="1">IF((W98-1000000-Datos!$N$3)/X98&gt;0,(W98-1000000-Datos!$N$3)/X98,0)</f>
        <v>343873.03666666639</v>
      </c>
      <c r="Z98" s="78">
        <f>Datos!$G$3</f>
        <v>15</v>
      </c>
      <c r="AA98" s="79">
        <f ca="1">IF((W98-1000000-Datos!$N$3)/Z98&gt;0,(W98-1000000-Datos!$N$3)/Z98,0)</f>
        <v>343873.03666666639</v>
      </c>
      <c r="AB98" s="79">
        <f>IF(L98&gt;0,VLOOKUP(D98,Datos!$H$30:$J$33,3,0),VLOOKUP(D98,Datos!$H$30:$J$33,2,0))</f>
        <v>350000</v>
      </c>
      <c r="AC98" s="79">
        <f ca="1">(S98*PMT(Datos!$D$15,Datos!$D$13,-O98,,)*VLOOKUP(TODAY(),'UF HOY'!$A$2:$B$36,2,0)/12)</f>
        <v>482541.71472589998</v>
      </c>
      <c r="AD98" s="79">
        <f t="shared" ref="AD98:AD129" ca="1" si="46">AB98-AC98</f>
        <v>-132541.71472589998</v>
      </c>
      <c r="AE98" s="220">
        <f t="shared" ref="AE98:AE129" ca="1" si="47">AC98/0.25</f>
        <v>1930166.8589035999</v>
      </c>
      <c r="AF98" s="45"/>
    </row>
    <row r="99" spans="1:32" hidden="1">
      <c r="A99" s="66" t="s">
        <v>171</v>
      </c>
      <c r="B99" s="66">
        <v>905</v>
      </c>
      <c r="C99" s="67" t="s">
        <v>124</v>
      </c>
      <c r="D99" s="67" t="s">
        <v>195</v>
      </c>
      <c r="E99" s="67"/>
      <c r="F99" s="66">
        <v>36.549999999999997</v>
      </c>
      <c r="G99" s="66">
        <v>5.48</v>
      </c>
      <c r="H99" s="67">
        <f t="shared" si="36"/>
        <v>39.29</v>
      </c>
      <c r="I99" s="68">
        <f t="shared" si="37"/>
        <v>42.03</v>
      </c>
      <c r="J99" s="69">
        <v>3210</v>
      </c>
      <c r="K99" s="70">
        <v>0</v>
      </c>
      <c r="L99" s="71">
        <v>0</v>
      </c>
      <c r="M99" s="71">
        <v>0</v>
      </c>
      <c r="N99" s="72">
        <f t="shared" si="38"/>
        <v>2728.5</v>
      </c>
      <c r="O99" s="73">
        <f t="shared" si="39"/>
        <v>3210</v>
      </c>
      <c r="P99" s="121">
        <f t="shared" si="40"/>
        <v>69.445151438024951</v>
      </c>
      <c r="Q99" s="74">
        <f t="shared" si="41"/>
        <v>0.15</v>
      </c>
      <c r="R99" s="75">
        <f t="shared" si="42"/>
        <v>481.5</v>
      </c>
      <c r="S99" s="74">
        <v>0.8</v>
      </c>
      <c r="T99" s="75">
        <f t="shared" si="43"/>
        <v>2568</v>
      </c>
      <c r="U99" s="76">
        <f t="shared" si="44"/>
        <v>4.9999999999999961E-2</v>
      </c>
      <c r="V99" s="69">
        <f t="shared" si="45"/>
        <v>160.49999999999989</v>
      </c>
      <c r="W99" s="77">
        <f ca="1">V99*VLOOKUP(TODAY(),'UF HOY'!$A$2:$B$36,2,0)</f>
        <v>6377297.3699999955</v>
      </c>
      <c r="X99" s="78">
        <f>Datos!$E$3</f>
        <v>15</v>
      </c>
      <c r="Y99" s="79">
        <f ca="1">IF((W99-1000000-Datos!$N$3)/X99&gt;0,(W99-1000000-Datos!$N$3)/X99,0)</f>
        <v>351819.82466666639</v>
      </c>
      <c r="Z99" s="78">
        <f>Datos!$G$3</f>
        <v>15</v>
      </c>
      <c r="AA99" s="79">
        <f ca="1">IF((W99-1000000-Datos!$N$3)/Z99&gt;0,(W99-1000000-Datos!$N$3)/Z99,0)</f>
        <v>351819.82466666639</v>
      </c>
      <c r="AB99" s="79">
        <f>IF(L99&gt;0,VLOOKUP(D99,Datos!$H$30:$J$33,3,0),VLOOKUP(D99,Datos!$H$30:$J$33,2,0))</f>
        <v>350000</v>
      </c>
      <c r="AC99" s="79">
        <f ca="1">(S99*PMT(Datos!$D$15,Datos!$D$13,-O99,,)*VLOOKUP(TODAY(),'UF HOY'!$A$2:$B$36,2,0)/12)</f>
        <v>491732.9854825837</v>
      </c>
      <c r="AD99" s="79">
        <f t="shared" ca="1" si="46"/>
        <v>-141732.9854825837</v>
      </c>
      <c r="AE99" s="220">
        <f t="shared" ca="1" si="47"/>
        <v>1966931.9419303348</v>
      </c>
      <c r="AF99" s="45"/>
    </row>
    <row r="100" spans="1:32" ht="14.25" hidden="1" customHeight="1">
      <c r="A100" s="66" t="s">
        <v>171</v>
      </c>
      <c r="B100" s="66">
        <v>907</v>
      </c>
      <c r="C100" s="67" t="s">
        <v>103</v>
      </c>
      <c r="D100" s="67" t="s">
        <v>196</v>
      </c>
      <c r="E100" s="67"/>
      <c r="F100" s="66">
        <v>42.9</v>
      </c>
      <c r="G100" s="66">
        <v>11.95</v>
      </c>
      <c r="H100" s="67">
        <f t="shared" si="36"/>
        <v>48.875</v>
      </c>
      <c r="I100" s="68">
        <f t="shared" si="37"/>
        <v>54.849999999999994</v>
      </c>
      <c r="J100" s="69">
        <v>3760</v>
      </c>
      <c r="K100" s="70">
        <v>0</v>
      </c>
      <c r="L100" s="71">
        <v>400</v>
      </c>
      <c r="M100" s="71">
        <v>130</v>
      </c>
      <c r="N100" s="72">
        <f t="shared" si="38"/>
        <v>3646.5</v>
      </c>
      <c r="O100" s="180">
        <f t="shared" si="39"/>
        <v>4290</v>
      </c>
      <c r="P100" s="121">
        <f t="shared" si="40"/>
        <v>63.764705882352942</v>
      </c>
      <c r="Q100" s="74">
        <f t="shared" si="41"/>
        <v>0.15</v>
      </c>
      <c r="R100" s="75">
        <f t="shared" si="42"/>
        <v>643.5</v>
      </c>
      <c r="S100" s="74">
        <v>0.8</v>
      </c>
      <c r="T100" s="75">
        <f t="shared" si="43"/>
        <v>3432</v>
      </c>
      <c r="U100" s="76">
        <f t="shared" si="44"/>
        <v>4.9999999999999961E-2</v>
      </c>
      <c r="V100" s="69">
        <f t="shared" si="45"/>
        <v>214.49999999999983</v>
      </c>
      <c r="W100" s="77">
        <f ca="1">V100*VLOOKUP(TODAY(),'UF HOY'!$A$2:$B$36,2,0)</f>
        <v>8522930.1299999934</v>
      </c>
      <c r="X100" s="78">
        <f>Datos!$E$3</f>
        <v>15</v>
      </c>
      <c r="Y100" s="79">
        <f ca="1">IF((W100-1000000-Datos!$N$3)/X100&gt;0,(W100-1000000-Datos!$N$3)/X100,0)</f>
        <v>494862.00866666622</v>
      </c>
      <c r="Z100" s="78">
        <f>Datos!$G$3</f>
        <v>15</v>
      </c>
      <c r="AA100" s="79">
        <f ca="1">IF((W100-1000000-Datos!$N$3)/Z100&gt;0,(W100-1000000-Datos!$N$3)/Z100,0)</f>
        <v>494862.00866666622</v>
      </c>
      <c r="AB100" s="79">
        <f>IF(L100&gt;0,VLOOKUP(D100,Datos!$H$30:$J$33,3,0),VLOOKUP(D100,Datos!$H$30:$J$33,2,0))</f>
        <v>440000</v>
      </c>
      <c r="AC100" s="79">
        <f ca="1">(S100*PMT(Datos!$D$15,Datos!$D$13,-O100,,)*VLOOKUP(TODAY(),'UF HOY'!$A$2:$B$36,2,0)/12)</f>
        <v>657175.85910289222</v>
      </c>
      <c r="AD100" s="79">
        <f t="shared" ca="1" si="46"/>
        <v>-217175.85910289222</v>
      </c>
      <c r="AE100" s="220">
        <f t="shared" ca="1" si="47"/>
        <v>2628703.4364115689</v>
      </c>
      <c r="AF100" s="45"/>
    </row>
    <row r="101" spans="1:32" hidden="1">
      <c r="A101" s="66" t="s">
        <v>171</v>
      </c>
      <c r="B101" s="66">
        <v>909</v>
      </c>
      <c r="C101" s="67" t="s">
        <v>103</v>
      </c>
      <c r="D101" s="67" t="s">
        <v>196</v>
      </c>
      <c r="E101" s="67"/>
      <c r="F101" s="66">
        <v>42.9</v>
      </c>
      <c r="G101" s="66">
        <v>12.54</v>
      </c>
      <c r="H101" s="67">
        <f t="shared" si="36"/>
        <v>49.17</v>
      </c>
      <c r="I101" s="68">
        <f t="shared" si="37"/>
        <v>55.44</v>
      </c>
      <c r="J101" s="69">
        <v>3770</v>
      </c>
      <c r="K101" s="70">
        <v>0</v>
      </c>
      <c r="L101" s="71">
        <v>400</v>
      </c>
      <c r="M101" s="71">
        <v>160</v>
      </c>
      <c r="N101" s="72">
        <f t="shared" si="38"/>
        <v>3680.5</v>
      </c>
      <c r="O101" s="73">
        <f t="shared" si="39"/>
        <v>4330</v>
      </c>
      <c r="P101" s="121">
        <f t="shared" si="40"/>
        <v>63.463494000406747</v>
      </c>
      <c r="Q101" s="74">
        <f t="shared" si="41"/>
        <v>0.15</v>
      </c>
      <c r="R101" s="75">
        <f t="shared" si="42"/>
        <v>649.5</v>
      </c>
      <c r="S101" s="74">
        <v>0.8</v>
      </c>
      <c r="T101" s="75">
        <f t="shared" si="43"/>
        <v>3464</v>
      </c>
      <c r="U101" s="76">
        <f t="shared" si="44"/>
        <v>4.9999999999999961E-2</v>
      </c>
      <c r="V101" s="69">
        <f t="shared" si="45"/>
        <v>216.49999999999983</v>
      </c>
      <c r="W101" s="77">
        <f ca="1">V101*VLOOKUP(TODAY(),'UF HOY'!$A$2:$B$36,2,0)</f>
        <v>8602398.0099999942</v>
      </c>
      <c r="X101" s="78">
        <f>Datos!$E$3</f>
        <v>15</v>
      </c>
      <c r="Y101" s="79">
        <f ca="1">IF((W101-1000000-Datos!$N$3)/X101&gt;0,(W101-1000000-Datos!$N$3)/X101,0)</f>
        <v>500159.86733333295</v>
      </c>
      <c r="Z101" s="78">
        <f>Datos!$G$3</f>
        <v>15</v>
      </c>
      <c r="AA101" s="79">
        <f ca="1">IF((W101-1000000-Datos!$N$3)/Z101&gt;0,(W101-1000000-Datos!$N$3)/Z101,0)</f>
        <v>500159.86733333295</v>
      </c>
      <c r="AB101" s="79">
        <f>IF(L101&gt;0,VLOOKUP(D101,Datos!$H$30:$J$33,3,0),VLOOKUP(D101,Datos!$H$30:$J$33,2,0))</f>
        <v>440000</v>
      </c>
      <c r="AC101" s="79">
        <f ca="1">(S101*PMT(Datos!$D$15,Datos!$D$13,-O101,,)*VLOOKUP(TODAY(),'UF HOY'!$A$2:$B$36,2,0)/12)</f>
        <v>663303.37294068141</v>
      </c>
      <c r="AD101" s="79">
        <f t="shared" ca="1" si="46"/>
        <v>-223303.37294068141</v>
      </c>
      <c r="AE101" s="220">
        <f t="shared" ca="1" si="47"/>
        <v>2653213.4917627256</v>
      </c>
      <c r="AF101" s="45"/>
    </row>
    <row r="102" spans="1:32" ht="14.25" hidden="1" customHeight="1">
      <c r="A102" s="66" t="s">
        <v>171</v>
      </c>
      <c r="B102" s="66">
        <v>910</v>
      </c>
      <c r="C102" s="67" t="s">
        <v>121</v>
      </c>
      <c r="D102" s="67" t="s">
        <v>194</v>
      </c>
      <c r="E102" s="67"/>
      <c r="F102" s="66">
        <v>53.54</v>
      </c>
      <c r="G102" s="66">
        <v>5.3</v>
      </c>
      <c r="H102" s="67">
        <f t="shared" si="36"/>
        <v>56.19</v>
      </c>
      <c r="I102" s="68">
        <f t="shared" si="37"/>
        <v>58.839999999999996</v>
      </c>
      <c r="J102" s="69">
        <v>4010</v>
      </c>
      <c r="K102" s="70">
        <v>0</v>
      </c>
      <c r="L102" s="71">
        <v>400</v>
      </c>
      <c r="M102" s="71">
        <v>140</v>
      </c>
      <c r="N102" s="72">
        <f t="shared" si="38"/>
        <v>3867.5</v>
      </c>
      <c r="O102" s="73">
        <f t="shared" si="39"/>
        <v>4550</v>
      </c>
      <c r="P102" s="121">
        <f t="shared" si="40"/>
        <v>59.218722192560953</v>
      </c>
      <c r="Q102" s="74">
        <f t="shared" si="41"/>
        <v>0.15</v>
      </c>
      <c r="R102" s="75">
        <f t="shared" si="42"/>
        <v>682.5</v>
      </c>
      <c r="S102" s="74">
        <v>0.8</v>
      </c>
      <c r="T102" s="75">
        <f t="shared" si="43"/>
        <v>3640</v>
      </c>
      <c r="U102" s="76">
        <f t="shared" si="44"/>
        <v>4.9999999999999961E-2</v>
      </c>
      <c r="V102" s="69">
        <f t="shared" si="45"/>
        <v>227.49999999999983</v>
      </c>
      <c r="W102" s="77">
        <f ca="1">V102*VLOOKUP(TODAY(),'UF HOY'!$A$2:$B$36,2,0)</f>
        <v>9039471.349999994</v>
      </c>
      <c r="X102" s="78">
        <f>Datos!$E$3</f>
        <v>15</v>
      </c>
      <c r="Y102" s="79">
        <f ca="1">IF((W102-1000000-Datos!$N$3)/X102&gt;0,(W102-1000000-Datos!$N$3)/X102,0)</f>
        <v>529298.08999999962</v>
      </c>
      <c r="Z102" s="78">
        <f>Datos!$G$3</f>
        <v>15</v>
      </c>
      <c r="AA102" s="79">
        <f ca="1">IF((W102-1000000-Datos!$N$3)/Z102&gt;0,(W102-1000000-Datos!$N$3)/Z102,0)</f>
        <v>529298.08999999962</v>
      </c>
      <c r="AB102" s="79">
        <f>IF(L102&gt;0,VLOOKUP(D102,Datos!$H$30:$J$33,3,0),VLOOKUP(D102,Datos!$H$30:$J$33,2,0))</f>
        <v>490000</v>
      </c>
      <c r="AC102" s="79">
        <f ca="1">(S102*PMT(Datos!$D$15,Datos!$D$13,-O102,,)*VLOOKUP(TODAY(),'UF HOY'!$A$2:$B$36,2,0)/12)</f>
        <v>697004.69904852204</v>
      </c>
      <c r="AD102" s="79">
        <f t="shared" ca="1" si="46"/>
        <v>-207004.69904852204</v>
      </c>
      <c r="AE102" s="220">
        <f t="shared" ca="1" si="47"/>
        <v>2788018.7961940882</v>
      </c>
      <c r="AF102" s="45"/>
    </row>
    <row r="103" spans="1:32" hidden="1">
      <c r="A103" s="66" t="s">
        <v>171</v>
      </c>
      <c r="B103" s="66">
        <v>911</v>
      </c>
      <c r="C103" s="67" t="s">
        <v>129</v>
      </c>
      <c r="D103" s="67" t="s">
        <v>195</v>
      </c>
      <c r="E103" s="67"/>
      <c r="F103" s="66">
        <v>33.36</v>
      </c>
      <c r="G103" s="66">
        <v>9.1999999999999993</v>
      </c>
      <c r="H103" s="67">
        <f t="shared" si="36"/>
        <v>37.96</v>
      </c>
      <c r="I103" s="68">
        <f t="shared" si="37"/>
        <v>42.56</v>
      </c>
      <c r="J103" s="69">
        <v>3030</v>
      </c>
      <c r="K103" s="70">
        <v>0</v>
      </c>
      <c r="L103" s="71">
        <v>0</v>
      </c>
      <c r="M103" s="71">
        <v>0</v>
      </c>
      <c r="N103" s="72">
        <f t="shared" si="38"/>
        <v>2575.5</v>
      </c>
      <c r="O103" s="73">
        <f t="shared" si="39"/>
        <v>3030</v>
      </c>
      <c r="P103" s="121">
        <f t="shared" si="40"/>
        <v>67.847734457323497</v>
      </c>
      <c r="Q103" s="74">
        <f t="shared" si="41"/>
        <v>0.15</v>
      </c>
      <c r="R103" s="75">
        <f t="shared" si="42"/>
        <v>454.5</v>
      </c>
      <c r="S103" s="74">
        <v>0.8</v>
      </c>
      <c r="T103" s="75">
        <f t="shared" si="43"/>
        <v>2424</v>
      </c>
      <c r="U103" s="76">
        <f t="shared" si="44"/>
        <v>4.9999999999999961E-2</v>
      </c>
      <c r="V103" s="69">
        <f t="shared" si="45"/>
        <v>151.49999999999989</v>
      </c>
      <c r="W103" s="77">
        <f ca="1">V103*VLOOKUP(TODAY(),'UF HOY'!$A$2:$B$36,2,0)</f>
        <v>6019691.9099999955</v>
      </c>
      <c r="X103" s="78">
        <f>Datos!$E$3</f>
        <v>15</v>
      </c>
      <c r="Y103" s="79">
        <f ca="1">IF((W103-1000000-Datos!$N$3)/X103&gt;0,(W103-1000000-Datos!$N$3)/X103,0)</f>
        <v>327979.46066666639</v>
      </c>
      <c r="Z103" s="78">
        <f>Datos!$G$3</f>
        <v>15</v>
      </c>
      <c r="AA103" s="79">
        <f ca="1">IF((W103-1000000-Datos!$N$3)/Z103&gt;0,(W103-1000000-Datos!$N$3)/Z103,0)</f>
        <v>327979.46066666639</v>
      </c>
      <c r="AB103" s="79">
        <f>IF(L103&gt;0,VLOOKUP(D103,Datos!$H$30:$J$33,3,0),VLOOKUP(D103,Datos!$H$30:$J$33,2,0))</f>
        <v>350000</v>
      </c>
      <c r="AC103" s="79">
        <f ca="1">(S103*PMT(Datos!$D$15,Datos!$D$13,-O103,,)*VLOOKUP(TODAY(),'UF HOY'!$A$2:$B$36,2,0)/12)</f>
        <v>464159.17321253225</v>
      </c>
      <c r="AD103" s="79">
        <f t="shared" ca="1" si="46"/>
        <v>-114159.17321253225</v>
      </c>
      <c r="AE103" s="220">
        <f t="shared" ca="1" si="47"/>
        <v>1856636.692850129</v>
      </c>
      <c r="AF103" s="45"/>
    </row>
    <row r="104" spans="1:32" hidden="1">
      <c r="A104" s="66" t="s">
        <v>171</v>
      </c>
      <c r="B104" s="66">
        <v>913</v>
      </c>
      <c r="C104" s="67" t="s">
        <v>129</v>
      </c>
      <c r="D104" s="67" t="s">
        <v>195</v>
      </c>
      <c r="E104" s="67"/>
      <c r="F104" s="66">
        <v>33.53</v>
      </c>
      <c r="G104" s="66">
        <v>9.1199999999999992</v>
      </c>
      <c r="H104" s="67">
        <f t="shared" si="36"/>
        <v>38.090000000000003</v>
      </c>
      <c r="I104" s="68">
        <f t="shared" si="37"/>
        <v>42.65</v>
      </c>
      <c r="J104" s="69">
        <v>3040</v>
      </c>
      <c r="K104" s="70">
        <v>0</v>
      </c>
      <c r="L104" s="71">
        <v>0</v>
      </c>
      <c r="M104" s="71">
        <v>0</v>
      </c>
      <c r="N104" s="72">
        <f t="shared" si="38"/>
        <v>2584</v>
      </c>
      <c r="O104" s="73">
        <f t="shared" si="39"/>
        <v>3040</v>
      </c>
      <c r="P104" s="121">
        <f t="shared" si="40"/>
        <v>67.83932790758729</v>
      </c>
      <c r="Q104" s="74">
        <f t="shared" si="41"/>
        <v>0.15</v>
      </c>
      <c r="R104" s="75">
        <f t="shared" si="42"/>
        <v>456</v>
      </c>
      <c r="S104" s="74">
        <v>0.8</v>
      </c>
      <c r="T104" s="75">
        <f t="shared" si="43"/>
        <v>2432</v>
      </c>
      <c r="U104" s="76">
        <f t="shared" si="44"/>
        <v>4.9999999999999961E-2</v>
      </c>
      <c r="V104" s="69">
        <f t="shared" si="45"/>
        <v>151.99999999999989</v>
      </c>
      <c r="W104" s="77">
        <f ca="1">V104*VLOOKUP(TODAY(),'UF HOY'!$A$2:$B$36,2,0)</f>
        <v>6039558.8799999962</v>
      </c>
      <c r="X104" s="78">
        <f>Datos!$E$3</f>
        <v>15</v>
      </c>
      <c r="Y104" s="79">
        <f ca="1">IF((W104-1000000-Datos!$N$3)/X104&gt;0,(W104-1000000-Datos!$N$3)/X104,0)</f>
        <v>329303.92533333309</v>
      </c>
      <c r="Z104" s="78">
        <f>Datos!$G$3</f>
        <v>15</v>
      </c>
      <c r="AA104" s="79">
        <f ca="1">IF((W104-1000000-Datos!$N$3)/Z104&gt;0,(W104-1000000-Datos!$N$3)/Z104,0)</f>
        <v>329303.92533333309</v>
      </c>
      <c r="AB104" s="79">
        <f>IF(L104&gt;0,VLOOKUP(D104,Datos!$H$30:$J$33,3,0),VLOOKUP(D104,Datos!$H$30:$J$33,2,0))</f>
        <v>350000</v>
      </c>
      <c r="AC104" s="79">
        <f ca="1">(S104*PMT(Datos!$D$15,Datos!$D$13,-O104,,)*VLOOKUP(TODAY(),'UF HOY'!$A$2:$B$36,2,0)/12)</f>
        <v>465691.05167197954</v>
      </c>
      <c r="AD104" s="79">
        <f t="shared" ca="1" si="46"/>
        <v>-115691.05167197954</v>
      </c>
      <c r="AE104" s="220">
        <f t="shared" ca="1" si="47"/>
        <v>1862764.2066879182</v>
      </c>
      <c r="AF104" s="45"/>
    </row>
    <row r="105" spans="1:32" hidden="1">
      <c r="A105" s="66" t="s">
        <v>171</v>
      </c>
      <c r="B105" s="66">
        <v>914</v>
      </c>
      <c r="C105" s="67" t="s">
        <v>122</v>
      </c>
      <c r="D105" s="67" t="s">
        <v>195</v>
      </c>
      <c r="E105" s="67"/>
      <c r="F105" s="66">
        <v>36.56</v>
      </c>
      <c r="G105" s="66">
        <v>4.9800000000000004</v>
      </c>
      <c r="H105" s="67">
        <f t="shared" si="36"/>
        <v>39.050000000000004</v>
      </c>
      <c r="I105" s="68">
        <f t="shared" si="37"/>
        <v>41.540000000000006</v>
      </c>
      <c r="J105" s="69">
        <v>3120</v>
      </c>
      <c r="K105" s="70">
        <v>0</v>
      </c>
      <c r="L105" s="71">
        <v>0</v>
      </c>
      <c r="M105" s="71">
        <v>0</v>
      </c>
      <c r="N105" s="72">
        <f t="shared" si="38"/>
        <v>2652</v>
      </c>
      <c r="O105" s="73">
        <f t="shared" si="39"/>
        <v>3120</v>
      </c>
      <c r="P105" s="121">
        <f t="shared" si="40"/>
        <v>67.912932138284248</v>
      </c>
      <c r="Q105" s="74">
        <f t="shared" si="41"/>
        <v>0.15</v>
      </c>
      <c r="R105" s="75">
        <f t="shared" si="42"/>
        <v>468</v>
      </c>
      <c r="S105" s="74">
        <v>0.8</v>
      </c>
      <c r="T105" s="75">
        <f t="shared" si="43"/>
        <v>2496</v>
      </c>
      <c r="U105" s="76">
        <f t="shared" si="44"/>
        <v>4.9999999999999961E-2</v>
      </c>
      <c r="V105" s="69">
        <f t="shared" si="45"/>
        <v>155.99999999999989</v>
      </c>
      <c r="W105" s="77">
        <f ca="1">V105*VLOOKUP(TODAY(),'UF HOY'!$A$2:$B$36,2,0)</f>
        <v>6198494.6399999959</v>
      </c>
      <c r="X105" s="78">
        <f>Datos!$E$3</f>
        <v>15</v>
      </c>
      <c r="Y105" s="79">
        <f ca="1">IF((W105-1000000-Datos!$N$3)/X105&gt;0,(W105-1000000-Datos!$N$3)/X105,0)</f>
        <v>339899.64266666642</v>
      </c>
      <c r="Z105" s="78">
        <f>Datos!$G$3</f>
        <v>15</v>
      </c>
      <c r="AA105" s="79">
        <f ca="1">IF((W105-1000000-Datos!$N$3)/Z105&gt;0,(W105-1000000-Datos!$N$3)/Z105,0)</f>
        <v>339899.64266666642</v>
      </c>
      <c r="AB105" s="79">
        <f>IF(L105&gt;0,VLOOKUP(D105,Datos!$H$30:$J$33,3,0),VLOOKUP(D105,Datos!$H$30:$J$33,2,0))</f>
        <v>350000</v>
      </c>
      <c r="AC105" s="79">
        <f ca="1">(S105*PMT(Datos!$D$15,Datos!$D$13,-O105,,)*VLOOKUP(TODAY(),'UF HOY'!$A$2:$B$36,2,0)/12)</f>
        <v>477946.07934755791</v>
      </c>
      <c r="AD105" s="79">
        <f t="shared" ca="1" si="46"/>
        <v>-127946.07934755791</v>
      </c>
      <c r="AE105" s="220">
        <f t="shared" ca="1" si="47"/>
        <v>1911784.3173902316</v>
      </c>
      <c r="AF105" s="45"/>
    </row>
    <row r="106" spans="1:32" hidden="1">
      <c r="A106" s="66" t="s">
        <v>171</v>
      </c>
      <c r="B106" s="66">
        <v>915</v>
      </c>
      <c r="C106" s="67" t="s">
        <v>123</v>
      </c>
      <c r="D106" s="67" t="s">
        <v>195</v>
      </c>
      <c r="E106" s="67"/>
      <c r="F106" s="66">
        <v>36.53</v>
      </c>
      <c r="G106" s="66">
        <v>4.8499999999999996</v>
      </c>
      <c r="H106" s="67">
        <f t="shared" si="36"/>
        <v>38.954999999999998</v>
      </c>
      <c r="I106" s="68">
        <f t="shared" si="37"/>
        <v>41.38</v>
      </c>
      <c r="J106" s="69">
        <v>3190</v>
      </c>
      <c r="K106" s="70">
        <v>0</v>
      </c>
      <c r="L106" s="71">
        <v>0</v>
      </c>
      <c r="M106" s="71">
        <v>0</v>
      </c>
      <c r="N106" s="72">
        <f t="shared" si="38"/>
        <v>2711.5</v>
      </c>
      <c r="O106" s="73">
        <f t="shared" si="39"/>
        <v>3190</v>
      </c>
      <c r="P106" s="121">
        <f t="shared" si="40"/>
        <v>69.605955589783079</v>
      </c>
      <c r="Q106" s="74">
        <f t="shared" si="41"/>
        <v>0.15</v>
      </c>
      <c r="R106" s="75">
        <f t="shared" si="42"/>
        <v>478.5</v>
      </c>
      <c r="S106" s="74">
        <v>0.8</v>
      </c>
      <c r="T106" s="75">
        <f t="shared" si="43"/>
        <v>2552</v>
      </c>
      <c r="U106" s="76">
        <f t="shared" si="44"/>
        <v>4.9999999999999961E-2</v>
      </c>
      <c r="V106" s="69">
        <f t="shared" si="45"/>
        <v>159.49999999999989</v>
      </c>
      <c r="W106" s="77">
        <f ca="1">V106*VLOOKUP(TODAY(),'UF HOY'!$A$2:$B$36,2,0)</f>
        <v>6337563.429999996</v>
      </c>
      <c r="X106" s="78">
        <f>Datos!$E$3</f>
        <v>15</v>
      </c>
      <c r="Y106" s="79">
        <f ca="1">IF((W106-1000000-Datos!$N$3)/X106&gt;0,(W106-1000000-Datos!$N$3)/X106,0)</f>
        <v>349170.89533333306</v>
      </c>
      <c r="Z106" s="78">
        <f>Datos!$G$3</f>
        <v>15</v>
      </c>
      <c r="AA106" s="79">
        <f ca="1">IF((W106-1000000-Datos!$N$3)/Z106&gt;0,(W106-1000000-Datos!$N$3)/Z106,0)</f>
        <v>349170.89533333306</v>
      </c>
      <c r="AB106" s="79">
        <f>IF(L106&gt;0,VLOOKUP(D106,Datos!$H$30:$J$33,3,0),VLOOKUP(D106,Datos!$H$30:$J$33,2,0))</f>
        <v>350000</v>
      </c>
      <c r="AC106" s="79">
        <f ca="1">(S106*PMT(Datos!$D$15,Datos!$D$13,-O106,,)*VLOOKUP(TODAY(),'UF HOY'!$A$2:$B$36,2,0)/12)</f>
        <v>488669.2285636891</v>
      </c>
      <c r="AD106" s="79">
        <f t="shared" ca="1" si="46"/>
        <v>-138669.2285636891</v>
      </c>
      <c r="AE106" s="220">
        <f t="shared" ca="1" si="47"/>
        <v>1954676.9142547564</v>
      </c>
      <c r="AF106" s="45"/>
    </row>
    <row r="107" spans="1:32" hidden="1">
      <c r="A107" s="66" t="s">
        <v>171</v>
      </c>
      <c r="B107" s="66">
        <v>916</v>
      </c>
      <c r="C107" s="67" t="s">
        <v>130</v>
      </c>
      <c r="D107" s="67" t="s">
        <v>194</v>
      </c>
      <c r="E107" s="67"/>
      <c r="F107" s="66">
        <v>49.27</v>
      </c>
      <c r="G107" s="66">
        <v>8.8000000000000007</v>
      </c>
      <c r="H107" s="67">
        <f t="shared" si="36"/>
        <v>53.67</v>
      </c>
      <c r="I107" s="68">
        <f t="shared" si="37"/>
        <v>58.070000000000007</v>
      </c>
      <c r="J107" s="69">
        <v>4000</v>
      </c>
      <c r="K107" s="70">
        <v>0</v>
      </c>
      <c r="L107" s="71">
        <v>400</v>
      </c>
      <c r="M107" s="71">
        <v>130</v>
      </c>
      <c r="N107" s="72">
        <f t="shared" si="38"/>
        <v>3850.5</v>
      </c>
      <c r="O107" s="73">
        <f t="shared" si="39"/>
        <v>4530</v>
      </c>
      <c r="P107" s="121">
        <f t="shared" si="40"/>
        <v>61.86882802310415</v>
      </c>
      <c r="Q107" s="74">
        <f t="shared" si="41"/>
        <v>0.15</v>
      </c>
      <c r="R107" s="75">
        <f t="shared" si="42"/>
        <v>679.5</v>
      </c>
      <c r="S107" s="74">
        <v>0.8</v>
      </c>
      <c r="T107" s="75">
        <f t="shared" si="43"/>
        <v>3624</v>
      </c>
      <c r="U107" s="76">
        <f t="shared" si="44"/>
        <v>4.9999999999999961E-2</v>
      </c>
      <c r="V107" s="69">
        <f t="shared" si="45"/>
        <v>226.49999999999983</v>
      </c>
      <c r="W107" s="77">
        <f ca="1">V107*VLOOKUP(TODAY(),'UF HOY'!$A$2:$B$36,2,0)</f>
        <v>8999737.4099999946</v>
      </c>
      <c r="X107" s="78">
        <f>Datos!$E$3</f>
        <v>15</v>
      </c>
      <c r="Y107" s="79">
        <f ca="1">IF((W107-1000000-Datos!$N$3)/X107&gt;0,(W107-1000000-Datos!$N$3)/X107,0)</f>
        <v>526649.16066666634</v>
      </c>
      <c r="Z107" s="78">
        <f>Datos!$G$3</f>
        <v>15</v>
      </c>
      <c r="AA107" s="79">
        <f ca="1">IF((W107-1000000-Datos!$N$3)/Z107&gt;0,(W107-1000000-Datos!$N$3)/Z107,0)</f>
        <v>526649.16066666634</v>
      </c>
      <c r="AB107" s="79">
        <f>IF(L107&gt;0,VLOOKUP(D107,Datos!$H$30:$J$33,3,0),VLOOKUP(D107,Datos!$H$30:$J$33,2,0))</f>
        <v>490000</v>
      </c>
      <c r="AC107" s="79">
        <f ca="1">(S107*PMT(Datos!$D$15,Datos!$D$13,-O107,,)*VLOOKUP(TODAY(),'UF HOY'!$A$2:$B$36,2,0)/12)</f>
        <v>693940.94212962734</v>
      </c>
      <c r="AD107" s="79">
        <f t="shared" ca="1" si="46"/>
        <v>-203940.94212962734</v>
      </c>
      <c r="AE107" s="220">
        <f t="shared" ca="1" si="47"/>
        <v>2775763.7685185093</v>
      </c>
      <c r="AF107" s="45"/>
    </row>
    <row r="108" spans="1:32" hidden="1">
      <c r="A108" s="66" t="s">
        <v>171</v>
      </c>
      <c r="B108" s="66">
        <v>1001</v>
      </c>
      <c r="C108" s="67" t="s">
        <v>131</v>
      </c>
      <c r="D108" s="67" t="s">
        <v>196</v>
      </c>
      <c r="E108" s="67"/>
      <c r="F108" s="66">
        <v>46.09</v>
      </c>
      <c r="G108" s="66">
        <v>4.8899999999999997</v>
      </c>
      <c r="H108" s="67">
        <f t="shared" si="36"/>
        <v>48.535000000000004</v>
      </c>
      <c r="I108" s="68">
        <f t="shared" si="37"/>
        <v>50.980000000000004</v>
      </c>
      <c r="J108" s="69">
        <v>3650</v>
      </c>
      <c r="K108" s="70">
        <v>0</v>
      </c>
      <c r="L108" s="71">
        <v>400</v>
      </c>
      <c r="M108" s="71">
        <v>120</v>
      </c>
      <c r="N108" s="72">
        <f t="shared" si="38"/>
        <v>3544.5</v>
      </c>
      <c r="O108" s="73">
        <f t="shared" si="39"/>
        <v>4170</v>
      </c>
      <c r="P108" s="121">
        <f t="shared" si="40"/>
        <v>62.315854537962288</v>
      </c>
      <c r="Q108" s="74">
        <f t="shared" si="41"/>
        <v>0.15</v>
      </c>
      <c r="R108" s="75">
        <f t="shared" si="42"/>
        <v>625.5</v>
      </c>
      <c r="S108" s="74">
        <v>0.8</v>
      </c>
      <c r="T108" s="75">
        <f t="shared" si="43"/>
        <v>3336</v>
      </c>
      <c r="U108" s="76">
        <f t="shared" si="44"/>
        <v>4.9999999999999961E-2</v>
      </c>
      <c r="V108" s="69">
        <f t="shared" si="45"/>
        <v>208.49999999999983</v>
      </c>
      <c r="W108" s="77">
        <f ca="1">V108*VLOOKUP(TODAY(),'UF HOY'!$A$2:$B$36,2,0)</f>
        <v>8284526.4899999937</v>
      </c>
      <c r="X108" s="78">
        <f>Datos!$E$3</f>
        <v>15</v>
      </c>
      <c r="Y108" s="79">
        <f ca="1">IF((W108-1000000-Datos!$N$3)/X108&gt;0,(W108-1000000-Datos!$N$3)/X108,0)</f>
        <v>478968.43266666622</v>
      </c>
      <c r="Z108" s="78">
        <f>Datos!$G$3</f>
        <v>15</v>
      </c>
      <c r="AA108" s="79">
        <f ca="1">IF((W108-1000000-Datos!$N$3)/Z108&gt;0,(W108-1000000-Datos!$N$3)/Z108,0)</f>
        <v>478968.43266666622</v>
      </c>
      <c r="AB108" s="79">
        <f>IF(L108&gt;0,VLOOKUP(D108,Datos!$H$30:$J$33,3,0),VLOOKUP(D108,Datos!$H$30:$J$33,2,0))</f>
        <v>440000</v>
      </c>
      <c r="AC108" s="79">
        <f ca="1">(S108*PMT(Datos!$D$15,Datos!$D$13,-O108,,)*VLOOKUP(TODAY(),'UF HOY'!$A$2:$B$36,2,0)/12)</f>
        <v>638793.31758952467</v>
      </c>
      <c r="AD108" s="79">
        <f t="shared" ca="1" si="46"/>
        <v>-198793.31758952467</v>
      </c>
      <c r="AE108" s="220">
        <f t="shared" ca="1" si="47"/>
        <v>2555173.2703580987</v>
      </c>
      <c r="AF108" s="45"/>
    </row>
    <row r="109" spans="1:32" hidden="1">
      <c r="A109" s="66" t="s">
        <v>171</v>
      </c>
      <c r="B109" s="66">
        <v>1002</v>
      </c>
      <c r="C109" s="67" t="s">
        <v>131</v>
      </c>
      <c r="D109" s="67" t="s">
        <v>194</v>
      </c>
      <c r="E109" s="67"/>
      <c r="F109" s="66">
        <v>48.16</v>
      </c>
      <c r="G109" s="66">
        <v>12.72</v>
      </c>
      <c r="H109" s="67">
        <f t="shared" si="36"/>
        <v>54.519999999999996</v>
      </c>
      <c r="I109" s="68">
        <f t="shared" si="37"/>
        <v>60.879999999999995</v>
      </c>
      <c r="J109" s="69">
        <v>3970</v>
      </c>
      <c r="K109" s="70">
        <v>0</v>
      </c>
      <c r="L109" s="71">
        <v>400</v>
      </c>
      <c r="M109" s="71">
        <v>120</v>
      </c>
      <c r="N109" s="72">
        <f t="shared" si="38"/>
        <v>3816.5</v>
      </c>
      <c r="O109" s="73">
        <f t="shared" si="39"/>
        <v>4490</v>
      </c>
      <c r="P109" s="121">
        <f t="shared" si="40"/>
        <v>60.464049889948647</v>
      </c>
      <c r="Q109" s="74">
        <f t="shared" si="41"/>
        <v>0.15</v>
      </c>
      <c r="R109" s="75">
        <f t="shared" si="42"/>
        <v>673.5</v>
      </c>
      <c r="S109" s="74">
        <v>0.8</v>
      </c>
      <c r="T109" s="75">
        <f t="shared" si="43"/>
        <v>3592</v>
      </c>
      <c r="U109" s="76">
        <f t="shared" si="44"/>
        <v>4.9999999999999961E-2</v>
      </c>
      <c r="V109" s="69">
        <f t="shared" si="45"/>
        <v>224.49999999999983</v>
      </c>
      <c r="W109" s="77">
        <f ca="1">V109*VLOOKUP(TODAY(),'UF HOY'!$A$2:$B$36,2,0)</f>
        <v>8920269.5299999937</v>
      </c>
      <c r="X109" s="78">
        <f>Datos!$E$3</f>
        <v>15</v>
      </c>
      <c r="Y109" s="79">
        <f ca="1">IF((W109-1000000-Datos!$N$3)/X109&gt;0,(W109-1000000-Datos!$N$3)/X109,0)</f>
        <v>521351.30199999956</v>
      </c>
      <c r="Z109" s="78">
        <f>Datos!$G$3</f>
        <v>15</v>
      </c>
      <c r="AA109" s="79">
        <f ca="1">IF((W109-1000000-Datos!$N$3)/Z109&gt;0,(W109-1000000-Datos!$N$3)/Z109,0)</f>
        <v>521351.30199999956</v>
      </c>
      <c r="AB109" s="79">
        <f>IF(L109&gt;0,VLOOKUP(D109,Datos!$H$30:$J$33,3,0),VLOOKUP(D109,Datos!$H$30:$J$33,2,0))</f>
        <v>490000</v>
      </c>
      <c r="AC109" s="79">
        <f ca="1">(S109*PMT(Datos!$D$15,Datos!$D$13,-O109,,)*VLOOKUP(TODAY(),'UF HOY'!$A$2:$B$36,2,0)/12)</f>
        <v>687813.42829183827</v>
      </c>
      <c r="AD109" s="79">
        <f t="shared" ca="1" si="46"/>
        <v>-197813.42829183827</v>
      </c>
      <c r="AE109" s="220">
        <f t="shared" ca="1" si="47"/>
        <v>2751253.7131673531</v>
      </c>
      <c r="AF109" s="45"/>
    </row>
    <row r="110" spans="1:32" hidden="1">
      <c r="A110" s="66" t="s">
        <v>171</v>
      </c>
      <c r="B110" s="66">
        <v>1004</v>
      </c>
      <c r="C110" s="67" t="s">
        <v>123</v>
      </c>
      <c r="D110" s="67" t="s">
        <v>195</v>
      </c>
      <c r="E110" s="67"/>
      <c r="F110" s="66">
        <v>36.549999999999997</v>
      </c>
      <c r="G110" s="66">
        <v>4.92</v>
      </c>
      <c r="H110" s="67">
        <f t="shared" si="36"/>
        <v>39.01</v>
      </c>
      <c r="I110" s="68">
        <f t="shared" si="37"/>
        <v>41.47</v>
      </c>
      <c r="J110" s="69">
        <v>3150</v>
      </c>
      <c r="K110" s="70">
        <v>0</v>
      </c>
      <c r="L110" s="71">
        <v>0</v>
      </c>
      <c r="M110" s="71">
        <v>0</v>
      </c>
      <c r="N110" s="72">
        <f t="shared" si="38"/>
        <v>2677.5</v>
      </c>
      <c r="O110" s="73">
        <f t="shared" si="39"/>
        <v>3150</v>
      </c>
      <c r="P110" s="121">
        <f t="shared" si="40"/>
        <v>68.636247116124068</v>
      </c>
      <c r="Q110" s="74">
        <f t="shared" si="41"/>
        <v>0.15</v>
      </c>
      <c r="R110" s="75">
        <f t="shared" si="42"/>
        <v>472.5</v>
      </c>
      <c r="S110" s="74">
        <v>0.8</v>
      </c>
      <c r="T110" s="75">
        <f t="shared" si="43"/>
        <v>2520</v>
      </c>
      <c r="U110" s="76">
        <f t="shared" si="44"/>
        <v>4.9999999999999961E-2</v>
      </c>
      <c r="V110" s="69">
        <f t="shared" si="45"/>
        <v>157.49999999999989</v>
      </c>
      <c r="W110" s="77">
        <f ca="1">V110*VLOOKUP(TODAY(),'UF HOY'!$A$2:$B$36,2,0)</f>
        <v>6258095.5499999961</v>
      </c>
      <c r="X110" s="78">
        <f>Datos!$E$3</f>
        <v>15</v>
      </c>
      <c r="Y110" s="79">
        <f ca="1">IF((W110-1000000-Datos!$N$3)/X110&gt;0,(W110-1000000-Datos!$N$3)/X110,0)</f>
        <v>343873.03666666639</v>
      </c>
      <c r="Z110" s="78">
        <f>Datos!$G$3</f>
        <v>15</v>
      </c>
      <c r="AA110" s="79">
        <f ca="1">IF((W110-1000000-Datos!$N$3)/Z110&gt;0,(W110-1000000-Datos!$N$3)/Z110,0)</f>
        <v>343873.03666666639</v>
      </c>
      <c r="AB110" s="79">
        <f>IF(L110&gt;0,VLOOKUP(D110,Datos!$H$30:$J$33,3,0),VLOOKUP(D110,Datos!$H$30:$J$33,2,0))</f>
        <v>350000</v>
      </c>
      <c r="AC110" s="79">
        <f ca="1">(S110*PMT(Datos!$D$15,Datos!$D$13,-O110,,)*VLOOKUP(TODAY(),'UF HOY'!$A$2:$B$36,2,0)/12)</f>
        <v>482541.71472589998</v>
      </c>
      <c r="AD110" s="79">
        <f t="shared" ca="1" si="46"/>
        <v>-132541.71472589998</v>
      </c>
      <c r="AE110" s="220">
        <f t="shared" ca="1" si="47"/>
        <v>1930166.8589035999</v>
      </c>
      <c r="AF110" s="45"/>
    </row>
    <row r="111" spans="1:32" hidden="1">
      <c r="A111" s="66" t="s">
        <v>171</v>
      </c>
      <c r="B111" s="66">
        <v>1005</v>
      </c>
      <c r="C111" s="67" t="s">
        <v>124</v>
      </c>
      <c r="D111" s="67" t="s">
        <v>195</v>
      </c>
      <c r="E111" s="67"/>
      <c r="F111" s="66">
        <v>36.549999999999997</v>
      </c>
      <c r="G111" s="66">
        <v>5.48</v>
      </c>
      <c r="H111" s="67">
        <f t="shared" si="36"/>
        <v>39.29</v>
      </c>
      <c r="I111" s="68">
        <f t="shared" si="37"/>
        <v>42.03</v>
      </c>
      <c r="J111" s="69">
        <v>3210</v>
      </c>
      <c r="K111" s="70">
        <v>0</v>
      </c>
      <c r="L111" s="71">
        <v>400</v>
      </c>
      <c r="M111" s="71">
        <v>0</v>
      </c>
      <c r="N111" s="72">
        <f t="shared" si="38"/>
        <v>3068.5</v>
      </c>
      <c r="O111" s="73">
        <f t="shared" si="39"/>
        <v>3610</v>
      </c>
      <c r="P111" s="121">
        <f t="shared" si="40"/>
        <v>67.918045304148635</v>
      </c>
      <c r="Q111" s="74">
        <f t="shared" si="41"/>
        <v>0.15</v>
      </c>
      <c r="R111" s="75">
        <f t="shared" si="42"/>
        <v>541.5</v>
      </c>
      <c r="S111" s="74">
        <v>0.75</v>
      </c>
      <c r="T111" s="75">
        <f t="shared" si="43"/>
        <v>2707.5</v>
      </c>
      <c r="U111" s="76">
        <f t="shared" si="44"/>
        <v>0.1</v>
      </c>
      <c r="V111" s="69">
        <f t="shared" si="45"/>
        <v>361</v>
      </c>
      <c r="W111" s="77">
        <f ca="1">V111*VLOOKUP(TODAY(),'UF HOY'!$A$2:$B$36,2,0)</f>
        <v>14343952.340000002</v>
      </c>
      <c r="X111" s="78">
        <f>Datos!$E$3</f>
        <v>15</v>
      </c>
      <c r="Y111" s="79">
        <f ca="1">IF((W111-1000000-Datos!$N$3)/X111&gt;0,(W111-1000000-Datos!$N$3)/X111,0)</f>
        <v>882930.15600000008</v>
      </c>
      <c r="Z111" s="78">
        <f>Datos!$G$3</f>
        <v>15</v>
      </c>
      <c r="AA111" s="79">
        <f ca="1">IF((W111-1000000-Datos!$N$3)/Z111&gt;0,(W111-1000000-Datos!$N$3)/Z111,0)</f>
        <v>882930.15600000008</v>
      </c>
      <c r="AB111" s="79">
        <f>IF(L111&gt;0,VLOOKUP(D111,Datos!$H$30:$J$33,3,0),VLOOKUP(D111,Datos!$H$30:$J$33,2,0))</f>
        <v>390000</v>
      </c>
      <c r="AC111" s="79">
        <f ca="1">(S111*PMT(Datos!$D$15,Datos!$D$13,-O111,,)*VLOOKUP(TODAY(),'UF HOY'!$A$2:$B$36,2,0)/12)</f>
        <v>518445.11611919594</v>
      </c>
      <c r="AD111" s="79">
        <f t="shared" ca="1" si="46"/>
        <v>-128445.11611919594</v>
      </c>
      <c r="AE111" s="220">
        <f t="shared" ca="1" si="47"/>
        <v>2073780.4644767838</v>
      </c>
      <c r="AF111" s="45"/>
    </row>
    <row r="112" spans="1:32" hidden="1">
      <c r="A112" s="66" t="s">
        <v>171</v>
      </c>
      <c r="B112" s="66">
        <v>1007</v>
      </c>
      <c r="C112" s="67" t="s">
        <v>103</v>
      </c>
      <c r="D112" s="67" t="s">
        <v>196</v>
      </c>
      <c r="E112" s="67"/>
      <c r="F112" s="66">
        <v>42.9</v>
      </c>
      <c r="G112" s="66">
        <v>11.95</v>
      </c>
      <c r="H112" s="67">
        <f t="shared" si="36"/>
        <v>48.875</v>
      </c>
      <c r="I112" s="68">
        <f t="shared" si="37"/>
        <v>54.849999999999994</v>
      </c>
      <c r="J112" s="69">
        <v>3760</v>
      </c>
      <c r="K112" s="70">
        <v>0</v>
      </c>
      <c r="L112" s="71">
        <v>400</v>
      </c>
      <c r="M112" s="71">
        <v>130</v>
      </c>
      <c r="N112" s="72">
        <f t="shared" si="38"/>
        <v>3646.5</v>
      </c>
      <c r="O112" s="73">
        <f t="shared" si="39"/>
        <v>4290</v>
      </c>
      <c r="P112" s="121">
        <f t="shared" si="40"/>
        <v>63.764705882352942</v>
      </c>
      <c r="Q112" s="74">
        <f t="shared" si="41"/>
        <v>0.15</v>
      </c>
      <c r="R112" s="75">
        <f t="shared" si="42"/>
        <v>643.5</v>
      </c>
      <c r="S112" s="74">
        <v>0.8</v>
      </c>
      <c r="T112" s="75">
        <f t="shared" si="43"/>
        <v>3432</v>
      </c>
      <c r="U112" s="76">
        <f t="shared" si="44"/>
        <v>4.9999999999999961E-2</v>
      </c>
      <c r="V112" s="69">
        <f t="shared" si="45"/>
        <v>214.49999999999983</v>
      </c>
      <c r="W112" s="77">
        <f ca="1">V112*VLOOKUP(TODAY(),'UF HOY'!$A$2:$B$36,2,0)</f>
        <v>8522930.1299999934</v>
      </c>
      <c r="X112" s="78">
        <f>Datos!$E$3</f>
        <v>15</v>
      </c>
      <c r="Y112" s="79">
        <f ca="1">IF((W112-1000000-Datos!$N$3)/X112&gt;0,(W112-1000000-Datos!$N$3)/X112,0)</f>
        <v>494862.00866666622</v>
      </c>
      <c r="Z112" s="78">
        <f>Datos!$G$3</f>
        <v>15</v>
      </c>
      <c r="AA112" s="79">
        <f ca="1">IF((W112-1000000-Datos!$N$3)/Z112&gt;0,(W112-1000000-Datos!$N$3)/Z112,0)</f>
        <v>494862.00866666622</v>
      </c>
      <c r="AB112" s="79">
        <f>IF(L112&gt;0,VLOOKUP(D112,Datos!$H$30:$J$33,3,0),VLOOKUP(D112,Datos!$H$30:$J$33,2,0))</f>
        <v>440000</v>
      </c>
      <c r="AC112" s="79">
        <f ca="1">(S112*PMT(Datos!$D$15,Datos!$D$13,-O112,,)*VLOOKUP(TODAY(),'UF HOY'!$A$2:$B$36,2,0)/12)</f>
        <v>657175.85910289222</v>
      </c>
      <c r="AD112" s="79">
        <f t="shared" ca="1" si="46"/>
        <v>-217175.85910289222</v>
      </c>
      <c r="AE112" s="220">
        <f t="shared" ca="1" si="47"/>
        <v>2628703.4364115689</v>
      </c>
      <c r="AF112" s="45"/>
    </row>
    <row r="113" spans="1:32" hidden="1">
      <c r="A113" s="66" t="s">
        <v>171</v>
      </c>
      <c r="B113" s="66">
        <v>1008</v>
      </c>
      <c r="C113" s="67" t="s">
        <v>103</v>
      </c>
      <c r="D113" s="67" t="s">
        <v>195</v>
      </c>
      <c r="E113" s="67"/>
      <c r="F113" s="66">
        <v>32.520000000000003</v>
      </c>
      <c r="G113" s="66">
        <v>9.01</v>
      </c>
      <c r="H113" s="67">
        <f t="shared" si="36"/>
        <v>37.025000000000006</v>
      </c>
      <c r="I113" s="68">
        <f t="shared" si="37"/>
        <v>41.53</v>
      </c>
      <c r="J113" s="69">
        <v>3020</v>
      </c>
      <c r="K113" s="70">
        <v>0</v>
      </c>
      <c r="L113" s="71">
        <v>0</v>
      </c>
      <c r="M113" s="71">
        <v>0</v>
      </c>
      <c r="N113" s="72">
        <f t="shared" si="38"/>
        <v>2567</v>
      </c>
      <c r="O113" s="73">
        <f t="shared" si="39"/>
        <v>3020</v>
      </c>
      <c r="P113" s="121">
        <f t="shared" si="40"/>
        <v>69.331532748143132</v>
      </c>
      <c r="Q113" s="74">
        <f t="shared" si="41"/>
        <v>0.15</v>
      </c>
      <c r="R113" s="75">
        <f t="shared" si="42"/>
        <v>453</v>
      </c>
      <c r="S113" s="74">
        <v>0.8</v>
      </c>
      <c r="T113" s="75">
        <f t="shared" si="43"/>
        <v>2416</v>
      </c>
      <c r="U113" s="76">
        <f t="shared" si="44"/>
        <v>4.9999999999999961E-2</v>
      </c>
      <c r="V113" s="69">
        <f t="shared" si="45"/>
        <v>150.99999999999989</v>
      </c>
      <c r="W113" s="77">
        <f ca="1">V113*VLOOKUP(TODAY(),'UF HOY'!$A$2:$B$36,2,0)</f>
        <v>5999824.9399999958</v>
      </c>
      <c r="X113" s="78">
        <f>Datos!$E$3</f>
        <v>15</v>
      </c>
      <c r="Y113" s="79">
        <f ca="1">IF((W113-1000000-Datos!$N$3)/X113&gt;0,(W113-1000000-Datos!$N$3)/X113,0)</f>
        <v>326654.99599999969</v>
      </c>
      <c r="Z113" s="78">
        <f>Datos!$G$3</f>
        <v>15</v>
      </c>
      <c r="AA113" s="79">
        <f ca="1">IF((W113-1000000-Datos!$N$3)/Z113&gt;0,(W113-1000000-Datos!$N$3)/Z113,0)</f>
        <v>326654.99599999969</v>
      </c>
      <c r="AB113" s="79">
        <f>IF(L113&gt;0,VLOOKUP(D113,Datos!$H$30:$J$33,3,0),VLOOKUP(D113,Datos!$H$30:$J$33,2,0))</f>
        <v>350000</v>
      </c>
      <c r="AC113" s="79">
        <f ca="1">(S113*PMT(Datos!$D$15,Datos!$D$13,-O113,,)*VLOOKUP(TODAY(),'UF HOY'!$A$2:$B$36,2,0)/12)</f>
        <v>462627.29475308495</v>
      </c>
      <c r="AD113" s="79">
        <f t="shared" ca="1" si="46"/>
        <v>-112627.29475308495</v>
      </c>
      <c r="AE113" s="220">
        <f t="shared" ca="1" si="47"/>
        <v>1850509.1790123398</v>
      </c>
      <c r="AF113" s="45"/>
    </row>
    <row r="114" spans="1:32" ht="14.25" hidden="1" customHeight="1">
      <c r="A114" s="66" t="s">
        <v>171</v>
      </c>
      <c r="B114" s="86">
        <v>1009</v>
      </c>
      <c r="C114" s="67" t="s">
        <v>103</v>
      </c>
      <c r="D114" s="67" t="s">
        <v>196</v>
      </c>
      <c r="E114" s="67"/>
      <c r="F114" s="66">
        <v>42.9</v>
      </c>
      <c r="G114" s="66">
        <v>12.54</v>
      </c>
      <c r="H114" s="67">
        <f t="shared" si="36"/>
        <v>49.17</v>
      </c>
      <c r="I114" s="68">
        <f t="shared" si="37"/>
        <v>55.44</v>
      </c>
      <c r="J114" s="69">
        <v>3770</v>
      </c>
      <c r="K114" s="70">
        <v>0</v>
      </c>
      <c r="L114" s="71">
        <v>400</v>
      </c>
      <c r="M114" s="71">
        <v>160</v>
      </c>
      <c r="N114" s="72">
        <f t="shared" si="38"/>
        <v>3680.5</v>
      </c>
      <c r="O114" s="73">
        <f t="shared" si="39"/>
        <v>4330</v>
      </c>
      <c r="P114" s="121">
        <f t="shared" si="40"/>
        <v>63.463494000406747</v>
      </c>
      <c r="Q114" s="74">
        <f t="shared" si="41"/>
        <v>0.15</v>
      </c>
      <c r="R114" s="75">
        <f t="shared" si="42"/>
        <v>649.5</v>
      </c>
      <c r="S114" s="74">
        <v>0.8</v>
      </c>
      <c r="T114" s="75">
        <f t="shared" si="43"/>
        <v>3464</v>
      </c>
      <c r="U114" s="76">
        <f t="shared" si="44"/>
        <v>4.9999999999999961E-2</v>
      </c>
      <c r="V114" s="69">
        <f t="shared" si="45"/>
        <v>216.49999999999983</v>
      </c>
      <c r="W114" s="77">
        <f ca="1">V114*VLOOKUP(TODAY(),'UF HOY'!$A$2:$B$36,2,0)</f>
        <v>8602398.0099999942</v>
      </c>
      <c r="X114" s="78">
        <f>Datos!$E$3</f>
        <v>15</v>
      </c>
      <c r="Y114" s="79">
        <f ca="1">IF((W114-1000000-Datos!$N$3)/X114&gt;0,(W114-1000000-Datos!$N$3)/X114,0)</f>
        <v>500159.86733333295</v>
      </c>
      <c r="Z114" s="78">
        <f>Datos!$G$3</f>
        <v>15</v>
      </c>
      <c r="AA114" s="79">
        <f ca="1">IF((W114-1000000-Datos!$N$3)/Z114&gt;0,(W114-1000000-Datos!$N$3)/Z114,0)</f>
        <v>500159.86733333295</v>
      </c>
      <c r="AB114" s="79">
        <f>IF(L114&gt;0,VLOOKUP(D114,Datos!$H$30:$J$33,3,0),VLOOKUP(D114,Datos!$H$30:$J$33,2,0))</f>
        <v>440000</v>
      </c>
      <c r="AC114" s="79">
        <f ca="1">(S114*PMT(Datos!$D$15,Datos!$D$13,-O114,,)*VLOOKUP(TODAY(),'UF HOY'!$A$2:$B$36,2,0)/12)</f>
        <v>663303.37294068141</v>
      </c>
      <c r="AD114" s="79">
        <f t="shared" ca="1" si="46"/>
        <v>-223303.37294068141</v>
      </c>
      <c r="AE114" s="220">
        <f t="shared" ca="1" si="47"/>
        <v>2653213.4917627256</v>
      </c>
      <c r="AF114" s="45"/>
    </row>
    <row r="115" spans="1:32" hidden="1">
      <c r="A115" s="66" t="s">
        <v>171</v>
      </c>
      <c r="B115" s="66">
        <v>1010</v>
      </c>
      <c r="C115" s="67" t="s">
        <v>121</v>
      </c>
      <c r="D115" s="67" t="s">
        <v>194</v>
      </c>
      <c r="E115" s="67"/>
      <c r="F115" s="66">
        <v>53.54</v>
      </c>
      <c r="G115" s="66">
        <v>5.3</v>
      </c>
      <c r="H115" s="67">
        <f t="shared" si="36"/>
        <v>56.19</v>
      </c>
      <c r="I115" s="68">
        <f t="shared" si="37"/>
        <v>58.839999999999996</v>
      </c>
      <c r="J115" s="69">
        <v>4010</v>
      </c>
      <c r="K115" s="70">
        <v>0</v>
      </c>
      <c r="L115" s="71">
        <v>400</v>
      </c>
      <c r="M115" s="71">
        <v>130</v>
      </c>
      <c r="N115" s="72">
        <f t="shared" si="38"/>
        <v>3859</v>
      </c>
      <c r="O115" s="73">
        <f t="shared" si="39"/>
        <v>4540</v>
      </c>
      <c r="P115" s="121">
        <f t="shared" si="40"/>
        <v>59.245417334045207</v>
      </c>
      <c r="Q115" s="74">
        <f t="shared" si="41"/>
        <v>0.15</v>
      </c>
      <c r="R115" s="75">
        <f t="shared" si="42"/>
        <v>681</v>
      </c>
      <c r="S115" s="74">
        <v>0.8</v>
      </c>
      <c r="T115" s="75">
        <f t="shared" si="43"/>
        <v>3632</v>
      </c>
      <c r="U115" s="76">
        <f t="shared" si="44"/>
        <v>4.9999999999999961E-2</v>
      </c>
      <c r="V115" s="69">
        <f t="shared" si="45"/>
        <v>226.99999999999983</v>
      </c>
      <c r="W115" s="77">
        <f ca="1">V115*VLOOKUP(TODAY(),'UF HOY'!$A$2:$B$36,2,0)</f>
        <v>9019604.3799999934</v>
      </c>
      <c r="X115" s="78">
        <f>Datos!$E$3</f>
        <v>15</v>
      </c>
      <c r="Y115" s="79">
        <f ca="1">IF((W115-1000000-Datos!$N$3)/X115&gt;0,(W115-1000000-Datos!$N$3)/X115,0)</f>
        <v>527973.62533333292</v>
      </c>
      <c r="Z115" s="78">
        <f>Datos!$G$3</f>
        <v>15</v>
      </c>
      <c r="AA115" s="79">
        <f ca="1">IF((W115-1000000-Datos!$N$3)/Z115&gt;0,(W115-1000000-Datos!$N$3)/Z115,0)</f>
        <v>527973.62533333292</v>
      </c>
      <c r="AB115" s="79">
        <f>IF(L115&gt;0,VLOOKUP(D115,Datos!$H$30:$J$33,3,0),VLOOKUP(D115,Datos!$H$30:$J$33,2,0))</f>
        <v>490000</v>
      </c>
      <c r="AC115" s="79">
        <f ca="1">(S115*PMT(Datos!$D$15,Datos!$D$13,-O115,,)*VLOOKUP(TODAY(),'UF HOY'!$A$2:$B$36,2,0)/12)</f>
        <v>695472.82058907475</v>
      </c>
      <c r="AD115" s="79">
        <f t="shared" ca="1" si="46"/>
        <v>-205472.82058907475</v>
      </c>
      <c r="AE115" s="220">
        <f t="shared" ca="1" si="47"/>
        <v>2781891.282356299</v>
      </c>
      <c r="AF115" s="45"/>
    </row>
    <row r="116" spans="1:32" hidden="1">
      <c r="A116" s="66" t="s">
        <v>223</v>
      </c>
      <c r="B116" s="66">
        <v>1011</v>
      </c>
      <c r="C116" s="67" t="s">
        <v>129</v>
      </c>
      <c r="D116" s="67" t="s">
        <v>195</v>
      </c>
      <c r="E116" s="67"/>
      <c r="F116" s="66">
        <v>33.36</v>
      </c>
      <c r="G116" s="66">
        <v>9.1999999999999993</v>
      </c>
      <c r="H116" s="67">
        <f t="shared" si="36"/>
        <v>37.96</v>
      </c>
      <c r="I116" s="68">
        <f t="shared" si="37"/>
        <v>42.56</v>
      </c>
      <c r="J116" s="69">
        <v>2940</v>
      </c>
      <c r="K116" s="70">
        <v>0</v>
      </c>
      <c r="L116" s="71">
        <v>400</v>
      </c>
      <c r="M116" s="71">
        <v>130</v>
      </c>
      <c r="N116" s="72">
        <f t="shared" si="38"/>
        <v>3123</v>
      </c>
      <c r="O116" s="73">
        <f t="shared" si="39"/>
        <v>3470</v>
      </c>
      <c r="P116" s="121">
        <f t="shared" si="40"/>
        <v>68.308746048472074</v>
      </c>
      <c r="Q116" s="74">
        <f t="shared" si="41"/>
        <v>0.1</v>
      </c>
      <c r="R116" s="75">
        <f>O116*0.1</f>
        <v>347</v>
      </c>
      <c r="S116" s="74">
        <v>0.8</v>
      </c>
      <c r="T116" s="75">
        <f t="shared" si="43"/>
        <v>2776</v>
      </c>
      <c r="U116" s="76">
        <f t="shared" si="44"/>
        <v>9.999999999999995E-2</v>
      </c>
      <c r="V116" s="69">
        <f t="shared" si="45"/>
        <v>346.99999999999983</v>
      </c>
      <c r="W116" s="77">
        <f ca="1">V116*VLOOKUP(TODAY(),'UF HOY'!$A$2:$B$36,2,0)</f>
        <v>13787677.179999994</v>
      </c>
      <c r="X116" s="78">
        <f>Datos!$E$3</f>
        <v>15</v>
      </c>
      <c r="Y116" s="79">
        <f ca="1">IF((W116-1000000-Datos!$N$3)/X116&gt;0,(W116-1000000-Datos!$N$3)/X116,0)</f>
        <v>845845.14533333294</v>
      </c>
      <c r="Z116" s="78">
        <f>Datos!$G$3</f>
        <v>15</v>
      </c>
      <c r="AA116" s="79">
        <f ca="1">IF((W116-1000000-Datos!$N$3)/Z116&gt;0,(W116-1000000-Datos!$N$3)/Z116,0)</f>
        <v>845845.14533333294</v>
      </c>
      <c r="AB116" s="79">
        <f>IF(L116&gt;0,VLOOKUP(D116,Datos!$H$30:$J$33,3,0),VLOOKUP(D116,Datos!$H$30:$J$33,2,0))</f>
        <v>390000</v>
      </c>
      <c r="AC116" s="79">
        <f ca="1">(S116*PMT(Datos!$D$15,Datos!$D$13,-O116,,)*VLOOKUP(TODAY(),'UF HOY'!$A$2:$B$36,2,0)/12)</f>
        <v>531561.82542821357</v>
      </c>
      <c r="AD116" s="79">
        <f t="shared" ca="1" si="46"/>
        <v>-141561.82542821357</v>
      </c>
      <c r="AE116" s="220">
        <f t="shared" ca="1" si="47"/>
        <v>2126247.3017128543</v>
      </c>
      <c r="AF116" s="45"/>
    </row>
    <row r="117" spans="1:32" hidden="1">
      <c r="A117" s="66" t="s">
        <v>171</v>
      </c>
      <c r="B117" s="66">
        <v>1014</v>
      </c>
      <c r="C117" s="67" t="s">
        <v>122</v>
      </c>
      <c r="D117" s="67" t="s">
        <v>195</v>
      </c>
      <c r="E117" s="67"/>
      <c r="F117" s="66">
        <v>36.56</v>
      </c>
      <c r="G117" s="66">
        <v>4.9800000000000004</v>
      </c>
      <c r="H117" s="67">
        <f t="shared" si="36"/>
        <v>39.050000000000004</v>
      </c>
      <c r="I117" s="68">
        <f t="shared" si="37"/>
        <v>41.540000000000006</v>
      </c>
      <c r="J117" s="69">
        <v>3120</v>
      </c>
      <c r="K117" s="70">
        <v>0</v>
      </c>
      <c r="L117" s="71">
        <v>0</v>
      </c>
      <c r="M117" s="71">
        <v>0</v>
      </c>
      <c r="N117" s="72">
        <f t="shared" si="38"/>
        <v>2652</v>
      </c>
      <c r="O117" s="73">
        <f t="shared" si="39"/>
        <v>3120</v>
      </c>
      <c r="P117" s="121">
        <f t="shared" si="40"/>
        <v>67.912932138284248</v>
      </c>
      <c r="Q117" s="74">
        <f t="shared" si="41"/>
        <v>0.15</v>
      </c>
      <c r="R117" s="75">
        <f t="shared" ref="R117:R126" si="48">O117*0.15</f>
        <v>468</v>
      </c>
      <c r="S117" s="74">
        <v>0.8</v>
      </c>
      <c r="T117" s="75">
        <f t="shared" si="43"/>
        <v>2496</v>
      </c>
      <c r="U117" s="76">
        <f t="shared" si="44"/>
        <v>4.9999999999999961E-2</v>
      </c>
      <c r="V117" s="69">
        <f t="shared" si="45"/>
        <v>155.99999999999989</v>
      </c>
      <c r="W117" s="77">
        <f ca="1">V117*VLOOKUP(TODAY(),'UF HOY'!$A$2:$B$36,2,0)</f>
        <v>6198494.6399999959</v>
      </c>
      <c r="X117" s="78">
        <f>Datos!$E$3</f>
        <v>15</v>
      </c>
      <c r="Y117" s="79">
        <f ca="1">IF((W117-1000000-Datos!$N$3)/X117&gt;0,(W117-1000000-Datos!$N$3)/X117,0)</f>
        <v>339899.64266666642</v>
      </c>
      <c r="Z117" s="78">
        <f>Datos!$G$3</f>
        <v>15</v>
      </c>
      <c r="AA117" s="79">
        <f ca="1">IF((W117-1000000-Datos!$N$3)/Z117&gt;0,(W117-1000000-Datos!$N$3)/Z117,0)</f>
        <v>339899.64266666642</v>
      </c>
      <c r="AB117" s="79">
        <f>IF(L117&gt;0,VLOOKUP(D117,Datos!$H$30:$J$33,3,0),VLOOKUP(D117,Datos!$H$30:$J$33,2,0))</f>
        <v>350000</v>
      </c>
      <c r="AC117" s="79">
        <f ca="1">(S117*PMT(Datos!$D$15,Datos!$D$13,-O117,,)*VLOOKUP(TODAY(),'UF HOY'!$A$2:$B$36,2,0)/12)</f>
        <v>477946.07934755791</v>
      </c>
      <c r="AD117" s="79">
        <f t="shared" ca="1" si="46"/>
        <v>-127946.07934755791</v>
      </c>
      <c r="AE117" s="220">
        <f t="shared" ca="1" si="47"/>
        <v>1911784.3173902316</v>
      </c>
      <c r="AF117" s="45"/>
    </row>
    <row r="118" spans="1:32" hidden="1">
      <c r="A118" s="66" t="s">
        <v>171</v>
      </c>
      <c r="B118" s="66">
        <v>1015</v>
      </c>
      <c r="C118" s="67" t="s">
        <v>123</v>
      </c>
      <c r="D118" s="67" t="s">
        <v>195</v>
      </c>
      <c r="E118" s="67"/>
      <c r="F118" s="66">
        <v>36.53</v>
      </c>
      <c r="G118" s="66">
        <v>4.8499999999999996</v>
      </c>
      <c r="H118" s="67">
        <f t="shared" si="36"/>
        <v>38.954999999999998</v>
      </c>
      <c r="I118" s="68">
        <f t="shared" si="37"/>
        <v>41.38</v>
      </c>
      <c r="J118" s="69">
        <v>3190</v>
      </c>
      <c r="K118" s="70">
        <v>0</v>
      </c>
      <c r="L118" s="71">
        <v>0</v>
      </c>
      <c r="M118" s="71">
        <v>0</v>
      </c>
      <c r="N118" s="72">
        <f t="shared" si="38"/>
        <v>2711.5</v>
      </c>
      <c r="O118" s="73">
        <f t="shared" si="39"/>
        <v>3190</v>
      </c>
      <c r="P118" s="121">
        <f t="shared" si="40"/>
        <v>69.605955589783079</v>
      </c>
      <c r="Q118" s="74">
        <f t="shared" si="41"/>
        <v>0.15</v>
      </c>
      <c r="R118" s="75">
        <f t="shared" si="48"/>
        <v>478.5</v>
      </c>
      <c r="S118" s="74">
        <v>0.8</v>
      </c>
      <c r="T118" s="75">
        <f t="shared" si="43"/>
        <v>2552</v>
      </c>
      <c r="U118" s="76">
        <f t="shared" si="44"/>
        <v>4.9999999999999961E-2</v>
      </c>
      <c r="V118" s="69">
        <f t="shared" si="45"/>
        <v>159.49999999999989</v>
      </c>
      <c r="W118" s="77">
        <f ca="1">V118*VLOOKUP(TODAY(),'UF HOY'!$A$2:$B$36,2,0)</f>
        <v>6337563.429999996</v>
      </c>
      <c r="X118" s="78">
        <f>Datos!$E$3</f>
        <v>15</v>
      </c>
      <c r="Y118" s="79">
        <f ca="1">IF((W118-1000000-Datos!$N$3)/X118&gt;0,(W118-1000000-Datos!$N$3)/X118,0)</f>
        <v>349170.89533333306</v>
      </c>
      <c r="Z118" s="78">
        <f>Datos!$G$3</f>
        <v>15</v>
      </c>
      <c r="AA118" s="79">
        <f ca="1">IF((W118-1000000-Datos!$N$3)/Z118&gt;0,(W118-1000000-Datos!$N$3)/Z118,0)</f>
        <v>349170.89533333306</v>
      </c>
      <c r="AB118" s="79">
        <f>IF(L118&gt;0,VLOOKUP(D118,Datos!$H$30:$J$33,3,0),VLOOKUP(D118,Datos!$H$30:$J$33,2,0))</f>
        <v>350000</v>
      </c>
      <c r="AC118" s="79">
        <f ca="1">(S118*PMT(Datos!$D$15,Datos!$D$13,-O118,,)*VLOOKUP(TODAY(),'UF HOY'!$A$2:$B$36,2,0)/12)</f>
        <v>488669.2285636891</v>
      </c>
      <c r="AD118" s="79">
        <f t="shared" ca="1" si="46"/>
        <v>-138669.2285636891</v>
      </c>
      <c r="AE118" s="220">
        <f t="shared" ca="1" si="47"/>
        <v>1954676.9142547564</v>
      </c>
      <c r="AF118" s="45"/>
    </row>
    <row r="119" spans="1:32" hidden="1">
      <c r="A119" s="66" t="s">
        <v>171</v>
      </c>
      <c r="B119" s="66">
        <v>1016</v>
      </c>
      <c r="C119" s="67" t="s">
        <v>130</v>
      </c>
      <c r="D119" s="67" t="s">
        <v>194</v>
      </c>
      <c r="E119" s="67"/>
      <c r="F119" s="66">
        <v>49.27</v>
      </c>
      <c r="G119" s="66">
        <v>8.8000000000000007</v>
      </c>
      <c r="H119" s="67">
        <f t="shared" si="36"/>
        <v>53.67</v>
      </c>
      <c r="I119" s="68">
        <f t="shared" si="37"/>
        <v>58.070000000000007</v>
      </c>
      <c r="J119" s="69">
        <v>4000</v>
      </c>
      <c r="K119" s="70">
        <v>0</v>
      </c>
      <c r="L119" s="71">
        <v>400</v>
      </c>
      <c r="M119" s="71">
        <v>130</v>
      </c>
      <c r="N119" s="72">
        <f t="shared" si="38"/>
        <v>3850.5</v>
      </c>
      <c r="O119" s="73">
        <f t="shared" si="39"/>
        <v>4530</v>
      </c>
      <c r="P119" s="121">
        <f t="shared" si="40"/>
        <v>61.86882802310415</v>
      </c>
      <c r="Q119" s="74">
        <f t="shared" si="41"/>
        <v>0.15</v>
      </c>
      <c r="R119" s="75">
        <f t="shared" si="48"/>
        <v>679.5</v>
      </c>
      <c r="S119" s="74">
        <v>0.8</v>
      </c>
      <c r="T119" s="75">
        <f t="shared" si="43"/>
        <v>3624</v>
      </c>
      <c r="U119" s="76">
        <f t="shared" si="44"/>
        <v>4.9999999999999961E-2</v>
      </c>
      <c r="V119" s="69">
        <f t="shared" si="45"/>
        <v>226.49999999999983</v>
      </c>
      <c r="W119" s="77">
        <f ca="1">V119*VLOOKUP(TODAY(),'UF HOY'!$A$2:$B$36,2,0)</f>
        <v>8999737.4099999946</v>
      </c>
      <c r="X119" s="78">
        <f>Datos!$E$3</f>
        <v>15</v>
      </c>
      <c r="Y119" s="79">
        <f ca="1">IF((W119-1000000-Datos!$N$3)/X119&gt;0,(W119-1000000-Datos!$N$3)/X119,0)</f>
        <v>526649.16066666634</v>
      </c>
      <c r="Z119" s="78">
        <f>Datos!$G$3</f>
        <v>15</v>
      </c>
      <c r="AA119" s="79">
        <f ca="1">IF((W119-1000000-Datos!$N$3)/Z119&gt;0,(W119-1000000-Datos!$N$3)/Z119,0)</f>
        <v>526649.16066666634</v>
      </c>
      <c r="AB119" s="79">
        <f>IF(L119&gt;0,VLOOKUP(D119,Datos!$H$30:$J$33,3,0),VLOOKUP(D119,Datos!$H$30:$J$33,2,0))</f>
        <v>490000</v>
      </c>
      <c r="AC119" s="79">
        <f ca="1">(S119*PMT(Datos!$D$15,Datos!$D$13,-O119,,)*VLOOKUP(TODAY(),'UF HOY'!$A$2:$B$36,2,0)/12)</f>
        <v>693940.94212962734</v>
      </c>
      <c r="AD119" s="79">
        <f t="shared" ca="1" si="46"/>
        <v>-203940.94212962734</v>
      </c>
      <c r="AE119" s="220">
        <f t="shared" ca="1" si="47"/>
        <v>2775763.7685185093</v>
      </c>
      <c r="AF119" s="45"/>
    </row>
    <row r="120" spans="1:32" hidden="1">
      <c r="A120" s="66" t="s">
        <v>171</v>
      </c>
      <c r="B120" s="66">
        <v>1101</v>
      </c>
      <c r="C120" s="67" t="s">
        <v>131</v>
      </c>
      <c r="D120" s="67" t="s">
        <v>196</v>
      </c>
      <c r="E120" s="67"/>
      <c r="F120" s="66">
        <v>46.09</v>
      </c>
      <c r="G120" s="66">
        <v>4.8899999999999997</v>
      </c>
      <c r="H120" s="67">
        <f t="shared" si="36"/>
        <v>48.535000000000004</v>
      </c>
      <c r="I120" s="68">
        <f t="shared" si="37"/>
        <v>50.980000000000004</v>
      </c>
      <c r="J120" s="69">
        <v>3650</v>
      </c>
      <c r="K120" s="70">
        <v>0</v>
      </c>
      <c r="L120" s="71">
        <v>400</v>
      </c>
      <c r="M120" s="71">
        <v>120</v>
      </c>
      <c r="N120" s="72">
        <f t="shared" si="38"/>
        <v>3544.5</v>
      </c>
      <c r="O120" s="73">
        <f t="shared" si="39"/>
        <v>4170</v>
      </c>
      <c r="P120" s="121">
        <f t="shared" si="40"/>
        <v>62.315854537962288</v>
      </c>
      <c r="Q120" s="74">
        <f t="shared" si="41"/>
        <v>0.15</v>
      </c>
      <c r="R120" s="75">
        <f t="shared" si="48"/>
        <v>625.5</v>
      </c>
      <c r="S120" s="74">
        <v>0.8</v>
      </c>
      <c r="T120" s="75">
        <f t="shared" si="43"/>
        <v>3336</v>
      </c>
      <c r="U120" s="76">
        <f t="shared" si="44"/>
        <v>4.9999999999999961E-2</v>
      </c>
      <c r="V120" s="69">
        <f t="shared" si="45"/>
        <v>208.49999999999983</v>
      </c>
      <c r="W120" s="77">
        <f ca="1">V120*VLOOKUP(TODAY(),'UF HOY'!$A$2:$B$36,2,0)</f>
        <v>8284526.4899999937</v>
      </c>
      <c r="X120" s="78">
        <f>Datos!$E$3</f>
        <v>15</v>
      </c>
      <c r="Y120" s="79">
        <f ca="1">IF((W120-1000000-Datos!$N$3)/X120&gt;0,(W120-1000000-Datos!$N$3)/X120,0)</f>
        <v>478968.43266666622</v>
      </c>
      <c r="Z120" s="78">
        <f>Datos!$G$3</f>
        <v>15</v>
      </c>
      <c r="AA120" s="79">
        <f ca="1">IF((W120-1000000-Datos!$N$3)/Z120&gt;0,(W120-1000000-Datos!$N$3)/Z120,0)</f>
        <v>478968.43266666622</v>
      </c>
      <c r="AB120" s="79">
        <f>IF(L120&gt;0,VLOOKUP(D120,Datos!$H$30:$J$33,3,0),VLOOKUP(D120,Datos!$H$30:$J$33,2,0))</f>
        <v>440000</v>
      </c>
      <c r="AC120" s="79">
        <f ca="1">(S120*PMT(Datos!$D$15,Datos!$D$13,-O120,,)*VLOOKUP(TODAY(),'UF HOY'!$A$2:$B$36,2,0)/12)</f>
        <v>638793.31758952467</v>
      </c>
      <c r="AD120" s="79">
        <f t="shared" ca="1" si="46"/>
        <v>-198793.31758952467</v>
      </c>
      <c r="AE120" s="220">
        <f t="shared" ca="1" si="47"/>
        <v>2555173.2703580987</v>
      </c>
      <c r="AF120" s="45"/>
    </row>
    <row r="121" spans="1:32" hidden="1">
      <c r="A121" s="66" t="s">
        <v>171</v>
      </c>
      <c r="B121" s="66">
        <v>1102</v>
      </c>
      <c r="C121" s="67" t="s">
        <v>131</v>
      </c>
      <c r="D121" s="67" t="s">
        <v>194</v>
      </c>
      <c r="E121" s="67"/>
      <c r="F121" s="66">
        <v>48.16</v>
      </c>
      <c r="G121" s="66">
        <v>12.72</v>
      </c>
      <c r="H121" s="67">
        <f t="shared" si="36"/>
        <v>54.519999999999996</v>
      </c>
      <c r="I121" s="68">
        <f t="shared" si="37"/>
        <v>60.879999999999995</v>
      </c>
      <c r="J121" s="69">
        <v>3970</v>
      </c>
      <c r="K121" s="70">
        <v>0</v>
      </c>
      <c r="L121" s="71">
        <v>400</v>
      </c>
      <c r="M121" s="71">
        <v>120</v>
      </c>
      <c r="N121" s="72">
        <f t="shared" si="38"/>
        <v>3816.5</v>
      </c>
      <c r="O121" s="73">
        <f t="shared" si="39"/>
        <v>4490</v>
      </c>
      <c r="P121" s="121">
        <f t="shared" si="40"/>
        <v>60.464049889948647</v>
      </c>
      <c r="Q121" s="74">
        <f t="shared" si="41"/>
        <v>0.15</v>
      </c>
      <c r="R121" s="75">
        <f t="shared" si="48"/>
        <v>673.5</v>
      </c>
      <c r="S121" s="74">
        <v>0.8</v>
      </c>
      <c r="T121" s="75">
        <f t="shared" si="43"/>
        <v>3592</v>
      </c>
      <c r="U121" s="76">
        <f t="shared" si="44"/>
        <v>4.9999999999999961E-2</v>
      </c>
      <c r="V121" s="69">
        <f t="shared" si="45"/>
        <v>224.49999999999983</v>
      </c>
      <c r="W121" s="77">
        <f ca="1">V121*VLOOKUP(TODAY(),'UF HOY'!$A$2:$B$36,2,0)</f>
        <v>8920269.5299999937</v>
      </c>
      <c r="X121" s="78">
        <f>Datos!$E$3</f>
        <v>15</v>
      </c>
      <c r="Y121" s="79">
        <f ca="1">IF((W121-1000000-Datos!$N$3)/X121&gt;0,(W121-1000000-Datos!$N$3)/X121,0)</f>
        <v>521351.30199999956</v>
      </c>
      <c r="Z121" s="78">
        <f>Datos!$G$3</f>
        <v>15</v>
      </c>
      <c r="AA121" s="79">
        <f ca="1">IF((W121-1000000-Datos!$N$3)/Z121&gt;0,(W121-1000000-Datos!$N$3)/Z121,0)</f>
        <v>521351.30199999956</v>
      </c>
      <c r="AB121" s="79">
        <f>IF(L121&gt;0,VLOOKUP(D121,Datos!$H$30:$J$33,3,0),VLOOKUP(D121,Datos!$H$30:$J$33,2,0))</f>
        <v>490000</v>
      </c>
      <c r="AC121" s="79">
        <f ca="1">(S121*PMT(Datos!$D$15,Datos!$D$13,-O121,,)*VLOOKUP(TODAY(),'UF HOY'!$A$2:$B$36,2,0)/12)</f>
        <v>687813.42829183827</v>
      </c>
      <c r="AD121" s="79">
        <f t="shared" ca="1" si="46"/>
        <v>-197813.42829183827</v>
      </c>
      <c r="AE121" s="220">
        <f t="shared" ca="1" si="47"/>
        <v>2751253.7131673531</v>
      </c>
      <c r="AF121" s="45"/>
    </row>
    <row r="122" spans="1:32" hidden="1">
      <c r="A122" s="66" t="s">
        <v>171</v>
      </c>
      <c r="B122" s="66">
        <v>1104</v>
      </c>
      <c r="C122" s="67" t="s">
        <v>123</v>
      </c>
      <c r="D122" s="67" t="s">
        <v>195</v>
      </c>
      <c r="E122" s="67"/>
      <c r="F122" s="66">
        <v>36.549999999999997</v>
      </c>
      <c r="G122" s="66">
        <v>4.92</v>
      </c>
      <c r="H122" s="67">
        <f t="shared" si="36"/>
        <v>39.01</v>
      </c>
      <c r="I122" s="68">
        <f t="shared" si="37"/>
        <v>41.47</v>
      </c>
      <c r="J122" s="69">
        <v>3150</v>
      </c>
      <c r="K122" s="70">
        <v>0</v>
      </c>
      <c r="L122" s="71">
        <v>0</v>
      </c>
      <c r="M122" s="71">
        <v>0</v>
      </c>
      <c r="N122" s="72">
        <f t="shared" si="38"/>
        <v>2677.5</v>
      </c>
      <c r="O122" s="73">
        <f t="shared" si="39"/>
        <v>3150</v>
      </c>
      <c r="P122" s="121">
        <f t="shared" si="40"/>
        <v>68.636247116124068</v>
      </c>
      <c r="Q122" s="74">
        <f t="shared" si="41"/>
        <v>0.15</v>
      </c>
      <c r="R122" s="75">
        <f t="shared" si="48"/>
        <v>472.5</v>
      </c>
      <c r="S122" s="74">
        <v>0.8</v>
      </c>
      <c r="T122" s="75">
        <f t="shared" si="43"/>
        <v>2520</v>
      </c>
      <c r="U122" s="76">
        <f t="shared" si="44"/>
        <v>4.9999999999999961E-2</v>
      </c>
      <c r="V122" s="69">
        <f t="shared" si="45"/>
        <v>157.49999999999989</v>
      </c>
      <c r="W122" s="77">
        <f ca="1">V122*VLOOKUP(TODAY(),'UF HOY'!$A$2:$B$36,2,0)</f>
        <v>6258095.5499999961</v>
      </c>
      <c r="X122" s="78">
        <f>Datos!$E$3</f>
        <v>15</v>
      </c>
      <c r="Y122" s="79">
        <f ca="1">IF((W122-1000000-Datos!$N$3)/X122&gt;0,(W122-1000000-Datos!$N$3)/X122,0)</f>
        <v>343873.03666666639</v>
      </c>
      <c r="Z122" s="78">
        <f>Datos!$G$3</f>
        <v>15</v>
      </c>
      <c r="AA122" s="79">
        <f ca="1">IF((W122-1000000-Datos!$N$3)/Z122&gt;0,(W122-1000000-Datos!$N$3)/Z122,0)</f>
        <v>343873.03666666639</v>
      </c>
      <c r="AB122" s="79">
        <f>IF(L122&gt;0,VLOOKUP(D122,Datos!$H$30:$J$33,3,0),VLOOKUP(D122,Datos!$H$30:$J$33,2,0))</f>
        <v>350000</v>
      </c>
      <c r="AC122" s="79">
        <f ca="1">(S122*PMT(Datos!$D$15,Datos!$D$13,-O122,,)*VLOOKUP(TODAY(),'UF HOY'!$A$2:$B$36,2,0)/12)</f>
        <v>482541.71472589998</v>
      </c>
      <c r="AD122" s="79">
        <f t="shared" ca="1" si="46"/>
        <v>-132541.71472589998</v>
      </c>
      <c r="AE122" s="220">
        <f t="shared" ca="1" si="47"/>
        <v>1930166.8589035999</v>
      </c>
      <c r="AF122" s="45"/>
    </row>
    <row r="123" spans="1:32" hidden="1">
      <c r="A123" s="66" t="s">
        <v>171</v>
      </c>
      <c r="B123" s="66">
        <v>1105</v>
      </c>
      <c r="C123" s="67" t="s">
        <v>124</v>
      </c>
      <c r="D123" s="67" t="s">
        <v>195</v>
      </c>
      <c r="E123" s="67"/>
      <c r="F123" s="66">
        <v>36.549999999999997</v>
      </c>
      <c r="G123" s="66">
        <v>5.48</v>
      </c>
      <c r="H123" s="67">
        <f t="shared" si="36"/>
        <v>39.29</v>
      </c>
      <c r="I123" s="68">
        <f t="shared" si="37"/>
        <v>42.03</v>
      </c>
      <c r="J123" s="69">
        <v>3210</v>
      </c>
      <c r="K123" s="70">
        <v>0</v>
      </c>
      <c r="L123" s="71">
        <v>400</v>
      </c>
      <c r="M123" s="71">
        <v>120</v>
      </c>
      <c r="N123" s="72">
        <f t="shared" si="38"/>
        <v>3170.5</v>
      </c>
      <c r="O123" s="73">
        <f t="shared" si="39"/>
        <v>3730</v>
      </c>
      <c r="P123" s="121">
        <f t="shared" si="40"/>
        <v>67.459913463985743</v>
      </c>
      <c r="Q123" s="74">
        <f t="shared" si="41"/>
        <v>0.15</v>
      </c>
      <c r="R123" s="75">
        <f t="shared" si="48"/>
        <v>559.5</v>
      </c>
      <c r="S123" s="74">
        <v>0.8</v>
      </c>
      <c r="T123" s="75">
        <f t="shared" si="43"/>
        <v>2984</v>
      </c>
      <c r="U123" s="76">
        <f t="shared" si="44"/>
        <v>4.9999999999999961E-2</v>
      </c>
      <c r="V123" s="69">
        <f t="shared" si="45"/>
        <v>186.49999999999986</v>
      </c>
      <c r="W123" s="77">
        <f ca="1">V123*VLOOKUP(TODAY(),'UF HOY'!$A$2:$B$36,2,0)</f>
        <v>7410379.8099999949</v>
      </c>
      <c r="X123" s="78">
        <f>Datos!$E$3</f>
        <v>15</v>
      </c>
      <c r="Y123" s="79">
        <f ca="1">IF((W123-1000000-Datos!$N$3)/X123&gt;0,(W123-1000000-Datos!$N$3)/X123,0)</f>
        <v>420691.987333333</v>
      </c>
      <c r="Z123" s="78">
        <f>Datos!$G$3</f>
        <v>15</v>
      </c>
      <c r="AA123" s="79">
        <f ca="1">IF((W123-1000000-Datos!$N$3)/Z123&gt;0,(W123-1000000-Datos!$N$3)/Z123,0)</f>
        <v>420691.987333333</v>
      </c>
      <c r="AB123" s="79">
        <f>IF(L123&gt;0,VLOOKUP(D123,Datos!$H$30:$J$33,3,0),VLOOKUP(D123,Datos!$H$30:$J$33,2,0))</f>
        <v>390000</v>
      </c>
      <c r="AC123" s="79">
        <f ca="1">(S123*PMT(Datos!$D$15,Datos!$D$13,-O123,,)*VLOOKUP(TODAY(),'UF HOY'!$A$2:$B$36,2,0)/12)</f>
        <v>571390.6653738434</v>
      </c>
      <c r="AD123" s="79">
        <f t="shared" ca="1" si="46"/>
        <v>-181390.6653738434</v>
      </c>
      <c r="AE123" s="220">
        <f t="shared" ca="1" si="47"/>
        <v>2285562.6614953736</v>
      </c>
      <c r="AF123" s="45"/>
    </row>
    <row r="124" spans="1:32" hidden="1">
      <c r="A124" s="66" t="s">
        <v>171</v>
      </c>
      <c r="B124" s="66">
        <v>1107</v>
      </c>
      <c r="C124" s="67" t="s">
        <v>103</v>
      </c>
      <c r="D124" s="67" t="s">
        <v>196</v>
      </c>
      <c r="E124" s="67"/>
      <c r="F124" s="66">
        <v>42.9</v>
      </c>
      <c r="G124" s="66">
        <v>11.95</v>
      </c>
      <c r="H124" s="67">
        <f t="shared" si="36"/>
        <v>48.875</v>
      </c>
      <c r="I124" s="68">
        <f t="shared" si="37"/>
        <v>54.849999999999994</v>
      </c>
      <c r="J124" s="69">
        <v>3760</v>
      </c>
      <c r="K124" s="70">
        <v>0</v>
      </c>
      <c r="L124" s="71">
        <v>400</v>
      </c>
      <c r="M124" s="71">
        <v>120</v>
      </c>
      <c r="N124" s="72">
        <f t="shared" si="38"/>
        <v>3638</v>
      </c>
      <c r="O124" s="73">
        <f t="shared" si="39"/>
        <v>4280</v>
      </c>
      <c r="P124" s="121">
        <f t="shared" si="40"/>
        <v>63.795396419437338</v>
      </c>
      <c r="Q124" s="74">
        <f t="shared" si="41"/>
        <v>0.15</v>
      </c>
      <c r="R124" s="75">
        <f t="shared" si="48"/>
        <v>642</v>
      </c>
      <c r="S124" s="74">
        <v>0.8</v>
      </c>
      <c r="T124" s="75">
        <f t="shared" si="43"/>
        <v>3424</v>
      </c>
      <c r="U124" s="76">
        <f t="shared" si="44"/>
        <v>4.9999999999999961E-2</v>
      </c>
      <c r="V124" s="69">
        <f t="shared" si="45"/>
        <v>213.99999999999983</v>
      </c>
      <c r="W124" s="77">
        <f ca="1">V124*VLOOKUP(TODAY(),'UF HOY'!$A$2:$B$36,2,0)</f>
        <v>8503063.1599999946</v>
      </c>
      <c r="X124" s="78">
        <f>Datos!$E$3</f>
        <v>15</v>
      </c>
      <c r="Y124" s="79">
        <f ca="1">IF((W124-1000000-Datos!$N$3)/X124&gt;0,(W124-1000000-Datos!$N$3)/X124,0)</f>
        <v>493537.54399999965</v>
      </c>
      <c r="Z124" s="78">
        <f>Datos!$G$3</f>
        <v>15</v>
      </c>
      <c r="AA124" s="79">
        <f ca="1">IF((W124-1000000-Datos!$N$3)/Z124&gt;0,(W124-1000000-Datos!$N$3)/Z124,0)</f>
        <v>493537.54399999965</v>
      </c>
      <c r="AB124" s="79">
        <f>IF(L124&gt;0,VLOOKUP(D124,Datos!$H$30:$J$33,3,0),VLOOKUP(D124,Datos!$H$30:$J$33,2,0))</f>
        <v>440000</v>
      </c>
      <c r="AC124" s="79">
        <f ca="1">(S124*PMT(Datos!$D$15,Datos!$D$13,-O124,,)*VLOOKUP(TODAY(),'UF HOY'!$A$2:$B$36,2,0)/12)</f>
        <v>655643.98064344493</v>
      </c>
      <c r="AD124" s="79">
        <f t="shared" ca="1" si="46"/>
        <v>-215643.98064344493</v>
      </c>
      <c r="AE124" s="220">
        <f t="shared" ca="1" si="47"/>
        <v>2622575.9225737797</v>
      </c>
      <c r="AF124" s="45"/>
    </row>
    <row r="125" spans="1:32" hidden="1">
      <c r="A125" s="66" t="s">
        <v>171</v>
      </c>
      <c r="B125" s="66">
        <v>1109</v>
      </c>
      <c r="C125" s="67" t="s">
        <v>103</v>
      </c>
      <c r="D125" s="67" t="s">
        <v>196</v>
      </c>
      <c r="E125" s="67"/>
      <c r="F125" s="66">
        <v>42.9</v>
      </c>
      <c r="G125" s="66">
        <v>12.54</v>
      </c>
      <c r="H125" s="67">
        <f t="shared" si="36"/>
        <v>49.17</v>
      </c>
      <c r="I125" s="68">
        <f t="shared" si="37"/>
        <v>55.44</v>
      </c>
      <c r="J125" s="69">
        <v>3770</v>
      </c>
      <c r="K125" s="70">
        <v>0</v>
      </c>
      <c r="L125" s="71">
        <v>400</v>
      </c>
      <c r="M125" s="71">
        <v>120</v>
      </c>
      <c r="N125" s="72">
        <f t="shared" si="38"/>
        <v>3646.5</v>
      </c>
      <c r="O125" s="73">
        <f t="shared" si="39"/>
        <v>4290</v>
      </c>
      <c r="P125" s="121">
        <f t="shared" si="40"/>
        <v>63.585519625788081</v>
      </c>
      <c r="Q125" s="74">
        <f t="shared" si="41"/>
        <v>0.15</v>
      </c>
      <c r="R125" s="75">
        <f t="shared" si="48"/>
        <v>643.5</v>
      </c>
      <c r="S125" s="74">
        <v>0.8</v>
      </c>
      <c r="T125" s="75">
        <f t="shared" si="43"/>
        <v>3432</v>
      </c>
      <c r="U125" s="76">
        <f t="shared" si="44"/>
        <v>4.9999999999999961E-2</v>
      </c>
      <c r="V125" s="69">
        <f t="shared" si="45"/>
        <v>214.49999999999983</v>
      </c>
      <c r="W125" s="77">
        <f ca="1">V125*VLOOKUP(TODAY(),'UF HOY'!$A$2:$B$36,2,0)</f>
        <v>8522930.1299999934</v>
      </c>
      <c r="X125" s="78">
        <f>Datos!$E$3</f>
        <v>15</v>
      </c>
      <c r="Y125" s="79">
        <f ca="1">IF((W125-1000000-Datos!$N$3)/X125&gt;0,(W125-1000000-Datos!$N$3)/X125,0)</f>
        <v>494862.00866666622</v>
      </c>
      <c r="Z125" s="78">
        <f>Datos!$G$3</f>
        <v>15</v>
      </c>
      <c r="AA125" s="79">
        <f ca="1">IF((W125-1000000-Datos!$N$3)/Z125&gt;0,(W125-1000000-Datos!$N$3)/Z125,0)</f>
        <v>494862.00866666622</v>
      </c>
      <c r="AB125" s="79">
        <f>IF(L125&gt;0,VLOOKUP(D125,Datos!$H$30:$J$33,3,0),VLOOKUP(D125,Datos!$H$30:$J$33,2,0))</f>
        <v>440000</v>
      </c>
      <c r="AC125" s="79">
        <f ca="1">(S125*PMT(Datos!$D$15,Datos!$D$13,-O125,,)*VLOOKUP(TODAY(),'UF HOY'!$A$2:$B$36,2,0)/12)</f>
        <v>657175.85910289222</v>
      </c>
      <c r="AD125" s="79">
        <f t="shared" ca="1" si="46"/>
        <v>-217175.85910289222</v>
      </c>
      <c r="AE125" s="220">
        <f t="shared" ca="1" si="47"/>
        <v>2628703.4364115689</v>
      </c>
      <c r="AF125" s="45"/>
    </row>
    <row r="126" spans="1:32" hidden="1">
      <c r="A126" s="66" t="s">
        <v>171</v>
      </c>
      <c r="B126" s="66">
        <v>1110</v>
      </c>
      <c r="C126" s="67" t="s">
        <v>121</v>
      </c>
      <c r="D126" s="67" t="s">
        <v>194</v>
      </c>
      <c r="E126" s="67"/>
      <c r="F126" s="66">
        <v>53.54</v>
      </c>
      <c r="G126" s="66">
        <v>5.3</v>
      </c>
      <c r="H126" s="67">
        <f t="shared" si="36"/>
        <v>56.19</v>
      </c>
      <c r="I126" s="68">
        <f t="shared" si="37"/>
        <v>58.839999999999996</v>
      </c>
      <c r="J126" s="69">
        <v>4010</v>
      </c>
      <c r="K126" s="70">
        <v>0</v>
      </c>
      <c r="L126" s="71">
        <v>400</v>
      </c>
      <c r="M126" s="71">
        <v>130</v>
      </c>
      <c r="N126" s="72">
        <f t="shared" si="38"/>
        <v>3859</v>
      </c>
      <c r="O126" s="73">
        <f t="shared" si="39"/>
        <v>4540</v>
      </c>
      <c r="P126" s="121">
        <f t="shared" si="40"/>
        <v>59.245417334045207</v>
      </c>
      <c r="Q126" s="74">
        <f t="shared" si="41"/>
        <v>0.15</v>
      </c>
      <c r="R126" s="75">
        <f t="shared" si="48"/>
        <v>681</v>
      </c>
      <c r="S126" s="74">
        <v>0.8</v>
      </c>
      <c r="T126" s="75">
        <f t="shared" si="43"/>
        <v>3632</v>
      </c>
      <c r="U126" s="76">
        <f t="shared" si="44"/>
        <v>4.9999999999999961E-2</v>
      </c>
      <c r="V126" s="69">
        <f t="shared" si="45"/>
        <v>226.99999999999983</v>
      </c>
      <c r="W126" s="77">
        <f ca="1">V126*VLOOKUP(TODAY(),'UF HOY'!$A$2:$B$36,2,0)</f>
        <v>9019604.3799999934</v>
      </c>
      <c r="X126" s="78">
        <f>Datos!$E$3</f>
        <v>15</v>
      </c>
      <c r="Y126" s="79">
        <f ca="1">IF((W126-1000000-Datos!$N$3)/X126&gt;0,(W126-1000000-Datos!$N$3)/X126,0)</f>
        <v>527973.62533333292</v>
      </c>
      <c r="Z126" s="78">
        <f>Datos!$G$3</f>
        <v>15</v>
      </c>
      <c r="AA126" s="79">
        <f ca="1">IF((W126-1000000-Datos!$N$3)/Z126&gt;0,(W126-1000000-Datos!$N$3)/Z126,0)</f>
        <v>527973.62533333292</v>
      </c>
      <c r="AB126" s="79">
        <f>IF(L126&gt;0,VLOOKUP(D126,Datos!$H$30:$J$33,3,0),VLOOKUP(D126,Datos!$H$30:$J$33,2,0))</f>
        <v>490000</v>
      </c>
      <c r="AC126" s="79">
        <f ca="1">(S126*PMT(Datos!$D$15,Datos!$D$13,-O126,,)*VLOOKUP(TODAY(),'UF HOY'!$A$2:$B$36,2,0)/12)</f>
        <v>695472.82058907475</v>
      </c>
      <c r="AD126" s="79">
        <f t="shared" ca="1" si="46"/>
        <v>-205472.82058907475</v>
      </c>
      <c r="AE126" s="220">
        <f t="shared" ca="1" si="47"/>
        <v>2781891.282356299</v>
      </c>
      <c r="AF126" s="45"/>
    </row>
    <row r="127" spans="1:32" ht="14.25" hidden="1" customHeight="1">
      <c r="A127" s="66" t="s">
        <v>223</v>
      </c>
      <c r="B127" s="66">
        <v>1111</v>
      </c>
      <c r="C127" s="67" t="s">
        <v>129</v>
      </c>
      <c r="D127" s="67" t="s">
        <v>195</v>
      </c>
      <c r="E127" s="67"/>
      <c r="F127" s="66">
        <v>33.36</v>
      </c>
      <c r="G127" s="66">
        <v>9.1999999999999993</v>
      </c>
      <c r="H127" s="67">
        <f t="shared" si="36"/>
        <v>37.96</v>
      </c>
      <c r="I127" s="68">
        <f t="shared" si="37"/>
        <v>42.56</v>
      </c>
      <c r="J127" s="69">
        <v>2940</v>
      </c>
      <c r="K127" s="70">
        <v>0</v>
      </c>
      <c r="L127" s="71">
        <v>400</v>
      </c>
      <c r="M127" s="71">
        <v>130</v>
      </c>
      <c r="N127" s="69">
        <f t="shared" si="38"/>
        <v>3123</v>
      </c>
      <c r="O127" s="73">
        <f t="shared" si="39"/>
        <v>3470</v>
      </c>
      <c r="P127" s="121">
        <f t="shared" si="40"/>
        <v>68.308746048472074</v>
      </c>
      <c r="Q127" s="74">
        <f t="shared" si="41"/>
        <v>0.1</v>
      </c>
      <c r="R127" s="75">
        <f>O127*0.1</f>
        <v>347</v>
      </c>
      <c r="S127" s="74">
        <v>0.8</v>
      </c>
      <c r="T127" s="87">
        <f t="shared" si="43"/>
        <v>2776</v>
      </c>
      <c r="U127" s="88">
        <f t="shared" si="44"/>
        <v>9.999999999999995E-2</v>
      </c>
      <c r="V127" s="69">
        <f t="shared" si="45"/>
        <v>346.99999999999983</v>
      </c>
      <c r="W127" s="89">
        <f ca="1">V127*VLOOKUP(TODAY(),'UF HOY'!$A$2:$B$36,2,0)</f>
        <v>13787677.179999994</v>
      </c>
      <c r="X127" s="78">
        <f>Datos!$E$3</f>
        <v>15</v>
      </c>
      <c r="Y127" s="79">
        <f ca="1">IF((W127-1000000-Datos!$N$3)/X127&gt;0,(W127-1000000-Datos!$N$3)/X127,0)</f>
        <v>845845.14533333294</v>
      </c>
      <c r="Z127" s="78">
        <f>Datos!$G$3</f>
        <v>15</v>
      </c>
      <c r="AA127" s="79">
        <f ca="1">IF((W127-1000000-Datos!$N$3)/Z127&gt;0,(W127-1000000-Datos!$N$3)/Z127,0)</f>
        <v>845845.14533333294</v>
      </c>
      <c r="AB127" s="79">
        <f>IF(L127&gt;0,VLOOKUP(D127,Datos!$H$30:$J$33,3,0),VLOOKUP(D127,Datos!$H$30:$J$33,2,0))</f>
        <v>390000</v>
      </c>
      <c r="AC127" s="79">
        <f ca="1">(S127*PMT(Datos!$D$15,Datos!$D$13,-O127,,)*VLOOKUP(TODAY(),'UF HOY'!$A$2:$B$36,2,0)/12)</f>
        <v>531561.82542821357</v>
      </c>
      <c r="AD127" s="89">
        <f t="shared" ca="1" si="46"/>
        <v>-141561.82542821357</v>
      </c>
      <c r="AE127" s="220">
        <f t="shared" ca="1" si="47"/>
        <v>2126247.3017128543</v>
      </c>
      <c r="AF127" s="45"/>
    </row>
    <row r="128" spans="1:32" hidden="1">
      <c r="A128" s="66" t="s">
        <v>171</v>
      </c>
      <c r="B128" s="66">
        <v>1113</v>
      </c>
      <c r="C128" s="67" t="s">
        <v>129</v>
      </c>
      <c r="D128" s="67" t="s">
        <v>195</v>
      </c>
      <c r="E128" s="67"/>
      <c r="F128" s="66">
        <v>33.53</v>
      </c>
      <c r="G128" s="66">
        <v>9.1199999999999992</v>
      </c>
      <c r="H128" s="67">
        <f t="shared" si="36"/>
        <v>38.090000000000003</v>
      </c>
      <c r="I128" s="68">
        <f t="shared" si="37"/>
        <v>42.65</v>
      </c>
      <c r="J128" s="69">
        <v>3040</v>
      </c>
      <c r="K128" s="70">
        <v>0</v>
      </c>
      <c r="L128" s="71">
        <v>400</v>
      </c>
      <c r="M128" s="71">
        <v>0</v>
      </c>
      <c r="N128" s="72">
        <f t="shared" si="38"/>
        <v>2924</v>
      </c>
      <c r="O128" s="73">
        <f t="shared" si="39"/>
        <v>3440</v>
      </c>
      <c r="P128" s="121">
        <f t="shared" si="40"/>
        <v>66.264111315305854</v>
      </c>
      <c r="Q128" s="74">
        <f t="shared" si="41"/>
        <v>0.15</v>
      </c>
      <c r="R128" s="75">
        <f t="shared" ref="R128:R140" si="49">O128*0.15</f>
        <v>516</v>
      </c>
      <c r="S128" s="74">
        <v>0.8</v>
      </c>
      <c r="T128" s="75">
        <f t="shared" si="43"/>
        <v>2752</v>
      </c>
      <c r="U128" s="76">
        <f t="shared" si="44"/>
        <v>4.9999999999999961E-2</v>
      </c>
      <c r="V128" s="69">
        <f t="shared" si="45"/>
        <v>171.99999999999986</v>
      </c>
      <c r="W128" s="77">
        <f ca="1">V128*VLOOKUP(TODAY(),'UF HOY'!$A$2:$B$36,2,0)</f>
        <v>6834237.679999995</v>
      </c>
      <c r="X128" s="78">
        <f>Datos!$E$3</f>
        <v>15</v>
      </c>
      <c r="Y128" s="79">
        <f ca="1">IF((W128-1000000-Datos!$N$3)/X128&gt;0,(W128-1000000-Datos!$N$3)/X128,0)</f>
        <v>382282.5119999997</v>
      </c>
      <c r="Z128" s="78">
        <f>Datos!$G$3</f>
        <v>15</v>
      </c>
      <c r="AA128" s="79">
        <f ca="1">IF((W128-1000000-Datos!$N$3)/Z128&gt;0,(W128-1000000-Datos!$N$3)/Z128,0)</f>
        <v>382282.5119999997</v>
      </c>
      <c r="AB128" s="79">
        <f>IF(L128&gt;0,VLOOKUP(D128,Datos!$H$30:$J$33,3,0),VLOOKUP(D128,Datos!$H$30:$J$33,2,0))</f>
        <v>390000</v>
      </c>
      <c r="AC128" s="79">
        <f ca="1">(S128*PMT(Datos!$D$15,Datos!$D$13,-O128,,)*VLOOKUP(TODAY(),'UF HOY'!$A$2:$B$36,2,0)/12)</f>
        <v>526966.19004987169</v>
      </c>
      <c r="AD128" s="79">
        <f t="shared" ca="1" si="46"/>
        <v>-136966.19004987169</v>
      </c>
      <c r="AE128" s="220">
        <f t="shared" ca="1" si="47"/>
        <v>2107864.7601994867</v>
      </c>
      <c r="AF128" s="45"/>
    </row>
    <row r="129" spans="1:32" hidden="1">
      <c r="A129" s="66" t="s">
        <v>171</v>
      </c>
      <c r="B129" s="66">
        <v>1114</v>
      </c>
      <c r="C129" s="67" t="s">
        <v>122</v>
      </c>
      <c r="D129" s="67" t="s">
        <v>195</v>
      </c>
      <c r="E129" s="67"/>
      <c r="F129" s="66">
        <v>36.56</v>
      </c>
      <c r="G129" s="66">
        <v>4.9800000000000004</v>
      </c>
      <c r="H129" s="67">
        <f t="shared" si="36"/>
        <v>39.050000000000004</v>
      </c>
      <c r="I129" s="68">
        <f t="shared" si="37"/>
        <v>41.540000000000006</v>
      </c>
      <c r="J129" s="69">
        <v>3120</v>
      </c>
      <c r="K129" s="70">
        <v>0</v>
      </c>
      <c r="L129" s="71">
        <v>0</v>
      </c>
      <c r="M129" s="71">
        <v>0</v>
      </c>
      <c r="N129" s="69">
        <f t="shared" si="38"/>
        <v>2652</v>
      </c>
      <c r="O129" s="73">
        <f t="shared" si="39"/>
        <v>3120</v>
      </c>
      <c r="P129" s="121">
        <f t="shared" si="40"/>
        <v>67.912932138284248</v>
      </c>
      <c r="Q129" s="74">
        <f t="shared" si="41"/>
        <v>0.15</v>
      </c>
      <c r="R129" s="75">
        <f t="shared" si="49"/>
        <v>468</v>
      </c>
      <c r="S129" s="74">
        <v>0.8</v>
      </c>
      <c r="T129" s="87">
        <f t="shared" si="43"/>
        <v>2496</v>
      </c>
      <c r="U129" s="88">
        <f t="shared" si="44"/>
        <v>4.9999999999999961E-2</v>
      </c>
      <c r="V129" s="69">
        <f t="shared" si="45"/>
        <v>155.99999999999989</v>
      </c>
      <c r="W129" s="89">
        <f ca="1">V129*VLOOKUP(TODAY(),'UF HOY'!$A$2:$B$36,2,0)</f>
        <v>6198494.6399999959</v>
      </c>
      <c r="X129" s="78">
        <f>Datos!$E$3</f>
        <v>15</v>
      </c>
      <c r="Y129" s="79">
        <f ca="1">IF((W129-1000000-Datos!$N$3)/X129&gt;0,(W129-1000000-Datos!$N$3)/X129,0)</f>
        <v>339899.64266666642</v>
      </c>
      <c r="Z129" s="78">
        <f>Datos!$G$3</f>
        <v>15</v>
      </c>
      <c r="AA129" s="79">
        <f ca="1">IF((W129-1000000-Datos!$N$3)/Z129&gt;0,(W129-1000000-Datos!$N$3)/Z129,0)</f>
        <v>339899.64266666642</v>
      </c>
      <c r="AB129" s="79">
        <f>IF(L129&gt;0,VLOOKUP(D129,Datos!$H$30:$J$33,3,0),VLOOKUP(D129,Datos!$H$30:$J$33,2,0))</f>
        <v>350000</v>
      </c>
      <c r="AC129" s="79">
        <f ca="1">(S129*PMT(Datos!$D$15,Datos!$D$13,-O129,,)*VLOOKUP(TODAY(),'UF HOY'!$A$2:$B$36,2,0)/12)</f>
        <v>477946.07934755791</v>
      </c>
      <c r="AD129" s="89">
        <f t="shared" ca="1" si="46"/>
        <v>-127946.07934755791</v>
      </c>
      <c r="AE129" s="220">
        <f t="shared" ca="1" si="47"/>
        <v>1911784.3173902316</v>
      </c>
      <c r="AF129" s="45"/>
    </row>
    <row r="130" spans="1:32" hidden="1">
      <c r="A130" s="66" t="s">
        <v>171</v>
      </c>
      <c r="B130" s="66">
        <v>1115</v>
      </c>
      <c r="C130" s="67" t="s">
        <v>123</v>
      </c>
      <c r="D130" s="67" t="s">
        <v>195</v>
      </c>
      <c r="E130" s="67"/>
      <c r="F130" s="66">
        <v>36.53</v>
      </c>
      <c r="G130" s="66">
        <v>4.8499999999999996</v>
      </c>
      <c r="H130" s="67">
        <f t="shared" ref="H130:H146" si="50">F130+G130/2</f>
        <v>38.954999999999998</v>
      </c>
      <c r="I130" s="68">
        <f t="shared" ref="I130:I146" si="51">F130+G130</f>
        <v>41.38</v>
      </c>
      <c r="J130" s="69">
        <v>3190</v>
      </c>
      <c r="K130" s="70">
        <v>0</v>
      </c>
      <c r="L130" s="71">
        <v>0</v>
      </c>
      <c r="M130" s="71">
        <v>0</v>
      </c>
      <c r="N130" s="72">
        <f t="shared" ref="N130:N146" si="52">O130-R130</f>
        <v>2711.5</v>
      </c>
      <c r="O130" s="73">
        <f t="shared" ref="O130:O146" si="53">J130*(100%-K130)+L130+M130</f>
        <v>3190</v>
      </c>
      <c r="P130" s="121">
        <f t="shared" ref="P130:P146" si="54">(N130-L130-M130)/H130</f>
        <v>69.605955589783079</v>
      </c>
      <c r="Q130" s="74">
        <f t="shared" ref="Q130:Q146" si="55">R130/O130</f>
        <v>0.15</v>
      </c>
      <c r="R130" s="75">
        <f t="shared" si="49"/>
        <v>478.5</v>
      </c>
      <c r="S130" s="74">
        <v>0.8</v>
      </c>
      <c r="T130" s="75">
        <f t="shared" ref="T130:T146" si="56">S130*O130</f>
        <v>2552</v>
      </c>
      <c r="U130" s="76">
        <f t="shared" ref="U130:U146" si="57">100%-S130-Q130</f>
        <v>4.9999999999999961E-2</v>
      </c>
      <c r="V130" s="69">
        <f t="shared" ref="V130:V146" si="58">O130*U130</f>
        <v>159.49999999999989</v>
      </c>
      <c r="W130" s="77">
        <f ca="1">V130*VLOOKUP(TODAY(),'UF HOY'!$A$2:$B$36,2,0)</f>
        <v>6337563.429999996</v>
      </c>
      <c r="X130" s="78">
        <f>Datos!$E$3</f>
        <v>15</v>
      </c>
      <c r="Y130" s="79">
        <f ca="1">IF((W130-1000000-Datos!$N$3)/X130&gt;0,(W130-1000000-Datos!$N$3)/X130,0)</f>
        <v>349170.89533333306</v>
      </c>
      <c r="Z130" s="78">
        <f>Datos!$G$3</f>
        <v>15</v>
      </c>
      <c r="AA130" s="79">
        <f ca="1">IF((W130-1000000-Datos!$N$3)/Z130&gt;0,(W130-1000000-Datos!$N$3)/Z130,0)</f>
        <v>349170.89533333306</v>
      </c>
      <c r="AB130" s="79">
        <f>IF(L130&gt;0,VLOOKUP(D130,Datos!$H$30:$J$33,3,0),VLOOKUP(D130,Datos!$H$30:$J$33,2,0))</f>
        <v>350000</v>
      </c>
      <c r="AC130" s="79">
        <f ca="1">(S130*PMT(Datos!$D$15,Datos!$D$13,-O130,,)*VLOOKUP(TODAY(),'UF HOY'!$A$2:$B$36,2,0)/12)</f>
        <v>488669.2285636891</v>
      </c>
      <c r="AD130" s="79">
        <f t="shared" ref="AD130:AD146" ca="1" si="59">AB130-AC130</f>
        <v>-138669.2285636891</v>
      </c>
      <c r="AE130" s="220">
        <f t="shared" ref="AE130:AE146" ca="1" si="60">AC130/0.25</f>
        <v>1954676.9142547564</v>
      </c>
      <c r="AF130" s="45"/>
    </row>
    <row r="131" spans="1:32" hidden="1">
      <c r="A131" s="66" t="s">
        <v>171</v>
      </c>
      <c r="B131" s="66">
        <v>1116</v>
      </c>
      <c r="C131" s="67" t="s">
        <v>130</v>
      </c>
      <c r="D131" s="67" t="s">
        <v>194</v>
      </c>
      <c r="E131" s="67"/>
      <c r="F131" s="66">
        <v>49.27</v>
      </c>
      <c r="G131" s="66">
        <v>8.8000000000000007</v>
      </c>
      <c r="H131" s="67">
        <f t="shared" si="50"/>
        <v>53.67</v>
      </c>
      <c r="I131" s="68">
        <f t="shared" si="51"/>
        <v>58.070000000000007</v>
      </c>
      <c r="J131" s="69">
        <v>4000</v>
      </c>
      <c r="K131" s="70">
        <v>0</v>
      </c>
      <c r="L131" s="71">
        <v>400</v>
      </c>
      <c r="M131" s="71">
        <v>130</v>
      </c>
      <c r="N131" s="72">
        <f t="shared" si="52"/>
        <v>3850.5</v>
      </c>
      <c r="O131" s="73">
        <f t="shared" si="53"/>
        <v>4530</v>
      </c>
      <c r="P131" s="121">
        <f t="shared" si="54"/>
        <v>61.86882802310415</v>
      </c>
      <c r="Q131" s="74">
        <f t="shared" si="55"/>
        <v>0.15</v>
      </c>
      <c r="R131" s="75">
        <f t="shared" si="49"/>
        <v>679.5</v>
      </c>
      <c r="S131" s="74">
        <v>0.8</v>
      </c>
      <c r="T131" s="75">
        <f t="shared" si="56"/>
        <v>3624</v>
      </c>
      <c r="U131" s="76">
        <f t="shared" si="57"/>
        <v>4.9999999999999961E-2</v>
      </c>
      <c r="V131" s="69">
        <f t="shared" si="58"/>
        <v>226.49999999999983</v>
      </c>
      <c r="W131" s="77">
        <f ca="1">V131*VLOOKUP(TODAY(),'UF HOY'!$A$2:$B$36,2,0)</f>
        <v>8999737.4099999946</v>
      </c>
      <c r="X131" s="78">
        <f>Datos!$E$3</f>
        <v>15</v>
      </c>
      <c r="Y131" s="79">
        <f ca="1">IF((W131-1000000-Datos!$N$3)/X131&gt;0,(W131-1000000-Datos!$N$3)/X131,0)</f>
        <v>526649.16066666634</v>
      </c>
      <c r="Z131" s="78">
        <f>Datos!$G$3</f>
        <v>15</v>
      </c>
      <c r="AA131" s="79">
        <f ca="1">IF((W131-1000000-Datos!$N$3)/Z131&gt;0,(W131-1000000-Datos!$N$3)/Z131,0)</f>
        <v>526649.16066666634</v>
      </c>
      <c r="AB131" s="79">
        <f>IF(L131&gt;0,VLOOKUP(D131,Datos!$H$30:$J$33,3,0),VLOOKUP(D131,Datos!$H$30:$J$33,2,0))</f>
        <v>490000</v>
      </c>
      <c r="AC131" s="79">
        <f ca="1">(S131*PMT(Datos!$D$15,Datos!$D$13,-O131,,)*VLOOKUP(TODAY(),'UF HOY'!$A$2:$B$36,2,0)/12)</f>
        <v>693940.94212962734</v>
      </c>
      <c r="AD131" s="79">
        <f t="shared" ca="1" si="59"/>
        <v>-203940.94212962734</v>
      </c>
      <c r="AE131" s="220">
        <f t="shared" ca="1" si="60"/>
        <v>2775763.7685185093</v>
      </c>
      <c r="AF131" s="45"/>
    </row>
    <row r="132" spans="1:32" hidden="1">
      <c r="A132" s="66" t="s">
        <v>171</v>
      </c>
      <c r="B132" s="66">
        <v>1201</v>
      </c>
      <c r="C132" s="67" t="s">
        <v>131</v>
      </c>
      <c r="D132" s="67" t="s">
        <v>196</v>
      </c>
      <c r="E132" s="67"/>
      <c r="F132" s="66">
        <v>46.09</v>
      </c>
      <c r="G132" s="66">
        <v>4.8899999999999997</v>
      </c>
      <c r="H132" s="67">
        <f t="shared" si="50"/>
        <v>48.535000000000004</v>
      </c>
      <c r="I132" s="68">
        <f t="shared" si="51"/>
        <v>50.980000000000004</v>
      </c>
      <c r="J132" s="69">
        <v>3650</v>
      </c>
      <c r="K132" s="70">
        <v>0</v>
      </c>
      <c r="L132" s="71">
        <v>400</v>
      </c>
      <c r="M132" s="71">
        <v>120</v>
      </c>
      <c r="N132" s="72">
        <f t="shared" si="52"/>
        <v>3544.5</v>
      </c>
      <c r="O132" s="73">
        <f t="shared" si="53"/>
        <v>4170</v>
      </c>
      <c r="P132" s="121">
        <f t="shared" si="54"/>
        <v>62.315854537962288</v>
      </c>
      <c r="Q132" s="74">
        <f t="shared" si="55"/>
        <v>0.15</v>
      </c>
      <c r="R132" s="75">
        <f t="shared" si="49"/>
        <v>625.5</v>
      </c>
      <c r="S132" s="74">
        <v>0.8</v>
      </c>
      <c r="T132" s="75">
        <f t="shared" si="56"/>
        <v>3336</v>
      </c>
      <c r="U132" s="76">
        <f t="shared" si="57"/>
        <v>4.9999999999999961E-2</v>
      </c>
      <c r="V132" s="69">
        <f t="shared" si="58"/>
        <v>208.49999999999983</v>
      </c>
      <c r="W132" s="77">
        <f ca="1">V132*VLOOKUP(TODAY(),'UF HOY'!$A$2:$B$36,2,0)</f>
        <v>8284526.4899999937</v>
      </c>
      <c r="X132" s="78">
        <f>Datos!$E$3</f>
        <v>15</v>
      </c>
      <c r="Y132" s="79">
        <f ca="1">IF((W132-1000000-Datos!$N$3)/X132&gt;0,(W132-1000000-Datos!$N$3)/X132,0)</f>
        <v>478968.43266666622</v>
      </c>
      <c r="Z132" s="78">
        <f>Datos!$G$3</f>
        <v>15</v>
      </c>
      <c r="AA132" s="79">
        <f ca="1">IF((W132-1000000-Datos!$N$3)/Z132&gt;0,(W132-1000000-Datos!$N$3)/Z132,0)</f>
        <v>478968.43266666622</v>
      </c>
      <c r="AB132" s="79">
        <f>IF(L132&gt;0,VLOOKUP(D132,Datos!$H$30:$J$33,3,0),VLOOKUP(D132,Datos!$H$30:$J$33,2,0))</f>
        <v>440000</v>
      </c>
      <c r="AC132" s="79">
        <f ca="1">(S132*PMT(Datos!$D$15,Datos!$D$13,-O132,,)*VLOOKUP(TODAY(),'UF HOY'!$A$2:$B$36,2,0)/12)</f>
        <v>638793.31758952467</v>
      </c>
      <c r="AD132" s="79">
        <f t="shared" ca="1" si="59"/>
        <v>-198793.31758952467</v>
      </c>
      <c r="AE132" s="220">
        <f t="shared" ca="1" si="60"/>
        <v>2555173.2703580987</v>
      </c>
      <c r="AF132" s="45"/>
    </row>
    <row r="133" spans="1:32" hidden="1">
      <c r="A133" s="66" t="s">
        <v>171</v>
      </c>
      <c r="B133" s="66">
        <v>1202</v>
      </c>
      <c r="C133" s="67" t="s">
        <v>131</v>
      </c>
      <c r="D133" s="67" t="s">
        <v>194</v>
      </c>
      <c r="E133" s="67"/>
      <c r="F133" s="66">
        <v>48.16</v>
      </c>
      <c r="G133" s="66">
        <v>12.72</v>
      </c>
      <c r="H133" s="67">
        <f t="shared" si="50"/>
        <v>54.519999999999996</v>
      </c>
      <c r="I133" s="68">
        <f t="shared" si="51"/>
        <v>60.879999999999995</v>
      </c>
      <c r="J133" s="69">
        <v>3970</v>
      </c>
      <c r="K133" s="70">
        <v>0</v>
      </c>
      <c r="L133" s="71">
        <v>400</v>
      </c>
      <c r="M133" s="71">
        <v>130</v>
      </c>
      <c r="N133" s="72">
        <f t="shared" si="52"/>
        <v>3825</v>
      </c>
      <c r="O133" s="73">
        <f t="shared" si="53"/>
        <v>4500</v>
      </c>
      <c r="P133" s="121">
        <f t="shared" si="54"/>
        <v>60.436537050623627</v>
      </c>
      <c r="Q133" s="74">
        <f t="shared" si="55"/>
        <v>0.15</v>
      </c>
      <c r="R133" s="75">
        <f t="shared" si="49"/>
        <v>675</v>
      </c>
      <c r="S133" s="74">
        <v>0.8</v>
      </c>
      <c r="T133" s="75">
        <f t="shared" si="56"/>
        <v>3600</v>
      </c>
      <c r="U133" s="76">
        <f t="shared" si="57"/>
        <v>4.9999999999999961E-2</v>
      </c>
      <c r="V133" s="69">
        <f t="shared" si="58"/>
        <v>224.99999999999983</v>
      </c>
      <c r="W133" s="77">
        <f ca="1">V133*VLOOKUP(TODAY(),'UF HOY'!$A$2:$B$36,2,0)</f>
        <v>8940136.4999999944</v>
      </c>
      <c r="X133" s="78">
        <f>Datos!$E$3</f>
        <v>15</v>
      </c>
      <c r="Y133" s="79">
        <f ca="1">IF((W133-1000000-Datos!$N$3)/X133&gt;0,(W133-1000000-Datos!$N$3)/X133,0)</f>
        <v>522675.76666666631</v>
      </c>
      <c r="Z133" s="78">
        <f>Datos!$G$3</f>
        <v>15</v>
      </c>
      <c r="AA133" s="79">
        <f ca="1">IF((W133-1000000-Datos!$N$3)/Z133&gt;0,(W133-1000000-Datos!$N$3)/Z133,0)</f>
        <v>522675.76666666631</v>
      </c>
      <c r="AB133" s="79">
        <f>IF(L133&gt;0,VLOOKUP(D133,Datos!$H$30:$J$33,3,0),VLOOKUP(D133,Datos!$H$30:$J$33,2,0))</f>
        <v>490000</v>
      </c>
      <c r="AC133" s="79">
        <f ca="1">(S133*PMT(Datos!$D$15,Datos!$D$13,-O133,,)*VLOOKUP(TODAY(),'UF HOY'!$A$2:$B$36,2,0)/12)</f>
        <v>689345.30675128545</v>
      </c>
      <c r="AD133" s="79">
        <f t="shared" ca="1" si="59"/>
        <v>-199345.30675128545</v>
      </c>
      <c r="AE133" s="220">
        <f t="shared" ca="1" si="60"/>
        <v>2757381.2270051418</v>
      </c>
      <c r="AF133" s="45"/>
    </row>
    <row r="134" spans="1:32" hidden="1">
      <c r="A134" s="66" t="s">
        <v>171</v>
      </c>
      <c r="B134" s="66">
        <v>1204</v>
      </c>
      <c r="C134" s="67" t="s">
        <v>123</v>
      </c>
      <c r="D134" s="67" t="s">
        <v>195</v>
      </c>
      <c r="E134" s="67"/>
      <c r="F134" s="66">
        <v>36.549999999999997</v>
      </c>
      <c r="G134" s="66">
        <v>4.92</v>
      </c>
      <c r="H134" s="67">
        <f t="shared" si="50"/>
        <v>39.01</v>
      </c>
      <c r="I134" s="68">
        <f t="shared" si="51"/>
        <v>41.47</v>
      </c>
      <c r="J134" s="69">
        <v>3150</v>
      </c>
      <c r="K134" s="70">
        <v>0</v>
      </c>
      <c r="L134" s="71">
        <v>0</v>
      </c>
      <c r="M134" s="71">
        <v>0</v>
      </c>
      <c r="N134" s="72">
        <f t="shared" si="52"/>
        <v>2677.5</v>
      </c>
      <c r="O134" s="73">
        <f t="shared" si="53"/>
        <v>3150</v>
      </c>
      <c r="P134" s="121">
        <f t="shared" si="54"/>
        <v>68.636247116124068</v>
      </c>
      <c r="Q134" s="74">
        <f t="shared" si="55"/>
        <v>0.15</v>
      </c>
      <c r="R134" s="75">
        <f t="shared" si="49"/>
        <v>472.5</v>
      </c>
      <c r="S134" s="74">
        <v>0.8</v>
      </c>
      <c r="T134" s="75">
        <f t="shared" si="56"/>
        <v>2520</v>
      </c>
      <c r="U134" s="76">
        <f t="shared" si="57"/>
        <v>4.9999999999999961E-2</v>
      </c>
      <c r="V134" s="69">
        <f t="shared" si="58"/>
        <v>157.49999999999989</v>
      </c>
      <c r="W134" s="77">
        <f ca="1">V134*VLOOKUP(TODAY(),'UF HOY'!$A$2:$B$36,2,0)</f>
        <v>6258095.5499999961</v>
      </c>
      <c r="X134" s="78">
        <f>Datos!$E$3</f>
        <v>15</v>
      </c>
      <c r="Y134" s="79">
        <f ca="1">IF((W134-1000000-Datos!$N$3)/X134&gt;0,(W134-1000000-Datos!$N$3)/X134,0)</f>
        <v>343873.03666666639</v>
      </c>
      <c r="Z134" s="78">
        <f>Datos!$G$3</f>
        <v>15</v>
      </c>
      <c r="AA134" s="79">
        <f ca="1">IF((W134-1000000-Datos!$N$3)/Z134&gt;0,(W134-1000000-Datos!$N$3)/Z134,0)</f>
        <v>343873.03666666639</v>
      </c>
      <c r="AB134" s="79">
        <f>IF(L134&gt;0,VLOOKUP(D134,Datos!$H$30:$J$33,3,0),VLOOKUP(D134,Datos!$H$30:$J$33,2,0))</f>
        <v>350000</v>
      </c>
      <c r="AC134" s="79">
        <f ca="1">(S134*PMT(Datos!$D$15,Datos!$D$13,-O134,,)*VLOOKUP(TODAY(),'UF HOY'!$A$2:$B$36,2,0)/12)</f>
        <v>482541.71472589998</v>
      </c>
      <c r="AD134" s="79">
        <f t="shared" ca="1" si="59"/>
        <v>-132541.71472589998</v>
      </c>
      <c r="AE134" s="220">
        <f t="shared" ca="1" si="60"/>
        <v>1930166.8589035999</v>
      </c>
      <c r="AF134" s="45"/>
    </row>
    <row r="135" spans="1:32" hidden="1">
      <c r="A135" s="66" t="s">
        <v>171</v>
      </c>
      <c r="B135" s="66">
        <v>1205</v>
      </c>
      <c r="C135" s="67" t="s">
        <v>124</v>
      </c>
      <c r="D135" s="67" t="s">
        <v>195</v>
      </c>
      <c r="E135" s="67"/>
      <c r="F135" s="66">
        <v>36.549999999999997</v>
      </c>
      <c r="G135" s="66">
        <v>5.48</v>
      </c>
      <c r="H135" s="67">
        <f t="shared" si="50"/>
        <v>39.29</v>
      </c>
      <c r="I135" s="68">
        <f t="shared" si="51"/>
        <v>42.03</v>
      </c>
      <c r="J135" s="69">
        <v>3210</v>
      </c>
      <c r="K135" s="70">
        <v>0</v>
      </c>
      <c r="L135" s="71">
        <v>0</v>
      </c>
      <c r="M135" s="71">
        <v>120</v>
      </c>
      <c r="N135" s="72">
        <f t="shared" si="52"/>
        <v>2830.5</v>
      </c>
      <c r="O135" s="73">
        <f t="shared" si="53"/>
        <v>3330</v>
      </c>
      <c r="P135" s="121">
        <f t="shared" si="54"/>
        <v>68.987019597862059</v>
      </c>
      <c r="Q135" s="74">
        <f t="shared" si="55"/>
        <v>0.15</v>
      </c>
      <c r="R135" s="75">
        <f t="shared" si="49"/>
        <v>499.5</v>
      </c>
      <c r="S135" s="74">
        <v>0.8</v>
      </c>
      <c r="T135" s="75">
        <f t="shared" si="56"/>
        <v>2664</v>
      </c>
      <c r="U135" s="76">
        <f t="shared" si="57"/>
        <v>4.9999999999999961E-2</v>
      </c>
      <c r="V135" s="69">
        <f t="shared" si="58"/>
        <v>166.49999999999986</v>
      </c>
      <c r="W135" s="77">
        <f ca="1">V135*VLOOKUP(TODAY(),'UF HOY'!$A$2:$B$36,2,0)</f>
        <v>6615701.0099999951</v>
      </c>
      <c r="X135" s="78">
        <f>Datos!$E$3</f>
        <v>15</v>
      </c>
      <c r="Y135" s="79">
        <f ca="1">IF((W135-1000000-Datos!$N$3)/X135&gt;0,(W135-1000000-Datos!$N$3)/X135,0)</f>
        <v>367713.40066666633</v>
      </c>
      <c r="Z135" s="78">
        <f>Datos!$G$3</f>
        <v>15</v>
      </c>
      <c r="AA135" s="79">
        <f ca="1">IF((W135-1000000-Datos!$N$3)/Z135&gt;0,(W135-1000000-Datos!$N$3)/Z135,0)</f>
        <v>367713.40066666633</v>
      </c>
      <c r="AB135" s="79">
        <f>IF(L135&gt;0,VLOOKUP(D135,Datos!$H$30:$J$33,3,0),VLOOKUP(D135,Datos!$H$30:$J$33,2,0))</f>
        <v>350000</v>
      </c>
      <c r="AC135" s="79">
        <f ca="1">(S135*PMT(Datos!$D$15,Datos!$D$13,-O135,,)*VLOOKUP(TODAY(),'UF HOY'!$A$2:$B$36,2,0)/12)</f>
        <v>510115.52699595137</v>
      </c>
      <c r="AD135" s="79">
        <f t="shared" ca="1" si="59"/>
        <v>-160115.52699595137</v>
      </c>
      <c r="AE135" s="220">
        <f t="shared" ca="1" si="60"/>
        <v>2040462.1079838055</v>
      </c>
      <c r="AF135" s="45"/>
    </row>
    <row r="136" spans="1:32" hidden="1">
      <c r="A136" s="66" t="s">
        <v>171</v>
      </c>
      <c r="B136" s="66">
        <v>1206</v>
      </c>
      <c r="C136" s="67" t="s">
        <v>103</v>
      </c>
      <c r="D136" s="67" t="s">
        <v>195</v>
      </c>
      <c r="E136" s="67"/>
      <c r="F136" s="66">
        <v>32.520000000000003</v>
      </c>
      <c r="G136" s="66">
        <v>9.6</v>
      </c>
      <c r="H136" s="67">
        <f t="shared" si="50"/>
        <v>37.32</v>
      </c>
      <c r="I136" s="68">
        <f t="shared" si="51"/>
        <v>42.120000000000005</v>
      </c>
      <c r="J136" s="69">
        <v>3040</v>
      </c>
      <c r="K136" s="70">
        <v>0</v>
      </c>
      <c r="L136" s="71">
        <v>0</v>
      </c>
      <c r="M136" s="71">
        <v>0</v>
      </c>
      <c r="N136" s="72">
        <f t="shared" si="52"/>
        <v>2584</v>
      </c>
      <c r="O136" s="73">
        <f t="shared" si="53"/>
        <v>3040</v>
      </c>
      <c r="P136" s="121">
        <f t="shared" si="54"/>
        <v>69.239013933547696</v>
      </c>
      <c r="Q136" s="74">
        <f t="shared" si="55"/>
        <v>0.15</v>
      </c>
      <c r="R136" s="75">
        <f t="shared" si="49"/>
        <v>456</v>
      </c>
      <c r="S136" s="74">
        <v>0.8</v>
      </c>
      <c r="T136" s="75">
        <f t="shared" si="56"/>
        <v>2432</v>
      </c>
      <c r="U136" s="76">
        <f t="shared" si="57"/>
        <v>4.9999999999999961E-2</v>
      </c>
      <c r="V136" s="69">
        <f t="shared" si="58"/>
        <v>151.99999999999989</v>
      </c>
      <c r="W136" s="77">
        <f ca="1">V136*VLOOKUP(TODAY(),'UF HOY'!$A$2:$B$36,2,0)</f>
        <v>6039558.8799999962</v>
      </c>
      <c r="X136" s="78">
        <f>Datos!$E$3</f>
        <v>15</v>
      </c>
      <c r="Y136" s="79">
        <f ca="1">IF((W136-1000000-Datos!$N$3)/X136&gt;0,(W136-1000000-Datos!$N$3)/X136,0)</f>
        <v>329303.92533333309</v>
      </c>
      <c r="Z136" s="78">
        <f>Datos!$G$3</f>
        <v>15</v>
      </c>
      <c r="AA136" s="79">
        <f ca="1">IF((W136-1000000-Datos!$N$3)/Z136&gt;0,(W136-1000000-Datos!$N$3)/Z136,0)</f>
        <v>329303.92533333309</v>
      </c>
      <c r="AB136" s="79">
        <f>IF(L136&gt;0,VLOOKUP(D136,Datos!$H$30:$J$33,3,0),VLOOKUP(D136,Datos!$H$30:$J$33,2,0))</f>
        <v>350000</v>
      </c>
      <c r="AC136" s="79">
        <f ca="1">(S136*PMT(Datos!$D$15,Datos!$D$13,-O136,,)*VLOOKUP(TODAY(),'UF HOY'!$A$2:$B$36,2,0)/12)</f>
        <v>465691.05167197954</v>
      </c>
      <c r="AD136" s="79">
        <f t="shared" ca="1" si="59"/>
        <v>-115691.05167197954</v>
      </c>
      <c r="AE136" s="220">
        <f t="shared" ca="1" si="60"/>
        <v>1862764.2066879182</v>
      </c>
      <c r="AF136" s="45"/>
    </row>
    <row r="137" spans="1:32" hidden="1">
      <c r="A137" s="66" t="s">
        <v>171</v>
      </c>
      <c r="B137" s="66">
        <v>1207</v>
      </c>
      <c r="C137" s="67" t="s">
        <v>103</v>
      </c>
      <c r="D137" s="67" t="s">
        <v>196</v>
      </c>
      <c r="E137" s="67"/>
      <c r="F137" s="66">
        <v>42.9</v>
      </c>
      <c r="G137" s="66">
        <v>11.95</v>
      </c>
      <c r="H137" s="67">
        <f t="shared" si="50"/>
        <v>48.875</v>
      </c>
      <c r="I137" s="68">
        <f t="shared" si="51"/>
        <v>54.849999999999994</v>
      </c>
      <c r="J137" s="69">
        <v>3760</v>
      </c>
      <c r="K137" s="70">
        <v>0</v>
      </c>
      <c r="L137" s="71">
        <v>400</v>
      </c>
      <c r="M137" s="71">
        <v>130</v>
      </c>
      <c r="N137" s="72">
        <f t="shared" si="52"/>
        <v>3646.5</v>
      </c>
      <c r="O137" s="73">
        <f t="shared" si="53"/>
        <v>4290</v>
      </c>
      <c r="P137" s="121">
        <f t="shared" si="54"/>
        <v>63.764705882352942</v>
      </c>
      <c r="Q137" s="74">
        <f t="shared" si="55"/>
        <v>0.15</v>
      </c>
      <c r="R137" s="75">
        <f t="shared" si="49"/>
        <v>643.5</v>
      </c>
      <c r="S137" s="74">
        <v>0.8</v>
      </c>
      <c r="T137" s="75">
        <f t="shared" si="56"/>
        <v>3432</v>
      </c>
      <c r="U137" s="76">
        <f t="shared" si="57"/>
        <v>4.9999999999999961E-2</v>
      </c>
      <c r="V137" s="69">
        <f t="shared" si="58"/>
        <v>214.49999999999983</v>
      </c>
      <c r="W137" s="77">
        <f ca="1">V137*VLOOKUP(TODAY(),'UF HOY'!$A$2:$B$36,2,0)</f>
        <v>8522930.1299999934</v>
      </c>
      <c r="X137" s="78">
        <f>Datos!$E$3</f>
        <v>15</v>
      </c>
      <c r="Y137" s="79">
        <f ca="1">IF((W137-1000000-Datos!$N$3)/X137&gt;0,(W137-1000000-Datos!$N$3)/X137,0)</f>
        <v>494862.00866666622</v>
      </c>
      <c r="Z137" s="78">
        <f>Datos!$G$3</f>
        <v>15</v>
      </c>
      <c r="AA137" s="79">
        <f ca="1">IF((W137-1000000-Datos!$N$3)/Z137&gt;0,(W137-1000000-Datos!$N$3)/Z137,0)</f>
        <v>494862.00866666622</v>
      </c>
      <c r="AB137" s="79">
        <f>IF(L137&gt;0,VLOOKUP(D137,Datos!$H$30:$J$33,3,0),VLOOKUP(D137,Datos!$H$30:$J$33,2,0))</f>
        <v>440000</v>
      </c>
      <c r="AC137" s="79">
        <f ca="1">(S137*PMT(Datos!$D$15,Datos!$D$13,-O137,,)*VLOOKUP(TODAY(),'UF HOY'!$A$2:$B$36,2,0)/12)</f>
        <v>657175.85910289222</v>
      </c>
      <c r="AD137" s="79">
        <f t="shared" ca="1" si="59"/>
        <v>-217175.85910289222</v>
      </c>
      <c r="AE137" s="220">
        <f t="shared" ca="1" si="60"/>
        <v>2628703.4364115689</v>
      </c>
      <c r="AF137" s="45"/>
    </row>
    <row r="138" spans="1:32" hidden="1">
      <c r="A138" s="66" t="s">
        <v>171</v>
      </c>
      <c r="B138" s="66">
        <v>1208</v>
      </c>
      <c r="C138" s="67" t="s">
        <v>103</v>
      </c>
      <c r="D138" s="67" t="s">
        <v>195</v>
      </c>
      <c r="E138" s="67"/>
      <c r="F138" s="66">
        <v>32.520000000000003</v>
      </c>
      <c r="G138" s="66">
        <v>9.01</v>
      </c>
      <c r="H138" s="67">
        <f t="shared" si="50"/>
        <v>37.025000000000006</v>
      </c>
      <c r="I138" s="68">
        <f t="shared" si="51"/>
        <v>41.53</v>
      </c>
      <c r="J138" s="69">
        <v>3020</v>
      </c>
      <c r="K138" s="70">
        <v>0</v>
      </c>
      <c r="L138" s="71">
        <v>0</v>
      </c>
      <c r="M138" s="71">
        <v>0</v>
      </c>
      <c r="N138" s="69">
        <f t="shared" si="52"/>
        <v>2567</v>
      </c>
      <c r="O138" s="73">
        <f t="shared" si="53"/>
        <v>3020</v>
      </c>
      <c r="P138" s="121">
        <f t="shared" si="54"/>
        <v>69.331532748143132</v>
      </c>
      <c r="Q138" s="74">
        <f t="shared" si="55"/>
        <v>0.15</v>
      </c>
      <c r="R138" s="75">
        <f t="shared" si="49"/>
        <v>453</v>
      </c>
      <c r="S138" s="74">
        <v>0.8</v>
      </c>
      <c r="T138" s="87">
        <f t="shared" si="56"/>
        <v>2416</v>
      </c>
      <c r="U138" s="88">
        <f t="shared" si="57"/>
        <v>4.9999999999999961E-2</v>
      </c>
      <c r="V138" s="69">
        <f t="shared" si="58"/>
        <v>150.99999999999989</v>
      </c>
      <c r="W138" s="89">
        <f ca="1">V138*VLOOKUP(TODAY(),'UF HOY'!$A$2:$B$36,2,0)</f>
        <v>5999824.9399999958</v>
      </c>
      <c r="X138" s="78">
        <f>Datos!$E$3</f>
        <v>15</v>
      </c>
      <c r="Y138" s="79">
        <f ca="1">IF((W138-1000000-Datos!$N$3)/X138&gt;0,(W138-1000000-Datos!$N$3)/X138,0)</f>
        <v>326654.99599999969</v>
      </c>
      <c r="Z138" s="78">
        <f>Datos!$G$3</f>
        <v>15</v>
      </c>
      <c r="AA138" s="79">
        <f ca="1">IF((W138-1000000-Datos!$N$3)/Z138&gt;0,(W138-1000000-Datos!$N$3)/Z138,0)</f>
        <v>326654.99599999969</v>
      </c>
      <c r="AB138" s="79">
        <f>IF(L138&gt;0,VLOOKUP(D138,Datos!$H$30:$J$33,3,0),VLOOKUP(D138,Datos!$H$30:$J$33,2,0))</f>
        <v>350000</v>
      </c>
      <c r="AC138" s="79">
        <f ca="1">(S138*PMT(Datos!$D$15,Datos!$D$13,-O138,,)*VLOOKUP(TODAY(),'UF HOY'!$A$2:$B$36,2,0)/12)</f>
        <v>462627.29475308495</v>
      </c>
      <c r="AD138" s="89">
        <f t="shared" ca="1" si="59"/>
        <v>-112627.29475308495</v>
      </c>
      <c r="AE138" s="220">
        <f t="shared" ca="1" si="60"/>
        <v>1850509.1790123398</v>
      </c>
      <c r="AF138" s="45"/>
    </row>
    <row r="139" spans="1:32" ht="14.25" hidden="1" customHeight="1">
      <c r="A139" s="66" t="s">
        <v>171</v>
      </c>
      <c r="B139" s="66">
        <v>1209</v>
      </c>
      <c r="C139" s="67" t="s">
        <v>103</v>
      </c>
      <c r="D139" s="67" t="s">
        <v>196</v>
      </c>
      <c r="E139" s="67"/>
      <c r="F139" s="66">
        <v>42.9</v>
      </c>
      <c r="G139" s="66">
        <v>12.54</v>
      </c>
      <c r="H139" s="67">
        <f t="shared" si="50"/>
        <v>49.17</v>
      </c>
      <c r="I139" s="68">
        <f t="shared" si="51"/>
        <v>55.44</v>
      </c>
      <c r="J139" s="69">
        <v>3770</v>
      </c>
      <c r="K139" s="70">
        <v>0</v>
      </c>
      <c r="L139" s="71">
        <v>400</v>
      </c>
      <c r="M139" s="71">
        <v>120</v>
      </c>
      <c r="N139" s="72">
        <f t="shared" si="52"/>
        <v>3646.5</v>
      </c>
      <c r="O139" s="73">
        <f t="shared" si="53"/>
        <v>4290</v>
      </c>
      <c r="P139" s="121">
        <f t="shared" si="54"/>
        <v>63.585519625788081</v>
      </c>
      <c r="Q139" s="74">
        <f t="shared" si="55"/>
        <v>0.15</v>
      </c>
      <c r="R139" s="75">
        <f t="shared" si="49"/>
        <v>643.5</v>
      </c>
      <c r="S139" s="74">
        <v>0.8</v>
      </c>
      <c r="T139" s="75">
        <f t="shared" si="56"/>
        <v>3432</v>
      </c>
      <c r="U139" s="76">
        <f t="shared" si="57"/>
        <v>4.9999999999999961E-2</v>
      </c>
      <c r="V139" s="69">
        <f t="shared" si="58"/>
        <v>214.49999999999983</v>
      </c>
      <c r="W139" s="77">
        <f ca="1">V139*VLOOKUP(TODAY(),'UF HOY'!$A$2:$B$36,2,0)</f>
        <v>8522930.1299999934</v>
      </c>
      <c r="X139" s="78">
        <f>Datos!$E$3</f>
        <v>15</v>
      </c>
      <c r="Y139" s="79">
        <f ca="1">IF((W139-1000000-Datos!$N$3)/X139&gt;0,(W139-1000000-Datos!$N$3)/X139,0)</f>
        <v>494862.00866666622</v>
      </c>
      <c r="Z139" s="78">
        <f>Datos!$G$3</f>
        <v>15</v>
      </c>
      <c r="AA139" s="79">
        <f ca="1">IF((W139-1000000-Datos!$N$3)/Z139&gt;0,(W139-1000000-Datos!$N$3)/Z139,0)</f>
        <v>494862.00866666622</v>
      </c>
      <c r="AB139" s="79">
        <f>IF(L139&gt;0,VLOOKUP(D139,Datos!$H$30:$J$33,3,0),VLOOKUP(D139,Datos!$H$30:$J$33,2,0))</f>
        <v>440000</v>
      </c>
      <c r="AC139" s="79">
        <f ca="1">(S139*PMT(Datos!$D$15,Datos!$D$13,-O139,,)*VLOOKUP(TODAY(),'UF HOY'!$A$2:$B$36,2,0)/12)</f>
        <v>657175.85910289222</v>
      </c>
      <c r="AD139" s="79">
        <f t="shared" ca="1" si="59"/>
        <v>-217175.85910289222</v>
      </c>
      <c r="AE139" s="220">
        <f t="shared" ca="1" si="60"/>
        <v>2628703.4364115689</v>
      </c>
      <c r="AF139" s="45"/>
    </row>
    <row r="140" spans="1:32" hidden="1">
      <c r="A140" s="66" t="s">
        <v>171</v>
      </c>
      <c r="B140" s="86">
        <v>1210</v>
      </c>
      <c r="C140" s="67" t="s">
        <v>121</v>
      </c>
      <c r="D140" s="67" t="s">
        <v>194</v>
      </c>
      <c r="E140" s="67"/>
      <c r="F140" s="66">
        <v>53.54</v>
      </c>
      <c r="G140" s="66">
        <v>5.3</v>
      </c>
      <c r="H140" s="67">
        <f t="shared" si="50"/>
        <v>56.19</v>
      </c>
      <c r="I140" s="68">
        <f t="shared" si="51"/>
        <v>58.839999999999996</v>
      </c>
      <c r="J140" s="69">
        <v>4010</v>
      </c>
      <c r="K140" s="70">
        <v>0</v>
      </c>
      <c r="L140" s="71">
        <v>400</v>
      </c>
      <c r="M140" s="71">
        <v>160</v>
      </c>
      <c r="N140" s="72">
        <f t="shared" si="52"/>
        <v>3884.5</v>
      </c>
      <c r="O140" s="73">
        <f t="shared" si="53"/>
        <v>4570</v>
      </c>
      <c r="P140" s="121">
        <f t="shared" si="54"/>
        <v>59.165331909592453</v>
      </c>
      <c r="Q140" s="74">
        <f t="shared" si="55"/>
        <v>0.15</v>
      </c>
      <c r="R140" s="75">
        <f t="shared" si="49"/>
        <v>685.5</v>
      </c>
      <c r="S140" s="74">
        <v>0.8</v>
      </c>
      <c r="T140" s="75">
        <f t="shared" si="56"/>
        <v>3656</v>
      </c>
      <c r="U140" s="76">
        <f t="shared" si="57"/>
        <v>4.9999999999999961E-2</v>
      </c>
      <c r="V140" s="69">
        <f t="shared" si="58"/>
        <v>228.49999999999983</v>
      </c>
      <c r="W140" s="77">
        <f ca="1">V140*VLOOKUP(TODAY(),'UF HOY'!$A$2:$B$36,2,0)</f>
        <v>9079205.2899999935</v>
      </c>
      <c r="X140" s="78">
        <f>Datos!$E$3</f>
        <v>15</v>
      </c>
      <c r="Y140" s="79">
        <f ca="1">IF((W140-1000000-Datos!$N$3)/X140&gt;0,(W140-1000000-Datos!$N$3)/X140,0)</f>
        <v>531947.01933333289</v>
      </c>
      <c r="Z140" s="78">
        <f>Datos!$G$3</f>
        <v>15</v>
      </c>
      <c r="AA140" s="79">
        <f ca="1">IF((W140-1000000-Datos!$N$3)/Z140&gt;0,(W140-1000000-Datos!$N$3)/Z140,0)</f>
        <v>531947.01933333289</v>
      </c>
      <c r="AB140" s="79">
        <f>IF(L140&gt;0,VLOOKUP(D140,Datos!$H$30:$J$33,3,0),VLOOKUP(D140,Datos!$H$30:$J$33,2,0))</f>
        <v>490000</v>
      </c>
      <c r="AC140" s="79">
        <f ca="1">(S140*PMT(Datos!$D$15,Datos!$D$13,-O140,,)*VLOOKUP(TODAY(),'UF HOY'!$A$2:$B$36,2,0)/12)</f>
        <v>700068.45596741664</v>
      </c>
      <c r="AD140" s="79">
        <f t="shared" ca="1" si="59"/>
        <v>-210068.45596741664</v>
      </c>
      <c r="AE140" s="220">
        <f t="shared" ca="1" si="60"/>
        <v>2800273.8238696666</v>
      </c>
      <c r="AF140" s="45"/>
    </row>
    <row r="141" spans="1:32" hidden="1">
      <c r="A141" s="66" t="s">
        <v>223</v>
      </c>
      <c r="B141" s="86">
        <v>1211</v>
      </c>
      <c r="C141" s="67" t="s">
        <v>129</v>
      </c>
      <c r="D141" s="67" t="s">
        <v>195</v>
      </c>
      <c r="E141" s="67"/>
      <c r="F141" s="66">
        <v>33.36</v>
      </c>
      <c r="G141" s="66">
        <v>9.1999999999999993</v>
      </c>
      <c r="H141" s="67">
        <f t="shared" si="50"/>
        <v>37.96</v>
      </c>
      <c r="I141" s="68">
        <f t="shared" si="51"/>
        <v>42.56</v>
      </c>
      <c r="J141" s="69">
        <v>2940</v>
      </c>
      <c r="K141" s="70">
        <v>0</v>
      </c>
      <c r="L141" s="71">
        <v>400</v>
      </c>
      <c r="M141" s="71">
        <v>130</v>
      </c>
      <c r="N141" s="72">
        <f t="shared" si="52"/>
        <v>3123</v>
      </c>
      <c r="O141" s="73">
        <f t="shared" si="53"/>
        <v>3470</v>
      </c>
      <c r="P141" s="121">
        <f t="shared" si="54"/>
        <v>68.308746048472074</v>
      </c>
      <c r="Q141" s="74">
        <f t="shared" si="55"/>
        <v>0.1</v>
      </c>
      <c r="R141" s="75">
        <f>O141*0.1</f>
        <v>347</v>
      </c>
      <c r="S141" s="74">
        <v>0.8</v>
      </c>
      <c r="T141" s="75">
        <f t="shared" si="56"/>
        <v>2776</v>
      </c>
      <c r="U141" s="76">
        <f t="shared" si="57"/>
        <v>9.999999999999995E-2</v>
      </c>
      <c r="V141" s="69">
        <f t="shared" si="58"/>
        <v>346.99999999999983</v>
      </c>
      <c r="W141" s="77">
        <f ca="1">V141*VLOOKUP(TODAY(),'UF HOY'!$A$2:$B$36,2,0)</f>
        <v>13787677.179999994</v>
      </c>
      <c r="X141" s="78">
        <f>Datos!$E$3</f>
        <v>15</v>
      </c>
      <c r="Y141" s="79">
        <f ca="1">IF((W141-1000000-Datos!$N$3)/X141&gt;0,(W141-1000000-Datos!$N$3)/X141,0)</f>
        <v>845845.14533333294</v>
      </c>
      <c r="Z141" s="78">
        <f>Datos!$G$3</f>
        <v>15</v>
      </c>
      <c r="AA141" s="79">
        <f ca="1">IF((W141-1000000-Datos!$N$3)/Z141&gt;0,(W141-1000000-Datos!$N$3)/Z141,0)</f>
        <v>845845.14533333294</v>
      </c>
      <c r="AB141" s="79">
        <f>IF(L141&gt;0,VLOOKUP(D141,Datos!$H$30:$J$33,3,0),VLOOKUP(D141,Datos!$H$30:$J$33,2,0))</f>
        <v>390000</v>
      </c>
      <c r="AC141" s="79">
        <f ca="1">(S141*PMT(Datos!$D$15,Datos!$D$13,-O141,,)*VLOOKUP(TODAY(),'UF HOY'!$A$2:$B$36,2,0)/12)</f>
        <v>531561.82542821357</v>
      </c>
      <c r="AD141" s="79">
        <f t="shared" ca="1" si="59"/>
        <v>-141561.82542821357</v>
      </c>
      <c r="AE141" s="220">
        <f t="shared" ca="1" si="60"/>
        <v>2126247.3017128543</v>
      </c>
      <c r="AF141" s="45"/>
    </row>
    <row r="142" spans="1:32" hidden="1">
      <c r="A142" s="66" t="s">
        <v>171</v>
      </c>
      <c r="B142" s="66">
        <v>1212</v>
      </c>
      <c r="C142" s="67" t="s">
        <v>129</v>
      </c>
      <c r="D142" s="67" t="s">
        <v>195</v>
      </c>
      <c r="E142" s="67"/>
      <c r="F142" s="66">
        <v>33.36</v>
      </c>
      <c r="G142" s="66">
        <v>8.31</v>
      </c>
      <c r="H142" s="67">
        <f t="shared" si="50"/>
        <v>37.515000000000001</v>
      </c>
      <c r="I142" s="68">
        <f t="shared" si="51"/>
        <v>41.67</v>
      </c>
      <c r="J142" s="69">
        <v>3010</v>
      </c>
      <c r="K142" s="70">
        <v>0</v>
      </c>
      <c r="L142" s="71">
        <v>400</v>
      </c>
      <c r="M142" s="71">
        <v>120</v>
      </c>
      <c r="N142" s="72">
        <f t="shared" si="52"/>
        <v>3000.5</v>
      </c>
      <c r="O142" s="73">
        <f t="shared" si="53"/>
        <v>3530</v>
      </c>
      <c r="P142" s="121">
        <f t="shared" si="54"/>
        <v>66.120218579234972</v>
      </c>
      <c r="Q142" s="74">
        <f t="shared" si="55"/>
        <v>0.15</v>
      </c>
      <c r="R142" s="75">
        <f>O142*0.15</f>
        <v>529.5</v>
      </c>
      <c r="S142" s="74">
        <v>0.8</v>
      </c>
      <c r="T142" s="75">
        <f t="shared" si="56"/>
        <v>2824</v>
      </c>
      <c r="U142" s="76">
        <f t="shared" si="57"/>
        <v>4.9999999999999961E-2</v>
      </c>
      <c r="V142" s="69">
        <f t="shared" si="58"/>
        <v>176.49999999999986</v>
      </c>
      <c r="W142" s="77">
        <f ca="1">V142*VLOOKUP(TODAY(),'UF HOY'!$A$2:$B$36,2,0)</f>
        <v>7013040.4099999946</v>
      </c>
      <c r="X142" s="78">
        <f>Datos!$E$3</f>
        <v>15</v>
      </c>
      <c r="Y142" s="79">
        <f ca="1">IF((W142-1000000-Datos!$N$3)/X142&gt;0,(W142-1000000-Datos!$N$3)/X142,0)</f>
        <v>394202.69399999961</v>
      </c>
      <c r="Z142" s="78">
        <f>Datos!$G$3</f>
        <v>15</v>
      </c>
      <c r="AA142" s="79">
        <f ca="1">IF((W142-1000000-Datos!$N$3)/Z142&gt;0,(W142-1000000-Datos!$N$3)/Z142,0)</f>
        <v>394202.69399999961</v>
      </c>
      <c r="AB142" s="79">
        <f>IF(L142&gt;0,VLOOKUP(D142,Datos!$H$30:$J$33,3,0),VLOOKUP(D142,Datos!$H$30:$J$33,2,0))</f>
        <v>390000</v>
      </c>
      <c r="AC142" s="79">
        <f ca="1">(S142*PMT(Datos!$D$15,Datos!$D$13,-O142,,)*VLOOKUP(TODAY(),'UF HOY'!$A$2:$B$36,2,0)/12)</f>
        <v>540753.09618489735</v>
      </c>
      <c r="AD142" s="79">
        <f t="shared" ca="1" si="59"/>
        <v>-150753.09618489735</v>
      </c>
      <c r="AE142" s="220">
        <f t="shared" ca="1" si="60"/>
        <v>2163012.3847395894</v>
      </c>
      <c r="AF142" s="45"/>
    </row>
    <row r="143" spans="1:32" hidden="1">
      <c r="A143" s="66" t="s">
        <v>171</v>
      </c>
      <c r="B143" s="66">
        <v>1213</v>
      </c>
      <c r="C143" s="67" t="s">
        <v>129</v>
      </c>
      <c r="D143" s="67" t="s">
        <v>195</v>
      </c>
      <c r="E143" s="67"/>
      <c r="F143" s="66">
        <v>33.53</v>
      </c>
      <c r="G143" s="66">
        <v>9.1199999999999992</v>
      </c>
      <c r="H143" s="67">
        <f t="shared" si="50"/>
        <v>38.090000000000003</v>
      </c>
      <c r="I143" s="68">
        <f t="shared" si="51"/>
        <v>42.65</v>
      </c>
      <c r="J143" s="69">
        <v>3040</v>
      </c>
      <c r="K143" s="70">
        <v>0</v>
      </c>
      <c r="L143" s="71">
        <v>400</v>
      </c>
      <c r="M143" s="71">
        <v>0</v>
      </c>
      <c r="N143" s="69">
        <f t="shared" si="52"/>
        <v>2924</v>
      </c>
      <c r="O143" s="73">
        <f t="shared" si="53"/>
        <v>3440</v>
      </c>
      <c r="P143" s="121">
        <f t="shared" si="54"/>
        <v>66.264111315305854</v>
      </c>
      <c r="Q143" s="74">
        <f t="shared" si="55"/>
        <v>0.15</v>
      </c>
      <c r="R143" s="75">
        <f>O143*0.15</f>
        <v>516</v>
      </c>
      <c r="S143" s="74">
        <v>0.8</v>
      </c>
      <c r="T143" s="87">
        <f t="shared" si="56"/>
        <v>2752</v>
      </c>
      <c r="U143" s="88">
        <f t="shared" si="57"/>
        <v>4.9999999999999961E-2</v>
      </c>
      <c r="V143" s="69">
        <f t="shared" si="58"/>
        <v>171.99999999999986</v>
      </c>
      <c r="W143" s="89">
        <f ca="1">V143*VLOOKUP(TODAY(),'UF HOY'!$A$2:$B$36,2,0)</f>
        <v>6834237.679999995</v>
      </c>
      <c r="X143" s="78">
        <f>Datos!$E$3</f>
        <v>15</v>
      </c>
      <c r="Y143" s="79">
        <f ca="1">IF((W143-1000000-Datos!$N$3)/X143&gt;0,(W143-1000000-Datos!$N$3)/X143,0)</f>
        <v>382282.5119999997</v>
      </c>
      <c r="Z143" s="78">
        <f>Datos!$G$3</f>
        <v>15</v>
      </c>
      <c r="AA143" s="79">
        <f ca="1">IF((W143-1000000-Datos!$N$3)/Z143&gt;0,(W143-1000000-Datos!$N$3)/Z143,0)</f>
        <v>382282.5119999997</v>
      </c>
      <c r="AB143" s="79">
        <f>IF(L143&gt;0,VLOOKUP(D143,Datos!$H$30:$J$33,3,0),VLOOKUP(D143,Datos!$H$30:$J$33,2,0))</f>
        <v>390000</v>
      </c>
      <c r="AC143" s="79">
        <f ca="1">(S143*PMT(Datos!$D$15,Datos!$D$13,-O143,,)*VLOOKUP(TODAY(),'UF HOY'!$A$2:$B$36,2,0)/12)</f>
        <v>526966.19004987169</v>
      </c>
      <c r="AD143" s="89">
        <f t="shared" ca="1" si="59"/>
        <v>-136966.19004987169</v>
      </c>
      <c r="AE143" s="220">
        <f t="shared" ca="1" si="60"/>
        <v>2107864.7601994867</v>
      </c>
      <c r="AF143" s="45"/>
    </row>
    <row r="144" spans="1:32" hidden="1">
      <c r="A144" s="66" t="s">
        <v>171</v>
      </c>
      <c r="B144" s="66">
        <v>1214</v>
      </c>
      <c r="C144" s="67" t="s">
        <v>122</v>
      </c>
      <c r="D144" s="67" t="s">
        <v>195</v>
      </c>
      <c r="E144" s="67"/>
      <c r="F144" s="66">
        <v>36.56</v>
      </c>
      <c r="G144" s="66">
        <v>4.9800000000000004</v>
      </c>
      <c r="H144" s="67">
        <f t="shared" si="50"/>
        <v>39.050000000000004</v>
      </c>
      <c r="I144" s="68">
        <f t="shared" si="51"/>
        <v>41.540000000000006</v>
      </c>
      <c r="J144" s="69">
        <v>3120</v>
      </c>
      <c r="K144" s="70">
        <v>0</v>
      </c>
      <c r="L144" s="71">
        <v>0</v>
      </c>
      <c r="M144" s="71">
        <v>0</v>
      </c>
      <c r="N144" s="69">
        <f t="shared" si="52"/>
        <v>2652</v>
      </c>
      <c r="O144" s="73">
        <f t="shared" si="53"/>
        <v>3120</v>
      </c>
      <c r="P144" s="121">
        <f t="shared" si="54"/>
        <v>67.912932138284248</v>
      </c>
      <c r="Q144" s="74">
        <f t="shared" si="55"/>
        <v>0.15</v>
      </c>
      <c r="R144" s="75">
        <f>O144*0.15</f>
        <v>468</v>
      </c>
      <c r="S144" s="74">
        <v>0.8</v>
      </c>
      <c r="T144" s="87">
        <f t="shared" si="56"/>
        <v>2496</v>
      </c>
      <c r="U144" s="88">
        <f t="shared" si="57"/>
        <v>4.9999999999999961E-2</v>
      </c>
      <c r="V144" s="69">
        <f t="shared" si="58"/>
        <v>155.99999999999989</v>
      </c>
      <c r="W144" s="89">
        <f ca="1">V144*VLOOKUP(TODAY(),'UF HOY'!$A$2:$B$36,2,0)</f>
        <v>6198494.6399999959</v>
      </c>
      <c r="X144" s="78">
        <f>Datos!$E$3</f>
        <v>15</v>
      </c>
      <c r="Y144" s="79">
        <f ca="1">IF((W144-1000000-Datos!$N$3)/X144&gt;0,(W144-1000000-Datos!$N$3)/X144,0)</f>
        <v>339899.64266666642</v>
      </c>
      <c r="Z144" s="78">
        <f>Datos!$G$3</f>
        <v>15</v>
      </c>
      <c r="AA144" s="79">
        <f ca="1">IF((W144-1000000-Datos!$N$3)/Z144&gt;0,(W144-1000000-Datos!$N$3)/Z144,0)</f>
        <v>339899.64266666642</v>
      </c>
      <c r="AB144" s="79">
        <f>IF(L144&gt;0,VLOOKUP(D144,Datos!$H$30:$J$33,3,0),VLOOKUP(D144,Datos!$H$30:$J$33,2,0))</f>
        <v>350000</v>
      </c>
      <c r="AC144" s="79">
        <f ca="1">(S144*PMT(Datos!$D$15,Datos!$D$13,-O144,,)*VLOOKUP(TODAY(),'UF HOY'!$A$2:$B$36,2,0)/12)</f>
        <v>477946.07934755791</v>
      </c>
      <c r="AD144" s="89">
        <f t="shared" ca="1" si="59"/>
        <v>-127946.07934755791</v>
      </c>
      <c r="AE144" s="220">
        <f t="shared" ca="1" si="60"/>
        <v>1911784.3173902316</v>
      </c>
      <c r="AF144" s="45"/>
    </row>
    <row r="145" spans="1:32" hidden="1">
      <c r="A145" s="66" t="s">
        <v>171</v>
      </c>
      <c r="B145" s="66">
        <v>1215</v>
      </c>
      <c r="C145" s="67" t="s">
        <v>123</v>
      </c>
      <c r="D145" s="67" t="s">
        <v>195</v>
      </c>
      <c r="E145" s="67"/>
      <c r="F145" s="66">
        <v>36.53</v>
      </c>
      <c r="G145" s="66">
        <v>4.8499999999999996</v>
      </c>
      <c r="H145" s="67">
        <f t="shared" si="50"/>
        <v>38.954999999999998</v>
      </c>
      <c r="I145" s="68">
        <f t="shared" si="51"/>
        <v>41.38</v>
      </c>
      <c r="J145" s="69">
        <v>3190</v>
      </c>
      <c r="K145" s="70">
        <v>0</v>
      </c>
      <c r="L145" s="71">
        <v>0</v>
      </c>
      <c r="M145" s="71">
        <v>0</v>
      </c>
      <c r="N145" s="72">
        <f t="shared" si="52"/>
        <v>2711.5</v>
      </c>
      <c r="O145" s="73">
        <f t="shared" si="53"/>
        <v>3190</v>
      </c>
      <c r="P145" s="121">
        <f t="shared" si="54"/>
        <v>69.605955589783079</v>
      </c>
      <c r="Q145" s="74">
        <f t="shared" si="55"/>
        <v>0.15</v>
      </c>
      <c r="R145" s="75">
        <f>O145*0.15</f>
        <v>478.5</v>
      </c>
      <c r="S145" s="74">
        <v>0.8</v>
      </c>
      <c r="T145" s="75">
        <f t="shared" si="56"/>
        <v>2552</v>
      </c>
      <c r="U145" s="76">
        <f t="shared" si="57"/>
        <v>4.9999999999999961E-2</v>
      </c>
      <c r="V145" s="69">
        <f t="shared" si="58"/>
        <v>159.49999999999989</v>
      </c>
      <c r="W145" s="77">
        <f ca="1">V145*VLOOKUP(TODAY(),'UF HOY'!$A$2:$B$36,2,0)</f>
        <v>6337563.429999996</v>
      </c>
      <c r="X145" s="78">
        <f>Datos!$E$3</f>
        <v>15</v>
      </c>
      <c r="Y145" s="79">
        <f ca="1">IF((W145-1000000-Datos!$N$3)/X145&gt;0,(W145-1000000-Datos!$N$3)/X145,0)</f>
        <v>349170.89533333306</v>
      </c>
      <c r="Z145" s="78">
        <f>Datos!$G$3</f>
        <v>15</v>
      </c>
      <c r="AA145" s="79">
        <f ca="1">IF((W145-1000000-Datos!$N$3)/Z145&gt;0,(W145-1000000-Datos!$N$3)/Z145,0)</f>
        <v>349170.89533333306</v>
      </c>
      <c r="AB145" s="79">
        <f>IF(L145&gt;0,VLOOKUP(D145,Datos!$H$30:$J$33,3,0),VLOOKUP(D145,Datos!$H$30:$J$33,2,0))</f>
        <v>350000</v>
      </c>
      <c r="AC145" s="79">
        <f ca="1">(S145*PMT(Datos!$D$15,Datos!$D$13,-O145,,)*VLOOKUP(TODAY(),'UF HOY'!$A$2:$B$36,2,0)/12)</f>
        <v>488669.2285636891</v>
      </c>
      <c r="AD145" s="79">
        <f t="shared" ca="1" si="59"/>
        <v>-138669.2285636891</v>
      </c>
      <c r="AE145" s="220">
        <f t="shared" ca="1" si="60"/>
        <v>1954676.9142547564</v>
      </c>
      <c r="AF145" s="45"/>
    </row>
    <row r="146" spans="1:32" hidden="1">
      <c r="A146" s="66" t="s">
        <v>171</v>
      </c>
      <c r="B146" s="66">
        <v>1216</v>
      </c>
      <c r="C146" s="67" t="s">
        <v>130</v>
      </c>
      <c r="D146" s="67" t="s">
        <v>194</v>
      </c>
      <c r="E146" s="67"/>
      <c r="F146" s="66">
        <v>49.27</v>
      </c>
      <c r="G146" s="66">
        <v>8.8000000000000007</v>
      </c>
      <c r="H146" s="67">
        <f t="shared" si="50"/>
        <v>53.67</v>
      </c>
      <c r="I146" s="68">
        <f t="shared" si="51"/>
        <v>58.070000000000007</v>
      </c>
      <c r="J146" s="69">
        <v>4000</v>
      </c>
      <c r="K146" s="70">
        <v>0</v>
      </c>
      <c r="L146" s="71">
        <v>400</v>
      </c>
      <c r="M146" s="71">
        <v>130</v>
      </c>
      <c r="N146" s="72">
        <f t="shared" si="52"/>
        <v>3850.5</v>
      </c>
      <c r="O146" s="73">
        <f t="shared" si="53"/>
        <v>4530</v>
      </c>
      <c r="P146" s="121">
        <f t="shared" si="54"/>
        <v>61.86882802310415</v>
      </c>
      <c r="Q146" s="74">
        <f t="shared" si="55"/>
        <v>0.15</v>
      </c>
      <c r="R146" s="75">
        <f>O146*0.15</f>
        <v>679.5</v>
      </c>
      <c r="S146" s="74">
        <v>0.8</v>
      </c>
      <c r="T146" s="75">
        <f t="shared" si="56"/>
        <v>3624</v>
      </c>
      <c r="U146" s="76">
        <f t="shared" si="57"/>
        <v>4.9999999999999961E-2</v>
      </c>
      <c r="V146" s="69">
        <f t="shared" si="58"/>
        <v>226.49999999999983</v>
      </c>
      <c r="W146" s="77">
        <f ca="1">V146*VLOOKUP(TODAY(),'UF HOY'!$A$2:$B$36,2,0)</f>
        <v>8999737.4099999946</v>
      </c>
      <c r="X146" s="78">
        <f>Datos!$E$3</f>
        <v>15</v>
      </c>
      <c r="Y146" s="79">
        <f ca="1">IF((W146-1000000-Datos!$N$3)/X146&gt;0,(W146-1000000-Datos!$N$3)/X146,0)</f>
        <v>526649.16066666634</v>
      </c>
      <c r="Z146" s="78">
        <f>Datos!$G$3</f>
        <v>15</v>
      </c>
      <c r="AA146" s="79">
        <f ca="1">IF((W146-1000000-Datos!$N$3)/Z146&gt;0,(W146-1000000-Datos!$N$3)/Z146,0)</f>
        <v>526649.16066666634</v>
      </c>
      <c r="AB146" s="79">
        <f>IF(L146&gt;0,VLOOKUP(D146,Datos!$H$30:$J$33,3,0),VLOOKUP(D146,Datos!$H$30:$J$33,2,0))</f>
        <v>490000</v>
      </c>
      <c r="AC146" s="79">
        <f ca="1">(S146*PMT(Datos!$D$15,Datos!$D$13,-O146,,)*VLOOKUP(TODAY(),'UF HOY'!$A$2:$B$36,2,0)/12)</f>
        <v>693940.94212962734</v>
      </c>
      <c r="AD146" s="79">
        <f t="shared" ca="1" si="59"/>
        <v>-203940.94212962734</v>
      </c>
      <c r="AE146" s="220">
        <f t="shared" ca="1" si="60"/>
        <v>2775763.7685185093</v>
      </c>
      <c r="AF146" s="45"/>
    </row>
    <row r="147" spans="1:32">
      <c r="A147" s="46"/>
      <c r="B147" s="46"/>
      <c r="C147" s="46"/>
      <c r="D147" s="46"/>
      <c r="E147" s="46"/>
      <c r="F147" s="46"/>
      <c r="G147" s="46"/>
      <c r="H147" s="46"/>
      <c r="I147" s="46"/>
      <c r="J147" s="46"/>
      <c r="K147" s="46"/>
      <c r="L147" s="46"/>
      <c r="M147" s="7"/>
      <c r="N147" s="46"/>
      <c r="Z147" s="44"/>
    </row>
    <row r="148" spans="1:32">
      <c r="A148" s="46"/>
      <c r="B148" s="46"/>
      <c r="C148" s="46"/>
      <c r="D148" s="46"/>
      <c r="E148" s="46"/>
      <c r="F148" s="46"/>
      <c r="G148" s="46"/>
      <c r="H148" s="46"/>
      <c r="I148" s="46"/>
      <c r="J148" s="46"/>
      <c r="K148" s="46"/>
      <c r="L148" s="123" t="s">
        <v>224</v>
      </c>
      <c r="M148" s="61"/>
      <c r="N148" s="48"/>
    </row>
    <row r="149" spans="1:32">
      <c r="A149" s="46"/>
      <c r="B149" s="46"/>
      <c r="C149" s="46"/>
      <c r="D149" s="46"/>
      <c r="E149" s="46"/>
      <c r="F149" s="46"/>
      <c r="G149" s="46"/>
      <c r="H149" s="46"/>
      <c r="I149" s="46"/>
      <c r="J149" s="46"/>
      <c r="K149" s="46"/>
      <c r="L149" s="123" t="s">
        <v>239</v>
      </c>
      <c r="M149" s="47"/>
      <c r="N149" s="48"/>
    </row>
    <row r="150" spans="1:32">
      <c r="A150" s="46"/>
      <c r="B150" s="46"/>
      <c r="C150" s="46"/>
      <c r="D150" s="46"/>
      <c r="E150" s="46"/>
      <c r="F150" s="46"/>
      <c r="G150" s="46"/>
      <c r="H150" s="46"/>
      <c r="I150" s="46"/>
      <c r="J150" s="46"/>
      <c r="K150" s="46"/>
      <c r="L150" s="46"/>
      <c r="M150" s="47"/>
      <c r="N150" s="47"/>
      <c r="O150" s="49"/>
      <c r="P150" s="49"/>
      <c r="Q150" s="45"/>
    </row>
    <row r="151" spans="1:32">
      <c r="A151" s="46"/>
      <c r="B151" s="46"/>
      <c r="C151" s="46"/>
      <c r="D151" s="46"/>
      <c r="E151" s="46"/>
      <c r="F151" s="46"/>
      <c r="G151" s="46"/>
      <c r="H151" s="46"/>
      <c r="I151" s="46"/>
      <c r="J151" s="46"/>
      <c r="K151" s="46"/>
      <c r="L151" s="46"/>
      <c r="M151" s="47"/>
      <c r="N151" s="48"/>
      <c r="O151" s="50"/>
      <c r="P151" s="50"/>
    </row>
    <row r="152" spans="1:32">
      <c r="A152" s="46"/>
      <c r="B152" s="46"/>
      <c r="C152" s="46"/>
      <c r="D152" s="46"/>
      <c r="E152" s="46"/>
      <c r="F152" s="46"/>
      <c r="G152" s="46"/>
      <c r="H152" s="46"/>
      <c r="I152" s="46"/>
      <c r="J152" s="46"/>
      <c r="K152" s="46"/>
      <c r="L152" s="46"/>
      <c r="M152" s="48"/>
      <c r="N152" s="48"/>
      <c r="O152" s="51"/>
      <c r="P152" s="51"/>
    </row>
    <row r="153" spans="1:32">
      <c r="A153" s="46"/>
      <c r="B153" s="46"/>
      <c r="C153" s="46"/>
      <c r="D153" s="46"/>
      <c r="E153" s="46"/>
      <c r="F153" s="46"/>
      <c r="G153" s="46"/>
      <c r="H153" s="46"/>
      <c r="I153" s="46"/>
      <c r="J153" s="46"/>
      <c r="K153" s="46"/>
      <c r="L153" s="46"/>
      <c r="M153" s="48"/>
      <c r="N153" s="48"/>
    </row>
    <row r="154" spans="1:32">
      <c r="A154" s="46"/>
      <c r="B154" s="46"/>
      <c r="C154" s="46"/>
      <c r="D154" s="46"/>
      <c r="E154" s="46"/>
      <c r="F154" s="46"/>
      <c r="G154" s="46"/>
      <c r="H154" s="46"/>
      <c r="I154" s="46"/>
      <c r="J154" s="46"/>
      <c r="K154" s="46"/>
      <c r="L154" s="46"/>
      <c r="M154" s="48"/>
      <c r="N154" s="48"/>
      <c r="O154" s="45"/>
      <c r="P154" s="45"/>
    </row>
    <row r="155" spans="1:32">
      <c r="A155" s="46"/>
      <c r="B155" s="46"/>
      <c r="C155" s="46"/>
      <c r="D155" s="46"/>
      <c r="E155" s="46"/>
      <c r="F155" s="46"/>
      <c r="G155" s="46"/>
      <c r="H155" s="46"/>
      <c r="I155" s="46"/>
      <c r="J155" s="46"/>
      <c r="K155" s="46"/>
      <c r="L155" s="46"/>
    </row>
    <row r="156" spans="1:32">
      <c r="A156" s="46"/>
      <c r="B156" s="46"/>
      <c r="C156" s="46"/>
      <c r="D156" s="46"/>
      <c r="E156" s="46"/>
      <c r="F156" s="46"/>
      <c r="G156" s="46"/>
      <c r="H156" s="46"/>
      <c r="I156" s="46"/>
      <c r="J156" s="46"/>
      <c r="K156" s="46"/>
      <c r="L156" s="46"/>
      <c r="M156" s="48"/>
      <c r="O156" s="52"/>
      <c r="P156" s="52"/>
    </row>
    <row r="157" spans="1:32">
      <c r="A157" s="46"/>
      <c r="B157" s="46"/>
      <c r="C157" s="46"/>
      <c r="D157" s="46"/>
      <c r="E157" s="46"/>
      <c r="F157" s="46"/>
      <c r="G157" s="46"/>
      <c r="H157" s="46"/>
      <c r="I157" s="46"/>
      <c r="J157" s="46"/>
      <c r="K157" s="46"/>
      <c r="L157" s="46"/>
    </row>
    <row r="158" spans="1:32">
      <c r="A158" s="46"/>
      <c r="B158" s="46"/>
      <c r="C158" s="46"/>
      <c r="D158" s="46"/>
      <c r="E158" s="46"/>
      <c r="F158" s="46"/>
      <c r="G158" s="46"/>
      <c r="H158" s="46"/>
      <c r="I158" s="46"/>
      <c r="J158" s="46"/>
      <c r="K158" s="46"/>
      <c r="L158" s="46"/>
    </row>
    <row r="159" spans="1:32">
      <c r="A159" s="46"/>
      <c r="B159" s="46"/>
      <c r="C159" s="46"/>
      <c r="D159" s="46"/>
      <c r="E159" s="46"/>
      <c r="F159" s="46"/>
      <c r="G159" s="46"/>
      <c r="H159" s="46"/>
      <c r="I159" s="46"/>
      <c r="J159" s="46"/>
      <c r="K159" s="46"/>
      <c r="L159" s="46"/>
    </row>
    <row r="160" spans="1:32">
      <c r="A160" s="46"/>
      <c r="B160" s="46"/>
      <c r="C160" s="46"/>
      <c r="D160" s="46"/>
      <c r="E160" s="46"/>
      <c r="F160" s="46"/>
      <c r="G160" s="46"/>
      <c r="H160" s="46"/>
      <c r="I160" s="46"/>
      <c r="J160" s="46"/>
      <c r="K160" s="46"/>
      <c r="L160" s="46"/>
    </row>
    <row r="161" spans="1:14">
      <c r="A161" s="46"/>
      <c r="B161" s="46"/>
      <c r="C161" s="46"/>
      <c r="D161" s="46"/>
      <c r="E161" s="46"/>
      <c r="F161" s="46"/>
      <c r="G161" s="46"/>
      <c r="H161" s="46"/>
      <c r="I161" s="46"/>
      <c r="J161" s="46"/>
      <c r="K161" s="46"/>
      <c r="L161" s="46"/>
    </row>
    <row r="164" spans="1:14">
      <c r="L164" s="49"/>
      <c r="N164" s="53"/>
    </row>
    <row r="165" spans="1:14">
      <c r="L165" s="49"/>
      <c r="N165" s="53"/>
    </row>
    <row r="166" spans="1:14">
      <c r="L166" s="49"/>
      <c r="N166" s="53"/>
    </row>
  </sheetData>
  <autoFilter ref="A1:AE146" xr:uid="{3C969BD1-E20D-48D1-A8DE-3AF06E1DB3C1}">
    <filterColumn colId="0">
      <filters>
        <filter val="Disponible"/>
      </filters>
    </filterColumn>
    <sortState xmlns:xlrd2="http://schemas.microsoft.com/office/spreadsheetml/2017/richdata2" ref="A9:AE78">
      <sortCondition ref="N1:N146"/>
    </sortState>
  </autoFilter>
  <conditionalFormatting sqref="A1:AD146">
    <cfRule type="expression" dxfId="23" priority="3">
      <formula>ROW()=CELL("fila")</formula>
    </cfRule>
  </conditionalFormatting>
  <conditionalFormatting sqref="AE1">
    <cfRule type="expression" dxfId="22" priority="2">
      <formula>ROW()=CELL("fila")</formula>
    </cfRule>
  </conditionalFormatting>
  <conditionalFormatting sqref="AE2:AE146">
    <cfRule type="expression" dxfId="21" priority="1">
      <formula>ROW()=CELL("fila")</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52476B3-AEA6-4E79-A4E8-8AB0BE56A9FC}">
          <x14:formula1>
            <xm:f>Datos!$C$25:$C$28</xm:f>
          </x14:formula1>
          <xm:sqref>J154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3264E-3184-4280-A404-32BAE7252906}">
  <sheetPr codeName="Hoja4"/>
  <dimension ref="D6:H45"/>
  <sheetViews>
    <sheetView topLeftCell="A34" workbookViewId="0">
      <selection activeCell="D35" sqref="D35:H37"/>
    </sheetView>
  </sheetViews>
  <sheetFormatPr baseColWidth="10" defaultColWidth="11" defaultRowHeight="15.5"/>
  <cols>
    <col min="1" max="3" width="11" style="54"/>
    <col min="4" max="4" width="16.75" style="54" customWidth="1"/>
    <col min="5" max="5" width="12.5" style="54" bestFit="1" customWidth="1"/>
    <col min="6" max="6" width="13.5" style="54" bestFit="1" customWidth="1"/>
    <col min="7" max="7" width="10.5" style="54" bestFit="1" customWidth="1"/>
    <col min="8" max="8" width="12.5" style="54" bestFit="1" customWidth="1"/>
    <col min="9" max="16384" width="11" style="54"/>
  </cols>
  <sheetData>
    <row r="6" spans="4:8">
      <c r="D6" s="55" t="s">
        <v>32</v>
      </c>
      <c r="E6" s="55" t="s">
        <v>28</v>
      </c>
      <c r="F6" s="55" t="s">
        <v>111</v>
      </c>
      <c r="G6" s="55" t="s">
        <v>112</v>
      </c>
      <c r="H6" s="55" t="s">
        <v>48</v>
      </c>
    </row>
    <row r="7" spans="4:8">
      <c r="D7" s="56" t="s">
        <v>176</v>
      </c>
      <c r="E7" s="56">
        <v>1401</v>
      </c>
      <c r="F7" s="57">
        <v>3080</v>
      </c>
      <c r="G7" s="60">
        <v>0.8</v>
      </c>
      <c r="H7" s="57">
        <f t="shared" ref="H7:H11" si="0">F7*G7</f>
        <v>2464</v>
      </c>
    </row>
    <row r="8" spans="4:8">
      <c r="D8" s="56" t="s">
        <v>176</v>
      </c>
      <c r="E8" s="56">
        <v>1501</v>
      </c>
      <c r="F8" s="57">
        <v>3080</v>
      </c>
      <c r="G8" s="60">
        <v>0.8</v>
      </c>
      <c r="H8" s="57">
        <f t="shared" si="0"/>
        <v>2464</v>
      </c>
    </row>
    <row r="9" spans="4:8">
      <c r="D9" s="56" t="s">
        <v>176</v>
      </c>
      <c r="E9" s="56">
        <v>1703</v>
      </c>
      <c r="F9" s="57">
        <v>4150</v>
      </c>
      <c r="G9" s="60">
        <v>0.8</v>
      </c>
      <c r="H9" s="57">
        <f t="shared" si="0"/>
        <v>3320</v>
      </c>
    </row>
    <row r="10" spans="4:8">
      <c r="D10" s="56" t="s">
        <v>176</v>
      </c>
      <c r="E10" s="56">
        <v>1102</v>
      </c>
      <c r="F10" s="57">
        <v>4220</v>
      </c>
      <c r="G10" s="60">
        <v>0.8</v>
      </c>
      <c r="H10" s="57">
        <f t="shared" si="0"/>
        <v>3376</v>
      </c>
    </row>
    <row r="11" spans="4:8">
      <c r="D11" s="56" t="s">
        <v>176</v>
      </c>
      <c r="E11" s="56">
        <v>402</v>
      </c>
      <c r="F11" s="57">
        <v>4240</v>
      </c>
      <c r="G11" s="60">
        <v>0.8</v>
      </c>
      <c r="H11" s="57">
        <f t="shared" si="0"/>
        <v>3392</v>
      </c>
    </row>
    <row r="12" spans="4:8">
      <c r="D12" s="56" t="s">
        <v>176</v>
      </c>
      <c r="E12" s="56">
        <v>1308</v>
      </c>
      <c r="F12" s="57">
        <v>3440</v>
      </c>
      <c r="G12" s="60">
        <v>0.8</v>
      </c>
      <c r="H12" s="57">
        <f t="shared" ref="H12" si="1">F12*G12</f>
        <v>2752</v>
      </c>
    </row>
    <row r="15" spans="4:8">
      <c r="D15" s="55" t="s">
        <v>32</v>
      </c>
      <c r="E15" s="55" t="s">
        <v>28</v>
      </c>
      <c r="F15" s="55" t="s">
        <v>111</v>
      </c>
      <c r="G15" s="55" t="s">
        <v>112</v>
      </c>
      <c r="H15" s="55" t="s">
        <v>48</v>
      </c>
    </row>
    <row r="16" spans="4:8">
      <c r="D16" s="56" t="s">
        <v>204</v>
      </c>
      <c r="E16" s="56">
        <v>302</v>
      </c>
      <c r="F16" s="57">
        <v>4530</v>
      </c>
      <c r="G16" s="60">
        <v>0.8</v>
      </c>
      <c r="H16" s="57">
        <f t="shared" ref="H16:H17" si="2">F16*G16</f>
        <v>3624</v>
      </c>
    </row>
    <row r="17" spans="4:8">
      <c r="D17" s="56" t="s">
        <v>204</v>
      </c>
      <c r="E17" s="56">
        <v>310</v>
      </c>
      <c r="F17" s="57">
        <v>4570</v>
      </c>
      <c r="G17" s="60">
        <v>0.8</v>
      </c>
      <c r="H17" s="57">
        <f t="shared" si="2"/>
        <v>3656</v>
      </c>
    </row>
    <row r="18" spans="4:8">
      <c r="D18" s="56" t="s">
        <v>204</v>
      </c>
      <c r="E18" s="56">
        <v>607</v>
      </c>
      <c r="F18" s="57">
        <v>4320</v>
      </c>
      <c r="G18" s="60">
        <v>0.8</v>
      </c>
      <c r="H18" s="57">
        <f t="shared" ref="H18:H20" si="3">F18*G18</f>
        <v>3456</v>
      </c>
    </row>
    <row r="19" spans="4:8">
      <c r="D19" s="56" t="s">
        <v>204</v>
      </c>
      <c r="E19" s="56">
        <v>707</v>
      </c>
      <c r="F19" s="57">
        <v>4320</v>
      </c>
      <c r="G19" s="60">
        <v>0.8</v>
      </c>
      <c r="H19" s="57">
        <f t="shared" si="3"/>
        <v>3456</v>
      </c>
    </row>
    <row r="20" spans="4:8">
      <c r="D20" s="56" t="s">
        <v>204</v>
      </c>
      <c r="E20" s="56">
        <v>1502</v>
      </c>
      <c r="F20" s="57">
        <v>3725.87</v>
      </c>
      <c r="G20" s="60">
        <v>0.8</v>
      </c>
      <c r="H20" s="57">
        <f t="shared" si="3"/>
        <v>2980.6959999999999</v>
      </c>
    </row>
    <row r="23" spans="4:8">
      <c r="D23" s="55" t="s">
        <v>32</v>
      </c>
      <c r="E23" s="55" t="s">
        <v>28</v>
      </c>
      <c r="F23" s="55" t="s">
        <v>111</v>
      </c>
      <c r="G23" s="55" t="s">
        <v>112</v>
      </c>
      <c r="H23" s="55" t="s">
        <v>48</v>
      </c>
    </row>
    <row r="24" spans="4:8">
      <c r="D24" s="56" t="s">
        <v>136</v>
      </c>
      <c r="E24" s="56">
        <v>1610</v>
      </c>
      <c r="F24" s="57">
        <v>4179</v>
      </c>
      <c r="G24" s="60">
        <v>0.8</v>
      </c>
      <c r="H24" s="57">
        <f t="shared" ref="H24:H27" si="4">F24*G24</f>
        <v>3343.2000000000003</v>
      </c>
    </row>
    <row r="25" spans="4:8">
      <c r="D25" s="56" t="s">
        <v>136</v>
      </c>
      <c r="E25" s="56">
        <v>208</v>
      </c>
      <c r="F25" s="57">
        <v>2750</v>
      </c>
      <c r="G25" s="60">
        <v>0.8</v>
      </c>
      <c r="H25" s="57">
        <f t="shared" si="4"/>
        <v>2200</v>
      </c>
    </row>
    <row r="26" spans="4:8">
      <c r="D26" s="56" t="s">
        <v>136</v>
      </c>
      <c r="E26" s="56">
        <v>2004</v>
      </c>
      <c r="F26" s="57">
        <v>3789</v>
      </c>
      <c r="G26" s="60">
        <v>0.8</v>
      </c>
      <c r="H26" s="57">
        <f t="shared" si="4"/>
        <v>3031.2000000000003</v>
      </c>
    </row>
    <row r="27" spans="4:8">
      <c r="D27" s="56" t="s">
        <v>136</v>
      </c>
      <c r="E27" s="56">
        <v>2104</v>
      </c>
      <c r="F27" s="57">
        <v>3789</v>
      </c>
      <c r="G27" s="60">
        <v>0.8</v>
      </c>
      <c r="H27" s="57">
        <f t="shared" si="4"/>
        <v>3031.2000000000003</v>
      </c>
    </row>
    <row r="29" spans="4:8">
      <c r="D29" s="55" t="s">
        <v>32</v>
      </c>
      <c r="E29" s="55" t="s">
        <v>28</v>
      </c>
      <c r="F29" s="55" t="s">
        <v>111</v>
      </c>
      <c r="G29" s="55" t="s">
        <v>112</v>
      </c>
      <c r="H29" s="55" t="s">
        <v>48</v>
      </c>
    </row>
    <row r="30" spans="4:8">
      <c r="D30" s="56" t="s">
        <v>133</v>
      </c>
      <c r="E30" s="56">
        <v>201</v>
      </c>
      <c r="F30" s="57">
        <v>2750</v>
      </c>
      <c r="G30" s="60">
        <v>0.8</v>
      </c>
      <c r="H30" s="57">
        <f t="shared" ref="H30:H33" si="5">F30*G30</f>
        <v>2200</v>
      </c>
    </row>
    <row r="31" spans="4:8">
      <c r="D31" s="56" t="s">
        <v>133</v>
      </c>
      <c r="E31" s="56">
        <v>208</v>
      </c>
      <c r="F31" s="57">
        <v>2750</v>
      </c>
      <c r="G31" s="60">
        <v>0.8</v>
      </c>
      <c r="H31" s="57">
        <f t="shared" si="5"/>
        <v>2200</v>
      </c>
    </row>
    <row r="32" spans="4:8">
      <c r="D32" s="56" t="s">
        <v>133</v>
      </c>
      <c r="E32" s="56">
        <v>905</v>
      </c>
      <c r="F32" s="57">
        <v>3890</v>
      </c>
      <c r="G32" s="60">
        <v>0.8</v>
      </c>
      <c r="H32" s="57">
        <f t="shared" si="5"/>
        <v>3112</v>
      </c>
    </row>
    <row r="33" spans="4:8">
      <c r="D33" s="56" t="s">
        <v>133</v>
      </c>
      <c r="E33" s="56">
        <v>1208</v>
      </c>
      <c r="F33" s="57">
        <v>2930</v>
      </c>
      <c r="G33" s="60">
        <v>0.8</v>
      </c>
      <c r="H33" s="57">
        <f t="shared" si="5"/>
        <v>2344</v>
      </c>
    </row>
    <row r="35" spans="4:8">
      <c r="D35" s="55" t="s">
        <v>32</v>
      </c>
      <c r="E35" s="55" t="s">
        <v>28</v>
      </c>
      <c r="F35" s="55" t="s">
        <v>111</v>
      </c>
      <c r="G35" s="55" t="s">
        <v>112</v>
      </c>
      <c r="H35" s="55" t="s">
        <v>48</v>
      </c>
    </row>
    <row r="36" spans="4:8">
      <c r="D36" s="56" t="s">
        <v>246</v>
      </c>
      <c r="E36" s="56">
        <v>710</v>
      </c>
      <c r="F36" s="57">
        <v>3080</v>
      </c>
      <c r="G36" s="60">
        <v>0.8</v>
      </c>
      <c r="H36" s="57">
        <f>F36*G36</f>
        <v>2464</v>
      </c>
    </row>
    <row r="37" spans="4:8">
      <c r="D37" s="56" t="s">
        <v>246</v>
      </c>
      <c r="E37" s="56">
        <v>407</v>
      </c>
      <c r="F37" s="57">
        <v>4110</v>
      </c>
      <c r="G37" s="60">
        <v>0.8</v>
      </c>
      <c r="H37" s="57">
        <f t="shared" ref="H37:H39" si="6">F37*G37</f>
        <v>3288</v>
      </c>
    </row>
    <row r="38" spans="4:8">
      <c r="D38" s="56" t="s">
        <v>246</v>
      </c>
      <c r="E38" s="56">
        <v>204</v>
      </c>
      <c r="F38" s="57">
        <v>3080</v>
      </c>
      <c r="G38" s="60">
        <v>0.8</v>
      </c>
      <c r="H38" s="57">
        <f t="shared" si="6"/>
        <v>2464</v>
      </c>
    </row>
    <row r="39" spans="4:8">
      <c r="D39" s="56" t="s">
        <v>246</v>
      </c>
      <c r="E39" s="56">
        <v>1305</v>
      </c>
      <c r="F39" s="57">
        <v>2930</v>
      </c>
      <c r="G39" s="60">
        <v>0.8</v>
      </c>
      <c r="H39" s="57">
        <f t="shared" si="6"/>
        <v>2344</v>
      </c>
    </row>
    <row r="41" spans="4:8">
      <c r="D41" s="55" t="s">
        <v>32</v>
      </c>
      <c r="E41" s="55" t="s">
        <v>28</v>
      </c>
      <c r="F41" s="55" t="s">
        <v>111</v>
      </c>
      <c r="G41" s="55" t="s">
        <v>112</v>
      </c>
      <c r="H41" s="55" t="s">
        <v>48</v>
      </c>
    </row>
    <row r="42" spans="4:8">
      <c r="D42" s="56" t="s">
        <v>288</v>
      </c>
      <c r="E42" s="56">
        <v>312</v>
      </c>
      <c r="F42" s="57">
        <v>4670</v>
      </c>
      <c r="G42" s="60">
        <v>0.8</v>
      </c>
      <c r="H42" s="57">
        <f t="shared" ref="H42:H45" si="7">F42*G42</f>
        <v>3736</v>
      </c>
    </row>
    <row r="43" spans="4:8">
      <c r="D43" s="56" t="s">
        <v>288</v>
      </c>
      <c r="E43" s="56">
        <v>412</v>
      </c>
      <c r="F43" s="57">
        <v>4670</v>
      </c>
      <c r="G43" s="60">
        <v>0.8</v>
      </c>
      <c r="H43" s="57">
        <f t="shared" si="7"/>
        <v>3736</v>
      </c>
    </row>
    <row r="44" spans="4:8">
      <c r="D44" s="56" t="s">
        <v>288</v>
      </c>
      <c r="E44" s="56">
        <v>402</v>
      </c>
      <c r="F44" s="57">
        <v>6370</v>
      </c>
      <c r="G44" s="60">
        <v>0.8</v>
      </c>
      <c r="H44" s="57">
        <f t="shared" si="7"/>
        <v>5096</v>
      </c>
    </row>
    <row r="45" spans="4:8">
      <c r="D45" s="56" t="s">
        <v>288</v>
      </c>
      <c r="E45" s="56">
        <v>1208</v>
      </c>
      <c r="F45" s="57">
        <v>2750</v>
      </c>
      <c r="G45" s="60">
        <v>0.85</v>
      </c>
      <c r="H45" s="57">
        <f t="shared" si="7"/>
        <v>2337.5</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A097C-D8D4-465F-AB7F-BCEB61DB6731}">
  <sheetPr codeName="Hoja12"/>
  <dimension ref="A1:P255"/>
  <sheetViews>
    <sheetView topLeftCell="A54" zoomScale="75" zoomScaleNormal="75" workbookViewId="0">
      <selection activeCell="I138" sqref="I138"/>
    </sheetView>
  </sheetViews>
  <sheetFormatPr baseColWidth="10" defaultColWidth="11.5" defaultRowHeight="18" outlineLevelCol="1"/>
  <cols>
    <col min="1" max="1" width="9.08203125" style="125" customWidth="1"/>
    <col min="2" max="2" width="22.08203125" style="126" customWidth="1"/>
    <col min="3" max="3" width="22.08203125" style="127" customWidth="1" outlineLevel="1"/>
    <col min="4" max="4" width="22.08203125" style="126" customWidth="1"/>
    <col min="5" max="5" width="29.33203125" style="127" bestFit="1" customWidth="1" outlineLevel="1"/>
    <col min="6" max="6" width="22.08203125" style="127" customWidth="1"/>
    <col min="7" max="7" width="18" style="127" customWidth="1"/>
    <col min="8" max="8" width="6" style="128" customWidth="1"/>
    <col min="9" max="9" width="17.08203125" style="126" customWidth="1"/>
    <col min="10" max="10" width="11.83203125" style="129" hidden="1" customWidth="1"/>
    <col min="11" max="11" width="16.5" style="130" customWidth="1" outlineLevel="1"/>
    <col min="12" max="12" width="11.5" style="128"/>
    <col min="13" max="13" width="23.33203125" style="128" customWidth="1"/>
    <col min="14" max="14" width="14.33203125" style="181" bestFit="1" customWidth="1"/>
    <col min="15" max="15" width="12.33203125" style="181" bestFit="1" customWidth="1"/>
    <col min="16" max="16384" width="11.5" style="128"/>
  </cols>
  <sheetData>
    <row r="1" spans="1:15" ht="15.75" hidden="1" customHeight="1"/>
    <row r="2" spans="1:15" ht="15.75" hidden="1" customHeight="1"/>
    <row r="3" spans="1:15" s="132" customFormat="1" ht="15.75" hidden="1" customHeight="1">
      <c r="A3" s="131"/>
      <c r="B3" s="126"/>
      <c r="C3" s="127" t="s">
        <v>206</v>
      </c>
      <c r="D3" s="126"/>
      <c r="E3" s="127" t="s">
        <v>206</v>
      </c>
      <c r="F3" s="127" t="s">
        <v>206</v>
      </c>
      <c r="G3" s="127"/>
      <c r="I3" s="126" t="s">
        <v>207</v>
      </c>
      <c r="J3" s="129"/>
      <c r="K3" s="130" t="s">
        <v>208</v>
      </c>
      <c r="N3" s="181"/>
      <c r="O3" s="181"/>
    </row>
    <row r="4" spans="1:15" ht="15.75" hidden="1" customHeight="1">
      <c r="A4" s="131"/>
      <c r="B4" s="126" t="s">
        <v>209</v>
      </c>
      <c r="C4" s="127">
        <v>3300</v>
      </c>
      <c r="E4" s="127">
        <v>3300</v>
      </c>
      <c r="F4" s="127">
        <v>3300</v>
      </c>
      <c r="I4" s="126">
        <v>37</v>
      </c>
      <c r="K4" s="130">
        <v>270</v>
      </c>
    </row>
    <row r="5" spans="1:15" ht="15.75" hidden="1" customHeight="1">
      <c r="A5" s="131"/>
      <c r="B5" s="126" t="s">
        <v>210</v>
      </c>
      <c r="C5" s="127">
        <v>3500</v>
      </c>
      <c r="E5" s="127">
        <v>3500</v>
      </c>
      <c r="F5" s="127">
        <v>3500</v>
      </c>
      <c r="I5" s="126">
        <v>37</v>
      </c>
      <c r="K5" s="130">
        <v>260</v>
      </c>
    </row>
    <row r="6" spans="1:15" ht="15.75" hidden="1" customHeight="1">
      <c r="A6" s="131"/>
      <c r="B6" s="126" t="s">
        <v>211</v>
      </c>
      <c r="C6" s="127">
        <v>2500</v>
      </c>
      <c r="E6" s="127">
        <v>2500</v>
      </c>
      <c r="F6" s="127">
        <v>2500</v>
      </c>
      <c r="I6" s="126">
        <v>38</v>
      </c>
      <c r="K6" s="130">
        <v>250</v>
      </c>
    </row>
    <row r="7" spans="1:15" ht="15.75" hidden="1" customHeight="1">
      <c r="A7" s="131"/>
    </row>
    <row r="8" spans="1:15" ht="15.75" hidden="1" customHeight="1">
      <c r="A8" s="131"/>
      <c r="B8" s="126" t="s">
        <v>212</v>
      </c>
      <c r="C8" s="133">
        <v>5475</v>
      </c>
      <c r="E8" s="133">
        <v>5475</v>
      </c>
      <c r="F8" s="133">
        <v>5475</v>
      </c>
      <c r="I8" s="126">
        <v>112</v>
      </c>
    </row>
    <row r="9" spans="1:15" ht="15.75" hidden="1" customHeight="1">
      <c r="A9" s="131"/>
    </row>
    <row r="10" spans="1:15" ht="15.75" hidden="1" customHeight="1">
      <c r="A10" s="131"/>
      <c r="C10" s="127">
        <v>9300</v>
      </c>
      <c r="E10" s="127">
        <v>9300</v>
      </c>
      <c r="F10" s="127">
        <v>9300</v>
      </c>
    </row>
    <row r="11" spans="1:15" ht="15.75" hidden="1" customHeight="1">
      <c r="A11" s="131"/>
      <c r="B11" s="126" t="s">
        <v>209</v>
      </c>
    </row>
    <row r="12" spans="1:15" ht="15.75" hidden="1" customHeight="1">
      <c r="A12" s="131"/>
      <c r="B12" s="126" t="s">
        <v>210</v>
      </c>
    </row>
    <row r="13" spans="1:15" ht="15.75" hidden="1" customHeight="1">
      <c r="A13" s="131"/>
      <c r="B13" s="126" t="s">
        <v>211</v>
      </c>
    </row>
    <row r="14" spans="1:15" ht="15.75" hidden="1" customHeight="1">
      <c r="A14" s="131"/>
    </row>
    <row r="15" spans="1:15" ht="15.75" hidden="1" customHeight="1">
      <c r="A15" s="131"/>
    </row>
    <row r="16" spans="1:15" s="135" customFormat="1" ht="24.75" customHeight="1">
      <c r="A16" s="134" t="s">
        <v>213</v>
      </c>
      <c r="B16" s="134"/>
      <c r="C16" s="134"/>
      <c r="D16" s="134"/>
      <c r="E16" s="134"/>
      <c r="F16" s="134"/>
      <c r="G16" s="134"/>
      <c r="H16" s="134"/>
      <c r="I16" s="134"/>
      <c r="J16" s="134"/>
      <c r="K16" s="134"/>
      <c r="L16" s="134"/>
      <c r="N16" s="182"/>
      <c r="O16" s="182"/>
    </row>
    <row r="17" spans="1:15" s="135" customFormat="1" ht="24.75" customHeight="1">
      <c r="A17" s="134" t="s">
        <v>240</v>
      </c>
      <c r="B17" s="134"/>
      <c r="C17" s="134"/>
      <c r="D17" s="134"/>
      <c r="E17" s="134"/>
      <c r="F17" s="134"/>
      <c r="G17" s="134"/>
      <c r="H17" s="134"/>
      <c r="I17" s="134"/>
      <c r="J17" s="134"/>
      <c r="K17" s="134"/>
      <c r="N17" s="182"/>
      <c r="O17" s="182"/>
    </row>
    <row r="18" spans="1:15">
      <c r="K18" s="136"/>
    </row>
    <row r="19" spans="1:15" s="137" customFormat="1" ht="18.5" thickBot="1">
      <c r="A19" s="125"/>
      <c r="B19" s="126"/>
      <c r="C19" s="127"/>
      <c r="D19" s="126"/>
      <c r="E19" s="127"/>
      <c r="F19" s="127"/>
      <c r="G19" s="127"/>
      <c r="I19" s="126"/>
      <c r="J19" s="129"/>
      <c r="K19" s="130"/>
      <c r="L19" s="128"/>
      <c r="M19" s="128"/>
      <c r="N19" s="181"/>
      <c r="O19" s="183"/>
    </row>
    <row r="20" spans="1:15" s="144" customFormat="1" ht="42" customHeight="1" thickBot="1">
      <c r="A20" s="138" t="s">
        <v>214</v>
      </c>
      <c r="B20" s="139" t="s">
        <v>215</v>
      </c>
      <c r="C20" s="140" t="s">
        <v>216</v>
      </c>
      <c r="D20" s="139" t="s">
        <v>217</v>
      </c>
      <c r="E20" s="140" t="s">
        <v>218</v>
      </c>
      <c r="F20" s="140" t="s">
        <v>219</v>
      </c>
      <c r="G20" s="141"/>
      <c r="H20" s="137"/>
      <c r="L20" s="143"/>
      <c r="M20" s="184"/>
      <c r="N20" s="185"/>
      <c r="O20" s="186"/>
    </row>
    <row r="21" spans="1:15" s="137" customFormat="1" ht="19" customHeight="1" thickBot="1">
      <c r="A21" s="145" t="s">
        <v>241</v>
      </c>
      <c r="B21" s="146">
        <v>0</v>
      </c>
      <c r="C21" s="147">
        <v>0</v>
      </c>
      <c r="D21" s="148"/>
      <c r="E21" s="187"/>
      <c r="F21" s="149">
        <v>0</v>
      </c>
      <c r="G21" s="142"/>
      <c r="I21" s="160"/>
      <c r="J21" s="160"/>
      <c r="K21" s="160"/>
      <c r="L21" s="150"/>
      <c r="M21" s="128"/>
      <c r="N21" s="181"/>
      <c r="O21" s="183"/>
    </row>
    <row r="22" spans="1:15" s="137" customFormat="1" ht="19" customHeight="1">
      <c r="A22" s="519" t="s">
        <v>241</v>
      </c>
      <c r="B22" s="161">
        <v>1</v>
      </c>
      <c r="C22" s="188">
        <v>380</v>
      </c>
      <c r="D22" s="189"/>
      <c r="E22" s="189"/>
      <c r="F22" s="164">
        <v>380</v>
      </c>
      <c r="G22" s="142"/>
      <c r="I22" s="160"/>
      <c r="J22" s="160"/>
      <c r="K22" s="160"/>
      <c r="L22" s="150"/>
      <c r="M22" s="128"/>
      <c r="N22" s="181"/>
      <c r="O22" s="183"/>
    </row>
    <row r="23" spans="1:15" s="137" customFormat="1" ht="19" customHeight="1">
      <c r="A23" s="520"/>
      <c r="B23" s="163">
        <v>2</v>
      </c>
      <c r="C23" s="190">
        <v>380</v>
      </c>
      <c r="D23" s="191"/>
      <c r="E23" s="191"/>
      <c r="F23" s="164">
        <v>380</v>
      </c>
      <c r="G23" s="142"/>
      <c r="I23" s="160"/>
      <c r="J23" s="160"/>
      <c r="K23" s="160"/>
      <c r="L23" s="150"/>
      <c r="M23" s="128"/>
      <c r="N23" s="181"/>
      <c r="O23" s="183"/>
    </row>
    <row r="24" spans="1:15" s="137" customFormat="1" ht="19" customHeight="1">
      <c r="A24" s="520"/>
      <c r="B24" s="163">
        <v>3</v>
      </c>
      <c r="C24" s="190">
        <v>380</v>
      </c>
      <c r="D24" s="191"/>
      <c r="E24" s="191"/>
      <c r="F24" s="164">
        <v>380</v>
      </c>
      <c r="G24" s="142"/>
      <c r="I24" s="160"/>
      <c r="J24" s="160"/>
      <c r="K24" s="160"/>
      <c r="L24" s="150"/>
      <c r="M24" s="128"/>
      <c r="N24" s="181"/>
      <c r="O24" s="183"/>
    </row>
    <row r="25" spans="1:15" s="137" customFormat="1" ht="19" customHeight="1">
      <c r="A25" s="520"/>
      <c r="B25" s="163">
        <v>4</v>
      </c>
      <c r="C25" s="190">
        <v>380</v>
      </c>
      <c r="D25" s="191"/>
      <c r="E25" s="191"/>
      <c r="F25" s="164">
        <v>380</v>
      </c>
      <c r="G25" s="142"/>
      <c r="I25" s="160"/>
      <c r="J25" s="160"/>
      <c r="K25" s="160"/>
      <c r="L25" s="150"/>
      <c r="M25" s="128"/>
      <c r="N25" s="181"/>
      <c r="O25" s="183"/>
    </row>
    <row r="26" spans="1:15" s="137" customFormat="1" ht="19" customHeight="1">
      <c r="A26" s="520"/>
      <c r="B26" s="163">
        <v>5</v>
      </c>
      <c r="C26" s="190">
        <v>380</v>
      </c>
      <c r="D26" s="191"/>
      <c r="E26" s="191"/>
      <c r="F26" s="164">
        <v>380</v>
      </c>
      <c r="G26" s="142"/>
      <c r="I26" s="160"/>
      <c r="J26" s="160"/>
      <c r="K26" s="160"/>
      <c r="L26" s="150"/>
      <c r="M26" s="128"/>
      <c r="N26" s="181"/>
      <c r="O26" s="183"/>
    </row>
    <row r="27" spans="1:15" s="137" customFormat="1" ht="19" customHeight="1">
      <c r="A27" s="520"/>
      <c r="B27" s="163">
        <v>6</v>
      </c>
      <c r="C27" s="190">
        <v>380</v>
      </c>
      <c r="D27" s="191"/>
      <c r="E27" s="191"/>
      <c r="F27" s="164">
        <v>380</v>
      </c>
      <c r="G27" s="142"/>
      <c r="I27" s="160"/>
      <c r="J27" s="160"/>
      <c r="K27" s="160"/>
      <c r="L27" s="150"/>
      <c r="M27" s="128"/>
      <c r="N27" s="181"/>
      <c r="O27" s="183"/>
    </row>
    <row r="28" spans="1:15" s="137" customFormat="1" ht="19" customHeight="1">
      <c r="A28" s="520"/>
      <c r="B28" s="163">
        <v>7</v>
      </c>
      <c r="C28" s="190">
        <v>380</v>
      </c>
      <c r="D28" s="191"/>
      <c r="E28" s="191"/>
      <c r="F28" s="164">
        <v>380</v>
      </c>
      <c r="G28" s="142"/>
      <c r="I28" s="160"/>
      <c r="J28" s="160"/>
      <c r="K28" s="160"/>
      <c r="L28" s="128"/>
      <c r="M28" s="128"/>
      <c r="N28" s="181"/>
      <c r="O28" s="183"/>
    </row>
    <row r="29" spans="1:15" s="137" customFormat="1" ht="19" customHeight="1">
      <c r="A29" s="520"/>
      <c r="B29" s="163">
        <v>8</v>
      </c>
      <c r="C29" s="190">
        <v>380</v>
      </c>
      <c r="D29" s="191"/>
      <c r="E29" s="191"/>
      <c r="F29" s="164">
        <v>380</v>
      </c>
      <c r="G29" s="142"/>
      <c r="I29" s="160"/>
      <c r="J29" s="160"/>
      <c r="K29" s="160"/>
      <c r="L29" s="128"/>
      <c r="M29" s="128"/>
      <c r="N29" s="181"/>
      <c r="O29" s="183"/>
    </row>
    <row r="30" spans="1:15" s="137" customFormat="1" ht="19" customHeight="1">
      <c r="A30" s="520"/>
      <c r="B30" s="163">
        <v>9</v>
      </c>
      <c r="C30" s="190">
        <v>380</v>
      </c>
      <c r="D30" s="191"/>
      <c r="E30" s="191"/>
      <c r="F30" s="164">
        <v>380</v>
      </c>
      <c r="G30" s="142"/>
      <c r="I30" s="160"/>
      <c r="J30" s="160"/>
      <c r="K30" s="160"/>
      <c r="L30" s="128"/>
      <c r="M30" s="128"/>
      <c r="N30" s="181"/>
      <c r="O30" s="183"/>
    </row>
    <row r="31" spans="1:15" s="137" customFormat="1" ht="19" customHeight="1">
      <c r="A31" s="520"/>
      <c r="B31" s="163">
        <v>10</v>
      </c>
      <c r="C31" s="190">
        <v>380</v>
      </c>
      <c r="D31" s="191"/>
      <c r="E31" s="191"/>
      <c r="F31" s="164">
        <v>380</v>
      </c>
      <c r="G31" s="142"/>
      <c r="I31" s="160"/>
      <c r="J31" s="160"/>
      <c r="K31" s="160"/>
      <c r="L31" s="128"/>
      <c r="M31" s="128"/>
      <c r="N31" s="181"/>
      <c r="O31" s="183"/>
    </row>
    <row r="32" spans="1:15" s="137" customFormat="1" ht="19" customHeight="1">
      <c r="A32" s="520"/>
      <c r="B32" s="163">
        <v>11</v>
      </c>
      <c r="C32" s="190">
        <v>380</v>
      </c>
      <c r="D32" s="191"/>
      <c r="E32" s="191"/>
      <c r="F32" s="164">
        <v>380</v>
      </c>
      <c r="G32" s="142"/>
      <c r="I32" s="160"/>
      <c r="J32" s="160"/>
      <c r="K32" s="160"/>
      <c r="L32" s="128"/>
      <c r="M32" s="128"/>
      <c r="N32" s="181"/>
      <c r="O32" s="183"/>
    </row>
    <row r="33" spans="1:15" s="137" customFormat="1" ht="19" customHeight="1">
      <c r="A33" s="520"/>
      <c r="B33" s="192">
        <v>12</v>
      </c>
      <c r="C33" s="190">
        <v>380</v>
      </c>
      <c r="D33" s="191"/>
      <c r="E33" s="191"/>
      <c r="F33" s="164">
        <v>380</v>
      </c>
      <c r="G33" s="142"/>
      <c r="I33" s="160"/>
      <c r="J33" s="160"/>
      <c r="K33" s="160"/>
      <c r="L33" s="142"/>
      <c r="M33" s="128"/>
      <c r="N33" s="181"/>
      <c r="O33" s="183"/>
    </row>
    <row r="34" spans="1:15" s="137" customFormat="1" ht="19" customHeight="1">
      <c r="A34" s="520"/>
      <c r="B34" s="163">
        <v>13</v>
      </c>
      <c r="C34" s="190">
        <v>380</v>
      </c>
      <c r="D34" s="191"/>
      <c r="E34" s="191"/>
      <c r="F34" s="164">
        <v>380</v>
      </c>
      <c r="G34" s="142"/>
      <c r="I34" s="160"/>
      <c r="J34" s="160"/>
      <c r="K34" s="160"/>
      <c r="L34" s="152"/>
      <c r="M34" s="128"/>
      <c r="N34" s="181"/>
      <c r="O34" s="183"/>
    </row>
    <row r="35" spans="1:15" s="137" customFormat="1" ht="19" customHeight="1">
      <c r="A35" s="520"/>
      <c r="B35" s="163">
        <v>14</v>
      </c>
      <c r="C35" s="190">
        <v>380</v>
      </c>
      <c r="D35" s="191"/>
      <c r="E35" s="191"/>
      <c r="F35" s="164">
        <v>380</v>
      </c>
      <c r="G35" s="142"/>
      <c r="I35" s="160"/>
      <c r="J35" s="160"/>
      <c r="K35" s="160"/>
      <c r="L35" s="152"/>
      <c r="M35" s="128"/>
      <c r="N35" s="181"/>
      <c r="O35" s="183"/>
    </row>
    <row r="36" spans="1:15" s="137" customFormat="1" ht="19" customHeight="1">
      <c r="A36" s="520"/>
      <c r="B36" s="163">
        <v>15</v>
      </c>
      <c r="C36" s="190">
        <v>380</v>
      </c>
      <c r="D36" s="191"/>
      <c r="E36" s="191"/>
      <c r="F36" s="164">
        <v>380</v>
      </c>
      <c r="G36" s="142"/>
      <c r="I36" s="160"/>
      <c r="J36" s="160"/>
      <c r="K36" s="160"/>
      <c r="L36" s="152"/>
      <c r="M36" s="128"/>
      <c r="N36" s="181"/>
      <c r="O36" s="183"/>
    </row>
    <row r="37" spans="1:15" s="137" customFormat="1" ht="19" customHeight="1">
      <c r="A37" s="520"/>
      <c r="B37" s="163">
        <v>16</v>
      </c>
      <c r="C37" s="190">
        <v>380</v>
      </c>
      <c r="D37" s="191"/>
      <c r="E37" s="191"/>
      <c r="F37" s="164">
        <v>380</v>
      </c>
      <c r="G37" s="142"/>
      <c r="I37" s="160"/>
      <c r="J37" s="160"/>
      <c r="K37" s="160" t="s">
        <v>242</v>
      </c>
      <c r="L37" s="152"/>
      <c r="M37" s="128"/>
      <c r="N37" s="181"/>
      <c r="O37" s="183"/>
    </row>
    <row r="38" spans="1:15" s="137" customFormat="1" ht="19" customHeight="1">
      <c r="A38" s="520"/>
      <c r="B38" s="163">
        <v>17</v>
      </c>
      <c r="C38" s="190">
        <v>380</v>
      </c>
      <c r="D38" s="191"/>
      <c r="E38" s="191"/>
      <c r="F38" s="164">
        <v>380</v>
      </c>
      <c r="G38" s="142"/>
      <c r="I38" s="160"/>
      <c r="J38" s="160"/>
      <c r="K38" s="160"/>
      <c r="L38" s="152"/>
      <c r="M38" s="128"/>
      <c r="N38" s="181"/>
      <c r="O38" s="183"/>
    </row>
    <row r="39" spans="1:15" s="137" customFormat="1" ht="19" customHeight="1">
      <c r="A39" s="520"/>
      <c r="B39" s="163">
        <v>18</v>
      </c>
      <c r="C39" s="190">
        <v>380</v>
      </c>
      <c r="D39" s="191"/>
      <c r="E39" s="191"/>
      <c r="F39" s="164">
        <v>380</v>
      </c>
      <c r="G39" s="142"/>
      <c r="I39" s="160"/>
      <c r="J39" s="160"/>
      <c r="K39" s="160"/>
      <c r="L39" s="152"/>
      <c r="M39" s="128"/>
      <c r="N39" s="181"/>
      <c r="O39" s="183"/>
    </row>
    <row r="40" spans="1:15" s="137" customFormat="1" ht="19" customHeight="1">
      <c r="A40" s="520"/>
      <c r="B40" s="163">
        <v>19</v>
      </c>
      <c r="C40" s="190">
        <v>380</v>
      </c>
      <c r="D40" s="191"/>
      <c r="E40" s="191"/>
      <c r="F40" s="164">
        <v>380</v>
      </c>
      <c r="G40" s="142"/>
      <c r="I40" s="160"/>
      <c r="J40" s="160"/>
      <c r="K40" s="160"/>
      <c r="L40" s="152"/>
      <c r="M40" s="128"/>
      <c r="N40" s="181"/>
      <c r="O40" s="183"/>
    </row>
    <row r="41" spans="1:15" s="137" customFormat="1" ht="19" customHeight="1">
      <c r="A41" s="520"/>
      <c r="B41" s="163">
        <v>20</v>
      </c>
      <c r="C41" s="190">
        <v>380</v>
      </c>
      <c r="D41" s="191"/>
      <c r="E41" s="191"/>
      <c r="F41" s="164">
        <v>380</v>
      </c>
      <c r="G41" s="142"/>
      <c r="I41" s="160"/>
      <c r="J41" s="160"/>
      <c r="K41" s="160"/>
      <c r="L41" s="152"/>
      <c r="M41" s="128"/>
      <c r="N41" s="181"/>
      <c r="O41" s="183"/>
    </row>
    <row r="42" spans="1:15" s="137" customFormat="1" ht="19" customHeight="1">
      <c r="A42" s="520"/>
      <c r="B42" s="163">
        <v>21</v>
      </c>
      <c r="C42" s="190">
        <v>380</v>
      </c>
      <c r="D42" s="191"/>
      <c r="E42" s="191"/>
      <c r="F42" s="164">
        <v>380</v>
      </c>
      <c r="G42" s="142"/>
      <c r="I42" s="160"/>
      <c r="J42" s="160"/>
      <c r="K42" s="160"/>
      <c r="L42" s="152"/>
      <c r="M42" s="128"/>
      <c r="N42" s="181"/>
      <c r="O42" s="183"/>
    </row>
    <row r="43" spans="1:15" s="137" customFormat="1" ht="19" customHeight="1" thickBot="1">
      <c r="A43" s="520"/>
      <c r="B43" s="163">
        <v>22</v>
      </c>
      <c r="C43" s="190">
        <v>380</v>
      </c>
      <c r="D43" s="191"/>
      <c r="E43" s="191"/>
      <c r="F43" s="164">
        <v>380</v>
      </c>
      <c r="G43" s="142"/>
      <c r="I43" s="193" t="s">
        <v>220</v>
      </c>
      <c r="J43" s="193" t="s">
        <v>221</v>
      </c>
      <c r="K43" s="193" t="s">
        <v>222</v>
      </c>
      <c r="L43" s="152"/>
      <c r="M43" s="128" t="s">
        <v>243</v>
      </c>
    </row>
    <row r="44" spans="1:15" s="137" customFormat="1" ht="19" customHeight="1" thickBot="1">
      <c r="A44" s="521"/>
      <c r="B44" s="167">
        <v>23</v>
      </c>
      <c r="C44" s="194">
        <v>380</v>
      </c>
      <c r="D44" s="195"/>
      <c r="E44" s="195"/>
      <c r="F44" s="166">
        <v>380</v>
      </c>
      <c r="G44" s="142"/>
      <c r="H44" s="145"/>
      <c r="I44" s="196">
        <v>0</v>
      </c>
      <c r="J44" s="197">
        <v>0</v>
      </c>
      <c r="K44" s="198">
        <v>0</v>
      </c>
      <c r="L44" s="152"/>
      <c r="N44" s="199" t="s">
        <v>217</v>
      </c>
      <c r="O44" s="200" t="s">
        <v>215</v>
      </c>
    </row>
    <row r="45" spans="1:15" s="137" customFormat="1" ht="19" customHeight="1" thickBot="1">
      <c r="G45" s="142"/>
      <c r="H45" s="519" t="s">
        <v>244</v>
      </c>
      <c r="I45" s="215">
        <v>1</v>
      </c>
      <c r="J45" s="216">
        <v>2.86</v>
      </c>
      <c r="K45" s="217">
        <v>130</v>
      </c>
      <c r="L45" s="152"/>
      <c r="M45" s="128"/>
      <c r="N45" s="201">
        <v>6</v>
      </c>
      <c r="O45" s="202">
        <v>41</v>
      </c>
    </row>
    <row r="46" spans="1:15" s="137" customFormat="1" ht="19" customHeight="1">
      <c r="A46" s="519" t="s">
        <v>244</v>
      </c>
      <c r="B46" s="161">
        <v>24</v>
      </c>
      <c r="C46" s="188">
        <v>400</v>
      </c>
      <c r="D46" s="215">
        <v>85</v>
      </c>
      <c r="E46" s="218">
        <f>VLOOKUP(D46,$I$44:$K$147,3,)</f>
        <v>130</v>
      </c>
      <c r="F46" s="217">
        <f>C46+E46</f>
        <v>530</v>
      </c>
      <c r="G46" s="142"/>
      <c r="H46" s="520"/>
      <c r="I46" s="155">
        <v>2</v>
      </c>
      <c r="J46" s="156">
        <v>2.86</v>
      </c>
      <c r="K46" s="154">
        <v>130</v>
      </c>
      <c r="L46" s="152"/>
      <c r="M46" s="128"/>
      <c r="N46" s="201">
        <v>15</v>
      </c>
      <c r="O46" s="202">
        <v>38</v>
      </c>
    </row>
    <row r="47" spans="1:15" s="137" customFormat="1" ht="19" customHeight="1">
      <c r="A47" s="520"/>
      <c r="B47" s="153">
        <v>25</v>
      </c>
      <c r="C47" s="203">
        <v>400</v>
      </c>
      <c r="D47" s="151"/>
      <c r="E47" s="191"/>
      <c r="F47" s="154">
        <f t="shared" ref="F47:F110" si="0">C47+E47</f>
        <v>400</v>
      </c>
      <c r="G47" s="142"/>
      <c r="H47" s="520"/>
      <c r="I47" s="155">
        <v>3</v>
      </c>
      <c r="J47" s="156">
        <v>2.97</v>
      </c>
      <c r="K47" s="154">
        <v>130</v>
      </c>
      <c r="L47" s="152"/>
      <c r="M47" s="128"/>
      <c r="N47" s="201">
        <v>56</v>
      </c>
      <c r="O47" s="202">
        <v>87</v>
      </c>
    </row>
    <row r="48" spans="1:15" s="137" customFormat="1" ht="19" customHeight="1">
      <c r="A48" s="520"/>
      <c r="B48" s="153">
        <v>26</v>
      </c>
      <c r="C48" s="203">
        <v>400</v>
      </c>
      <c r="D48" s="151"/>
      <c r="E48" s="191"/>
      <c r="F48" s="154">
        <f t="shared" si="0"/>
        <v>400</v>
      </c>
      <c r="G48" s="142"/>
      <c r="H48" s="520"/>
      <c r="I48" s="155">
        <v>4</v>
      </c>
      <c r="J48" s="156">
        <v>3.11</v>
      </c>
      <c r="K48" s="154">
        <v>130</v>
      </c>
      <c r="L48" s="152"/>
      <c r="M48" s="128"/>
      <c r="N48" s="201">
        <v>67</v>
      </c>
      <c r="O48" s="202">
        <v>86</v>
      </c>
    </row>
    <row r="49" spans="1:15" s="137" customFormat="1" ht="19" customHeight="1">
      <c r="A49" s="520"/>
      <c r="B49" s="153">
        <v>27</v>
      </c>
      <c r="C49" s="203">
        <v>400</v>
      </c>
      <c r="D49" s="151"/>
      <c r="E49" s="191"/>
      <c r="F49" s="154">
        <f t="shared" si="0"/>
        <v>400</v>
      </c>
      <c r="G49" s="142"/>
      <c r="H49" s="520"/>
      <c r="I49" s="155">
        <v>5</v>
      </c>
      <c r="J49" s="156">
        <v>2.98</v>
      </c>
      <c r="K49" s="154">
        <v>130</v>
      </c>
      <c r="L49" s="152"/>
      <c r="M49" s="128"/>
      <c r="N49" s="201">
        <v>70</v>
      </c>
      <c r="O49" s="202">
        <v>65</v>
      </c>
    </row>
    <row r="50" spans="1:15" s="137" customFormat="1" ht="19" customHeight="1">
      <c r="A50" s="520"/>
      <c r="B50" s="153">
        <v>28</v>
      </c>
      <c r="C50" s="203">
        <v>400</v>
      </c>
      <c r="D50" s="151"/>
      <c r="E50" s="191"/>
      <c r="F50" s="154">
        <f t="shared" si="0"/>
        <v>400</v>
      </c>
      <c r="G50" s="142"/>
      <c r="H50" s="520"/>
      <c r="I50" s="162">
        <v>6</v>
      </c>
      <c r="J50" s="165">
        <v>2.98</v>
      </c>
      <c r="K50" s="164">
        <v>130</v>
      </c>
      <c r="L50" s="152"/>
      <c r="M50" s="128"/>
      <c r="N50" s="201">
        <v>71</v>
      </c>
      <c r="O50" s="202">
        <v>44</v>
      </c>
    </row>
    <row r="51" spans="1:15" s="137" customFormat="1" ht="19" customHeight="1">
      <c r="A51" s="520"/>
      <c r="B51" s="163">
        <v>29</v>
      </c>
      <c r="C51" s="190">
        <v>400</v>
      </c>
      <c r="D51" s="162">
        <v>86</v>
      </c>
      <c r="E51" s="204">
        <f t="shared" ref="E51:E57" si="1">VLOOKUP(D51,$I$44:$K$147,3,)</f>
        <v>290</v>
      </c>
      <c r="F51" s="164">
        <f t="shared" si="0"/>
        <v>690</v>
      </c>
      <c r="G51" s="142"/>
      <c r="H51" s="520"/>
      <c r="I51" s="155">
        <v>7</v>
      </c>
      <c r="J51" s="156">
        <v>2.48</v>
      </c>
      <c r="K51" s="154">
        <v>120</v>
      </c>
      <c r="L51" s="152"/>
      <c r="M51" s="128"/>
      <c r="N51" s="201">
        <v>72</v>
      </c>
      <c r="O51" s="202">
        <v>45</v>
      </c>
    </row>
    <row r="52" spans="1:15" s="137" customFormat="1" ht="19" customHeight="1">
      <c r="A52" s="520"/>
      <c r="B52" s="163">
        <v>30</v>
      </c>
      <c r="C52" s="190">
        <v>400</v>
      </c>
      <c r="D52" s="162">
        <v>87</v>
      </c>
      <c r="E52" s="204">
        <f t="shared" si="1"/>
        <v>290</v>
      </c>
      <c r="F52" s="164">
        <f t="shared" si="0"/>
        <v>690</v>
      </c>
      <c r="G52" s="142"/>
      <c r="H52" s="520"/>
      <c r="I52" s="162">
        <v>8</v>
      </c>
      <c r="J52" s="165">
        <v>3.61</v>
      </c>
      <c r="K52" s="164">
        <v>160</v>
      </c>
      <c r="L52" s="152"/>
      <c r="M52" s="128"/>
      <c r="N52" s="201">
        <v>73</v>
      </c>
      <c r="O52" s="202">
        <v>46</v>
      </c>
    </row>
    <row r="53" spans="1:15" s="137" customFormat="1" ht="19" customHeight="1">
      <c r="A53" s="520"/>
      <c r="B53" s="163">
        <v>31</v>
      </c>
      <c r="C53" s="190">
        <v>400</v>
      </c>
      <c r="D53" s="162">
        <v>88</v>
      </c>
      <c r="E53" s="204">
        <f t="shared" si="1"/>
        <v>290</v>
      </c>
      <c r="F53" s="164">
        <f t="shared" si="0"/>
        <v>690</v>
      </c>
      <c r="G53" s="142"/>
      <c r="H53" s="520"/>
      <c r="I53" s="162">
        <v>9</v>
      </c>
      <c r="J53" s="165">
        <v>3.51</v>
      </c>
      <c r="K53" s="164">
        <v>160</v>
      </c>
      <c r="L53" s="152"/>
      <c r="M53" s="128"/>
      <c r="N53" s="201">
        <v>74</v>
      </c>
      <c r="O53" s="202">
        <v>64</v>
      </c>
    </row>
    <row r="54" spans="1:15" s="137" customFormat="1" ht="19" customHeight="1">
      <c r="A54" s="520"/>
      <c r="B54" s="163">
        <v>32</v>
      </c>
      <c r="C54" s="190">
        <v>400</v>
      </c>
      <c r="D54" s="162">
        <v>89</v>
      </c>
      <c r="E54" s="204">
        <f t="shared" si="1"/>
        <v>290</v>
      </c>
      <c r="F54" s="164">
        <f t="shared" si="0"/>
        <v>690</v>
      </c>
      <c r="G54" s="142"/>
      <c r="H54" s="520"/>
      <c r="I54" s="162">
        <v>10</v>
      </c>
      <c r="J54" s="165">
        <v>3.67</v>
      </c>
      <c r="K54" s="164">
        <v>170</v>
      </c>
      <c r="L54" s="152"/>
      <c r="M54" s="128"/>
      <c r="N54" s="201">
        <v>75</v>
      </c>
      <c r="O54" s="202">
        <v>48</v>
      </c>
    </row>
    <row r="55" spans="1:15" s="137" customFormat="1" ht="19" customHeight="1">
      <c r="A55" s="520"/>
      <c r="B55" s="163">
        <v>33</v>
      </c>
      <c r="C55" s="190">
        <v>400</v>
      </c>
      <c r="D55" s="162">
        <v>90</v>
      </c>
      <c r="E55" s="204">
        <f t="shared" si="1"/>
        <v>290</v>
      </c>
      <c r="F55" s="164">
        <f t="shared" si="0"/>
        <v>690</v>
      </c>
      <c r="G55" s="142"/>
      <c r="H55" s="520"/>
      <c r="I55" s="155">
        <v>11</v>
      </c>
      <c r="J55" s="156">
        <v>3.52</v>
      </c>
      <c r="K55" s="154">
        <v>160</v>
      </c>
      <c r="L55" s="152"/>
      <c r="M55" s="128"/>
      <c r="N55" s="201">
        <v>76</v>
      </c>
      <c r="O55" s="202">
        <v>62</v>
      </c>
    </row>
    <row r="56" spans="1:15" s="137" customFormat="1" ht="19" customHeight="1">
      <c r="A56" s="520"/>
      <c r="B56" s="163">
        <v>34</v>
      </c>
      <c r="C56" s="190">
        <v>400</v>
      </c>
      <c r="D56" s="162">
        <v>91</v>
      </c>
      <c r="E56" s="204">
        <f t="shared" si="1"/>
        <v>290</v>
      </c>
      <c r="F56" s="164">
        <f t="shared" si="0"/>
        <v>690</v>
      </c>
      <c r="G56" s="142"/>
      <c r="H56" s="520"/>
      <c r="I56" s="155">
        <v>12</v>
      </c>
      <c r="J56" s="156">
        <v>3.52</v>
      </c>
      <c r="K56" s="154">
        <v>160</v>
      </c>
      <c r="L56" s="152"/>
      <c r="M56" s="128"/>
      <c r="N56" s="201">
        <v>77</v>
      </c>
      <c r="O56" s="202">
        <v>61</v>
      </c>
    </row>
    <row r="57" spans="1:15" s="137" customFormat="1" ht="19" customHeight="1">
      <c r="A57" s="520"/>
      <c r="B57" s="163">
        <v>35</v>
      </c>
      <c r="C57" s="190">
        <v>400</v>
      </c>
      <c r="D57" s="162">
        <v>92</v>
      </c>
      <c r="E57" s="204">
        <f t="shared" si="1"/>
        <v>290</v>
      </c>
      <c r="F57" s="164">
        <f t="shared" si="0"/>
        <v>690</v>
      </c>
      <c r="G57" s="142"/>
      <c r="H57" s="520"/>
      <c r="I57" s="155">
        <v>13</v>
      </c>
      <c r="J57" s="156">
        <v>3.52</v>
      </c>
      <c r="K57" s="154">
        <v>160</v>
      </c>
      <c r="L57" s="152"/>
      <c r="M57" s="128"/>
      <c r="N57" s="201">
        <v>79</v>
      </c>
      <c r="O57" s="202">
        <v>50</v>
      </c>
    </row>
    <row r="58" spans="1:15" s="137" customFormat="1" ht="19" customHeight="1">
      <c r="A58" s="520"/>
      <c r="B58" s="153">
        <v>36</v>
      </c>
      <c r="C58" s="203">
        <v>400</v>
      </c>
      <c r="D58" s="151"/>
      <c r="E58" s="191"/>
      <c r="F58" s="154">
        <f t="shared" si="0"/>
        <v>400</v>
      </c>
      <c r="G58" s="142"/>
      <c r="H58" s="520"/>
      <c r="I58" s="155">
        <v>14</v>
      </c>
      <c r="J58" s="156">
        <v>3.52</v>
      </c>
      <c r="K58" s="154">
        <v>160</v>
      </c>
      <c r="L58" s="152"/>
      <c r="M58" s="128"/>
      <c r="N58" s="201">
        <v>80</v>
      </c>
      <c r="O58" s="202">
        <v>60</v>
      </c>
    </row>
    <row r="59" spans="1:15" s="137" customFormat="1" ht="19" customHeight="1">
      <c r="A59" s="520"/>
      <c r="B59" s="153">
        <v>37</v>
      </c>
      <c r="C59" s="203">
        <v>400</v>
      </c>
      <c r="D59" s="151"/>
      <c r="E59" s="191"/>
      <c r="F59" s="154">
        <f t="shared" si="0"/>
        <v>400</v>
      </c>
      <c r="G59" s="142"/>
      <c r="H59" s="520"/>
      <c r="I59" s="162">
        <v>15</v>
      </c>
      <c r="J59" s="165">
        <v>3.65</v>
      </c>
      <c r="K59" s="164">
        <v>170</v>
      </c>
      <c r="L59" s="152"/>
      <c r="M59" s="128"/>
      <c r="N59" s="201">
        <v>81</v>
      </c>
      <c r="O59" s="202">
        <v>59</v>
      </c>
    </row>
    <row r="60" spans="1:15" s="137" customFormat="1" ht="19" customHeight="1">
      <c r="A60" s="520"/>
      <c r="B60" s="163">
        <v>38</v>
      </c>
      <c r="C60" s="190">
        <v>400</v>
      </c>
      <c r="D60" s="162">
        <v>15</v>
      </c>
      <c r="E60" s="204">
        <f>VLOOKUP(D60,$I$44:$K$147,3,)</f>
        <v>170</v>
      </c>
      <c r="F60" s="164">
        <f t="shared" si="0"/>
        <v>570</v>
      </c>
      <c r="G60" s="142"/>
      <c r="H60" s="520"/>
      <c r="I60" s="155">
        <v>16</v>
      </c>
      <c r="J60" s="156">
        <v>2.69</v>
      </c>
      <c r="K60" s="154">
        <v>130</v>
      </c>
      <c r="L60" s="152"/>
      <c r="M60" s="128"/>
      <c r="N60" s="201">
        <v>82</v>
      </c>
      <c r="O60" s="202">
        <v>52</v>
      </c>
    </row>
    <row r="61" spans="1:15" s="137" customFormat="1" ht="19" customHeight="1">
      <c r="A61" s="520"/>
      <c r="B61" s="163">
        <v>39</v>
      </c>
      <c r="C61" s="190">
        <v>400</v>
      </c>
      <c r="D61" s="151"/>
      <c r="E61" s="191"/>
      <c r="F61" s="164">
        <f t="shared" si="0"/>
        <v>400</v>
      </c>
      <c r="G61" s="142"/>
      <c r="H61" s="520"/>
      <c r="I61" s="155">
        <v>17</v>
      </c>
      <c r="J61" s="156">
        <v>3.19</v>
      </c>
      <c r="K61" s="154">
        <v>140</v>
      </c>
      <c r="L61" s="152"/>
      <c r="M61" s="128"/>
      <c r="N61" s="201">
        <v>83</v>
      </c>
      <c r="O61" s="202">
        <v>53</v>
      </c>
    </row>
    <row r="62" spans="1:15" s="137" customFormat="1" ht="19" customHeight="1">
      <c r="A62" s="520"/>
      <c r="B62" s="153">
        <v>40</v>
      </c>
      <c r="C62" s="203">
        <v>400</v>
      </c>
      <c r="D62" s="151"/>
      <c r="E62" s="191"/>
      <c r="F62" s="154">
        <f t="shared" si="0"/>
        <v>400</v>
      </c>
      <c r="G62" s="142"/>
      <c r="H62" s="520"/>
      <c r="I62" s="155">
        <v>18</v>
      </c>
      <c r="J62" s="156">
        <v>3.19</v>
      </c>
      <c r="K62" s="154">
        <v>140</v>
      </c>
      <c r="L62" s="152"/>
      <c r="M62" s="128"/>
      <c r="N62" s="201">
        <v>84</v>
      </c>
      <c r="O62" s="202">
        <v>58</v>
      </c>
    </row>
    <row r="63" spans="1:15" s="137" customFormat="1" ht="19" customHeight="1">
      <c r="A63" s="520"/>
      <c r="B63" s="163">
        <v>41</v>
      </c>
      <c r="C63" s="190">
        <v>400</v>
      </c>
      <c r="D63" s="162">
        <v>6</v>
      </c>
      <c r="E63" s="204">
        <f>VLOOKUP(D63,$I$44:$K$147,3,)</f>
        <v>130</v>
      </c>
      <c r="F63" s="164">
        <f t="shared" si="0"/>
        <v>530</v>
      </c>
      <c r="G63" s="142"/>
      <c r="H63" s="520"/>
      <c r="I63" s="155">
        <v>19</v>
      </c>
      <c r="J63" s="156">
        <v>3.19</v>
      </c>
      <c r="K63" s="154">
        <v>140</v>
      </c>
      <c r="L63" s="152"/>
      <c r="M63" s="128"/>
      <c r="N63" s="201">
        <v>85</v>
      </c>
      <c r="O63" s="202">
        <v>24</v>
      </c>
    </row>
    <row r="64" spans="1:15" s="137" customFormat="1" ht="19" customHeight="1">
      <c r="A64" s="520"/>
      <c r="B64" s="153">
        <v>42</v>
      </c>
      <c r="C64" s="203">
        <v>400</v>
      </c>
      <c r="D64" s="151"/>
      <c r="E64" s="191"/>
      <c r="F64" s="154">
        <f t="shared" si="0"/>
        <v>400</v>
      </c>
      <c r="G64" s="142"/>
      <c r="H64" s="520"/>
      <c r="I64" s="155">
        <v>20</v>
      </c>
      <c r="J64" s="156">
        <v>3.19</v>
      </c>
      <c r="K64" s="154">
        <v>140</v>
      </c>
      <c r="L64" s="152"/>
      <c r="M64" s="128"/>
      <c r="N64" s="201">
        <v>86</v>
      </c>
      <c r="O64" s="202">
        <v>29</v>
      </c>
    </row>
    <row r="65" spans="1:15" s="137" customFormat="1" ht="19" customHeight="1">
      <c r="A65" s="520"/>
      <c r="B65" s="153">
        <v>43</v>
      </c>
      <c r="C65" s="203">
        <v>400</v>
      </c>
      <c r="D65" s="151"/>
      <c r="E65" s="191"/>
      <c r="F65" s="154">
        <f t="shared" si="0"/>
        <v>400</v>
      </c>
      <c r="G65" s="142"/>
      <c r="H65" s="520"/>
      <c r="I65" s="155">
        <v>21</v>
      </c>
      <c r="J65" s="156">
        <v>3.61</v>
      </c>
      <c r="K65" s="154">
        <v>160</v>
      </c>
      <c r="L65" s="152"/>
      <c r="M65" s="128"/>
      <c r="N65" s="201">
        <v>87</v>
      </c>
      <c r="O65" s="202">
        <v>30</v>
      </c>
    </row>
    <row r="66" spans="1:15" s="137" customFormat="1" ht="19" customHeight="1">
      <c r="A66" s="520"/>
      <c r="B66" s="153">
        <v>44</v>
      </c>
      <c r="C66" s="203">
        <v>400</v>
      </c>
      <c r="D66" s="155">
        <v>71</v>
      </c>
      <c r="E66" s="205">
        <f>VLOOKUP(D66,$I$44:$K$147,3,)</f>
        <v>140</v>
      </c>
      <c r="F66" s="154">
        <f t="shared" si="0"/>
        <v>540</v>
      </c>
      <c r="G66" s="142"/>
      <c r="H66" s="520"/>
      <c r="I66" s="155">
        <v>22</v>
      </c>
      <c r="J66" s="156">
        <v>3.61</v>
      </c>
      <c r="K66" s="154">
        <v>160</v>
      </c>
      <c r="L66" s="152"/>
      <c r="M66" s="128"/>
      <c r="N66" s="201">
        <v>88</v>
      </c>
      <c r="O66" s="202">
        <v>31</v>
      </c>
    </row>
    <row r="67" spans="1:15" s="137" customFormat="1" ht="19" customHeight="1">
      <c r="A67" s="520"/>
      <c r="B67" s="163">
        <v>45</v>
      </c>
      <c r="C67" s="190">
        <v>400</v>
      </c>
      <c r="D67" s="162">
        <v>72</v>
      </c>
      <c r="E67" s="204">
        <f>VLOOKUP(D67,$I$44:$K$147,3,)</f>
        <v>190</v>
      </c>
      <c r="F67" s="164">
        <f t="shared" si="0"/>
        <v>590</v>
      </c>
      <c r="G67" s="142"/>
      <c r="H67" s="520"/>
      <c r="I67" s="162">
        <v>23</v>
      </c>
      <c r="J67" s="165">
        <v>4.74</v>
      </c>
      <c r="K67" s="164">
        <v>210</v>
      </c>
      <c r="L67" s="152"/>
      <c r="M67" s="128"/>
      <c r="N67" s="201">
        <v>89</v>
      </c>
      <c r="O67" s="202">
        <v>32</v>
      </c>
    </row>
    <row r="68" spans="1:15" s="137" customFormat="1" ht="19" customHeight="1">
      <c r="A68" s="520"/>
      <c r="B68" s="163">
        <v>46</v>
      </c>
      <c r="C68" s="190">
        <v>400</v>
      </c>
      <c r="D68" s="162">
        <v>73</v>
      </c>
      <c r="E68" s="204">
        <f>VLOOKUP(D68,$I$44:$K$147,3,)</f>
        <v>180</v>
      </c>
      <c r="F68" s="164">
        <f t="shared" si="0"/>
        <v>580</v>
      </c>
      <c r="G68" s="142"/>
      <c r="H68" s="520"/>
      <c r="I68" s="155">
        <v>24</v>
      </c>
      <c r="J68" s="156">
        <v>2.64</v>
      </c>
      <c r="K68" s="154">
        <v>130</v>
      </c>
      <c r="L68" s="152"/>
      <c r="M68" s="128"/>
      <c r="N68" s="201">
        <v>90</v>
      </c>
      <c r="O68" s="202">
        <v>33</v>
      </c>
    </row>
    <row r="69" spans="1:15" s="137" customFormat="1" ht="19" customHeight="1">
      <c r="A69" s="520"/>
      <c r="B69" s="153">
        <v>47</v>
      </c>
      <c r="C69" s="203">
        <v>400</v>
      </c>
      <c r="D69" s="151"/>
      <c r="E69" s="191"/>
      <c r="F69" s="154">
        <f t="shared" si="0"/>
        <v>400</v>
      </c>
      <c r="G69" s="142"/>
      <c r="H69" s="520"/>
      <c r="I69" s="155">
        <v>25</v>
      </c>
      <c r="J69" s="156">
        <v>2.64</v>
      </c>
      <c r="K69" s="154">
        <v>130</v>
      </c>
      <c r="L69" s="152"/>
      <c r="M69" s="128"/>
      <c r="N69" s="201">
        <v>91</v>
      </c>
      <c r="O69" s="202">
        <v>34</v>
      </c>
    </row>
    <row r="70" spans="1:15" s="137" customFormat="1" ht="19" customHeight="1">
      <c r="A70" s="520"/>
      <c r="B70" s="163">
        <v>48</v>
      </c>
      <c r="C70" s="190">
        <v>400</v>
      </c>
      <c r="D70" s="162">
        <v>75</v>
      </c>
      <c r="E70" s="204">
        <f>VLOOKUP(D70,$I$44:$K$147,3,)</f>
        <v>210</v>
      </c>
      <c r="F70" s="164">
        <f t="shared" si="0"/>
        <v>610</v>
      </c>
      <c r="G70" s="142"/>
      <c r="H70" s="520"/>
      <c r="I70" s="155">
        <v>26</v>
      </c>
      <c r="J70" s="156">
        <v>2.76</v>
      </c>
      <c r="K70" s="154">
        <v>130</v>
      </c>
      <c r="L70" s="152"/>
      <c r="M70" s="128"/>
      <c r="N70" s="201">
        <v>92</v>
      </c>
      <c r="O70" s="202">
        <v>35</v>
      </c>
    </row>
    <row r="71" spans="1:15" s="137" customFormat="1" ht="19" customHeight="1">
      <c r="A71" s="520"/>
      <c r="B71" s="153">
        <v>49</v>
      </c>
      <c r="C71" s="203">
        <v>400</v>
      </c>
      <c r="D71" s="151"/>
      <c r="E71" s="191"/>
      <c r="F71" s="154">
        <f t="shared" si="0"/>
        <v>400</v>
      </c>
      <c r="G71" s="142"/>
      <c r="H71" s="520"/>
      <c r="I71" s="155">
        <v>27</v>
      </c>
      <c r="J71" s="156">
        <v>2.4</v>
      </c>
      <c r="K71" s="154">
        <v>120</v>
      </c>
      <c r="L71" s="152"/>
      <c r="M71" s="128"/>
      <c r="N71" s="201">
        <v>93</v>
      </c>
      <c r="O71" s="202">
        <v>133</v>
      </c>
    </row>
    <row r="72" spans="1:15" s="137" customFormat="1" ht="19" customHeight="1">
      <c r="A72" s="520"/>
      <c r="B72" s="163">
        <v>50</v>
      </c>
      <c r="C72" s="190">
        <v>400</v>
      </c>
      <c r="D72" s="162">
        <v>79</v>
      </c>
      <c r="E72" s="204">
        <f>VLOOKUP(D72,$I$44:$K$147,3,)</f>
        <v>210</v>
      </c>
      <c r="F72" s="164">
        <f t="shared" si="0"/>
        <v>610</v>
      </c>
      <c r="G72" s="142"/>
      <c r="H72" s="520"/>
      <c r="I72" s="162">
        <v>28</v>
      </c>
      <c r="J72" s="165">
        <v>2.34</v>
      </c>
      <c r="K72" s="164">
        <v>110</v>
      </c>
      <c r="L72" s="152"/>
      <c r="M72" s="128"/>
      <c r="N72" s="201">
        <v>94</v>
      </c>
      <c r="O72" s="202">
        <v>134</v>
      </c>
    </row>
    <row r="73" spans="1:15" s="137" customFormat="1" ht="19" customHeight="1" thickBot="1">
      <c r="A73" s="520"/>
      <c r="B73" s="153">
        <v>51</v>
      </c>
      <c r="C73" s="203">
        <v>400</v>
      </c>
      <c r="D73" s="151"/>
      <c r="E73" s="191"/>
      <c r="F73" s="154">
        <f t="shared" si="0"/>
        <v>400</v>
      </c>
      <c r="G73" s="142"/>
      <c r="H73" s="520"/>
      <c r="I73" s="155">
        <v>29</v>
      </c>
      <c r="J73" s="156">
        <v>3.5</v>
      </c>
      <c r="K73" s="154">
        <v>160</v>
      </c>
      <c r="L73" s="152"/>
      <c r="M73" s="128"/>
      <c r="N73" s="206">
        <v>98</v>
      </c>
      <c r="O73" s="207">
        <v>114</v>
      </c>
    </row>
    <row r="74" spans="1:15" s="137" customFormat="1" ht="19" customHeight="1">
      <c r="A74" s="520"/>
      <c r="B74" s="163">
        <v>52</v>
      </c>
      <c r="C74" s="190">
        <v>400</v>
      </c>
      <c r="D74" s="162">
        <v>82</v>
      </c>
      <c r="E74" s="204">
        <f t="shared" ref="E74" si="2">VLOOKUP(D74,$I$44:$K$147,3,)</f>
        <v>180</v>
      </c>
      <c r="F74" s="164">
        <f t="shared" si="0"/>
        <v>580</v>
      </c>
      <c r="G74" s="142"/>
      <c r="H74" s="520"/>
      <c r="I74" s="155">
        <v>30</v>
      </c>
      <c r="J74" s="156">
        <v>3</v>
      </c>
      <c r="K74" s="154">
        <v>130</v>
      </c>
      <c r="L74" s="152"/>
    </row>
    <row r="75" spans="1:15" s="137" customFormat="1" ht="19" customHeight="1">
      <c r="A75" s="520"/>
      <c r="B75" s="153">
        <v>53</v>
      </c>
      <c r="C75" s="203">
        <v>400</v>
      </c>
      <c r="D75" s="155">
        <v>83</v>
      </c>
      <c r="E75" s="205">
        <v>120</v>
      </c>
      <c r="F75" s="154">
        <f t="shared" si="0"/>
        <v>520</v>
      </c>
      <c r="G75" s="142"/>
      <c r="H75" s="520"/>
      <c r="I75" s="155">
        <v>31</v>
      </c>
      <c r="J75" s="156">
        <v>2.87</v>
      </c>
      <c r="K75" s="154">
        <v>130</v>
      </c>
      <c r="L75" s="152"/>
    </row>
    <row r="76" spans="1:15" s="137" customFormat="1" ht="19" customHeight="1">
      <c r="A76" s="520"/>
      <c r="B76" s="153">
        <v>54</v>
      </c>
      <c r="C76" s="203">
        <v>400</v>
      </c>
      <c r="D76" s="151"/>
      <c r="E76" s="191"/>
      <c r="F76" s="154">
        <f t="shared" si="0"/>
        <v>400</v>
      </c>
      <c r="G76" s="142"/>
      <c r="H76" s="520"/>
      <c r="I76" s="155">
        <v>32</v>
      </c>
      <c r="J76" s="156">
        <v>2.87</v>
      </c>
      <c r="K76" s="154">
        <v>130</v>
      </c>
      <c r="L76" s="152"/>
    </row>
    <row r="77" spans="1:15" s="137" customFormat="1" ht="19" customHeight="1">
      <c r="A77" s="520"/>
      <c r="B77" s="153">
        <v>55</v>
      </c>
      <c r="C77" s="203">
        <v>400</v>
      </c>
      <c r="D77" s="151"/>
      <c r="E77" s="191"/>
      <c r="F77" s="154">
        <f t="shared" si="0"/>
        <v>400</v>
      </c>
      <c r="G77" s="142"/>
      <c r="H77" s="520"/>
      <c r="I77" s="162">
        <v>33</v>
      </c>
      <c r="J77" s="165">
        <v>5.04</v>
      </c>
      <c r="K77" s="164">
        <v>220</v>
      </c>
      <c r="L77" s="152"/>
    </row>
    <row r="78" spans="1:15" s="137" customFormat="1" ht="19" customHeight="1">
      <c r="A78" s="520"/>
      <c r="B78" s="153">
        <v>56</v>
      </c>
      <c r="C78" s="203">
        <v>400</v>
      </c>
      <c r="D78" s="151"/>
      <c r="E78" s="191"/>
      <c r="F78" s="154">
        <f t="shared" si="0"/>
        <v>400</v>
      </c>
      <c r="G78" s="142"/>
      <c r="H78" s="520"/>
      <c r="I78" s="155">
        <v>34</v>
      </c>
      <c r="J78" s="156">
        <v>3.35</v>
      </c>
      <c r="K78" s="154">
        <v>140</v>
      </c>
      <c r="L78" s="152"/>
    </row>
    <row r="79" spans="1:15" s="137" customFormat="1" ht="19" customHeight="1">
      <c r="A79" s="520"/>
      <c r="B79" s="153">
        <v>57</v>
      </c>
      <c r="C79" s="203">
        <v>400</v>
      </c>
      <c r="D79" s="151"/>
      <c r="E79" s="191"/>
      <c r="F79" s="154">
        <f t="shared" si="0"/>
        <v>400</v>
      </c>
      <c r="G79" s="142"/>
      <c r="H79" s="520"/>
      <c r="I79" s="162">
        <v>35</v>
      </c>
      <c r="J79" s="165">
        <v>4.38</v>
      </c>
      <c r="K79" s="164">
        <v>200</v>
      </c>
      <c r="L79" s="152"/>
    </row>
    <row r="80" spans="1:15" s="137" customFormat="1" ht="19" customHeight="1">
      <c r="A80" s="520"/>
      <c r="B80" s="163">
        <v>58</v>
      </c>
      <c r="C80" s="190">
        <v>400</v>
      </c>
      <c r="D80" s="162">
        <v>84</v>
      </c>
      <c r="E80" s="204">
        <v>120</v>
      </c>
      <c r="F80" s="164">
        <f t="shared" si="0"/>
        <v>520</v>
      </c>
      <c r="G80" s="142"/>
      <c r="H80" s="520"/>
      <c r="I80" s="162">
        <v>36</v>
      </c>
      <c r="J80" s="165">
        <v>3.85</v>
      </c>
      <c r="K80" s="164">
        <v>170</v>
      </c>
      <c r="L80" s="152"/>
    </row>
    <row r="81" spans="1:15" s="137" customFormat="1" ht="19" customHeight="1">
      <c r="A81" s="520"/>
      <c r="B81" s="163">
        <v>59</v>
      </c>
      <c r="C81" s="190">
        <v>400</v>
      </c>
      <c r="D81" s="162">
        <v>81</v>
      </c>
      <c r="E81" s="204">
        <f t="shared" ref="E81:E84" si="3">VLOOKUP(D81,$I$44:$K$147,3,)</f>
        <v>180</v>
      </c>
      <c r="F81" s="164">
        <f t="shared" si="0"/>
        <v>580</v>
      </c>
      <c r="G81" s="142"/>
      <c r="H81" s="520"/>
      <c r="I81" s="162">
        <v>37</v>
      </c>
      <c r="J81" s="165">
        <v>2.14</v>
      </c>
      <c r="K81" s="164">
        <v>110</v>
      </c>
      <c r="L81" s="152"/>
    </row>
    <row r="82" spans="1:15" s="137" customFormat="1" ht="19" customHeight="1">
      <c r="A82" s="520"/>
      <c r="B82" s="163">
        <v>60</v>
      </c>
      <c r="C82" s="190">
        <v>400</v>
      </c>
      <c r="D82" s="162">
        <v>80</v>
      </c>
      <c r="E82" s="204">
        <f t="shared" si="3"/>
        <v>240</v>
      </c>
      <c r="F82" s="164">
        <f t="shared" si="0"/>
        <v>640</v>
      </c>
      <c r="G82" s="142"/>
      <c r="H82" s="520"/>
      <c r="I82" s="162">
        <v>38</v>
      </c>
      <c r="J82" s="165">
        <v>2.0699999999999998</v>
      </c>
      <c r="K82" s="164">
        <v>100</v>
      </c>
      <c r="L82" s="152"/>
    </row>
    <row r="83" spans="1:15" s="137" customFormat="1" ht="19" customHeight="1">
      <c r="A83" s="520"/>
      <c r="B83" s="163">
        <v>61</v>
      </c>
      <c r="C83" s="190">
        <v>400</v>
      </c>
      <c r="D83" s="162">
        <v>77</v>
      </c>
      <c r="E83" s="204">
        <f t="shared" si="3"/>
        <v>140</v>
      </c>
      <c r="F83" s="164">
        <f t="shared" si="0"/>
        <v>540</v>
      </c>
      <c r="G83" s="142"/>
      <c r="H83" s="520"/>
      <c r="I83" s="155">
        <v>39</v>
      </c>
      <c r="J83" s="156">
        <v>3.03</v>
      </c>
      <c r="K83" s="154">
        <v>130</v>
      </c>
      <c r="L83" s="152"/>
    </row>
    <row r="84" spans="1:15" s="137" customFormat="1" ht="19" customHeight="1">
      <c r="A84" s="520"/>
      <c r="B84" s="163">
        <v>62</v>
      </c>
      <c r="C84" s="190">
        <v>400</v>
      </c>
      <c r="D84" s="162">
        <v>76</v>
      </c>
      <c r="E84" s="204">
        <f t="shared" si="3"/>
        <v>210</v>
      </c>
      <c r="F84" s="164">
        <f t="shared" si="0"/>
        <v>610</v>
      </c>
      <c r="G84" s="142"/>
      <c r="H84" s="520"/>
      <c r="I84" s="155">
        <v>40</v>
      </c>
      <c r="J84" s="156">
        <v>2.92</v>
      </c>
      <c r="K84" s="154">
        <v>130</v>
      </c>
      <c r="L84" s="152"/>
      <c r="M84" s="128"/>
      <c r="N84" s="208"/>
      <c r="O84" s="183"/>
    </row>
    <row r="85" spans="1:15" s="137" customFormat="1" ht="19" customHeight="1">
      <c r="A85" s="520"/>
      <c r="B85" s="153">
        <v>63</v>
      </c>
      <c r="C85" s="203">
        <v>400</v>
      </c>
      <c r="D85" s="151"/>
      <c r="E85" s="191"/>
      <c r="F85" s="154">
        <f t="shared" si="0"/>
        <v>400</v>
      </c>
      <c r="G85" s="142"/>
      <c r="H85" s="520"/>
      <c r="I85" s="155">
        <v>41</v>
      </c>
      <c r="J85" s="156">
        <v>2.98</v>
      </c>
      <c r="K85" s="154">
        <v>130</v>
      </c>
      <c r="L85" s="152"/>
      <c r="M85" s="128"/>
      <c r="N85" s="208"/>
      <c r="O85" s="183"/>
    </row>
    <row r="86" spans="1:15" s="137" customFormat="1" ht="19" customHeight="1">
      <c r="A86" s="520"/>
      <c r="B86" s="163">
        <v>64</v>
      </c>
      <c r="C86" s="190">
        <v>400</v>
      </c>
      <c r="D86" s="162">
        <v>74</v>
      </c>
      <c r="E86" s="204">
        <f t="shared" ref="E86:E87" si="4">VLOOKUP(D86,$I$44:$K$147,3,)</f>
        <v>210</v>
      </c>
      <c r="F86" s="164">
        <f t="shared" si="0"/>
        <v>610</v>
      </c>
      <c r="G86" s="142"/>
      <c r="H86" s="520"/>
      <c r="I86" s="155">
        <v>42</v>
      </c>
      <c r="J86" s="156">
        <v>2.86</v>
      </c>
      <c r="K86" s="154">
        <v>130</v>
      </c>
      <c r="L86" s="152"/>
      <c r="M86" s="128"/>
      <c r="N86" s="208"/>
      <c r="O86" s="183"/>
    </row>
    <row r="87" spans="1:15" s="137" customFormat="1" ht="19" customHeight="1">
      <c r="A87" s="520"/>
      <c r="B87" s="163">
        <v>65</v>
      </c>
      <c r="C87" s="190">
        <v>400</v>
      </c>
      <c r="D87" s="162">
        <v>70</v>
      </c>
      <c r="E87" s="204">
        <f t="shared" si="4"/>
        <v>220</v>
      </c>
      <c r="F87" s="164">
        <f t="shared" si="0"/>
        <v>620</v>
      </c>
      <c r="G87" s="142"/>
      <c r="H87" s="520"/>
      <c r="I87" s="155">
        <v>43</v>
      </c>
      <c r="J87" s="156">
        <v>2.86</v>
      </c>
      <c r="K87" s="154">
        <v>130</v>
      </c>
      <c r="L87" s="152"/>
      <c r="M87" s="128"/>
      <c r="N87" s="208"/>
      <c r="O87" s="183"/>
    </row>
    <row r="88" spans="1:15" s="137" customFormat="1" ht="19" customHeight="1">
      <c r="A88" s="520"/>
      <c r="B88" s="153">
        <v>66</v>
      </c>
      <c r="C88" s="203">
        <v>400</v>
      </c>
      <c r="D88" s="151"/>
      <c r="E88" s="191"/>
      <c r="F88" s="154">
        <f t="shared" si="0"/>
        <v>400</v>
      </c>
      <c r="G88" s="142"/>
      <c r="H88" s="520"/>
      <c r="I88" s="155">
        <v>44</v>
      </c>
      <c r="J88" s="156">
        <v>5.1100000000000003</v>
      </c>
      <c r="K88" s="154">
        <v>130</v>
      </c>
      <c r="L88" s="152"/>
      <c r="M88" s="128"/>
      <c r="N88" s="208"/>
      <c r="O88" s="183"/>
    </row>
    <row r="89" spans="1:15" s="137" customFormat="1" ht="19" customHeight="1">
      <c r="A89" s="520"/>
      <c r="B89" s="153">
        <v>67</v>
      </c>
      <c r="C89" s="203">
        <v>400</v>
      </c>
      <c r="D89" s="151"/>
      <c r="E89" s="191"/>
      <c r="F89" s="154">
        <f t="shared" si="0"/>
        <v>400</v>
      </c>
      <c r="G89" s="142"/>
      <c r="H89" s="520"/>
      <c r="I89" s="155">
        <v>45</v>
      </c>
      <c r="J89" s="156">
        <v>3.32</v>
      </c>
      <c r="K89" s="154">
        <v>140</v>
      </c>
      <c r="L89" s="152"/>
      <c r="M89" s="128"/>
      <c r="N89" s="208"/>
      <c r="O89" s="183"/>
    </row>
    <row r="90" spans="1:15" s="137" customFormat="1" ht="19" customHeight="1">
      <c r="A90" s="520"/>
      <c r="B90" s="153">
        <v>68</v>
      </c>
      <c r="C90" s="203">
        <v>400</v>
      </c>
      <c r="D90" s="151"/>
      <c r="E90" s="191"/>
      <c r="F90" s="154">
        <f t="shared" si="0"/>
        <v>400</v>
      </c>
      <c r="G90" s="142"/>
      <c r="H90" s="520"/>
      <c r="I90" s="155">
        <v>46</v>
      </c>
      <c r="J90" s="156">
        <v>3.08</v>
      </c>
      <c r="K90" s="154">
        <v>130</v>
      </c>
      <c r="L90" s="152"/>
      <c r="M90" s="128"/>
      <c r="N90" s="208"/>
      <c r="O90" s="183"/>
    </row>
    <row r="91" spans="1:15" s="137" customFormat="1" ht="19" customHeight="1">
      <c r="A91" s="520"/>
      <c r="B91" s="153">
        <v>69</v>
      </c>
      <c r="C91" s="203">
        <v>400</v>
      </c>
      <c r="D91" s="151"/>
      <c r="E91" s="191"/>
      <c r="F91" s="154">
        <f t="shared" si="0"/>
        <v>400</v>
      </c>
      <c r="G91" s="142"/>
      <c r="H91" s="520"/>
      <c r="I91" s="155">
        <v>47</v>
      </c>
      <c r="J91" s="156">
        <v>3.38</v>
      </c>
      <c r="K91" s="154">
        <v>150</v>
      </c>
      <c r="L91" s="152"/>
      <c r="M91" s="128"/>
      <c r="N91" s="208"/>
      <c r="O91" s="183"/>
    </row>
    <row r="92" spans="1:15" s="137" customFormat="1" ht="19" customHeight="1">
      <c r="A92" s="520"/>
      <c r="B92" s="153">
        <v>70</v>
      </c>
      <c r="C92" s="203">
        <v>400</v>
      </c>
      <c r="D92" s="151"/>
      <c r="E92" s="191"/>
      <c r="F92" s="154">
        <f t="shared" si="0"/>
        <v>400</v>
      </c>
      <c r="G92" s="142"/>
      <c r="H92" s="520"/>
      <c r="I92" s="155">
        <v>48</v>
      </c>
      <c r="J92" s="156">
        <v>3.24</v>
      </c>
      <c r="K92" s="154">
        <v>140</v>
      </c>
      <c r="L92" s="152"/>
      <c r="M92" s="128"/>
      <c r="N92" s="208"/>
      <c r="O92" s="183"/>
    </row>
    <row r="93" spans="1:15" s="137" customFormat="1" ht="19" customHeight="1">
      <c r="A93" s="520"/>
      <c r="B93" s="153">
        <v>71</v>
      </c>
      <c r="C93" s="203">
        <v>400</v>
      </c>
      <c r="D93" s="151"/>
      <c r="E93" s="191"/>
      <c r="F93" s="154">
        <f t="shared" si="0"/>
        <v>400</v>
      </c>
      <c r="G93" s="142"/>
      <c r="H93" s="520"/>
      <c r="I93" s="162">
        <v>49</v>
      </c>
      <c r="J93" s="165">
        <v>3.24</v>
      </c>
      <c r="K93" s="164">
        <v>140</v>
      </c>
      <c r="L93" s="152"/>
      <c r="M93" s="128"/>
      <c r="N93" s="208"/>
      <c r="O93" s="183"/>
    </row>
    <row r="94" spans="1:15" s="137" customFormat="1" ht="19" customHeight="1">
      <c r="A94" s="520"/>
      <c r="B94" s="153">
        <v>72</v>
      </c>
      <c r="C94" s="203">
        <v>400</v>
      </c>
      <c r="D94" s="151"/>
      <c r="E94" s="191"/>
      <c r="F94" s="154">
        <f t="shared" si="0"/>
        <v>400</v>
      </c>
      <c r="G94" s="142"/>
      <c r="H94" s="520"/>
      <c r="I94" s="162">
        <v>50</v>
      </c>
      <c r="J94" s="165">
        <v>5.23</v>
      </c>
      <c r="K94" s="164">
        <v>230</v>
      </c>
      <c r="L94" s="152"/>
      <c r="M94" s="128"/>
      <c r="N94" s="208"/>
      <c r="O94" s="183"/>
    </row>
    <row r="95" spans="1:15" s="137" customFormat="1" ht="19" customHeight="1">
      <c r="A95" s="520"/>
      <c r="B95" s="153">
        <v>73</v>
      </c>
      <c r="C95" s="203">
        <v>400</v>
      </c>
      <c r="D95" s="151"/>
      <c r="E95" s="191"/>
      <c r="F95" s="154">
        <f t="shared" si="0"/>
        <v>400</v>
      </c>
      <c r="G95" s="142"/>
      <c r="H95" s="520"/>
      <c r="I95" s="155">
        <v>51</v>
      </c>
      <c r="J95" s="156">
        <v>2.4500000000000002</v>
      </c>
      <c r="K95" s="154">
        <v>120</v>
      </c>
      <c r="L95" s="152"/>
      <c r="M95" s="128"/>
      <c r="N95" s="208"/>
      <c r="O95" s="183"/>
    </row>
    <row r="96" spans="1:15" s="137" customFormat="1" ht="19" customHeight="1">
      <c r="A96" s="520"/>
      <c r="B96" s="153">
        <v>74</v>
      </c>
      <c r="C96" s="203">
        <v>400</v>
      </c>
      <c r="D96" s="151"/>
      <c r="E96" s="191"/>
      <c r="F96" s="154">
        <f t="shared" si="0"/>
        <v>400</v>
      </c>
      <c r="G96" s="142"/>
      <c r="H96" s="520"/>
      <c r="I96" s="155">
        <v>52</v>
      </c>
      <c r="J96" s="156">
        <v>2.46</v>
      </c>
      <c r="K96" s="154">
        <v>120</v>
      </c>
      <c r="L96" s="152"/>
      <c r="M96" s="128"/>
      <c r="N96" s="208"/>
      <c r="O96" s="183"/>
    </row>
    <row r="97" spans="1:15" s="137" customFormat="1" ht="19" customHeight="1">
      <c r="A97" s="520"/>
      <c r="B97" s="153">
        <v>75</v>
      </c>
      <c r="C97" s="203">
        <v>400</v>
      </c>
      <c r="D97" s="151"/>
      <c r="E97" s="191"/>
      <c r="F97" s="154">
        <f t="shared" si="0"/>
        <v>400</v>
      </c>
      <c r="G97" s="142"/>
      <c r="H97" s="520"/>
      <c r="I97" s="155">
        <v>53</v>
      </c>
      <c r="J97" s="156">
        <v>2.46</v>
      </c>
      <c r="K97" s="154">
        <v>120</v>
      </c>
      <c r="L97" s="152"/>
      <c r="M97" s="128"/>
      <c r="N97" s="208"/>
      <c r="O97" s="183"/>
    </row>
    <row r="98" spans="1:15" s="137" customFormat="1" ht="19" customHeight="1">
      <c r="A98" s="520"/>
      <c r="B98" s="153">
        <v>76</v>
      </c>
      <c r="C98" s="203">
        <v>400</v>
      </c>
      <c r="D98" s="151"/>
      <c r="E98" s="191"/>
      <c r="F98" s="154">
        <f t="shared" si="0"/>
        <v>400</v>
      </c>
      <c r="G98" s="142"/>
      <c r="H98" s="520"/>
      <c r="I98" s="155">
        <v>54</v>
      </c>
      <c r="J98" s="156">
        <v>2.46</v>
      </c>
      <c r="K98" s="154">
        <v>120</v>
      </c>
      <c r="L98" s="152"/>
      <c r="M98" s="128"/>
      <c r="N98" s="208"/>
      <c r="O98" s="183"/>
    </row>
    <row r="99" spans="1:15" s="137" customFormat="1" ht="19" customHeight="1">
      <c r="A99" s="520"/>
      <c r="B99" s="153">
        <v>77</v>
      </c>
      <c r="C99" s="203">
        <v>400</v>
      </c>
      <c r="D99" s="151"/>
      <c r="E99" s="191"/>
      <c r="F99" s="154">
        <f t="shared" si="0"/>
        <v>400</v>
      </c>
      <c r="G99" s="142"/>
      <c r="H99" s="520"/>
      <c r="I99" s="155">
        <v>55</v>
      </c>
      <c r="J99" s="156">
        <v>2.46</v>
      </c>
      <c r="K99" s="154">
        <v>120</v>
      </c>
      <c r="L99" s="152"/>
      <c r="M99" s="128"/>
      <c r="N99" s="208"/>
      <c r="O99" s="183"/>
    </row>
    <row r="100" spans="1:15" s="137" customFormat="1" ht="19" customHeight="1">
      <c r="A100" s="520"/>
      <c r="B100" s="163">
        <v>78</v>
      </c>
      <c r="C100" s="190">
        <v>400</v>
      </c>
      <c r="D100" s="151"/>
      <c r="E100" s="191"/>
      <c r="F100" s="164">
        <f t="shared" si="0"/>
        <v>400</v>
      </c>
      <c r="G100" s="142"/>
      <c r="H100" s="520"/>
      <c r="I100" s="155">
        <v>56</v>
      </c>
      <c r="J100" s="156">
        <v>2.46</v>
      </c>
      <c r="K100" s="154">
        <v>120</v>
      </c>
      <c r="L100" s="152"/>
      <c r="M100" s="128"/>
      <c r="N100" s="208"/>
      <c r="O100" s="183"/>
    </row>
    <row r="101" spans="1:15" s="137" customFormat="1" ht="19" customHeight="1">
      <c r="A101" s="520"/>
      <c r="B101" s="153">
        <v>79</v>
      </c>
      <c r="C101" s="203">
        <v>400</v>
      </c>
      <c r="D101" s="151"/>
      <c r="E101" s="191"/>
      <c r="F101" s="154">
        <f t="shared" si="0"/>
        <v>400</v>
      </c>
      <c r="G101" s="142"/>
      <c r="H101" s="520"/>
      <c r="I101" s="162">
        <v>57</v>
      </c>
      <c r="J101" s="165">
        <v>2.52</v>
      </c>
      <c r="K101" s="164">
        <v>120</v>
      </c>
      <c r="L101" s="152"/>
      <c r="M101" s="128"/>
      <c r="N101" s="208"/>
      <c r="O101" s="183"/>
    </row>
    <row r="102" spans="1:15" s="137" customFormat="1" ht="19" customHeight="1">
      <c r="A102" s="520"/>
      <c r="B102" s="153">
        <v>80</v>
      </c>
      <c r="C102" s="203">
        <v>400</v>
      </c>
      <c r="D102" s="151"/>
      <c r="E102" s="191"/>
      <c r="F102" s="154">
        <f t="shared" si="0"/>
        <v>400</v>
      </c>
      <c r="G102" s="142"/>
      <c r="H102" s="520"/>
      <c r="I102" s="155">
        <v>58</v>
      </c>
      <c r="J102" s="156">
        <v>2.66</v>
      </c>
      <c r="K102" s="154">
        <v>130</v>
      </c>
      <c r="L102" s="152"/>
      <c r="M102" s="128"/>
      <c r="N102" s="208"/>
      <c r="O102" s="183"/>
    </row>
    <row r="103" spans="1:15" s="137" customFormat="1" ht="19" customHeight="1">
      <c r="A103" s="520"/>
      <c r="B103" s="163">
        <v>81</v>
      </c>
      <c r="C103" s="190">
        <v>400</v>
      </c>
      <c r="D103" s="151"/>
      <c r="E103" s="191"/>
      <c r="F103" s="164">
        <f t="shared" si="0"/>
        <v>400</v>
      </c>
      <c r="G103" s="142"/>
      <c r="H103" s="520"/>
      <c r="I103" s="162">
        <v>59</v>
      </c>
      <c r="J103" s="165">
        <v>3.18</v>
      </c>
      <c r="K103" s="164">
        <v>140</v>
      </c>
      <c r="L103" s="152"/>
      <c r="M103" s="128"/>
      <c r="N103" s="208"/>
      <c r="O103" s="183"/>
    </row>
    <row r="104" spans="1:15" s="137" customFormat="1" ht="19" customHeight="1">
      <c r="A104" s="520"/>
      <c r="B104" s="153">
        <v>82</v>
      </c>
      <c r="C104" s="203">
        <v>400</v>
      </c>
      <c r="D104" s="151"/>
      <c r="E104" s="191"/>
      <c r="F104" s="154">
        <f t="shared" si="0"/>
        <v>400</v>
      </c>
      <c r="G104" s="142"/>
      <c r="H104" s="520"/>
      <c r="I104" s="155">
        <v>60</v>
      </c>
      <c r="J104" s="156">
        <v>3.48</v>
      </c>
      <c r="K104" s="154">
        <v>160</v>
      </c>
      <c r="L104" s="152"/>
      <c r="M104" s="128"/>
      <c r="N104" s="208"/>
      <c r="O104" s="183"/>
    </row>
    <row r="105" spans="1:15" ht="19" customHeight="1">
      <c r="A105" s="520"/>
      <c r="B105" s="153">
        <v>83</v>
      </c>
      <c r="C105" s="203">
        <v>400</v>
      </c>
      <c r="D105" s="151"/>
      <c r="E105" s="191"/>
      <c r="F105" s="154">
        <f t="shared" si="0"/>
        <v>400</v>
      </c>
      <c r="G105" s="142"/>
      <c r="H105" s="520"/>
      <c r="I105" s="155">
        <v>61</v>
      </c>
      <c r="J105" s="156">
        <v>2.48</v>
      </c>
      <c r="K105" s="154">
        <v>120</v>
      </c>
      <c r="L105" s="152"/>
      <c r="N105" s="208"/>
    </row>
    <row r="106" spans="1:15" s="137" customFormat="1" ht="19" customHeight="1">
      <c r="A106" s="520"/>
      <c r="B106" s="163">
        <v>84</v>
      </c>
      <c r="C106" s="190">
        <v>400</v>
      </c>
      <c r="D106" s="151"/>
      <c r="E106" s="191"/>
      <c r="F106" s="164">
        <f t="shared" si="0"/>
        <v>400</v>
      </c>
      <c r="G106" s="142"/>
      <c r="H106" s="520"/>
      <c r="I106" s="155">
        <v>62</v>
      </c>
      <c r="J106" s="156">
        <v>2.48</v>
      </c>
      <c r="K106" s="154">
        <v>120</v>
      </c>
      <c r="L106" s="152"/>
      <c r="M106" s="128"/>
      <c r="N106" s="208"/>
      <c r="O106" s="183"/>
    </row>
    <row r="107" spans="1:15" s="137" customFormat="1" ht="19" customHeight="1">
      <c r="A107" s="520"/>
      <c r="B107" s="153">
        <v>85</v>
      </c>
      <c r="C107" s="203">
        <v>400</v>
      </c>
      <c r="D107" s="151"/>
      <c r="E107" s="191"/>
      <c r="F107" s="154">
        <f t="shared" si="0"/>
        <v>400</v>
      </c>
      <c r="G107" s="142"/>
      <c r="H107" s="520"/>
      <c r="I107" s="155">
        <v>63</v>
      </c>
      <c r="J107" s="156">
        <v>2.44</v>
      </c>
      <c r="K107" s="154">
        <v>120</v>
      </c>
      <c r="L107" s="152"/>
      <c r="M107" s="128"/>
      <c r="N107" s="208"/>
      <c r="O107" s="183"/>
    </row>
    <row r="108" spans="1:15" s="137" customFormat="1" ht="19" customHeight="1">
      <c r="A108" s="520"/>
      <c r="B108" s="163">
        <v>86</v>
      </c>
      <c r="C108" s="190">
        <v>400</v>
      </c>
      <c r="D108" s="162">
        <v>67</v>
      </c>
      <c r="E108" s="204">
        <v>90</v>
      </c>
      <c r="F108" s="164">
        <f t="shared" si="0"/>
        <v>490</v>
      </c>
      <c r="G108" s="142"/>
      <c r="H108" s="520"/>
      <c r="I108" s="155">
        <v>64</v>
      </c>
      <c r="J108" s="156">
        <v>2.7</v>
      </c>
      <c r="K108" s="154">
        <v>130</v>
      </c>
      <c r="L108" s="152"/>
      <c r="M108" s="128"/>
      <c r="N108" s="208"/>
      <c r="O108" s="183"/>
    </row>
    <row r="109" spans="1:15" s="137" customFormat="1" ht="19" customHeight="1">
      <c r="A109" s="520"/>
      <c r="B109" s="153">
        <v>87</v>
      </c>
      <c r="C109" s="203">
        <v>400</v>
      </c>
      <c r="D109" s="155">
        <v>56</v>
      </c>
      <c r="E109" s="205">
        <v>130</v>
      </c>
      <c r="F109" s="154">
        <f>C109+E109</f>
        <v>530</v>
      </c>
      <c r="G109" s="142"/>
      <c r="H109" s="520"/>
      <c r="I109" s="155">
        <v>65</v>
      </c>
      <c r="J109" s="156">
        <v>2.5299999999999998</v>
      </c>
      <c r="K109" s="154">
        <v>120</v>
      </c>
      <c r="L109" s="152"/>
      <c r="M109" s="128"/>
      <c r="N109" s="208"/>
      <c r="O109" s="183"/>
    </row>
    <row r="110" spans="1:15" s="137" customFormat="1" ht="19" customHeight="1">
      <c r="A110" s="520"/>
      <c r="B110" s="153">
        <v>88</v>
      </c>
      <c r="C110" s="203">
        <v>400</v>
      </c>
      <c r="D110" s="151"/>
      <c r="E110" s="191"/>
      <c r="F110" s="154">
        <f t="shared" si="0"/>
        <v>400</v>
      </c>
      <c r="G110" s="142"/>
      <c r="H110" s="520"/>
      <c r="I110" s="155">
        <v>66</v>
      </c>
      <c r="J110" s="156">
        <v>2.4</v>
      </c>
      <c r="K110" s="154">
        <v>120</v>
      </c>
      <c r="L110" s="152"/>
      <c r="M110" s="128"/>
      <c r="N110" s="208"/>
      <c r="O110" s="183"/>
    </row>
    <row r="111" spans="1:15" s="137" customFormat="1" ht="19" customHeight="1">
      <c r="A111" s="520"/>
      <c r="B111" s="153">
        <v>89</v>
      </c>
      <c r="C111" s="203">
        <v>400</v>
      </c>
      <c r="D111" s="151"/>
      <c r="E111" s="191"/>
      <c r="F111" s="154">
        <f t="shared" ref="F111:F156" si="5">C111+E111</f>
        <v>400</v>
      </c>
      <c r="G111" s="142"/>
      <c r="H111" s="520"/>
      <c r="I111" s="162">
        <v>67</v>
      </c>
      <c r="J111" s="165">
        <v>1.58</v>
      </c>
      <c r="K111" s="209">
        <v>80</v>
      </c>
      <c r="L111" s="152"/>
      <c r="M111" s="128"/>
      <c r="N111" s="208"/>
      <c r="O111" s="183"/>
    </row>
    <row r="112" spans="1:15" s="137" customFormat="1" ht="19" customHeight="1">
      <c r="A112" s="520"/>
      <c r="B112" s="153">
        <v>90</v>
      </c>
      <c r="C112" s="203">
        <v>400</v>
      </c>
      <c r="D112" s="151"/>
      <c r="E112" s="191"/>
      <c r="F112" s="154">
        <f t="shared" si="5"/>
        <v>400</v>
      </c>
      <c r="G112" s="142"/>
      <c r="H112" s="520"/>
      <c r="I112" s="162">
        <v>68</v>
      </c>
      <c r="J112" s="165">
        <v>4.1100000000000003</v>
      </c>
      <c r="K112" s="164">
        <v>180</v>
      </c>
      <c r="L112" s="152"/>
      <c r="M112" s="128"/>
      <c r="N112" s="208"/>
      <c r="O112" s="183"/>
    </row>
    <row r="113" spans="1:15" s="137" customFormat="1" ht="19" customHeight="1">
      <c r="A113" s="520"/>
      <c r="B113" s="153">
        <v>91</v>
      </c>
      <c r="C113" s="203">
        <v>400</v>
      </c>
      <c r="D113" s="151"/>
      <c r="E113" s="191"/>
      <c r="F113" s="154">
        <f t="shared" si="5"/>
        <v>400</v>
      </c>
      <c r="G113" s="142"/>
      <c r="H113" s="520"/>
      <c r="I113" s="162">
        <v>69</v>
      </c>
      <c r="J113" s="165">
        <v>5.0999999999999996</v>
      </c>
      <c r="K113" s="164">
        <v>220</v>
      </c>
      <c r="L113" s="152"/>
      <c r="M113" s="128"/>
      <c r="N113" s="208"/>
      <c r="O113" s="183"/>
    </row>
    <row r="114" spans="1:15" s="137" customFormat="1" ht="19" customHeight="1">
      <c r="A114" s="520"/>
      <c r="B114" s="153">
        <v>92</v>
      </c>
      <c r="C114" s="203">
        <v>400</v>
      </c>
      <c r="D114" s="151"/>
      <c r="E114" s="191"/>
      <c r="F114" s="154">
        <f t="shared" si="5"/>
        <v>400</v>
      </c>
      <c r="G114" s="142"/>
      <c r="H114" s="520"/>
      <c r="I114" s="162">
        <v>70</v>
      </c>
      <c r="J114" s="165">
        <v>4.95</v>
      </c>
      <c r="K114" s="164">
        <v>220</v>
      </c>
      <c r="L114" s="152"/>
      <c r="M114" s="128"/>
      <c r="N114" s="208"/>
      <c r="O114" s="183"/>
    </row>
    <row r="115" spans="1:15" s="137" customFormat="1" ht="19" customHeight="1">
      <c r="A115" s="520"/>
      <c r="B115" s="163">
        <v>93</v>
      </c>
      <c r="C115" s="190">
        <v>400</v>
      </c>
      <c r="D115" s="151"/>
      <c r="E115" s="191"/>
      <c r="F115" s="164">
        <f t="shared" si="5"/>
        <v>400</v>
      </c>
      <c r="G115" s="142"/>
      <c r="H115" s="520"/>
      <c r="I115" s="155">
        <v>71</v>
      </c>
      <c r="J115" s="156">
        <v>3.26</v>
      </c>
      <c r="K115" s="154">
        <v>140</v>
      </c>
      <c r="L115" s="152"/>
      <c r="M115" s="128"/>
      <c r="N115" s="208"/>
      <c r="O115" s="183"/>
    </row>
    <row r="116" spans="1:15" ht="19" customHeight="1">
      <c r="A116" s="520"/>
      <c r="B116" s="163">
        <v>94</v>
      </c>
      <c r="C116" s="190">
        <v>400</v>
      </c>
      <c r="D116" s="151"/>
      <c r="E116" s="191"/>
      <c r="F116" s="164">
        <f t="shared" si="5"/>
        <v>400</v>
      </c>
      <c r="G116" s="142"/>
      <c r="H116" s="520"/>
      <c r="I116" s="162">
        <v>72</v>
      </c>
      <c r="J116" s="165">
        <v>4.3499999999999996</v>
      </c>
      <c r="K116" s="164">
        <v>190</v>
      </c>
      <c r="L116" s="152"/>
      <c r="N116" s="208"/>
    </row>
    <row r="117" spans="1:15" s="137" customFormat="1" ht="19" customHeight="1">
      <c r="A117" s="520"/>
      <c r="B117" s="163">
        <v>95</v>
      </c>
      <c r="C117" s="190">
        <v>400</v>
      </c>
      <c r="D117" s="151"/>
      <c r="E117" s="191"/>
      <c r="F117" s="164">
        <f t="shared" si="5"/>
        <v>400</v>
      </c>
      <c r="G117" s="142"/>
      <c r="H117" s="520"/>
      <c r="I117" s="162">
        <v>73</v>
      </c>
      <c r="J117" s="165">
        <v>4.12</v>
      </c>
      <c r="K117" s="164">
        <v>180</v>
      </c>
      <c r="L117" s="152"/>
      <c r="M117" s="128"/>
      <c r="N117" s="208"/>
      <c r="O117" s="183"/>
    </row>
    <row r="118" spans="1:15" s="137" customFormat="1" ht="19" customHeight="1">
      <c r="A118" s="520"/>
      <c r="B118" s="163">
        <v>96</v>
      </c>
      <c r="C118" s="190">
        <v>400</v>
      </c>
      <c r="D118" s="151"/>
      <c r="E118" s="191"/>
      <c r="F118" s="164">
        <f t="shared" si="5"/>
        <v>400</v>
      </c>
      <c r="G118" s="142"/>
      <c r="H118" s="520"/>
      <c r="I118" s="162">
        <v>74</v>
      </c>
      <c r="J118" s="165">
        <v>4.63</v>
      </c>
      <c r="K118" s="164">
        <v>210</v>
      </c>
      <c r="L118" s="152"/>
      <c r="M118" s="128"/>
      <c r="N118" s="208"/>
      <c r="O118" s="183"/>
    </row>
    <row r="119" spans="1:15" s="137" customFormat="1" ht="19" customHeight="1">
      <c r="A119" s="520"/>
      <c r="B119" s="163">
        <v>97</v>
      </c>
      <c r="C119" s="190">
        <v>400</v>
      </c>
      <c r="D119" s="151"/>
      <c r="E119" s="191"/>
      <c r="F119" s="164">
        <f t="shared" si="5"/>
        <v>400</v>
      </c>
      <c r="G119" s="142"/>
      <c r="H119" s="520"/>
      <c r="I119" s="162">
        <v>75</v>
      </c>
      <c r="J119" s="165">
        <v>4.63</v>
      </c>
      <c r="K119" s="164">
        <v>210</v>
      </c>
      <c r="L119" s="152"/>
      <c r="M119" s="128"/>
      <c r="N119" s="208"/>
      <c r="O119" s="183"/>
    </row>
    <row r="120" spans="1:15" s="137" customFormat="1" ht="19" customHeight="1">
      <c r="A120" s="520"/>
      <c r="B120" s="153">
        <v>98</v>
      </c>
      <c r="C120" s="203">
        <v>400</v>
      </c>
      <c r="D120" s="151"/>
      <c r="E120" s="191"/>
      <c r="F120" s="154">
        <f t="shared" si="5"/>
        <v>400</v>
      </c>
      <c r="G120" s="142"/>
      <c r="H120" s="520"/>
      <c r="I120" s="162">
        <v>76</v>
      </c>
      <c r="J120" s="165">
        <v>4.63</v>
      </c>
      <c r="K120" s="164">
        <v>210</v>
      </c>
      <c r="L120" s="152"/>
      <c r="M120" s="128"/>
      <c r="N120" s="208"/>
      <c r="O120" s="183"/>
    </row>
    <row r="121" spans="1:15" s="137" customFormat="1" ht="19" customHeight="1">
      <c r="A121" s="520"/>
      <c r="B121" s="153">
        <v>99</v>
      </c>
      <c r="C121" s="203">
        <v>400</v>
      </c>
      <c r="D121" s="151"/>
      <c r="E121" s="191"/>
      <c r="F121" s="154">
        <f t="shared" si="5"/>
        <v>400</v>
      </c>
      <c r="G121" s="142"/>
      <c r="H121" s="520"/>
      <c r="I121" s="162">
        <v>77</v>
      </c>
      <c r="J121" s="165">
        <v>3.26</v>
      </c>
      <c r="K121" s="164">
        <v>140</v>
      </c>
      <c r="L121" s="152"/>
      <c r="M121" s="128"/>
      <c r="N121" s="208"/>
      <c r="O121" s="183"/>
    </row>
    <row r="122" spans="1:15" s="137" customFormat="1" ht="19" customHeight="1">
      <c r="A122" s="520"/>
      <c r="B122" s="153">
        <v>100</v>
      </c>
      <c r="C122" s="203">
        <v>400</v>
      </c>
      <c r="D122" s="151"/>
      <c r="E122" s="191"/>
      <c r="F122" s="154">
        <f t="shared" si="5"/>
        <v>400</v>
      </c>
      <c r="G122" s="142"/>
      <c r="H122" s="520"/>
      <c r="I122" s="162">
        <v>78</v>
      </c>
      <c r="J122" s="165">
        <v>3.26</v>
      </c>
      <c r="K122" s="164">
        <v>140</v>
      </c>
      <c r="L122" s="152"/>
      <c r="M122" s="128"/>
      <c r="N122" s="208"/>
      <c r="O122" s="183"/>
    </row>
    <row r="123" spans="1:15" s="137" customFormat="1" ht="19" customHeight="1">
      <c r="A123" s="520"/>
      <c r="B123" s="153">
        <v>101</v>
      </c>
      <c r="C123" s="203">
        <v>400</v>
      </c>
      <c r="D123" s="151"/>
      <c r="E123" s="191"/>
      <c r="F123" s="154">
        <f t="shared" si="5"/>
        <v>400</v>
      </c>
      <c r="G123" s="142"/>
      <c r="H123" s="520"/>
      <c r="I123" s="162">
        <v>79</v>
      </c>
      <c r="J123" s="165">
        <v>4.63</v>
      </c>
      <c r="K123" s="164">
        <v>210</v>
      </c>
      <c r="L123" s="152"/>
      <c r="M123" s="128"/>
      <c r="N123" s="208"/>
      <c r="O123" s="183"/>
    </row>
    <row r="124" spans="1:15" s="137" customFormat="1" ht="19" customHeight="1">
      <c r="A124" s="520"/>
      <c r="B124" s="153">
        <v>102</v>
      </c>
      <c r="C124" s="203">
        <v>400</v>
      </c>
      <c r="D124" s="191"/>
      <c r="E124" s="151"/>
      <c r="F124" s="154">
        <f t="shared" si="5"/>
        <v>400</v>
      </c>
      <c r="G124" s="142"/>
      <c r="H124" s="520"/>
      <c r="I124" s="162">
        <v>80</v>
      </c>
      <c r="J124" s="165">
        <v>5.51</v>
      </c>
      <c r="K124" s="164">
        <v>240</v>
      </c>
      <c r="L124" s="152"/>
      <c r="M124" s="128"/>
      <c r="N124" s="208"/>
      <c r="O124" s="183"/>
    </row>
    <row r="125" spans="1:15" s="137" customFormat="1" ht="19" customHeight="1">
      <c r="A125" s="520"/>
      <c r="B125" s="153">
        <v>103</v>
      </c>
      <c r="C125" s="203">
        <v>400</v>
      </c>
      <c r="D125" s="191"/>
      <c r="E125" s="151"/>
      <c r="F125" s="154">
        <f t="shared" si="5"/>
        <v>400</v>
      </c>
      <c r="G125" s="142"/>
      <c r="H125" s="520"/>
      <c r="I125" s="162">
        <v>81</v>
      </c>
      <c r="J125" s="165">
        <v>4.04</v>
      </c>
      <c r="K125" s="164">
        <v>180</v>
      </c>
      <c r="L125" s="152"/>
      <c r="M125" s="128"/>
      <c r="N125" s="208"/>
      <c r="O125" s="183"/>
    </row>
    <row r="126" spans="1:15" s="137" customFormat="1" ht="19" customHeight="1">
      <c r="A126" s="520"/>
      <c r="B126" s="153">
        <v>104</v>
      </c>
      <c r="C126" s="203">
        <v>400</v>
      </c>
      <c r="D126" s="191"/>
      <c r="E126" s="151"/>
      <c r="F126" s="154">
        <f t="shared" si="5"/>
        <v>400</v>
      </c>
      <c r="G126" s="142"/>
      <c r="H126" s="520"/>
      <c r="I126" s="162">
        <v>82</v>
      </c>
      <c r="J126" s="165">
        <v>4.04</v>
      </c>
      <c r="K126" s="164">
        <v>180</v>
      </c>
      <c r="L126" s="152"/>
      <c r="M126" s="128"/>
      <c r="N126" s="208"/>
      <c r="O126" s="183"/>
    </row>
    <row r="127" spans="1:15" ht="19" customHeight="1">
      <c r="A127" s="520"/>
      <c r="B127" s="153">
        <v>105</v>
      </c>
      <c r="C127" s="203">
        <v>400</v>
      </c>
      <c r="D127" s="191"/>
      <c r="E127" s="151"/>
      <c r="F127" s="154">
        <f t="shared" si="5"/>
        <v>400</v>
      </c>
      <c r="G127" s="142"/>
      <c r="H127" s="520"/>
      <c r="I127" s="155">
        <v>83</v>
      </c>
      <c r="J127" s="156">
        <v>2.2599999999999998</v>
      </c>
      <c r="K127" s="154">
        <v>110</v>
      </c>
      <c r="L127" s="152"/>
      <c r="N127" s="208"/>
    </row>
    <row r="128" spans="1:15" s="137" customFormat="1" ht="19" customHeight="1">
      <c r="A128" s="520"/>
      <c r="B128" s="153">
        <v>106</v>
      </c>
      <c r="C128" s="203">
        <v>400</v>
      </c>
      <c r="D128" s="191"/>
      <c r="E128" s="151"/>
      <c r="F128" s="154">
        <f t="shared" si="5"/>
        <v>400</v>
      </c>
      <c r="G128" s="142"/>
      <c r="H128" s="520"/>
      <c r="I128" s="162">
        <v>84</v>
      </c>
      <c r="J128" s="165">
        <v>2.19</v>
      </c>
      <c r="K128" s="164">
        <v>110</v>
      </c>
      <c r="L128" s="152"/>
      <c r="M128" s="128"/>
      <c r="N128" s="208"/>
      <c r="O128" s="183"/>
    </row>
    <row r="129" spans="1:15" s="137" customFormat="1" ht="19" customHeight="1">
      <c r="A129" s="520"/>
      <c r="B129" s="153">
        <v>107</v>
      </c>
      <c r="C129" s="203">
        <v>400</v>
      </c>
      <c r="D129" s="191"/>
      <c r="E129" s="151"/>
      <c r="F129" s="154">
        <f t="shared" si="5"/>
        <v>400</v>
      </c>
      <c r="G129" s="142"/>
      <c r="H129" s="520"/>
      <c r="I129" s="162">
        <v>85</v>
      </c>
      <c r="J129" s="165">
        <v>3.05</v>
      </c>
      <c r="K129" s="164">
        <v>130</v>
      </c>
      <c r="L129" s="152"/>
      <c r="M129" s="128"/>
      <c r="N129" s="208"/>
      <c r="O129" s="183"/>
    </row>
    <row r="130" spans="1:15" s="137" customFormat="1" ht="19" customHeight="1">
      <c r="A130" s="520"/>
      <c r="B130" s="153">
        <v>108</v>
      </c>
      <c r="C130" s="203">
        <v>400</v>
      </c>
      <c r="D130" s="191"/>
      <c r="E130" s="151"/>
      <c r="F130" s="154">
        <f t="shared" si="5"/>
        <v>400</v>
      </c>
      <c r="G130" s="142"/>
      <c r="H130" s="520"/>
      <c r="I130" s="162">
        <v>86</v>
      </c>
      <c r="J130" s="165">
        <v>6.57</v>
      </c>
      <c r="K130" s="164">
        <v>290</v>
      </c>
      <c r="L130" s="152"/>
      <c r="M130" s="128"/>
      <c r="N130" s="208"/>
      <c r="O130" s="183"/>
    </row>
    <row r="131" spans="1:15" s="137" customFormat="1" ht="19" customHeight="1">
      <c r="A131" s="520"/>
      <c r="B131" s="153">
        <v>109</v>
      </c>
      <c r="C131" s="203">
        <v>400</v>
      </c>
      <c r="D131" s="191"/>
      <c r="E131" s="151"/>
      <c r="F131" s="154">
        <f t="shared" si="5"/>
        <v>400</v>
      </c>
      <c r="G131" s="142"/>
      <c r="H131" s="520"/>
      <c r="I131" s="162">
        <v>87</v>
      </c>
      <c r="J131" s="165">
        <v>6.57</v>
      </c>
      <c r="K131" s="164">
        <v>290</v>
      </c>
      <c r="L131" s="152"/>
      <c r="M131" s="128"/>
      <c r="N131" s="208"/>
      <c r="O131" s="183"/>
    </row>
    <row r="132" spans="1:15" s="137" customFormat="1" ht="19" customHeight="1">
      <c r="A132" s="520"/>
      <c r="B132" s="153">
        <v>110</v>
      </c>
      <c r="C132" s="203">
        <v>400</v>
      </c>
      <c r="D132" s="191"/>
      <c r="E132" s="151"/>
      <c r="F132" s="154">
        <f t="shared" si="5"/>
        <v>400</v>
      </c>
      <c r="G132" s="142"/>
      <c r="H132" s="520"/>
      <c r="I132" s="162">
        <v>88</v>
      </c>
      <c r="J132" s="165">
        <v>6.57</v>
      </c>
      <c r="K132" s="164">
        <v>290</v>
      </c>
      <c r="L132" s="152"/>
      <c r="M132" s="128"/>
      <c r="N132" s="208"/>
      <c r="O132" s="183"/>
    </row>
    <row r="133" spans="1:15" s="137" customFormat="1" ht="19" customHeight="1">
      <c r="A133" s="520"/>
      <c r="B133" s="153">
        <v>111</v>
      </c>
      <c r="C133" s="203">
        <v>400</v>
      </c>
      <c r="D133" s="191"/>
      <c r="E133" s="151"/>
      <c r="F133" s="154">
        <f t="shared" si="5"/>
        <v>400</v>
      </c>
      <c r="G133" s="142"/>
      <c r="H133" s="520"/>
      <c r="I133" s="162">
        <v>89</v>
      </c>
      <c r="J133" s="165">
        <v>6.57</v>
      </c>
      <c r="K133" s="164">
        <v>290</v>
      </c>
      <c r="L133" s="152"/>
      <c r="M133" s="128"/>
      <c r="N133" s="208"/>
      <c r="O133" s="183"/>
    </row>
    <row r="134" spans="1:15" s="137" customFormat="1" ht="19" customHeight="1">
      <c r="A134" s="520"/>
      <c r="B134" s="153">
        <v>112</v>
      </c>
      <c r="C134" s="203">
        <v>400</v>
      </c>
      <c r="D134" s="191"/>
      <c r="E134" s="151"/>
      <c r="F134" s="154">
        <f t="shared" si="5"/>
        <v>400</v>
      </c>
      <c r="G134" s="142"/>
      <c r="H134" s="520"/>
      <c r="I134" s="162">
        <v>90</v>
      </c>
      <c r="J134" s="165">
        <v>6.57</v>
      </c>
      <c r="K134" s="164">
        <v>290</v>
      </c>
      <c r="L134" s="152"/>
      <c r="M134" s="128"/>
      <c r="N134" s="208"/>
      <c r="O134" s="183"/>
    </row>
    <row r="135" spans="1:15" s="137" customFormat="1" ht="19" customHeight="1">
      <c r="A135" s="520"/>
      <c r="B135" s="153">
        <v>113</v>
      </c>
      <c r="C135" s="203">
        <v>400</v>
      </c>
      <c r="D135" s="191"/>
      <c r="E135" s="151"/>
      <c r="F135" s="154">
        <f t="shared" si="5"/>
        <v>400</v>
      </c>
      <c r="G135" s="142"/>
      <c r="H135" s="520"/>
      <c r="I135" s="162">
        <v>91</v>
      </c>
      <c r="J135" s="165">
        <v>6.57</v>
      </c>
      <c r="K135" s="164">
        <v>290</v>
      </c>
      <c r="L135" s="152"/>
      <c r="M135" s="128"/>
      <c r="N135" s="208"/>
      <c r="O135" s="183"/>
    </row>
    <row r="136" spans="1:15" s="137" customFormat="1" ht="19" customHeight="1">
      <c r="A136" s="520"/>
      <c r="B136" s="153">
        <v>114</v>
      </c>
      <c r="C136" s="203">
        <v>400</v>
      </c>
      <c r="D136" s="205">
        <v>98</v>
      </c>
      <c r="E136" s="210">
        <v>140</v>
      </c>
      <c r="F136" s="154">
        <f t="shared" si="5"/>
        <v>540</v>
      </c>
      <c r="G136" s="142"/>
      <c r="H136" s="520"/>
      <c r="I136" s="162">
        <v>92</v>
      </c>
      <c r="J136" s="165">
        <v>6.57</v>
      </c>
      <c r="K136" s="164">
        <v>290</v>
      </c>
      <c r="L136" s="152"/>
      <c r="M136" s="128"/>
      <c r="N136" s="208"/>
      <c r="O136" s="183"/>
    </row>
    <row r="137" spans="1:15" s="137" customFormat="1" ht="19" customHeight="1">
      <c r="A137" s="520"/>
      <c r="B137" s="153">
        <v>115</v>
      </c>
      <c r="C137" s="203">
        <v>400</v>
      </c>
      <c r="D137" s="191"/>
      <c r="E137" s="151"/>
      <c r="F137" s="154">
        <f t="shared" si="5"/>
        <v>400</v>
      </c>
      <c r="G137" s="142"/>
      <c r="H137" s="520"/>
      <c r="I137" s="155">
        <v>93</v>
      </c>
      <c r="J137" s="156">
        <v>2.78</v>
      </c>
      <c r="K137" s="154">
        <v>130</v>
      </c>
      <c r="L137" s="152"/>
      <c r="M137" s="128"/>
      <c r="N137" s="208"/>
      <c r="O137" s="183"/>
    </row>
    <row r="138" spans="1:15" s="137" customFormat="1" ht="19" customHeight="1">
      <c r="A138" s="520"/>
      <c r="B138" s="153">
        <v>116</v>
      </c>
      <c r="C138" s="203">
        <v>400</v>
      </c>
      <c r="D138" s="191"/>
      <c r="E138" s="151"/>
      <c r="F138" s="154">
        <f t="shared" si="5"/>
        <v>400</v>
      </c>
      <c r="G138" s="142"/>
      <c r="H138" s="520"/>
      <c r="I138" s="162">
        <v>94</v>
      </c>
      <c r="J138" s="165">
        <v>2.76</v>
      </c>
      <c r="K138" s="164">
        <v>130</v>
      </c>
      <c r="L138" s="152"/>
      <c r="M138" s="128"/>
      <c r="N138" s="208"/>
      <c r="O138" s="183"/>
    </row>
    <row r="139" spans="1:15" s="137" customFormat="1" ht="19" customHeight="1">
      <c r="A139" s="520"/>
      <c r="B139" s="153">
        <v>117</v>
      </c>
      <c r="C139" s="203">
        <v>400</v>
      </c>
      <c r="D139" s="191"/>
      <c r="E139" s="151"/>
      <c r="F139" s="154">
        <f t="shared" si="5"/>
        <v>400</v>
      </c>
      <c r="G139" s="142"/>
      <c r="H139" s="520"/>
      <c r="I139" s="162">
        <v>95</v>
      </c>
      <c r="J139" s="165">
        <v>2.19</v>
      </c>
      <c r="K139" s="164">
        <v>110</v>
      </c>
      <c r="L139" s="152"/>
      <c r="M139" s="128"/>
      <c r="N139" s="208"/>
      <c r="O139" s="183"/>
    </row>
    <row r="140" spans="1:15" s="137" customFormat="1" ht="19" customHeight="1">
      <c r="A140" s="520"/>
      <c r="B140" s="153">
        <v>118</v>
      </c>
      <c r="C140" s="203">
        <v>400</v>
      </c>
      <c r="D140" s="191"/>
      <c r="E140" s="151"/>
      <c r="F140" s="154">
        <f t="shared" si="5"/>
        <v>400</v>
      </c>
      <c r="G140" s="142"/>
      <c r="H140" s="520"/>
      <c r="I140" s="155">
        <v>96</v>
      </c>
      <c r="J140" s="156">
        <v>2.56</v>
      </c>
      <c r="K140" s="154">
        <v>120</v>
      </c>
      <c r="L140" s="152"/>
      <c r="M140" s="128"/>
      <c r="N140" s="208"/>
      <c r="O140" s="183"/>
    </row>
    <row r="141" spans="1:15" s="137" customFormat="1" ht="19" customHeight="1">
      <c r="A141" s="520"/>
      <c r="B141" s="153">
        <v>119</v>
      </c>
      <c r="C141" s="203">
        <v>400</v>
      </c>
      <c r="D141" s="191"/>
      <c r="E141" s="151"/>
      <c r="F141" s="154">
        <f t="shared" si="5"/>
        <v>400</v>
      </c>
      <c r="G141" s="142"/>
      <c r="H141" s="520"/>
      <c r="I141" s="155">
        <v>97</v>
      </c>
      <c r="J141" s="156">
        <v>2.75</v>
      </c>
      <c r="K141" s="154">
        <v>130</v>
      </c>
      <c r="L141" s="152"/>
      <c r="M141" s="128"/>
      <c r="N141" s="208"/>
      <c r="O141" s="183"/>
    </row>
    <row r="142" spans="1:15" s="137" customFormat="1" ht="19" customHeight="1">
      <c r="A142" s="520"/>
      <c r="B142" s="153">
        <v>120</v>
      </c>
      <c r="C142" s="203">
        <v>400</v>
      </c>
      <c r="D142" s="191"/>
      <c r="E142" s="151"/>
      <c r="F142" s="154">
        <f t="shared" si="5"/>
        <v>400</v>
      </c>
      <c r="G142" s="142"/>
      <c r="H142" s="520"/>
      <c r="I142" s="155">
        <v>98</v>
      </c>
      <c r="J142" s="156">
        <v>2.8</v>
      </c>
      <c r="K142" s="154">
        <v>130</v>
      </c>
      <c r="L142" s="152"/>
      <c r="M142" s="128"/>
      <c r="N142" s="208"/>
      <c r="O142" s="183"/>
    </row>
    <row r="143" spans="1:15" s="137" customFormat="1" ht="19" customHeight="1">
      <c r="A143" s="520"/>
      <c r="B143" s="153">
        <v>121</v>
      </c>
      <c r="C143" s="203">
        <v>400</v>
      </c>
      <c r="D143" s="191"/>
      <c r="E143" s="151"/>
      <c r="F143" s="154">
        <f t="shared" si="5"/>
        <v>400</v>
      </c>
      <c r="G143" s="142"/>
      <c r="H143" s="520"/>
      <c r="I143" s="162">
        <v>99</v>
      </c>
      <c r="J143" s="165">
        <v>5.01</v>
      </c>
      <c r="K143" s="164">
        <v>220</v>
      </c>
      <c r="L143" s="152"/>
      <c r="M143" s="128"/>
      <c r="N143" s="208"/>
      <c r="O143" s="183"/>
    </row>
    <row r="144" spans="1:15" s="137" customFormat="1" ht="19" customHeight="1">
      <c r="A144" s="520"/>
      <c r="B144" s="153">
        <v>122</v>
      </c>
      <c r="C144" s="203">
        <v>400</v>
      </c>
      <c r="D144" s="191"/>
      <c r="E144" s="151"/>
      <c r="F144" s="154">
        <f t="shared" si="5"/>
        <v>400</v>
      </c>
      <c r="G144" s="142"/>
      <c r="H144" s="520"/>
      <c r="I144" s="155">
        <v>100</v>
      </c>
      <c r="J144" s="156">
        <v>2.59</v>
      </c>
      <c r="K144" s="154">
        <v>120</v>
      </c>
      <c r="L144" s="152"/>
      <c r="M144" s="128"/>
      <c r="N144" s="208"/>
      <c r="O144" s="183"/>
    </row>
    <row r="145" spans="1:15" s="137" customFormat="1" ht="19" customHeight="1">
      <c r="A145" s="520"/>
      <c r="B145" s="153">
        <v>123</v>
      </c>
      <c r="C145" s="203">
        <v>400</v>
      </c>
      <c r="D145" s="191"/>
      <c r="E145" s="151"/>
      <c r="F145" s="154">
        <f t="shared" si="5"/>
        <v>400</v>
      </c>
      <c r="G145" s="142"/>
      <c r="H145" s="520"/>
      <c r="I145" s="155">
        <v>101</v>
      </c>
      <c r="J145" s="156">
        <v>2.59</v>
      </c>
      <c r="K145" s="154">
        <v>120</v>
      </c>
      <c r="L145" s="152"/>
      <c r="M145" s="128"/>
      <c r="N145" s="208"/>
      <c r="O145" s="183"/>
    </row>
    <row r="146" spans="1:15" s="137" customFormat="1" ht="19" customHeight="1">
      <c r="A146" s="520"/>
      <c r="B146" s="153">
        <v>124</v>
      </c>
      <c r="C146" s="203">
        <v>400</v>
      </c>
      <c r="D146" s="191"/>
      <c r="E146" s="151"/>
      <c r="F146" s="154">
        <f t="shared" si="5"/>
        <v>400</v>
      </c>
      <c r="G146" s="142"/>
      <c r="H146" s="520"/>
      <c r="I146" s="155">
        <v>102</v>
      </c>
      <c r="J146" s="156">
        <v>2.59</v>
      </c>
      <c r="K146" s="154">
        <v>120</v>
      </c>
      <c r="L146" s="152"/>
      <c r="M146" s="128"/>
      <c r="N146" s="208"/>
      <c r="O146" s="183"/>
    </row>
    <row r="147" spans="1:15" s="137" customFormat="1" ht="19" customHeight="1" thickBot="1">
      <c r="A147" s="520"/>
      <c r="B147" s="153">
        <v>125</v>
      </c>
      <c r="C147" s="203">
        <v>400</v>
      </c>
      <c r="D147" s="191"/>
      <c r="E147" s="151"/>
      <c r="F147" s="154">
        <f t="shared" si="5"/>
        <v>400</v>
      </c>
      <c r="G147" s="142"/>
      <c r="H147" s="521"/>
      <c r="I147" s="171">
        <v>103</v>
      </c>
      <c r="J147" s="172">
        <v>2.59</v>
      </c>
      <c r="K147" s="159">
        <v>120</v>
      </c>
      <c r="L147" s="152"/>
      <c r="M147" s="128"/>
      <c r="N147" s="208"/>
      <c r="O147" s="183"/>
    </row>
    <row r="148" spans="1:15" s="137" customFormat="1" ht="19" customHeight="1">
      <c r="A148" s="520"/>
      <c r="B148" s="153">
        <v>126</v>
      </c>
      <c r="C148" s="203">
        <v>400</v>
      </c>
      <c r="D148" s="191"/>
      <c r="E148" s="151"/>
      <c r="F148" s="154">
        <f t="shared" si="5"/>
        <v>400</v>
      </c>
      <c r="G148" s="142"/>
      <c r="I148" s="160"/>
      <c r="J148" s="160"/>
      <c r="K148" s="160"/>
      <c r="M148" s="128"/>
      <c r="N148" s="208"/>
      <c r="O148" s="183"/>
    </row>
    <row r="149" spans="1:15" s="137" customFormat="1" ht="19" customHeight="1">
      <c r="A149" s="520"/>
      <c r="B149" s="153">
        <v>127</v>
      </c>
      <c r="C149" s="203">
        <v>400</v>
      </c>
      <c r="D149" s="191"/>
      <c r="E149" s="151"/>
      <c r="F149" s="154">
        <f t="shared" si="5"/>
        <v>400</v>
      </c>
      <c r="G149" s="142"/>
      <c r="I149" s="160"/>
      <c r="J149" s="211" t="s">
        <v>245</v>
      </c>
      <c r="K149" s="160"/>
      <c r="M149" s="128"/>
      <c r="N149" s="208"/>
      <c r="O149" s="183"/>
    </row>
    <row r="150" spans="1:15" s="137" customFormat="1" ht="19" customHeight="1">
      <c r="A150" s="520"/>
      <c r="B150" s="153">
        <v>128</v>
      </c>
      <c r="C150" s="203">
        <v>400</v>
      </c>
      <c r="D150" s="191"/>
      <c r="E150" s="151"/>
      <c r="F150" s="154">
        <f t="shared" si="5"/>
        <v>400</v>
      </c>
      <c r="G150" s="142"/>
      <c r="I150" s="160"/>
      <c r="J150" s="160"/>
      <c r="K150" s="160"/>
      <c r="M150" s="128"/>
      <c r="N150" s="208"/>
      <c r="O150" s="183"/>
    </row>
    <row r="151" spans="1:15" s="137" customFormat="1" ht="19" customHeight="1">
      <c r="A151" s="520"/>
      <c r="B151" s="153">
        <v>129</v>
      </c>
      <c r="C151" s="203">
        <v>400</v>
      </c>
      <c r="D151" s="191"/>
      <c r="E151" s="151"/>
      <c r="F151" s="154">
        <f t="shared" si="5"/>
        <v>400</v>
      </c>
      <c r="G151" s="142"/>
      <c r="I151" s="160"/>
      <c r="J151" s="160"/>
      <c r="K151" s="160"/>
      <c r="M151" s="128"/>
      <c r="N151" s="208"/>
      <c r="O151" s="183"/>
    </row>
    <row r="152" spans="1:15" s="137" customFormat="1" ht="19" customHeight="1">
      <c r="A152" s="520"/>
      <c r="B152" s="153">
        <v>130</v>
      </c>
      <c r="C152" s="203">
        <v>400</v>
      </c>
      <c r="D152" s="191"/>
      <c r="E152" s="151"/>
      <c r="F152" s="154">
        <f t="shared" si="5"/>
        <v>400</v>
      </c>
      <c r="G152" s="142"/>
      <c r="I152" s="160"/>
      <c r="J152" s="160"/>
      <c r="K152" s="160"/>
      <c r="M152" s="128"/>
      <c r="N152" s="208"/>
      <c r="O152" s="183"/>
    </row>
    <row r="153" spans="1:15" s="137" customFormat="1" ht="19" customHeight="1">
      <c r="A153" s="520"/>
      <c r="B153" s="153">
        <v>131</v>
      </c>
      <c r="C153" s="203">
        <v>400</v>
      </c>
      <c r="D153" s="191"/>
      <c r="E153" s="151"/>
      <c r="F153" s="154">
        <f t="shared" si="5"/>
        <v>400</v>
      </c>
      <c r="G153" s="142"/>
      <c r="I153" s="160"/>
      <c r="J153" s="160"/>
      <c r="K153" s="160"/>
      <c r="M153" s="128"/>
      <c r="N153" s="208"/>
      <c r="O153" s="183"/>
    </row>
    <row r="154" spans="1:15" s="137" customFormat="1" ht="19" customHeight="1">
      <c r="A154" s="520"/>
      <c r="B154" s="153">
        <v>132</v>
      </c>
      <c r="C154" s="203">
        <v>400</v>
      </c>
      <c r="D154" s="191"/>
      <c r="E154" s="151"/>
      <c r="F154" s="154">
        <f t="shared" si="5"/>
        <v>400</v>
      </c>
      <c r="G154" s="142"/>
      <c r="I154" s="160"/>
      <c r="J154" s="160"/>
      <c r="K154" s="160"/>
      <c r="M154" s="128"/>
      <c r="N154" s="208"/>
      <c r="O154" s="183"/>
    </row>
    <row r="155" spans="1:15" s="137" customFormat="1" ht="19" customHeight="1">
      <c r="A155" s="520"/>
      <c r="B155" s="153">
        <v>133</v>
      </c>
      <c r="C155" s="203">
        <v>400</v>
      </c>
      <c r="D155" s="205">
        <v>93</v>
      </c>
      <c r="E155" s="155">
        <v>140</v>
      </c>
      <c r="F155" s="154">
        <f t="shared" si="5"/>
        <v>540</v>
      </c>
      <c r="G155" s="142"/>
      <c r="I155" s="160"/>
      <c r="J155" s="160"/>
      <c r="K155" s="160"/>
      <c r="M155" s="128"/>
      <c r="N155" s="208"/>
      <c r="O155" s="183"/>
    </row>
    <row r="156" spans="1:15" s="137" customFormat="1" ht="19" customHeight="1" thickBot="1">
      <c r="A156" s="521"/>
      <c r="B156" s="168">
        <v>134</v>
      </c>
      <c r="C156" s="212">
        <v>400</v>
      </c>
      <c r="D156" s="213">
        <v>94</v>
      </c>
      <c r="E156" s="171">
        <v>140</v>
      </c>
      <c r="F156" s="159">
        <f t="shared" si="5"/>
        <v>540</v>
      </c>
      <c r="G156" s="142"/>
      <c r="I156" s="160"/>
      <c r="J156" s="160"/>
      <c r="K156" s="160"/>
      <c r="M156" s="128"/>
      <c r="N156" s="208"/>
      <c r="O156" s="183"/>
    </row>
    <row r="157" spans="1:15" s="137" customFormat="1" ht="19" customHeight="1">
      <c r="A157" s="157"/>
      <c r="B157" s="158"/>
      <c r="C157" s="158"/>
      <c r="D157" s="158"/>
      <c r="E157" s="158"/>
      <c r="F157" s="158"/>
      <c r="G157" s="142"/>
      <c r="H157" s="142"/>
      <c r="I157" s="193"/>
      <c r="J157" s="193"/>
      <c r="K157" s="193"/>
      <c r="M157" s="128"/>
      <c r="N157" s="208"/>
      <c r="O157" s="183"/>
    </row>
    <row r="158" spans="1:15" s="137" customFormat="1" ht="19" customHeight="1">
      <c r="A158" s="157"/>
      <c r="B158" s="158"/>
      <c r="C158" s="158"/>
      <c r="D158" s="158"/>
      <c r="E158" s="211"/>
      <c r="F158" s="160"/>
      <c r="G158" s="142"/>
      <c r="H158" s="142"/>
      <c r="I158" s="193"/>
      <c r="J158" s="193"/>
      <c r="K158" s="193"/>
      <c r="M158" s="128"/>
      <c r="N158" s="208"/>
      <c r="O158" s="183"/>
    </row>
    <row r="159" spans="1:15" s="137" customFormat="1" ht="19" customHeight="1">
      <c r="A159" s="157"/>
      <c r="B159" s="158"/>
      <c r="C159" s="158"/>
      <c r="D159" s="158"/>
      <c r="E159" s="214"/>
      <c r="F159" s="158"/>
      <c r="G159" s="142"/>
      <c r="H159" s="142"/>
      <c r="I159" s="193"/>
      <c r="J159" s="193"/>
      <c r="K159" s="193"/>
      <c r="M159" s="128"/>
      <c r="N159" s="208"/>
      <c r="O159" s="183"/>
    </row>
    <row r="160" spans="1:15" s="137" customFormat="1" ht="19" customHeight="1">
      <c r="A160" s="157"/>
      <c r="B160" s="158"/>
      <c r="C160" s="158"/>
      <c r="D160" s="158"/>
      <c r="E160" s="158"/>
      <c r="F160" s="158"/>
      <c r="G160" s="142"/>
      <c r="H160" s="142"/>
      <c r="I160" s="126"/>
      <c r="J160" s="129"/>
      <c r="K160" s="130"/>
      <c r="M160" s="128"/>
      <c r="N160" s="208"/>
      <c r="O160" s="183"/>
    </row>
    <row r="161" spans="1:15" s="137" customFormat="1" ht="19" customHeight="1">
      <c r="A161" s="157"/>
      <c r="B161" s="158"/>
      <c r="C161" s="158"/>
      <c r="D161" s="158"/>
      <c r="E161" s="158"/>
      <c r="F161" s="158"/>
      <c r="G161" s="142"/>
      <c r="H161" s="142"/>
      <c r="I161" s="193"/>
      <c r="J161" s="193"/>
      <c r="K161" s="193"/>
      <c r="M161" s="128"/>
      <c r="N161" s="208"/>
      <c r="O161" s="183"/>
    </row>
    <row r="162" spans="1:15" s="137" customFormat="1" ht="19" customHeight="1">
      <c r="A162" s="157"/>
      <c r="B162" s="158"/>
      <c r="C162" s="158"/>
      <c r="D162" s="158"/>
      <c r="E162" s="158"/>
      <c r="F162" s="158"/>
      <c r="G162" s="142"/>
      <c r="H162" s="142"/>
      <c r="I162" s="193"/>
      <c r="J162" s="193"/>
      <c r="K162" s="193"/>
      <c r="M162" s="128"/>
      <c r="N162" s="208"/>
      <c r="O162" s="183"/>
    </row>
    <row r="163" spans="1:15" s="137" customFormat="1" ht="19" customHeight="1">
      <c r="A163" s="157"/>
      <c r="B163" s="158"/>
      <c r="C163" s="158"/>
      <c r="D163" s="158"/>
      <c r="E163" s="158"/>
      <c r="F163" s="158"/>
      <c r="G163" s="142"/>
      <c r="H163" s="142"/>
      <c r="I163" s="126"/>
      <c r="J163" s="129"/>
      <c r="K163" s="130"/>
      <c r="M163" s="128"/>
      <c r="N163" s="208"/>
      <c r="O163" s="183"/>
    </row>
    <row r="164" spans="1:15" s="137" customFormat="1" ht="19" customHeight="1">
      <c r="A164" s="157"/>
      <c r="B164" s="158"/>
      <c r="C164" s="158"/>
      <c r="D164" s="158"/>
      <c r="E164" s="158"/>
      <c r="F164" s="158"/>
      <c r="G164" s="142"/>
      <c r="H164" s="142"/>
      <c r="I164" s="193"/>
      <c r="J164" s="193"/>
      <c r="K164" s="193"/>
      <c r="M164" s="128"/>
      <c r="N164" s="208"/>
      <c r="O164" s="183"/>
    </row>
    <row r="165" spans="1:15" s="137" customFormat="1" ht="19" customHeight="1">
      <c r="A165" s="157"/>
      <c r="B165" s="158"/>
      <c r="C165" s="158"/>
      <c r="D165" s="158"/>
      <c r="E165" s="158"/>
      <c r="F165" s="158"/>
      <c r="G165" s="142"/>
      <c r="H165" s="142"/>
      <c r="I165" s="193"/>
      <c r="J165" s="193"/>
      <c r="K165" s="193"/>
      <c r="M165" s="128"/>
      <c r="N165" s="208"/>
      <c r="O165" s="183"/>
    </row>
    <row r="166" spans="1:15" s="137" customFormat="1" ht="19" customHeight="1">
      <c r="A166" s="157"/>
      <c r="B166" s="158"/>
      <c r="C166" s="158"/>
      <c r="D166" s="158"/>
      <c r="E166" s="158"/>
      <c r="F166" s="158"/>
      <c r="G166" s="142"/>
      <c r="H166" s="142"/>
      <c r="I166" s="126"/>
      <c r="J166" s="129"/>
      <c r="K166" s="130"/>
      <c r="M166" s="128"/>
      <c r="N166" s="208"/>
      <c r="O166" s="183"/>
    </row>
    <row r="167" spans="1:15" s="137" customFormat="1" ht="19" customHeight="1">
      <c r="A167" s="157"/>
      <c r="B167" s="158"/>
      <c r="C167" s="158"/>
      <c r="D167" s="158"/>
      <c r="E167" s="158"/>
      <c r="F167" s="158"/>
      <c r="G167" s="142"/>
      <c r="H167" s="142"/>
      <c r="I167" s="193"/>
      <c r="J167" s="193"/>
      <c r="K167" s="193"/>
      <c r="M167" s="128"/>
      <c r="N167" s="208"/>
      <c r="O167" s="183"/>
    </row>
    <row r="168" spans="1:15" s="137" customFormat="1" ht="19" customHeight="1">
      <c r="A168" s="157"/>
      <c r="B168" s="158"/>
      <c r="C168" s="158"/>
      <c r="D168" s="158"/>
      <c r="E168" s="158"/>
      <c r="F168" s="158"/>
      <c r="G168" s="142"/>
      <c r="H168" s="142"/>
      <c r="I168" s="193"/>
      <c r="J168" s="193"/>
      <c r="K168" s="193"/>
      <c r="M168" s="128"/>
      <c r="N168" s="208"/>
      <c r="O168" s="183"/>
    </row>
    <row r="169" spans="1:15" s="137" customFormat="1" ht="19" customHeight="1">
      <c r="A169" s="157"/>
      <c r="B169" s="158"/>
      <c r="C169" s="158"/>
      <c r="D169" s="158"/>
      <c r="E169" s="158"/>
      <c r="F169" s="158"/>
      <c r="G169" s="142"/>
      <c r="H169" s="142"/>
      <c r="I169" s="126"/>
      <c r="J169" s="129"/>
      <c r="K169" s="130"/>
      <c r="M169" s="128"/>
      <c r="N169" s="181"/>
      <c r="O169" s="183"/>
    </row>
    <row r="170" spans="1:15" s="137" customFormat="1" ht="19" customHeight="1">
      <c r="A170" s="157"/>
      <c r="B170" s="158"/>
      <c r="C170" s="158"/>
      <c r="D170" s="158"/>
      <c r="E170" s="158"/>
      <c r="F170" s="158"/>
      <c r="G170" s="142"/>
      <c r="H170" s="142"/>
      <c r="I170" s="193"/>
      <c r="J170" s="193"/>
      <c r="K170" s="193"/>
      <c r="M170" s="128"/>
      <c r="N170" s="181"/>
      <c r="O170" s="183"/>
    </row>
    <row r="171" spans="1:15" s="137" customFormat="1" ht="19" customHeight="1">
      <c r="A171" s="157"/>
      <c r="B171" s="158"/>
      <c r="C171" s="158"/>
      <c r="D171" s="158"/>
      <c r="E171" s="158"/>
      <c r="F171" s="158"/>
      <c r="G171" s="142"/>
      <c r="H171" s="142"/>
      <c r="I171" s="193"/>
      <c r="J171" s="193"/>
      <c r="K171" s="193"/>
      <c r="M171" s="128"/>
      <c r="N171" s="181"/>
      <c r="O171" s="183"/>
    </row>
    <row r="172" spans="1:15" s="137" customFormat="1" ht="19" customHeight="1">
      <c r="A172" s="157"/>
      <c r="B172" s="158"/>
      <c r="C172" s="158"/>
      <c r="D172" s="158"/>
      <c r="E172" s="158"/>
      <c r="F172" s="158"/>
      <c r="G172" s="142"/>
      <c r="H172" s="142"/>
      <c r="I172" s="126"/>
      <c r="J172" s="129"/>
      <c r="K172" s="130"/>
      <c r="M172" s="128"/>
      <c r="N172" s="181"/>
      <c r="O172" s="183"/>
    </row>
    <row r="173" spans="1:15" s="137" customFormat="1" ht="19" customHeight="1">
      <c r="A173" s="157"/>
      <c r="B173" s="158"/>
      <c r="C173" s="158"/>
      <c r="D173" s="158"/>
      <c r="E173" s="158"/>
      <c r="F173" s="158"/>
      <c r="G173" s="142"/>
      <c r="H173" s="142"/>
      <c r="I173" s="193"/>
      <c r="J173" s="193"/>
      <c r="K173" s="193"/>
      <c r="M173" s="128"/>
      <c r="N173" s="181"/>
      <c r="O173" s="183"/>
    </row>
    <row r="174" spans="1:15" s="137" customFormat="1" ht="19" customHeight="1">
      <c r="A174" s="157"/>
      <c r="B174" s="158"/>
      <c r="C174" s="158"/>
      <c r="D174" s="158"/>
      <c r="E174" s="158"/>
      <c r="F174" s="158"/>
      <c r="G174" s="142"/>
      <c r="H174" s="142"/>
      <c r="I174" s="193"/>
      <c r="J174" s="193"/>
      <c r="K174" s="193"/>
      <c r="M174" s="128"/>
      <c r="N174" s="181"/>
      <c r="O174" s="183"/>
    </row>
    <row r="175" spans="1:15" s="137" customFormat="1" ht="19" customHeight="1">
      <c r="A175" s="157"/>
      <c r="B175" s="158"/>
      <c r="C175" s="158"/>
      <c r="D175" s="158"/>
      <c r="E175" s="158"/>
      <c r="F175" s="158"/>
      <c r="G175" s="142"/>
      <c r="H175" s="142"/>
      <c r="I175" s="126"/>
      <c r="J175" s="129"/>
      <c r="K175" s="130"/>
      <c r="M175" s="128"/>
      <c r="N175" s="181"/>
      <c r="O175" s="183"/>
    </row>
    <row r="176" spans="1:15" s="137" customFormat="1" ht="19" customHeight="1">
      <c r="A176" s="157"/>
      <c r="B176" s="158"/>
      <c r="C176" s="158"/>
      <c r="D176" s="158"/>
      <c r="E176" s="158"/>
      <c r="F176" s="158"/>
      <c r="G176" s="142"/>
      <c r="H176" s="142"/>
      <c r="I176" s="193"/>
      <c r="J176" s="193"/>
      <c r="K176" s="193"/>
      <c r="M176" s="128"/>
      <c r="N176" s="181"/>
      <c r="O176" s="183"/>
    </row>
    <row r="177" spans="1:15" s="137" customFormat="1" ht="19" customHeight="1">
      <c r="A177" s="157"/>
      <c r="B177" s="158"/>
      <c r="C177" s="158"/>
      <c r="D177" s="158"/>
      <c r="E177" s="158"/>
      <c r="F177" s="158"/>
      <c r="G177" s="142"/>
      <c r="H177" s="142"/>
      <c r="I177" s="193"/>
      <c r="J177" s="193"/>
      <c r="K177" s="193"/>
      <c r="M177" s="128"/>
      <c r="N177" s="181"/>
      <c r="O177" s="183"/>
    </row>
    <row r="178" spans="1:15" s="137" customFormat="1" ht="19" customHeight="1">
      <c r="A178" s="157"/>
      <c r="B178" s="158"/>
      <c r="C178" s="158"/>
      <c r="D178" s="158"/>
      <c r="E178" s="158"/>
      <c r="F178" s="158"/>
      <c r="G178" s="142"/>
      <c r="H178" s="142"/>
      <c r="I178" s="126"/>
      <c r="J178" s="129"/>
      <c r="K178" s="130"/>
      <c r="M178" s="128"/>
      <c r="N178" s="181"/>
      <c r="O178" s="183"/>
    </row>
    <row r="179" spans="1:15" s="137" customFormat="1" ht="19" customHeight="1">
      <c r="A179" s="157"/>
      <c r="B179" s="158"/>
      <c r="C179" s="158"/>
      <c r="D179" s="158"/>
      <c r="E179" s="158"/>
      <c r="F179" s="158"/>
      <c r="G179" s="142"/>
      <c r="H179" s="142"/>
      <c r="I179" s="193"/>
      <c r="J179" s="193"/>
      <c r="K179" s="193"/>
      <c r="M179" s="128"/>
      <c r="N179" s="181"/>
      <c r="O179" s="183"/>
    </row>
    <row r="180" spans="1:15" s="137" customFormat="1" ht="19" customHeight="1">
      <c r="A180" s="157"/>
      <c r="B180" s="158"/>
      <c r="C180" s="158"/>
      <c r="D180" s="158"/>
      <c r="E180" s="158"/>
      <c r="F180" s="158"/>
      <c r="G180" s="142"/>
      <c r="H180" s="128"/>
      <c r="I180" s="128"/>
      <c r="J180" s="128"/>
      <c r="K180" s="128"/>
      <c r="M180" s="128"/>
      <c r="N180" s="181"/>
      <c r="O180" s="183"/>
    </row>
    <row r="181" spans="1:15" s="137" customFormat="1" ht="19" customHeight="1">
      <c r="A181" s="157"/>
      <c r="B181" s="158"/>
      <c r="C181" s="158"/>
      <c r="D181" s="158"/>
      <c r="E181" s="158"/>
      <c r="F181" s="158"/>
      <c r="G181" s="142"/>
      <c r="H181" s="128"/>
      <c r="I181" s="128"/>
      <c r="J181" s="128"/>
      <c r="K181" s="128"/>
      <c r="M181" s="128"/>
      <c r="N181" s="181"/>
      <c r="O181" s="183"/>
    </row>
    <row r="182" spans="1:15" s="137" customFormat="1" ht="19" customHeight="1">
      <c r="A182" s="157"/>
      <c r="B182" s="158"/>
      <c r="C182" s="158"/>
      <c r="D182" s="158"/>
      <c r="E182" s="158"/>
      <c r="F182" s="158"/>
      <c r="G182" s="142"/>
      <c r="H182" s="128"/>
      <c r="I182" s="128"/>
      <c r="J182" s="128"/>
      <c r="K182" s="128"/>
      <c r="M182" s="128"/>
      <c r="N182" s="181"/>
      <c r="O182" s="183"/>
    </row>
    <row r="183" spans="1:15" s="137" customFormat="1" ht="19" customHeight="1">
      <c r="A183" s="157"/>
      <c r="B183" s="158"/>
      <c r="C183" s="158"/>
      <c r="D183" s="158"/>
      <c r="E183" s="158"/>
      <c r="F183" s="158"/>
      <c r="G183" s="142"/>
      <c r="H183" s="128"/>
      <c r="I183" s="128"/>
      <c r="J183" s="128"/>
      <c r="K183" s="128"/>
      <c r="M183" s="128"/>
      <c r="N183" s="181"/>
      <c r="O183" s="183"/>
    </row>
    <row r="184" spans="1:15" s="137" customFormat="1" ht="19" customHeight="1">
      <c r="A184" s="157"/>
      <c r="B184" s="158"/>
      <c r="C184" s="158"/>
      <c r="D184" s="158"/>
      <c r="E184" s="158"/>
      <c r="F184" s="158"/>
      <c r="G184" s="142"/>
      <c r="H184" s="128"/>
      <c r="I184" s="128"/>
      <c r="J184" s="128"/>
      <c r="K184" s="128"/>
      <c r="M184" s="128"/>
      <c r="N184" s="181"/>
      <c r="O184" s="183"/>
    </row>
    <row r="185" spans="1:15" s="137" customFormat="1" ht="19" customHeight="1">
      <c r="A185" s="157"/>
      <c r="B185" s="158"/>
      <c r="C185" s="158"/>
      <c r="D185" s="158"/>
      <c r="E185" s="158"/>
      <c r="F185" s="158"/>
      <c r="G185" s="142"/>
      <c r="H185" s="128"/>
      <c r="I185" s="128"/>
      <c r="J185" s="128"/>
      <c r="K185" s="128"/>
      <c r="L185" s="128"/>
      <c r="M185" s="128"/>
      <c r="N185" s="181"/>
      <c r="O185" s="183"/>
    </row>
    <row r="186" spans="1:15" ht="19" customHeight="1">
      <c r="A186" s="157"/>
      <c r="B186" s="158"/>
      <c r="C186" s="158"/>
      <c r="D186" s="158"/>
      <c r="E186" s="158"/>
      <c r="F186" s="158"/>
      <c r="G186" s="142"/>
      <c r="I186" s="128"/>
      <c r="J186" s="128"/>
      <c r="K186" s="128"/>
    </row>
    <row r="187" spans="1:15" ht="19" customHeight="1">
      <c r="A187" s="157"/>
      <c r="B187" s="158"/>
      <c r="C187" s="158"/>
      <c r="D187" s="158"/>
      <c r="E187" s="158"/>
      <c r="F187" s="158"/>
      <c r="G187" s="142"/>
    </row>
    <row r="188" spans="1:15" ht="19" customHeight="1">
      <c r="A188" s="157"/>
      <c r="B188" s="158"/>
      <c r="C188" s="158"/>
      <c r="D188" s="158"/>
      <c r="E188" s="158"/>
      <c r="F188" s="158"/>
      <c r="G188" s="142"/>
    </row>
    <row r="189" spans="1:15" s="137" customFormat="1" ht="19" customHeight="1">
      <c r="A189" s="157"/>
      <c r="B189" s="158"/>
      <c r="C189" s="158"/>
      <c r="D189" s="158"/>
      <c r="E189" s="158"/>
      <c r="F189" s="158"/>
      <c r="G189" s="142"/>
      <c r="H189" s="128"/>
      <c r="I189" s="126"/>
      <c r="J189" s="129"/>
      <c r="K189" s="130"/>
      <c r="L189" s="128"/>
      <c r="M189" s="128"/>
      <c r="N189" s="181"/>
      <c r="O189" s="183"/>
    </row>
    <row r="190" spans="1:15" s="137" customFormat="1" ht="19" customHeight="1">
      <c r="A190" s="157"/>
      <c r="B190" s="158"/>
      <c r="C190" s="158"/>
      <c r="D190" s="158"/>
      <c r="E190" s="158"/>
      <c r="F190" s="158"/>
      <c r="G190" s="142"/>
      <c r="H190" s="128"/>
      <c r="I190" s="126"/>
      <c r="J190" s="129"/>
      <c r="K190" s="130"/>
      <c r="L190" s="128"/>
      <c r="M190" s="128"/>
      <c r="N190" s="181"/>
      <c r="O190" s="183"/>
    </row>
    <row r="191" spans="1:15" s="137" customFormat="1" ht="19" customHeight="1">
      <c r="A191" s="157"/>
      <c r="B191" s="158"/>
      <c r="C191" s="158"/>
      <c r="D191" s="158"/>
      <c r="E191" s="158"/>
      <c r="F191" s="158"/>
      <c r="G191" s="142"/>
      <c r="H191" s="128"/>
      <c r="I191" s="126"/>
      <c r="J191" s="129"/>
      <c r="K191" s="130"/>
      <c r="L191" s="128"/>
      <c r="M191" s="128"/>
      <c r="N191" s="181"/>
      <c r="O191" s="183"/>
    </row>
    <row r="192" spans="1:15" s="137" customFormat="1" ht="19" customHeight="1">
      <c r="A192" s="157"/>
      <c r="B192" s="158"/>
      <c r="C192" s="158"/>
      <c r="D192" s="158"/>
      <c r="E192" s="158"/>
      <c r="F192" s="158"/>
      <c r="G192" s="142"/>
      <c r="H192" s="128"/>
      <c r="I192" s="126"/>
      <c r="J192" s="129"/>
      <c r="K192" s="130"/>
      <c r="L192" s="128"/>
      <c r="M192" s="128"/>
      <c r="N192" s="181"/>
      <c r="O192" s="183"/>
    </row>
    <row r="193" spans="1:15" s="137" customFormat="1" ht="19" customHeight="1">
      <c r="A193" s="157"/>
      <c r="B193" s="158"/>
      <c r="C193" s="158"/>
      <c r="D193" s="158"/>
      <c r="E193" s="158"/>
      <c r="F193" s="158"/>
      <c r="G193" s="142"/>
      <c r="H193" s="128"/>
      <c r="I193" s="126"/>
      <c r="J193" s="129"/>
      <c r="K193" s="130"/>
      <c r="L193" s="128"/>
      <c r="M193" s="128"/>
      <c r="N193" s="181"/>
      <c r="O193" s="183"/>
    </row>
    <row r="194" spans="1:15" s="137" customFormat="1" ht="19" customHeight="1">
      <c r="A194" s="157"/>
      <c r="B194" s="126"/>
      <c r="C194" s="127"/>
      <c r="D194" s="126"/>
      <c r="E194" s="127"/>
      <c r="F194" s="127"/>
      <c r="G194" s="142"/>
      <c r="H194" s="128"/>
      <c r="I194" s="126"/>
      <c r="J194" s="129"/>
      <c r="K194" s="130"/>
      <c r="L194" s="128"/>
      <c r="M194" s="128"/>
      <c r="N194" s="181"/>
      <c r="O194" s="183"/>
    </row>
    <row r="195" spans="1:15" s="137" customFormat="1" ht="19" customHeight="1">
      <c r="A195" s="157"/>
      <c r="B195" s="126"/>
      <c r="C195" s="127"/>
      <c r="D195" s="126"/>
      <c r="E195" s="127"/>
      <c r="F195" s="127"/>
      <c r="G195" s="142"/>
      <c r="H195" s="128"/>
      <c r="I195" s="126"/>
      <c r="J195" s="129"/>
      <c r="K195" s="130"/>
      <c r="L195" s="128"/>
      <c r="M195" s="128"/>
      <c r="N195" s="181"/>
      <c r="O195" s="183"/>
    </row>
    <row r="196" spans="1:15" s="137" customFormat="1" ht="19" customHeight="1">
      <c r="A196" s="157"/>
      <c r="B196" s="126"/>
      <c r="C196" s="127"/>
      <c r="D196" s="126"/>
      <c r="E196" s="127"/>
      <c r="F196" s="127"/>
      <c r="G196" s="142"/>
      <c r="H196" s="128"/>
      <c r="I196" s="126"/>
      <c r="J196" s="129"/>
      <c r="K196" s="130"/>
      <c r="L196" s="128"/>
      <c r="M196" s="128"/>
      <c r="N196" s="181"/>
      <c r="O196" s="183"/>
    </row>
    <row r="197" spans="1:15" s="137" customFormat="1" ht="19" customHeight="1">
      <c r="A197" s="157"/>
      <c r="B197" s="126"/>
      <c r="C197" s="127"/>
      <c r="D197" s="126"/>
      <c r="E197" s="127"/>
      <c r="F197" s="127"/>
      <c r="G197" s="142"/>
      <c r="H197" s="128"/>
      <c r="I197" s="126"/>
      <c r="J197" s="129"/>
      <c r="K197" s="130"/>
      <c r="L197" s="128"/>
      <c r="M197" s="128"/>
      <c r="N197" s="181"/>
      <c r="O197" s="183"/>
    </row>
    <row r="198" spans="1:15" s="137" customFormat="1" ht="19" customHeight="1">
      <c r="A198" s="157"/>
      <c r="B198" s="126"/>
      <c r="C198" s="127"/>
      <c r="D198" s="126"/>
      <c r="E198" s="127"/>
      <c r="F198" s="127"/>
      <c r="G198" s="142"/>
      <c r="H198" s="128"/>
      <c r="I198" s="126"/>
      <c r="J198" s="129"/>
      <c r="K198" s="130"/>
      <c r="L198" s="128"/>
      <c r="M198" s="128"/>
      <c r="N198" s="181"/>
      <c r="O198" s="183"/>
    </row>
    <row r="199" spans="1:15" s="137" customFormat="1" ht="19" customHeight="1">
      <c r="A199" s="157"/>
      <c r="B199" s="126"/>
      <c r="C199" s="127"/>
      <c r="D199" s="126"/>
      <c r="E199" s="127"/>
      <c r="F199" s="127"/>
      <c r="G199" s="142"/>
      <c r="H199" s="128"/>
      <c r="I199" s="126"/>
      <c r="J199" s="129"/>
      <c r="K199" s="130"/>
      <c r="L199" s="128"/>
      <c r="M199" s="128"/>
      <c r="N199" s="181"/>
      <c r="O199" s="183"/>
    </row>
    <row r="200" spans="1:15" s="137" customFormat="1" ht="19" customHeight="1">
      <c r="A200" s="157"/>
      <c r="B200" s="126"/>
      <c r="C200" s="127"/>
      <c r="D200" s="126"/>
      <c r="E200" s="127"/>
      <c r="F200" s="127"/>
      <c r="G200" s="142"/>
      <c r="H200" s="128"/>
      <c r="I200" s="126"/>
      <c r="J200" s="129"/>
      <c r="K200" s="130"/>
      <c r="L200" s="128"/>
      <c r="M200" s="128"/>
      <c r="N200" s="181"/>
      <c r="O200" s="183"/>
    </row>
    <row r="201" spans="1:15" s="137" customFormat="1" ht="19" customHeight="1">
      <c r="A201" s="157"/>
      <c r="B201" s="126"/>
      <c r="C201" s="127"/>
      <c r="D201" s="126"/>
      <c r="E201" s="127"/>
      <c r="F201" s="127"/>
      <c r="G201" s="142"/>
      <c r="H201" s="128"/>
      <c r="I201" s="126"/>
      <c r="J201" s="129"/>
      <c r="K201" s="130"/>
      <c r="M201" s="128"/>
      <c r="N201" s="181"/>
      <c r="O201" s="183"/>
    </row>
    <row r="202" spans="1:15" s="137" customFormat="1" ht="19" customHeight="1">
      <c r="A202" s="157"/>
      <c r="B202" s="126"/>
      <c r="C202" s="127"/>
      <c r="D202" s="126"/>
      <c r="E202" s="127"/>
      <c r="F202" s="127"/>
      <c r="G202" s="142"/>
      <c r="H202" s="128"/>
      <c r="I202" s="126"/>
      <c r="J202" s="129"/>
      <c r="K202" s="130"/>
      <c r="M202" s="128"/>
      <c r="N202" s="181"/>
      <c r="O202" s="183"/>
    </row>
    <row r="203" spans="1:15" s="137" customFormat="1" ht="19" customHeight="1">
      <c r="A203" s="157"/>
      <c r="B203" s="126"/>
      <c r="C203" s="127"/>
      <c r="D203" s="126"/>
      <c r="E203" s="127"/>
      <c r="F203" s="127"/>
      <c r="G203" s="142"/>
      <c r="H203" s="128"/>
      <c r="I203" s="126"/>
      <c r="J203" s="129"/>
      <c r="K203" s="130"/>
      <c r="M203" s="128"/>
      <c r="N203" s="181"/>
      <c r="O203" s="183"/>
    </row>
    <row r="204" spans="1:15" s="137" customFormat="1" ht="19" customHeight="1">
      <c r="A204" s="157"/>
      <c r="B204" s="126"/>
      <c r="C204" s="127"/>
      <c r="D204" s="126"/>
      <c r="E204" s="127"/>
      <c r="F204" s="127"/>
      <c r="G204" s="142"/>
      <c r="H204" s="128"/>
      <c r="I204" s="126"/>
      <c r="J204" s="129"/>
      <c r="K204" s="130"/>
      <c r="M204" s="128"/>
      <c r="N204" s="181"/>
      <c r="O204" s="183"/>
    </row>
    <row r="205" spans="1:15" s="137" customFormat="1" ht="19" customHeight="1">
      <c r="A205" s="157"/>
      <c r="B205" s="126"/>
      <c r="C205" s="127"/>
      <c r="D205" s="126"/>
      <c r="E205" s="127"/>
      <c r="F205" s="127"/>
      <c r="G205" s="142"/>
      <c r="H205" s="128"/>
      <c r="I205" s="126"/>
      <c r="J205" s="129"/>
      <c r="K205" s="130"/>
      <c r="M205" s="128"/>
      <c r="N205" s="181"/>
      <c r="O205" s="183"/>
    </row>
    <row r="206" spans="1:15" s="137" customFormat="1" ht="19" customHeight="1">
      <c r="A206" s="157"/>
      <c r="B206" s="126"/>
      <c r="C206" s="127"/>
      <c r="D206" s="126"/>
      <c r="E206" s="127"/>
      <c r="F206" s="127"/>
      <c r="G206" s="142"/>
      <c r="H206" s="128"/>
      <c r="I206" s="126"/>
      <c r="J206" s="129"/>
      <c r="K206" s="130"/>
      <c r="M206" s="128"/>
      <c r="N206" s="181"/>
      <c r="O206" s="183"/>
    </row>
    <row r="207" spans="1:15" s="137" customFormat="1" ht="19" customHeight="1">
      <c r="A207" s="157"/>
      <c r="B207" s="126"/>
      <c r="C207" s="127"/>
      <c r="D207" s="126"/>
      <c r="E207" s="127"/>
      <c r="F207" s="127"/>
      <c r="G207" s="142"/>
      <c r="H207" s="128"/>
      <c r="I207" s="126"/>
      <c r="J207" s="129"/>
      <c r="K207" s="130"/>
      <c r="M207" s="128"/>
      <c r="N207" s="181"/>
      <c r="O207" s="183"/>
    </row>
    <row r="208" spans="1:15" s="137" customFormat="1" ht="19" customHeight="1">
      <c r="A208" s="157"/>
      <c r="B208" s="126"/>
      <c r="C208" s="127"/>
      <c r="D208" s="126"/>
      <c r="E208" s="127"/>
      <c r="F208" s="127"/>
      <c r="G208" s="142"/>
      <c r="H208" s="128"/>
      <c r="I208" s="126"/>
      <c r="J208" s="129"/>
      <c r="K208" s="130"/>
      <c r="M208" s="128"/>
      <c r="N208" s="181"/>
      <c r="O208" s="183"/>
    </row>
    <row r="209" spans="1:15" s="137" customFormat="1" ht="19" customHeight="1">
      <c r="A209" s="157"/>
      <c r="B209" s="126"/>
      <c r="C209" s="127"/>
      <c r="D209" s="126"/>
      <c r="E209" s="127"/>
      <c r="F209" s="127"/>
      <c r="G209" s="142"/>
      <c r="H209" s="128"/>
      <c r="I209" s="126"/>
      <c r="J209" s="129"/>
      <c r="K209" s="130"/>
      <c r="M209" s="128"/>
      <c r="N209" s="181"/>
      <c r="O209" s="183"/>
    </row>
    <row r="210" spans="1:15" s="137" customFormat="1" ht="19" customHeight="1">
      <c r="A210" s="157"/>
      <c r="B210" s="126"/>
      <c r="C210" s="127"/>
      <c r="D210" s="126"/>
      <c r="E210" s="127"/>
      <c r="F210" s="127"/>
      <c r="G210" s="142"/>
      <c r="H210" s="128"/>
      <c r="I210" s="126"/>
      <c r="J210" s="129"/>
      <c r="K210" s="130"/>
      <c r="M210" s="128"/>
      <c r="N210" s="181"/>
      <c r="O210" s="183"/>
    </row>
    <row r="211" spans="1:15" s="137" customFormat="1" ht="19" customHeight="1">
      <c r="A211" s="157"/>
      <c r="B211" s="126"/>
      <c r="C211" s="127"/>
      <c r="D211" s="126"/>
      <c r="E211" s="127"/>
      <c r="F211" s="127"/>
      <c r="G211" s="142"/>
      <c r="H211" s="128"/>
      <c r="I211" s="126"/>
      <c r="J211" s="129"/>
      <c r="K211" s="130"/>
      <c r="M211" s="128"/>
      <c r="N211" s="181"/>
      <c r="O211" s="183"/>
    </row>
    <row r="212" spans="1:15" s="137" customFormat="1" ht="19" customHeight="1">
      <c r="A212" s="157"/>
      <c r="B212" s="126"/>
      <c r="C212" s="127"/>
      <c r="D212" s="126"/>
      <c r="E212" s="127"/>
      <c r="F212" s="127"/>
      <c r="G212" s="142"/>
      <c r="H212" s="128"/>
      <c r="I212" s="126"/>
      <c r="J212" s="129"/>
      <c r="K212" s="130"/>
      <c r="M212" s="128"/>
      <c r="N212" s="181"/>
      <c r="O212" s="183"/>
    </row>
    <row r="213" spans="1:15" s="137" customFormat="1" ht="19" customHeight="1">
      <c r="A213" s="157"/>
      <c r="B213" s="126"/>
      <c r="C213" s="127"/>
      <c r="D213" s="126"/>
      <c r="E213" s="127"/>
      <c r="F213" s="127"/>
      <c r="G213" s="142"/>
      <c r="H213" s="128"/>
      <c r="I213" s="126"/>
      <c r="J213" s="129"/>
      <c r="K213" s="130"/>
      <c r="M213" s="128"/>
      <c r="N213" s="181"/>
      <c r="O213" s="183"/>
    </row>
    <row r="214" spans="1:15" s="137" customFormat="1" ht="19" customHeight="1">
      <c r="A214" s="157"/>
      <c r="B214" s="126"/>
      <c r="C214" s="127"/>
      <c r="D214" s="126"/>
      <c r="E214" s="127"/>
      <c r="F214" s="127"/>
      <c r="G214" s="142"/>
      <c r="H214" s="128"/>
      <c r="I214" s="126"/>
      <c r="J214" s="129"/>
      <c r="K214" s="130"/>
      <c r="M214" s="128"/>
      <c r="N214" s="181"/>
      <c r="O214" s="183"/>
    </row>
    <row r="215" spans="1:15" s="137" customFormat="1" ht="19" customHeight="1">
      <c r="A215" s="157"/>
      <c r="B215" s="126"/>
      <c r="C215" s="127"/>
      <c r="D215" s="126"/>
      <c r="E215" s="127"/>
      <c r="F215" s="127"/>
      <c r="G215" s="142"/>
      <c r="H215" s="128"/>
      <c r="I215" s="126"/>
      <c r="J215" s="129"/>
      <c r="K215" s="130"/>
      <c r="M215" s="128"/>
      <c r="N215" s="181"/>
      <c r="O215" s="183"/>
    </row>
    <row r="216" spans="1:15" s="137" customFormat="1" ht="19" customHeight="1">
      <c r="A216" s="157"/>
      <c r="B216" s="126"/>
      <c r="C216" s="127"/>
      <c r="D216" s="126"/>
      <c r="E216" s="127"/>
      <c r="F216" s="127"/>
      <c r="G216" s="142"/>
      <c r="H216" s="128"/>
      <c r="I216" s="126"/>
      <c r="J216" s="129"/>
      <c r="K216" s="130"/>
      <c r="M216" s="128"/>
      <c r="N216" s="181"/>
      <c r="O216" s="183"/>
    </row>
    <row r="217" spans="1:15" s="137" customFormat="1" ht="19" customHeight="1">
      <c r="A217" s="157"/>
      <c r="B217" s="126"/>
      <c r="C217" s="127"/>
      <c r="D217" s="126"/>
      <c r="E217" s="127"/>
      <c r="F217" s="127"/>
      <c r="G217" s="142"/>
      <c r="H217" s="128"/>
      <c r="I217" s="126"/>
      <c r="J217" s="129"/>
      <c r="K217" s="130"/>
      <c r="M217" s="128"/>
      <c r="N217" s="181"/>
      <c r="O217" s="183"/>
    </row>
    <row r="218" spans="1:15" s="137" customFormat="1" ht="19" customHeight="1">
      <c r="A218" s="157"/>
      <c r="B218" s="126"/>
      <c r="C218" s="127"/>
      <c r="D218" s="126"/>
      <c r="E218" s="127"/>
      <c r="F218" s="127"/>
      <c r="G218" s="142"/>
      <c r="H218" s="128"/>
      <c r="I218" s="126"/>
      <c r="J218" s="129"/>
      <c r="K218" s="130"/>
      <c r="M218" s="128"/>
      <c r="N218" s="181"/>
      <c r="O218" s="183"/>
    </row>
    <row r="219" spans="1:15" s="137" customFormat="1" ht="19" customHeight="1">
      <c r="A219" s="157"/>
      <c r="B219" s="126"/>
      <c r="C219" s="127"/>
      <c r="D219" s="126"/>
      <c r="E219" s="127"/>
      <c r="F219" s="127"/>
      <c r="G219" s="142"/>
      <c r="H219" s="128"/>
      <c r="I219" s="126"/>
      <c r="J219" s="129"/>
      <c r="K219" s="130"/>
      <c r="M219" s="128"/>
      <c r="N219" s="181"/>
      <c r="O219" s="183"/>
    </row>
    <row r="220" spans="1:15" s="137" customFormat="1" ht="19" customHeight="1">
      <c r="A220" s="157"/>
      <c r="B220" s="126"/>
      <c r="C220" s="127"/>
      <c r="D220" s="126"/>
      <c r="E220" s="127"/>
      <c r="F220" s="127"/>
      <c r="G220" s="142"/>
      <c r="H220" s="128"/>
      <c r="I220" s="126"/>
      <c r="J220" s="129"/>
      <c r="K220" s="130"/>
      <c r="M220" s="128"/>
      <c r="N220" s="181"/>
      <c r="O220" s="183"/>
    </row>
    <row r="221" spans="1:15" s="137" customFormat="1" ht="19" customHeight="1">
      <c r="A221" s="157"/>
      <c r="B221" s="126"/>
      <c r="C221" s="127"/>
      <c r="D221" s="126"/>
      <c r="E221" s="127"/>
      <c r="F221" s="127"/>
      <c r="G221" s="142"/>
      <c r="H221" s="128"/>
      <c r="I221" s="126"/>
      <c r="J221" s="129"/>
      <c r="K221" s="130"/>
      <c r="M221" s="128"/>
      <c r="N221" s="181"/>
      <c r="O221" s="183"/>
    </row>
    <row r="222" spans="1:15" s="137" customFormat="1" ht="19" customHeight="1">
      <c r="A222" s="157"/>
      <c r="B222" s="126"/>
      <c r="C222" s="127"/>
      <c r="D222" s="126"/>
      <c r="E222" s="127"/>
      <c r="F222" s="127"/>
      <c r="G222" s="142"/>
      <c r="H222" s="128"/>
      <c r="I222" s="126"/>
      <c r="J222" s="129"/>
      <c r="K222" s="130"/>
      <c r="M222" s="128"/>
      <c r="N222" s="181"/>
      <c r="O222" s="183"/>
    </row>
    <row r="223" spans="1:15" s="137" customFormat="1" ht="19" customHeight="1">
      <c r="A223" s="157"/>
      <c r="B223" s="126"/>
      <c r="C223" s="127"/>
      <c r="D223" s="126"/>
      <c r="E223" s="127"/>
      <c r="F223" s="127"/>
      <c r="G223" s="142"/>
      <c r="H223" s="128"/>
      <c r="I223" s="126"/>
      <c r="J223" s="129"/>
      <c r="K223" s="130"/>
      <c r="M223" s="128"/>
      <c r="N223" s="181"/>
      <c r="O223" s="183"/>
    </row>
    <row r="224" spans="1:15" s="137" customFormat="1">
      <c r="A224" s="157"/>
      <c r="B224" s="126"/>
      <c r="C224" s="127"/>
      <c r="D224" s="126"/>
      <c r="E224" s="127"/>
      <c r="F224" s="127"/>
      <c r="G224" s="142"/>
      <c r="H224" s="128"/>
      <c r="I224" s="126"/>
      <c r="J224" s="129"/>
      <c r="K224" s="130"/>
      <c r="M224" s="128"/>
      <c r="N224" s="181"/>
      <c r="O224" s="183"/>
    </row>
    <row r="225" spans="1:16" s="137" customFormat="1" ht="19" customHeight="1">
      <c r="A225" s="157"/>
      <c r="B225" s="126"/>
      <c r="C225" s="127"/>
      <c r="D225" s="126"/>
      <c r="E225" s="127"/>
      <c r="F225" s="127"/>
      <c r="G225" s="142"/>
      <c r="H225" s="128"/>
      <c r="I225" s="126"/>
      <c r="J225" s="129"/>
      <c r="K225" s="130"/>
      <c r="M225" s="128"/>
      <c r="N225" s="181"/>
      <c r="O225" s="183"/>
    </row>
    <row r="226" spans="1:16" s="137" customFormat="1" ht="19" customHeight="1">
      <c r="A226" s="157"/>
      <c r="B226" s="126"/>
      <c r="C226" s="127"/>
      <c r="D226" s="126"/>
      <c r="E226" s="127"/>
      <c r="F226" s="127"/>
      <c r="G226" s="142"/>
      <c r="H226" s="128"/>
      <c r="I226" s="126"/>
      <c r="J226" s="129"/>
      <c r="K226" s="130"/>
      <c r="M226" s="128"/>
      <c r="N226" s="181"/>
      <c r="O226" s="183"/>
    </row>
    <row r="227" spans="1:16" s="137" customFormat="1" ht="19" customHeight="1">
      <c r="A227" s="157"/>
      <c r="B227" s="126"/>
      <c r="C227" s="127"/>
      <c r="D227" s="126"/>
      <c r="E227" s="127"/>
      <c r="F227" s="127"/>
      <c r="G227" s="142"/>
      <c r="H227" s="128"/>
      <c r="I227" s="126"/>
      <c r="J227" s="129"/>
      <c r="K227" s="130"/>
      <c r="M227" s="128"/>
      <c r="N227" s="181"/>
      <c r="O227" s="183"/>
    </row>
    <row r="228" spans="1:16" s="137" customFormat="1" ht="19" customHeight="1">
      <c r="A228" s="157"/>
      <c r="B228" s="126"/>
      <c r="C228" s="127"/>
      <c r="D228" s="126"/>
      <c r="E228" s="127"/>
      <c r="F228" s="127"/>
      <c r="G228" s="142"/>
      <c r="H228" s="128"/>
      <c r="I228" s="126"/>
      <c r="J228" s="129"/>
      <c r="K228" s="130"/>
      <c r="M228" s="128"/>
      <c r="N228" s="181"/>
      <c r="O228" s="183"/>
    </row>
    <row r="229" spans="1:16" s="137" customFormat="1" ht="19" customHeight="1">
      <c r="A229" s="157"/>
      <c r="B229" s="126"/>
      <c r="C229" s="127"/>
      <c r="D229" s="126"/>
      <c r="E229" s="127"/>
      <c r="F229" s="127"/>
      <c r="G229" s="142"/>
      <c r="H229" s="128"/>
      <c r="I229" s="126"/>
      <c r="J229" s="129"/>
      <c r="K229" s="130"/>
      <c r="M229" s="128"/>
      <c r="N229" s="181"/>
      <c r="O229" s="183"/>
    </row>
    <row r="230" spans="1:16" s="137" customFormat="1" ht="19" customHeight="1">
      <c r="A230" s="157"/>
      <c r="B230" s="126"/>
      <c r="C230" s="127"/>
      <c r="D230" s="126"/>
      <c r="E230" s="127"/>
      <c r="F230" s="127"/>
      <c r="G230" s="142"/>
      <c r="H230" s="128"/>
      <c r="I230" s="126"/>
      <c r="J230" s="129"/>
      <c r="K230" s="130"/>
      <c r="M230" s="128"/>
      <c r="N230" s="181"/>
      <c r="O230" s="183"/>
    </row>
    <row r="231" spans="1:16" s="137" customFormat="1" ht="19" customHeight="1">
      <c r="A231" s="157"/>
      <c r="B231" s="126"/>
      <c r="C231" s="127"/>
      <c r="D231" s="126"/>
      <c r="E231" s="127"/>
      <c r="F231" s="127"/>
      <c r="G231" s="142"/>
      <c r="H231" s="128"/>
      <c r="I231" s="126"/>
      <c r="J231" s="129"/>
      <c r="K231" s="130"/>
      <c r="M231" s="128"/>
      <c r="N231" s="181"/>
      <c r="O231" s="183"/>
    </row>
    <row r="232" spans="1:16" s="137" customFormat="1" ht="19" customHeight="1">
      <c r="A232" s="157"/>
      <c r="B232" s="126"/>
      <c r="C232" s="127"/>
      <c r="D232" s="126"/>
      <c r="E232" s="127"/>
      <c r="F232" s="127"/>
      <c r="G232" s="142"/>
      <c r="H232" s="128"/>
      <c r="I232" s="126"/>
      <c r="J232" s="129"/>
      <c r="K232" s="130"/>
      <c r="L232" s="142"/>
      <c r="M232" s="128"/>
      <c r="N232" s="181"/>
      <c r="O232" s="183"/>
    </row>
    <row r="233" spans="1:16" s="137" customFormat="1" ht="19" customHeight="1">
      <c r="A233" s="157"/>
      <c r="B233" s="126"/>
      <c r="C233" s="127"/>
      <c r="D233" s="126"/>
      <c r="E233" s="127"/>
      <c r="F233" s="127"/>
      <c r="G233" s="142"/>
      <c r="H233" s="128"/>
      <c r="I233" s="126"/>
      <c r="J233" s="129"/>
      <c r="K233" s="130"/>
      <c r="L233" s="142"/>
      <c r="M233" s="128"/>
      <c r="N233" s="181"/>
      <c r="O233" s="183"/>
    </row>
    <row r="234" spans="1:16" s="137" customFormat="1" ht="19" customHeight="1">
      <c r="A234" s="157"/>
      <c r="B234" s="126"/>
      <c r="C234" s="127"/>
      <c r="D234" s="126"/>
      <c r="E234" s="127"/>
      <c r="F234" s="127"/>
      <c r="G234" s="142"/>
      <c r="H234" s="128"/>
      <c r="I234" s="126"/>
      <c r="J234" s="129"/>
      <c r="K234" s="130"/>
      <c r="L234" s="142"/>
      <c r="M234" s="128"/>
      <c r="N234" s="181"/>
      <c r="O234" s="183"/>
    </row>
    <row r="235" spans="1:16" s="137" customFormat="1" ht="19" customHeight="1">
      <c r="A235" s="157"/>
      <c r="B235" s="126"/>
      <c r="C235" s="127"/>
      <c r="D235" s="126"/>
      <c r="E235" s="127"/>
      <c r="F235" s="127"/>
      <c r="G235" s="127"/>
      <c r="H235" s="128"/>
      <c r="I235" s="126"/>
      <c r="J235" s="129"/>
      <c r="K235" s="130"/>
      <c r="L235" s="142"/>
      <c r="M235" s="128"/>
      <c r="N235" s="181"/>
      <c r="O235" s="183"/>
    </row>
    <row r="236" spans="1:16" s="137" customFormat="1" ht="19" customHeight="1">
      <c r="A236" s="157"/>
      <c r="B236" s="126"/>
      <c r="C236" s="127"/>
      <c r="D236" s="126"/>
      <c r="E236" s="127"/>
      <c r="F236" s="127"/>
      <c r="G236" s="142"/>
      <c r="H236" s="128"/>
      <c r="I236" s="126"/>
      <c r="J236" s="129"/>
      <c r="K236" s="130"/>
      <c r="L236" s="142"/>
      <c r="M236" s="128"/>
      <c r="N236" s="181"/>
      <c r="O236" s="183"/>
    </row>
    <row r="237" spans="1:16" s="137" customFormat="1" ht="19" customHeight="1">
      <c r="A237" s="157"/>
      <c r="B237" s="126"/>
      <c r="C237" s="127"/>
      <c r="D237" s="126"/>
      <c r="E237" s="127"/>
      <c r="F237" s="127"/>
      <c r="G237" s="142"/>
      <c r="H237" s="128"/>
      <c r="I237" s="126"/>
      <c r="J237" s="129"/>
      <c r="K237" s="130"/>
      <c r="L237" s="142"/>
      <c r="M237" s="128"/>
      <c r="N237" s="181"/>
      <c r="O237" s="183"/>
    </row>
    <row r="238" spans="1:16" s="132" customFormat="1" ht="19" customHeight="1">
      <c r="A238" s="157"/>
      <c r="B238" s="126"/>
      <c r="C238" s="127"/>
      <c r="D238" s="126"/>
      <c r="E238" s="127"/>
      <c r="F238" s="127"/>
      <c r="G238" s="127"/>
      <c r="H238" s="128"/>
      <c r="I238" s="126"/>
      <c r="J238" s="129"/>
      <c r="K238" s="130"/>
      <c r="L238" s="142"/>
      <c r="M238" s="128"/>
      <c r="N238" s="181"/>
      <c r="O238" s="183"/>
      <c r="P238" s="128"/>
    </row>
    <row r="239" spans="1:16" s="132" customFormat="1" ht="19" customHeight="1">
      <c r="A239" s="157"/>
      <c r="B239" s="126"/>
      <c r="C239" s="127"/>
      <c r="D239" s="126"/>
      <c r="E239" s="127"/>
      <c r="F239" s="127"/>
      <c r="G239" s="142"/>
      <c r="H239" s="128"/>
      <c r="I239" s="126"/>
      <c r="J239" s="129"/>
      <c r="K239" s="130"/>
      <c r="L239" s="142"/>
      <c r="M239" s="128"/>
      <c r="N239" s="181"/>
      <c r="O239" s="183"/>
      <c r="P239" s="128"/>
    </row>
    <row r="240" spans="1:16" s="132" customFormat="1" ht="19" customHeight="1">
      <c r="A240" s="157"/>
      <c r="B240" s="126"/>
      <c r="C240" s="127"/>
      <c r="D240" s="126"/>
      <c r="E240" s="127"/>
      <c r="F240" s="127"/>
      <c r="G240" s="142"/>
      <c r="H240" s="128"/>
      <c r="I240" s="126"/>
      <c r="J240" s="129"/>
      <c r="K240" s="130"/>
      <c r="L240" s="142"/>
      <c r="M240" s="128"/>
      <c r="N240" s="181"/>
      <c r="O240" s="183"/>
      <c r="P240" s="128"/>
    </row>
    <row r="241" spans="1:16" s="132" customFormat="1" ht="19" customHeight="1">
      <c r="A241" s="157"/>
      <c r="B241" s="126"/>
      <c r="C241" s="127"/>
      <c r="D241" s="126"/>
      <c r="E241" s="127"/>
      <c r="F241" s="127"/>
      <c r="G241" s="127"/>
      <c r="H241" s="128"/>
      <c r="I241" s="126"/>
      <c r="J241" s="129"/>
      <c r="K241" s="130"/>
      <c r="L241" s="142"/>
      <c r="M241" s="128"/>
      <c r="N241" s="181"/>
      <c r="O241" s="183"/>
      <c r="P241" s="128"/>
    </row>
    <row r="242" spans="1:16" s="132" customFormat="1" ht="19" customHeight="1">
      <c r="A242" s="157"/>
      <c r="B242" s="126"/>
      <c r="C242" s="127"/>
      <c r="D242" s="126"/>
      <c r="E242" s="127"/>
      <c r="F242" s="127"/>
      <c r="G242" s="142"/>
      <c r="H242" s="128"/>
      <c r="I242" s="126"/>
      <c r="J242" s="129"/>
      <c r="K242" s="130"/>
      <c r="L242" s="142"/>
      <c r="M242" s="128"/>
      <c r="N242" s="181"/>
      <c r="O242" s="183"/>
      <c r="P242" s="128"/>
    </row>
    <row r="243" spans="1:16" s="132" customFormat="1" ht="19" customHeight="1">
      <c r="A243" s="157"/>
      <c r="B243" s="126"/>
      <c r="C243" s="127"/>
      <c r="D243" s="126"/>
      <c r="E243" s="127"/>
      <c r="F243" s="127"/>
      <c r="G243" s="142"/>
      <c r="H243" s="128"/>
      <c r="I243" s="126"/>
      <c r="J243" s="129"/>
      <c r="K243" s="130"/>
      <c r="L243" s="142"/>
      <c r="M243" s="128"/>
      <c r="N243" s="181"/>
      <c r="O243" s="183"/>
      <c r="P243" s="128"/>
    </row>
    <row r="244" spans="1:16" ht="19" customHeight="1">
      <c r="A244" s="157"/>
      <c r="L244" s="142"/>
      <c r="O244" s="183"/>
    </row>
    <row r="245" spans="1:16" ht="19" customHeight="1">
      <c r="A245" s="157"/>
      <c r="G245" s="142"/>
      <c r="L245" s="142"/>
      <c r="O245" s="183"/>
    </row>
    <row r="246" spans="1:16" ht="19" customHeight="1">
      <c r="A246" s="157"/>
      <c r="G246" s="142"/>
      <c r="L246" s="142"/>
      <c r="O246" s="183"/>
    </row>
    <row r="247" spans="1:16" ht="19" customHeight="1">
      <c r="A247" s="157"/>
      <c r="L247" s="142"/>
      <c r="O247" s="183"/>
    </row>
    <row r="248" spans="1:16" ht="19" customHeight="1">
      <c r="A248" s="157"/>
      <c r="G248" s="142"/>
      <c r="L248" s="142"/>
      <c r="O248" s="183"/>
    </row>
    <row r="249" spans="1:16" ht="19" customHeight="1">
      <c r="A249" s="157"/>
      <c r="G249" s="142"/>
      <c r="L249" s="142"/>
      <c r="O249" s="183"/>
    </row>
    <row r="250" spans="1:16" ht="19" customHeight="1">
      <c r="A250" s="157"/>
      <c r="L250" s="142"/>
      <c r="O250" s="183"/>
    </row>
    <row r="251" spans="1:16" ht="19" customHeight="1">
      <c r="A251" s="157"/>
      <c r="G251" s="142"/>
      <c r="L251" s="142"/>
      <c r="O251" s="183"/>
    </row>
    <row r="252" spans="1:16" ht="19" customHeight="1">
      <c r="A252" s="157"/>
      <c r="G252" s="142"/>
      <c r="L252" s="142"/>
      <c r="O252" s="183"/>
    </row>
    <row r="253" spans="1:16" ht="19" customHeight="1">
      <c r="A253" s="157"/>
      <c r="L253" s="142"/>
      <c r="O253" s="183"/>
    </row>
    <row r="254" spans="1:16" ht="19" customHeight="1">
      <c r="G254" s="142"/>
      <c r="L254" s="142"/>
      <c r="O254" s="183"/>
    </row>
    <row r="255" spans="1:16" ht="19" customHeight="1">
      <c r="G255" s="142"/>
    </row>
  </sheetData>
  <mergeCells count="3">
    <mergeCell ref="A22:A44"/>
    <mergeCell ref="H45:H147"/>
    <mergeCell ref="A46:A15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2356B-3FB8-467C-9472-8F7179B73598}">
  <sheetPr codeName="Hoja5">
    <tabColor rgb="FF002060"/>
  </sheetPr>
  <dimension ref="A1:AE41"/>
  <sheetViews>
    <sheetView showGridLines="0" zoomScale="80" zoomScaleNormal="80" workbookViewId="0">
      <pane ySplit="1" topLeftCell="A2" activePane="bottomLeft" state="frozen"/>
      <selection activeCell="D3" sqref="D3:F3"/>
      <selection pane="bottomLeft" activeCell="AA14" sqref="AA14"/>
    </sheetView>
  </sheetViews>
  <sheetFormatPr baseColWidth="10" defaultColWidth="11" defaultRowHeight="15.5"/>
  <cols>
    <col min="1" max="1" width="11" style="44"/>
    <col min="2" max="2" width="12.5" style="44" bestFit="1" customWidth="1"/>
    <col min="3" max="3" width="11" style="44" customWidth="1"/>
    <col min="4" max="4" width="12" style="44" bestFit="1" customWidth="1"/>
    <col min="5" max="5" width="10.25" style="44" hidden="1" customWidth="1"/>
    <col min="6" max="6" width="11" style="44" hidden="1" customWidth="1"/>
    <col min="7" max="8" width="11.5" style="44" hidden="1" customWidth="1"/>
    <col min="9" max="9" width="11.5" style="44" customWidth="1"/>
    <col min="10" max="10" width="13.5" style="44" bestFit="1" customWidth="1"/>
    <col min="11" max="11" width="11" style="44"/>
    <col min="12" max="12" width="8.08203125" style="44" bestFit="1" customWidth="1"/>
    <col min="13" max="13" width="8.5" style="44" bestFit="1" customWidth="1"/>
    <col min="14" max="14" width="11.5" style="44" customWidth="1"/>
    <col min="15" max="16" width="11" style="44"/>
    <col min="17" max="17" width="8.83203125" style="44" bestFit="1" customWidth="1"/>
    <col min="18" max="18" width="11" style="44" hidden="1" customWidth="1"/>
    <col min="19" max="19" width="17.58203125" style="44" bestFit="1" customWidth="1"/>
    <col min="20" max="20" width="14.83203125" style="44" bestFit="1" customWidth="1"/>
    <col min="21" max="21" width="10.5" style="44" bestFit="1" customWidth="1"/>
    <col min="22" max="22" width="11" style="44" customWidth="1"/>
    <col min="23" max="24" width="11" style="44"/>
    <col min="25" max="25" width="15.58203125" style="44" bestFit="1" customWidth="1"/>
    <col min="26" max="26" width="12.5" style="49" customWidth="1"/>
    <col min="27" max="27" width="14.5" style="44" bestFit="1" customWidth="1"/>
    <col min="28" max="28" width="12.33203125" style="44" customWidth="1"/>
    <col min="29" max="29" width="11.33203125" style="44" bestFit="1" customWidth="1"/>
    <col min="30" max="16384" width="11" style="44"/>
  </cols>
  <sheetData>
    <row r="1" spans="1:31" ht="20">
      <c r="A1" s="63" t="s">
        <v>0</v>
      </c>
      <c r="B1" s="63" t="s">
        <v>5</v>
      </c>
      <c r="C1" s="63" t="s">
        <v>9</v>
      </c>
      <c r="D1" s="64" t="s">
        <v>8</v>
      </c>
      <c r="E1" s="64" t="s">
        <v>47</v>
      </c>
      <c r="F1" s="64" t="s">
        <v>30</v>
      </c>
      <c r="G1" s="64" t="s">
        <v>31</v>
      </c>
      <c r="H1" s="64" t="s">
        <v>6</v>
      </c>
      <c r="I1" s="64" t="s">
        <v>53</v>
      </c>
      <c r="J1" s="64" t="s">
        <v>7</v>
      </c>
      <c r="K1" s="64" t="s">
        <v>1</v>
      </c>
      <c r="L1" s="64" t="s">
        <v>25</v>
      </c>
      <c r="M1" s="64" t="s">
        <v>26</v>
      </c>
      <c r="N1" s="64" t="s">
        <v>2</v>
      </c>
      <c r="O1" s="64" t="s">
        <v>16</v>
      </c>
      <c r="P1" s="120" t="s">
        <v>182</v>
      </c>
      <c r="Q1" s="65" t="s">
        <v>14</v>
      </c>
      <c r="R1" s="65" t="s">
        <v>23</v>
      </c>
      <c r="S1" s="65" t="s">
        <v>58</v>
      </c>
      <c r="T1" s="65" t="s">
        <v>27</v>
      </c>
      <c r="U1" s="65" t="s">
        <v>13</v>
      </c>
      <c r="V1" s="65" t="s">
        <v>22</v>
      </c>
      <c r="W1" s="65" t="s">
        <v>12</v>
      </c>
      <c r="X1" s="65" t="s">
        <v>20</v>
      </c>
      <c r="Y1" s="65" t="s">
        <v>3</v>
      </c>
      <c r="Z1" s="65" t="s">
        <v>113</v>
      </c>
      <c r="AA1" s="65" t="s">
        <v>21</v>
      </c>
      <c r="AB1" s="65" t="s">
        <v>17</v>
      </c>
      <c r="AC1" s="65" t="s">
        <v>19</v>
      </c>
      <c r="AD1" s="65" t="s">
        <v>18</v>
      </c>
      <c r="AE1" s="219" t="s">
        <v>255</v>
      </c>
    </row>
    <row r="2" spans="1:31">
      <c r="A2" s="173" t="s">
        <v>171</v>
      </c>
      <c r="B2" s="173">
        <v>1006</v>
      </c>
      <c r="C2" s="67" t="s">
        <v>131</v>
      </c>
      <c r="D2" s="67" t="s">
        <v>195</v>
      </c>
      <c r="E2" s="67"/>
      <c r="F2" s="66">
        <v>31.45</v>
      </c>
      <c r="G2" s="66">
        <v>11.09</v>
      </c>
      <c r="H2" s="67">
        <f t="shared" ref="H2:H8" si="0">F2+G2/2</f>
        <v>36.994999999999997</v>
      </c>
      <c r="I2" s="68">
        <f t="shared" ref="I2:I8" si="1">F2+G2</f>
        <v>42.54</v>
      </c>
      <c r="J2" s="69">
        <v>2850</v>
      </c>
      <c r="K2" s="70">
        <v>0</v>
      </c>
      <c r="L2" s="71">
        <v>0</v>
      </c>
      <c r="M2" s="71">
        <v>0</v>
      </c>
      <c r="N2" s="72">
        <f t="shared" ref="N2:N8" si="2">O2-R2</f>
        <v>2422.5</v>
      </c>
      <c r="O2" s="73">
        <f t="shared" ref="O2:O8" si="3">J2*(100%-K2)+L2+M2</f>
        <v>2850</v>
      </c>
      <c r="P2" s="121">
        <f t="shared" ref="P2:P8" si="4">(N2-L2-M2)/H2</f>
        <v>65.481821867819974</v>
      </c>
      <c r="Q2" s="74">
        <f t="shared" ref="Q2:Q8" si="5">R2/O2</f>
        <v>0.15</v>
      </c>
      <c r="R2" s="75">
        <f t="shared" ref="R2:R8" si="6">O2*0.15</f>
        <v>427.5</v>
      </c>
      <c r="S2" s="74">
        <v>0.8</v>
      </c>
      <c r="T2" s="75">
        <f t="shared" ref="T2:T8" si="7">S2*O2</f>
        <v>2280</v>
      </c>
      <c r="U2" s="76">
        <f t="shared" ref="U2:U8" si="8">100%-S2-Q2</f>
        <v>4.9999999999999961E-2</v>
      </c>
      <c r="V2" s="69">
        <f t="shared" ref="V2:V8" si="9">O2*U2</f>
        <v>142.49999999999989</v>
      </c>
      <c r="W2" s="77">
        <f ca="1">V2*VLOOKUP(TODAY(),'UF HOY'!$A$2:$B$36,2,0)</f>
        <v>5662086.4499999955</v>
      </c>
      <c r="X2" s="78">
        <f>Datos!$E$10</f>
        <v>1</v>
      </c>
      <c r="Y2" s="79">
        <f ca="1">IF((W2-1000000-Datos!$N$5)/X2&gt;0,(W2-1000000-Datos!$N$5)/X2,0)</f>
        <v>4562086.4499999955</v>
      </c>
      <c r="Z2" s="78">
        <f>Datos!$G$10</f>
        <v>18</v>
      </c>
      <c r="AA2" s="79">
        <f ca="1">IF((W2-1000000-Datos!$N$5)/Z2&gt;0,(W2-1000000-Datos!$N$5)/Z2,0)</f>
        <v>253449.24722222198</v>
      </c>
      <c r="AB2" s="221">
        <f>IF(L2&gt;0,VLOOKUP(D2,Datos!$H$35:$J$38,3,0),VLOOKUP(D2,Datos!$H$35:$J$38,2,0))</f>
        <v>380000</v>
      </c>
      <c r="AC2" s="79">
        <f ca="1">(S2*PMT(Datos!$D$14,Datos!$D$13,-O2,,)*VLOOKUP(TODAY(),'UF HOY'!$A$2:$B$36,2,0)/12)+VLOOKUP(TODAY(),'UF HOY'!$A$2:$B$36,2,0)</f>
        <v>476319.30094248091</v>
      </c>
      <c r="AD2" s="79">
        <f t="shared" ref="AD2:AD8" ca="1" si="10">AB2-AC2</f>
        <v>-96319.300942480913</v>
      </c>
      <c r="AE2" s="220">
        <f ca="1">IF((AC2/0.25)&lt;=1600000,1600000,(AC2/0.25))</f>
        <v>1905277.2037699237</v>
      </c>
    </row>
    <row r="3" spans="1:31">
      <c r="A3" s="173" t="s">
        <v>171</v>
      </c>
      <c r="B3" s="173">
        <v>303</v>
      </c>
      <c r="C3" s="67" t="s">
        <v>121</v>
      </c>
      <c r="D3" s="67" t="s">
        <v>194</v>
      </c>
      <c r="E3" s="67"/>
      <c r="F3" s="66">
        <v>52.54</v>
      </c>
      <c r="G3" s="66">
        <v>6.73</v>
      </c>
      <c r="H3" s="67">
        <f t="shared" si="0"/>
        <v>55.905000000000001</v>
      </c>
      <c r="I3" s="68">
        <f t="shared" si="1"/>
        <v>59.269999999999996</v>
      </c>
      <c r="J3" s="69">
        <v>3629</v>
      </c>
      <c r="K3" s="70">
        <v>0</v>
      </c>
      <c r="L3" s="71">
        <v>0</v>
      </c>
      <c r="M3" s="71">
        <v>0</v>
      </c>
      <c r="N3" s="72">
        <f t="shared" si="2"/>
        <v>3084.65</v>
      </c>
      <c r="O3" s="73">
        <f t="shared" si="3"/>
        <v>3629</v>
      </c>
      <c r="P3" s="121">
        <f t="shared" si="4"/>
        <v>55.17663894106073</v>
      </c>
      <c r="Q3" s="74">
        <f t="shared" si="5"/>
        <v>0.15</v>
      </c>
      <c r="R3" s="75">
        <f t="shared" si="6"/>
        <v>544.35</v>
      </c>
      <c r="S3" s="74">
        <v>0.8</v>
      </c>
      <c r="T3" s="75">
        <f t="shared" si="7"/>
        <v>2903.2000000000003</v>
      </c>
      <c r="U3" s="76">
        <f t="shared" si="8"/>
        <v>4.9999999999999961E-2</v>
      </c>
      <c r="V3" s="69">
        <f t="shared" si="9"/>
        <v>181.44999999999985</v>
      </c>
      <c r="W3" s="77">
        <f ca="1">V3*VLOOKUP(TODAY(),'UF HOY'!$A$2:$B$36,2,0)</f>
        <v>7209723.4129999941</v>
      </c>
      <c r="X3" s="78">
        <f>Datos!$E$10</f>
        <v>1</v>
      </c>
      <c r="Y3" s="79">
        <f ca="1">IF((W3-1000000-Datos!$N$5)/X3&gt;0,(W3-1000000-Datos!$N$5)/X3,0)</f>
        <v>6109723.4129999941</v>
      </c>
      <c r="Z3" s="78">
        <f>Datos!$G$10</f>
        <v>18</v>
      </c>
      <c r="AA3" s="79">
        <f ca="1">IF((W3-1000000-Datos!$N$5)/Z3&gt;0,(W3-1000000-Datos!$N$5)/Z3,0)</f>
        <v>339429.07849999965</v>
      </c>
      <c r="AB3" s="221">
        <f>IF(L3&gt;0,VLOOKUP(D3,Datos!$H$35:$J$38,3,0),VLOOKUP(D3,Datos!$H$35:$J$38,2,0))</f>
        <v>500000</v>
      </c>
      <c r="AC3" s="79">
        <f ca="1">(S3*PMT(Datos!$D$14,Datos!$D$13,-O3,,)*VLOOKUP(TODAY(),'UF HOY'!$A$2:$B$36,2,0)/12)+VLOOKUP(TODAY(),'UF HOY'!$A$2:$B$36,2,0)</f>
        <v>595652.63293342572</v>
      </c>
      <c r="AD3" s="79">
        <f t="shared" ca="1" si="10"/>
        <v>-95652.632933425717</v>
      </c>
      <c r="AE3" s="220">
        <f t="shared" ref="AE3:AE21" ca="1" si="11">IF((AC3/0.25)&lt;=1600000,1600000,(AC3/0.25))</f>
        <v>2382610.5317337029</v>
      </c>
    </row>
    <row r="4" spans="1:31">
      <c r="A4" s="173" t="s">
        <v>171</v>
      </c>
      <c r="B4" s="173">
        <v>304</v>
      </c>
      <c r="C4" s="67" t="s">
        <v>122</v>
      </c>
      <c r="D4" s="67" t="s">
        <v>194</v>
      </c>
      <c r="E4" s="67"/>
      <c r="F4" s="66">
        <v>54.97</v>
      </c>
      <c r="G4" s="66">
        <v>9.11</v>
      </c>
      <c r="H4" s="67">
        <f t="shared" si="0"/>
        <v>59.524999999999999</v>
      </c>
      <c r="I4" s="68">
        <f t="shared" si="1"/>
        <v>64.08</v>
      </c>
      <c r="J4" s="69">
        <v>3789</v>
      </c>
      <c r="K4" s="70">
        <v>0</v>
      </c>
      <c r="L4" s="71">
        <v>0</v>
      </c>
      <c r="M4" s="71">
        <v>0</v>
      </c>
      <c r="N4" s="72">
        <f t="shared" si="2"/>
        <v>3220.65</v>
      </c>
      <c r="O4" s="73">
        <f t="shared" si="3"/>
        <v>3789</v>
      </c>
      <c r="P4" s="121">
        <f t="shared" si="4"/>
        <v>54.105837883242337</v>
      </c>
      <c r="Q4" s="74">
        <f t="shared" si="5"/>
        <v>0.15</v>
      </c>
      <c r="R4" s="75">
        <f t="shared" si="6"/>
        <v>568.35</v>
      </c>
      <c r="S4" s="74">
        <v>0.8</v>
      </c>
      <c r="T4" s="75">
        <f t="shared" si="7"/>
        <v>3031.2000000000003</v>
      </c>
      <c r="U4" s="76">
        <f t="shared" si="8"/>
        <v>4.9999999999999961E-2</v>
      </c>
      <c r="V4" s="69">
        <f t="shared" si="9"/>
        <v>189.44999999999985</v>
      </c>
      <c r="W4" s="77">
        <f ca="1">V4*VLOOKUP(TODAY(),'UF HOY'!$A$2:$B$36,2,0)</f>
        <v>7527594.9329999946</v>
      </c>
      <c r="X4" s="78">
        <f>Datos!$E$10</f>
        <v>1</v>
      </c>
      <c r="Y4" s="79">
        <f ca="1">IF((W4-1000000-Datos!$N$5)/X4&gt;0,(W4-1000000-Datos!$N$5)/X4,0)</f>
        <v>6427594.9329999946</v>
      </c>
      <c r="Z4" s="78">
        <f>Datos!$G$10</f>
        <v>18</v>
      </c>
      <c r="AA4" s="79">
        <f ca="1">IF((W4-1000000-Datos!$N$5)/Z4&gt;0,(W4-1000000-Datos!$N$5)/Z4,0)</f>
        <v>357088.6073888886</v>
      </c>
      <c r="AB4" s="221">
        <f>IF(L4&gt;0,VLOOKUP(D4,Datos!$H$35:$J$38,3,0),VLOOKUP(D4,Datos!$H$35:$J$38,2,0))</f>
        <v>500000</v>
      </c>
      <c r="AC4" s="79">
        <f ca="1">(S4*PMT(Datos!$D$14,Datos!$D$13,-O4,,)*VLOOKUP(TODAY(),'UF HOY'!$A$2:$B$36,2,0)/12)+VLOOKUP(TODAY(),'UF HOY'!$A$2:$B$36,2,0)</f>
        <v>620162.68828458246</v>
      </c>
      <c r="AD4" s="79">
        <f t="shared" ca="1" si="10"/>
        <v>-120162.68828458246</v>
      </c>
      <c r="AE4" s="220">
        <f t="shared" ca="1" si="11"/>
        <v>2480650.7531383298</v>
      </c>
    </row>
    <row r="5" spans="1:31">
      <c r="A5" s="173" t="s">
        <v>171</v>
      </c>
      <c r="B5" s="173">
        <v>312</v>
      </c>
      <c r="C5" s="67" t="s">
        <v>103</v>
      </c>
      <c r="D5" s="67" t="s">
        <v>196</v>
      </c>
      <c r="E5" s="67"/>
      <c r="F5" s="66">
        <v>39.24</v>
      </c>
      <c r="G5" s="66">
        <v>13.72</v>
      </c>
      <c r="H5" s="67">
        <f t="shared" si="0"/>
        <v>46.1</v>
      </c>
      <c r="I5" s="68">
        <f t="shared" si="1"/>
        <v>52.96</v>
      </c>
      <c r="J5" s="69">
        <v>3409</v>
      </c>
      <c r="K5" s="70">
        <v>0</v>
      </c>
      <c r="L5" s="71">
        <v>0</v>
      </c>
      <c r="M5" s="71">
        <v>0</v>
      </c>
      <c r="N5" s="72">
        <f t="shared" si="2"/>
        <v>2897.65</v>
      </c>
      <c r="O5" s="73">
        <f t="shared" si="3"/>
        <v>3409</v>
      </c>
      <c r="P5" s="121">
        <f t="shared" si="4"/>
        <v>62.855748373101953</v>
      </c>
      <c r="Q5" s="74">
        <f t="shared" si="5"/>
        <v>0.15</v>
      </c>
      <c r="R5" s="75">
        <f t="shared" si="6"/>
        <v>511.34999999999997</v>
      </c>
      <c r="S5" s="74">
        <v>0.8</v>
      </c>
      <c r="T5" s="75">
        <f t="shared" si="7"/>
        <v>2727.2000000000003</v>
      </c>
      <c r="U5" s="76">
        <f t="shared" si="8"/>
        <v>4.9999999999999961E-2</v>
      </c>
      <c r="V5" s="69">
        <f t="shared" si="9"/>
        <v>170.44999999999987</v>
      </c>
      <c r="W5" s="77">
        <f ca="1">V5*VLOOKUP(TODAY(),'UF HOY'!$A$2:$B$36,2,0)</f>
        <v>6772650.0729999952</v>
      </c>
      <c r="X5" s="78">
        <f>Datos!$E$10</f>
        <v>1</v>
      </c>
      <c r="Y5" s="79">
        <f ca="1">IF((W5-1000000-Datos!$N$5)/X5&gt;0,(W5-1000000-Datos!$N$5)/X5,0)</f>
        <v>5672650.0729999952</v>
      </c>
      <c r="Z5" s="78">
        <f>Datos!$G$10</f>
        <v>18</v>
      </c>
      <c r="AA5" s="79">
        <f ca="1">IF((W5-1000000-Datos!$N$5)/Z5&gt;0,(W5-1000000-Datos!$N$5)/Z5,0)</f>
        <v>315147.22627777752</v>
      </c>
      <c r="AB5" s="221">
        <f>IF(L5&gt;0,VLOOKUP(D5,Datos!$H$35:$J$38,3,0),VLOOKUP(D5,Datos!$H$35:$J$38,2,0))</f>
        <v>450000</v>
      </c>
      <c r="AC5" s="79">
        <f ca="1">(S5*PMT(Datos!$D$14,Datos!$D$13,-O5,,)*VLOOKUP(TODAY(),'UF HOY'!$A$2:$B$36,2,0)/12)+VLOOKUP(TODAY(),'UF HOY'!$A$2:$B$36,2,0)</f>
        <v>561951.30682558496</v>
      </c>
      <c r="AD5" s="79">
        <f t="shared" ca="1" si="10"/>
        <v>-111951.30682558496</v>
      </c>
      <c r="AE5" s="220">
        <f t="shared" ca="1" si="11"/>
        <v>2247805.2273023399</v>
      </c>
    </row>
    <row r="6" spans="1:31">
      <c r="A6" s="173" t="s">
        <v>171</v>
      </c>
      <c r="B6" s="173">
        <v>1612</v>
      </c>
      <c r="C6" s="67" t="s">
        <v>103</v>
      </c>
      <c r="D6" s="67" t="s">
        <v>196</v>
      </c>
      <c r="E6" s="67"/>
      <c r="F6" s="66">
        <v>39.24</v>
      </c>
      <c r="G6" s="66">
        <v>13.72</v>
      </c>
      <c r="H6" s="67">
        <f t="shared" si="0"/>
        <v>46.1</v>
      </c>
      <c r="I6" s="68">
        <f t="shared" si="1"/>
        <v>52.96</v>
      </c>
      <c r="J6" s="69">
        <v>3409</v>
      </c>
      <c r="K6" s="70">
        <v>0</v>
      </c>
      <c r="L6" s="71">
        <v>0</v>
      </c>
      <c r="M6" s="71">
        <v>0</v>
      </c>
      <c r="N6" s="72">
        <f t="shared" si="2"/>
        <v>2897.65</v>
      </c>
      <c r="O6" s="73">
        <f t="shared" si="3"/>
        <v>3409</v>
      </c>
      <c r="P6" s="121">
        <f t="shared" si="4"/>
        <v>62.855748373101953</v>
      </c>
      <c r="Q6" s="74">
        <f t="shared" si="5"/>
        <v>0.15</v>
      </c>
      <c r="R6" s="75">
        <f t="shared" si="6"/>
        <v>511.34999999999997</v>
      </c>
      <c r="S6" s="74">
        <v>0.8</v>
      </c>
      <c r="T6" s="75">
        <f t="shared" si="7"/>
        <v>2727.2000000000003</v>
      </c>
      <c r="U6" s="76">
        <f t="shared" si="8"/>
        <v>4.9999999999999961E-2</v>
      </c>
      <c r="V6" s="69">
        <f t="shared" si="9"/>
        <v>170.44999999999987</v>
      </c>
      <c r="W6" s="77">
        <f ca="1">V6*VLOOKUP(TODAY(),'UF HOY'!$A$2:$B$36,2,0)</f>
        <v>6772650.0729999952</v>
      </c>
      <c r="X6" s="78">
        <f>Datos!$E$10</f>
        <v>1</v>
      </c>
      <c r="Y6" s="79">
        <f ca="1">IF((W6-1000000-Datos!$N$5)/X6&gt;0,(W6-1000000-Datos!$N$5)/X6,0)</f>
        <v>5672650.0729999952</v>
      </c>
      <c r="Z6" s="78">
        <f>Datos!$G$10</f>
        <v>18</v>
      </c>
      <c r="AA6" s="79">
        <f ca="1">IF((W6-1000000-Datos!$N$5)/Z6&gt;0,(W6-1000000-Datos!$N$5)/Z6,0)</f>
        <v>315147.22627777752</v>
      </c>
      <c r="AB6" s="221">
        <f>IF(L6&gt;0,VLOOKUP(D6,Datos!$H$35:$J$38,3,0),VLOOKUP(D6,Datos!$H$35:$J$38,2,0))</f>
        <v>450000</v>
      </c>
      <c r="AC6" s="79">
        <f ca="1">(S6*PMT(Datos!$D$14,Datos!$D$13,-O6,,)*VLOOKUP(TODAY(),'UF HOY'!$A$2:$B$36,2,0)/12)+VLOOKUP(TODAY(),'UF HOY'!$A$2:$B$36,2,0)</f>
        <v>561951.30682558496</v>
      </c>
      <c r="AD6" s="79">
        <f t="shared" ca="1" si="10"/>
        <v>-111951.30682558496</v>
      </c>
      <c r="AE6" s="220">
        <f t="shared" ca="1" si="11"/>
        <v>2247805.2273023399</v>
      </c>
    </row>
    <row r="7" spans="1:31">
      <c r="A7" s="173" t="s">
        <v>171</v>
      </c>
      <c r="B7" s="173">
        <v>812</v>
      </c>
      <c r="C7" s="67" t="s">
        <v>103</v>
      </c>
      <c r="D7" s="67" t="s">
        <v>196</v>
      </c>
      <c r="E7" s="67"/>
      <c r="F7" s="66">
        <v>39.24</v>
      </c>
      <c r="G7" s="66">
        <v>13.72</v>
      </c>
      <c r="H7" s="67">
        <f t="shared" si="0"/>
        <v>46.1</v>
      </c>
      <c r="I7" s="68">
        <f t="shared" si="1"/>
        <v>52.96</v>
      </c>
      <c r="J7" s="69">
        <v>3409</v>
      </c>
      <c r="K7" s="70">
        <v>0</v>
      </c>
      <c r="L7" s="71">
        <v>0</v>
      </c>
      <c r="M7" s="71">
        <v>0</v>
      </c>
      <c r="N7" s="72">
        <f t="shared" si="2"/>
        <v>2897.65</v>
      </c>
      <c r="O7" s="73">
        <f t="shared" si="3"/>
        <v>3409</v>
      </c>
      <c r="P7" s="121">
        <f t="shared" si="4"/>
        <v>62.855748373101953</v>
      </c>
      <c r="Q7" s="74">
        <f t="shared" si="5"/>
        <v>0.15</v>
      </c>
      <c r="R7" s="75">
        <f t="shared" si="6"/>
        <v>511.34999999999997</v>
      </c>
      <c r="S7" s="74">
        <v>0.8</v>
      </c>
      <c r="T7" s="75">
        <f t="shared" si="7"/>
        <v>2727.2000000000003</v>
      </c>
      <c r="U7" s="76">
        <f t="shared" si="8"/>
        <v>4.9999999999999961E-2</v>
      </c>
      <c r="V7" s="69">
        <f t="shared" si="9"/>
        <v>170.44999999999987</v>
      </c>
      <c r="W7" s="77">
        <f ca="1">V7*VLOOKUP(TODAY(),'UF HOY'!$A$2:$B$36,2,0)</f>
        <v>6772650.0729999952</v>
      </c>
      <c r="X7" s="78">
        <f>Datos!$E$10</f>
        <v>1</v>
      </c>
      <c r="Y7" s="79">
        <f ca="1">IF((W7-1000000-Datos!$N$5)/X7&gt;0,(W7-1000000-Datos!$N$5)/X7,0)</f>
        <v>5672650.0729999952</v>
      </c>
      <c r="Z7" s="78">
        <f>Datos!$G$10</f>
        <v>18</v>
      </c>
      <c r="AA7" s="79">
        <f ca="1">IF((W7-1000000-Datos!$N$5)/Z7&gt;0,(W7-1000000-Datos!$N$5)/Z7,0)</f>
        <v>315147.22627777752</v>
      </c>
      <c r="AB7" s="221">
        <f>IF(L7&gt;0,VLOOKUP(D7,Datos!$H$35:$J$38,3,0),VLOOKUP(D7,Datos!$H$35:$J$38,2,0))</f>
        <v>450000</v>
      </c>
      <c r="AC7" s="79">
        <f ca="1">(S7*PMT(Datos!$D$14,Datos!$D$13,-O7,,)*VLOOKUP(TODAY(),'UF HOY'!$A$2:$B$36,2,0)/12)+VLOOKUP(TODAY(),'UF HOY'!$A$2:$B$36,2,0)</f>
        <v>561951.30682558496</v>
      </c>
      <c r="AD7" s="79">
        <f t="shared" ca="1" si="10"/>
        <v>-111951.30682558496</v>
      </c>
      <c r="AE7" s="220">
        <f t="shared" ca="1" si="11"/>
        <v>2247805.2273023399</v>
      </c>
    </row>
    <row r="8" spans="1:31">
      <c r="A8" s="173" t="s">
        <v>171</v>
      </c>
      <c r="B8" s="173">
        <v>911</v>
      </c>
      <c r="C8" s="67" t="s">
        <v>103</v>
      </c>
      <c r="D8" s="67" t="s">
        <v>196</v>
      </c>
      <c r="E8" s="67"/>
      <c r="F8" s="66">
        <v>43.62</v>
      </c>
      <c r="G8" s="66">
        <f>5.4+2.41</f>
        <v>7.8100000000000005</v>
      </c>
      <c r="H8" s="67">
        <f t="shared" si="0"/>
        <v>47.524999999999999</v>
      </c>
      <c r="I8" s="68">
        <f t="shared" si="1"/>
        <v>51.43</v>
      </c>
      <c r="J8" s="69">
        <v>3409</v>
      </c>
      <c r="K8" s="70">
        <v>0</v>
      </c>
      <c r="L8" s="71">
        <v>0</v>
      </c>
      <c r="M8" s="71">
        <v>0</v>
      </c>
      <c r="N8" s="72">
        <f t="shared" si="2"/>
        <v>2897.65</v>
      </c>
      <c r="O8" s="73">
        <f t="shared" si="3"/>
        <v>3409</v>
      </c>
      <c r="P8" s="121">
        <f t="shared" si="4"/>
        <v>60.971067859021574</v>
      </c>
      <c r="Q8" s="74">
        <f t="shared" si="5"/>
        <v>0.15</v>
      </c>
      <c r="R8" s="75">
        <f t="shared" si="6"/>
        <v>511.34999999999997</v>
      </c>
      <c r="S8" s="74">
        <v>0.8</v>
      </c>
      <c r="T8" s="75">
        <f t="shared" si="7"/>
        <v>2727.2000000000003</v>
      </c>
      <c r="U8" s="76">
        <f t="shared" si="8"/>
        <v>4.9999999999999961E-2</v>
      </c>
      <c r="V8" s="69">
        <f t="shared" si="9"/>
        <v>170.44999999999987</v>
      </c>
      <c r="W8" s="77">
        <f ca="1">V8*VLOOKUP(TODAY(),'UF HOY'!$A$2:$B$36,2,0)</f>
        <v>6772650.0729999952</v>
      </c>
      <c r="X8" s="78">
        <f>Datos!$E$10</f>
        <v>1</v>
      </c>
      <c r="Y8" s="79">
        <f ca="1">IF((W8-1000000-Datos!$N$5)/X8&gt;0,(W8-1000000-Datos!$N$5)/X8,0)</f>
        <v>5672650.0729999952</v>
      </c>
      <c r="Z8" s="78">
        <f>Datos!$G$10</f>
        <v>18</v>
      </c>
      <c r="AA8" s="79">
        <f ca="1">IF((W8-1000000-Datos!$N$5)/Z8&gt;0,(W8-1000000-Datos!$N$5)/Z8,0)</f>
        <v>315147.22627777752</v>
      </c>
      <c r="AB8" s="221">
        <f>IF(L8&gt;0,VLOOKUP(D8,Datos!$H$35:$J$38,3,0),VLOOKUP(D8,Datos!$H$35:$J$38,2,0))</f>
        <v>450000</v>
      </c>
      <c r="AC8" s="79">
        <f ca="1">(S8*PMT(Datos!$D$14,Datos!$D$13,-O8,,)*VLOOKUP(TODAY(),'UF HOY'!$A$2:$B$36,2,0)/12)+VLOOKUP(TODAY(),'UF HOY'!$A$2:$B$36,2,0)</f>
        <v>561951.30682558496</v>
      </c>
      <c r="AD8" s="79">
        <f t="shared" ca="1" si="10"/>
        <v>-111951.30682558496</v>
      </c>
      <c r="AE8" s="220">
        <f t="shared" ca="1" si="11"/>
        <v>2247805.2273023399</v>
      </c>
    </row>
    <row r="9" spans="1:31">
      <c r="A9" s="173" t="s">
        <v>171</v>
      </c>
      <c r="B9" s="173">
        <v>1611</v>
      </c>
      <c r="C9" s="67" t="s">
        <v>103</v>
      </c>
      <c r="D9" s="67" t="s">
        <v>196</v>
      </c>
      <c r="E9" s="67"/>
      <c r="F9" s="66">
        <v>43.62</v>
      </c>
      <c r="G9" s="66">
        <f>5.4+2.41</f>
        <v>7.8100000000000005</v>
      </c>
      <c r="H9" s="67">
        <f t="shared" ref="H9" si="12">F9+G9/2</f>
        <v>47.524999999999999</v>
      </c>
      <c r="I9" s="68">
        <f t="shared" ref="I9" si="13">F9+G9</f>
        <v>51.43</v>
      </c>
      <c r="J9" s="69">
        <v>3409</v>
      </c>
      <c r="K9" s="70">
        <v>0</v>
      </c>
      <c r="L9" s="71">
        <v>0</v>
      </c>
      <c r="M9" s="71">
        <v>0</v>
      </c>
      <c r="N9" s="72">
        <f t="shared" ref="N9" si="14">O9-R9</f>
        <v>2897.65</v>
      </c>
      <c r="O9" s="73">
        <f t="shared" ref="O9" si="15">J9*(100%-K9)+L9+M9</f>
        <v>3409</v>
      </c>
      <c r="P9" s="121">
        <f t="shared" ref="P9" si="16">(N9-L9-M9)/H9</f>
        <v>60.971067859021574</v>
      </c>
      <c r="Q9" s="74">
        <f t="shared" ref="Q9" si="17">R9/O9</f>
        <v>0.15</v>
      </c>
      <c r="R9" s="75">
        <f t="shared" ref="R9" si="18">O9*0.15</f>
        <v>511.34999999999997</v>
      </c>
      <c r="S9" s="74">
        <v>0.8</v>
      </c>
      <c r="T9" s="75">
        <f t="shared" ref="T9" si="19">S9*O9</f>
        <v>2727.2000000000003</v>
      </c>
      <c r="U9" s="76">
        <f t="shared" ref="U9" si="20">100%-S9-Q9</f>
        <v>4.9999999999999961E-2</v>
      </c>
      <c r="V9" s="69">
        <f t="shared" ref="V9" si="21">O9*U9</f>
        <v>170.44999999999987</v>
      </c>
      <c r="W9" s="77">
        <f ca="1">V9*VLOOKUP(TODAY(),'UF HOY'!$A$2:$B$36,2,0)</f>
        <v>6772650.0729999952</v>
      </c>
      <c r="X9" s="78">
        <f>Datos!$E$10</f>
        <v>1</v>
      </c>
      <c r="Y9" s="79">
        <f ca="1">IF((W9-1000000-Datos!$N$5)/X9&gt;0,(W9-1000000-Datos!$N$5)/X9,0)</f>
        <v>5672650.0729999952</v>
      </c>
      <c r="Z9" s="78">
        <f>Datos!$G$10</f>
        <v>18</v>
      </c>
      <c r="AA9" s="79">
        <f ca="1">IF((W9-1000000-Datos!$N$5)/Z9&gt;0,(W9-1000000-Datos!$N$5)/Z9,0)</f>
        <v>315147.22627777752</v>
      </c>
      <c r="AB9" s="221">
        <f>IF(L9&gt;0,VLOOKUP(D9,Datos!$H$35:$J$38,3,0),VLOOKUP(D9,Datos!$H$35:$J$38,2,0))</f>
        <v>450000</v>
      </c>
      <c r="AC9" s="79">
        <f ca="1">(S9*PMT(Datos!$D$14,Datos!$D$13,-O9,,)*VLOOKUP(TODAY(),'UF HOY'!$A$2:$B$36,2,0)/12)+VLOOKUP(TODAY(),'UF HOY'!$A$2:$B$36,2,0)</f>
        <v>561951.30682558496</v>
      </c>
      <c r="AD9" s="79">
        <f t="shared" ref="AD9" ca="1" si="22">AB9-AC9</f>
        <v>-111951.30682558496</v>
      </c>
      <c r="AE9" s="220">
        <f t="shared" ca="1" si="11"/>
        <v>2247805.2273023399</v>
      </c>
    </row>
    <row r="10" spans="1:31">
      <c r="A10" s="173" t="s">
        <v>171</v>
      </c>
      <c r="B10" s="173">
        <v>1801</v>
      </c>
      <c r="C10" s="67" t="s">
        <v>103</v>
      </c>
      <c r="D10" s="67" t="s">
        <v>196</v>
      </c>
      <c r="E10" s="67"/>
      <c r="F10" s="66">
        <v>39.24</v>
      </c>
      <c r="G10" s="66">
        <v>13.16</v>
      </c>
      <c r="H10" s="67">
        <f t="shared" ref="H10:H21" si="23">F10+G10/2</f>
        <v>45.82</v>
      </c>
      <c r="I10" s="68">
        <f t="shared" ref="I10:I21" si="24">F10+G10</f>
        <v>52.400000000000006</v>
      </c>
      <c r="J10" s="69">
        <v>3409</v>
      </c>
      <c r="K10" s="70">
        <v>0</v>
      </c>
      <c r="L10" s="71">
        <v>360</v>
      </c>
      <c r="M10" s="71">
        <v>130</v>
      </c>
      <c r="N10" s="72">
        <f t="shared" ref="N10:N21" si="25">O10-R10</f>
        <v>3314.15</v>
      </c>
      <c r="O10" s="73">
        <f t="shared" ref="O10:O21" si="26">J10*(100%-K10)+L10+M10</f>
        <v>3899</v>
      </c>
      <c r="P10" s="121">
        <f t="shared" ref="P10:P21" si="27">(N10-L10-M10)/H10</f>
        <v>61.635748581405501</v>
      </c>
      <c r="Q10" s="74">
        <f t="shared" ref="Q10:Q21" si="28">R10/O10</f>
        <v>0.15</v>
      </c>
      <c r="R10" s="75">
        <f t="shared" ref="R10:R21" si="29">O10*0.15</f>
        <v>584.85</v>
      </c>
      <c r="S10" s="74">
        <v>0.85</v>
      </c>
      <c r="T10" s="75">
        <f t="shared" ref="T10:T21" si="30">S10*O10</f>
        <v>3314.15</v>
      </c>
      <c r="U10" s="76">
        <f t="shared" ref="U10:U21" si="31">100%-S10-Q10</f>
        <v>0</v>
      </c>
      <c r="V10" s="69">
        <f t="shared" ref="V10:V21" si="32">O10*U10</f>
        <v>0</v>
      </c>
      <c r="W10" s="77">
        <f ca="1">V10*VLOOKUP(TODAY(),'UF HOY'!$A$2:$B$36,2,0)</f>
        <v>0</v>
      </c>
      <c r="X10" s="78">
        <f>Datos!$E$10</f>
        <v>1</v>
      </c>
      <c r="Y10" s="79">
        <f ca="1">IF((W10-1000000-Datos!$N$5)/X10&gt;0,(W10-1000000-Datos!$N$5)/X10,0)</f>
        <v>0</v>
      </c>
      <c r="Z10" s="78">
        <f>Datos!$G$10</f>
        <v>18</v>
      </c>
      <c r="AA10" s="79">
        <f ca="1">IF((W10-1000000-Datos!$N$5)/Z10&gt;0,(W10-1000000-Datos!$N$5)/Z10,0)</f>
        <v>0</v>
      </c>
      <c r="AB10" s="221">
        <f>IF(L10&gt;0,VLOOKUP(D10,Datos!$H$35:$J$38,3,0),VLOOKUP(D10,Datos!$H$35:$J$38,2,0))</f>
        <v>450000</v>
      </c>
      <c r="AC10" s="79">
        <f ca="1">(S10*PMT(Datos!$D$14,Datos!$D$13,-O10,,)*VLOOKUP(TODAY(),'UF HOY'!$A$2:$B$36,2,0)/12)+VLOOKUP(TODAY(),'UF HOY'!$A$2:$B$36,2,0)</f>
        <v>674343.31454715924</v>
      </c>
      <c r="AD10" s="79">
        <f t="shared" ref="AD10:AD21" ca="1" si="33">AB10-AC10</f>
        <v>-224343.31454715924</v>
      </c>
      <c r="AE10" s="220">
        <f t="shared" ca="1" si="11"/>
        <v>2697373.258188637</v>
      </c>
    </row>
    <row r="11" spans="1:31">
      <c r="A11" s="173" t="s">
        <v>171</v>
      </c>
      <c r="B11" s="173">
        <v>503</v>
      </c>
      <c r="C11" s="67" t="s">
        <v>121</v>
      </c>
      <c r="D11" s="67" t="s">
        <v>194</v>
      </c>
      <c r="E11" s="67"/>
      <c r="F11" s="66">
        <v>52.54</v>
      </c>
      <c r="G11" s="66">
        <v>6.73</v>
      </c>
      <c r="H11" s="67">
        <f t="shared" si="23"/>
        <v>55.905000000000001</v>
      </c>
      <c r="I11" s="68">
        <f t="shared" si="24"/>
        <v>59.269999999999996</v>
      </c>
      <c r="J11" s="69">
        <v>3629</v>
      </c>
      <c r="K11" s="70">
        <v>0</v>
      </c>
      <c r="L11" s="71">
        <v>390</v>
      </c>
      <c r="M11" s="71">
        <v>0</v>
      </c>
      <c r="N11" s="72">
        <f t="shared" si="25"/>
        <v>3416.15</v>
      </c>
      <c r="O11" s="73">
        <f t="shared" si="26"/>
        <v>4019</v>
      </c>
      <c r="P11" s="121">
        <f t="shared" si="27"/>
        <v>54.130220910473128</v>
      </c>
      <c r="Q11" s="74">
        <f t="shared" si="28"/>
        <v>0.15</v>
      </c>
      <c r="R11" s="75">
        <f t="shared" si="29"/>
        <v>602.85</v>
      </c>
      <c r="S11" s="74">
        <v>0.8</v>
      </c>
      <c r="T11" s="75">
        <f t="shared" si="30"/>
        <v>3215.2000000000003</v>
      </c>
      <c r="U11" s="76">
        <f t="shared" si="31"/>
        <v>4.9999999999999961E-2</v>
      </c>
      <c r="V11" s="69">
        <f t="shared" si="32"/>
        <v>200.94999999999985</v>
      </c>
      <c r="W11" s="77">
        <f ca="1">V11*VLOOKUP(TODAY(),'UF HOY'!$A$2:$B$36,2,0)</f>
        <v>7984535.2429999942</v>
      </c>
      <c r="X11" s="78">
        <f>Datos!$E$10</f>
        <v>1</v>
      </c>
      <c r="Y11" s="79">
        <f ca="1">IF((W11-1000000-Datos!$N$5)/X11&gt;0,(W11-1000000-Datos!$N$5)/X11,0)</f>
        <v>6884535.2429999942</v>
      </c>
      <c r="Z11" s="78">
        <f>Datos!$G$10</f>
        <v>18</v>
      </c>
      <c r="AA11" s="79">
        <f ca="1">IF((W11-1000000-Datos!$N$5)/Z11&gt;0,(W11-1000000-Datos!$N$5)/Z11,0)</f>
        <v>382474.18016666634</v>
      </c>
      <c r="AB11" s="221">
        <f>IF(L11&gt;0,VLOOKUP(D11,Datos!$H$35:$J$38,3,0),VLOOKUP(D11,Datos!$H$35:$J$38,2,0))</f>
        <v>500000</v>
      </c>
      <c r="AC11" s="79">
        <f ca="1">(S11*PMT(Datos!$D$14,Datos!$D$13,-O11,,)*VLOOKUP(TODAY(),'UF HOY'!$A$2:$B$36,2,0)/12)+VLOOKUP(TODAY(),'UF HOY'!$A$2:$B$36,2,0)</f>
        <v>655395.89285187051</v>
      </c>
      <c r="AD11" s="79">
        <f t="shared" ca="1" si="33"/>
        <v>-155395.89285187051</v>
      </c>
      <c r="AE11" s="220">
        <f t="shared" ca="1" si="11"/>
        <v>2621583.571407482</v>
      </c>
    </row>
    <row r="12" spans="1:31">
      <c r="A12" s="173" t="s">
        <v>171</v>
      </c>
      <c r="B12" s="173">
        <v>603</v>
      </c>
      <c r="C12" s="67" t="s">
        <v>121</v>
      </c>
      <c r="D12" s="67" t="s">
        <v>194</v>
      </c>
      <c r="E12" s="67"/>
      <c r="F12" s="66">
        <v>52.54</v>
      </c>
      <c r="G12" s="66">
        <v>6.73</v>
      </c>
      <c r="H12" s="67">
        <f t="shared" si="23"/>
        <v>55.905000000000001</v>
      </c>
      <c r="I12" s="68">
        <f t="shared" si="24"/>
        <v>59.269999999999996</v>
      </c>
      <c r="J12" s="69">
        <v>3629</v>
      </c>
      <c r="K12" s="70">
        <v>0</v>
      </c>
      <c r="L12" s="71">
        <v>390</v>
      </c>
      <c r="M12" s="71">
        <v>0</v>
      </c>
      <c r="N12" s="72">
        <f t="shared" si="25"/>
        <v>3416.15</v>
      </c>
      <c r="O12" s="73">
        <f t="shared" si="26"/>
        <v>4019</v>
      </c>
      <c r="P12" s="121">
        <f t="shared" si="27"/>
        <v>54.130220910473128</v>
      </c>
      <c r="Q12" s="74">
        <f t="shared" si="28"/>
        <v>0.15</v>
      </c>
      <c r="R12" s="75">
        <f t="shared" si="29"/>
        <v>602.85</v>
      </c>
      <c r="S12" s="74">
        <v>0.85</v>
      </c>
      <c r="T12" s="75">
        <f t="shared" si="30"/>
        <v>3416.15</v>
      </c>
      <c r="U12" s="76">
        <f t="shared" si="31"/>
        <v>0</v>
      </c>
      <c r="V12" s="69">
        <f t="shared" si="32"/>
        <v>0</v>
      </c>
      <c r="W12" s="77">
        <f ca="1">V12*VLOOKUP(TODAY(),'UF HOY'!$A$2:$B$36,2,0)</f>
        <v>0</v>
      </c>
      <c r="X12" s="78">
        <f>Datos!$E$10</f>
        <v>1</v>
      </c>
      <c r="Y12" s="79">
        <f ca="1">IF((W12-1000000-Datos!$N$5)/X12&gt;0,(W12-1000000-Datos!$N$5)/X12,0)</f>
        <v>0</v>
      </c>
      <c r="Z12" s="78">
        <f>Datos!$G$10</f>
        <v>18</v>
      </c>
      <c r="AA12" s="79">
        <f ca="1">IF((W12-1000000-Datos!$N$5)/Z12&gt;0,(W12-1000000-Datos!$N$5)/Z12,0)</f>
        <v>0</v>
      </c>
      <c r="AB12" s="221">
        <f>IF(L12&gt;0,VLOOKUP(D12,Datos!$H$35:$J$38,3,0),VLOOKUP(D12,Datos!$H$35:$J$38,2,0))</f>
        <v>500000</v>
      </c>
      <c r="AC12" s="79">
        <f ca="1">(S12*PMT(Datos!$D$14,Datos!$D$13,-O12,,)*VLOOKUP(TODAY(),'UF HOY'!$A$2:$B$36,2,0)/12)+VLOOKUP(TODAY(),'UF HOY'!$A$2:$B$36,2,0)</f>
        <v>693874.76490511233</v>
      </c>
      <c r="AD12" s="79">
        <f t="shared" ca="1" si="33"/>
        <v>-193874.76490511233</v>
      </c>
      <c r="AE12" s="220">
        <f t="shared" ca="1" si="11"/>
        <v>2775499.0596204493</v>
      </c>
    </row>
    <row r="13" spans="1:31">
      <c r="A13" s="173" t="s">
        <v>171</v>
      </c>
      <c r="B13" s="173">
        <v>1911</v>
      </c>
      <c r="C13" s="67" t="s">
        <v>103</v>
      </c>
      <c r="D13" s="67" t="s">
        <v>196</v>
      </c>
      <c r="E13" s="67"/>
      <c r="F13" s="66">
        <v>43.62</v>
      </c>
      <c r="G13" s="66">
        <f>5.4+2.41</f>
        <v>7.8100000000000005</v>
      </c>
      <c r="H13" s="67">
        <f t="shared" si="23"/>
        <v>47.524999999999999</v>
      </c>
      <c r="I13" s="68">
        <f t="shared" si="24"/>
        <v>51.43</v>
      </c>
      <c r="J13" s="69">
        <v>3409</v>
      </c>
      <c r="K13" s="70">
        <v>0</v>
      </c>
      <c r="L13" s="71">
        <v>360</v>
      </c>
      <c r="M13" s="71">
        <v>30</v>
      </c>
      <c r="N13" s="72">
        <f t="shared" si="25"/>
        <v>3229.15</v>
      </c>
      <c r="O13" s="73">
        <f t="shared" si="26"/>
        <v>3799</v>
      </c>
      <c r="P13" s="121">
        <f t="shared" si="27"/>
        <v>59.740136770120991</v>
      </c>
      <c r="Q13" s="74">
        <f t="shared" si="28"/>
        <v>0.15</v>
      </c>
      <c r="R13" s="75">
        <f t="shared" si="29"/>
        <v>569.85</v>
      </c>
      <c r="S13" s="74">
        <v>0.8</v>
      </c>
      <c r="T13" s="75">
        <f t="shared" si="30"/>
        <v>3039.2000000000003</v>
      </c>
      <c r="U13" s="76">
        <f t="shared" si="31"/>
        <v>4.9999999999999961E-2</v>
      </c>
      <c r="V13" s="69">
        <f t="shared" si="32"/>
        <v>189.94999999999985</v>
      </c>
      <c r="W13" s="77">
        <f ca="1">V13*VLOOKUP(TODAY(),'UF HOY'!$A$2:$B$36,2,0)</f>
        <v>7547461.9029999943</v>
      </c>
      <c r="X13" s="78">
        <f>Datos!$E$10</f>
        <v>1</v>
      </c>
      <c r="Y13" s="79">
        <f ca="1">IF((W13-1000000-Datos!$N$5)/X13&gt;0,(W13-1000000-Datos!$N$5)/X13,0)</f>
        <v>6447461.9029999943</v>
      </c>
      <c r="Z13" s="78">
        <f>Datos!$G$10</f>
        <v>18</v>
      </c>
      <c r="AA13" s="79">
        <f ca="1">IF((W13-1000000-Datos!$N$5)/Z13&gt;0,(W13-1000000-Datos!$N$5)/Z13,0)</f>
        <v>358192.32794444414</v>
      </c>
      <c r="AB13" s="221">
        <f>IF(L13&gt;0,VLOOKUP(D13,Datos!$H$35:$J$38,3,0),VLOOKUP(D13,Datos!$H$35:$J$38,2,0))</f>
        <v>450000</v>
      </c>
      <c r="AC13" s="79">
        <f ca="1">(S13*PMT(Datos!$D$14,Datos!$D$13,-O13,,)*VLOOKUP(TODAY(),'UF HOY'!$A$2:$B$36,2,0)/12)+VLOOKUP(TODAY(),'UF HOY'!$A$2:$B$36,2,0)</f>
        <v>621694.56674402975</v>
      </c>
      <c r="AD13" s="79">
        <f t="shared" ca="1" si="33"/>
        <v>-171694.56674402975</v>
      </c>
      <c r="AE13" s="220">
        <f t="shared" ca="1" si="11"/>
        <v>2486778.266976119</v>
      </c>
    </row>
    <row r="14" spans="1:31">
      <c r="A14" s="173" t="s">
        <v>171</v>
      </c>
      <c r="B14" s="173">
        <v>210</v>
      </c>
      <c r="C14" s="67" t="s">
        <v>124</v>
      </c>
      <c r="D14" s="67" t="s">
        <v>194</v>
      </c>
      <c r="E14" s="67"/>
      <c r="F14" s="66">
        <v>55.72</v>
      </c>
      <c r="G14" s="66">
        <v>9.0300000000000011</v>
      </c>
      <c r="H14" s="67">
        <f t="shared" si="23"/>
        <v>60.234999999999999</v>
      </c>
      <c r="I14" s="68">
        <f t="shared" si="24"/>
        <v>64.75</v>
      </c>
      <c r="J14" s="69">
        <v>3789</v>
      </c>
      <c r="K14" s="70">
        <v>0</v>
      </c>
      <c r="L14" s="71">
        <v>0</v>
      </c>
      <c r="M14" s="71">
        <v>0</v>
      </c>
      <c r="N14" s="72">
        <f t="shared" si="25"/>
        <v>3220.65</v>
      </c>
      <c r="O14" s="73">
        <f t="shared" si="26"/>
        <v>3789</v>
      </c>
      <c r="P14" s="121">
        <f t="shared" si="27"/>
        <v>53.468083340250686</v>
      </c>
      <c r="Q14" s="74">
        <f t="shared" si="28"/>
        <v>0.15</v>
      </c>
      <c r="R14" s="75">
        <f t="shared" si="29"/>
        <v>568.35</v>
      </c>
      <c r="S14" s="74">
        <v>0.8</v>
      </c>
      <c r="T14" s="75">
        <f t="shared" si="30"/>
        <v>3031.2000000000003</v>
      </c>
      <c r="U14" s="76">
        <f t="shared" si="31"/>
        <v>4.9999999999999961E-2</v>
      </c>
      <c r="V14" s="69">
        <f t="shared" si="32"/>
        <v>189.44999999999985</v>
      </c>
      <c r="W14" s="77">
        <f ca="1">V14*VLOOKUP(TODAY(),'UF HOY'!$A$2:$B$36,2,0)</f>
        <v>7527594.9329999946</v>
      </c>
      <c r="X14" s="78">
        <f>Datos!$E$10</f>
        <v>1</v>
      </c>
      <c r="Y14" s="79">
        <f ca="1">IF((W14-1000000-Datos!$N$5)/X14&gt;0,(W14-1000000-Datos!$N$5)/X14,0)</f>
        <v>6427594.9329999946</v>
      </c>
      <c r="Z14" s="78">
        <f>Datos!$G$10</f>
        <v>18</v>
      </c>
      <c r="AA14" s="79">
        <f ca="1">IF((W14-1000000-Datos!$N$5)/Z14&gt;0,(W14-1000000-Datos!$N$5)/Z14,0)</f>
        <v>357088.6073888886</v>
      </c>
      <c r="AB14" s="221">
        <f>IF(L14&gt;0,VLOOKUP(D14,Datos!$H$35:$J$38,3,0),VLOOKUP(D14,Datos!$H$35:$J$38,2,0))</f>
        <v>500000</v>
      </c>
      <c r="AC14" s="79">
        <f ca="1">(S14*PMT(Datos!$D$14,Datos!$D$13,-O14,,)*VLOOKUP(TODAY(),'UF HOY'!$A$2:$B$36,2,0)/12)+VLOOKUP(TODAY(),'UF HOY'!$A$2:$B$36,2,0)</f>
        <v>620162.68828458246</v>
      </c>
      <c r="AD14" s="79">
        <f t="shared" ca="1" si="33"/>
        <v>-120162.68828458246</v>
      </c>
      <c r="AE14" s="220">
        <f t="shared" ca="1" si="11"/>
        <v>2480650.7531383298</v>
      </c>
    </row>
    <row r="15" spans="1:31">
      <c r="A15" s="173" t="s">
        <v>171</v>
      </c>
      <c r="B15" s="173">
        <v>1004</v>
      </c>
      <c r="C15" s="67" t="s">
        <v>122</v>
      </c>
      <c r="D15" s="67" t="s">
        <v>194</v>
      </c>
      <c r="E15" s="67"/>
      <c r="F15" s="66">
        <v>54.97</v>
      </c>
      <c r="G15" s="66">
        <v>9.11</v>
      </c>
      <c r="H15" s="67">
        <f t="shared" si="23"/>
        <v>59.524999999999999</v>
      </c>
      <c r="I15" s="68">
        <f t="shared" si="24"/>
        <v>64.08</v>
      </c>
      <c r="J15" s="69">
        <v>3789</v>
      </c>
      <c r="K15" s="70">
        <v>0</v>
      </c>
      <c r="L15" s="71">
        <v>0</v>
      </c>
      <c r="M15" s="71">
        <v>0</v>
      </c>
      <c r="N15" s="72">
        <f t="shared" si="25"/>
        <v>3220.65</v>
      </c>
      <c r="O15" s="73">
        <f t="shared" si="26"/>
        <v>3789</v>
      </c>
      <c r="P15" s="121">
        <f t="shared" si="27"/>
        <v>54.105837883242337</v>
      </c>
      <c r="Q15" s="74">
        <f t="shared" si="28"/>
        <v>0.15</v>
      </c>
      <c r="R15" s="75">
        <f t="shared" si="29"/>
        <v>568.35</v>
      </c>
      <c r="S15" s="74">
        <v>0.8</v>
      </c>
      <c r="T15" s="75">
        <f t="shared" si="30"/>
        <v>3031.2000000000003</v>
      </c>
      <c r="U15" s="76">
        <f t="shared" si="31"/>
        <v>4.9999999999999961E-2</v>
      </c>
      <c r="V15" s="69">
        <f t="shared" si="32"/>
        <v>189.44999999999985</v>
      </c>
      <c r="W15" s="77">
        <f ca="1">V15*VLOOKUP(TODAY(),'UF HOY'!$A$2:$B$36,2,0)</f>
        <v>7527594.9329999946</v>
      </c>
      <c r="X15" s="78">
        <f>Datos!$E$10</f>
        <v>1</v>
      </c>
      <c r="Y15" s="79">
        <f ca="1">IF((W15-1000000-Datos!$N$5)/X15&gt;0,(W15-1000000-Datos!$N$5)/X15,0)</f>
        <v>6427594.9329999946</v>
      </c>
      <c r="Z15" s="78">
        <f>Datos!$G$10</f>
        <v>18</v>
      </c>
      <c r="AA15" s="79">
        <f ca="1">IF((W15-1000000-Datos!$N$5)/Z15&gt;0,(W15-1000000-Datos!$N$5)/Z15,0)</f>
        <v>357088.6073888886</v>
      </c>
      <c r="AB15" s="221">
        <f>IF(L15&gt;0,VLOOKUP(D15,Datos!$H$35:$J$38,3,0),VLOOKUP(D15,Datos!$H$35:$J$38,2,0))</f>
        <v>500000</v>
      </c>
      <c r="AC15" s="79">
        <f ca="1">(S15*PMT(Datos!$D$14,Datos!$D$13,-O15,,)*VLOOKUP(TODAY(),'UF HOY'!$A$2:$B$36,2,0)/12)+VLOOKUP(TODAY(),'UF HOY'!$A$2:$B$36,2,0)</f>
        <v>620162.68828458246</v>
      </c>
      <c r="AD15" s="79">
        <f t="shared" ca="1" si="33"/>
        <v>-120162.68828458246</v>
      </c>
      <c r="AE15" s="220">
        <f t="shared" ca="1" si="11"/>
        <v>2480650.7531383298</v>
      </c>
    </row>
    <row r="16" spans="1:31">
      <c r="A16" s="173" t="s">
        <v>171</v>
      </c>
      <c r="B16" s="173">
        <v>1710</v>
      </c>
      <c r="C16" s="67" t="s">
        <v>124</v>
      </c>
      <c r="D16" s="67" t="s">
        <v>194</v>
      </c>
      <c r="E16" s="67"/>
      <c r="F16" s="66">
        <v>55.72</v>
      </c>
      <c r="G16" s="66">
        <v>9.0300000000000011</v>
      </c>
      <c r="H16" s="67">
        <f t="shared" si="23"/>
        <v>60.234999999999999</v>
      </c>
      <c r="I16" s="68">
        <f t="shared" si="24"/>
        <v>64.75</v>
      </c>
      <c r="J16" s="69">
        <v>3789</v>
      </c>
      <c r="K16" s="70">
        <v>0</v>
      </c>
      <c r="L16" s="71">
        <v>0</v>
      </c>
      <c r="M16" s="71">
        <v>0</v>
      </c>
      <c r="N16" s="72">
        <f t="shared" si="25"/>
        <v>3220.65</v>
      </c>
      <c r="O16" s="73">
        <f t="shared" si="26"/>
        <v>3789</v>
      </c>
      <c r="P16" s="121">
        <f t="shared" si="27"/>
        <v>53.468083340250686</v>
      </c>
      <c r="Q16" s="74">
        <f t="shared" si="28"/>
        <v>0.15</v>
      </c>
      <c r="R16" s="75">
        <f t="shared" si="29"/>
        <v>568.35</v>
      </c>
      <c r="S16" s="74">
        <v>0.8</v>
      </c>
      <c r="T16" s="75">
        <f t="shared" si="30"/>
        <v>3031.2000000000003</v>
      </c>
      <c r="U16" s="76">
        <f t="shared" si="31"/>
        <v>4.9999999999999961E-2</v>
      </c>
      <c r="V16" s="69">
        <f t="shared" si="32"/>
        <v>189.44999999999985</v>
      </c>
      <c r="W16" s="77">
        <f ca="1">V16*VLOOKUP(TODAY(),'UF HOY'!$A$2:$B$36,2,0)</f>
        <v>7527594.9329999946</v>
      </c>
      <c r="X16" s="78">
        <f>Datos!$E$10</f>
        <v>1</v>
      </c>
      <c r="Y16" s="79">
        <f ca="1">IF((W16-1000000-Datos!$N$5)/X16&gt;0,(W16-1000000-Datos!$N$5)/X16,0)</f>
        <v>6427594.9329999946</v>
      </c>
      <c r="Z16" s="78">
        <f>Datos!$G$10</f>
        <v>18</v>
      </c>
      <c r="AA16" s="79">
        <f ca="1">IF((W16-1000000-Datos!$N$5)/Z16&gt;0,(W16-1000000-Datos!$N$5)/Z16,0)</f>
        <v>357088.6073888886</v>
      </c>
      <c r="AB16" s="221">
        <f>IF(L16&gt;0,VLOOKUP(D16,Datos!$H$35:$J$38,3,0),VLOOKUP(D16,Datos!$H$35:$J$38,2,0))</f>
        <v>500000</v>
      </c>
      <c r="AC16" s="79">
        <f ca="1">(S16*PMT(Datos!$D$14,Datos!$D$13,-O16,,)*VLOOKUP(TODAY(),'UF HOY'!$A$2:$B$36,2,0)/12)+VLOOKUP(TODAY(),'UF HOY'!$A$2:$B$36,2,0)</f>
        <v>620162.68828458246</v>
      </c>
      <c r="AD16" s="79">
        <f t="shared" ca="1" si="33"/>
        <v>-120162.68828458246</v>
      </c>
      <c r="AE16" s="220">
        <f t="shared" ca="1" si="11"/>
        <v>2480650.7531383298</v>
      </c>
    </row>
    <row r="17" spans="1:31">
      <c r="A17" s="173" t="s">
        <v>171</v>
      </c>
      <c r="B17" s="173">
        <v>804</v>
      </c>
      <c r="C17" s="67" t="s">
        <v>122</v>
      </c>
      <c r="D17" s="67" t="s">
        <v>194</v>
      </c>
      <c r="E17" s="67"/>
      <c r="F17" s="66">
        <v>54.97</v>
      </c>
      <c r="G17" s="66">
        <v>9.11</v>
      </c>
      <c r="H17" s="67">
        <f t="shared" si="23"/>
        <v>59.524999999999999</v>
      </c>
      <c r="I17" s="68">
        <f t="shared" si="24"/>
        <v>64.08</v>
      </c>
      <c r="J17" s="69">
        <v>3789</v>
      </c>
      <c r="K17" s="70">
        <v>0</v>
      </c>
      <c r="L17" s="71">
        <v>0</v>
      </c>
      <c r="M17" s="71">
        <v>0</v>
      </c>
      <c r="N17" s="72">
        <f t="shared" si="25"/>
        <v>3220.65</v>
      </c>
      <c r="O17" s="73">
        <f t="shared" si="26"/>
        <v>3789</v>
      </c>
      <c r="P17" s="121">
        <f t="shared" si="27"/>
        <v>54.105837883242337</v>
      </c>
      <c r="Q17" s="74">
        <f t="shared" si="28"/>
        <v>0.15</v>
      </c>
      <c r="R17" s="75">
        <f t="shared" si="29"/>
        <v>568.35</v>
      </c>
      <c r="S17" s="74">
        <v>0.8</v>
      </c>
      <c r="T17" s="75">
        <f t="shared" si="30"/>
        <v>3031.2000000000003</v>
      </c>
      <c r="U17" s="76">
        <f t="shared" si="31"/>
        <v>4.9999999999999961E-2</v>
      </c>
      <c r="V17" s="69">
        <f t="shared" si="32"/>
        <v>189.44999999999985</v>
      </c>
      <c r="W17" s="77">
        <f ca="1">V17*VLOOKUP(TODAY(),'UF HOY'!$A$2:$B$36,2,0)</f>
        <v>7527594.9329999946</v>
      </c>
      <c r="X17" s="78">
        <f>Datos!$E$10</f>
        <v>1</v>
      </c>
      <c r="Y17" s="79">
        <f ca="1">IF((W17-1000000-Datos!$N$5)/X17&gt;0,(W17-1000000-Datos!$N$5)/X17,0)</f>
        <v>6427594.9329999946</v>
      </c>
      <c r="Z17" s="78">
        <f>Datos!$G$10</f>
        <v>18</v>
      </c>
      <c r="AA17" s="79">
        <f ca="1">IF((W17-1000000-Datos!$N$5)/Z17&gt;0,(W17-1000000-Datos!$N$5)/Z17,0)</f>
        <v>357088.6073888886</v>
      </c>
      <c r="AB17" s="221">
        <f>IF(L17&gt;0,VLOOKUP(D17,Datos!$H$35:$J$38,3,0),VLOOKUP(D17,Datos!$H$35:$J$38,2,0))</f>
        <v>500000</v>
      </c>
      <c r="AC17" s="79">
        <f ca="1">(S17*PMT(Datos!$D$14,Datos!$D$13,-O17,,)*VLOOKUP(TODAY(),'UF HOY'!$A$2:$B$36,2,0)/12)+VLOOKUP(TODAY(),'UF HOY'!$A$2:$B$36,2,0)</f>
        <v>620162.68828458246</v>
      </c>
      <c r="AD17" s="79">
        <f t="shared" ca="1" si="33"/>
        <v>-120162.68828458246</v>
      </c>
      <c r="AE17" s="220">
        <f t="shared" ca="1" si="11"/>
        <v>2480650.7531383298</v>
      </c>
    </row>
    <row r="18" spans="1:31">
      <c r="A18" s="173" t="s">
        <v>171</v>
      </c>
      <c r="B18" s="173">
        <v>1604</v>
      </c>
      <c r="C18" s="67" t="s">
        <v>122</v>
      </c>
      <c r="D18" s="67" t="s">
        <v>194</v>
      </c>
      <c r="E18" s="67"/>
      <c r="F18" s="66">
        <v>54.97</v>
      </c>
      <c r="G18" s="66">
        <v>9.11</v>
      </c>
      <c r="H18" s="67">
        <f t="shared" si="23"/>
        <v>59.524999999999999</v>
      </c>
      <c r="I18" s="68">
        <f t="shared" si="24"/>
        <v>64.08</v>
      </c>
      <c r="J18" s="69">
        <v>3789</v>
      </c>
      <c r="K18" s="70">
        <v>0</v>
      </c>
      <c r="L18" s="71">
        <v>0</v>
      </c>
      <c r="M18" s="71">
        <v>0</v>
      </c>
      <c r="N18" s="72">
        <f t="shared" si="25"/>
        <v>3220.65</v>
      </c>
      <c r="O18" s="73">
        <f t="shared" si="26"/>
        <v>3789</v>
      </c>
      <c r="P18" s="121">
        <f t="shared" si="27"/>
        <v>54.105837883242337</v>
      </c>
      <c r="Q18" s="74">
        <f t="shared" si="28"/>
        <v>0.15</v>
      </c>
      <c r="R18" s="75">
        <f t="shared" si="29"/>
        <v>568.35</v>
      </c>
      <c r="S18" s="74">
        <v>0.8</v>
      </c>
      <c r="T18" s="75">
        <f t="shared" si="30"/>
        <v>3031.2000000000003</v>
      </c>
      <c r="U18" s="76">
        <f t="shared" si="31"/>
        <v>4.9999999999999961E-2</v>
      </c>
      <c r="V18" s="69">
        <f t="shared" si="32"/>
        <v>189.44999999999985</v>
      </c>
      <c r="W18" s="77">
        <f ca="1">V18*VLOOKUP(TODAY(),'UF HOY'!$A$2:$B$36,2,0)</f>
        <v>7527594.9329999946</v>
      </c>
      <c r="X18" s="78">
        <f>Datos!$E$10</f>
        <v>1</v>
      </c>
      <c r="Y18" s="79">
        <f ca="1">IF((W18-1000000-Datos!$N$5)/X18&gt;0,(W18-1000000-Datos!$N$5)/X18,0)</f>
        <v>6427594.9329999946</v>
      </c>
      <c r="Z18" s="78">
        <f>Datos!$G$10</f>
        <v>18</v>
      </c>
      <c r="AA18" s="79">
        <f ca="1">IF((W18-1000000-Datos!$N$5)/Z18&gt;0,(W18-1000000-Datos!$N$5)/Z18,0)</f>
        <v>357088.6073888886</v>
      </c>
      <c r="AB18" s="221">
        <f>IF(L18&gt;0,VLOOKUP(D18,Datos!$H$35:$J$38,3,0),VLOOKUP(D18,Datos!$H$35:$J$38,2,0))</f>
        <v>500000</v>
      </c>
      <c r="AC18" s="79">
        <f ca="1">(S18*PMT(Datos!$D$14,Datos!$D$13,-O18,,)*VLOOKUP(TODAY(),'UF HOY'!$A$2:$B$36,2,0)/12)+VLOOKUP(TODAY(),'UF HOY'!$A$2:$B$36,2,0)</f>
        <v>620162.68828458246</v>
      </c>
      <c r="AD18" s="79">
        <f t="shared" ca="1" si="33"/>
        <v>-120162.68828458246</v>
      </c>
      <c r="AE18" s="220">
        <f t="shared" ca="1" si="11"/>
        <v>2480650.7531383298</v>
      </c>
    </row>
    <row r="19" spans="1:31">
      <c r="A19" s="173" t="s">
        <v>171</v>
      </c>
      <c r="B19" s="173">
        <v>1504</v>
      </c>
      <c r="C19" s="67" t="s">
        <v>122</v>
      </c>
      <c r="D19" s="67" t="s">
        <v>194</v>
      </c>
      <c r="E19" s="67"/>
      <c r="F19" s="66">
        <v>54.97</v>
      </c>
      <c r="G19" s="66">
        <v>9.11</v>
      </c>
      <c r="H19" s="67">
        <f t="shared" si="23"/>
        <v>59.524999999999999</v>
      </c>
      <c r="I19" s="68">
        <f t="shared" si="24"/>
        <v>64.08</v>
      </c>
      <c r="J19" s="69">
        <v>3789</v>
      </c>
      <c r="K19" s="70">
        <v>0</v>
      </c>
      <c r="L19" s="71">
        <v>0</v>
      </c>
      <c r="M19" s="71">
        <v>0</v>
      </c>
      <c r="N19" s="72">
        <f t="shared" si="25"/>
        <v>3220.65</v>
      </c>
      <c r="O19" s="73">
        <f t="shared" si="26"/>
        <v>3789</v>
      </c>
      <c r="P19" s="121">
        <f t="shared" si="27"/>
        <v>54.105837883242337</v>
      </c>
      <c r="Q19" s="74">
        <f t="shared" si="28"/>
        <v>0.15</v>
      </c>
      <c r="R19" s="75">
        <f t="shared" si="29"/>
        <v>568.35</v>
      </c>
      <c r="S19" s="74">
        <v>0.8</v>
      </c>
      <c r="T19" s="75">
        <f t="shared" si="30"/>
        <v>3031.2000000000003</v>
      </c>
      <c r="U19" s="76">
        <f t="shared" si="31"/>
        <v>4.9999999999999961E-2</v>
      </c>
      <c r="V19" s="69">
        <f t="shared" si="32"/>
        <v>189.44999999999985</v>
      </c>
      <c r="W19" s="77">
        <f ca="1">V19*VLOOKUP(TODAY(),'UF HOY'!$A$2:$B$36,2,0)</f>
        <v>7527594.9329999946</v>
      </c>
      <c r="X19" s="78">
        <f>Datos!$E$10</f>
        <v>1</v>
      </c>
      <c r="Y19" s="79">
        <f ca="1">IF((W19-1000000-Datos!$N$5)/X19&gt;0,(W19-1000000-Datos!$N$5)/X19,0)</f>
        <v>6427594.9329999946</v>
      </c>
      <c r="Z19" s="78">
        <f>Datos!$G$10</f>
        <v>18</v>
      </c>
      <c r="AA19" s="79">
        <f ca="1">IF((W19-1000000-Datos!$N$5)/Z19&gt;0,(W19-1000000-Datos!$N$5)/Z19,0)</f>
        <v>357088.6073888886</v>
      </c>
      <c r="AB19" s="221">
        <f>IF(L19&gt;0,VLOOKUP(D19,Datos!$H$35:$J$38,3,0),VLOOKUP(D19,Datos!$H$35:$J$38,2,0))</f>
        <v>500000</v>
      </c>
      <c r="AC19" s="79">
        <f ca="1">(S19*PMT(Datos!$D$14,Datos!$D$13,-O19,,)*VLOOKUP(TODAY(),'UF HOY'!$A$2:$B$36,2,0)/12)+VLOOKUP(TODAY(),'UF HOY'!$A$2:$B$36,2,0)</f>
        <v>620162.68828458246</v>
      </c>
      <c r="AD19" s="79">
        <f t="shared" ca="1" si="33"/>
        <v>-120162.68828458246</v>
      </c>
      <c r="AE19" s="220">
        <f t="shared" ca="1" si="11"/>
        <v>2480650.7531383298</v>
      </c>
    </row>
    <row r="20" spans="1:31">
      <c r="A20" s="173" t="s">
        <v>171</v>
      </c>
      <c r="B20" s="173">
        <v>1610</v>
      </c>
      <c r="C20" s="67" t="s">
        <v>124</v>
      </c>
      <c r="D20" s="67" t="s">
        <v>194</v>
      </c>
      <c r="E20" s="67"/>
      <c r="F20" s="66">
        <v>55.72</v>
      </c>
      <c r="G20" s="66">
        <v>9.0300000000000011</v>
      </c>
      <c r="H20" s="67">
        <f t="shared" si="23"/>
        <v>60.234999999999999</v>
      </c>
      <c r="I20" s="68">
        <f t="shared" si="24"/>
        <v>64.75</v>
      </c>
      <c r="J20" s="69">
        <v>3789</v>
      </c>
      <c r="K20" s="70">
        <v>0</v>
      </c>
      <c r="L20" s="71">
        <v>260</v>
      </c>
      <c r="M20" s="71">
        <v>130</v>
      </c>
      <c r="N20" s="72">
        <f t="shared" si="25"/>
        <v>3552.15</v>
      </c>
      <c r="O20" s="73">
        <f t="shared" si="26"/>
        <v>4179</v>
      </c>
      <c r="P20" s="121">
        <f t="shared" si="27"/>
        <v>52.496887191831995</v>
      </c>
      <c r="Q20" s="74">
        <f t="shared" si="28"/>
        <v>0.15</v>
      </c>
      <c r="R20" s="75">
        <f t="shared" si="29"/>
        <v>626.85</v>
      </c>
      <c r="S20" s="74">
        <v>0.8</v>
      </c>
      <c r="T20" s="75">
        <f t="shared" si="30"/>
        <v>3343.2000000000003</v>
      </c>
      <c r="U20" s="76">
        <f t="shared" si="31"/>
        <v>4.9999999999999961E-2</v>
      </c>
      <c r="V20" s="69">
        <f t="shared" si="32"/>
        <v>208.94999999999985</v>
      </c>
      <c r="W20" s="77">
        <f ca="1">V20*VLOOKUP(TODAY(),'UF HOY'!$A$2:$B$36,2,0)</f>
        <v>8302406.7629999947</v>
      </c>
      <c r="X20" s="78">
        <f>Datos!$E$10</f>
        <v>1</v>
      </c>
      <c r="Y20" s="79">
        <f ca="1">IF((W20-1000000-Datos!$N$5)/X20&gt;0,(W20-1000000-Datos!$N$5)/X20,0)</f>
        <v>7202406.7629999947</v>
      </c>
      <c r="Z20" s="78">
        <f>Datos!$G$10</f>
        <v>18</v>
      </c>
      <c r="AA20" s="79">
        <f ca="1">IF((W20-1000000-Datos!$N$5)/Z20&gt;0,(W20-1000000-Datos!$N$5)/Z20,0)</f>
        <v>400133.70905555529</v>
      </c>
      <c r="AB20" s="221">
        <f>IF(L20&gt;0,VLOOKUP(D20,Datos!$H$35:$J$38,3,0),VLOOKUP(D20,Datos!$H$35:$J$38,2,0))</f>
        <v>500000</v>
      </c>
      <c r="AC20" s="79">
        <f ca="1">(S20*PMT(Datos!$D$14,Datos!$D$13,-O20,,)*VLOOKUP(TODAY(),'UF HOY'!$A$2:$B$36,2,0)/12)+VLOOKUP(TODAY(),'UF HOY'!$A$2:$B$36,2,0)</f>
        <v>679905.94820302725</v>
      </c>
      <c r="AD20" s="79">
        <f t="shared" ca="1" si="33"/>
        <v>-179905.94820302725</v>
      </c>
      <c r="AE20" s="220">
        <f t="shared" ca="1" si="11"/>
        <v>2719623.792812109</v>
      </c>
    </row>
    <row r="21" spans="1:31">
      <c r="A21" s="173" t="s">
        <v>171</v>
      </c>
      <c r="B21" s="173">
        <v>2004</v>
      </c>
      <c r="C21" s="67" t="s">
        <v>122</v>
      </c>
      <c r="D21" s="67" t="s">
        <v>194</v>
      </c>
      <c r="E21" s="67"/>
      <c r="F21" s="66">
        <v>54.97</v>
      </c>
      <c r="G21" s="66">
        <v>9.11</v>
      </c>
      <c r="H21" s="67">
        <f t="shared" si="23"/>
        <v>59.524999999999999</v>
      </c>
      <c r="I21" s="68">
        <f t="shared" si="24"/>
        <v>64.08</v>
      </c>
      <c r="J21" s="69">
        <v>3789</v>
      </c>
      <c r="K21" s="70">
        <v>0</v>
      </c>
      <c r="L21" s="71">
        <v>0</v>
      </c>
      <c r="M21" s="71">
        <v>0</v>
      </c>
      <c r="N21" s="72">
        <f t="shared" si="25"/>
        <v>3220.65</v>
      </c>
      <c r="O21" s="73">
        <f t="shared" si="26"/>
        <v>3789</v>
      </c>
      <c r="P21" s="121">
        <f t="shared" si="27"/>
        <v>54.105837883242337</v>
      </c>
      <c r="Q21" s="74">
        <f t="shared" si="28"/>
        <v>0.15</v>
      </c>
      <c r="R21" s="75">
        <f t="shared" si="29"/>
        <v>568.35</v>
      </c>
      <c r="S21" s="74">
        <v>0.8</v>
      </c>
      <c r="T21" s="75">
        <f t="shared" si="30"/>
        <v>3031.2000000000003</v>
      </c>
      <c r="U21" s="76">
        <f t="shared" si="31"/>
        <v>4.9999999999999961E-2</v>
      </c>
      <c r="V21" s="69">
        <f t="shared" si="32"/>
        <v>189.44999999999985</v>
      </c>
      <c r="W21" s="77">
        <f ca="1">V21*VLOOKUP(TODAY(),'UF HOY'!$A$2:$B$36,2,0)</f>
        <v>7527594.9329999946</v>
      </c>
      <c r="X21" s="78">
        <f>Datos!$E$10</f>
        <v>1</v>
      </c>
      <c r="Y21" s="79">
        <f ca="1">IF((W21-1000000-Datos!$N$5)/X21&gt;0,(W21-1000000-Datos!$N$5)/X21,0)</f>
        <v>6427594.9329999946</v>
      </c>
      <c r="Z21" s="78">
        <f>Datos!$G$10</f>
        <v>18</v>
      </c>
      <c r="AA21" s="79">
        <f ca="1">IF((W21-1000000-Datos!$N$5)/Z21&gt;0,(W21-1000000-Datos!$N$5)/Z21,0)</f>
        <v>357088.6073888886</v>
      </c>
      <c r="AB21" s="221">
        <f>IF(L21&gt;0,VLOOKUP(D21,Datos!$H$35:$J$38,3,0),VLOOKUP(D21,Datos!$H$35:$J$38,2,0))</f>
        <v>500000</v>
      </c>
      <c r="AC21" s="79">
        <f ca="1">(S21*PMT(Datos!$D$14,Datos!$D$13,-O21,,)*VLOOKUP(TODAY(),'UF HOY'!$A$2:$B$36,2,0)/12)+VLOOKUP(TODAY(),'UF HOY'!$A$2:$B$36,2,0)</f>
        <v>620162.68828458246</v>
      </c>
      <c r="AD21" s="79">
        <f t="shared" ca="1" si="33"/>
        <v>-120162.68828458246</v>
      </c>
      <c r="AE21" s="220">
        <f t="shared" ca="1" si="11"/>
        <v>2480650.7531383298</v>
      </c>
    </row>
    <row r="22" spans="1:31">
      <c r="A22" s="46"/>
      <c r="B22" s="46"/>
      <c r="C22" s="5"/>
      <c r="D22" s="46"/>
      <c r="E22" s="46"/>
      <c r="F22" s="46"/>
      <c r="G22" s="46"/>
      <c r="H22" s="46"/>
      <c r="I22" s="46"/>
      <c r="J22" s="5"/>
      <c r="K22" s="6"/>
      <c r="L22" s="25"/>
      <c r="M22" s="7"/>
      <c r="N22" s="46"/>
      <c r="Z22" s="44"/>
    </row>
    <row r="23" spans="1:31">
      <c r="E23" s="46"/>
      <c r="L23" s="102" t="s">
        <v>281</v>
      </c>
      <c r="M23" s="47"/>
      <c r="N23" s="48"/>
      <c r="R23" s="62"/>
    </row>
    <row r="24" spans="1:31">
      <c r="E24" s="46"/>
      <c r="L24" s="102" t="s">
        <v>280</v>
      </c>
      <c r="M24" s="47"/>
      <c r="N24" s="48"/>
    </row>
    <row r="25" spans="1:31" ht="15.75" customHeight="1">
      <c r="E25" s="46"/>
      <c r="L25" s="522" t="s">
        <v>278</v>
      </c>
      <c r="M25" s="522"/>
      <c r="N25" s="522"/>
      <c r="O25" s="49"/>
      <c r="P25" s="49"/>
      <c r="Q25" s="45"/>
    </row>
    <row r="26" spans="1:31" ht="15" customHeight="1">
      <c r="E26" s="46"/>
      <c r="L26" s="522"/>
      <c r="M26" s="522"/>
      <c r="N26" s="522"/>
      <c r="O26" s="50"/>
      <c r="P26" s="50"/>
    </row>
    <row r="27" spans="1:31" ht="15" customHeight="1">
      <c r="E27" s="46"/>
      <c r="F27" s="46"/>
      <c r="G27" s="46"/>
      <c r="H27" s="46"/>
      <c r="I27" s="46"/>
      <c r="L27" s="522"/>
      <c r="M27" s="522"/>
      <c r="N27" s="522"/>
      <c r="O27" s="51"/>
      <c r="P27" s="51"/>
    </row>
    <row r="28" spans="1:31" ht="15" customHeight="1">
      <c r="E28" s="46"/>
      <c r="F28" s="46"/>
      <c r="G28" s="46"/>
      <c r="H28" s="46"/>
      <c r="I28" s="46"/>
      <c r="L28" s="522"/>
      <c r="M28" s="522"/>
      <c r="N28" s="522"/>
    </row>
    <row r="29" spans="1:31" ht="15" customHeight="1">
      <c r="E29" s="46"/>
      <c r="F29" s="46"/>
      <c r="G29" s="46"/>
      <c r="H29" s="46"/>
      <c r="I29" s="46"/>
      <c r="L29" s="265"/>
      <c r="M29" s="265"/>
      <c r="N29" s="265"/>
      <c r="O29" s="45"/>
      <c r="P29" s="45"/>
    </row>
    <row r="31" spans="1:31">
      <c r="M31" s="48"/>
      <c r="O31" s="52"/>
      <c r="P31" s="52"/>
    </row>
    <row r="39" spans="12:14">
      <c r="L39" s="49"/>
      <c r="N39" s="53"/>
    </row>
    <row r="40" spans="12:14">
      <c r="L40" s="49"/>
      <c r="N40" s="53"/>
    </row>
    <row r="41" spans="12:14">
      <c r="L41" s="49"/>
      <c r="N41" s="53"/>
    </row>
  </sheetData>
  <autoFilter ref="A1:AE21" xr:uid="{EAF2356B-3FB8-467C-9472-8F7179B73598}">
    <sortState xmlns:xlrd2="http://schemas.microsoft.com/office/spreadsheetml/2017/richdata2" ref="A10:AE21">
      <sortCondition ref="N1:N21"/>
    </sortState>
  </autoFilter>
  <mergeCells count="1">
    <mergeCell ref="L25:N28"/>
  </mergeCells>
  <conditionalFormatting sqref="A1:AD21">
    <cfRule type="expression" dxfId="20" priority="4">
      <formula>ROW()=CELL("fila")</formula>
    </cfRule>
  </conditionalFormatting>
  <conditionalFormatting sqref="AE1">
    <cfRule type="expression" dxfId="19" priority="3">
      <formula>ROW()=CELL("fila")</formula>
    </cfRule>
  </conditionalFormatting>
  <conditionalFormatting sqref="AE2:AE21">
    <cfRule type="expression" dxfId="18" priority="1">
      <formula>ROW()=CELL("fila")</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F41AA-4B3A-4784-AE37-08545E02E854}">
  <sheetPr codeName="Hoja10" filterMode="1">
    <tabColor rgb="FF002060"/>
  </sheetPr>
  <dimension ref="A1:AE37"/>
  <sheetViews>
    <sheetView showGridLines="0" zoomScale="80" zoomScaleNormal="80" workbookViewId="0">
      <pane ySplit="1" topLeftCell="A2" activePane="bottomLeft" state="frozen"/>
      <selection activeCell="C25" sqref="C25"/>
      <selection pane="bottomLeft" activeCell="J2" sqref="J2:M17"/>
    </sheetView>
  </sheetViews>
  <sheetFormatPr baseColWidth="10" defaultColWidth="11" defaultRowHeight="15.5"/>
  <cols>
    <col min="1" max="1" width="11" style="44"/>
    <col min="2" max="2" width="12.5" style="44" bestFit="1" customWidth="1"/>
    <col min="3" max="3" width="11" style="44"/>
    <col min="4" max="4" width="12" style="44" customWidth="1"/>
    <col min="5" max="5" width="10.25" style="44" hidden="1" customWidth="1"/>
    <col min="6" max="6" width="11" style="44" hidden="1" customWidth="1"/>
    <col min="7" max="8" width="11.5" style="44" hidden="1" customWidth="1"/>
    <col min="9" max="9" width="11.5" style="44" customWidth="1"/>
    <col min="10" max="10" width="13.5" style="44" bestFit="1" customWidth="1"/>
    <col min="11" max="11" width="11" style="44"/>
    <col min="12" max="12" width="8.08203125" style="44" bestFit="1" customWidth="1"/>
    <col min="13" max="13" width="8.5" style="44" bestFit="1" customWidth="1"/>
    <col min="14" max="14" width="11.5" style="44" customWidth="1"/>
    <col min="15" max="16" width="11" style="44"/>
    <col min="17" max="17" width="8.83203125" style="44" bestFit="1" customWidth="1"/>
    <col min="18" max="18" width="11" style="44" customWidth="1"/>
    <col min="19" max="19" width="17.58203125" style="44" bestFit="1" customWidth="1"/>
    <col min="20" max="20" width="14.83203125" style="44" bestFit="1" customWidth="1"/>
    <col min="21" max="21" width="10.5" style="44" bestFit="1" customWidth="1"/>
    <col min="22" max="22" width="11" style="44" customWidth="1"/>
    <col min="23" max="24" width="11" style="44"/>
    <col min="25" max="25" width="15.58203125" style="44" bestFit="1" customWidth="1"/>
    <col min="26" max="26" width="12.5" style="49" customWidth="1"/>
    <col min="27" max="27" width="14.5" style="44" bestFit="1" customWidth="1"/>
    <col min="28" max="28" width="12.33203125" style="44" customWidth="1"/>
    <col min="29" max="29" width="11.33203125" style="44" bestFit="1" customWidth="1"/>
    <col min="30" max="16384" width="11" style="44"/>
  </cols>
  <sheetData>
    <row r="1" spans="1:31" ht="20">
      <c r="A1" s="63" t="s">
        <v>0</v>
      </c>
      <c r="B1" s="63" t="s">
        <v>5</v>
      </c>
      <c r="C1" s="63" t="s">
        <v>9</v>
      </c>
      <c r="D1" s="64" t="s">
        <v>8</v>
      </c>
      <c r="E1" s="64" t="s">
        <v>47</v>
      </c>
      <c r="F1" s="64" t="s">
        <v>30</v>
      </c>
      <c r="G1" s="64" t="s">
        <v>31</v>
      </c>
      <c r="H1" s="64" t="s">
        <v>6</v>
      </c>
      <c r="I1" s="64" t="s">
        <v>53</v>
      </c>
      <c r="J1" s="64" t="s">
        <v>7</v>
      </c>
      <c r="K1" s="64" t="s">
        <v>1</v>
      </c>
      <c r="L1" s="64" t="s">
        <v>25</v>
      </c>
      <c r="M1" s="64" t="s">
        <v>26</v>
      </c>
      <c r="N1" s="64" t="s">
        <v>2</v>
      </c>
      <c r="O1" s="64" t="s">
        <v>16</v>
      </c>
      <c r="P1" s="120" t="s">
        <v>182</v>
      </c>
      <c r="Q1" s="65" t="s">
        <v>14</v>
      </c>
      <c r="R1" s="65" t="s">
        <v>23</v>
      </c>
      <c r="S1" s="65" t="s">
        <v>58</v>
      </c>
      <c r="T1" s="65" t="s">
        <v>27</v>
      </c>
      <c r="U1" s="65" t="s">
        <v>13</v>
      </c>
      <c r="V1" s="65" t="s">
        <v>22</v>
      </c>
      <c r="W1" s="65" t="s">
        <v>12</v>
      </c>
      <c r="X1" s="65" t="s">
        <v>20</v>
      </c>
      <c r="Y1" s="65" t="s">
        <v>3</v>
      </c>
      <c r="Z1" s="65" t="s">
        <v>113</v>
      </c>
      <c r="AA1" s="65" t="s">
        <v>21</v>
      </c>
      <c r="AB1" s="65" t="s">
        <v>17</v>
      </c>
      <c r="AC1" s="65" t="s">
        <v>19</v>
      </c>
      <c r="AD1" s="65" t="s">
        <v>18</v>
      </c>
      <c r="AE1" s="219" t="s">
        <v>255</v>
      </c>
    </row>
    <row r="2" spans="1:31" hidden="1">
      <c r="A2" s="86" t="s">
        <v>171</v>
      </c>
      <c r="B2" s="86">
        <v>303</v>
      </c>
      <c r="C2" s="67" t="s">
        <v>121</v>
      </c>
      <c r="D2" s="67" t="s">
        <v>194</v>
      </c>
      <c r="E2" s="67"/>
      <c r="F2" s="66">
        <v>52.54</v>
      </c>
      <c r="G2" s="66">
        <v>6.73</v>
      </c>
      <c r="H2" s="67">
        <f>F2+G2/2</f>
        <v>55.905000000000001</v>
      </c>
      <c r="I2" s="68">
        <f t="shared" ref="I2:I17" si="0">F2+G2</f>
        <v>59.269999999999996</v>
      </c>
      <c r="J2" s="69">
        <v>3629</v>
      </c>
      <c r="K2" s="70">
        <v>0</v>
      </c>
      <c r="L2" s="71">
        <v>0</v>
      </c>
      <c r="M2" s="71">
        <v>0</v>
      </c>
      <c r="N2" s="72">
        <f t="shared" ref="N2:N17" si="1">O2-R2</f>
        <v>3084.65</v>
      </c>
      <c r="O2" s="73">
        <f t="shared" ref="O2:O17" si="2">J2*(100%-K2)+L2+M2</f>
        <v>3629</v>
      </c>
      <c r="P2" s="121">
        <f>(N2-L2-M2)/H2</f>
        <v>55.17663894106073</v>
      </c>
      <c r="Q2" s="74">
        <f t="shared" ref="Q2:Q17" si="3">R2/O2</f>
        <v>0.15</v>
      </c>
      <c r="R2" s="75">
        <f t="shared" ref="R2:R17" si="4">O2*0.15</f>
        <v>544.35</v>
      </c>
      <c r="S2" s="74">
        <v>0.8</v>
      </c>
      <c r="T2" s="75">
        <f t="shared" ref="T2:T17" si="5">S2*O2</f>
        <v>2903.2000000000003</v>
      </c>
      <c r="U2" s="76">
        <f t="shared" ref="U2:U17" si="6">100%-S2-Q2</f>
        <v>4.9999999999999961E-2</v>
      </c>
      <c r="V2" s="69">
        <f t="shared" ref="V2:V17" si="7">O2*U2</f>
        <v>181.44999999999985</v>
      </c>
      <c r="W2" s="77">
        <f ca="1">V2*VLOOKUP(TODAY(),'UF HOY'!$A$2:$B$36,2,0)</f>
        <v>7209723.4129999941</v>
      </c>
      <c r="X2" s="78">
        <f>Datos!$E$7</f>
        <v>4</v>
      </c>
      <c r="Y2" s="79">
        <f ca="1">IF((W2-1000000-Datos!$N$5)/X2&gt;0,(W2-1000000-Datos!$N$5)/X2,0)</f>
        <v>1527430.8532499985</v>
      </c>
      <c r="Z2" s="78">
        <f>Datos!$G$7</f>
        <v>22</v>
      </c>
      <c r="AA2" s="79">
        <f ca="1">IF((W2-1000000-Datos!$N$5)/Z2&gt;0,(W2-1000000-Datos!$N$5)/Z2,0)</f>
        <v>277714.70059090882</v>
      </c>
      <c r="AB2" s="221">
        <f>IF(L2&gt;0,VLOOKUP(D2,Datos!$H$35:$J$38,3,0),VLOOKUP(D2,Datos!$H$35:$J$38,2,0))</f>
        <v>500000</v>
      </c>
      <c r="AC2" s="79">
        <f ca="1">(S2*PMT(Datos!$D$16,Datos!$D$13,-O2,,)*VLOOKUP(TODAY(),'UF HOY'!$A$2:$B$36,2,0)/12)</f>
        <v>555918.69293342566</v>
      </c>
      <c r="AD2" s="79">
        <f t="shared" ref="AD2:AD17" ca="1" si="8">AB2-AC2</f>
        <v>-55918.692933425657</v>
      </c>
      <c r="AE2" s="220">
        <f t="shared" ref="AE2:AE17" ca="1" si="9">AC2/0.25</f>
        <v>2223674.7717337026</v>
      </c>
    </row>
    <row r="3" spans="1:31">
      <c r="A3" s="86" t="s">
        <v>4</v>
      </c>
      <c r="B3" s="86">
        <v>1006</v>
      </c>
      <c r="C3" s="67" t="s">
        <v>131</v>
      </c>
      <c r="D3" s="67" t="s">
        <v>195</v>
      </c>
      <c r="E3" s="67"/>
      <c r="F3" s="66">
        <v>31.45</v>
      </c>
      <c r="G3" s="66">
        <v>11.09</v>
      </c>
      <c r="H3" s="67">
        <f t="shared" ref="H3:H17" si="10">F3+G3/2</f>
        <v>36.994999999999997</v>
      </c>
      <c r="I3" s="68">
        <f t="shared" si="0"/>
        <v>42.54</v>
      </c>
      <c r="J3" s="69">
        <v>2850</v>
      </c>
      <c r="K3" s="70">
        <v>0</v>
      </c>
      <c r="L3" s="71">
        <v>0</v>
      </c>
      <c r="M3" s="71">
        <v>0</v>
      </c>
      <c r="N3" s="72">
        <f t="shared" si="1"/>
        <v>2422.5</v>
      </c>
      <c r="O3" s="73">
        <f t="shared" si="2"/>
        <v>2850</v>
      </c>
      <c r="P3" s="121">
        <f t="shared" ref="P3:P17" si="11">(N3-L3-M3)/H3</f>
        <v>65.481821867819974</v>
      </c>
      <c r="Q3" s="74">
        <f t="shared" si="3"/>
        <v>0.15</v>
      </c>
      <c r="R3" s="75">
        <f t="shared" si="4"/>
        <v>427.5</v>
      </c>
      <c r="S3" s="74">
        <v>0.8</v>
      </c>
      <c r="T3" s="75">
        <f t="shared" si="5"/>
        <v>2280</v>
      </c>
      <c r="U3" s="76">
        <f t="shared" si="6"/>
        <v>4.9999999999999961E-2</v>
      </c>
      <c r="V3" s="69">
        <f t="shared" si="7"/>
        <v>142.49999999999989</v>
      </c>
      <c r="W3" s="77">
        <f ca="1">V3*VLOOKUP(TODAY(),'UF HOY'!$A$2:$B$36,2,0)</f>
        <v>5662086.4499999955</v>
      </c>
      <c r="X3" s="78">
        <f>Datos!$E$7</f>
        <v>4</v>
      </c>
      <c r="Y3" s="79">
        <f ca="1">IF((W3-1000000-Datos!$N$5)/X3&gt;0,(W3-1000000-Datos!$N$5)/X3,0)</f>
        <v>1140521.6124999989</v>
      </c>
      <c r="Z3" s="78">
        <f>Datos!$G$7</f>
        <v>22</v>
      </c>
      <c r="AA3" s="79">
        <f ca="1">IF((W3-1000000-Datos!$N$5)/Z3&gt;0,(W3-1000000-Datos!$N$5)/Z3,0)</f>
        <v>207367.56590909071</v>
      </c>
      <c r="AB3" s="221">
        <f>IF(L3&gt;0,VLOOKUP(D3,Datos!$H$35:$J$38,3,0),VLOOKUP(D3,Datos!$H$35:$J$38,2,0))</f>
        <v>380000</v>
      </c>
      <c r="AC3" s="79">
        <f ca="1">(S3*PMT(Datos!$D$16,Datos!$D$13,-O3,,)*VLOOKUP(TODAY(),'UF HOY'!$A$2:$B$36,2,0)/12)</f>
        <v>436585.36094248091</v>
      </c>
      <c r="AD3" s="79">
        <f t="shared" ca="1" si="8"/>
        <v>-56585.360942480911</v>
      </c>
      <c r="AE3" s="220">
        <f t="shared" ca="1" si="9"/>
        <v>1746341.4437699236</v>
      </c>
    </row>
    <row r="4" spans="1:31" hidden="1">
      <c r="A4" s="86" t="s">
        <v>171</v>
      </c>
      <c r="B4" s="86">
        <v>312</v>
      </c>
      <c r="C4" s="67" t="s">
        <v>103</v>
      </c>
      <c r="D4" s="67" t="s">
        <v>196</v>
      </c>
      <c r="E4" s="67"/>
      <c r="F4" s="66">
        <v>39.24</v>
      </c>
      <c r="G4" s="66">
        <v>13.72</v>
      </c>
      <c r="H4" s="67">
        <f t="shared" si="10"/>
        <v>46.1</v>
      </c>
      <c r="I4" s="68">
        <f t="shared" si="0"/>
        <v>52.96</v>
      </c>
      <c r="J4" s="69">
        <v>3409</v>
      </c>
      <c r="K4" s="70">
        <v>0</v>
      </c>
      <c r="L4" s="71">
        <v>0</v>
      </c>
      <c r="M4" s="71">
        <v>0</v>
      </c>
      <c r="N4" s="72">
        <f t="shared" si="1"/>
        <v>2897.65</v>
      </c>
      <c r="O4" s="73">
        <f t="shared" si="2"/>
        <v>3409</v>
      </c>
      <c r="P4" s="121">
        <f t="shared" si="11"/>
        <v>62.855748373101953</v>
      </c>
      <c r="Q4" s="74">
        <f t="shared" si="3"/>
        <v>0.15</v>
      </c>
      <c r="R4" s="75">
        <f t="shared" si="4"/>
        <v>511.34999999999997</v>
      </c>
      <c r="S4" s="74">
        <v>0.8</v>
      </c>
      <c r="T4" s="75">
        <f t="shared" si="5"/>
        <v>2727.2000000000003</v>
      </c>
      <c r="U4" s="76">
        <f t="shared" si="6"/>
        <v>4.9999999999999961E-2</v>
      </c>
      <c r="V4" s="69">
        <f t="shared" si="7"/>
        <v>170.44999999999987</v>
      </c>
      <c r="W4" s="77">
        <f ca="1">V4*VLOOKUP(TODAY(),'UF HOY'!$A$2:$B$36,2,0)</f>
        <v>6772650.0729999952</v>
      </c>
      <c r="X4" s="78">
        <f>Datos!$E$7</f>
        <v>4</v>
      </c>
      <c r="Y4" s="79">
        <f ca="1">IF((W4-1000000-Datos!$N$5)/X4&gt;0,(W4-1000000-Datos!$N$5)/X4,0)</f>
        <v>1418162.5182499988</v>
      </c>
      <c r="Z4" s="78">
        <f>Datos!$G$7</f>
        <v>22</v>
      </c>
      <c r="AA4" s="79">
        <f ca="1">IF((W4-1000000-Datos!$N$5)/Z4&gt;0,(W4-1000000-Datos!$N$5)/Z4,0)</f>
        <v>257847.73059090888</v>
      </c>
      <c r="AB4" s="221">
        <f>IF(L4&gt;0,VLOOKUP(D4,Datos!$H$35:$J$38,3,0),VLOOKUP(D4,Datos!$H$35:$J$38,2,0))</f>
        <v>450000</v>
      </c>
      <c r="AC4" s="79">
        <f ca="1">(S4*PMT(Datos!$D$16,Datos!$D$13,-O4,,)*VLOOKUP(TODAY(),'UF HOY'!$A$2:$B$36,2,0)/12)</f>
        <v>522217.36682558502</v>
      </c>
      <c r="AD4" s="79">
        <f t="shared" ca="1" si="8"/>
        <v>-72217.366825585021</v>
      </c>
      <c r="AE4" s="220">
        <f t="shared" ca="1" si="9"/>
        <v>2088869.4673023401</v>
      </c>
    </row>
    <row r="5" spans="1:31">
      <c r="A5" s="86" t="s">
        <v>4</v>
      </c>
      <c r="B5" s="86">
        <v>1612</v>
      </c>
      <c r="C5" s="67" t="s">
        <v>103</v>
      </c>
      <c r="D5" s="67" t="s">
        <v>196</v>
      </c>
      <c r="E5" s="67"/>
      <c r="F5" s="66">
        <v>39.24</v>
      </c>
      <c r="G5" s="66">
        <v>13.72</v>
      </c>
      <c r="H5" s="67">
        <f t="shared" si="10"/>
        <v>46.1</v>
      </c>
      <c r="I5" s="68">
        <f t="shared" si="0"/>
        <v>52.96</v>
      </c>
      <c r="J5" s="69">
        <v>3409</v>
      </c>
      <c r="K5" s="70">
        <v>0</v>
      </c>
      <c r="L5" s="71">
        <v>0</v>
      </c>
      <c r="M5" s="71">
        <v>0</v>
      </c>
      <c r="N5" s="72">
        <f t="shared" si="1"/>
        <v>2897.65</v>
      </c>
      <c r="O5" s="73">
        <f t="shared" si="2"/>
        <v>3409</v>
      </c>
      <c r="P5" s="121">
        <f t="shared" si="11"/>
        <v>62.855748373101953</v>
      </c>
      <c r="Q5" s="74">
        <f t="shared" si="3"/>
        <v>0.15</v>
      </c>
      <c r="R5" s="75">
        <f t="shared" si="4"/>
        <v>511.34999999999997</v>
      </c>
      <c r="S5" s="74">
        <v>0.8</v>
      </c>
      <c r="T5" s="75">
        <f t="shared" si="5"/>
        <v>2727.2000000000003</v>
      </c>
      <c r="U5" s="76">
        <f t="shared" si="6"/>
        <v>4.9999999999999961E-2</v>
      </c>
      <c r="V5" s="69">
        <f t="shared" si="7"/>
        <v>170.44999999999987</v>
      </c>
      <c r="W5" s="77">
        <f ca="1">V5*VLOOKUP(TODAY(),'UF HOY'!$A$2:$B$36,2,0)</f>
        <v>6772650.0729999952</v>
      </c>
      <c r="X5" s="78">
        <f>Datos!$E$7</f>
        <v>4</v>
      </c>
      <c r="Y5" s="79">
        <f ca="1">IF((W5-1000000-Datos!$N$5)/X5&gt;0,(W5-1000000-Datos!$N$5)/X5,0)</f>
        <v>1418162.5182499988</v>
      </c>
      <c r="Z5" s="78">
        <f>Datos!$G$7</f>
        <v>22</v>
      </c>
      <c r="AA5" s="79">
        <f ca="1">IF((W5-1000000-Datos!$N$5)/Z5&gt;0,(W5-1000000-Datos!$N$5)/Z5,0)</f>
        <v>257847.73059090888</v>
      </c>
      <c r="AB5" s="221">
        <f>IF(L5&gt;0,VLOOKUP(D5,Datos!$H$35:$J$38,3,0),VLOOKUP(D5,Datos!$H$35:$J$38,2,0))</f>
        <v>450000</v>
      </c>
      <c r="AC5" s="79">
        <f ca="1">(S5*PMT(Datos!$D$16,Datos!$D$13,-O5,,)*VLOOKUP(TODAY(),'UF HOY'!$A$2:$B$36,2,0)/12)</f>
        <v>522217.36682558502</v>
      </c>
      <c r="AD5" s="79">
        <f t="shared" ca="1" si="8"/>
        <v>-72217.366825585021</v>
      </c>
      <c r="AE5" s="220">
        <f t="shared" ca="1" si="9"/>
        <v>2088869.4673023401</v>
      </c>
    </row>
    <row r="6" spans="1:31" hidden="1">
      <c r="A6" s="86" t="s">
        <v>171</v>
      </c>
      <c r="B6" s="86">
        <v>812</v>
      </c>
      <c r="C6" s="67" t="s">
        <v>103</v>
      </c>
      <c r="D6" s="67" t="s">
        <v>196</v>
      </c>
      <c r="E6" s="67"/>
      <c r="F6" s="66">
        <v>39.24</v>
      </c>
      <c r="G6" s="66">
        <v>13.72</v>
      </c>
      <c r="H6" s="67">
        <f t="shared" si="10"/>
        <v>46.1</v>
      </c>
      <c r="I6" s="68">
        <f t="shared" si="0"/>
        <v>52.96</v>
      </c>
      <c r="J6" s="69">
        <v>3409</v>
      </c>
      <c r="K6" s="70">
        <v>0</v>
      </c>
      <c r="L6" s="71">
        <v>0</v>
      </c>
      <c r="M6" s="71">
        <v>0</v>
      </c>
      <c r="N6" s="72">
        <f t="shared" si="1"/>
        <v>2897.65</v>
      </c>
      <c r="O6" s="73">
        <f t="shared" si="2"/>
        <v>3409</v>
      </c>
      <c r="P6" s="121">
        <f t="shared" si="11"/>
        <v>62.855748373101953</v>
      </c>
      <c r="Q6" s="74">
        <f t="shared" si="3"/>
        <v>0.15</v>
      </c>
      <c r="R6" s="75">
        <f t="shared" si="4"/>
        <v>511.34999999999997</v>
      </c>
      <c r="S6" s="74">
        <v>0.8</v>
      </c>
      <c r="T6" s="75">
        <f t="shared" si="5"/>
        <v>2727.2000000000003</v>
      </c>
      <c r="U6" s="76">
        <f t="shared" si="6"/>
        <v>4.9999999999999961E-2</v>
      </c>
      <c r="V6" s="69">
        <f t="shared" si="7"/>
        <v>170.44999999999987</v>
      </c>
      <c r="W6" s="77">
        <f ca="1">V6*VLOOKUP(TODAY(),'UF HOY'!$A$2:$B$36,2,0)</f>
        <v>6772650.0729999952</v>
      </c>
      <c r="X6" s="78">
        <f>Datos!$E$7</f>
        <v>4</v>
      </c>
      <c r="Y6" s="79">
        <f ca="1">IF((W6-1000000-Datos!$N$5)/X6&gt;0,(W6-1000000-Datos!$N$5)/X6,0)</f>
        <v>1418162.5182499988</v>
      </c>
      <c r="Z6" s="78">
        <f>Datos!$G$7</f>
        <v>22</v>
      </c>
      <c r="AA6" s="79">
        <f ca="1">IF((W6-1000000-Datos!$N$5)/Z6&gt;0,(W6-1000000-Datos!$N$5)/Z6,0)</f>
        <v>257847.73059090888</v>
      </c>
      <c r="AB6" s="221">
        <f>IF(L6&gt;0,VLOOKUP(D6,Datos!$H$35:$J$38,3,0),VLOOKUP(D6,Datos!$H$35:$J$38,2,0))</f>
        <v>450000</v>
      </c>
      <c r="AC6" s="79">
        <f ca="1">(S6*PMT(Datos!$D$16,Datos!$D$13,-O6,,)*VLOOKUP(TODAY(),'UF HOY'!$A$2:$B$36,2,0)/12)</f>
        <v>522217.36682558502</v>
      </c>
      <c r="AD6" s="79">
        <f t="shared" ca="1" si="8"/>
        <v>-72217.366825585021</v>
      </c>
      <c r="AE6" s="220">
        <f t="shared" ca="1" si="9"/>
        <v>2088869.4673023401</v>
      </c>
    </row>
    <row r="7" spans="1:31" hidden="1">
      <c r="A7" s="86" t="s">
        <v>171</v>
      </c>
      <c r="B7" s="86">
        <v>911</v>
      </c>
      <c r="C7" s="67" t="s">
        <v>103</v>
      </c>
      <c r="D7" s="67" t="s">
        <v>196</v>
      </c>
      <c r="E7" s="67"/>
      <c r="F7" s="66">
        <v>43.62</v>
      </c>
      <c r="G7" s="66">
        <v>7.8100000000000005</v>
      </c>
      <c r="H7" s="67">
        <f t="shared" si="10"/>
        <v>47.524999999999999</v>
      </c>
      <c r="I7" s="68">
        <f t="shared" si="0"/>
        <v>51.43</v>
      </c>
      <c r="J7" s="69">
        <v>3409</v>
      </c>
      <c r="K7" s="70">
        <v>0</v>
      </c>
      <c r="L7" s="71">
        <v>0</v>
      </c>
      <c r="M7" s="71">
        <v>0</v>
      </c>
      <c r="N7" s="72">
        <f t="shared" si="1"/>
        <v>2897.65</v>
      </c>
      <c r="O7" s="73">
        <f t="shared" si="2"/>
        <v>3409</v>
      </c>
      <c r="P7" s="121">
        <f t="shared" si="11"/>
        <v>60.971067859021574</v>
      </c>
      <c r="Q7" s="74">
        <f t="shared" si="3"/>
        <v>0.15</v>
      </c>
      <c r="R7" s="75">
        <f t="shared" si="4"/>
        <v>511.34999999999997</v>
      </c>
      <c r="S7" s="74">
        <v>0.8</v>
      </c>
      <c r="T7" s="75">
        <f t="shared" si="5"/>
        <v>2727.2000000000003</v>
      </c>
      <c r="U7" s="76">
        <f t="shared" si="6"/>
        <v>4.9999999999999961E-2</v>
      </c>
      <c r="V7" s="69">
        <f t="shared" si="7"/>
        <v>170.44999999999987</v>
      </c>
      <c r="W7" s="77">
        <f ca="1">V7*VLOOKUP(TODAY(),'UF HOY'!$A$2:$B$36,2,0)</f>
        <v>6772650.0729999952</v>
      </c>
      <c r="X7" s="78">
        <f>Datos!$E$7</f>
        <v>4</v>
      </c>
      <c r="Y7" s="79">
        <f ca="1">IF((W7-1000000-Datos!$N$5)/X7&gt;0,(W7-1000000-Datos!$N$5)/X7,0)</f>
        <v>1418162.5182499988</v>
      </c>
      <c r="Z7" s="78">
        <f>Datos!$G$7</f>
        <v>22</v>
      </c>
      <c r="AA7" s="79">
        <f ca="1">IF((W7-1000000-Datos!$N$5)/Z7&gt;0,(W7-1000000-Datos!$N$5)/Z7,0)</f>
        <v>257847.73059090888</v>
      </c>
      <c r="AB7" s="221">
        <f>IF(L7&gt;0,VLOOKUP(D7,Datos!$H$35:$J$38,3,0),VLOOKUP(D7,Datos!$H$35:$J$38,2,0))</f>
        <v>450000</v>
      </c>
      <c r="AC7" s="79">
        <f ca="1">(S7*PMT(Datos!$D$16,Datos!$D$13,-O7,,)*VLOOKUP(TODAY(),'UF HOY'!$A$2:$B$36,2,0)/12)</f>
        <v>522217.36682558502</v>
      </c>
      <c r="AD7" s="79">
        <f t="shared" ca="1" si="8"/>
        <v>-72217.366825585021</v>
      </c>
      <c r="AE7" s="220">
        <f t="shared" ca="1" si="9"/>
        <v>2088869.4673023401</v>
      </c>
    </row>
    <row r="8" spans="1:31">
      <c r="A8" s="86" t="s">
        <v>4</v>
      </c>
      <c r="B8" s="86">
        <v>1801</v>
      </c>
      <c r="C8" s="67" t="s">
        <v>103</v>
      </c>
      <c r="D8" s="67" t="s">
        <v>196</v>
      </c>
      <c r="E8" s="67"/>
      <c r="F8" s="66">
        <v>39.24</v>
      </c>
      <c r="G8" s="66">
        <v>13.16</v>
      </c>
      <c r="H8" s="67">
        <f t="shared" si="10"/>
        <v>45.82</v>
      </c>
      <c r="I8" s="68">
        <f t="shared" si="0"/>
        <v>52.400000000000006</v>
      </c>
      <c r="J8" s="69">
        <v>3409</v>
      </c>
      <c r="K8" s="70">
        <v>0</v>
      </c>
      <c r="L8" s="71">
        <v>0</v>
      </c>
      <c r="M8" s="71">
        <v>0</v>
      </c>
      <c r="N8" s="72">
        <f t="shared" si="1"/>
        <v>2897.65</v>
      </c>
      <c r="O8" s="73">
        <f t="shared" si="2"/>
        <v>3409</v>
      </c>
      <c r="P8" s="121">
        <f t="shared" si="11"/>
        <v>63.23985159319075</v>
      </c>
      <c r="Q8" s="74">
        <f t="shared" si="3"/>
        <v>0.15</v>
      </c>
      <c r="R8" s="75">
        <f t="shared" si="4"/>
        <v>511.34999999999997</v>
      </c>
      <c r="S8" s="74">
        <v>0.8</v>
      </c>
      <c r="T8" s="75">
        <f t="shared" si="5"/>
        <v>2727.2000000000003</v>
      </c>
      <c r="U8" s="76">
        <f t="shared" si="6"/>
        <v>4.9999999999999961E-2</v>
      </c>
      <c r="V8" s="69">
        <f t="shared" si="7"/>
        <v>170.44999999999987</v>
      </c>
      <c r="W8" s="77">
        <f ca="1">V8*VLOOKUP(TODAY(),'UF HOY'!$A$2:$B$36,2,0)</f>
        <v>6772650.0729999952</v>
      </c>
      <c r="X8" s="78">
        <f>Datos!$E$7</f>
        <v>4</v>
      </c>
      <c r="Y8" s="79">
        <f ca="1">IF((W8-1000000-Datos!$N$5)/X8&gt;0,(W8-1000000-Datos!$N$5)/X8,0)</f>
        <v>1418162.5182499988</v>
      </c>
      <c r="Z8" s="78">
        <f>Datos!$G$7</f>
        <v>22</v>
      </c>
      <c r="AA8" s="79">
        <f ca="1">IF((W8-1000000-Datos!$N$5)/Z8&gt;0,(W8-1000000-Datos!$N$5)/Z8,0)</f>
        <v>257847.73059090888</v>
      </c>
      <c r="AB8" s="221">
        <f>IF(L8&gt;0,VLOOKUP(D8,Datos!$H$35:$J$38,3,0),VLOOKUP(D8,Datos!$H$35:$J$38,2,0))</f>
        <v>450000</v>
      </c>
      <c r="AC8" s="79">
        <f ca="1">(S8*PMT(Datos!$D$16,Datos!$D$13,-O8,,)*VLOOKUP(TODAY(),'UF HOY'!$A$2:$B$36,2,0)/12)</f>
        <v>522217.36682558502</v>
      </c>
      <c r="AD8" s="79">
        <f t="shared" ca="1" si="8"/>
        <v>-72217.366825585021</v>
      </c>
      <c r="AE8" s="220">
        <f t="shared" ca="1" si="9"/>
        <v>2088869.4673023401</v>
      </c>
    </row>
    <row r="9" spans="1:31">
      <c r="A9" s="86" t="s">
        <v>4</v>
      </c>
      <c r="B9" s="86">
        <v>1911</v>
      </c>
      <c r="C9" s="67" t="s">
        <v>103</v>
      </c>
      <c r="D9" s="67" t="s">
        <v>196</v>
      </c>
      <c r="E9" s="67"/>
      <c r="F9" s="66">
        <v>43.62</v>
      </c>
      <c r="G9" s="66">
        <v>7.8100000000000005</v>
      </c>
      <c r="H9" s="67">
        <f t="shared" ref="H9" si="12">F9+G9/2</f>
        <v>47.524999999999999</v>
      </c>
      <c r="I9" s="68">
        <f t="shared" ref="I9" si="13">F9+G9</f>
        <v>51.43</v>
      </c>
      <c r="J9" s="69">
        <v>3409</v>
      </c>
      <c r="K9" s="70">
        <v>0</v>
      </c>
      <c r="L9" s="71">
        <v>0</v>
      </c>
      <c r="M9" s="71">
        <v>0</v>
      </c>
      <c r="N9" s="72">
        <f t="shared" ref="N9" si="14">O9-R9</f>
        <v>2897.65</v>
      </c>
      <c r="O9" s="73">
        <f t="shared" ref="O9" si="15">J9*(100%-K9)+L9+M9</f>
        <v>3409</v>
      </c>
      <c r="P9" s="121">
        <f t="shared" ref="P9" si="16">(N9-L9-M9)/H9</f>
        <v>60.971067859021574</v>
      </c>
      <c r="Q9" s="74">
        <f t="shared" ref="Q9" si="17">R9/O9</f>
        <v>0.15</v>
      </c>
      <c r="R9" s="75">
        <f t="shared" ref="R9" si="18">O9*0.15</f>
        <v>511.34999999999997</v>
      </c>
      <c r="S9" s="74">
        <v>0.8</v>
      </c>
      <c r="T9" s="75">
        <f t="shared" ref="T9" si="19">S9*O9</f>
        <v>2727.2000000000003</v>
      </c>
      <c r="U9" s="76">
        <f t="shared" ref="U9" si="20">100%-S9-Q9</f>
        <v>4.9999999999999961E-2</v>
      </c>
      <c r="V9" s="69">
        <f t="shared" ref="V9" si="21">O9*U9</f>
        <v>170.44999999999987</v>
      </c>
      <c r="W9" s="77">
        <f ca="1">V9*VLOOKUP(TODAY(),'UF HOY'!$A$2:$B$36,2,0)</f>
        <v>6772650.0729999952</v>
      </c>
      <c r="X9" s="78">
        <f>Datos!$E$7</f>
        <v>4</v>
      </c>
      <c r="Y9" s="79">
        <f ca="1">IF((W9-1000000-Datos!$N$5)/X9&gt;0,(W9-1000000-Datos!$N$5)/X9,0)</f>
        <v>1418162.5182499988</v>
      </c>
      <c r="Z9" s="78">
        <f>Datos!$G$7</f>
        <v>22</v>
      </c>
      <c r="AA9" s="79">
        <f ca="1">IF((W9-1000000-Datos!$N$5)/Z9&gt;0,(W9-1000000-Datos!$N$5)/Z9,0)</f>
        <v>257847.73059090888</v>
      </c>
      <c r="AB9" s="221">
        <f>IF(L9&gt;0,VLOOKUP(D9,Datos!$H$35:$J$38,3,0),VLOOKUP(D9,Datos!$H$35:$J$38,2,0))</f>
        <v>450000</v>
      </c>
      <c r="AC9" s="79">
        <f ca="1">(S9*PMT(Datos!$D$16,Datos!$D$13,-O9,,)*VLOOKUP(TODAY(),'UF HOY'!$A$2:$B$36,2,0)/12)</f>
        <v>522217.36682558502</v>
      </c>
      <c r="AD9" s="79">
        <f t="shared" ref="AD9" ca="1" si="22">AB9-AC9</f>
        <v>-72217.366825585021</v>
      </c>
      <c r="AE9" s="220">
        <f t="shared" ref="AE9" ca="1" si="23">AC9/0.25</f>
        <v>2088869.4673023401</v>
      </c>
    </row>
    <row r="10" spans="1:31">
      <c r="A10" s="86" t="s">
        <v>4</v>
      </c>
      <c r="B10" s="86">
        <v>503</v>
      </c>
      <c r="C10" s="67" t="s">
        <v>121</v>
      </c>
      <c r="D10" s="67" t="s">
        <v>194</v>
      </c>
      <c r="E10" s="67"/>
      <c r="F10" s="66">
        <v>52.54</v>
      </c>
      <c r="G10" s="66">
        <v>6.73</v>
      </c>
      <c r="H10" s="67">
        <f t="shared" si="10"/>
        <v>55.905000000000001</v>
      </c>
      <c r="I10" s="68">
        <f t="shared" si="0"/>
        <v>59.269999999999996</v>
      </c>
      <c r="J10" s="69">
        <v>3629</v>
      </c>
      <c r="K10" s="70">
        <v>0</v>
      </c>
      <c r="L10" s="71">
        <v>0</v>
      </c>
      <c r="M10" s="71">
        <v>0</v>
      </c>
      <c r="N10" s="72">
        <f t="shared" si="1"/>
        <v>3084.65</v>
      </c>
      <c r="O10" s="73">
        <f t="shared" si="2"/>
        <v>3629</v>
      </c>
      <c r="P10" s="121">
        <f t="shared" si="11"/>
        <v>55.17663894106073</v>
      </c>
      <c r="Q10" s="74">
        <f t="shared" si="3"/>
        <v>0.15</v>
      </c>
      <c r="R10" s="75">
        <f t="shared" si="4"/>
        <v>544.35</v>
      </c>
      <c r="S10" s="74">
        <v>0.8</v>
      </c>
      <c r="T10" s="75">
        <f t="shared" si="5"/>
        <v>2903.2000000000003</v>
      </c>
      <c r="U10" s="76">
        <f t="shared" si="6"/>
        <v>4.9999999999999961E-2</v>
      </c>
      <c r="V10" s="69">
        <f t="shared" si="7"/>
        <v>181.44999999999985</v>
      </c>
      <c r="W10" s="77">
        <f ca="1">V10*VLOOKUP(TODAY(),'UF HOY'!$A$2:$B$36,2,0)</f>
        <v>7209723.4129999941</v>
      </c>
      <c r="X10" s="78">
        <f>Datos!$E$7</f>
        <v>4</v>
      </c>
      <c r="Y10" s="79">
        <f ca="1">IF((W10-1000000-Datos!$N$5)/X10&gt;0,(W10-1000000-Datos!$N$5)/X10,0)</f>
        <v>1527430.8532499985</v>
      </c>
      <c r="Z10" s="78">
        <f>Datos!$G$7</f>
        <v>22</v>
      </c>
      <c r="AA10" s="79">
        <f ca="1">IF((W10-1000000-Datos!$N$5)/Z10&gt;0,(W10-1000000-Datos!$N$5)/Z10,0)</f>
        <v>277714.70059090882</v>
      </c>
      <c r="AB10" s="221">
        <f>IF(L10&gt;0,VLOOKUP(D10,Datos!$H$35:$J$38,3,0),VLOOKUP(D10,Datos!$H$35:$J$38,2,0))</f>
        <v>500000</v>
      </c>
      <c r="AC10" s="79">
        <f ca="1">(S10*PMT(Datos!$D$16,Datos!$D$13,-O10,,)*VLOOKUP(TODAY(),'UF HOY'!$A$2:$B$36,2,0)/12)</f>
        <v>555918.69293342566</v>
      </c>
      <c r="AD10" s="79">
        <f t="shared" ca="1" si="8"/>
        <v>-55918.692933425657</v>
      </c>
      <c r="AE10" s="220">
        <f t="shared" ca="1" si="9"/>
        <v>2223674.7717337026</v>
      </c>
    </row>
    <row r="11" spans="1:31">
      <c r="A11" s="86" t="s">
        <v>4</v>
      </c>
      <c r="B11" s="86">
        <v>304</v>
      </c>
      <c r="C11" s="67" t="s">
        <v>122</v>
      </c>
      <c r="D11" s="67" t="s">
        <v>194</v>
      </c>
      <c r="E11" s="67"/>
      <c r="F11" s="66">
        <v>54.97</v>
      </c>
      <c r="G11" s="66">
        <v>9.11</v>
      </c>
      <c r="H11" s="67">
        <f t="shared" ref="H11:H12" si="24">F11+G11/2</f>
        <v>59.524999999999999</v>
      </c>
      <c r="I11" s="68">
        <f t="shared" ref="I11:I12" si="25">F11+G11</f>
        <v>64.08</v>
      </c>
      <c r="J11" s="69">
        <v>3789</v>
      </c>
      <c r="K11" s="70">
        <v>0</v>
      </c>
      <c r="L11" s="71">
        <v>0</v>
      </c>
      <c r="M11" s="71">
        <v>0</v>
      </c>
      <c r="N11" s="72">
        <f t="shared" ref="N11:N12" si="26">O11-R11</f>
        <v>3220.65</v>
      </c>
      <c r="O11" s="73">
        <f t="shared" ref="O11:O12" si="27">J11*(100%-K11)+L11+M11</f>
        <v>3789</v>
      </c>
      <c r="P11" s="121">
        <f t="shared" ref="P11:P12" si="28">(N11-L11-M11)/H11</f>
        <v>54.105837883242337</v>
      </c>
      <c r="Q11" s="74">
        <f t="shared" ref="Q11:Q12" si="29">R11/O11</f>
        <v>0.15</v>
      </c>
      <c r="R11" s="75">
        <f t="shared" ref="R11:R12" si="30">O11*0.15</f>
        <v>568.35</v>
      </c>
      <c r="S11" s="74">
        <v>0.8</v>
      </c>
      <c r="T11" s="75">
        <f t="shared" ref="T11:T12" si="31">S11*O11</f>
        <v>3031.2000000000003</v>
      </c>
      <c r="U11" s="76">
        <f t="shared" ref="U11:U12" si="32">100%-S11-Q11</f>
        <v>4.9999999999999961E-2</v>
      </c>
      <c r="V11" s="69">
        <f t="shared" ref="V11:V12" si="33">O11*U11</f>
        <v>189.44999999999985</v>
      </c>
      <c r="W11" s="77">
        <f ca="1">V11*VLOOKUP(TODAY(),'UF HOY'!$A$2:$B$36,2,0)</f>
        <v>7527594.9329999946</v>
      </c>
      <c r="X11" s="78">
        <f>Datos!$E$7</f>
        <v>4</v>
      </c>
      <c r="Y11" s="79">
        <f ca="1">IF((W11-1000000-Datos!$N$5)/X11&gt;0,(W11-1000000-Datos!$N$5)/X11,0)</f>
        <v>1606898.7332499987</v>
      </c>
      <c r="Z11" s="78">
        <f>Datos!$G$7</f>
        <v>22</v>
      </c>
      <c r="AA11" s="79">
        <f ca="1">IF((W11-1000000-Datos!$N$5)/Z11&gt;0,(W11-1000000-Datos!$N$5)/Z11,0)</f>
        <v>292163.40604545432</v>
      </c>
      <c r="AB11" s="221">
        <f>IF(L11&gt;0,VLOOKUP(D11,Datos!$H$35:$J$38,3,0),VLOOKUP(D11,Datos!$H$35:$J$38,2,0))</f>
        <v>500000</v>
      </c>
      <c r="AC11" s="79">
        <f ca="1">(S11*PMT(Datos!$D$16,Datos!$D$13,-O11,,)*VLOOKUP(TODAY(),'UF HOY'!$A$2:$B$36,2,0)/12)</f>
        <v>580428.7482845824</v>
      </c>
      <c r="AD11" s="79">
        <f t="shared" ref="AD11:AD12" ca="1" si="34">AB11-AC11</f>
        <v>-80428.748284582398</v>
      </c>
      <c r="AE11" s="220">
        <f t="shared" ref="AE11:AE12" ca="1" si="35">AC11/0.25</f>
        <v>2321714.9931383296</v>
      </c>
    </row>
    <row r="12" spans="1:31" hidden="1">
      <c r="A12" s="86" t="s">
        <v>171</v>
      </c>
      <c r="B12" s="86">
        <v>1611</v>
      </c>
      <c r="C12" s="67" t="s">
        <v>103</v>
      </c>
      <c r="D12" s="67" t="s">
        <v>196</v>
      </c>
      <c r="E12" s="67"/>
      <c r="F12" s="66">
        <v>43.62</v>
      </c>
      <c r="G12" s="66">
        <v>7.8100000000000005</v>
      </c>
      <c r="H12" s="67">
        <f t="shared" si="24"/>
        <v>47.524999999999999</v>
      </c>
      <c r="I12" s="68">
        <f t="shared" si="25"/>
        <v>51.43</v>
      </c>
      <c r="J12" s="69">
        <v>3409</v>
      </c>
      <c r="K12" s="70">
        <v>0</v>
      </c>
      <c r="L12" s="71">
        <v>0</v>
      </c>
      <c r="M12" s="71">
        <v>0</v>
      </c>
      <c r="N12" s="72">
        <f t="shared" si="26"/>
        <v>2897.65</v>
      </c>
      <c r="O12" s="73">
        <f t="shared" si="27"/>
        <v>3409</v>
      </c>
      <c r="P12" s="121">
        <f t="shared" si="28"/>
        <v>60.971067859021574</v>
      </c>
      <c r="Q12" s="74">
        <f t="shared" si="29"/>
        <v>0.15</v>
      </c>
      <c r="R12" s="75">
        <f t="shared" si="30"/>
        <v>511.34999999999997</v>
      </c>
      <c r="S12" s="74">
        <v>0.8</v>
      </c>
      <c r="T12" s="75">
        <f t="shared" si="31"/>
        <v>2727.2000000000003</v>
      </c>
      <c r="U12" s="76">
        <f t="shared" si="32"/>
        <v>4.9999999999999961E-2</v>
      </c>
      <c r="V12" s="69">
        <f t="shared" si="33"/>
        <v>170.44999999999987</v>
      </c>
      <c r="W12" s="77">
        <f ca="1">V12*VLOOKUP(TODAY(),'UF HOY'!$A$2:$B$36,2,0)</f>
        <v>6772650.0729999952</v>
      </c>
      <c r="X12" s="78">
        <f>Datos!$E$7</f>
        <v>4</v>
      </c>
      <c r="Y12" s="79">
        <f ca="1">IF((W12-1000000-Datos!$N$5)/X12&gt;0,(W12-1000000-Datos!$N$5)/X12,0)</f>
        <v>1418162.5182499988</v>
      </c>
      <c r="Z12" s="78">
        <f>Datos!$G$7</f>
        <v>22</v>
      </c>
      <c r="AA12" s="79">
        <f ca="1">IF((W12-1000000-Datos!$N$5)/Z12&gt;0,(W12-1000000-Datos!$N$5)/Z12,0)</f>
        <v>257847.73059090888</v>
      </c>
      <c r="AB12" s="221">
        <f>IF(L12&gt;0,VLOOKUP(D12,Datos!$H$35:$J$38,3,0),VLOOKUP(D12,Datos!$H$35:$J$38,2,0))</f>
        <v>450000</v>
      </c>
      <c r="AC12" s="79">
        <f ca="1">(S12*PMT(Datos!$D$16,Datos!$D$13,-O12,,)*VLOOKUP(TODAY(),'UF HOY'!$A$2:$B$36,2,0)/12)</f>
        <v>522217.36682558502</v>
      </c>
      <c r="AD12" s="79">
        <f t="shared" ca="1" si="34"/>
        <v>-72217.366825585021</v>
      </c>
      <c r="AE12" s="220">
        <f t="shared" ca="1" si="35"/>
        <v>2088869.4673023401</v>
      </c>
    </row>
    <row r="13" spans="1:31">
      <c r="A13" s="86" t="s">
        <v>4</v>
      </c>
      <c r="B13" s="86">
        <v>1004</v>
      </c>
      <c r="C13" s="67" t="s">
        <v>122</v>
      </c>
      <c r="D13" s="67" t="s">
        <v>194</v>
      </c>
      <c r="E13" s="67"/>
      <c r="F13" s="66">
        <v>54.97</v>
      </c>
      <c r="G13" s="66">
        <v>9.11</v>
      </c>
      <c r="H13" s="67">
        <f t="shared" si="10"/>
        <v>59.524999999999999</v>
      </c>
      <c r="I13" s="68">
        <f t="shared" si="0"/>
        <v>64.08</v>
      </c>
      <c r="J13" s="69">
        <v>3789</v>
      </c>
      <c r="K13" s="70">
        <v>0</v>
      </c>
      <c r="L13" s="71">
        <v>0</v>
      </c>
      <c r="M13" s="71">
        <v>0</v>
      </c>
      <c r="N13" s="72">
        <f t="shared" si="1"/>
        <v>3220.65</v>
      </c>
      <c r="O13" s="73">
        <f t="shared" si="2"/>
        <v>3789</v>
      </c>
      <c r="P13" s="121">
        <f t="shared" si="11"/>
        <v>54.105837883242337</v>
      </c>
      <c r="Q13" s="74">
        <f t="shared" si="3"/>
        <v>0.15</v>
      </c>
      <c r="R13" s="75">
        <f t="shared" si="4"/>
        <v>568.35</v>
      </c>
      <c r="S13" s="74">
        <v>0.8</v>
      </c>
      <c r="T13" s="75">
        <f t="shared" si="5"/>
        <v>3031.2000000000003</v>
      </c>
      <c r="U13" s="76">
        <f t="shared" si="6"/>
        <v>4.9999999999999961E-2</v>
      </c>
      <c r="V13" s="69">
        <f t="shared" si="7"/>
        <v>189.44999999999985</v>
      </c>
      <c r="W13" s="77">
        <f ca="1">V13*VLOOKUP(TODAY(),'UF HOY'!$A$2:$B$36,2,0)</f>
        <v>7527594.9329999946</v>
      </c>
      <c r="X13" s="78">
        <f>Datos!$E$7</f>
        <v>4</v>
      </c>
      <c r="Y13" s="79">
        <f ca="1">IF((W13-1000000-Datos!$N$5)/X13&gt;0,(W13-1000000-Datos!$N$5)/X13,0)</f>
        <v>1606898.7332499987</v>
      </c>
      <c r="Z13" s="78">
        <f>Datos!$G$7</f>
        <v>22</v>
      </c>
      <c r="AA13" s="79">
        <f ca="1">IF((W13-1000000-Datos!$N$5)/Z13&gt;0,(W13-1000000-Datos!$N$5)/Z13,0)</f>
        <v>292163.40604545432</v>
      </c>
      <c r="AB13" s="221">
        <f>IF(L13&gt;0,VLOOKUP(D13,Datos!$H$35:$J$38,3,0),VLOOKUP(D13,Datos!$H$35:$J$38,2,0))</f>
        <v>500000</v>
      </c>
      <c r="AC13" s="79">
        <f ca="1">(S13*PMT(Datos!$D$16,Datos!$D$13,-O13,,)*VLOOKUP(TODAY(),'UF HOY'!$A$2:$B$36,2,0)/12)</f>
        <v>580428.7482845824</v>
      </c>
      <c r="AD13" s="79">
        <f t="shared" ca="1" si="8"/>
        <v>-80428.748284582398</v>
      </c>
      <c r="AE13" s="220">
        <f t="shared" ca="1" si="9"/>
        <v>2321714.9931383296</v>
      </c>
    </row>
    <row r="14" spans="1:31">
      <c r="A14" s="86" t="s">
        <v>4</v>
      </c>
      <c r="B14" s="86">
        <v>1504</v>
      </c>
      <c r="C14" s="67" t="s">
        <v>122</v>
      </c>
      <c r="D14" s="67" t="s">
        <v>194</v>
      </c>
      <c r="E14" s="67"/>
      <c r="F14" s="66">
        <v>54.97</v>
      </c>
      <c r="G14" s="66">
        <v>9.11</v>
      </c>
      <c r="H14" s="67">
        <f t="shared" si="10"/>
        <v>59.524999999999999</v>
      </c>
      <c r="I14" s="68">
        <f t="shared" si="0"/>
        <v>64.08</v>
      </c>
      <c r="J14" s="69">
        <v>3789</v>
      </c>
      <c r="K14" s="70">
        <v>0</v>
      </c>
      <c r="L14" s="71">
        <v>0</v>
      </c>
      <c r="M14" s="71">
        <v>0</v>
      </c>
      <c r="N14" s="72">
        <f t="shared" si="1"/>
        <v>3220.65</v>
      </c>
      <c r="O14" s="73">
        <f t="shared" si="2"/>
        <v>3789</v>
      </c>
      <c r="P14" s="121">
        <f t="shared" si="11"/>
        <v>54.105837883242337</v>
      </c>
      <c r="Q14" s="74">
        <f t="shared" si="3"/>
        <v>0.15</v>
      </c>
      <c r="R14" s="75">
        <f t="shared" si="4"/>
        <v>568.35</v>
      </c>
      <c r="S14" s="74">
        <v>0.8</v>
      </c>
      <c r="T14" s="75">
        <f t="shared" si="5"/>
        <v>3031.2000000000003</v>
      </c>
      <c r="U14" s="76">
        <f t="shared" si="6"/>
        <v>4.9999999999999961E-2</v>
      </c>
      <c r="V14" s="69">
        <f t="shared" si="7"/>
        <v>189.44999999999985</v>
      </c>
      <c r="W14" s="77">
        <f ca="1">V14*VLOOKUP(TODAY(),'UF HOY'!$A$2:$B$36,2,0)</f>
        <v>7527594.9329999946</v>
      </c>
      <c r="X14" s="78">
        <f>Datos!$E$7</f>
        <v>4</v>
      </c>
      <c r="Y14" s="79">
        <f ca="1">IF((W14-1000000-Datos!$N$5)/X14&gt;0,(W14-1000000-Datos!$N$5)/X14,0)</f>
        <v>1606898.7332499987</v>
      </c>
      <c r="Z14" s="78">
        <f>Datos!$G$7</f>
        <v>22</v>
      </c>
      <c r="AA14" s="79">
        <f ca="1">IF((W14-1000000-Datos!$N$5)/Z14&gt;0,(W14-1000000-Datos!$N$5)/Z14,0)</f>
        <v>292163.40604545432</v>
      </c>
      <c r="AB14" s="221">
        <f>IF(L14&gt;0,VLOOKUP(D14,Datos!$H$35:$J$38,3,0),VLOOKUP(D14,Datos!$H$35:$J$38,2,0))</f>
        <v>500000</v>
      </c>
      <c r="AC14" s="79">
        <f ca="1">(S14*PMT(Datos!$D$16,Datos!$D$13,-O14,,)*VLOOKUP(TODAY(),'UF HOY'!$A$2:$B$36,2,0)/12)</f>
        <v>580428.7482845824</v>
      </c>
      <c r="AD14" s="79">
        <f t="shared" ca="1" si="8"/>
        <v>-80428.748284582398</v>
      </c>
      <c r="AE14" s="220">
        <f t="shared" ca="1" si="9"/>
        <v>2321714.9931383296</v>
      </c>
    </row>
    <row r="15" spans="1:31">
      <c r="A15" s="86" t="s">
        <v>4</v>
      </c>
      <c r="B15" s="86">
        <v>1604</v>
      </c>
      <c r="C15" s="67" t="s">
        <v>122</v>
      </c>
      <c r="D15" s="67" t="s">
        <v>194</v>
      </c>
      <c r="E15" s="67"/>
      <c r="F15" s="66">
        <v>54.97</v>
      </c>
      <c r="G15" s="66">
        <v>9.11</v>
      </c>
      <c r="H15" s="67">
        <f t="shared" ref="H15" si="36">F15+G15/2</f>
        <v>59.524999999999999</v>
      </c>
      <c r="I15" s="68">
        <f t="shared" ref="I15" si="37">F15+G15</f>
        <v>64.08</v>
      </c>
      <c r="J15" s="69">
        <v>3789</v>
      </c>
      <c r="K15" s="70">
        <v>0</v>
      </c>
      <c r="L15" s="71">
        <v>0</v>
      </c>
      <c r="M15" s="71">
        <v>0</v>
      </c>
      <c r="N15" s="72">
        <f t="shared" ref="N15" si="38">O15-R15</f>
        <v>3220.65</v>
      </c>
      <c r="O15" s="73">
        <f t="shared" ref="O15" si="39">J15*(100%-K15)+L15+M15</f>
        <v>3789</v>
      </c>
      <c r="P15" s="121">
        <f t="shared" ref="P15" si="40">(N15-L15-M15)/H15</f>
        <v>54.105837883242337</v>
      </c>
      <c r="Q15" s="74">
        <f t="shared" ref="Q15" si="41">R15/O15</f>
        <v>0.15</v>
      </c>
      <c r="R15" s="75">
        <f t="shared" ref="R15" si="42">O15*0.15</f>
        <v>568.35</v>
      </c>
      <c r="S15" s="74">
        <v>0.8</v>
      </c>
      <c r="T15" s="75">
        <f t="shared" ref="T15" si="43">S15*O15</f>
        <v>3031.2000000000003</v>
      </c>
      <c r="U15" s="76">
        <f t="shared" ref="U15" si="44">100%-S15-Q15</f>
        <v>4.9999999999999961E-2</v>
      </c>
      <c r="V15" s="69">
        <f t="shared" ref="V15" si="45">O15*U15</f>
        <v>189.44999999999985</v>
      </c>
      <c r="W15" s="77">
        <f ca="1">V15*VLOOKUP(TODAY(),'UF HOY'!$A$2:$B$36,2,0)</f>
        <v>7527594.9329999946</v>
      </c>
      <c r="X15" s="78">
        <f>Datos!$E$7</f>
        <v>4</v>
      </c>
      <c r="Y15" s="79">
        <f ca="1">IF((W15-1000000-Datos!$N$5)/X15&gt;0,(W15-1000000-Datos!$N$5)/X15,0)</f>
        <v>1606898.7332499987</v>
      </c>
      <c r="Z15" s="78">
        <f>Datos!$G$7</f>
        <v>22</v>
      </c>
      <c r="AA15" s="79">
        <f ca="1">IF((W15-1000000-Datos!$N$5)/Z15&gt;0,(W15-1000000-Datos!$N$5)/Z15,0)</f>
        <v>292163.40604545432</v>
      </c>
      <c r="AB15" s="221">
        <f>IF(L15&gt;0,VLOOKUP(D15,Datos!$H$35:$J$38,3,0),VLOOKUP(D15,Datos!$H$35:$J$38,2,0))</f>
        <v>500000</v>
      </c>
      <c r="AC15" s="79">
        <f ca="1">(S15*PMT(Datos!$D$16,Datos!$D$13,-O15,,)*VLOOKUP(TODAY(),'UF HOY'!$A$2:$B$36,2,0)/12)</f>
        <v>580428.7482845824</v>
      </c>
      <c r="AD15" s="79">
        <f t="shared" ref="AD15" ca="1" si="46">AB15-AC15</f>
        <v>-80428.748284582398</v>
      </c>
      <c r="AE15" s="220">
        <f t="shared" ref="AE15" ca="1" si="47">AC15/0.25</f>
        <v>2321714.9931383296</v>
      </c>
    </row>
    <row r="16" spans="1:31">
      <c r="A16" s="86" t="s">
        <v>4</v>
      </c>
      <c r="B16" s="86">
        <v>1710</v>
      </c>
      <c r="C16" s="67" t="s">
        <v>124</v>
      </c>
      <c r="D16" s="67" t="s">
        <v>194</v>
      </c>
      <c r="E16" s="67"/>
      <c r="F16" s="66">
        <v>55.72</v>
      </c>
      <c r="G16" s="66">
        <v>9.0300000000000011</v>
      </c>
      <c r="H16" s="67">
        <f t="shared" ref="H16" si="48">F16+G16/2</f>
        <v>60.234999999999999</v>
      </c>
      <c r="I16" s="68">
        <f t="shared" ref="I16" si="49">F16+G16</f>
        <v>64.75</v>
      </c>
      <c r="J16" s="69">
        <v>3789</v>
      </c>
      <c r="K16" s="70">
        <v>0</v>
      </c>
      <c r="L16" s="71">
        <v>0</v>
      </c>
      <c r="M16" s="71">
        <v>0</v>
      </c>
      <c r="N16" s="72">
        <f t="shared" ref="N16" si="50">O16-R16</f>
        <v>3220.65</v>
      </c>
      <c r="O16" s="73">
        <f t="shared" ref="O16" si="51">J16*(100%-K16)+L16+M16</f>
        <v>3789</v>
      </c>
      <c r="P16" s="121">
        <f t="shared" ref="P16" si="52">(N16-L16-M16)/H16</f>
        <v>53.468083340250686</v>
      </c>
      <c r="Q16" s="74">
        <f t="shared" ref="Q16" si="53">R16/O16</f>
        <v>0.15</v>
      </c>
      <c r="R16" s="75">
        <f t="shared" ref="R16" si="54">O16*0.15</f>
        <v>568.35</v>
      </c>
      <c r="S16" s="74">
        <v>0.8</v>
      </c>
      <c r="T16" s="75">
        <f t="shared" ref="T16" si="55">S16*O16</f>
        <v>3031.2000000000003</v>
      </c>
      <c r="U16" s="76">
        <f t="shared" ref="U16" si="56">100%-S16-Q16</f>
        <v>4.9999999999999961E-2</v>
      </c>
      <c r="V16" s="69">
        <f t="shared" ref="V16" si="57">O16*U16</f>
        <v>189.44999999999985</v>
      </c>
      <c r="W16" s="77">
        <f ca="1">V16*VLOOKUP(TODAY(),'UF HOY'!$A$2:$B$36,2,0)</f>
        <v>7527594.9329999946</v>
      </c>
      <c r="X16" s="78">
        <f>Datos!$E$7</f>
        <v>4</v>
      </c>
      <c r="Y16" s="79">
        <f ca="1">IF((W16-1000000-Datos!$N$5)/X16&gt;0,(W16-1000000-Datos!$N$5)/X16,0)</f>
        <v>1606898.7332499987</v>
      </c>
      <c r="Z16" s="78">
        <f>Datos!$G$7</f>
        <v>22</v>
      </c>
      <c r="AA16" s="79">
        <f ca="1">IF((W16-1000000-Datos!$N$5)/Z16&gt;0,(W16-1000000-Datos!$N$5)/Z16,0)</f>
        <v>292163.40604545432</v>
      </c>
      <c r="AB16" s="221">
        <f>IF(L16&gt;0,VLOOKUP(D16,Datos!$H$35:$J$38,3,0),VLOOKUP(D16,Datos!$H$35:$J$38,2,0))</f>
        <v>500000</v>
      </c>
      <c r="AC16" s="79">
        <f ca="1">(S16*PMT(Datos!$D$16,Datos!$D$13,-O16,,)*VLOOKUP(TODAY(),'UF HOY'!$A$2:$B$36,2,0)/12)</f>
        <v>580428.7482845824</v>
      </c>
      <c r="AD16" s="79">
        <f t="shared" ref="AD16" ca="1" si="58">AB16-AC16</f>
        <v>-80428.748284582398</v>
      </c>
      <c r="AE16" s="220">
        <f t="shared" ref="AE16" ca="1" si="59">AC16/0.25</f>
        <v>2321714.9931383296</v>
      </c>
    </row>
    <row r="17" spans="1:31">
      <c r="A17" s="86" t="s">
        <v>4</v>
      </c>
      <c r="B17" s="86">
        <v>2004</v>
      </c>
      <c r="C17" s="67" t="s">
        <v>122</v>
      </c>
      <c r="D17" s="67" t="s">
        <v>194</v>
      </c>
      <c r="E17" s="67"/>
      <c r="F17" s="66">
        <v>54.97</v>
      </c>
      <c r="G17" s="66">
        <v>9.11</v>
      </c>
      <c r="H17" s="67">
        <f t="shared" si="10"/>
        <v>59.524999999999999</v>
      </c>
      <c r="I17" s="68">
        <f t="shared" si="0"/>
        <v>64.08</v>
      </c>
      <c r="J17" s="69">
        <v>3789</v>
      </c>
      <c r="K17" s="70">
        <v>0</v>
      </c>
      <c r="L17" s="71">
        <v>0</v>
      </c>
      <c r="M17" s="71">
        <v>0</v>
      </c>
      <c r="N17" s="72">
        <f t="shared" si="1"/>
        <v>3220.65</v>
      </c>
      <c r="O17" s="73">
        <f t="shared" si="2"/>
        <v>3789</v>
      </c>
      <c r="P17" s="121">
        <f t="shared" si="11"/>
        <v>54.105837883242337</v>
      </c>
      <c r="Q17" s="74">
        <f t="shared" si="3"/>
        <v>0.15</v>
      </c>
      <c r="R17" s="75">
        <f t="shared" si="4"/>
        <v>568.35</v>
      </c>
      <c r="S17" s="74">
        <v>0.8</v>
      </c>
      <c r="T17" s="75">
        <f t="shared" si="5"/>
        <v>3031.2000000000003</v>
      </c>
      <c r="U17" s="76">
        <f t="shared" si="6"/>
        <v>4.9999999999999961E-2</v>
      </c>
      <c r="V17" s="69">
        <f t="shared" si="7"/>
        <v>189.44999999999985</v>
      </c>
      <c r="W17" s="77">
        <f ca="1">V17*VLOOKUP(TODAY(),'UF HOY'!$A$2:$B$36,2,0)</f>
        <v>7527594.9329999946</v>
      </c>
      <c r="X17" s="78">
        <f>Datos!$E$7</f>
        <v>4</v>
      </c>
      <c r="Y17" s="79">
        <f ca="1">IF((W17-1000000-Datos!$N$5)/X17&gt;0,(W17-1000000-Datos!$N$5)/X17,0)</f>
        <v>1606898.7332499987</v>
      </c>
      <c r="Z17" s="78">
        <f>Datos!$G$7</f>
        <v>22</v>
      </c>
      <c r="AA17" s="79">
        <f ca="1">IF((W17-1000000-Datos!$N$5)/Z17&gt;0,(W17-1000000-Datos!$N$5)/Z17,0)</f>
        <v>292163.40604545432</v>
      </c>
      <c r="AB17" s="221">
        <f>IF(L17&gt;0,VLOOKUP(D17,Datos!$H$35:$J$38,3,0),VLOOKUP(D17,Datos!$H$35:$J$38,2,0))</f>
        <v>500000</v>
      </c>
      <c r="AC17" s="79">
        <f ca="1">(S17*PMT(Datos!$D$16,Datos!$D$13,-O17,,)*VLOOKUP(TODAY(),'UF HOY'!$A$2:$B$36,2,0)/12)</f>
        <v>580428.7482845824</v>
      </c>
      <c r="AD17" s="79">
        <f t="shared" ca="1" si="8"/>
        <v>-80428.748284582398</v>
      </c>
      <c r="AE17" s="220">
        <f t="shared" ca="1" si="9"/>
        <v>2321714.9931383296</v>
      </c>
    </row>
    <row r="18" spans="1:31">
      <c r="A18" s="46"/>
      <c r="B18" s="46"/>
      <c r="C18" s="5"/>
      <c r="D18" s="46"/>
      <c r="E18" s="46"/>
      <c r="F18" s="46"/>
      <c r="G18" s="46"/>
      <c r="H18" s="46"/>
      <c r="I18" s="46"/>
      <c r="J18" s="5"/>
      <c r="K18" s="6"/>
      <c r="L18" s="25"/>
      <c r="M18" s="7"/>
      <c r="N18" s="46"/>
      <c r="Z18" s="44"/>
    </row>
    <row r="19" spans="1:31">
      <c r="E19" s="46"/>
      <c r="L19" s="102" t="s">
        <v>188</v>
      </c>
      <c r="M19" s="47"/>
      <c r="N19" s="48"/>
      <c r="R19" s="62"/>
    </row>
    <row r="20" spans="1:31">
      <c r="E20" s="46"/>
      <c r="L20" s="102" t="s">
        <v>205</v>
      </c>
      <c r="M20" s="47"/>
      <c r="N20" s="48"/>
    </row>
    <row r="21" spans="1:31">
      <c r="E21" s="46"/>
      <c r="L21" s="46"/>
      <c r="M21" s="47"/>
      <c r="N21" s="47"/>
      <c r="O21" s="49"/>
      <c r="P21" s="49"/>
      <c r="Q21" s="45"/>
    </row>
    <row r="22" spans="1:31">
      <c r="E22" s="46"/>
      <c r="L22" s="46"/>
      <c r="M22" s="47"/>
      <c r="N22" s="48"/>
      <c r="O22" s="50"/>
      <c r="P22" s="50"/>
    </row>
    <row r="23" spans="1:31">
      <c r="E23" s="46"/>
      <c r="F23" s="46"/>
      <c r="G23" s="46"/>
      <c r="H23" s="46"/>
      <c r="I23" s="46"/>
      <c r="L23" s="46"/>
      <c r="M23" s="48"/>
      <c r="N23" s="48"/>
      <c r="O23" s="51"/>
      <c r="P23" s="51"/>
    </row>
    <row r="24" spans="1:31">
      <c r="E24" s="46"/>
      <c r="F24" s="46"/>
      <c r="G24" s="46"/>
      <c r="H24" s="46"/>
      <c r="I24" s="46"/>
      <c r="L24" s="46"/>
      <c r="M24" s="48"/>
      <c r="N24" s="48"/>
    </row>
    <row r="25" spans="1:31">
      <c r="E25" s="46"/>
      <c r="F25" s="46"/>
      <c r="G25" s="46"/>
      <c r="H25" s="46"/>
      <c r="I25" s="46"/>
      <c r="L25" s="46"/>
      <c r="M25" s="48"/>
      <c r="N25" s="48"/>
      <c r="O25" s="45"/>
      <c r="P25" s="45"/>
    </row>
    <row r="27" spans="1:31">
      <c r="M27" s="48"/>
      <c r="O27" s="52"/>
      <c r="P27" s="52"/>
    </row>
    <row r="35" spans="12:14">
      <c r="L35" s="49"/>
      <c r="N35" s="53"/>
    </row>
    <row r="36" spans="12:14">
      <c r="L36" s="49"/>
      <c r="N36" s="53"/>
    </row>
    <row r="37" spans="12:14">
      <c r="L37" s="49"/>
      <c r="N37" s="53"/>
    </row>
  </sheetData>
  <autoFilter ref="A1:AE17" xr:uid="{A3FF41AA-4B3A-4784-AE37-08545E02E854}">
    <filterColumn colId="0">
      <filters>
        <filter val="Disponible"/>
      </filters>
    </filterColumn>
    <sortState xmlns:xlrd2="http://schemas.microsoft.com/office/spreadsheetml/2017/richdata2" ref="A2:AE17">
      <sortCondition ref="N1:N17"/>
    </sortState>
  </autoFilter>
  <conditionalFormatting sqref="A1:AD1 H2:AA2 I3:M6 I12:K12 M12 N3:AA13 H3:H13 AC2:AD17 M14:AA17 H14:K17">
    <cfRule type="expression" dxfId="17" priority="9">
      <formula>ROW()=CELL("fila")</formula>
    </cfRule>
  </conditionalFormatting>
  <conditionalFormatting sqref="A13 A12:G12 A7:A11 A2:G6 A14:G17">
    <cfRule type="expression" dxfId="16" priority="8">
      <formula>ROW()=CELL("fila")</formula>
    </cfRule>
  </conditionalFormatting>
  <conditionalFormatting sqref="I13:M13 B13:G13 B10:G11 L12 I10:M11 L14:L17">
    <cfRule type="expression" dxfId="15" priority="7">
      <formula>ROW()=CELL("fila")</formula>
    </cfRule>
  </conditionalFormatting>
  <conditionalFormatting sqref="B8:G8 I8:M8">
    <cfRule type="expression" dxfId="14" priority="6">
      <formula>ROW()=CELL("fila")</formula>
    </cfRule>
  </conditionalFormatting>
  <conditionalFormatting sqref="B7:G7 I7:M7">
    <cfRule type="expression" dxfId="13" priority="5">
      <formula>ROW()=CELL("fila")</formula>
    </cfRule>
  </conditionalFormatting>
  <conditionalFormatting sqref="AE1">
    <cfRule type="expression" dxfId="12" priority="4">
      <formula>ROW()=CELL("fila")</formula>
    </cfRule>
  </conditionalFormatting>
  <conditionalFormatting sqref="AE2:AE17">
    <cfRule type="expression" dxfId="11" priority="3">
      <formula>ROW()=CELL("fila")</formula>
    </cfRule>
  </conditionalFormatting>
  <conditionalFormatting sqref="AB2:AB17">
    <cfRule type="expression" dxfId="10" priority="2">
      <formula>ROW()=CELL("fila")</formula>
    </cfRule>
  </conditionalFormatting>
  <conditionalFormatting sqref="B9:G9 I9:M9">
    <cfRule type="expression" dxfId="9" priority="1">
      <formula>ROW()=CELL("fila")</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14D98-EA72-455B-82B0-CB5C535BEC3B}">
  <sheetPr codeName="Hoja8" filterMode="1">
    <tabColor rgb="FF002060"/>
  </sheetPr>
  <dimension ref="A1:AG67"/>
  <sheetViews>
    <sheetView showGridLines="0" zoomScale="80" zoomScaleNormal="80" workbookViewId="0">
      <pane ySplit="1" topLeftCell="A8" activePane="bottomLeft" state="frozen"/>
      <selection activeCell="D3" sqref="D3:F3"/>
      <selection pane="bottomLeft" activeCell="B8" sqref="B8:B38"/>
    </sheetView>
  </sheetViews>
  <sheetFormatPr baseColWidth="10" defaultColWidth="11" defaultRowHeight="15.5"/>
  <cols>
    <col min="1" max="1" width="11" style="44"/>
    <col min="2" max="2" width="12.5" style="44" bestFit="1" customWidth="1"/>
    <col min="3" max="3" width="11" style="44"/>
    <col min="4" max="4" width="12" style="44" bestFit="1" customWidth="1"/>
    <col min="5" max="5" width="10.25" style="44" hidden="1" customWidth="1"/>
    <col min="6" max="6" width="11" style="44" hidden="1" customWidth="1"/>
    <col min="7" max="8" width="11.5" style="44" hidden="1" customWidth="1"/>
    <col min="9" max="9" width="11.5" style="44" customWidth="1"/>
    <col min="10" max="10" width="13.5" style="44" bestFit="1" customWidth="1"/>
    <col min="11" max="11" width="11" style="44"/>
    <col min="12" max="12" width="8.08203125" style="44" bestFit="1" customWidth="1"/>
    <col min="13" max="13" width="8.5" style="44" bestFit="1" customWidth="1"/>
    <col min="14" max="14" width="11.5" style="44" customWidth="1"/>
    <col min="15" max="16" width="11" style="44"/>
    <col min="17" max="17" width="8.83203125" style="44" bestFit="1" customWidth="1"/>
    <col min="18" max="18" width="11" style="44" customWidth="1"/>
    <col min="19" max="19" width="17.58203125" style="44" bestFit="1" customWidth="1"/>
    <col min="20" max="20" width="14.83203125" style="44" bestFit="1" customWidth="1"/>
    <col min="21" max="21" width="10.5" style="44" bestFit="1" customWidth="1"/>
    <col min="22" max="22" width="11" style="44" hidden="1" customWidth="1"/>
    <col min="23" max="24" width="11" style="44"/>
    <col min="25" max="25" width="15.58203125" style="44" bestFit="1" customWidth="1"/>
    <col min="26" max="26" width="12.5" style="49" customWidth="1"/>
    <col min="27" max="27" width="14.5" style="44" bestFit="1" customWidth="1"/>
    <col min="28" max="28" width="12.33203125" style="44" customWidth="1"/>
    <col min="29" max="29" width="11.33203125" style="44" bestFit="1" customWidth="1"/>
    <col min="30" max="31" width="11" style="44"/>
    <col min="32" max="32" width="12" style="44" bestFit="1" customWidth="1"/>
    <col min="33" max="33" width="13.08203125" style="44" bestFit="1" customWidth="1"/>
    <col min="34" max="16384" width="11" style="44"/>
  </cols>
  <sheetData>
    <row r="1" spans="1:33" ht="20">
      <c r="A1" s="63" t="s">
        <v>0</v>
      </c>
      <c r="B1" s="63" t="s">
        <v>5</v>
      </c>
      <c r="C1" s="63" t="s">
        <v>9</v>
      </c>
      <c r="D1" s="64" t="s">
        <v>8</v>
      </c>
      <c r="E1" s="64" t="s">
        <v>47</v>
      </c>
      <c r="F1" s="64" t="s">
        <v>30</v>
      </c>
      <c r="G1" s="64" t="s">
        <v>31</v>
      </c>
      <c r="H1" s="64" t="s">
        <v>6</v>
      </c>
      <c r="I1" s="64" t="s">
        <v>53</v>
      </c>
      <c r="J1" s="64" t="s">
        <v>7</v>
      </c>
      <c r="K1" s="64" t="s">
        <v>1</v>
      </c>
      <c r="L1" s="64" t="s">
        <v>25</v>
      </c>
      <c r="M1" s="64" t="s">
        <v>26</v>
      </c>
      <c r="N1" s="64" t="s">
        <v>2</v>
      </c>
      <c r="O1" s="64" t="s">
        <v>16</v>
      </c>
      <c r="P1" s="120" t="s">
        <v>182</v>
      </c>
      <c r="Q1" s="65" t="s">
        <v>14</v>
      </c>
      <c r="R1" s="65" t="s">
        <v>23</v>
      </c>
      <c r="S1" s="65" t="s">
        <v>58</v>
      </c>
      <c r="T1" s="65" t="s">
        <v>27</v>
      </c>
      <c r="U1" s="65" t="s">
        <v>13</v>
      </c>
      <c r="V1" s="65" t="s">
        <v>22</v>
      </c>
      <c r="W1" s="65" t="s">
        <v>12</v>
      </c>
      <c r="X1" s="65" t="s">
        <v>20</v>
      </c>
      <c r="Y1" s="65" t="s">
        <v>3</v>
      </c>
      <c r="Z1" s="65" t="s">
        <v>113</v>
      </c>
      <c r="AA1" s="65" t="s">
        <v>21</v>
      </c>
      <c r="AB1" s="65" t="s">
        <v>17</v>
      </c>
      <c r="AC1" s="65" t="s">
        <v>19</v>
      </c>
      <c r="AD1" s="65" t="s">
        <v>18</v>
      </c>
      <c r="AE1" s="219" t="s">
        <v>255</v>
      </c>
    </row>
    <row r="2" spans="1:33" hidden="1">
      <c r="A2" s="66" t="s">
        <v>171</v>
      </c>
      <c r="B2" s="66">
        <v>101</v>
      </c>
      <c r="C2" s="67" t="s">
        <v>129</v>
      </c>
      <c r="D2" s="67" t="s">
        <v>195</v>
      </c>
      <c r="E2" s="67"/>
      <c r="F2" s="66">
        <v>31.51</v>
      </c>
      <c r="G2" s="66">
        <v>5.69</v>
      </c>
      <c r="H2" s="179">
        <f t="shared" ref="H2:H47" si="0">F2+G2/2</f>
        <v>34.355000000000004</v>
      </c>
      <c r="I2" s="68">
        <f t="shared" ref="I2:I47" si="1">F2+G2</f>
        <v>37.200000000000003</v>
      </c>
      <c r="J2" s="69">
        <v>2850</v>
      </c>
      <c r="K2" s="263">
        <v>100</v>
      </c>
      <c r="L2" s="71">
        <v>0</v>
      </c>
      <c r="M2" s="71">
        <v>0</v>
      </c>
      <c r="N2" s="71">
        <f t="shared" ref="N2:N47" si="2">O2-R2</f>
        <v>2337.5</v>
      </c>
      <c r="O2" s="124">
        <f t="shared" ref="O2:O47" si="3">J2-K2+L2+M2</f>
        <v>2750</v>
      </c>
      <c r="P2" s="121">
        <f t="shared" ref="P2:P47" si="4">(N2-L2-M2)/H2</f>
        <v>68.039586668607186</v>
      </c>
      <c r="Q2" s="101">
        <f t="shared" ref="Q2:Q47" si="5">R2/O2</f>
        <v>0.15</v>
      </c>
      <c r="R2" s="87">
        <f t="shared" ref="R2:R47" si="6">O2*0.15</f>
        <v>412.5</v>
      </c>
      <c r="S2" s="74">
        <v>0.8</v>
      </c>
      <c r="T2" s="75">
        <f t="shared" ref="T2:T47" si="7">S2*O2</f>
        <v>2200</v>
      </c>
      <c r="U2" s="76">
        <f t="shared" ref="U2:U47" si="8">100%-S2-Q2</f>
        <v>4.9999999999999961E-2</v>
      </c>
      <c r="V2" s="69">
        <f t="shared" ref="V2:V47" si="9">O2*U2</f>
        <v>137.49999999999989</v>
      </c>
      <c r="W2" s="77">
        <f ca="1">V2*VLOOKUP(TODAY(),'UF HOY'!$A$2:$B$36,2,0)</f>
        <v>5463416.7499999953</v>
      </c>
      <c r="X2" s="78">
        <f>Datos!$E$4</f>
        <v>1</v>
      </c>
      <c r="Y2" s="79">
        <f ca="1">IF((W2-1000000-Datos!$N$5)/X2&gt;0,(W2-1000000-Datos!$N$5)/X2,0)</f>
        <v>4363416.7499999953</v>
      </c>
      <c r="Z2" s="78">
        <f>Datos!$G$4</f>
        <v>18</v>
      </c>
      <c r="AA2" s="79">
        <f ca="1">IF((W2-1000000-Datos!$N$5)/Z2&gt;0,(W2-1000000-Datos!$N$5)/Z2,0)</f>
        <v>242412.0416666664</v>
      </c>
      <c r="AB2" s="221">
        <f>IF(L2&gt;0,VLOOKUP(D2,Datos!$H$35:$J$38,3,0),VLOOKUP(D2,Datos!$H$35:$J$38,2,0))</f>
        <v>380000</v>
      </c>
      <c r="AC2" s="79">
        <f ca="1">(S2*PMT(Datos!$D$16,Datos!$D$13,-O2,,)*VLOOKUP(TODAY(),'UF HOY'!$A$2:$B$36,2,0)/12)+VLOOKUP(TODAY(),'UF HOY'!$A$2:$B$36,2,0)</f>
        <v>461000.51634800789</v>
      </c>
      <c r="AD2" s="79">
        <f t="shared" ref="AD2:AD47" ca="1" si="10">AB2-AC2</f>
        <v>-81000.516348007892</v>
      </c>
      <c r="AE2" s="220">
        <f ca="1">IF((AC2/0.25)&lt;=1600000,1600000,(AC2/0.25))</f>
        <v>1844002.0653920316</v>
      </c>
      <c r="AF2" s="45"/>
      <c r="AG2" s="45"/>
    </row>
    <row r="3" spans="1:33" hidden="1">
      <c r="A3" s="66" t="s">
        <v>171</v>
      </c>
      <c r="B3" s="66">
        <v>102</v>
      </c>
      <c r="C3" s="67" t="s">
        <v>129</v>
      </c>
      <c r="D3" s="67" t="s">
        <v>195</v>
      </c>
      <c r="E3" s="67"/>
      <c r="F3" s="66">
        <v>33.14</v>
      </c>
      <c r="G3" s="66">
        <v>7.54</v>
      </c>
      <c r="H3" s="179">
        <f t="shared" si="0"/>
        <v>36.910000000000004</v>
      </c>
      <c r="I3" s="68">
        <f t="shared" si="1"/>
        <v>40.68</v>
      </c>
      <c r="J3" s="69">
        <v>2850</v>
      </c>
      <c r="K3" s="263">
        <v>100</v>
      </c>
      <c r="L3" s="71">
        <v>0</v>
      </c>
      <c r="M3" s="71">
        <v>0</v>
      </c>
      <c r="N3" s="71">
        <f t="shared" si="2"/>
        <v>2337.5</v>
      </c>
      <c r="O3" s="124">
        <f t="shared" si="3"/>
        <v>2750</v>
      </c>
      <c r="P3" s="121">
        <f t="shared" si="4"/>
        <v>63.329720942833916</v>
      </c>
      <c r="Q3" s="101">
        <f t="shared" si="5"/>
        <v>0.15</v>
      </c>
      <c r="R3" s="87">
        <f t="shared" si="6"/>
        <v>412.5</v>
      </c>
      <c r="S3" s="74">
        <v>0.8</v>
      </c>
      <c r="T3" s="75">
        <f t="shared" si="7"/>
        <v>2200</v>
      </c>
      <c r="U3" s="76">
        <f t="shared" si="8"/>
        <v>4.9999999999999961E-2</v>
      </c>
      <c r="V3" s="69">
        <f t="shared" si="9"/>
        <v>137.49999999999989</v>
      </c>
      <c r="W3" s="77">
        <f ca="1">V3*VLOOKUP(TODAY(),'UF HOY'!$A$2:$B$36,2,0)</f>
        <v>5463416.7499999953</v>
      </c>
      <c r="X3" s="78">
        <f>Datos!$E$4</f>
        <v>1</v>
      </c>
      <c r="Y3" s="79">
        <f ca="1">IF((W3-1000000-Datos!$N$5)/X3&gt;0,(W3-1000000-Datos!$N$5)/X3,0)</f>
        <v>4363416.7499999953</v>
      </c>
      <c r="Z3" s="78">
        <f>Datos!$G$4</f>
        <v>18</v>
      </c>
      <c r="AA3" s="79">
        <f ca="1">IF((W3-1000000-Datos!$N$5)/Z3&gt;0,(W3-1000000-Datos!$N$5)/Z3,0)</f>
        <v>242412.0416666664</v>
      </c>
      <c r="AB3" s="221">
        <f>IF(L3&gt;0,VLOOKUP(D3,Datos!$H$35:$J$38,3,0),VLOOKUP(D3,Datos!$H$35:$J$38,2,0))</f>
        <v>380000</v>
      </c>
      <c r="AC3" s="79">
        <f ca="1">(S3*PMT(Datos!$D$16,Datos!$D$13,-O3,,)*VLOOKUP(TODAY(),'UF HOY'!$A$2:$B$36,2,0)/12)+VLOOKUP(TODAY(),'UF HOY'!$A$2:$B$36,2,0)</f>
        <v>461000.51634800789</v>
      </c>
      <c r="AD3" s="79">
        <f t="shared" ca="1" si="10"/>
        <v>-81000.516348007892</v>
      </c>
      <c r="AE3" s="220">
        <f t="shared" ref="AE3:AE47" ca="1" si="11">IF((AC3/0.25)&lt;=1600000,1600000,(AC3/0.25))</f>
        <v>1844002.0653920316</v>
      </c>
      <c r="AF3" s="45"/>
    </row>
    <row r="4" spans="1:33" hidden="1">
      <c r="A4" s="66" t="s">
        <v>171</v>
      </c>
      <c r="B4" s="66">
        <v>501</v>
      </c>
      <c r="C4" s="67" t="s">
        <v>129</v>
      </c>
      <c r="D4" s="67" t="s">
        <v>195</v>
      </c>
      <c r="E4" s="67"/>
      <c r="F4" s="66">
        <v>31.51</v>
      </c>
      <c r="G4" s="66">
        <v>5.69</v>
      </c>
      <c r="H4" s="179">
        <f t="shared" ref="H4:H45" si="12">F4+G4/2</f>
        <v>34.355000000000004</v>
      </c>
      <c r="I4" s="68">
        <f t="shared" ref="I4:I45" si="13">F4+G4</f>
        <v>37.200000000000003</v>
      </c>
      <c r="J4" s="69">
        <v>2850</v>
      </c>
      <c r="K4" s="263">
        <v>100</v>
      </c>
      <c r="L4" s="71">
        <v>0</v>
      </c>
      <c r="M4" s="71">
        <v>0</v>
      </c>
      <c r="N4" s="71">
        <f t="shared" ref="N4:N45" si="14">O4-R4</f>
        <v>2337.5</v>
      </c>
      <c r="O4" s="124">
        <f t="shared" ref="O4:O45" si="15">J4-K4+L4+M4</f>
        <v>2750</v>
      </c>
      <c r="P4" s="121">
        <f t="shared" ref="P4:P45" si="16">(N4-L4-M4)/H4</f>
        <v>68.039586668607186</v>
      </c>
      <c r="Q4" s="101">
        <f t="shared" ref="Q4:Q45" si="17">R4/O4</f>
        <v>0.15</v>
      </c>
      <c r="R4" s="87">
        <f t="shared" ref="R4:R45" si="18">O4*0.15</f>
        <v>412.5</v>
      </c>
      <c r="S4" s="74">
        <v>0.8</v>
      </c>
      <c r="T4" s="75">
        <f t="shared" ref="T4:T45" si="19">S4*O4</f>
        <v>2200</v>
      </c>
      <c r="U4" s="76">
        <f t="shared" ref="U4:U45" si="20">100%-S4-Q4</f>
        <v>4.9999999999999961E-2</v>
      </c>
      <c r="V4" s="69">
        <f t="shared" ref="V4:V45" si="21">O4*U4</f>
        <v>137.49999999999989</v>
      </c>
      <c r="W4" s="77">
        <f ca="1">V4*VLOOKUP(TODAY(),'UF HOY'!$A$2:$B$36,2,0)</f>
        <v>5463416.7499999953</v>
      </c>
      <c r="X4" s="78">
        <f>Datos!$E$4</f>
        <v>1</v>
      </c>
      <c r="Y4" s="79">
        <f ca="1">IF((W4-1000000-Datos!$N$5)/X4&gt;0,(W4-1000000-Datos!$N$5)/X4,0)</f>
        <v>4363416.7499999953</v>
      </c>
      <c r="Z4" s="78">
        <f>Datos!$G$4</f>
        <v>18</v>
      </c>
      <c r="AA4" s="79">
        <f ca="1">IF((W4-1000000-Datos!$N$5)/Z4&gt;0,(W4-1000000-Datos!$N$5)/Z4,0)</f>
        <v>242412.0416666664</v>
      </c>
      <c r="AB4" s="221">
        <f>IF(L4&gt;0,VLOOKUP(D4,Datos!$H$35:$J$38,3,0),VLOOKUP(D4,Datos!$H$35:$J$38,2,0))</f>
        <v>380000</v>
      </c>
      <c r="AC4" s="79">
        <f ca="1">(S4*PMT(Datos!$D$16,Datos!$D$13,-O4,,)*VLOOKUP(TODAY(),'UF HOY'!$A$2:$B$36,2,0)/12)+VLOOKUP(TODAY(),'UF HOY'!$A$2:$B$36,2,0)</f>
        <v>461000.51634800789</v>
      </c>
      <c r="AD4" s="79">
        <f t="shared" ref="AD4:AD45" ca="1" si="22">AB4-AC4</f>
        <v>-81000.516348007892</v>
      </c>
      <c r="AE4" s="220">
        <f t="shared" ca="1" si="11"/>
        <v>1844002.0653920316</v>
      </c>
      <c r="AF4" s="45"/>
    </row>
    <row r="5" spans="1:33" hidden="1">
      <c r="A5" s="66" t="s">
        <v>171</v>
      </c>
      <c r="B5" s="66">
        <v>601</v>
      </c>
      <c r="C5" s="67" t="s">
        <v>129</v>
      </c>
      <c r="D5" s="67" t="s">
        <v>195</v>
      </c>
      <c r="E5" s="67"/>
      <c r="F5" s="66">
        <v>31.51</v>
      </c>
      <c r="G5" s="66">
        <v>5.69</v>
      </c>
      <c r="H5" s="179">
        <f t="shared" si="12"/>
        <v>34.355000000000004</v>
      </c>
      <c r="I5" s="68">
        <f t="shared" si="13"/>
        <v>37.200000000000003</v>
      </c>
      <c r="J5" s="69">
        <v>2850</v>
      </c>
      <c r="K5" s="263">
        <v>100</v>
      </c>
      <c r="L5" s="71">
        <v>0</v>
      </c>
      <c r="M5" s="71">
        <v>0</v>
      </c>
      <c r="N5" s="71">
        <f t="shared" si="14"/>
        <v>2337.5</v>
      </c>
      <c r="O5" s="124">
        <f t="shared" si="15"/>
        <v>2750</v>
      </c>
      <c r="P5" s="121">
        <f t="shared" si="16"/>
        <v>68.039586668607186</v>
      </c>
      <c r="Q5" s="101">
        <f t="shared" si="17"/>
        <v>0.15</v>
      </c>
      <c r="R5" s="87">
        <f t="shared" si="18"/>
        <v>412.5</v>
      </c>
      <c r="S5" s="74">
        <v>0.8</v>
      </c>
      <c r="T5" s="75">
        <f t="shared" si="19"/>
        <v>2200</v>
      </c>
      <c r="U5" s="76">
        <f t="shared" si="20"/>
        <v>4.9999999999999961E-2</v>
      </c>
      <c r="V5" s="69">
        <f t="shared" si="21"/>
        <v>137.49999999999989</v>
      </c>
      <c r="W5" s="77">
        <f ca="1">V5*VLOOKUP(TODAY(),'UF HOY'!$A$2:$B$36,2,0)</f>
        <v>5463416.7499999953</v>
      </c>
      <c r="X5" s="78">
        <f>Datos!$E$4</f>
        <v>1</v>
      </c>
      <c r="Y5" s="79">
        <f ca="1">IF((W5-1000000-Datos!$N$5)/X5&gt;0,(W5-1000000-Datos!$N$5)/X5,0)</f>
        <v>4363416.7499999953</v>
      </c>
      <c r="Z5" s="78">
        <f>Datos!$G$4</f>
        <v>18</v>
      </c>
      <c r="AA5" s="79">
        <f ca="1">IF((W5-1000000-Datos!$N$5)/Z5&gt;0,(W5-1000000-Datos!$N$5)/Z5,0)</f>
        <v>242412.0416666664</v>
      </c>
      <c r="AB5" s="221">
        <f>IF(L5&gt;0,VLOOKUP(D5,Datos!$H$35:$J$38,3,0),VLOOKUP(D5,Datos!$H$35:$J$38,2,0))</f>
        <v>380000</v>
      </c>
      <c r="AC5" s="79">
        <f ca="1">(S5*PMT(Datos!$D$16,Datos!$D$13,-O5,,)*VLOOKUP(TODAY(),'UF HOY'!$A$2:$B$36,2,0)/12)+VLOOKUP(TODAY(),'UF HOY'!$A$2:$B$36,2,0)</f>
        <v>461000.51634800789</v>
      </c>
      <c r="AD5" s="79">
        <f t="shared" ca="1" si="22"/>
        <v>-81000.516348007892</v>
      </c>
      <c r="AE5" s="220">
        <f t="shared" ca="1" si="11"/>
        <v>1844002.0653920316</v>
      </c>
      <c r="AF5" s="45"/>
    </row>
    <row r="6" spans="1:33" hidden="1">
      <c r="A6" s="66" t="s">
        <v>171</v>
      </c>
      <c r="B6" s="66">
        <v>201</v>
      </c>
      <c r="C6" s="67" t="s">
        <v>129</v>
      </c>
      <c r="D6" s="67" t="s">
        <v>195</v>
      </c>
      <c r="E6" s="67"/>
      <c r="F6" s="66">
        <v>31.51</v>
      </c>
      <c r="G6" s="66">
        <v>5.69</v>
      </c>
      <c r="H6" s="179">
        <f t="shared" si="12"/>
        <v>34.355000000000004</v>
      </c>
      <c r="I6" s="68">
        <f t="shared" si="13"/>
        <v>37.200000000000003</v>
      </c>
      <c r="J6" s="69">
        <v>2850</v>
      </c>
      <c r="K6" s="263">
        <v>100</v>
      </c>
      <c r="L6" s="71">
        <v>0</v>
      </c>
      <c r="M6" s="71">
        <v>0</v>
      </c>
      <c r="N6" s="71">
        <f t="shared" si="14"/>
        <v>2337.5</v>
      </c>
      <c r="O6" s="124">
        <f t="shared" si="15"/>
        <v>2750</v>
      </c>
      <c r="P6" s="121">
        <f t="shared" si="16"/>
        <v>68.039586668607186</v>
      </c>
      <c r="Q6" s="101">
        <f t="shared" si="17"/>
        <v>0.15</v>
      </c>
      <c r="R6" s="87">
        <f t="shared" si="18"/>
        <v>412.5</v>
      </c>
      <c r="S6" s="74">
        <v>0.8</v>
      </c>
      <c r="T6" s="75">
        <f t="shared" si="19"/>
        <v>2200</v>
      </c>
      <c r="U6" s="76">
        <f t="shared" si="20"/>
        <v>4.9999999999999961E-2</v>
      </c>
      <c r="V6" s="69">
        <f t="shared" si="21"/>
        <v>137.49999999999989</v>
      </c>
      <c r="W6" s="77">
        <f ca="1">V6*VLOOKUP(TODAY(),'UF HOY'!$A$2:$B$36,2,0)</f>
        <v>5463416.7499999953</v>
      </c>
      <c r="X6" s="78">
        <f>Datos!$E$4</f>
        <v>1</v>
      </c>
      <c r="Y6" s="79">
        <f ca="1">IF((W6-1000000-Datos!$N$5)/X6&gt;0,(W6-1000000-Datos!$N$5)/X6,0)</f>
        <v>4363416.7499999953</v>
      </c>
      <c r="Z6" s="78">
        <f>Datos!$G$4</f>
        <v>18</v>
      </c>
      <c r="AA6" s="79">
        <f ca="1">IF((W6-1000000-Datos!$N$5)/Z6&gt;0,(W6-1000000-Datos!$N$5)/Z6,0)</f>
        <v>242412.0416666664</v>
      </c>
      <c r="AB6" s="221">
        <f>IF(L6&gt;0,VLOOKUP(D6,Datos!$H$35:$J$38,3,0),VLOOKUP(D6,Datos!$H$35:$J$38,2,0))</f>
        <v>380000</v>
      </c>
      <c r="AC6" s="79">
        <f ca="1">(S6*PMT(Datos!$D$16,Datos!$D$13,-O6,,)*VLOOKUP(TODAY(),'UF HOY'!$A$2:$B$36,2,0)/12)+VLOOKUP(TODAY(),'UF HOY'!$A$2:$B$36,2,0)</f>
        <v>461000.51634800789</v>
      </c>
      <c r="AD6" s="79">
        <f t="shared" ca="1" si="22"/>
        <v>-81000.516348007892</v>
      </c>
      <c r="AE6" s="220">
        <f t="shared" ca="1" si="11"/>
        <v>1844002.0653920316</v>
      </c>
      <c r="AF6" s="45"/>
    </row>
    <row r="7" spans="1:33" hidden="1">
      <c r="A7" s="66" t="s">
        <v>171</v>
      </c>
      <c r="B7" s="66">
        <v>208</v>
      </c>
      <c r="C7" s="67" t="s">
        <v>130</v>
      </c>
      <c r="D7" s="67" t="s">
        <v>195</v>
      </c>
      <c r="E7" s="67"/>
      <c r="F7" s="66">
        <v>31.45</v>
      </c>
      <c r="G7" s="66">
        <v>7.29</v>
      </c>
      <c r="H7" s="179">
        <f t="shared" si="12"/>
        <v>35.094999999999999</v>
      </c>
      <c r="I7" s="68">
        <f t="shared" si="13"/>
        <v>38.74</v>
      </c>
      <c r="J7" s="69">
        <v>2850</v>
      </c>
      <c r="K7" s="263">
        <v>100</v>
      </c>
      <c r="L7" s="71">
        <v>0</v>
      </c>
      <c r="M7" s="71">
        <v>0</v>
      </c>
      <c r="N7" s="71">
        <f t="shared" si="14"/>
        <v>2337.5</v>
      </c>
      <c r="O7" s="124">
        <f t="shared" si="15"/>
        <v>2750</v>
      </c>
      <c r="P7" s="121">
        <f t="shared" si="16"/>
        <v>66.604929477133496</v>
      </c>
      <c r="Q7" s="101">
        <f t="shared" si="17"/>
        <v>0.15</v>
      </c>
      <c r="R7" s="87">
        <f t="shared" si="18"/>
        <v>412.5</v>
      </c>
      <c r="S7" s="74">
        <v>0.8</v>
      </c>
      <c r="T7" s="75">
        <f t="shared" si="19"/>
        <v>2200</v>
      </c>
      <c r="U7" s="76">
        <f t="shared" si="20"/>
        <v>4.9999999999999961E-2</v>
      </c>
      <c r="V7" s="69">
        <f t="shared" si="21"/>
        <v>137.49999999999989</v>
      </c>
      <c r="W7" s="77">
        <f ca="1">V7*VLOOKUP(TODAY(),'UF HOY'!$A$2:$B$36,2,0)</f>
        <v>5463416.7499999953</v>
      </c>
      <c r="X7" s="78">
        <f>Datos!$E$4</f>
        <v>1</v>
      </c>
      <c r="Y7" s="79">
        <f ca="1">IF((W7-1000000-Datos!$N$5)/X7&gt;0,(W7-1000000-Datos!$N$5)/X7,0)</f>
        <v>4363416.7499999953</v>
      </c>
      <c r="Z7" s="78">
        <f>Datos!$G$4</f>
        <v>18</v>
      </c>
      <c r="AA7" s="79">
        <f ca="1">IF((W7-1000000-Datos!$N$5)/Z7&gt;0,(W7-1000000-Datos!$N$5)/Z7,0)</f>
        <v>242412.0416666664</v>
      </c>
      <c r="AB7" s="221">
        <f>IF(L7&gt;0,VLOOKUP(D7,Datos!$H$35:$J$38,3,0),VLOOKUP(D7,Datos!$H$35:$J$38,2,0))</f>
        <v>380000</v>
      </c>
      <c r="AC7" s="79">
        <f ca="1">(S7*PMT(Datos!$D$16,Datos!$D$13,-O7,,)*VLOOKUP(TODAY(),'UF HOY'!$A$2:$B$36,2,0)/12)+VLOOKUP(TODAY(),'UF HOY'!$A$2:$B$36,2,0)</f>
        <v>461000.51634800789</v>
      </c>
      <c r="AD7" s="79">
        <f t="shared" ca="1" si="22"/>
        <v>-81000.516348007892</v>
      </c>
      <c r="AE7" s="220">
        <f t="shared" ca="1" si="11"/>
        <v>1844002.0653920316</v>
      </c>
      <c r="AF7" s="45"/>
    </row>
    <row r="8" spans="1:33">
      <c r="A8" s="66" t="s">
        <v>4</v>
      </c>
      <c r="B8" s="66">
        <v>104</v>
      </c>
      <c r="C8" s="67" t="s">
        <v>122</v>
      </c>
      <c r="D8" s="67" t="s">
        <v>194</v>
      </c>
      <c r="E8" s="67"/>
      <c r="F8" s="66">
        <v>51.28</v>
      </c>
      <c r="G8" s="66">
        <v>5.35</v>
      </c>
      <c r="H8" s="179">
        <f t="shared" si="12"/>
        <v>53.954999999999998</v>
      </c>
      <c r="I8" s="68">
        <f t="shared" si="13"/>
        <v>56.63</v>
      </c>
      <c r="J8" s="69">
        <v>3870</v>
      </c>
      <c r="K8" s="263">
        <v>100</v>
      </c>
      <c r="L8" s="71">
        <v>0</v>
      </c>
      <c r="M8" s="71">
        <v>0</v>
      </c>
      <c r="N8" s="71">
        <f t="shared" si="14"/>
        <v>3204.5</v>
      </c>
      <c r="O8" s="124">
        <f t="shared" si="15"/>
        <v>3770</v>
      </c>
      <c r="P8" s="121">
        <f t="shared" si="16"/>
        <v>59.392085997590584</v>
      </c>
      <c r="Q8" s="101">
        <f t="shared" si="17"/>
        <v>0.15</v>
      </c>
      <c r="R8" s="87">
        <f t="shared" si="18"/>
        <v>565.5</v>
      </c>
      <c r="S8" s="74">
        <v>0.8</v>
      </c>
      <c r="T8" s="75">
        <f t="shared" si="19"/>
        <v>3016</v>
      </c>
      <c r="U8" s="76">
        <f t="shared" si="20"/>
        <v>4.9999999999999961E-2</v>
      </c>
      <c r="V8" s="69">
        <f t="shared" si="21"/>
        <v>188.49999999999986</v>
      </c>
      <c r="W8" s="77">
        <f ca="1">V8*VLOOKUP(TODAY(),'UF HOY'!$A$2:$B$36,2,0)</f>
        <v>7489847.6899999948</v>
      </c>
      <c r="X8" s="78">
        <f>Datos!$E$4</f>
        <v>1</v>
      </c>
      <c r="Y8" s="79">
        <f ca="1">IF((W8-1000000-Datos!$N$5)/X8&gt;0,(W8-1000000-Datos!$N$5)/X8,0)</f>
        <v>6389847.6899999948</v>
      </c>
      <c r="Z8" s="78">
        <f>Datos!$G$4</f>
        <v>18</v>
      </c>
      <c r="AA8" s="79">
        <f ca="1">IF((W8-1000000-Datos!$N$5)/Z8&gt;0,(W8-1000000-Datos!$N$5)/Z8,0)</f>
        <v>354991.53833333304</v>
      </c>
      <c r="AB8" s="221">
        <f>IF(L8&gt;0,VLOOKUP(D8,Datos!$H$35:$J$38,3,0),VLOOKUP(D8,Datos!$H$35:$J$38,2,0))</f>
        <v>500000</v>
      </c>
      <c r="AC8" s="79">
        <f ca="1">(S8*PMT(Datos!$D$16,Datos!$D$13,-O8,,)*VLOOKUP(TODAY(),'UF HOY'!$A$2:$B$36,2,0)/12)+VLOOKUP(TODAY(),'UF HOY'!$A$2:$B$36,2,0)</f>
        <v>617252.11921163253</v>
      </c>
      <c r="AD8" s="79">
        <f t="shared" ca="1" si="22"/>
        <v>-117252.11921163253</v>
      </c>
      <c r="AE8" s="220">
        <f t="shared" ca="1" si="11"/>
        <v>2469008.4768465301</v>
      </c>
      <c r="AF8" s="45"/>
    </row>
    <row r="9" spans="1:33" hidden="1">
      <c r="A9" s="66" t="s">
        <v>171</v>
      </c>
      <c r="B9" s="66">
        <v>211</v>
      </c>
      <c r="C9" s="67" t="s">
        <v>103</v>
      </c>
      <c r="D9" s="67" t="s">
        <v>195</v>
      </c>
      <c r="E9" s="67"/>
      <c r="F9" s="66">
        <v>31.45</v>
      </c>
      <c r="G9" s="66">
        <v>6.69</v>
      </c>
      <c r="H9" s="179">
        <f t="shared" si="12"/>
        <v>34.795000000000002</v>
      </c>
      <c r="I9" s="68">
        <f t="shared" si="13"/>
        <v>38.14</v>
      </c>
      <c r="J9" s="69">
        <v>2850</v>
      </c>
      <c r="K9" s="263">
        <v>100</v>
      </c>
      <c r="L9" s="71">
        <v>0</v>
      </c>
      <c r="M9" s="71">
        <v>0</v>
      </c>
      <c r="N9" s="71">
        <f t="shared" si="14"/>
        <v>2337.5</v>
      </c>
      <c r="O9" s="124">
        <f t="shared" si="15"/>
        <v>2750</v>
      </c>
      <c r="P9" s="121">
        <f t="shared" si="16"/>
        <v>67.179192412702974</v>
      </c>
      <c r="Q9" s="101">
        <f t="shared" si="17"/>
        <v>0.15</v>
      </c>
      <c r="R9" s="87">
        <f t="shared" si="18"/>
        <v>412.5</v>
      </c>
      <c r="S9" s="74">
        <v>0.8</v>
      </c>
      <c r="T9" s="75">
        <f t="shared" si="19"/>
        <v>2200</v>
      </c>
      <c r="U9" s="76">
        <f t="shared" si="20"/>
        <v>4.9999999999999961E-2</v>
      </c>
      <c r="V9" s="69">
        <f t="shared" si="21"/>
        <v>137.49999999999989</v>
      </c>
      <c r="W9" s="77">
        <f ca="1">V9*VLOOKUP(TODAY(),'UF HOY'!$A$2:$B$36,2,0)</f>
        <v>5463416.7499999953</v>
      </c>
      <c r="X9" s="78">
        <f>Datos!$E$4</f>
        <v>1</v>
      </c>
      <c r="Y9" s="79">
        <f ca="1">IF((W9-1000000-Datos!$N$5)/X9&gt;0,(W9-1000000-Datos!$N$5)/X9,0)</f>
        <v>4363416.7499999953</v>
      </c>
      <c r="Z9" s="78">
        <f>Datos!$G$4</f>
        <v>18</v>
      </c>
      <c r="AA9" s="79">
        <f ca="1">IF((W9-1000000-Datos!$N$5)/Z9&gt;0,(W9-1000000-Datos!$N$5)/Z9,0)</f>
        <v>242412.0416666664</v>
      </c>
      <c r="AB9" s="221">
        <f>IF(L9&gt;0,VLOOKUP(D9,Datos!$H$35:$J$38,3,0),VLOOKUP(D9,Datos!$H$35:$J$38,2,0))</f>
        <v>380000</v>
      </c>
      <c r="AC9" s="79">
        <f ca="1">(S9*PMT(Datos!$D$16,Datos!$D$13,-O9,,)*VLOOKUP(TODAY(),'UF HOY'!$A$2:$B$36,2,0)/12)+VLOOKUP(TODAY(),'UF HOY'!$A$2:$B$36,2,0)</f>
        <v>461000.51634800789</v>
      </c>
      <c r="AD9" s="79">
        <f t="shared" ca="1" si="22"/>
        <v>-81000.516348007892</v>
      </c>
      <c r="AE9" s="220">
        <f t="shared" ca="1" si="11"/>
        <v>1844002.0653920316</v>
      </c>
      <c r="AF9" s="45"/>
    </row>
    <row r="10" spans="1:33" hidden="1">
      <c r="A10" s="66" t="s">
        <v>171</v>
      </c>
      <c r="B10" s="66">
        <v>213</v>
      </c>
      <c r="C10" s="67" t="s">
        <v>103</v>
      </c>
      <c r="D10" s="67" t="s">
        <v>195</v>
      </c>
      <c r="E10" s="67"/>
      <c r="F10" s="66">
        <v>31.45</v>
      </c>
      <c r="G10" s="66">
        <v>6.95</v>
      </c>
      <c r="H10" s="179">
        <f t="shared" si="12"/>
        <v>34.924999999999997</v>
      </c>
      <c r="I10" s="68">
        <f t="shared" si="13"/>
        <v>38.4</v>
      </c>
      <c r="J10" s="69">
        <v>2850</v>
      </c>
      <c r="K10" s="263">
        <v>100</v>
      </c>
      <c r="L10" s="71">
        <v>0</v>
      </c>
      <c r="M10" s="71">
        <v>0</v>
      </c>
      <c r="N10" s="71">
        <f t="shared" si="14"/>
        <v>2337.5</v>
      </c>
      <c r="O10" s="124">
        <f t="shared" si="15"/>
        <v>2750</v>
      </c>
      <c r="P10" s="121">
        <f t="shared" si="16"/>
        <v>66.929133858267718</v>
      </c>
      <c r="Q10" s="101">
        <f t="shared" si="17"/>
        <v>0.15</v>
      </c>
      <c r="R10" s="87">
        <f t="shared" si="18"/>
        <v>412.5</v>
      </c>
      <c r="S10" s="74">
        <v>0.8</v>
      </c>
      <c r="T10" s="75">
        <f t="shared" si="19"/>
        <v>2200</v>
      </c>
      <c r="U10" s="76">
        <f t="shared" si="20"/>
        <v>4.9999999999999961E-2</v>
      </c>
      <c r="V10" s="69">
        <f t="shared" si="21"/>
        <v>137.49999999999989</v>
      </c>
      <c r="W10" s="77">
        <f ca="1">V10*VLOOKUP(TODAY(),'UF HOY'!$A$2:$B$36,2,0)</f>
        <v>5463416.7499999953</v>
      </c>
      <c r="X10" s="78">
        <f>Datos!$E$4</f>
        <v>1</v>
      </c>
      <c r="Y10" s="79">
        <f ca="1">IF((W10-1000000-Datos!$N$5)/X10&gt;0,(W10-1000000-Datos!$N$5)/X10,0)</f>
        <v>4363416.7499999953</v>
      </c>
      <c r="Z10" s="78">
        <f>Datos!$G$4</f>
        <v>18</v>
      </c>
      <c r="AA10" s="79">
        <f ca="1">IF((W10-1000000-Datos!$N$5)/Z10&gt;0,(W10-1000000-Datos!$N$5)/Z10,0)</f>
        <v>242412.0416666664</v>
      </c>
      <c r="AB10" s="221">
        <f>IF(L10&gt;0,VLOOKUP(D10,Datos!$H$35:$J$38,3,0),VLOOKUP(D10,Datos!$H$35:$J$38,2,0))</f>
        <v>380000</v>
      </c>
      <c r="AC10" s="79">
        <f ca="1">(S10*PMT(Datos!$D$16,Datos!$D$13,-O10,,)*VLOOKUP(TODAY(),'UF HOY'!$A$2:$B$36,2,0)/12)+VLOOKUP(TODAY(),'UF HOY'!$A$2:$B$36,2,0)</f>
        <v>461000.51634800789</v>
      </c>
      <c r="AD10" s="79">
        <f t="shared" ca="1" si="22"/>
        <v>-81000.516348007892</v>
      </c>
      <c r="AE10" s="220">
        <f t="shared" ca="1" si="11"/>
        <v>1844002.0653920316</v>
      </c>
      <c r="AF10" s="45"/>
    </row>
    <row r="11" spans="1:33" hidden="1">
      <c r="A11" s="66" t="s">
        <v>171</v>
      </c>
      <c r="B11" s="66">
        <v>301</v>
      </c>
      <c r="C11" s="67" t="s">
        <v>129</v>
      </c>
      <c r="D11" s="67" t="s">
        <v>195</v>
      </c>
      <c r="E11" s="67"/>
      <c r="F11" s="66">
        <v>31.51</v>
      </c>
      <c r="G11" s="66">
        <v>5.69</v>
      </c>
      <c r="H11" s="179">
        <f t="shared" si="12"/>
        <v>34.355000000000004</v>
      </c>
      <c r="I11" s="68">
        <f t="shared" si="13"/>
        <v>37.200000000000003</v>
      </c>
      <c r="J11" s="69">
        <v>2850</v>
      </c>
      <c r="K11" s="263">
        <v>100</v>
      </c>
      <c r="L11" s="71">
        <v>0</v>
      </c>
      <c r="M11" s="71">
        <v>0</v>
      </c>
      <c r="N11" s="71">
        <f t="shared" si="14"/>
        <v>2337.5</v>
      </c>
      <c r="O11" s="124">
        <f t="shared" si="15"/>
        <v>2750</v>
      </c>
      <c r="P11" s="121">
        <f t="shared" si="16"/>
        <v>68.039586668607186</v>
      </c>
      <c r="Q11" s="101">
        <f t="shared" si="17"/>
        <v>0.15</v>
      </c>
      <c r="R11" s="87">
        <f t="shared" si="18"/>
        <v>412.5</v>
      </c>
      <c r="S11" s="74">
        <v>0.8</v>
      </c>
      <c r="T11" s="75">
        <f t="shared" si="19"/>
        <v>2200</v>
      </c>
      <c r="U11" s="76">
        <f t="shared" si="20"/>
        <v>4.9999999999999961E-2</v>
      </c>
      <c r="V11" s="69">
        <f t="shared" si="21"/>
        <v>137.49999999999989</v>
      </c>
      <c r="W11" s="77">
        <f ca="1">V11*VLOOKUP(TODAY(),'UF HOY'!$A$2:$B$36,2,0)</f>
        <v>5463416.7499999953</v>
      </c>
      <c r="X11" s="78">
        <f>Datos!$E$4</f>
        <v>1</v>
      </c>
      <c r="Y11" s="79">
        <f ca="1">IF((W11-1000000-Datos!$N$5)/X11&gt;0,(W11-1000000-Datos!$N$5)/X11,0)</f>
        <v>4363416.7499999953</v>
      </c>
      <c r="Z11" s="78">
        <f>Datos!$G$4</f>
        <v>18</v>
      </c>
      <c r="AA11" s="79">
        <f ca="1">IF((W11-1000000-Datos!$N$5)/Z11&gt;0,(W11-1000000-Datos!$N$5)/Z11,0)</f>
        <v>242412.0416666664</v>
      </c>
      <c r="AB11" s="221">
        <f>IF(L11&gt;0,VLOOKUP(D11,Datos!$H$35:$J$38,3,0),VLOOKUP(D11,Datos!$H$35:$J$38,2,0))</f>
        <v>380000</v>
      </c>
      <c r="AC11" s="79">
        <f ca="1">(S11*PMT(Datos!$D$16,Datos!$D$13,-O11,,)*VLOOKUP(TODAY(),'UF HOY'!$A$2:$B$36,2,0)/12)+VLOOKUP(TODAY(),'UF HOY'!$A$2:$B$36,2,0)</f>
        <v>461000.51634800789</v>
      </c>
      <c r="AD11" s="79">
        <f t="shared" ca="1" si="22"/>
        <v>-81000.516348007892</v>
      </c>
      <c r="AE11" s="220">
        <f t="shared" ca="1" si="11"/>
        <v>1844002.0653920316</v>
      </c>
      <c r="AF11" s="45"/>
    </row>
    <row r="12" spans="1:33">
      <c r="A12" s="66" t="s">
        <v>4</v>
      </c>
      <c r="B12" s="66">
        <v>704</v>
      </c>
      <c r="C12" s="67" t="s">
        <v>122</v>
      </c>
      <c r="D12" s="67" t="s">
        <v>194</v>
      </c>
      <c r="E12" s="67"/>
      <c r="F12" s="66">
        <v>51.28</v>
      </c>
      <c r="G12" s="66">
        <v>5.35</v>
      </c>
      <c r="H12" s="179">
        <f t="shared" si="12"/>
        <v>53.954999999999998</v>
      </c>
      <c r="I12" s="68">
        <f t="shared" si="13"/>
        <v>56.63</v>
      </c>
      <c r="J12" s="69">
        <v>3870</v>
      </c>
      <c r="K12" s="263">
        <v>100</v>
      </c>
      <c r="L12" s="71">
        <v>0</v>
      </c>
      <c r="M12" s="71">
        <v>0</v>
      </c>
      <c r="N12" s="71">
        <f t="shared" si="14"/>
        <v>3204.5</v>
      </c>
      <c r="O12" s="124">
        <f t="shared" si="15"/>
        <v>3770</v>
      </c>
      <c r="P12" s="121">
        <f t="shared" si="16"/>
        <v>59.392085997590584</v>
      </c>
      <c r="Q12" s="101">
        <f t="shared" si="17"/>
        <v>0.15</v>
      </c>
      <c r="R12" s="87">
        <f t="shared" si="18"/>
        <v>565.5</v>
      </c>
      <c r="S12" s="74">
        <v>0.8</v>
      </c>
      <c r="T12" s="75">
        <f t="shared" si="19"/>
        <v>3016</v>
      </c>
      <c r="U12" s="76">
        <f t="shared" si="20"/>
        <v>4.9999999999999961E-2</v>
      </c>
      <c r="V12" s="69">
        <f t="shared" si="21"/>
        <v>188.49999999999986</v>
      </c>
      <c r="W12" s="77">
        <f ca="1">V12*VLOOKUP(TODAY(),'UF HOY'!$A$2:$B$36,2,0)</f>
        <v>7489847.6899999948</v>
      </c>
      <c r="X12" s="78">
        <f>Datos!$E$4</f>
        <v>1</v>
      </c>
      <c r="Y12" s="79">
        <f ca="1">IF((W12-1000000-Datos!$N$5)/X12&gt;0,(W12-1000000-Datos!$N$5)/X12,0)</f>
        <v>6389847.6899999948</v>
      </c>
      <c r="Z12" s="78">
        <f>Datos!$G$4</f>
        <v>18</v>
      </c>
      <c r="AA12" s="79">
        <f ca="1">IF((W12-1000000-Datos!$N$5)/Z12&gt;0,(W12-1000000-Datos!$N$5)/Z12,0)</f>
        <v>354991.53833333304</v>
      </c>
      <c r="AB12" s="221">
        <f>IF(L12&gt;0,VLOOKUP(D12,Datos!$H$35:$J$38,3,0),VLOOKUP(D12,Datos!$H$35:$J$38,2,0))</f>
        <v>500000</v>
      </c>
      <c r="AC12" s="79">
        <f ca="1">(S12*PMT(Datos!$D$16,Datos!$D$13,-O12,,)*VLOOKUP(TODAY(),'UF HOY'!$A$2:$B$36,2,0)/12)+VLOOKUP(TODAY(),'UF HOY'!$A$2:$B$36,2,0)</f>
        <v>617252.11921163253</v>
      </c>
      <c r="AD12" s="79">
        <f t="shared" ca="1" si="22"/>
        <v>-117252.11921163253</v>
      </c>
      <c r="AE12" s="220">
        <f t="shared" ca="1" si="11"/>
        <v>2469008.4768465301</v>
      </c>
      <c r="AF12" s="45"/>
    </row>
    <row r="13" spans="1:33" hidden="1">
      <c r="A13" s="66" t="s">
        <v>171</v>
      </c>
      <c r="B13" s="66">
        <v>316</v>
      </c>
      <c r="C13" s="67" t="s">
        <v>131</v>
      </c>
      <c r="D13" s="67" t="s">
        <v>195</v>
      </c>
      <c r="E13" s="67"/>
      <c r="F13" s="66">
        <v>31.45</v>
      </c>
      <c r="G13" s="66">
        <v>6.72</v>
      </c>
      <c r="H13" s="179">
        <f t="shared" si="12"/>
        <v>34.81</v>
      </c>
      <c r="I13" s="68">
        <f t="shared" si="13"/>
        <v>38.17</v>
      </c>
      <c r="J13" s="69">
        <v>2850</v>
      </c>
      <c r="K13" s="263">
        <v>100</v>
      </c>
      <c r="L13" s="71">
        <v>0</v>
      </c>
      <c r="M13" s="71">
        <v>0</v>
      </c>
      <c r="N13" s="71">
        <f t="shared" si="14"/>
        <v>2337.5</v>
      </c>
      <c r="O13" s="124">
        <f t="shared" si="15"/>
        <v>2750</v>
      </c>
      <c r="P13" s="121">
        <f t="shared" si="16"/>
        <v>67.150244182706118</v>
      </c>
      <c r="Q13" s="101">
        <f t="shared" si="17"/>
        <v>0.15</v>
      </c>
      <c r="R13" s="87">
        <f t="shared" si="18"/>
        <v>412.5</v>
      </c>
      <c r="S13" s="74">
        <v>0.8</v>
      </c>
      <c r="T13" s="75">
        <f t="shared" si="19"/>
        <v>2200</v>
      </c>
      <c r="U13" s="76">
        <f t="shared" si="20"/>
        <v>4.9999999999999961E-2</v>
      </c>
      <c r="V13" s="69">
        <f t="shared" si="21"/>
        <v>137.49999999999989</v>
      </c>
      <c r="W13" s="77">
        <f ca="1">V13*VLOOKUP(TODAY(),'UF HOY'!$A$2:$B$36,2,0)</f>
        <v>5463416.7499999953</v>
      </c>
      <c r="X13" s="78">
        <f>Datos!$E$4</f>
        <v>1</v>
      </c>
      <c r="Y13" s="79">
        <f ca="1">IF((W13-1000000-Datos!$N$5)/X13&gt;0,(W13-1000000-Datos!$N$5)/X13,0)</f>
        <v>4363416.7499999953</v>
      </c>
      <c r="Z13" s="78">
        <f>Datos!$G$4</f>
        <v>18</v>
      </c>
      <c r="AA13" s="79">
        <f ca="1">IF((W13-1000000-Datos!$N$5)/Z13&gt;0,(W13-1000000-Datos!$N$5)/Z13,0)</f>
        <v>242412.0416666664</v>
      </c>
      <c r="AB13" s="221">
        <f>IF(L13&gt;0,VLOOKUP(D13,Datos!$H$35:$J$38,3,0),VLOOKUP(D13,Datos!$H$35:$J$38,2,0))</f>
        <v>380000</v>
      </c>
      <c r="AC13" s="79">
        <f ca="1">(S13*PMT(Datos!$D$16,Datos!$D$13,-O13,,)*VLOOKUP(TODAY(),'UF HOY'!$A$2:$B$36,2,0)/12)+VLOOKUP(TODAY(),'UF HOY'!$A$2:$B$36,2,0)</f>
        <v>461000.51634800789</v>
      </c>
      <c r="AD13" s="79">
        <f t="shared" ca="1" si="22"/>
        <v>-81000.516348007892</v>
      </c>
      <c r="AE13" s="220">
        <f t="shared" ca="1" si="11"/>
        <v>1844002.0653920316</v>
      </c>
      <c r="AF13" s="45"/>
    </row>
    <row r="14" spans="1:33" hidden="1">
      <c r="A14" s="66" t="s">
        <v>171</v>
      </c>
      <c r="B14" s="66">
        <v>402</v>
      </c>
      <c r="C14" s="67" t="s">
        <v>129</v>
      </c>
      <c r="D14" s="67" t="s">
        <v>195</v>
      </c>
      <c r="E14" s="67"/>
      <c r="F14" s="66">
        <v>33.14</v>
      </c>
      <c r="G14" s="66">
        <v>7.54</v>
      </c>
      <c r="H14" s="179">
        <f t="shared" si="12"/>
        <v>36.910000000000004</v>
      </c>
      <c r="I14" s="68">
        <f t="shared" si="13"/>
        <v>40.68</v>
      </c>
      <c r="J14" s="69">
        <v>2850</v>
      </c>
      <c r="K14" s="263">
        <v>100</v>
      </c>
      <c r="L14" s="71">
        <v>0</v>
      </c>
      <c r="M14" s="71">
        <v>0</v>
      </c>
      <c r="N14" s="71">
        <f t="shared" si="14"/>
        <v>2337.5</v>
      </c>
      <c r="O14" s="124">
        <f t="shared" si="15"/>
        <v>2750</v>
      </c>
      <c r="P14" s="121">
        <f t="shared" si="16"/>
        <v>63.329720942833916</v>
      </c>
      <c r="Q14" s="101">
        <f t="shared" si="17"/>
        <v>0.15</v>
      </c>
      <c r="R14" s="87">
        <f t="shared" si="18"/>
        <v>412.5</v>
      </c>
      <c r="S14" s="74">
        <v>0.8</v>
      </c>
      <c r="T14" s="75">
        <f t="shared" si="19"/>
        <v>2200</v>
      </c>
      <c r="U14" s="76">
        <f t="shared" si="20"/>
        <v>4.9999999999999961E-2</v>
      </c>
      <c r="V14" s="69">
        <f t="shared" si="21"/>
        <v>137.49999999999989</v>
      </c>
      <c r="W14" s="77">
        <f ca="1">V14*VLOOKUP(TODAY(),'UF HOY'!$A$2:$B$36,2,0)</f>
        <v>5463416.7499999953</v>
      </c>
      <c r="X14" s="78">
        <f>Datos!$E$4</f>
        <v>1</v>
      </c>
      <c r="Y14" s="79">
        <f ca="1">IF((W14-1000000-Datos!$N$5)/X14&gt;0,(W14-1000000-Datos!$N$5)/X14,0)</f>
        <v>4363416.7499999953</v>
      </c>
      <c r="Z14" s="78">
        <f>Datos!$G$4</f>
        <v>18</v>
      </c>
      <c r="AA14" s="79">
        <f ca="1">IF((W14-1000000-Datos!$N$5)/Z14&gt;0,(W14-1000000-Datos!$N$5)/Z14,0)</f>
        <v>242412.0416666664</v>
      </c>
      <c r="AB14" s="221">
        <f>IF(L14&gt;0,VLOOKUP(D14,Datos!$H$35:$J$38,3,0),VLOOKUP(D14,Datos!$H$35:$J$38,2,0))</f>
        <v>380000</v>
      </c>
      <c r="AC14" s="79">
        <f ca="1">(S14*PMT(Datos!$D$16,Datos!$D$13,-O14,,)*VLOOKUP(TODAY(),'UF HOY'!$A$2:$B$36,2,0)/12)+VLOOKUP(TODAY(),'UF HOY'!$A$2:$B$36,2,0)</f>
        <v>461000.51634800789</v>
      </c>
      <c r="AD14" s="79">
        <f t="shared" ca="1" si="22"/>
        <v>-81000.516348007892</v>
      </c>
      <c r="AE14" s="220">
        <f t="shared" ca="1" si="11"/>
        <v>1844002.0653920316</v>
      </c>
      <c r="AF14" s="45"/>
    </row>
    <row r="15" spans="1:33" hidden="1">
      <c r="A15" s="66" t="s">
        <v>171</v>
      </c>
      <c r="B15" s="66">
        <v>414</v>
      </c>
      <c r="C15" s="67" t="s">
        <v>121</v>
      </c>
      <c r="D15" s="67" t="s">
        <v>194</v>
      </c>
      <c r="E15" s="67"/>
      <c r="F15" s="66">
        <v>47.98</v>
      </c>
      <c r="G15" s="66">
        <v>6.15</v>
      </c>
      <c r="H15" s="179">
        <f t="shared" si="12"/>
        <v>51.055</v>
      </c>
      <c r="I15" s="68">
        <f t="shared" si="13"/>
        <v>54.129999999999995</v>
      </c>
      <c r="J15" s="69">
        <v>3580</v>
      </c>
      <c r="K15" s="263">
        <v>100</v>
      </c>
      <c r="L15" s="71">
        <v>0</v>
      </c>
      <c r="M15" s="71">
        <v>0</v>
      </c>
      <c r="N15" s="71">
        <f t="shared" si="14"/>
        <v>2958</v>
      </c>
      <c r="O15" s="124">
        <f t="shared" si="15"/>
        <v>3480</v>
      </c>
      <c r="P15" s="121">
        <f t="shared" si="16"/>
        <v>57.937518362550193</v>
      </c>
      <c r="Q15" s="101">
        <f t="shared" si="17"/>
        <v>0.15</v>
      </c>
      <c r="R15" s="87">
        <f t="shared" si="18"/>
        <v>522</v>
      </c>
      <c r="S15" s="74">
        <v>0.8</v>
      </c>
      <c r="T15" s="75">
        <f t="shared" si="19"/>
        <v>2784</v>
      </c>
      <c r="U15" s="76">
        <f t="shared" si="20"/>
        <v>4.9999999999999961E-2</v>
      </c>
      <c r="V15" s="69">
        <f t="shared" si="21"/>
        <v>173.99999999999986</v>
      </c>
      <c r="W15" s="77">
        <f ca="1">V15*VLOOKUP(TODAY(),'UF HOY'!$A$2:$B$36,2,0)</f>
        <v>6913705.5599999949</v>
      </c>
      <c r="X15" s="78">
        <f>Datos!$E$4</f>
        <v>1</v>
      </c>
      <c r="Y15" s="79">
        <f ca="1">IF((W15-1000000-Datos!$N$5)/X15&gt;0,(W15-1000000-Datos!$N$5)/X15,0)</f>
        <v>5813705.5599999949</v>
      </c>
      <c r="Z15" s="78">
        <f>Datos!$G$4</f>
        <v>18</v>
      </c>
      <c r="AA15" s="79">
        <f ca="1">IF((W15-1000000-Datos!$N$5)/Z15&gt;0,(W15-1000000-Datos!$N$5)/Z15,0)</f>
        <v>322983.64222222194</v>
      </c>
      <c r="AB15" s="221">
        <f>IF(L15&gt;0,VLOOKUP(D15,Datos!$H$35:$J$38,3,0),VLOOKUP(D15,Datos!$H$35:$J$38,2,0))</f>
        <v>500000</v>
      </c>
      <c r="AC15" s="79">
        <f ca="1">(S15*PMT(Datos!$D$16,Datos!$D$13,-O15,,)*VLOOKUP(TODAY(),'UF HOY'!$A$2:$B$36,2,0)/12)+VLOOKUP(TODAY(),'UF HOY'!$A$2:$B$36,2,0)</f>
        <v>572827.64388766093</v>
      </c>
      <c r="AD15" s="79">
        <f t="shared" ca="1" si="22"/>
        <v>-72827.643887660932</v>
      </c>
      <c r="AE15" s="220">
        <f t="shared" ca="1" si="11"/>
        <v>2291310.5755506437</v>
      </c>
      <c r="AF15" s="45"/>
    </row>
    <row r="16" spans="1:33" hidden="1">
      <c r="A16" s="66" t="s">
        <v>171</v>
      </c>
      <c r="B16" s="66">
        <v>415</v>
      </c>
      <c r="C16" s="67" t="s">
        <v>122</v>
      </c>
      <c r="D16" s="67" t="s">
        <v>194</v>
      </c>
      <c r="E16" s="67"/>
      <c r="F16" s="66">
        <v>47.98</v>
      </c>
      <c r="G16" s="66">
        <v>5.96</v>
      </c>
      <c r="H16" s="179">
        <f t="shared" si="12"/>
        <v>50.959999999999994</v>
      </c>
      <c r="I16" s="68">
        <f t="shared" si="13"/>
        <v>53.94</v>
      </c>
      <c r="J16" s="69">
        <v>3580</v>
      </c>
      <c r="K16" s="263">
        <v>100</v>
      </c>
      <c r="L16" s="71">
        <v>0</v>
      </c>
      <c r="M16" s="71">
        <v>0</v>
      </c>
      <c r="N16" s="71">
        <f t="shared" si="14"/>
        <v>2958</v>
      </c>
      <c r="O16" s="124">
        <f t="shared" si="15"/>
        <v>3480</v>
      </c>
      <c r="P16" s="121">
        <f t="shared" si="16"/>
        <v>58.045525902668764</v>
      </c>
      <c r="Q16" s="101">
        <f t="shared" si="17"/>
        <v>0.15</v>
      </c>
      <c r="R16" s="87">
        <f t="shared" si="18"/>
        <v>522</v>
      </c>
      <c r="S16" s="74">
        <v>0.8</v>
      </c>
      <c r="T16" s="75">
        <f t="shared" si="19"/>
        <v>2784</v>
      </c>
      <c r="U16" s="76">
        <f t="shared" si="20"/>
        <v>4.9999999999999961E-2</v>
      </c>
      <c r="V16" s="69">
        <f t="shared" si="21"/>
        <v>173.99999999999986</v>
      </c>
      <c r="W16" s="77">
        <f ca="1">V16*VLOOKUP(TODAY(),'UF HOY'!$A$2:$B$36,2,0)</f>
        <v>6913705.5599999949</v>
      </c>
      <c r="X16" s="78">
        <f>Datos!$E$4</f>
        <v>1</v>
      </c>
      <c r="Y16" s="79">
        <f ca="1">IF((W16-1000000-Datos!$N$5)/X16&gt;0,(W16-1000000-Datos!$N$5)/X16,0)</f>
        <v>5813705.5599999949</v>
      </c>
      <c r="Z16" s="78">
        <f>Datos!$G$4</f>
        <v>18</v>
      </c>
      <c r="AA16" s="79">
        <f ca="1">IF((W16-1000000-Datos!$N$5)/Z16&gt;0,(W16-1000000-Datos!$N$5)/Z16,0)</f>
        <v>322983.64222222194</v>
      </c>
      <c r="AB16" s="221">
        <f>IF(L16&gt;0,VLOOKUP(D16,Datos!$H$35:$J$38,3,0),VLOOKUP(D16,Datos!$H$35:$J$38,2,0))</f>
        <v>500000</v>
      </c>
      <c r="AC16" s="79">
        <f ca="1">(S16*PMT(Datos!$D$16,Datos!$D$13,-O16,,)*VLOOKUP(TODAY(),'UF HOY'!$A$2:$B$36,2,0)/12)+VLOOKUP(TODAY(),'UF HOY'!$A$2:$B$36,2,0)</f>
        <v>572827.64388766093</v>
      </c>
      <c r="AD16" s="79">
        <f t="shared" ca="1" si="22"/>
        <v>-72827.643887660932</v>
      </c>
      <c r="AE16" s="220">
        <f t="shared" ca="1" si="11"/>
        <v>2291310.5755506437</v>
      </c>
      <c r="AF16" s="45"/>
    </row>
    <row r="17" spans="1:32">
      <c r="A17" s="66" t="s">
        <v>4</v>
      </c>
      <c r="B17" s="66">
        <v>804</v>
      </c>
      <c r="C17" s="67" t="s">
        <v>122</v>
      </c>
      <c r="D17" s="67" t="s">
        <v>194</v>
      </c>
      <c r="E17" s="67"/>
      <c r="F17" s="66">
        <v>51.28</v>
      </c>
      <c r="G17" s="66">
        <v>5.35</v>
      </c>
      <c r="H17" s="179">
        <f t="shared" si="12"/>
        <v>53.954999999999998</v>
      </c>
      <c r="I17" s="68">
        <f t="shared" si="13"/>
        <v>56.63</v>
      </c>
      <c r="J17" s="69">
        <v>3870</v>
      </c>
      <c r="K17" s="263">
        <v>100</v>
      </c>
      <c r="L17" s="71">
        <v>0</v>
      </c>
      <c r="M17" s="71">
        <v>0</v>
      </c>
      <c r="N17" s="71">
        <f t="shared" si="14"/>
        <v>3204.5</v>
      </c>
      <c r="O17" s="124">
        <f t="shared" si="15"/>
        <v>3770</v>
      </c>
      <c r="P17" s="121">
        <f t="shared" si="16"/>
        <v>59.392085997590584</v>
      </c>
      <c r="Q17" s="101">
        <f t="shared" si="17"/>
        <v>0.15</v>
      </c>
      <c r="R17" s="87">
        <f t="shared" si="18"/>
        <v>565.5</v>
      </c>
      <c r="S17" s="74">
        <v>0.8</v>
      </c>
      <c r="T17" s="75">
        <f t="shared" si="19"/>
        <v>3016</v>
      </c>
      <c r="U17" s="76">
        <f t="shared" si="20"/>
        <v>4.9999999999999961E-2</v>
      </c>
      <c r="V17" s="69">
        <f t="shared" si="21"/>
        <v>188.49999999999986</v>
      </c>
      <c r="W17" s="77">
        <f ca="1">V17*VLOOKUP(TODAY(),'UF HOY'!$A$2:$B$36,2,0)</f>
        <v>7489847.6899999948</v>
      </c>
      <c r="X17" s="78">
        <f>Datos!$E$4</f>
        <v>1</v>
      </c>
      <c r="Y17" s="79">
        <f ca="1">IF((W17-1000000-Datos!$N$5)/X17&gt;0,(W17-1000000-Datos!$N$5)/X17,0)</f>
        <v>6389847.6899999948</v>
      </c>
      <c r="Z17" s="78">
        <f>Datos!$G$4</f>
        <v>18</v>
      </c>
      <c r="AA17" s="79">
        <f ca="1">IF((W17-1000000-Datos!$N$5)/Z17&gt;0,(W17-1000000-Datos!$N$5)/Z17,0)</f>
        <v>354991.53833333304</v>
      </c>
      <c r="AB17" s="221">
        <f>IF(L17&gt;0,VLOOKUP(D17,Datos!$H$35:$J$38,3,0),VLOOKUP(D17,Datos!$H$35:$J$38,2,0))</f>
        <v>500000</v>
      </c>
      <c r="AC17" s="79">
        <f ca="1">(S17*PMT(Datos!$D$16,Datos!$D$13,-O17,,)*VLOOKUP(TODAY(),'UF HOY'!$A$2:$B$36,2,0)/12)+VLOOKUP(TODAY(),'UF HOY'!$A$2:$B$36,2,0)</f>
        <v>617252.11921163253</v>
      </c>
      <c r="AD17" s="79">
        <f t="shared" ca="1" si="22"/>
        <v>-117252.11921163253</v>
      </c>
      <c r="AE17" s="220">
        <f t="shared" ca="1" si="11"/>
        <v>2469008.4768465301</v>
      </c>
      <c r="AF17" s="45"/>
    </row>
    <row r="18" spans="1:32" hidden="1">
      <c r="A18" s="66" t="s">
        <v>171</v>
      </c>
      <c r="B18" s="66">
        <v>504</v>
      </c>
      <c r="C18" s="67" t="s">
        <v>122</v>
      </c>
      <c r="D18" s="67" t="s">
        <v>194</v>
      </c>
      <c r="E18" s="67"/>
      <c r="F18" s="66">
        <v>51.28</v>
      </c>
      <c r="G18" s="66">
        <v>5.35</v>
      </c>
      <c r="H18" s="179">
        <f t="shared" si="12"/>
        <v>53.954999999999998</v>
      </c>
      <c r="I18" s="68">
        <f t="shared" si="13"/>
        <v>56.63</v>
      </c>
      <c r="J18" s="69">
        <v>3870</v>
      </c>
      <c r="K18" s="263">
        <v>100</v>
      </c>
      <c r="L18" s="71">
        <v>0</v>
      </c>
      <c r="M18" s="71">
        <v>0</v>
      </c>
      <c r="N18" s="71">
        <f t="shared" si="14"/>
        <v>3204.5</v>
      </c>
      <c r="O18" s="124">
        <f t="shared" si="15"/>
        <v>3770</v>
      </c>
      <c r="P18" s="121">
        <f t="shared" si="16"/>
        <v>59.392085997590584</v>
      </c>
      <c r="Q18" s="101">
        <f t="shared" si="17"/>
        <v>0.15</v>
      </c>
      <c r="R18" s="87">
        <f t="shared" si="18"/>
        <v>565.5</v>
      </c>
      <c r="S18" s="74">
        <v>0.8</v>
      </c>
      <c r="T18" s="75">
        <f t="shared" si="19"/>
        <v>3016</v>
      </c>
      <c r="U18" s="76">
        <f t="shared" si="20"/>
        <v>4.9999999999999961E-2</v>
      </c>
      <c r="V18" s="69">
        <f t="shared" si="21"/>
        <v>188.49999999999986</v>
      </c>
      <c r="W18" s="77">
        <f ca="1">V18*VLOOKUP(TODAY(),'UF HOY'!$A$2:$B$36,2,0)</f>
        <v>7489847.6899999948</v>
      </c>
      <c r="X18" s="78">
        <f>Datos!$E$4</f>
        <v>1</v>
      </c>
      <c r="Y18" s="79">
        <f ca="1">IF((W18-1000000-Datos!$N$5)/X18&gt;0,(W18-1000000-Datos!$N$5)/X18,0)</f>
        <v>6389847.6899999948</v>
      </c>
      <c r="Z18" s="78">
        <f>Datos!$G$4</f>
        <v>18</v>
      </c>
      <c r="AA18" s="79">
        <f ca="1">IF((W18-1000000-Datos!$N$5)/Z18&gt;0,(W18-1000000-Datos!$N$5)/Z18,0)</f>
        <v>354991.53833333304</v>
      </c>
      <c r="AB18" s="221">
        <f>IF(L18&gt;0,VLOOKUP(D18,Datos!$H$35:$J$38,3,0),VLOOKUP(D18,Datos!$H$35:$J$38,2,0))</f>
        <v>500000</v>
      </c>
      <c r="AC18" s="79">
        <f ca="1">(S18*PMT(Datos!$D$16,Datos!$D$13,-O18,,)*VLOOKUP(TODAY(),'UF HOY'!$A$2:$B$36,2,0)/12)+VLOOKUP(TODAY(),'UF HOY'!$A$2:$B$36,2,0)</f>
        <v>617252.11921163253</v>
      </c>
      <c r="AD18" s="79">
        <f t="shared" ca="1" si="22"/>
        <v>-117252.11921163253</v>
      </c>
      <c r="AE18" s="220">
        <f t="shared" ca="1" si="11"/>
        <v>2469008.4768465301</v>
      </c>
      <c r="AF18" s="45"/>
    </row>
    <row r="19" spans="1:32" hidden="1">
      <c r="A19" s="66" t="s">
        <v>171</v>
      </c>
      <c r="B19" s="66">
        <v>507</v>
      </c>
      <c r="C19" s="67" t="s">
        <v>130</v>
      </c>
      <c r="D19" s="67" t="s">
        <v>194</v>
      </c>
      <c r="E19" s="67"/>
      <c r="F19" s="66">
        <v>40.93</v>
      </c>
      <c r="G19" s="66">
        <v>9.11</v>
      </c>
      <c r="H19" s="179">
        <f t="shared" si="12"/>
        <v>45.484999999999999</v>
      </c>
      <c r="I19" s="68">
        <f t="shared" si="13"/>
        <v>50.04</v>
      </c>
      <c r="J19" s="69">
        <v>3410</v>
      </c>
      <c r="K19" s="263">
        <v>100</v>
      </c>
      <c r="L19" s="71">
        <v>0</v>
      </c>
      <c r="M19" s="71">
        <v>0</v>
      </c>
      <c r="N19" s="71">
        <f t="shared" si="14"/>
        <v>2813.5</v>
      </c>
      <c r="O19" s="124">
        <f t="shared" si="15"/>
        <v>3310</v>
      </c>
      <c r="P19" s="121">
        <f t="shared" si="16"/>
        <v>61.855556776959439</v>
      </c>
      <c r="Q19" s="101">
        <f t="shared" si="17"/>
        <v>0.15</v>
      </c>
      <c r="R19" s="87">
        <f t="shared" si="18"/>
        <v>496.5</v>
      </c>
      <c r="S19" s="74">
        <v>0.8</v>
      </c>
      <c r="T19" s="75">
        <f t="shared" si="19"/>
        <v>2648</v>
      </c>
      <c r="U19" s="76">
        <f t="shared" si="20"/>
        <v>4.9999999999999961E-2</v>
      </c>
      <c r="V19" s="69">
        <f t="shared" si="21"/>
        <v>165.49999999999986</v>
      </c>
      <c r="W19" s="77">
        <f ca="1">V19*VLOOKUP(TODAY(),'UF HOY'!$A$2:$B$36,2,0)</f>
        <v>6575967.0699999947</v>
      </c>
      <c r="X19" s="78">
        <f>Datos!$E$4</f>
        <v>1</v>
      </c>
      <c r="Y19" s="79">
        <f ca="1">IF((W19-1000000-Datos!$N$5)/X19&gt;0,(W19-1000000-Datos!$N$5)/X19,0)</f>
        <v>5475967.0699999947</v>
      </c>
      <c r="Z19" s="78">
        <f>Datos!$G$4</f>
        <v>18</v>
      </c>
      <c r="AA19" s="79">
        <f ca="1">IF((W19-1000000-Datos!$N$5)/Z19&gt;0,(W19-1000000-Datos!$N$5)/Z19,0)</f>
        <v>304220.39277777751</v>
      </c>
      <c r="AB19" s="221">
        <f>IF(L19&gt;0,VLOOKUP(D19,Datos!$H$35:$J$38,3,0),VLOOKUP(D19,Datos!$H$35:$J$38,2,0))</f>
        <v>500000</v>
      </c>
      <c r="AC19" s="79">
        <f ca="1">(S19*PMT(Datos!$D$16,Datos!$D$13,-O19,,)*VLOOKUP(TODAY(),'UF HOY'!$A$2:$B$36,2,0)/12)+VLOOKUP(TODAY(),'UF HOY'!$A$2:$B$36,2,0)</f>
        <v>546785.71007705678</v>
      </c>
      <c r="AD19" s="79">
        <f t="shared" ca="1" si="22"/>
        <v>-46785.710077056778</v>
      </c>
      <c r="AE19" s="220">
        <f t="shared" ca="1" si="11"/>
        <v>2187142.8403082271</v>
      </c>
      <c r="AF19" s="45"/>
    </row>
    <row r="20" spans="1:32" hidden="1">
      <c r="A20" s="66" t="s">
        <v>171</v>
      </c>
      <c r="B20" s="66">
        <v>509</v>
      </c>
      <c r="C20" s="67" t="s">
        <v>124</v>
      </c>
      <c r="D20" s="67" t="s">
        <v>194</v>
      </c>
      <c r="E20" s="67"/>
      <c r="F20" s="66">
        <v>55.73</v>
      </c>
      <c r="G20" s="66">
        <v>9.4599999999999991</v>
      </c>
      <c r="H20" s="179">
        <f t="shared" si="12"/>
        <v>60.459999999999994</v>
      </c>
      <c r="I20" s="68">
        <f t="shared" si="13"/>
        <v>65.19</v>
      </c>
      <c r="J20" s="69">
        <v>3990</v>
      </c>
      <c r="K20" s="263">
        <v>100</v>
      </c>
      <c r="L20" s="71">
        <v>0</v>
      </c>
      <c r="M20" s="71">
        <v>0</v>
      </c>
      <c r="N20" s="71">
        <f t="shared" si="14"/>
        <v>3306.5</v>
      </c>
      <c r="O20" s="124">
        <f t="shared" si="15"/>
        <v>3890</v>
      </c>
      <c r="P20" s="121">
        <f t="shared" si="16"/>
        <v>54.689050611974864</v>
      </c>
      <c r="Q20" s="101">
        <f t="shared" si="17"/>
        <v>0.15</v>
      </c>
      <c r="R20" s="87">
        <f t="shared" si="18"/>
        <v>583.5</v>
      </c>
      <c r="S20" s="74">
        <v>0.8</v>
      </c>
      <c r="T20" s="75">
        <f t="shared" si="19"/>
        <v>3112</v>
      </c>
      <c r="U20" s="76">
        <f t="shared" si="20"/>
        <v>4.9999999999999961E-2</v>
      </c>
      <c r="V20" s="69">
        <f t="shared" si="21"/>
        <v>194.49999999999986</v>
      </c>
      <c r="W20" s="77">
        <f ca="1">V20*VLOOKUP(TODAY(),'UF HOY'!$A$2:$B$36,2,0)</f>
        <v>7728251.3299999945</v>
      </c>
      <c r="X20" s="78">
        <f>Datos!$E$4</f>
        <v>1</v>
      </c>
      <c r="Y20" s="79">
        <f ca="1">IF((W20-1000000-Datos!$N$5)/X20&gt;0,(W20-1000000-Datos!$N$5)/X20,0)</f>
        <v>6628251.3299999945</v>
      </c>
      <c r="Z20" s="78">
        <f>Datos!$G$4</f>
        <v>18</v>
      </c>
      <c r="AA20" s="79">
        <f ca="1">IF((W20-1000000-Datos!$N$5)/Z20&gt;0,(W20-1000000-Datos!$N$5)/Z20,0)</f>
        <v>368236.18499999971</v>
      </c>
      <c r="AB20" s="221">
        <f>IF(L20&gt;0,VLOOKUP(D20,Datos!$H$35:$J$38,3,0),VLOOKUP(D20,Datos!$H$35:$J$38,2,0))</f>
        <v>500000</v>
      </c>
      <c r="AC20" s="79">
        <f ca="1">(S20*PMT(Datos!$D$16,Datos!$D$13,-O20,,)*VLOOKUP(TODAY(),'UF HOY'!$A$2:$B$36,2,0)/12)+VLOOKUP(TODAY(),'UF HOY'!$A$2:$B$36,2,0)</f>
        <v>635634.66072500008</v>
      </c>
      <c r="AD20" s="79">
        <f t="shared" ca="1" si="22"/>
        <v>-135634.66072500008</v>
      </c>
      <c r="AE20" s="220">
        <f t="shared" ca="1" si="11"/>
        <v>2542538.6429000003</v>
      </c>
      <c r="AF20" s="45"/>
    </row>
    <row r="21" spans="1:32">
      <c r="A21" s="66" t="s">
        <v>4</v>
      </c>
      <c r="B21" s="66">
        <v>1104</v>
      </c>
      <c r="C21" s="67" t="s">
        <v>122</v>
      </c>
      <c r="D21" s="67" t="s">
        <v>194</v>
      </c>
      <c r="E21" s="67"/>
      <c r="F21" s="66">
        <v>51.28</v>
      </c>
      <c r="G21" s="66">
        <v>5.35</v>
      </c>
      <c r="H21" s="179">
        <f t="shared" si="12"/>
        <v>53.954999999999998</v>
      </c>
      <c r="I21" s="68">
        <f t="shared" si="13"/>
        <v>56.63</v>
      </c>
      <c r="J21" s="69">
        <v>3870</v>
      </c>
      <c r="K21" s="263">
        <v>100</v>
      </c>
      <c r="L21" s="71">
        <v>0</v>
      </c>
      <c r="M21" s="71">
        <v>0</v>
      </c>
      <c r="N21" s="71">
        <f t="shared" si="14"/>
        <v>3204.5</v>
      </c>
      <c r="O21" s="124">
        <f t="shared" si="15"/>
        <v>3770</v>
      </c>
      <c r="P21" s="121">
        <f t="shared" si="16"/>
        <v>59.392085997590584</v>
      </c>
      <c r="Q21" s="101">
        <f t="shared" si="17"/>
        <v>0.15</v>
      </c>
      <c r="R21" s="87">
        <f t="shared" si="18"/>
        <v>565.5</v>
      </c>
      <c r="S21" s="74">
        <v>0.8</v>
      </c>
      <c r="T21" s="75">
        <f t="shared" si="19"/>
        <v>3016</v>
      </c>
      <c r="U21" s="76">
        <f t="shared" si="20"/>
        <v>4.9999999999999961E-2</v>
      </c>
      <c r="V21" s="69">
        <f t="shared" si="21"/>
        <v>188.49999999999986</v>
      </c>
      <c r="W21" s="77">
        <f ca="1">V21*VLOOKUP(TODAY(),'UF HOY'!$A$2:$B$36,2,0)</f>
        <v>7489847.6899999948</v>
      </c>
      <c r="X21" s="78">
        <f>Datos!$E$4</f>
        <v>1</v>
      </c>
      <c r="Y21" s="79">
        <f ca="1">IF((W21-1000000-Datos!$N$5)/X21&gt;0,(W21-1000000-Datos!$N$5)/X21,0)</f>
        <v>6389847.6899999948</v>
      </c>
      <c r="Z21" s="78">
        <f>Datos!$G$4</f>
        <v>18</v>
      </c>
      <c r="AA21" s="79">
        <f ca="1">IF((W21-1000000-Datos!$N$5)/Z21&gt;0,(W21-1000000-Datos!$N$5)/Z21,0)</f>
        <v>354991.53833333304</v>
      </c>
      <c r="AB21" s="221">
        <f>IF(L21&gt;0,VLOOKUP(D21,Datos!$H$35:$J$38,3,0),VLOOKUP(D21,Datos!$H$35:$J$38,2,0))</f>
        <v>500000</v>
      </c>
      <c r="AC21" s="79">
        <f ca="1">(S21*PMT(Datos!$D$16,Datos!$D$13,-O21,,)*VLOOKUP(TODAY(),'UF HOY'!$A$2:$B$36,2,0)/12)+VLOOKUP(TODAY(),'UF HOY'!$A$2:$B$36,2,0)</f>
        <v>617252.11921163253</v>
      </c>
      <c r="AD21" s="79">
        <f t="shared" ca="1" si="22"/>
        <v>-117252.11921163253</v>
      </c>
      <c r="AE21" s="220">
        <f t="shared" ca="1" si="11"/>
        <v>2469008.4768465301</v>
      </c>
      <c r="AF21" s="45"/>
    </row>
    <row r="22" spans="1:32" hidden="1">
      <c r="A22" s="66" t="s">
        <v>171</v>
      </c>
      <c r="B22" s="66">
        <v>606</v>
      </c>
      <c r="C22" s="67" t="s">
        <v>130</v>
      </c>
      <c r="D22" s="67" t="s">
        <v>195</v>
      </c>
      <c r="E22" s="67"/>
      <c r="F22" s="66">
        <v>31.45</v>
      </c>
      <c r="G22" s="66">
        <v>7.35</v>
      </c>
      <c r="H22" s="179">
        <f t="shared" si="12"/>
        <v>35.125</v>
      </c>
      <c r="I22" s="68">
        <f t="shared" si="13"/>
        <v>38.799999999999997</v>
      </c>
      <c r="J22" s="69">
        <v>2850</v>
      </c>
      <c r="K22" s="263">
        <v>100</v>
      </c>
      <c r="L22" s="71">
        <v>0</v>
      </c>
      <c r="M22" s="71">
        <v>80</v>
      </c>
      <c r="N22" s="71">
        <f t="shared" si="14"/>
        <v>2405.5</v>
      </c>
      <c r="O22" s="124">
        <f t="shared" si="15"/>
        <v>2830</v>
      </c>
      <c r="P22" s="121">
        <f t="shared" si="16"/>
        <v>66.206405693950174</v>
      </c>
      <c r="Q22" s="101">
        <f t="shared" si="17"/>
        <v>0.15</v>
      </c>
      <c r="R22" s="87">
        <f t="shared" si="18"/>
        <v>424.5</v>
      </c>
      <c r="S22" s="74">
        <v>0.8</v>
      </c>
      <c r="T22" s="75">
        <f t="shared" si="19"/>
        <v>2264</v>
      </c>
      <c r="U22" s="76">
        <f t="shared" si="20"/>
        <v>4.9999999999999961E-2</v>
      </c>
      <c r="V22" s="69">
        <f t="shared" si="21"/>
        <v>141.49999999999989</v>
      </c>
      <c r="W22" s="77">
        <f ca="1">V22*VLOOKUP(TODAY(),'UF HOY'!$A$2:$B$36,2,0)</f>
        <v>5622352.5099999961</v>
      </c>
      <c r="X22" s="78">
        <f>Datos!$E$4</f>
        <v>1</v>
      </c>
      <c r="Y22" s="79">
        <f ca="1">IF((W22-1000000-Datos!$N$5)/X22&gt;0,(W22-1000000-Datos!$N$5)/X22,0)</f>
        <v>4522352.5099999961</v>
      </c>
      <c r="Z22" s="78">
        <f>Datos!$G$4</f>
        <v>18</v>
      </c>
      <c r="AA22" s="79">
        <f ca="1">IF((W22-1000000-Datos!$N$5)/Z22&gt;0,(W22-1000000-Datos!$N$5)/Z22,0)</f>
        <v>251241.8061111109</v>
      </c>
      <c r="AB22" s="221">
        <f>IF(L22&gt;0,VLOOKUP(D22,Datos!$H$35:$J$38,3,0),VLOOKUP(D22,Datos!$H$35:$J$38,2,0))</f>
        <v>380000</v>
      </c>
      <c r="AC22" s="79">
        <f ca="1">(S22*PMT(Datos!$D$16,Datos!$D$13,-O22,,)*VLOOKUP(TODAY(),'UF HOY'!$A$2:$B$36,2,0)/12)+VLOOKUP(TODAY(),'UF HOY'!$A$2:$B$36,2,0)</f>
        <v>473255.54402358626</v>
      </c>
      <c r="AD22" s="79">
        <f t="shared" ca="1" si="22"/>
        <v>-93255.544023586262</v>
      </c>
      <c r="AE22" s="220">
        <f t="shared" ca="1" si="11"/>
        <v>1893022.176094345</v>
      </c>
      <c r="AF22" s="45"/>
    </row>
    <row r="23" spans="1:32" hidden="1">
      <c r="A23" s="66" t="s">
        <v>171</v>
      </c>
      <c r="B23" s="66">
        <v>613</v>
      </c>
      <c r="C23" s="67" t="s">
        <v>103</v>
      </c>
      <c r="D23" s="67" t="s">
        <v>195</v>
      </c>
      <c r="E23" s="67"/>
      <c r="F23" s="66">
        <v>31.45</v>
      </c>
      <c r="G23" s="66">
        <v>6.95</v>
      </c>
      <c r="H23" s="179">
        <f t="shared" si="12"/>
        <v>34.924999999999997</v>
      </c>
      <c r="I23" s="68">
        <f t="shared" si="13"/>
        <v>38.4</v>
      </c>
      <c r="J23" s="69">
        <v>2850</v>
      </c>
      <c r="K23" s="263">
        <v>100</v>
      </c>
      <c r="L23" s="71">
        <v>0</v>
      </c>
      <c r="M23" s="71">
        <v>0</v>
      </c>
      <c r="N23" s="71">
        <f t="shared" si="14"/>
        <v>2337.5</v>
      </c>
      <c r="O23" s="124">
        <f t="shared" si="15"/>
        <v>2750</v>
      </c>
      <c r="P23" s="121">
        <f t="shared" si="16"/>
        <v>66.929133858267718</v>
      </c>
      <c r="Q23" s="101">
        <f t="shared" si="17"/>
        <v>0.15</v>
      </c>
      <c r="R23" s="87">
        <f t="shared" si="18"/>
        <v>412.5</v>
      </c>
      <c r="S23" s="74">
        <v>0.8</v>
      </c>
      <c r="T23" s="75">
        <f t="shared" si="19"/>
        <v>2200</v>
      </c>
      <c r="U23" s="76">
        <f t="shared" si="20"/>
        <v>4.9999999999999961E-2</v>
      </c>
      <c r="V23" s="69">
        <f t="shared" si="21"/>
        <v>137.49999999999989</v>
      </c>
      <c r="W23" s="77">
        <f ca="1">V23*VLOOKUP(TODAY(),'UF HOY'!$A$2:$B$36,2,0)</f>
        <v>5463416.7499999953</v>
      </c>
      <c r="X23" s="78">
        <f>Datos!$E$4</f>
        <v>1</v>
      </c>
      <c r="Y23" s="79">
        <f ca="1">IF((W23-1000000-Datos!$N$5)/X23&gt;0,(W23-1000000-Datos!$N$5)/X23,0)</f>
        <v>4363416.7499999953</v>
      </c>
      <c r="Z23" s="78">
        <f>Datos!$G$4</f>
        <v>18</v>
      </c>
      <c r="AA23" s="79">
        <f ca="1">IF((W23-1000000-Datos!$N$5)/Z23&gt;0,(W23-1000000-Datos!$N$5)/Z23,0)</f>
        <v>242412.0416666664</v>
      </c>
      <c r="AB23" s="221">
        <f>IF(L23&gt;0,VLOOKUP(D23,Datos!$H$35:$J$38,3,0),VLOOKUP(D23,Datos!$H$35:$J$38,2,0))</f>
        <v>380000</v>
      </c>
      <c r="AC23" s="79">
        <f ca="1">(S23*PMT(Datos!$D$16,Datos!$D$13,-O23,,)*VLOOKUP(TODAY(),'UF HOY'!$A$2:$B$36,2,0)/12)+VLOOKUP(TODAY(),'UF HOY'!$A$2:$B$36,2,0)</f>
        <v>461000.51634800789</v>
      </c>
      <c r="AD23" s="79">
        <f t="shared" ca="1" si="22"/>
        <v>-81000.516348007892</v>
      </c>
      <c r="AE23" s="220">
        <f t="shared" ca="1" si="11"/>
        <v>1844002.0653920316</v>
      </c>
      <c r="AF23" s="45"/>
    </row>
    <row r="24" spans="1:32" hidden="1">
      <c r="A24" s="66" t="s">
        <v>171</v>
      </c>
      <c r="B24" s="66">
        <v>614</v>
      </c>
      <c r="C24" s="67" t="s">
        <v>121</v>
      </c>
      <c r="D24" s="67" t="s">
        <v>194</v>
      </c>
      <c r="E24" s="67"/>
      <c r="F24" s="66">
        <v>47.98</v>
      </c>
      <c r="G24" s="66">
        <v>6.15</v>
      </c>
      <c r="H24" s="179">
        <f t="shared" si="12"/>
        <v>51.055</v>
      </c>
      <c r="I24" s="68">
        <f t="shared" si="13"/>
        <v>54.129999999999995</v>
      </c>
      <c r="J24" s="69">
        <v>3590</v>
      </c>
      <c r="K24" s="263">
        <v>100</v>
      </c>
      <c r="L24" s="71">
        <v>0</v>
      </c>
      <c r="M24" s="71">
        <v>0</v>
      </c>
      <c r="N24" s="71">
        <f t="shared" si="14"/>
        <v>2966.5</v>
      </c>
      <c r="O24" s="124">
        <f t="shared" si="15"/>
        <v>3490</v>
      </c>
      <c r="P24" s="121">
        <f t="shared" si="16"/>
        <v>58.104005484281657</v>
      </c>
      <c r="Q24" s="101">
        <f t="shared" si="17"/>
        <v>0.15</v>
      </c>
      <c r="R24" s="87">
        <f t="shared" si="18"/>
        <v>523.5</v>
      </c>
      <c r="S24" s="74">
        <v>0.8</v>
      </c>
      <c r="T24" s="75">
        <f t="shared" si="19"/>
        <v>2792</v>
      </c>
      <c r="U24" s="76">
        <f t="shared" si="20"/>
        <v>4.9999999999999961E-2</v>
      </c>
      <c r="V24" s="69">
        <f t="shared" si="21"/>
        <v>174.49999999999986</v>
      </c>
      <c r="W24" s="77">
        <f ca="1">V24*VLOOKUP(TODAY(),'UF HOY'!$A$2:$B$36,2,0)</f>
        <v>6933572.5299999947</v>
      </c>
      <c r="X24" s="78">
        <f>Datos!$E$4</f>
        <v>1</v>
      </c>
      <c r="Y24" s="79">
        <f ca="1">IF((W24-1000000-Datos!$N$5)/X24&gt;0,(W24-1000000-Datos!$N$5)/X24,0)</f>
        <v>5833572.5299999947</v>
      </c>
      <c r="Z24" s="78">
        <f>Datos!$G$4</f>
        <v>18</v>
      </c>
      <c r="AA24" s="79">
        <f ca="1">IF((W24-1000000-Datos!$N$5)/Z24&gt;0,(W24-1000000-Datos!$N$5)/Z24,0)</f>
        <v>324087.36277777748</v>
      </c>
      <c r="AB24" s="221">
        <f>IF(L24&gt;0,VLOOKUP(D24,Datos!$H$35:$J$38,3,0),VLOOKUP(D24,Datos!$H$35:$J$38,2,0))</f>
        <v>500000</v>
      </c>
      <c r="AC24" s="79">
        <f ca="1">(S24*PMT(Datos!$D$16,Datos!$D$13,-O24,,)*VLOOKUP(TODAY(),'UF HOY'!$A$2:$B$36,2,0)/12)+VLOOKUP(TODAY(),'UF HOY'!$A$2:$B$36,2,0)</f>
        <v>574359.52234710823</v>
      </c>
      <c r="AD24" s="79">
        <f t="shared" ca="1" si="22"/>
        <v>-74359.522347108228</v>
      </c>
      <c r="AE24" s="220">
        <f t="shared" ca="1" si="11"/>
        <v>2297438.0893884329</v>
      </c>
      <c r="AF24" s="45"/>
    </row>
    <row r="25" spans="1:32" hidden="1">
      <c r="A25" s="66" t="s">
        <v>171</v>
      </c>
      <c r="B25" s="66">
        <v>702</v>
      </c>
      <c r="C25" s="67" t="s">
        <v>129</v>
      </c>
      <c r="D25" s="67" t="s">
        <v>195</v>
      </c>
      <c r="E25" s="67"/>
      <c r="F25" s="66">
        <v>33.14</v>
      </c>
      <c r="G25" s="66">
        <v>7.54</v>
      </c>
      <c r="H25" s="179">
        <f t="shared" si="12"/>
        <v>36.910000000000004</v>
      </c>
      <c r="I25" s="68">
        <f t="shared" si="13"/>
        <v>40.68</v>
      </c>
      <c r="J25" s="69">
        <v>2850</v>
      </c>
      <c r="K25" s="263">
        <v>100</v>
      </c>
      <c r="L25" s="71">
        <v>0</v>
      </c>
      <c r="M25" s="71">
        <v>0</v>
      </c>
      <c r="N25" s="71">
        <f t="shared" si="14"/>
        <v>2337.5</v>
      </c>
      <c r="O25" s="124">
        <f t="shared" si="15"/>
        <v>2750</v>
      </c>
      <c r="P25" s="121">
        <f t="shared" si="16"/>
        <v>63.329720942833916</v>
      </c>
      <c r="Q25" s="101">
        <f t="shared" si="17"/>
        <v>0.15</v>
      </c>
      <c r="R25" s="87">
        <f t="shared" si="18"/>
        <v>412.5</v>
      </c>
      <c r="S25" s="74">
        <v>0.8</v>
      </c>
      <c r="T25" s="75">
        <f t="shared" si="19"/>
        <v>2200</v>
      </c>
      <c r="U25" s="76">
        <f t="shared" si="20"/>
        <v>4.9999999999999961E-2</v>
      </c>
      <c r="V25" s="69">
        <f t="shared" si="21"/>
        <v>137.49999999999989</v>
      </c>
      <c r="W25" s="77">
        <f ca="1">V25*VLOOKUP(TODAY(),'UF HOY'!$A$2:$B$36,2,0)</f>
        <v>5463416.7499999953</v>
      </c>
      <c r="X25" s="78">
        <f>Datos!$E$4</f>
        <v>1</v>
      </c>
      <c r="Y25" s="79">
        <f ca="1">IF((W25-1000000-Datos!$N$5)/X25&gt;0,(W25-1000000-Datos!$N$5)/X25,0)</f>
        <v>4363416.7499999953</v>
      </c>
      <c r="Z25" s="78">
        <f>Datos!$G$4</f>
        <v>18</v>
      </c>
      <c r="AA25" s="79">
        <f ca="1">IF((W25-1000000-Datos!$N$5)/Z25&gt;0,(W25-1000000-Datos!$N$5)/Z25,0)</f>
        <v>242412.0416666664</v>
      </c>
      <c r="AB25" s="221">
        <f>IF(L25&gt;0,VLOOKUP(D25,Datos!$H$35:$J$38,3,0),VLOOKUP(D25,Datos!$H$35:$J$38,2,0))</f>
        <v>380000</v>
      </c>
      <c r="AC25" s="79">
        <f ca="1">(S25*PMT(Datos!$D$16,Datos!$D$13,-O25,,)*VLOOKUP(TODAY(),'UF HOY'!$A$2:$B$36,2,0)/12)+VLOOKUP(TODAY(),'UF HOY'!$A$2:$B$36,2,0)</f>
        <v>461000.51634800789</v>
      </c>
      <c r="AD25" s="79">
        <f t="shared" ca="1" si="22"/>
        <v>-81000.516348007892</v>
      </c>
      <c r="AE25" s="220">
        <f t="shared" ca="1" si="11"/>
        <v>1844002.0653920316</v>
      </c>
      <c r="AF25" s="45"/>
    </row>
    <row r="26" spans="1:32">
      <c r="A26" s="66" t="s">
        <v>4</v>
      </c>
      <c r="B26" s="66">
        <v>105</v>
      </c>
      <c r="C26" s="67" t="s">
        <v>123</v>
      </c>
      <c r="D26" s="67" t="s">
        <v>194</v>
      </c>
      <c r="E26" s="67"/>
      <c r="F26" s="66">
        <v>55.01</v>
      </c>
      <c r="G26" s="66">
        <v>11.100000000000001</v>
      </c>
      <c r="H26" s="179">
        <f t="shared" si="12"/>
        <v>60.56</v>
      </c>
      <c r="I26" s="68">
        <f t="shared" si="13"/>
        <v>66.11</v>
      </c>
      <c r="J26" s="69">
        <v>3990</v>
      </c>
      <c r="K26" s="263">
        <v>100</v>
      </c>
      <c r="L26" s="71">
        <v>0</v>
      </c>
      <c r="M26" s="71">
        <v>0</v>
      </c>
      <c r="N26" s="71">
        <f t="shared" si="14"/>
        <v>3306.5</v>
      </c>
      <c r="O26" s="124">
        <f t="shared" si="15"/>
        <v>3890</v>
      </c>
      <c r="P26" s="121">
        <f t="shared" si="16"/>
        <v>54.598745046235138</v>
      </c>
      <c r="Q26" s="101">
        <f t="shared" si="17"/>
        <v>0.15</v>
      </c>
      <c r="R26" s="87">
        <f t="shared" si="18"/>
        <v>583.5</v>
      </c>
      <c r="S26" s="74">
        <v>0.8</v>
      </c>
      <c r="T26" s="75">
        <f t="shared" si="19"/>
        <v>3112</v>
      </c>
      <c r="U26" s="76">
        <f t="shared" si="20"/>
        <v>4.9999999999999961E-2</v>
      </c>
      <c r="V26" s="69">
        <f t="shared" si="21"/>
        <v>194.49999999999986</v>
      </c>
      <c r="W26" s="77">
        <f ca="1">V26*VLOOKUP(TODAY(),'UF HOY'!$A$2:$B$36,2,0)</f>
        <v>7728251.3299999945</v>
      </c>
      <c r="X26" s="78">
        <f>Datos!$E$4</f>
        <v>1</v>
      </c>
      <c r="Y26" s="79">
        <f ca="1">IF((W26-1000000-Datos!$N$5)/X26&gt;0,(W26-1000000-Datos!$N$5)/X26,0)</f>
        <v>6628251.3299999945</v>
      </c>
      <c r="Z26" s="78">
        <f>Datos!$G$4</f>
        <v>18</v>
      </c>
      <c r="AA26" s="79">
        <f ca="1">IF((W26-1000000-Datos!$N$5)/Z26&gt;0,(W26-1000000-Datos!$N$5)/Z26,0)</f>
        <v>368236.18499999971</v>
      </c>
      <c r="AB26" s="221">
        <f>IF(L26&gt;0,VLOOKUP(D26,Datos!$H$35:$J$38,3,0),VLOOKUP(D26,Datos!$H$35:$J$38,2,0))</f>
        <v>500000</v>
      </c>
      <c r="AC26" s="79">
        <f ca="1">(S26*PMT(Datos!$D$16,Datos!$D$13,-O26,,)*VLOOKUP(TODAY(),'UF HOY'!$A$2:$B$36,2,0)/12)+VLOOKUP(TODAY(),'UF HOY'!$A$2:$B$36,2,0)</f>
        <v>635634.66072500008</v>
      </c>
      <c r="AD26" s="79">
        <f t="shared" ca="1" si="22"/>
        <v>-135634.66072500008</v>
      </c>
      <c r="AE26" s="220">
        <f t="shared" ca="1" si="11"/>
        <v>2542538.6429000003</v>
      </c>
      <c r="AF26" s="45"/>
    </row>
    <row r="27" spans="1:32" hidden="1">
      <c r="A27" s="66" t="s">
        <v>171</v>
      </c>
      <c r="B27" s="66">
        <v>711</v>
      </c>
      <c r="C27" s="67" t="s">
        <v>103</v>
      </c>
      <c r="D27" s="67" t="s">
        <v>195</v>
      </c>
      <c r="E27" s="67"/>
      <c r="F27" s="66">
        <v>31.45</v>
      </c>
      <c r="G27" s="66">
        <v>6.69</v>
      </c>
      <c r="H27" s="179">
        <f t="shared" si="12"/>
        <v>34.795000000000002</v>
      </c>
      <c r="I27" s="68">
        <f t="shared" si="13"/>
        <v>38.14</v>
      </c>
      <c r="J27" s="69">
        <v>2850</v>
      </c>
      <c r="K27" s="263">
        <v>100</v>
      </c>
      <c r="L27" s="71">
        <v>0</v>
      </c>
      <c r="M27" s="71">
        <v>0</v>
      </c>
      <c r="N27" s="71">
        <f t="shared" si="14"/>
        <v>2337.5</v>
      </c>
      <c r="O27" s="124">
        <f t="shared" si="15"/>
        <v>2750</v>
      </c>
      <c r="P27" s="121">
        <f t="shared" si="16"/>
        <v>67.179192412702974</v>
      </c>
      <c r="Q27" s="101">
        <f t="shared" si="17"/>
        <v>0.15</v>
      </c>
      <c r="R27" s="87">
        <f t="shared" si="18"/>
        <v>412.5</v>
      </c>
      <c r="S27" s="74">
        <v>0.8</v>
      </c>
      <c r="T27" s="75">
        <f t="shared" si="19"/>
        <v>2200</v>
      </c>
      <c r="U27" s="76">
        <f t="shared" si="20"/>
        <v>4.9999999999999961E-2</v>
      </c>
      <c r="V27" s="69">
        <f t="shared" si="21"/>
        <v>137.49999999999989</v>
      </c>
      <c r="W27" s="77">
        <f ca="1">V27*VLOOKUP(TODAY(),'UF HOY'!$A$2:$B$36,2,0)</f>
        <v>5463416.7499999953</v>
      </c>
      <c r="X27" s="78">
        <f>Datos!$E$4</f>
        <v>1</v>
      </c>
      <c r="Y27" s="79">
        <f ca="1">IF((W27-1000000-Datos!$N$5)/X27&gt;0,(W27-1000000-Datos!$N$5)/X27,0)</f>
        <v>4363416.7499999953</v>
      </c>
      <c r="Z27" s="78">
        <f>Datos!$G$4</f>
        <v>18</v>
      </c>
      <c r="AA27" s="79">
        <f ca="1">IF((W27-1000000-Datos!$N$5)/Z27&gt;0,(W27-1000000-Datos!$N$5)/Z27,0)</f>
        <v>242412.0416666664</v>
      </c>
      <c r="AB27" s="221">
        <f>IF(L27&gt;0,VLOOKUP(D27,Datos!$H$35:$J$38,3,0),VLOOKUP(D27,Datos!$H$35:$J$38,2,0))</f>
        <v>380000</v>
      </c>
      <c r="AC27" s="79">
        <f ca="1">(S27*PMT(Datos!$D$16,Datos!$D$13,-O27,,)*VLOOKUP(TODAY(),'UF HOY'!$A$2:$B$36,2,0)/12)+VLOOKUP(TODAY(),'UF HOY'!$A$2:$B$36,2,0)</f>
        <v>461000.51634800789</v>
      </c>
      <c r="AD27" s="79">
        <f t="shared" ca="1" si="22"/>
        <v>-81000.516348007892</v>
      </c>
      <c r="AE27" s="220">
        <f t="shared" ca="1" si="11"/>
        <v>1844002.0653920316</v>
      </c>
      <c r="AF27" s="45"/>
    </row>
    <row r="28" spans="1:32" hidden="1">
      <c r="A28" s="66" t="s">
        <v>171</v>
      </c>
      <c r="B28" s="66">
        <v>803</v>
      </c>
      <c r="C28" s="67" t="s">
        <v>129</v>
      </c>
      <c r="D28" s="67" t="s">
        <v>195</v>
      </c>
      <c r="E28" s="67"/>
      <c r="F28" s="66">
        <v>32.51</v>
      </c>
      <c r="G28" s="66">
        <v>7.4</v>
      </c>
      <c r="H28" s="179">
        <f t="shared" si="12"/>
        <v>36.21</v>
      </c>
      <c r="I28" s="68">
        <f t="shared" si="13"/>
        <v>39.909999999999997</v>
      </c>
      <c r="J28" s="69">
        <v>2850</v>
      </c>
      <c r="K28" s="263">
        <v>100</v>
      </c>
      <c r="L28" s="71">
        <v>0</v>
      </c>
      <c r="M28" s="71">
        <v>0</v>
      </c>
      <c r="N28" s="71">
        <f t="shared" si="14"/>
        <v>2337.5</v>
      </c>
      <c r="O28" s="124">
        <f t="shared" si="15"/>
        <v>2750</v>
      </c>
      <c r="P28" s="121">
        <f t="shared" si="16"/>
        <v>64.55399061032864</v>
      </c>
      <c r="Q28" s="101">
        <f t="shared" si="17"/>
        <v>0.15</v>
      </c>
      <c r="R28" s="87">
        <f t="shared" si="18"/>
        <v>412.5</v>
      </c>
      <c r="S28" s="74">
        <v>0.8</v>
      </c>
      <c r="T28" s="75">
        <f t="shared" si="19"/>
        <v>2200</v>
      </c>
      <c r="U28" s="76">
        <f t="shared" si="20"/>
        <v>4.9999999999999961E-2</v>
      </c>
      <c r="V28" s="69">
        <f t="shared" si="21"/>
        <v>137.49999999999989</v>
      </c>
      <c r="W28" s="77">
        <f ca="1">V28*VLOOKUP(TODAY(),'UF HOY'!$A$2:$B$36,2,0)</f>
        <v>5463416.7499999953</v>
      </c>
      <c r="X28" s="78">
        <f>Datos!$E$4</f>
        <v>1</v>
      </c>
      <c r="Y28" s="79">
        <f ca="1">IF((W28-1000000-Datos!$N$5)/X28&gt;0,(W28-1000000-Datos!$N$5)/X28,0)</f>
        <v>4363416.7499999953</v>
      </c>
      <c r="Z28" s="78">
        <f>Datos!$G$4</f>
        <v>18</v>
      </c>
      <c r="AA28" s="79">
        <f ca="1">IF((W28-1000000-Datos!$N$5)/Z28&gt;0,(W28-1000000-Datos!$N$5)/Z28,0)</f>
        <v>242412.0416666664</v>
      </c>
      <c r="AB28" s="221">
        <f>IF(L28&gt;0,VLOOKUP(D28,Datos!$H$35:$J$38,3,0),VLOOKUP(D28,Datos!$H$35:$J$38,2,0))</f>
        <v>380000</v>
      </c>
      <c r="AC28" s="79">
        <f ca="1">(S28*PMT(Datos!$D$16,Datos!$D$13,-O28,,)*VLOOKUP(TODAY(),'UF HOY'!$A$2:$B$36,2,0)/12)+VLOOKUP(TODAY(),'UF HOY'!$A$2:$B$36,2,0)</f>
        <v>461000.51634800789</v>
      </c>
      <c r="AD28" s="79">
        <f t="shared" ca="1" si="22"/>
        <v>-81000.516348007892</v>
      </c>
      <c r="AE28" s="220">
        <f t="shared" ca="1" si="11"/>
        <v>1844002.0653920316</v>
      </c>
      <c r="AF28" s="45"/>
    </row>
    <row r="29" spans="1:32">
      <c r="A29" s="66" t="s">
        <v>4</v>
      </c>
      <c r="B29" s="66">
        <v>209</v>
      </c>
      <c r="C29" s="67" t="s">
        <v>124</v>
      </c>
      <c r="D29" s="67" t="s">
        <v>194</v>
      </c>
      <c r="E29" s="67"/>
      <c r="F29" s="66">
        <v>55.73</v>
      </c>
      <c r="G29" s="66">
        <v>9.4599999999999991</v>
      </c>
      <c r="H29" s="179">
        <f t="shared" si="12"/>
        <v>60.459999999999994</v>
      </c>
      <c r="I29" s="68">
        <f t="shared" si="13"/>
        <v>65.19</v>
      </c>
      <c r="J29" s="69">
        <v>3990</v>
      </c>
      <c r="K29" s="263">
        <v>100</v>
      </c>
      <c r="L29" s="71">
        <v>0</v>
      </c>
      <c r="M29" s="71">
        <v>0</v>
      </c>
      <c r="N29" s="71">
        <f t="shared" si="14"/>
        <v>3306.5</v>
      </c>
      <c r="O29" s="124">
        <f t="shared" si="15"/>
        <v>3890</v>
      </c>
      <c r="P29" s="121">
        <f t="shared" si="16"/>
        <v>54.689050611974864</v>
      </c>
      <c r="Q29" s="101">
        <f t="shared" si="17"/>
        <v>0.15</v>
      </c>
      <c r="R29" s="87">
        <f t="shared" si="18"/>
        <v>583.5</v>
      </c>
      <c r="S29" s="74">
        <v>0.8</v>
      </c>
      <c r="T29" s="75">
        <f t="shared" si="19"/>
        <v>3112</v>
      </c>
      <c r="U29" s="76">
        <f t="shared" si="20"/>
        <v>4.9999999999999961E-2</v>
      </c>
      <c r="V29" s="69">
        <f t="shared" si="21"/>
        <v>194.49999999999986</v>
      </c>
      <c r="W29" s="77">
        <f ca="1">V29*VLOOKUP(TODAY(),'UF HOY'!$A$2:$B$36,2,0)</f>
        <v>7728251.3299999945</v>
      </c>
      <c r="X29" s="78">
        <f>Datos!$E$4</f>
        <v>1</v>
      </c>
      <c r="Y29" s="79">
        <f ca="1">IF((W29-1000000-Datos!$N$5)/X29&gt;0,(W29-1000000-Datos!$N$5)/X29,0)</f>
        <v>6628251.3299999945</v>
      </c>
      <c r="Z29" s="78">
        <f>Datos!$G$4</f>
        <v>18</v>
      </c>
      <c r="AA29" s="79">
        <f ca="1">IF((W29-1000000-Datos!$N$5)/Z29&gt;0,(W29-1000000-Datos!$N$5)/Z29,0)</f>
        <v>368236.18499999971</v>
      </c>
      <c r="AB29" s="221">
        <f>IF(L29&gt;0,VLOOKUP(D29,Datos!$H$35:$J$38,3,0),VLOOKUP(D29,Datos!$H$35:$J$38,2,0))</f>
        <v>500000</v>
      </c>
      <c r="AC29" s="79">
        <f ca="1">(S29*PMT(Datos!$D$16,Datos!$D$13,-O29,,)*VLOOKUP(TODAY(),'UF HOY'!$A$2:$B$36,2,0)/12)+VLOOKUP(TODAY(),'UF HOY'!$A$2:$B$36,2,0)</f>
        <v>635634.66072500008</v>
      </c>
      <c r="AD29" s="79">
        <f t="shared" ca="1" si="22"/>
        <v>-135634.66072500008</v>
      </c>
      <c r="AE29" s="220">
        <f t="shared" ca="1" si="11"/>
        <v>2542538.6429000003</v>
      </c>
      <c r="AF29" s="45"/>
    </row>
    <row r="30" spans="1:32" hidden="1">
      <c r="A30" s="66" t="s">
        <v>171</v>
      </c>
      <c r="B30" s="66">
        <v>905</v>
      </c>
      <c r="C30" s="67" t="s">
        <v>123</v>
      </c>
      <c r="D30" s="67" t="s">
        <v>194</v>
      </c>
      <c r="E30" s="67"/>
      <c r="F30" s="66">
        <v>55.01</v>
      </c>
      <c r="G30" s="66">
        <v>11.100000000000001</v>
      </c>
      <c r="H30" s="179">
        <f t="shared" si="12"/>
        <v>60.56</v>
      </c>
      <c r="I30" s="68">
        <f t="shared" si="13"/>
        <v>66.11</v>
      </c>
      <c r="J30" s="69">
        <v>3990</v>
      </c>
      <c r="K30" s="263">
        <v>100</v>
      </c>
      <c r="L30" s="71">
        <v>0</v>
      </c>
      <c r="M30" s="71">
        <v>0</v>
      </c>
      <c r="N30" s="71">
        <f t="shared" si="14"/>
        <v>3306.5</v>
      </c>
      <c r="O30" s="124">
        <f t="shared" si="15"/>
        <v>3890</v>
      </c>
      <c r="P30" s="121">
        <f t="shared" si="16"/>
        <v>54.598745046235138</v>
      </c>
      <c r="Q30" s="101">
        <f t="shared" si="17"/>
        <v>0.15</v>
      </c>
      <c r="R30" s="87">
        <f t="shared" si="18"/>
        <v>583.5</v>
      </c>
      <c r="S30" s="74">
        <v>0.85</v>
      </c>
      <c r="T30" s="75">
        <f t="shared" si="19"/>
        <v>3306.5</v>
      </c>
      <c r="U30" s="76">
        <f t="shared" si="20"/>
        <v>0</v>
      </c>
      <c r="V30" s="69">
        <f t="shared" si="21"/>
        <v>0</v>
      </c>
      <c r="W30" s="77">
        <f ca="1">V30*VLOOKUP(TODAY(),'UF HOY'!$A$2:$B$36,2,0)</f>
        <v>0</v>
      </c>
      <c r="X30" s="78">
        <f>Datos!$E$4</f>
        <v>1</v>
      </c>
      <c r="Y30" s="79">
        <f ca="1">IF((W30-1000000-Datos!$N$5)/X30&gt;0,(W30-1000000-Datos!$N$5)/X30,0)</f>
        <v>0</v>
      </c>
      <c r="Z30" s="78">
        <f>Datos!$G$4</f>
        <v>18</v>
      </c>
      <c r="AA30" s="79">
        <f ca="1">IF((W30-1000000-Datos!$N$5)/Z30&gt;0,(W30-1000000-Datos!$N$5)/Z30,0)</f>
        <v>0</v>
      </c>
      <c r="AB30" s="221">
        <f>IF(L30&gt;0,VLOOKUP(D30,Datos!$H$35:$J$38,3,0),VLOOKUP(D30,Datos!$H$35:$J$38,2,0))</f>
        <v>500000</v>
      </c>
      <c r="AC30" s="79">
        <f ca="1">(S30*PMT(Datos!$D$16,Datos!$D$13,-O30,,)*VLOOKUP(TODAY(),'UF HOY'!$A$2:$B$36,2,0)/12)+VLOOKUP(TODAY(),'UF HOY'!$A$2:$B$36,2,0)</f>
        <v>672878.45577031258</v>
      </c>
      <c r="AD30" s="79">
        <f t="shared" ca="1" si="22"/>
        <v>-172878.45577031258</v>
      </c>
      <c r="AE30" s="220">
        <f t="shared" ca="1" si="11"/>
        <v>2691513.8230812503</v>
      </c>
      <c r="AF30" s="45"/>
    </row>
    <row r="31" spans="1:32" hidden="1">
      <c r="A31" s="66" t="s">
        <v>171</v>
      </c>
      <c r="B31" s="66">
        <v>909</v>
      </c>
      <c r="C31" s="67" t="s">
        <v>124</v>
      </c>
      <c r="D31" s="67" t="s">
        <v>194</v>
      </c>
      <c r="E31" s="67"/>
      <c r="F31" s="66">
        <v>55.73</v>
      </c>
      <c r="G31" s="66">
        <v>9.4599999999999991</v>
      </c>
      <c r="H31" s="179">
        <f t="shared" si="12"/>
        <v>60.459999999999994</v>
      </c>
      <c r="I31" s="68">
        <f t="shared" si="13"/>
        <v>65.19</v>
      </c>
      <c r="J31" s="69">
        <v>3990</v>
      </c>
      <c r="K31" s="263">
        <v>100</v>
      </c>
      <c r="L31" s="71">
        <v>0</v>
      </c>
      <c r="M31" s="71">
        <v>0</v>
      </c>
      <c r="N31" s="71">
        <f t="shared" si="14"/>
        <v>3306.5</v>
      </c>
      <c r="O31" s="124">
        <f t="shared" si="15"/>
        <v>3890</v>
      </c>
      <c r="P31" s="121">
        <f t="shared" si="16"/>
        <v>54.689050611974864</v>
      </c>
      <c r="Q31" s="101">
        <f t="shared" si="17"/>
        <v>0.15</v>
      </c>
      <c r="R31" s="87">
        <f t="shared" si="18"/>
        <v>583.5</v>
      </c>
      <c r="S31" s="74">
        <v>0.8</v>
      </c>
      <c r="T31" s="75">
        <f t="shared" si="19"/>
        <v>3112</v>
      </c>
      <c r="U31" s="76">
        <f t="shared" si="20"/>
        <v>4.9999999999999961E-2</v>
      </c>
      <c r="V31" s="69">
        <f t="shared" si="21"/>
        <v>194.49999999999986</v>
      </c>
      <c r="W31" s="77">
        <f ca="1">V31*VLOOKUP(TODAY(),'UF HOY'!$A$2:$B$36,2,0)</f>
        <v>7728251.3299999945</v>
      </c>
      <c r="X31" s="78">
        <f>Datos!$E$4</f>
        <v>1</v>
      </c>
      <c r="Y31" s="79">
        <f ca="1">IF((W31-1000000-Datos!$N$5)/X31&gt;0,(W31-1000000-Datos!$N$5)/X31,0)</f>
        <v>6628251.3299999945</v>
      </c>
      <c r="Z31" s="78">
        <f>Datos!$G$4</f>
        <v>18</v>
      </c>
      <c r="AA31" s="79">
        <f ca="1">IF((W31-1000000-Datos!$N$5)/Z31&gt;0,(W31-1000000-Datos!$N$5)/Z31,0)</f>
        <v>368236.18499999971</v>
      </c>
      <c r="AB31" s="221">
        <f>IF(L31&gt;0,VLOOKUP(D31,Datos!$H$35:$J$38,3,0),VLOOKUP(D31,Datos!$H$35:$J$38,2,0))</f>
        <v>500000</v>
      </c>
      <c r="AC31" s="79">
        <f ca="1">(S31*PMT(Datos!$D$16,Datos!$D$13,-O31,,)*VLOOKUP(TODAY(),'UF HOY'!$A$2:$B$36,2,0)/12)+VLOOKUP(TODAY(),'UF HOY'!$A$2:$B$36,2,0)</f>
        <v>635634.66072500008</v>
      </c>
      <c r="AD31" s="79">
        <f t="shared" ca="1" si="22"/>
        <v>-135634.66072500008</v>
      </c>
      <c r="AE31" s="220">
        <f t="shared" ca="1" si="11"/>
        <v>2542538.6429000003</v>
      </c>
      <c r="AF31" s="45"/>
    </row>
    <row r="32" spans="1:32" hidden="1">
      <c r="A32" s="66" t="s">
        <v>171</v>
      </c>
      <c r="B32" s="66">
        <v>911</v>
      </c>
      <c r="C32" s="67" t="s">
        <v>103</v>
      </c>
      <c r="D32" s="67" t="s">
        <v>195</v>
      </c>
      <c r="E32" s="67"/>
      <c r="F32" s="66">
        <v>31.45</v>
      </c>
      <c r="G32" s="66">
        <v>6.69</v>
      </c>
      <c r="H32" s="179">
        <f t="shared" si="12"/>
        <v>34.795000000000002</v>
      </c>
      <c r="I32" s="68">
        <f t="shared" si="13"/>
        <v>38.14</v>
      </c>
      <c r="J32" s="69">
        <v>2850</v>
      </c>
      <c r="K32" s="263">
        <v>100</v>
      </c>
      <c r="L32" s="71">
        <v>0</v>
      </c>
      <c r="M32" s="71">
        <v>0</v>
      </c>
      <c r="N32" s="71">
        <f t="shared" si="14"/>
        <v>2337.5</v>
      </c>
      <c r="O32" s="124">
        <f t="shared" si="15"/>
        <v>2750</v>
      </c>
      <c r="P32" s="121">
        <f t="shared" si="16"/>
        <v>67.179192412702974</v>
      </c>
      <c r="Q32" s="101">
        <f t="shared" si="17"/>
        <v>0.15</v>
      </c>
      <c r="R32" s="87">
        <f t="shared" si="18"/>
        <v>412.5</v>
      </c>
      <c r="S32" s="74">
        <v>0.8</v>
      </c>
      <c r="T32" s="75">
        <f t="shared" si="19"/>
        <v>2200</v>
      </c>
      <c r="U32" s="76">
        <f t="shared" si="20"/>
        <v>4.9999999999999961E-2</v>
      </c>
      <c r="V32" s="69">
        <f t="shared" si="21"/>
        <v>137.49999999999989</v>
      </c>
      <c r="W32" s="77">
        <f ca="1">V32*VLOOKUP(TODAY(),'UF HOY'!$A$2:$B$36,2,0)</f>
        <v>5463416.7499999953</v>
      </c>
      <c r="X32" s="78">
        <f>Datos!$E$4</f>
        <v>1</v>
      </c>
      <c r="Y32" s="79">
        <f ca="1">IF((W32-1000000-Datos!$N$5)/X32&gt;0,(W32-1000000-Datos!$N$5)/X32,0)</f>
        <v>4363416.7499999953</v>
      </c>
      <c r="Z32" s="78">
        <f>Datos!$G$4</f>
        <v>18</v>
      </c>
      <c r="AA32" s="79">
        <f ca="1">IF((W32-1000000-Datos!$N$5)/Z32&gt;0,(W32-1000000-Datos!$N$5)/Z32,0)</f>
        <v>242412.0416666664</v>
      </c>
      <c r="AB32" s="221">
        <f>IF(L32&gt;0,VLOOKUP(D32,Datos!$H$35:$J$38,3,0),VLOOKUP(D32,Datos!$H$35:$J$38,2,0))</f>
        <v>380000</v>
      </c>
      <c r="AC32" s="79">
        <f ca="1">(S32*PMT(Datos!$D$16,Datos!$D$13,-O32,,)*VLOOKUP(TODAY(),'UF HOY'!$A$2:$B$36,2,0)/12)+VLOOKUP(TODAY(),'UF HOY'!$A$2:$B$36,2,0)</f>
        <v>461000.51634800789</v>
      </c>
      <c r="AD32" s="79">
        <f t="shared" ca="1" si="22"/>
        <v>-81000.516348007892</v>
      </c>
      <c r="AE32" s="220">
        <f t="shared" ca="1" si="11"/>
        <v>1844002.0653920316</v>
      </c>
      <c r="AF32" s="45"/>
    </row>
    <row r="33" spans="1:32" hidden="1">
      <c r="A33" s="66" t="s">
        <v>171</v>
      </c>
      <c r="B33" s="66">
        <v>916</v>
      </c>
      <c r="C33" s="67" t="s">
        <v>131</v>
      </c>
      <c r="D33" s="67" t="s">
        <v>195</v>
      </c>
      <c r="E33" s="67"/>
      <c r="F33" s="66">
        <v>31.45</v>
      </c>
      <c r="G33" s="66">
        <v>6.72</v>
      </c>
      <c r="H33" s="179">
        <f t="shared" si="12"/>
        <v>34.81</v>
      </c>
      <c r="I33" s="68">
        <f t="shared" si="13"/>
        <v>38.17</v>
      </c>
      <c r="J33" s="69">
        <v>2990</v>
      </c>
      <c r="K33" s="263">
        <v>100</v>
      </c>
      <c r="L33" s="71">
        <v>0</v>
      </c>
      <c r="M33" s="71">
        <v>0</v>
      </c>
      <c r="N33" s="71">
        <f t="shared" si="14"/>
        <v>2456.5</v>
      </c>
      <c r="O33" s="124">
        <f t="shared" si="15"/>
        <v>2890</v>
      </c>
      <c r="P33" s="121">
        <f t="shared" si="16"/>
        <v>70.568802068371156</v>
      </c>
      <c r="Q33" s="101">
        <f t="shared" si="17"/>
        <v>0.15</v>
      </c>
      <c r="R33" s="87">
        <f t="shared" si="18"/>
        <v>433.5</v>
      </c>
      <c r="S33" s="74">
        <v>0.8</v>
      </c>
      <c r="T33" s="75">
        <f t="shared" si="19"/>
        <v>2312</v>
      </c>
      <c r="U33" s="76">
        <f t="shared" si="20"/>
        <v>4.9999999999999961E-2</v>
      </c>
      <c r="V33" s="69">
        <f t="shared" si="21"/>
        <v>144.49999999999989</v>
      </c>
      <c r="W33" s="77">
        <f ca="1">V33*VLOOKUP(TODAY(),'UF HOY'!$A$2:$B$36,2,0)</f>
        <v>5741554.3299999954</v>
      </c>
      <c r="X33" s="78">
        <f>Datos!$E$4</f>
        <v>1</v>
      </c>
      <c r="Y33" s="79">
        <f ca="1">IF((W33-1000000-Datos!$N$5)/X33&gt;0,(W33-1000000-Datos!$N$5)/X33,0)</f>
        <v>4641554.3299999954</v>
      </c>
      <c r="Z33" s="78">
        <f>Datos!$G$4</f>
        <v>18</v>
      </c>
      <c r="AA33" s="79">
        <f ca="1">IF((W33-1000000-Datos!$N$5)/Z33&gt;0,(W33-1000000-Datos!$N$5)/Z33,0)</f>
        <v>257864.1294444442</v>
      </c>
      <c r="AB33" s="221">
        <f>IF(L33&gt;0,VLOOKUP(D33,Datos!$H$35:$J$38,3,0),VLOOKUP(D33,Datos!$H$35:$J$38,2,0))</f>
        <v>380000</v>
      </c>
      <c r="AC33" s="79">
        <f ca="1">(S33*PMT(Datos!$D$16,Datos!$D$13,-O33,,)*VLOOKUP(TODAY(),'UF HOY'!$A$2:$B$36,2,0)/12)+VLOOKUP(TODAY(),'UF HOY'!$A$2:$B$36,2,0)</f>
        <v>482446.8147802701</v>
      </c>
      <c r="AD33" s="79">
        <f t="shared" ca="1" si="22"/>
        <v>-102446.8147802701</v>
      </c>
      <c r="AE33" s="220">
        <f t="shared" ca="1" si="11"/>
        <v>1929787.2591210804</v>
      </c>
      <c r="AF33" s="45"/>
    </row>
    <row r="34" spans="1:32" hidden="1">
      <c r="A34" s="66" t="s">
        <v>171</v>
      </c>
      <c r="B34" s="66">
        <v>1003</v>
      </c>
      <c r="C34" s="67" t="s">
        <v>129</v>
      </c>
      <c r="D34" s="67" t="s">
        <v>195</v>
      </c>
      <c r="E34" s="67"/>
      <c r="F34" s="66">
        <v>32.51</v>
      </c>
      <c r="G34" s="66">
        <v>7.4</v>
      </c>
      <c r="H34" s="179">
        <f t="shared" si="12"/>
        <v>36.21</v>
      </c>
      <c r="I34" s="68">
        <f t="shared" si="13"/>
        <v>39.909999999999997</v>
      </c>
      <c r="J34" s="69">
        <v>2850</v>
      </c>
      <c r="K34" s="263">
        <v>100</v>
      </c>
      <c r="L34" s="71">
        <v>0</v>
      </c>
      <c r="M34" s="71">
        <v>0</v>
      </c>
      <c r="N34" s="71">
        <f t="shared" si="14"/>
        <v>2337.5</v>
      </c>
      <c r="O34" s="124">
        <f t="shared" si="15"/>
        <v>2750</v>
      </c>
      <c r="P34" s="121">
        <f t="shared" si="16"/>
        <v>64.55399061032864</v>
      </c>
      <c r="Q34" s="101">
        <f t="shared" si="17"/>
        <v>0.15</v>
      </c>
      <c r="R34" s="87">
        <f t="shared" si="18"/>
        <v>412.5</v>
      </c>
      <c r="S34" s="74">
        <v>0.8</v>
      </c>
      <c r="T34" s="75">
        <f t="shared" si="19"/>
        <v>2200</v>
      </c>
      <c r="U34" s="76">
        <f t="shared" si="20"/>
        <v>4.9999999999999961E-2</v>
      </c>
      <c r="V34" s="69">
        <f t="shared" si="21"/>
        <v>137.49999999999989</v>
      </c>
      <c r="W34" s="77">
        <f ca="1">V34*VLOOKUP(TODAY(),'UF HOY'!$A$2:$B$36,2,0)</f>
        <v>5463416.7499999953</v>
      </c>
      <c r="X34" s="78">
        <f>Datos!$E$4</f>
        <v>1</v>
      </c>
      <c r="Y34" s="79">
        <f ca="1">IF((W34-1000000-Datos!$N$5)/X34&gt;0,(W34-1000000-Datos!$N$5)/X34,0)</f>
        <v>4363416.7499999953</v>
      </c>
      <c r="Z34" s="78">
        <f>Datos!$G$4</f>
        <v>18</v>
      </c>
      <c r="AA34" s="79">
        <f ca="1">IF((W34-1000000-Datos!$N$5)/Z34&gt;0,(W34-1000000-Datos!$N$5)/Z34,0)</f>
        <v>242412.0416666664</v>
      </c>
      <c r="AB34" s="221">
        <f>IF(L34&gt;0,VLOOKUP(D34,Datos!$H$35:$J$38,3,0),VLOOKUP(D34,Datos!$H$35:$J$38,2,0))</f>
        <v>380000</v>
      </c>
      <c r="AC34" s="79">
        <f ca="1">(S34*PMT(Datos!$D$16,Datos!$D$13,-O34,,)*VLOOKUP(TODAY(),'UF HOY'!$A$2:$B$36,2,0)/12)+VLOOKUP(TODAY(),'UF HOY'!$A$2:$B$36,2,0)</f>
        <v>461000.51634800789</v>
      </c>
      <c r="AD34" s="79">
        <f t="shared" ca="1" si="22"/>
        <v>-81000.516348007892</v>
      </c>
      <c r="AE34" s="220">
        <f t="shared" ca="1" si="11"/>
        <v>1844002.0653920316</v>
      </c>
      <c r="AF34" s="45"/>
    </row>
    <row r="35" spans="1:32" hidden="1">
      <c r="A35" s="66" t="s">
        <v>171</v>
      </c>
      <c r="B35" s="66">
        <v>1005</v>
      </c>
      <c r="C35" s="67" t="s">
        <v>123</v>
      </c>
      <c r="D35" s="67" t="s">
        <v>194</v>
      </c>
      <c r="E35" s="67"/>
      <c r="F35" s="66">
        <v>55.01</v>
      </c>
      <c r="G35" s="66">
        <v>11.100000000000001</v>
      </c>
      <c r="H35" s="179">
        <f t="shared" si="12"/>
        <v>60.56</v>
      </c>
      <c r="I35" s="68">
        <f t="shared" si="13"/>
        <v>66.11</v>
      </c>
      <c r="J35" s="69">
        <v>3990</v>
      </c>
      <c r="K35" s="263">
        <v>100</v>
      </c>
      <c r="L35" s="71">
        <v>0</v>
      </c>
      <c r="M35" s="71">
        <v>0</v>
      </c>
      <c r="N35" s="71">
        <f t="shared" si="14"/>
        <v>3306.5</v>
      </c>
      <c r="O35" s="124">
        <f t="shared" si="15"/>
        <v>3890</v>
      </c>
      <c r="P35" s="121">
        <f t="shared" si="16"/>
        <v>54.598745046235138</v>
      </c>
      <c r="Q35" s="101">
        <f t="shared" si="17"/>
        <v>0.15</v>
      </c>
      <c r="R35" s="87">
        <f t="shared" si="18"/>
        <v>583.5</v>
      </c>
      <c r="S35" s="74">
        <v>0.85</v>
      </c>
      <c r="T35" s="75">
        <f t="shared" si="19"/>
        <v>3306.5</v>
      </c>
      <c r="U35" s="76">
        <f t="shared" si="20"/>
        <v>0</v>
      </c>
      <c r="V35" s="69">
        <f t="shared" si="21"/>
        <v>0</v>
      </c>
      <c r="W35" s="77">
        <f ca="1">V35*VLOOKUP(TODAY(),'UF HOY'!$A$2:$B$36,2,0)</f>
        <v>0</v>
      </c>
      <c r="X35" s="78">
        <f>Datos!$E$4</f>
        <v>1</v>
      </c>
      <c r="Y35" s="79">
        <f ca="1">IF((W35-1000000-Datos!$N$5)/X35&gt;0,(W35-1000000-Datos!$N$5)/X35,0)</f>
        <v>0</v>
      </c>
      <c r="Z35" s="78">
        <f>Datos!$G$4</f>
        <v>18</v>
      </c>
      <c r="AA35" s="79">
        <f ca="1">IF((W35-1000000-Datos!$N$5)/Z35&gt;0,(W35-1000000-Datos!$N$5)/Z35,0)</f>
        <v>0</v>
      </c>
      <c r="AB35" s="221">
        <f>IF(L35&gt;0,VLOOKUP(D35,Datos!$H$35:$J$38,3,0),VLOOKUP(D35,Datos!$H$35:$J$38,2,0))</f>
        <v>500000</v>
      </c>
      <c r="AC35" s="79">
        <f ca="1">(S35*PMT(Datos!$D$16,Datos!$D$13,-O35,,)*VLOOKUP(TODAY(),'UF HOY'!$A$2:$B$36,2,0)/12)+VLOOKUP(TODAY(),'UF HOY'!$A$2:$B$36,2,0)</f>
        <v>672878.45577031258</v>
      </c>
      <c r="AD35" s="79">
        <f t="shared" ca="1" si="22"/>
        <v>-172878.45577031258</v>
      </c>
      <c r="AE35" s="220">
        <f t="shared" ca="1" si="11"/>
        <v>2691513.8230812503</v>
      </c>
      <c r="AF35" s="45"/>
    </row>
    <row r="36" spans="1:32" hidden="1">
      <c r="A36" s="66" t="s">
        <v>171</v>
      </c>
      <c r="B36" s="66">
        <v>1009</v>
      </c>
      <c r="C36" s="67" t="s">
        <v>124</v>
      </c>
      <c r="D36" s="67" t="s">
        <v>194</v>
      </c>
      <c r="E36" s="67"/>
      <c r="F36" s="66">
        <v>55.73</v>
      </c>
      <c r="G36" s="66">
        <v>9.4599999999999991</v>
      </c>
      <c r="H36" s="179">
        <f t="shared" si="12"/>
        <v>60.459999999999994</v>
      </c>
      <c r="I36" s="68">
        <f t="shared" si="13"/>
        <v>65.19</v>
      </c>
      <c r="J36" s="69">
        <v>3990</v>
      </c>
      <c r="K36" s="263">
        <v>100</v>
      </c>
      <c r="L36" s="71">
        <v>0</v>
      </c>
      <c r="M36" s="71">
        <v>0</v>
      </c>
      <c r="N36" s="71">
        <f t="shared" si="14"/>
        <v>3306.5</v>
      </c>
      <c r="O36" s="124">
        <f t="shared" si="15"/>
        <v>3890</v>
      </c>
      <c r="P36" s="121">
        <f t="shared" si="16"/>
        <v>54.689050611974864</v>
      </c>
      <c r="Q36" s="101">
        <f t="shared" si="17"/>
        <v>0.15</v>
      </c>
      <c r="R36" s="87">
        <f t="shared" si="18"/>
        <v>583.5</v>
      </c>
      <c r="S36" s="74">
        <v>0.85</v>
      </c>
      <c r="T36" s="75">
        <f t="shared" si="19"/>
        <v>3306.5</v>
      </c>
      <c r="U36" s="76">
        <f t="shared" si="20"/>
        <v>0</v>
      </c>
      <c r="V36" s="69">
        <f t="shared" si="21"/>
        <v>0</v>
      </c>
      <c r="W36" s="77">
        <f ca="1">V36*VLOOKUP(TODAY(),'UF HOY'!$A$2:$B$36,2,0)</f>
        <v>0</v>
      </c>
      <c r="X36" s="78">
        <f>Datos!$E$4</f>
        <v>1</v>
      </c>
      <c r="Y36" s="79">
        <f ca="1">IF((W36-1000000-Datos!$N$5)/X36&gt;0,(W36-1000000-Datos!$N$5)/X36,0)</f>
        <v>0</v>
      </c>
      <c r="Z36" s="78">
        <f>Datos!$G$4</f>
        <v>18</v>
      </c>
      <c r="AA36" s="79">
        <f ca="1">IF((W36-1000000-Datos!$N$5)/Z36&gt;0,(W36-1000000-Datos!$N$5)/Z36,0)</f>
        <v>0</v>
      </c>
      <c r="AB36" s="221">
        <f>IF(L36&gt;0,VLOOKUP(D36,Datos!$H$35:$J$38,3,0),VLOOKUP(D36,Datos!$H$35:$J$38,2,0))</f>
        <v>500000</v>
      </c>
      <c r="AC36" s="79">
        <f ca="1">(S36*PMT(Datos!$D$16,Datos!$D$13,-O36,,)*VLOOKUP(TODAY(),'UF HOY'!$A$2:$B$36,2,0)/12)+VLOOKUP(TODAY(),'UF HOY'!$A$2:$B$36,2,0)</f>
        <v>672878.45577031258</v>
      </c>
      <c r="AD36" s="79">
        <f t="shared" ca="1" si="22"/>
        <v>-172878.45577031258</v>
      </c>
      <c r="AE36" s="220">
        <f t="shared" ca="1" si="11"/>
        <v>2691513.8230812503</v>
      </c>
      <c r="AF36" s="45"/>
    </row>
    <row r="37" spans="1:32" hidden="1">
      <c r="A37" s="66" t="s">
        <v>171</v>
      </c>
      <c r="B37" s="66">
        <v>1102</v>
      </c>
      <c r="C37" s="67" t="s">
        <v>129</v>
      </c>
      <c r="D37" s="67" t="s">
        <v>195</v>
      </c>
      <c r="E37" s="67"/>
      <c r="F37" s="66">
        <v>33.14</v>
      </c>
      <c r="G37" s="66">
        <v>7.54</v>
      </c>
      <c r="H37" s="179">
        <f t="shared" si="12"/>
        <v>36.910000000000004</v>
      </c>
      <c r="I37" s="68">
        <f t="shared" si="13"/>
        <v>40.68</v>
      </c>
      <c r="J37" s="69">
        <v>2850</v>
      </c>
      <c r="K37" s="263">
        <v>100</v>
      </c>
      <c r="L37" s="71">
        <v>0</v>
      </c>
      <c r="M37" s="71">
        <v>0</v>
      </c>
      <c r="N37" s="71">
        <f t="shared" si="14"/>
        <v>2337.5</v>
      </c>
      <c r="O37" s="124">
        <f t="shared" si="15"/>
        <v>2750</v>
      </c>
      <c r="P37" s="121">
        <f t="shared" si="16"/>
        <v>63.329720942833916</v>
      </c>
      <c r="Q37" s="101">
        <f t="shared" si="17"/>
        <v>0.15</v>
      </c>
      <c r="R37" s="87">
        <f t="shared" si="18"/>
        <v>412.5</v>
      </c>
      <c r="S37" s="74">
        <v>0.8</v>
      </c>
      <c r="T37" s="75">
        <f t="shared" si="19"/>
        <v>2200</v>
      </c>
      <c r="U37" s="76">
        <f t="shared" si="20"/>
        <v>4.9999999999999961E-2</v>
      </c>
      <c r="V37" s="69">
        <f t="shared" si="21"/>
        <v>137.49999999999989</v>
      </c>
      <c r="W37" s="77">
        <f ca="1">V37*VLOOKUP(TODAY(),'UF HOY'!$A$2:$B$36,2,0)</f>
        <v>5463416.7499999953</v>
      </c>
      <c r="X37" s="78">
        <f>Datos!$E$4</f>
        <v>1</v>
      </c>
      <c r="Y37" s="79">
        <f ca="1">IF((W37-1000000-Datos!$N$5)/X37&gt;0,(W37-1000000-Datos!$N$5)/X37,0)</f>
        <v>4363416.7499999953</v>
      </c>
      <c r="Z37" s="78">
        <f>Datos!$G$4</f>
        <v>18</v>
      </c>
      <c r="AA37" s="79">
        <f ca="1">IF((W37-1000000-Datos!$N$5)/Z37&gt;0,(W37-1000000-Datos!$N$5)/Z37,0)</f>
        <v>242412.0416666664</v>
      </c>
      <c r="AB37" s="221">
        <f>IF(L37&gt;0,VLOOKUP(D37,Datos!$H$35:$J$38,3,0),VLOOKUP(D37,Datos!$H$35:$J$38,2,0))</f>
        <v>380000</v>
      </c>
      <c r="AC37" s="79">
        <f ca="1">(S37*PMT(Datos!$D$16,Datos!$D$13,-O37,,)*VLOOKUP(TODAY(),'UF HOY'!$A$2:$B$36,2,0)/12)+VLOOKUP(TODAY(),'UF HOY'!$A$2:$B$36,2,0)</f>
        <v>461000.51634800789</v>
      </c>
      <c r="AD37" s="79">
        <f t="shared" ca="1" si="22"/>
        <v>-81000.516348007892</v>
      </c>
      <c r="AE37" s="220">
        <f t="shared" ca="1" si="11"/>
        <v>1844002.0653920316</v>
      </c>
      <c r="AF37" s="45"/>
    </row>
    <row r="38" spans="1:32">
      <c r="A38" s="66" t="s">
        <v>4</v>
      </c>
      <c r="B38" s="66">
        <v>309</v>
      </c>
      <c r="C38" s="67" t="s">
        <v>124</v>
      </c>
      <c r="D38" s="67" t="s">
        <v>194</v>
      </c>
      <c r="E38" s="67"/>
      <c r="F38" s="66">
        <v>55.73</v>
      </c>
      <c r="G38" s="66">
        <v>9.4599999999999991</v>
      </c>
      <c r="H38" s="179">
        <f t="shared" si="12"/>
        <v>60.459999999999994</v>
      </c>
      <c r="I38" s="68">
        <f t="shared" si="13"/>
        <v>65.19</v>
      </c>
      <c r="J38" s="69">
        <v>3990</v>
      </c>
      <c r="K38" s="263">
        <v>100</v>
      </c>
      <c r="L38" s="71">
        <v>0</v>
      </c>
      <c r="M38" s="71">
        <v>0</v>
      </c>
      <c r="N38" s="71">
        <f t="shared" si="14"/>
        <v>3306.5</v>
      </c>
      <c r="O38" s="124">
        <f t="shared" si="15"/>
        <v>3890</v>
      </c>
      <c r="P38" s="121">
        <f t="shared" si="16"/>
        <v>54.689050611974864</v>
      </c>
      <c r="Q38" s="101">
        <f t="shared" si="17"/>
        <v>0.15</v>
      </c>
      <c r="R38" s="87">
        <f t="shared" si="18"/>
        <v>583.5</v>
      </c>
      <c r="S38" s="74">
        <v>0.8</v>
      </c>
      <c r="T38" s="75">
        <f t="shared" si="19"/>
        <v>3112</v>
      </c>
      <c r="U38" s="76">
        <f t="shared" si="20"/>
        <v>4.9999999999999961E-2</v>
      </c>
      <c r="V38" s="69">
        <f t="shared" si="21"/>
        <v>194.49999999999986</v>
      </c>
      <c r="W38" s="77">
        <f ca="1">V38*VLOOKUP(TODAY(),'UF HOY'!$A$2:$B$36,2,0)</f>
        <v>7728251.3299999945</v>
      </c>
      <c r="X38" s="78">
        <f>Datos!$E$4</f>
        <v>1</v>
      </c>
      <c r="Y38" s="79">
        <f ca="1">IF((W38-1000000-Datos!$N$5)/X38&gt;0,(W38-1000000-Datos!$N$5)/X38,0)</f>
        <v>6628251.3299999945</v>
      </c>
      <c r="Z38" s="78">
        <f>Datos!$G$4</f>
        <v>18</v>
      </c>
      <c r="AA38" s="79">
        <f ca="1">IF((W38-1000000-Datos!$N$5)/Z38&gt;0,(W38-1000000-Datos!$N$5)/Z38,0)</f>
        <v>368236.18499999971</v>
      </c>
      <c r="AB38" s="221">
        <f>IF(L38&gt;0,VLOOKUP(D38,Datos!$H$35:$J$38,3,0),VLOOKUP(D38,Datos!$H$35:$J$38,2,0))</f>
        <v>500000</v>
      </c>
      <c r="AC38" s="79">
        <f ca="1">(S38*PMT(Datos!$D$16,Datos!$D$13,-O38,,)*VLOOKUP(TODAY(),'UF HOY'!$A$2:$B$36,2,0)/12)+VLOOKUP(TODAY(),'UF HOY'!$A$2:$B$36,2,0)</f>
        <v>635634.66072500008</v>
      </c>
      <c r="AD38" s="79">
        <f t="shared" ca="1" si="22"/>
        <v>-135634.66072500008</v>
      </c>
      <c r="AE38" s="220">
        <f t="shared" ca="1" si="11"/>
        <v>2542538.6429000003</v>
      </c>
      <c r="AF38" s="45"/>
    </row>
    <row r="39" spans="1:32" hidden="1">
      <c r="A39" s="66" t="s">
        <v>171</v>
      </c>
      <c r="B39" s="66">
        <v>1106</v>
      </c>
      <c r="C39" s="67" t="s">
        <v>130</v>
      </c>
      <c r="D39" s="67" t="s">
        <v>195</v>
      </c>
      <c r="E39" s="67"/>
      <c r="F39" s="66">
        <v>31.45</v>
      </c>
      <c r="G39" s="66">
        <v>7.35</v>
      </c>
      <c r="H39" s="179">
        <f t="shared" si="12"/>
        <v>35.125</v>
      </c>
      <c r="I39" s="68">
        <f t="shared" si="13"/>
        <v>38.799999999999997</v>
      </c>
      <c r="J39" s="69">
        <v>2850</v>
      </c>
      <c r="K39" s="263">
        <v>100</v>
      </c>
      <c r="L39" s="71">
        <v>0</v>
      </c>
      <c r="M39" s="71">
        <v>0</v>
      </c>
      <c r="N39" s="71">
        <f t="shared" si="14"/>
        <v>2337.5</v>
      </c>
      <c r="O39" s="124">
        <f t="shared" si="15"/>
        <v>2750</v>
      </c>
      <c r="P39" s="121">
        <f t="shared" si="16"/>
        <v>66.54804270462634</v>
      </c>
      <c r="Q39" s="101">
        <f t="shared" si="17"/>
        <v>0.15</v>
      </c>
      <c r="R39" s="87">
        <f t="shared" si="18"/>
        <v>412.5</v>
      </c>
      <c r="S39" s="74">
        <v>0.8</v>
      </c>
      <c r="T39" s="75">
        <f t="shared" si="19"/>
        <v>2200</v>
      </c>
      <c r="U39" s="76">
        <f t="shared" si="20"/>
        <v>4.9999999999999961E-2</v>
      </c>
      <c r="V39" s="69">
        <f t="shared" si="21"/>
        <v>137.49999999999989</v>
      </c>
      <c r="W39" s="77">
        <f ca="1">V39*VLOOKUP(TODAY(),'UF HOY'!$A$2:$B$36,2,0)</f>
        <v>5463416.7499999953</v>
      </c>
      <c r="X39" s="78">
        <f>Datos!$E$4</f>
        <v>1</v>
      </c>
      <c r="Y39" s="79">
        <f ca="1">IF((W39-1000000-Datos!$N$5)/X39&gt;0,(W39-1000000-Datos!$N$5)/X39,0)</f>
        <v>4363416.7499999953</v>
      </c>
      <c r="Z39" s="78">
        <f>Datos!$G$4</f>
        <v>18</v>
      </c>
      <c r="AA39" s="79">
        <f ca="1">IF((W39-1000000-Datos!$N$5)/Z39&gt;0,(W39-1000000-Datos!$N$5)/Z39,0)</f>
        <v>242412.0416666664</v>
      </c>
      <c r="AB39" s="221">
        <f>IF(L39&gt;0,VLOOKUP(D39,Datos!$H$35:$J$38,3,0),VLOOKUP(D39,Datos!$H$35:$J$38,2,0))</f>
        <v>380000</v>
      </c>
      <c r="AC39" s="79">
        <f ca="1">(S39*PMT(Datos!$D$16,Datos!$D$13,-O39,,)*VLOOKUP(TODAY(),'UF HOY'!$A$2:$B$36,2,0)/12)+VLOOKUP(TODAY(),'UF HOY'!$A$2:$B$36,2,0)</f>
        <v>461000.51634800789</v>
      </c>
      <c r="AD39" s="79">
        <f t="shared" ca="1" si="22"/>
        <v>-81000.516348007892</v>
      </c>
      <c r="AE39" s="220">
        <f t="shared" ca="1" si="11"/>
        <v>1844002.0653920316</v>
      </c>
      <c r="AF39" s="45"/>
    </row>
    <row r="40" spans="1:32" hidden="1">
      <c r="A40" s="66" t="s">
        <v>171</v>
      </c>
      <c r="B40" s="66">
        <v>1110</v>
      </c>
      <c r="C40" s="67" t="s">
        <v>103</v>
      </c>
      <c r="D40" s="67" t="s">
        <v>195</v>
      </c>
      <c r="E40" s="67"/>
      <c r="F40" s="66">
        <v>31.47</v>
      </c>
      <c r="G40" s="66">
        <v>7.59</v>
      </c>
      <c r="H40" s="179">
        <f t="shared" si="12"/>
        <v>35.265000000000001</v>
      </c>
      <c r="I40" s="68">
        <f t="shared" si="13"/>
        <v>39.06</v>
      </c>
      <c r="J40" s="69">
        <v>2850</v>
      </c>
      <c r="K40" s="263">
        <v>100</v>
      </c>
      <c r="L40" s="71">
        <v>0</v>
      </c>
      <c r="M40" s="71">
        <v>0</v>
      </c>
      <c r="N40" s="71">
        <f t="shared" si="14"/>
        <v>2337.5</v>
      </c>
      <c r="O40" s="124">
        <f t="shared" si="15"/>
        <v>2750</v>
      </c>
      <c r="P40" s="121">
        <f t="shared" si="16"/>
        <v>66.28385084361264</v>
      </c>
      <c r="Q40" s="101">
        <f t="shared" si="17"/>
        <v>0.15</v>
      </c>
      <c r="R40" s="87">
        <f t="shared" si="18"/>
        <v>412.5</v>
      </c>
      <c r="S40" s="74">
        <v>0.8</v>
      </c>
      <c r="T40" s="75">
        <f t="shared" si="19"/>
        <v>2200</v>
      </c>
      <c r="U40" s="76">
        <f t="shared" si="20"/>
        <v>4.9999999999999961E-2</v>
      </c>
      <c r="V40" s="69">
        <f t="shared" si="21"/>
        <v>137.49999999999989</v>
      </c>
      <c r="W40" s="77">
        <f ca="1">V40*VLOOKUP(TODAY(),'UF HOY'!$A$2:$B$36,2,0)</f>
        <v>5463416.7499999953</v>
      </c>
      <c r="X40" s="78">
        <f>Datos!$E$4</f>
        <v>1</v>
      </c>
      <c r="Y40" s="79">
        <f ca="1">IF((W40-1000000-Datos!$N$5)/X40&gt;0,(W40-1000000-Datos!$N$5)/X40,0)</f>
        <v>4363416.7499999953</v>
      </c>
      <c r="Z40" s="78">
        <f>Datos!$G$4</f>
        <v>18</v>
      </c>
      <c r="AA40" s="79">
        <f ca="1">IF((W40-1000000-Datos!$N$5)/Z40&gt;0,(W40-1000000-Datos!$N$5)/Z40,0)</f>
        <v>242412.0416666664</v>
      </c>
      <c r="AB40" s="221">
        <f>IF(L40&gt;0,VLOOKUP(D40,Datos!$H$35:$J$38,3,0),VLOOKUP(D40,Datos!$H$35:$J$38,2,0))</f>
        <v>380000</v>
      </c>
      <c r="AC40" s="79">
        <f ca="1">(S40*PMT(Datos!$D$16,Datos!$D$13,-O40,,)*VLOOKUP(TODAY(),'UF HOY'!$A$2:$B$36,2,0)/12)+VLOOKUP(TODAY(),'UF HOY'!$A$2:$B$36,2,0)</f>
        <v>461000.51634800789</v>
      </c>
      <c r="AD40" s="79">
        <f t="shared" ca="1" si="22"/>
        <v>-81000.516348007892</v>
      </c>
      <c r="AE40" s="220">
        <f t="shared" ca="1" si="11"/>
        <v>1844002.0653920316</v>
      </c>
      <c r="AF40" s="45"/>
    </row>
    <row r="41" spans="1:32" hidden="1">
      <c r="A41" s="66" t="s">
        <v>171</v>
      </c>
      <c r="B41" s="66">
        <v>1114</v>
      </c>
      <c r="C41" s="67" t="s">
        <v>121</v>
      </c>
      <c r="D41" s="67" t="s">
        <v>194</v>
      </c>
      <c r="E41" s="67"/>
      <c r="F41" s="66">
        <v>47.98</v>
      </c>
      <c r="G41" s="66">
        <v>6.15</v>
      </c>
      <c r="H41" s="179">
        <f t="shared" si="12"/>
        <v>51.055</v>
      </c>
      <c r="I41" s="68">
        <f t="shared" si="13"/>
        <v>54.129999999999995</v>
      </c>
      <c r="J41" s="69">
        <v>3590</v>
      </c>
      <c r="K41" s="263">
        <v>100</v>
      </c>
      <c r="L41" s="71">
        <v>0</v>
      </c>
      <c r="M41" s="71">
        <v>0</v>
      </c>
      <c r="N41" s="71">
        <f t="shared" si="14"/>
        <v>2966.5</v>
      </c>
      <c r="O41" s="124">
        <f t="shared" si="15"/>
        <v>3490</v>
      </c>
      <c r="P41" s="121">
        <f t="shared" si="16"/>
        <v>58.104005484281657</v>
      </c>
      <c r="Q41" s="101">
        <f t="shared" si="17"/>
        <v>0.15</v>
      </c>
      <c r="R41" s="87">
        <f t="shared" si="18"/>
        <v>523.5</v>
      </c>
      <c r="S41" s="74">
        <v>0.8</v>
      </c>
      <c r="T41" s="75">
        <f t="shared" si="19"/>
        <v>2792</v>
      </c>
      <c r="U41" s="76">
        <f t="shared" si="20"/>
        <v>4.9999999999999961E-2</v>
      </c>
      <c r="V41" s="69">
        <f t="shared" si="21"/>
        <v>174.49999999999986</v>
      </c>
      <c r="W41" s="77">
        <f ca="1">V41*VLOOKUP(TODAY(),'UF HOY'!$A$2:$B$36,2,0)</f>
        <v>6933572.5299999947</v>
      </c>
      <c r="X41" s="78">
        <f>Datos!$E$4</f>
        <v>1</v>
      </c>
      <c r="Y41" s="79">
        <f ca="1">IF((W41-1000000-Datos!$N$5)/X41&gt;0,(W41-1000000-Datos!$N$5)/X41,0)</f>
        <v>5833572.5299999947</v>
      </c>
      <c r="Z41" s="78">
        <f>Datos!$G$4</f>
        <v>18</v>
      </c>
      <c r="AA41" s="79">
        <f ca="1">IF((W41-1000000-Datos!$N$5)/Z41&gt;0,(W41-1000000-Datos!$N$5)/Z41,0)</f>
        <v>324087.36277777748</v>
      </c>
      <c r="AB41" s="221">
        <f>IF(L41&gt;0,VLOOKUP(D41,Datos!$H$35:$J$38,3,0),VLOOKUP(D41,Datos!$H$35:$J$38,2,0))</f>
        <v>500000</v>
      </c>
      <c r="AC41" s="79">
        <f ca="1">(S41*PMT(Datos!$D$16,Datos!$D$13,-O41,,)*VLOOKUP(TODAY(),'UF HOY'!$A$2:$B$36,2,0)/12)+VLOOKUP(TODAY(),'UF HOY'!$A$2:$B$36,2,0)</f>
        <v>574359.52234710823</v>
      </c>
      <c r="AD41" s="79">
        <f t="shared" ca="1" si="22"/>
        <v>-74359.522347108228</v>
      </c>
      <c r="AE41" s="220">
        <f t="shared" ca="1" si="11"/>
        <v>2297438.0893884329</v>
      </c>
      <c r="AF41" s="45"/>
    </row>
    <row r="42" spans="1:32" hidden="1">
      <c r="A42" s="66" t="s">
        <v>171</v>
      </c>
      <c r="B42" s="66">
        <v>1116</v>
      </c>
      <c r="C42" s="67" t="s">
        <v>131</v>
      </c>
      <c r="D42" s="67" t="s">
        <v>195</v>
      </c>
      <c r="E42" s="67"/>
      <c r="F42" s="66">
        <v>31.45</v>
      </c>
      <c r="G42" s="66">
        <v>6.72</v>
      </c>
      <c r="H42" s="179">
        <f t="shared" si="12"/>
        <v>34.81</v>
      </c>
      <c r="I42" s="68">
        <f t="shared" si="13"/>
        <v>38.17</v>
      </c>
      <c r="J42" s="69">
        <v>2990</v>
      </c>
      <c r="K42" s="263">
        <v>100</v>
      </c>
      <c r="L42" s="71">
        <v>0</v>
      </c>
      <c r="M42" s="71">
        <v>0</v>
      </c>
      <c r="N42" s="71">
        <f t="shared" si="14"/>
        <v>2456.5</v>
      </c>
      <c r="O42" s="124">
        <f t="shared" si="15"/>
        <v>2890</v>
      </c>
      <c r="P42" s="121">
        <f t="shared" si="16"/>
        <v>70.568802068371156</v>
      </c>
      <c r="Q42" s="101">
        <f t="shared" si="17"/>
        <v>0.15</v>
      </c>
      <c r="R42" s="87">
        <f t="shared" si="18"/>
        <v>433.5</v>
      </c>
      <c r="S42" s="74">
        <v>0.8</v>
      </c>
      <c r="T42" s="75">
        <f t="shared" si="19"/>
        <v>2312</v>
      </c>
      <c r="U42" s="76">
        <f t="shared" si="20"/>
        <v>4.9999999999999961E-2</v>
      </c>
      <c r="V42" s="69">
        <f t="shared" si="21"/>
        <v>144.49999999999989</v>
      </c>
      <c r="W42" s="77">
        <f ca="1">V42*VLOOKUP(TODAY(),'UF HOY'!$A$2:$B$36,2,0)</f>
        <v>5741554.3299999954</v>
      </c>
      <c r="X42" s="78">
        <f>Datos!$E$4</f>
        <v>1</v>
      </c>
      <c r="Y42" s="79">
        <f ca="1">IF((W42-1000000-Datos!$N$5)/X42&gt;0,(W42-1000000-Datos!$N$5)/X42,0)</f>
        <v>4641554.3299999954</v>
      </c>
      <c r="Z42" s="78">
        <f>Datos!$G$4</f>
        <v>18</v>
      </c>
      <c r="AA42" s="79">
        <f ca="1">IF((W42-1000000-Datos!$N$5)/Z42&gt;0,(W42-1000000-Datos!$N$5)/Z42,0)</f>
        <v>257864.1294444442</v>
      </c>
      <c r="AB42" s="221">
        <f>IF(L42&gt;0,VLOOKUP(D42,Datos!$H$35:$J$38,3,0),VLOOKUP(D42,Datos!$H$35:$J$38,2,0))</f>
        <v>380000</v>
      </c>
      <c r="AC42" s="79">
        <f ca="1">(S42*PMT(Datos!$D$16,Datos!$D$13,-O42,,)*VLOOKUP(TODAY(),'UF HOY'!$A$2:$B$36,2,0)/12)+VLOOKUP(TODAY(),'UF HOY'!$A$2:$B$36,2,0)</f>
        <v>482446.8147802701</v>
      </c>
      <c r="AD42" s="79">
        <f t="shared" ca="1" si="22"/>
        <v>-102446.8147802701</v>
      </c>
      <c r="AE42" s="220">
        <f t="shared" ca="1" si="11"/>
        <v>1929787.2591210804</v>
      </c>
      <c r="AF42" s="45"/>
    </row>
    <row r="43" spans="1:32" hidden="1">
      <c r="A43" s="66" t="s">
        <v>171</v>
      </c>
      <c r="B43" s="66">
        <v>1201</v>
      </c>
      <c r="C43" s="67" t="s">
        <v>129</v>
      </c>
      <c r="D43" s="67" t="s">
        <v>195</v>
      </c>
      <c r="E43" s="67"/>
      <c r="F43" s="66">
        <v>31.51</v>
      </c>
      <c r="G43" s="66">
        <v>5.69</v>
      </c>
      <c r="H43" s="179">
        <f t="shared" si="12"/>
        <v>34.355000000000004</v>
      </c>
      <c r="I43" s="68">
        <f t="shared" si="13"/>
        <v>37.200000000000003</v>
      </c>
      <c r="J43" s="69">
        <v>2850</v>
      </c>
      <c r="K43" s="263">
        <v>100</v>
      </c>
      <c r="L43" s="71">
        <v>0</v>
      </c>
      <c r="M43" s="71">
        <v>0</v>
      </c>
      <c r="N43" s="71">
        <f t="shared" si="14"/>
        <v>2337.5</v>
      </c>
      <c r="O43" s="124">
        <f t="shared" si="15"/>
        <v>2750</v>
      </c>
      <c r="P43" s="121">
        <f t="shared" si="16"/>
        <v>68.039586668607186</v>
      </c>
      <c r="Q43" s="101">
        <f t="shared" si="17"/>
        <v>0.15</v>
      </c>
      <c r="R43" s="87">
        <f t="shared" si="18"/>
        <v>412.5</v>
      </c>
      <c r="S43" s="74">
        <v>0.85</v>
      </c>
      <c r="T43" s="75">
        <f t="shared" si="19"/>
        <v>2337.5</v>
      </c>
      <c r="U43" s="76">
        <f t="shared" si="20"/>
        <v>0</v>
      </c>
      <c r="V43" s="69">
        <f t="shared" si="21"/>
        <v>0</v>
      </c>
      <c r="W43" s="77">
        <f ca="1">V43*VLOOKUP(TODAY(),'UF HOY'!$A$2:$B$36,2,0)</f>
        <v>0</v>
      </c>
      <c r="X43" s="78">
        <f>Datos!$E$4</f>
        <v>1</v>
      </c>
      <c r="Y43" s="79">
        <f ca="1">IF((W43-1000000-Datos!$N$5)/X43&gt;0,(W43-1000000-Datos!$N$5)/X43,0)</f>
        <v>0</v>
      </c>
      <c r="Z43" s="78">
        <f>Datos!$G$4</f>
        <v>18</v>
      </c>
      <c r="AA43" s="79">
        <f ca="1">IF((W43-1000000-Datos!$N$5)/Z43&gt;0,(W43-1000000-Datos!$N$5)/Z43,0)</f>
        <v>0</v>
      </c>
      <c r="AB43" s="221">
        <f>IF(L43&gt;0,VLOOKUP(D43,Datos!$H$35:$J$38,3,0),VLOOKUP(D43,Datos!$H$35:$J$38,2,0))</f>
        <v>380000</v>
      </c>
      <c r="AC43" s="79">
        <f ca="1">(S43*PMT(Datos!$D$16,Datos!$D$13,-O43,,)*VLOOKUP(TODAY(),'UF HOY'!$A$2:$B$36,2,0)/12)+VLOOKUP(TODAY(),'UF HOY'!$A$2:$B$36,2,0)</f>
        <v>487329.67736975831</v>
      </c>
      <c r="AD43" s="79">
        <f t="shared" ca="1" si="22"/>
        <v>-107329.67736975831</v>
      </c>
      <c r="AE43" s="220">
        <f t="shared" ca="1" si="11"/>
        <v>1949318.7094790332</v>
      </c>
      <c r="AF43" s="45"/>
    </row>
    <row r="44" spans="1:32" hidden="1">
      <c r="A44" s="66" t="s">
        <v>171</v>
      </c>
      <c r="B44" s="66">
        <v>1208</v>
      </c>
      <c r="C44" s="67" t="s">
        <v>130</v>
      </c>
      <c r="D44" s="67" t="s">
        <v>195</v>
      </c>
      <c r="E44" s="67"/>
      <c r="F44" s="66">
        <v>31.45</v>
      </c>
      <c r="G44" s="66">
        <v>7.29</v>
      </c>
      <c r="H44" s="179">
        <f t="shared" si="12"/>
        <v>35.094999999999999</v>
      </c>
      <c r="I44" s="68">
        <f t="shared" si="13"/>
        <v>38.74</v>
      </c>
      <c r="J44" s="69">
        <v>2850</v>
      </c>
      <c r="K44" s="263">
        <v>100</v>
      </c>
      <c r="L44" s="71">
        <v>0</v>
      </c>
      <c r="M44" s="71">
        <v>0</v>
      </c>
      <c r="N44" s="71">
        <f t="shared" si="14"/>
        <v>2337.5</v>
      </c>
      <c r="O44" s="124">
        <f t="shared" si="15"/>
        <v>2750</v>
      </c>
      <c r="P44" s="121">
        <f t="shared" si="16"/>
        <v>66.604929477133496</v>
      </c>
      <c r="Q44" s="101">
        <f t="shared" si="17"/>
        <v>0.15</v>
      </c>
      <c r="R44" s="87">
        <f t="shared" si="18"/>
        <v>412.5</v>
      </c>
      <c r="S44" s="74">
        <v>0.8</v>
      </c>
      <c r="T44" s="75">
        <f t="shared" si="19"/>
        <v>2200</v>
      </c>
      <c r="U44" s="76">
        <f t="shared" si="20"/>
        <v>4.9999999999999961E-2</v>
      </c>
      <c r="V44" s="69">
        <f t="shared" si="21"/>
        <v>137.49999999999989</v>
      </c>
      <c r="W44" s="77">
        <f ca="1">V44*VLOOKUP(TODAY(),'UF HOY'!$A$2:$B$36,2,0)</f>
        <v>5463416.7499999953</v>
      </c>
      <c r="X44" s="78">
        <f>Datos!$E$4</f>
        <v>1</v>
      </c>
      <c r="Y44" s="79">
        <f ca="1">IF((W44-1000000-Datos!$N$5)/X44&gt;0,(W44-1000000-Datos!$N$5)/X44,0)</f>
        <v>4363416.7499999953</v>
      </c>
      <c r="Z44" s="78">
        <f>Datos!$G$4</f>
        <v>18</v>
      </c>
      <c r="AA44" s="79">
        <f ca="1">IF((W44-1000000-Datos!$N$5)/Z44&gt;0,(W44-1000000-Datos!$N$5)/Z44,0)</f>
        <v>242412.0416666664</v>
      </c>
      <c r="AB44" s="221">
        <f>IF(L44&gt;0,VLOOKUP(D44,Datos!$H$35:$J$38,3,0),VLOOKUP(D44,Datos!$H$35:$J$38,2,0))</f>
        <v>380000</v>
      </c>
      <c r="AC44" s="79">
        <f ca="1">(S44*PMT(Datos!$D$16,Datos!$D$13,-O44,,)*VLOOKUP(TODAY(),'UF HOY'!$A$2:$B$36,2,0)/12)+VLOOKUP(TODAY(),'UF HOY'!$A$2:$B$36,2,0)</f>
        <v>461000.51634800789</v>
      </c>
      <c r="AD44" s="79">
        <f t="shared" ca="1" si="22"/>
        <v>-81000.516348007892</v>
      </c>
      <c r="AE44" s="220">
        <f t="shared" ca="1" si="11"/>
        <v>1844002.0653920316</v>
      </c>
      <c r="AF44" s="45"/>
    </row>
    <row r="45" spans="1:32" hidden="1">
      <c r="A45" s="66" t="s">
        <v>171</v>
      </c>
      <c r="B45" s="66">
        <v>1209</v>
      </c>
      <c r="C45" s="67" t="s">
        <v>124</v>
      </c>
      <c r="D45" s="67" t="s">
        <v>194</v>
      </c>
      <c r="E45" s="67"/>
      <c r="F45" s="66">
        <v>55.73</v>
      </c>
      <c r="G45" s="66">
        <v>9.4599999999999991</v>
      </c>
      <c r="H45" s="179">
        <f t="shared" si="12"/>
        <v>60.459999999999994</v>
      </c>
      <c r="I45" s="68">
        <f t="shared" si="13"/>
        <v>65.19</v>
      </c>
      <c r="J45" s="69">
        <v>3990</v>
      </c>
      <c r="K45" s="263">
        <v>100</v>
      </c>
      <c r="L45" s="71">
        <v>0</v>
      </c>
      <c r="M45" s="71">
        <v>0</v>
      </c>
      <c r="N45" s="71">
        <f t="shared" si="14"/>
        <v>3306.5</v>
      </c>
      <c r="O45" s="124">
        <f t="shared" si="15"/>
        <v>3890</v>
      </c>
      <c r="P45" s="121">
        <f t="shared" si="16"/>
        <v>54.689050611974864</v>
      </c>
      <c r="Q45" s="101">
        <f t="shared" si="17"/>
        <v>0.15</v>
      </c>
      <c r="R45" s="87">
        <f t="shared" si="18"/>
        <v>583.5</v>
      </c>
      <c r="S45" s="74">
        <v>0.8</v>
      </c>
      <c r="T45" s="75">
        <f t="shared" si="19"/>
        <v>3112</v>
      </c>
      <c r="U45" s="76">
        <f t="shared" si="20"/>
        <v>4.9999999999999961E-2</v>
      </c>
      <c r="V45" s="69">
        <f t="shared" si="21"/>
        <v>194.49999999999986</v>
      </c>
      <c r="W45" s="77">
        <f ca="1">V45*VLOOKUP(TODAY(),'UF HOY'!$A$2:$B$36,2,0)</f>
        <v>7728251.3299999945</v>
      </c>
      <c r="X45" s="78">
        <f>Datos!$E$4</f>
        <v>1</v>
      </c>
      <c r="Y45" s="79">
        <f ca="1">IF((W45-1000000-Datos!$N$5)/X45&gt;0,(W45-1000000-Datos!$N$5)/X45,0)</f>
        <v>6628251.3299999945</v>
      </c>
      <c r="Z45" s="78">
        <f>Datos!$G$4</f>
        <v>18</v>
      </c>
      <c r="AA45" s="79">
        <f ca="1">IF((W45-1000000-Datos!$N$5)/Z45&gt;0,(W45-1000000-Datos!$N$5)/Z45,0)</f>
        <v>368236.18499999971</v>
      </c>
      <c r="AB45" s="221">
        <f>IF(L45&gt;0,VLOOKUP(D45,Datos!$H$35:$J$38,3,0),VLOOKUP(D45,Datos!$H$35:$J$38,2,0))</f>
        <v>500000</v>
      </c>
      <c r="AC45" s="79">
        <f ca="1">(S45*PMT(Datos!$D$16,Datos!$D$13,-O45,,)*VLOOKUP(TODAY(),'UF HOY'!$A$2:$B$36,2,0)/12)+VLOOKUP(TODAY(),'UF HOY'!$A$2:$B$36,2,0)</f>
        <v>635634.66072500008</v>
      </c>
      <c r="AD45" s="79">
        <f t="shared" ca="1" si="22"/>
        <v>-135634.66072500008</v>
      </c>
      <c r="AE45" s="220">
        <f t="shared" ca="1" si="11"/>
        <v>2542538.6429000003</v>
      </c>
      <c r="AF45" s="45"/>
    </row>
    <row r="46" spans="1:32" hidden="1">
      <c r="A46" s="66" t="s">
        <v>171</v>
      </c>
      <c r="B46" s="66">
        <v>1212</v>
      </c>
      <c r="C46" s="67" t="s">
        <v>103</v>
      </c>
      <c r="D46" s="67" t="s">
        <v>195</v>
      </c>
      <c r="E46" s="67"/>
      <c r="F46" s="66">
        <v>33.14</v>
      </c>
      <c r="G46" s="66">
        <v>6.9</v>
      </c>
      <c r="H46" s="179">
        <f t="shared" si="0"/>
        <v>36.590000000000003</v>
      </c>
      <c r="I46" s="68">
        <f t="shared" si="1"/>
        <v>40.04</v>
      </c>
      <c r="J46" s="69">
        <v>2850</v>
      </c>
      <c r="K46" s="263">
        <v>100</v>
      </c>
      <c r="L46" s="71">
        <v>0</v>
      </c>
      <c r="M46" s="71">
        <v>0</v>
      </c>
      <c r="N46" s="71">
        <f t="shared" si="2"/>
        <v>2337.5</v>
      </c>
      <c r="O46" s="124">
        <f t="shared" si="3"/>
        <v>2750</v>
      </c>
      <c r="P46" s="121">
        <f t="shared" si="4"/>
        <v>63.883574747198679</v>
      </c>
      <c r="Q46" s="101">
        <f t="shared" si="5"/>
        <v>0.15</v>
      </c>
      <c r="R46" s="87">
        <f t="shared" si="6"/>
        <v>412.5</v>
      </c>
      <c r="S46" s="74">
        <v>0.85</v>
      </c>
      <c r="T46" s="75">
        <f t="shared" si="7"/>
        <v>2337.5</v>
      </c>
      <c r="U46" s="76">
        <f t="shared" si="8"/>
        <v>0</v>
      </c>
      <c r="V46" s="69">
        <f t="shared" si="9"/>
        <v>0</v>
      </c>
      <c r="W46" s="77">
        <f ca="1">V46*VLOOKUP(TODAY(),'UF HOY'!$A$2:$B$36,2,0)</f>
        <v>0</v>
      </c>
      <c r="X46" s="78">
        <f>Datos!$E$4</f>
        <v>1</v>
      </c>
      <c r="Y46" s="79">
        <f ca="1">IF((W46-1000000-Datos!$N$5)/X46&gt;0,(W46-1000000-Datos!$N$5)/X46,0)</f>
        <v>0</v>
      </c>
      <c r="Z46" s="78">
        <f>Datos!$G$4</f>
        <v>18</v>
      </c>
      <c r="AA46" s="79">
        <f ca="1">IF((W46-1000000-Datos!$N$5)/Z46&gt;0,(W46-1000000-Datos!$N$5)/Z46,0)</f>
        <v>0</v>
      </c>
      <c r="AB46" s="221">
        <f>IF(L46&gt;0,VLOOKUP(D46,Datos!$H$35:$J$38,3,0),VLOOKUP(D46,Datos!$H$35:$J$38,2,0))</f>
        <v>380000</v>
      </c>
      <c r="AC46" s="79">
        <f ca="1">(S46*PMT(Datos!$D$16,Datos!$D$13,-O46,,)*VLOOKUP(TODAY(),'UF HOY'!$A$2:$B$36,2,0)/12)+VLOOKUP(TODAY(),'UF HOY'!$A$2:$B$36,2,0)</f>
        <v>487329.67736975831</v>
      </c>
      <c r="AD46" s="79">
        <f t="shared" ca="1" si="10"/>
        <v>-107329.67736975831</v>
      </c>
      <c r="AE46" s="220">
        <f t="shared" ca="1" si="11"/>
        <v>1949318.7094790332</v>
      </c>
      <c r="AF46" s="45"/>
    </row>
    <row r="47" spans="1:32" hidden="1">
      <c r="A47" s="66" t="s">
        <v>171</v>
      </c>
      <c r="B47" s="66">
        <v>1216</v>
      </c>
      <c r="C47" s="67" t="s">
        <v>131</v>
      </c>
      <c r="D47" s="67" t="s">
        <v>195</v>
      </c>
      <c r="E47" s="67"/>
      <c r="F47" s="66">
        <v>31.45</v>
      </c>
      <c r="G47" s="66">
        <v>6.72</v>
      </c>
      <c r="H47" s="179">
        <f t="shared" si="0"/>
        <v>34.81</v>
      </c>
      <c r="I47" s="68">
        <f t="shared" si="1"/>
        <v>38.17</v>
      </c>
      <c r="J47" s="69">
        <v>2850</v>
      </c>
      <c r="K47" s="263">
        <v>100</v>
      </c>
      <c r="L47" s="71">
        <v>0</v>
      </c>
      <c r="M47" s="71">
        <v>0</v>
      </c>
      <c r="N47" s="71">
        <f t="shared" si="2"/>
        <v>2337.5</v>
      </c>
      <c r="O47" s="124">
        <f t="shared" si="3"/>
        <v>2750</v>
      </c>
      <c r="P47" s="121">
        <f t="shared" si="4"/>
        <v>67.150244182706118</v>
      </c>
      <c r="Q47" s="101">
        <f t="shared" si="5"/>
        <v>0.15</v>
      </c>
      <c r="R47" s="87">
        <f t="shared" si="6"/>
        <v>412.5</v>
      </c>
      <c r="S47" s="74">
        <v>0.8</v>
      </c>
      <c r="T47" s="75">
        <f t="shared" si="7"/>
        <v>2200</v>
      </c>
      <c r="U47" s="76">
        <f t="shared" si="8"/>
        <v>4.9999999999999961E-2</v>
      </c>
      <c r="V47" s="69">
        <f t="shared" si="9"/>
        <v>137.49999999999989</v>
      </c>
      <c r="W47" s="77">
        <f ca="1">V47*VLOOKUP(TODAY(),'UF HOY'!$A$2:$B$36,2,0)</f>
        <v>5463416.7499999953</v>
      </c>
      <c r="X47" s="78">
        <f>Datos!$E$4</f>
        <v>1</v>
      </c>
      <c r="Y47" s="79">
        <f ca="1">IF((W47-1000000-Datos!$N$5)/X47&gt;0,(W47-1000000-Datos!$N$5)/X47,0)</f>
        <v>4363416.7499999953</v>
      </c>
      <c r="Z47" s="78">
        <f>Datos!$G$4</f>
        <v>18</v>
      </c>
      <c r="AA47" s="79">
        <f ca="1">IF((W47-1000000-Datos!$N$5)/Z47&gt;0,(W47-1000000-Datos!$N$5)/Z47,0)</f>
        <v>242412.0416666664</v>
      </c>
      <c r="AB47" s="221">
        <f>IF(L47&gt;0,VLOOKUP(D47,Datos!$H$35:$J$38,3,0),VLOOKUP(D47,Datos!$H$35:$J$38,2,0))</f>
        <v>380000</v>
      </c>
      <c r="AC47" s="79">
        <f ca="1">(S47*PMT(Datos!$D$16,Datos!$D$13,-O47,,)*VLOOKUP(TODAY(),'UF HOY'!$A$2:$B$36,2,0)/12)+VLOOKUP(TODAY(),'UF HOY'!$A$2:$B$36,2,0)</f>
        <v>461000.51634800789</v>
      </c>
      <c r="AD47" s="79">
        <f t="shared" ca="1" si="10"/>
        <v>-81000.516348007892</v>
      </c>
      <c r="AE47" s="220">
        <f t="shared" ca="1" si="11"/>
        <v>1844002.0653920316</v>
      </c>
      <c r="AF47" s="45"/>
    </row>
    <row r="48" spans="1:32">
      <c r="A48" s="46"/>
      <c r="B48" s="46"/>
      <c r="C48" s="5"/>
      <c r="D48" s="46"/>
      <c r="E48" s="46"/>
      <c r="F48" s="46"/>
      <c r="G48" s="46"/>
      <c r="H48" s="46"/>
      <c r="I48" s="46"/>
      <c r="J48" s="5"/>
      <c r="K48" s="6"/>
      <c r="L48" s="25"/>
      <c r="M48" s="7"/>
      <c r="N48" s="46"/>
      <c r="Z48" s="44"/>
    </row>
    <row r="49" spans="5:18">
      <c r="E49" s="46"/>
      <c r="L49" s="102" t="s">
        <v>228</v>
      </c>
      <c r="M49" s="47"/>
      <c r="N49" s="48"/>
      <c r="R49" s="62"/>
    </row>
    <row r="50" spans="5:18">
      <c r="E50" s="46"/>
      <c r="L50" s="102" t="s">
        <v>227</v>
      </c>
      <c r="M50" s="47"/>
      <c r="N50" s="48"/>
    </row>
    <row r="51" spans="5:18">
      <c r="E51" s="46"/>
      <c r="L51" s="46"/>
      <c r="M51" s="47"/>
      <c r="N51" s="47"/>
      <c r="O51" s="49"/>
      <c r="P51" s="49"/>
      <c r="Q51" s="45"/>
    </row>
    <row r="52" spans="5:18">
      <c r="E52" s="46"/>
      <c r="L52" s="46"/>
      <c r="M52" s="47"/>
      <c r="N52" s="48"/>
      <c r="O52" s="50"/>
      <c r="P52" s="50"/>
    </row>
    <row r="53" spans="5:18">
      <c r="E53" s="46"/>
      <c r="F53" s="46"/>
      <c r="G53" s="46"/>
      <c r="H53" s="46"/>
      <c r="I53" s="46"/>
      <c r="L53" s="46"/>
      <c r="M53" s="48"/>
      <c r="N53" s="48"/>
      <c r="O53" s="51"/>
      <c r="P53" s="51"/>
    </row>
    <row r="54" spans="5:18">
      <c r="E54" s="46"/>
      <c r="F54" s="46"/>
      <c r="G54" s="46"/>
      <c r="H54" s="46"/>
      <c r="I54" s="46"/>
      <c r="L54" s="46"/>
      <c r="M54" s="48"/>
      <c r="N54" s="48"/>
    </row>
    <row r="55" spans="5:18">
      <c r="E55" s="46"/>
      <c r="F55" s="46"/>
      <c r="G55" s="46"/>
      <c r="H55" s="46"/>
      <c r="I55" s="46"/>
      <c r="L55" s="46"/>
      <c r="M55" s="48"/>
      <c r="N55" s="48"/>
      <c r="O55" s="45"/>
      <c r="P55" s="45"/>
    </row>
    <row r="57" spans="5:18">
      <c r="M57" s="48"/>
      <c r="O57" s="52"/>
      <c r="P57" s="52"/>
    </row>
    <row r="65" spans="12:14">
      <c r="L65" s="49"/>
      <c r="N65" s="53"/>
    </row>
    <row r="66" spans="12:14">
      <c r="L66" s="49"/>
      <c r="N66" s="53"/>
    </row>
    <row r="67" spans="12:14">
      <c r="L67" s="49"/>
      <c r="N67" s="53"/>
    </row>
  </sheetData>
  <autoFilter ref="A1:AE47" xr:uid="{5F314D98-EA72-455B-82B0-CB5C535BEC3B}">
    <filterColumn colId="0">
      <filters>
        <filter val="Disponible"/>
      </filters>
    </filterColumn>
    <sortState xmlns:xlrd2="http://schemas.microsoft.com/office/spreadsheetml/2017/richdata2" ref="A4:AE45">
      <sortCondition ref="N1:N47"/>
    </sortState>
  </autoFilter>
  <conditionalFormatting sqref="A1:AD47">
    <cfRule type="expression" dxfId="8" priority="5">
      <formula>ROW()=CELL("fila")</formula>
    </cfRule>
  </conditionalFormatting>
  <conditionalFormatting sqref="AE1">
    <cfRule type="expression" dxfId="7" priority="4">
      <formula>ROW()=CELL("fila")</formula>
    </cfRule>
  </conditionalFormatting>
  <conditionalFormatting sqref="AE2:AE47">
    <cfRule type="expression" dxfId="6" priority="1">
      <formula>ROW()=CELL("fila")</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C8CF-38C1-4CA6-AA49-03800B6AC10F}">
  <sheetPr codeName="Hoja9" filterMode="1">
    <tabColor rgb="FF002060"/>
  </sheetPr>
  <dimension ref="A1:AG67"/>
  <sheetViews>
    <sheetView showGridLines="0" zoomScale="80" zoomScaleNormal="80" workbookViewId="0">
      <pane ySplit="1" topLeftCell="A2" activePane="bottomLeft" state="frozen"/>
      <selection activeCell="C25" sqref="C25"/>
      <selection pane="bottomLeft" activeCell="Z15" sqref="Z15"/>
    </sheetView>
  </sheetViews>
  <sheetFormatPr baseColWidth="10" defaultColWidth="11" defaultRowHeight="15.5"/>
  <cols>
    <col min="1" max="1" width="11" style="44"/>
    <col min="2" max="2" width="12.5" style="44" bestFit="1" customWidth="1"/>
    <col min="3" max="3" width="11" style="44"/>
    <col min="4" max="4" width="12" style="44" bestFit="1" customWidth="1"/>
    <col min="5" max="5" width="10.25" style="44" hidden="1" customWidth="1"/>
    <col min="6" max="6" width="11" style="44" hidden="1" customWidth="1"/>
    <col min="7" max="8" width="11.5" style="44" hidden="1" customWidth="1"/>
    <col min="9" max="9" width="11.5" style="44" customWidth="1"/>
    <col min="10" max="10" width="13.5" style="44" bestFit="1" customWidth="1"/>
    <col min="11" max="11" width="11" style="44"/>
    <col min="12" max="12" width="8.08203125" style="44" bestFit="1" customWidth="1"/>
    <col min="13" max="13" width="8.5" style="44" bestFit="1" customWidth="1"/>
    <col min="14" max="14" width="11.5" style="44" customWidth="1"/>
    <col min="15" max="16" width="11" style="44"/>
    <col min="17" max="17" width="8.83203125" style="44" bestFit="1" customWidth="1"/>
    <col min="18" max="18" width="11" style="44" customWidth="1"/>
    <col min="19" max="19" width="17.58203125" style="44" bestFit="1" customWidth="1"/>
    <col min="20" max="20" width="14.83203125" style="44" bestFit="1" customWidth="1"/>
    <col min="21" max="21" width="10.5" style="44" bestFit="1" customWidth="1"/>
    <col min="22" max="22" width="11" style="44" hidden="1" customWidth="1"/>
    <col min="23" max="24" width="11" style="44"/>
    <col min="25" max="25" width="15.58203125" style="44" bestFit="1" customWidth="1"/>
    <col min="26" max="26" width="12.5" style="49" customWidth="1"/>
    <col min="27" max="27" width="14.5" style="44" bestFit="1" customWidth="1"/>
    <col min="28" max="28" width="12.33203125" style="44" customWidth="1"/>
    <col min="29" max="29" width="11.33203125" style="44" bestFit="1" customWidth="1"/>
    <col min="30" max="31" width="11" style="44"/>
    <col min="32" max="32" width="12" style="44" bestFit="1" customWidth="1"/>
    <col min="33" max="33" width="13.08203125" style="44" bestFit="1" customWidth="1"/>
    <col min="34" max="16384" width="11" style="44"/>
  </cols>
  <sheetData>
    <row r="1" spans="1:33" ht="20">
      <c r="A1" s="63" t="s">
        <v>0</v>
      </c>
      <c r="B1" s="63" t="s">
        <v>5</v>
      </c>
      <c r="C1" s="63" t="s">
        <v>9</v>
      </c>
      <c r="D1" s="64" t="s">
        <v>8</v>
      </c>
      <c r="E1" s="64" t="s">
        <v>47</v>
      </c>
      <c r="F1" s="64" t="s">
        <v>30</v>
      </c>
      <c r="G1" s="64" t="s">
        <v>31</v>
      </c>
      <c r="H1" s="64" t="s">
        <v>6</v>
      </c>
      <c r="I1" s="64" t="s">
        <v>53</v>
      </c>
      <c r="J1" s="64" t="s">
        <v>7</v>
      </c>
      <c r="K1" s="64" t="s">
        <v>1</v>
      </c>
      <c r="L1" s="64" t="s">
        <v>25</v>
      </c>
      <c r="M1" s="64" t="s">
        <v>26</v>
      </c>
      <c r="N1" s="64" t="s">
        <v>2</v>
      </c>
      <c r="O1" s="64" t="s">
        <v>16</v>
      </c>
      <c r="P1" s="120" t="s">
        <v>182</v>
      </c>
      <c r="Q1" s="65" t="s">
        <v>14</v>
      </c>
      <c r="R1" s="65" t="s">
        <v>23</v>
      </c>
      <c r="S1" s="65" t="s">
        <v>58</v>
      </c>
      <c r="T1" s="65" t="s">
        <v>27</v>
      </c>
      <c r="U1" s="65" t="s">
        <v>13</v>
      </c>
      <c r="V1" s="65" t="s">
        <v>22</v>
      </c>
      <c r="W1" s="65" t="s">
        <v>12</v>
      </c>
      <c r="X1" s="65" t="s">
        <v>20</v>
      </c>
      <c r="Y1" s="65" t="s">
        <v>3</v>
      </c>
      <c r="Z1" s="65" t="s">
        <v>113</v>
      </c>
      <c r="AA1" s="65" t="s">
        <v>21</v>
      </c>
      <c r="AB1" s="65" t="s">
        <v>17</v>
      </c>
      <c r="AC1" s="65" t="s">
        <v>19</v>
      </c>
      <c r="AD1" s="65" t="s">
        <v>18</v>
      </c>
      <c r="AE1" s="219" t="s">
        <v>255</v>
      </c>
    </row>
    <row r="2" spans="1:33" hidden="1">
      <c r="A2" s="66" t="s">
        <v>171</v>
      </c>
      <c r="B2" s="66">
        <v>101</v>
      </c>
      <c r="C2" s="67" t="s">
        <v>129</v>
      </c>
      <c r="D2" s="67" t="s">
        <v>195</v>
      </c>
      <c r="E2" s="67"/>
      <c r="F2" s="66">
        <v>31.51</v>
      </c>
      <c r="G2" s="66">
        <v>5.69</v>
      </c>
      <c r="H2" s="67">
        <f t="shared" ref="H2:H47" si="0">F2+G2/2</f>
        <v>34.355000000000004</v>
      </c>
      <c r="I2" s="68">
        <f t="shared" ref="I2:I47" si="1">F2+G2</f>
        <v>37.200000000000003</v>
      </c>
      <c r="J2" s="69">
        <v>2850</v>
      </c>
      <c r="K2" s="263">
        <v>100</v>
      </c>
      <c r="L2" s="71">
        <v>0</v>
      </c>
      <c r="M2" s="71">
        <v>0</v>
      </c>
      <c r="N2" s="71">
        <f t="shared" ref="N2:N47" si="2">O2-R2</f>
        <v>2337.5</v>
      </c>
      <c r="O2" s="124">
        <f t="shared" ref="O2:O47" si="3">J2-K2+L2+M2</f>
        <v>2750</v>
      </c>
      <c r="P2" s="121">
        <f t="shared" ref="P2:P47" si="4">(N2-L2-M2)/H2</f>
        <v>68.039586668607186</v>
      </c>
      <c r="Q2" s="101">
        <f t="shared" ref="Q2:Q47" si="5">R2/O2</f>
        <v>0.15</v>
      </c>
      <c r="R2" s="87">
        <f t="shared" ref="R2:R47" si="6">O2*0.15</f>
        <v>412.5</v>
      </c>
      <c r="S2" s="74">
        <v>0.8</v>
      </c>
      <c r="T2" s="75">
        <f t="shared" ref="T2:T47" si="7">S2*O2</f>
        <v>2200</v>
      </c>
      <c r="U2" s="76">
        <f t="shared" ref="U2:U47" si="8">100%-S2-Q2</f>
        <v>4.9999999999999961E-2</v>
      </c>
      <c r="V2" s="69">
        <f t="shared" ref="V2:V47" si="9">O2*U2</f>
        <v>137.49999999999989</v>
      </c>
      <c r="W2" s="77">
        <f ca="1">V2*VLOOKUP(TODAY(),'UF HOY'!$A$2:$B$36,2,0)</f>
        <v>5463416.7499999953</v>
      </c>
      <c r="X2" s="78">
        <f>Datos!$E$5</f>
        <v>8</v>
      </c>
      <c r="Y2" s="79">
        <f ca="1">IF((W2-1000000-Datos!$N$5)/X2&gt;0,(W2-1000000-Datos!$N$5)/X2,0)</f>
        <v>545427.09374999942</v>
      </c>
      <c r="Z2" s="78">
        <f>Datos!$G$5</f>
        <v>26</v>
      </c>
      <c r="AA2" s="79">
        <f ca="1">IF((W2-1000000-Datos!$N$5)/Z2&gt;0,(W2-1000000-Datos!$N$5)/Z2,0)</f>
        <v>167823.72115384598</v>
      </c>
      <c r="AB2" s="221">
        <f>IF(L2&gt;0,VLOOKUP(D2,Datos!$H$35:$J$38,3,0),VLOOKUP(D2,Datos!$H$35:$J$38,2,0))</f>
        <v>380000</v>
      </c>
      <c r="AC2" s="79">
        <f ca="1">(S2*PMT(Datos!$D$16,Datos!$D$13,-O2,,)*VLOOKUP(TODAY(),'UF HOY'!$A$2:$B$36,2,0)/12)+VLOOKUP(TODAY(),'UF HOY'!$A$2:$B$36,2,0)</f>
        <v>461000.51634800789</v>
      </c>
      <c r="AD2" s="79">
        <f t="shared" ref="AD2:AD47" ca="1" si="10">AB2-AC2</f>
        <v>-81000.516348007892</v>
      </c>
      <c r="AE2" s="220">
        <f t="shared" ref="AE2:AE28" ca="1" si="11">IF((AC2/0.25)&lt;=1600000,1600000,(AC2/0.25))</f>
        <v>1844002.0653920316</v>
      </c>
      <c r="AF2" s="45"/>
      <c r="AG2" s="45"/>
    </row>
    <row r="3" spans="1:33" hidden="1">
      <c r="A3" s="66" t="s">
        <v>171</v>
      </c>
      <c r="B3" s="66">
        <v>102</v>
      </c>
      <c r="C3" s="67" t="s">
        <v>129</v>
      </c>
      <c r="D3" s="67" t="s">
        <v>195</v>
      </c>
      <c r="E3" s="67"/>
      <c r="F3" s="66">
        <v>33.14</v>
      </c>
      <c r="G3" s="66">
        <v>7.54</v>
      </c>
      <c r="H3" s="67">
        <f t="shared" si="0"/>
        <v>36.910000000000004</v>
      </c>
      <c r="I3" s="68">
        <f t="shared" si="1"/>
        <v>40.68</v>
      </c>
      <c r="J3" s="69">
        <v>2850</v>
      </c>
      <c r="K3" s="263">
        <v>100</v>
      </c>
      <c r="L3" s="71">
        <v>0</v>
      </c>
      <c r="M3" s="71">
        <v>0</v>
      </c>
      <c r="N3" s="71">
        <f t="shared" si="2"/>
        <v>2337.5</v>
      </c>
      <c r="O3" s="124">
        <f t="shared" si="3"/>
        <v>2750</v>
      </c>
      <c r="P3" s="121">
        <f t="shared" si="4"/>
        <v>63.329720942833916</v>
      </c>
      <c r="Q3" s="101">
        <f t="shared" si="5"/>
        <v>0.15</v>
      </c>
      <c r="R3" s="87">
        <f t="shared" si="6"/>
        <v>412.5</v>
      </c>
      <c r="S3" s="74">
        <v>0.8</v>
      </c>
      <c r="T3" s="75">
        <f t="shared" si="7"/>
        <v>2200</v>
      </c>
      <c r="U3" s="76">
        <f t="shared" si="8"/>
        <v>4.9999999999999961E-2</v>
      </c>
      <c r="V3" s="69">
        <f t="shared" si="9"/>
        <v>137.49999999999989</v>
      </c>
      <c r="W3" s="77">
        <f ca="1">V3*VLOOKUP(TODAY(),'UF HOY'!$A$2:$B$36,2,0)</f>
        <v>5463416.7499999953</v>
      </c>
      <c r="X3" s="78">
        <f>Datos!$E$5</f>
        <v>8</v>
      </c>
      <c r="Y3" s="79">
        <f ca="1">IF((W3-1000000-Datos!$N$5)/X3&gt;0,(W3-1000000-Datos!$N$5)/X3,0)</f>
        <v>545427.09374999942</v>
      </c>
      <c r="Z3" s="78">
        <f>Datos!$G$5</f>
        <v>26</v>
      </c>
      <c r="AA3" s="79">
        <f ca="1">IF((W3-1000000-Datos!$N$5)/Z3&gt;0,(W3-1000000-Datos!$N$5)/Z3,0)</f>
        <v>167823.72115384598</v>
      </c>
      <c r="AB3" s="221">
        <f>IF(L3&gt;0,VLOOKUP(D3,Datos!$H$35:$J$38,3,0),VLOOKUP(D3,Datos!$H$35:$J$38,2,0))</f>
        <v>380000</v>
      </c>
      <c r="AC3" s="79">
        <f ca="1">(S3*PMT(Datos!$D$16,Datos!$D$13,-O3,,)*VLOOKUP(TODAY(),'UF HOY'!$A$2:$B$36,2,0)/12)+VLOOKUP(TODAY(),'UF HOY'!$A$2:$B$36,2,0)</f>
        <v>461000.51634800789</v>
      </c>
      <c r="AD3" s="79">
        <f t="shared" ca="1" si="10"/>
        <v>-81000.516348007892</v>
      </c>
      <c r="AE3" s="220">
        <f t="shared" ca="1" si="11"/>
        <v>1844002.0653920316</v>
      </c>
      <c r="AF3" s="45"/>
    </row>
    <row r="4" spans="1:33" hidden="1">
      <c r="A4" s="66" t="s">
        <v>171</v>
      </c>
      <c r="B4" s="66">
        <v>501</v>
      </c>
      <c r="C4" s="67" t="s">
        <v>129</v>
      </c>
      <c r="D4" s="67" t="s">
        <v>195</v>
      </c>
      <c r="E4" s="67"/>
      <c r="F4" s="66">
        <v>31.51</v>
      </c>
      <c r="G4" s="66">
        <v>5.69</v>
      </c>
      <c r="H4" s="67">
        <f t="shared" ref="H4:H45" si="12">F4+G4/2</f>
        <v>34.355000000000004</v>
      </c>
      <c r="I4" s="68">
        <f t="shared" ref="I4:I45" si="13">F4+G4</f>
        <v>37.200000000000003</v>
      </c>
      <c r="J4" s="69">
        <v>2850</v>
      </c>
      <c r="K4" s="263">
        <v>100</v>
      </c>
      <c r="L4" s="71">
        <v>0</v>
      </c>
      <c r="M4" s="71">
        <v>0</v>
      </c>
      <c r="N4" s="71">
        <f t="shared" ref="N4:N45" si="14">O4-R4</f>
        <v>2337.5</v>
      </c>
      <c r="O4" s="124">
        <f t="shared" ref="O4:O45" si="15">J4-K4+L4+M4</f>
        <v>2750</v>
      </c>
      <c r="P4" s="121">
        <f t="shared" ref="P4:P45" si="16">(N4-L4-M4)/H4</f>
        <v>68.039586668607186</v>
      </c>
      <c r="Q4" s="101">
        <f t="shared" ref="Q4:Q45" si="17">R4/O4</f>
        <v>0.15</v>
      </c>
      <c r="R4" s="87">
        <f t="shared" ref="R4:R45" si="18">O4*0.15</f>
        <v>412.5</v>
      </c>
      <c r="S4" s="74">
        <v>0.8</v>
      </c>
      <c r="T4" s="75">
        <f t="shared" ref="T4:T45" si="19">S4*O4</f>
        <v>2200</v>
      </c>
      <c r="U4" s="76">
        <f t="shared" ref="U4:U45" si="20">100%-S4-Q4</f>
        <v>4.9999999999999961E-2</v>
      </c>
      <c r="V4" s="69">
        <f t="shared" ref="V4:V45" si="21">O4*U4</f>
        <v>137.49999999999989</v>
      </c>
      <c r="W4" s="77">
        <f ca="1">V4*VLOOKUP(TODAY(),'UF HOY'!$A$2:$B$36,2,0)</f>
        <v>5463416.7499999953</v>
      </c>
      <c r="X4" s="78">
        <f>Datos!$E$5</f>
        <v>8</v>
      </c>
      <c r="Y4" s="79">
        <f ca="1">IF((W4-1000000-Datos!$N$5)/X4&gt;0,(W4-1000000-Datos!$N$5)/X4,0)</f>
        <v>545427.09374999942</v>
      </c>
      <c r="Z4" s="78">
        <f>Datos!$G$5</f>
        <v>26</v>
      </c>
      <c r="AA4" s="79">
        <f ca="1">IF((W4-1000000-Datos!$N$5)/Z4&gt;0,(W4-1000000-Datos!$N$5)/Z4,0)</f>
        <v>167823.72115384598</v>
      </c>
      <c r="AB4" s="221">
        <f>IF(L4&gt;0,VLOOKUP(D4,Datos!$H$35:$J$38,3,0),VLOOKUP(D4,Datos!$H$35:$J$38,2,0))</f>
        <v>380000</v>
      </c>
      <c r="AC4" s="79">
        <f ca="1">(S4*PMT(Datos!$D$16,Datos!$D$13,-O4,,)*VLOOKUP(TODAY(),'UF HOY'!$A$2:$B$36,2,0)/12)+VLOOKUP(TODAY(),'UF HOY'!$A$2:$B$36,2,0)</f>
        <v>461000.51634800789</v>
      </c>
      <c r="AD4" s="79">
        <f t="shared" ref="AD4:AD45" ca="1" si="22">AB4-AC4</f>
        <v>-81000.516348007892</v>
      </c>
      <c r="AE4" s="220">
        <f t="shared" ca="1" si="11"/>
        <v>1844002.0653920316</v>
      </c>
      <c r="AF4" s="45"/>
    </row>
    <row r="5" spans="1:33" hidden="1">
      <c r="A5" s="66" t="s">
        <v>171</v>
      </c>
      <c r="B5" s="66">
        <v>601</v>
      </c>
      <c r="C5" s="67" t="s">
        <v>129</v>
      </c>
      <c r="D5" s="67" t="s">
        <v>195</v>
      </c>
      <c r="E5" s="67"/>
      <c r="F5" s="66">
        <v>31.51</v>
      </c>
      <c r="G5" s="66">
        <v>5.69</v>
      </c>
      <c r="H5" s="67">
        <f t="shared" si="12"/>
        <v>34.355000000000004</v>
      </c>
      <c r="I5" s="68">
        <f t="shared" si="13"/>
        <v>37.200000000000003</v>
      </c>
      <c r="J5" s="69">
        <v>2850</v>
      </c>
      <c r="K5" s="263">
        <v>100</v>
      </c>
      <c r="L5" s="71">
        <v>0</v>
      </c>
      <c r="M5" s="71">
        <v>0</v>
      </c>
      <c r="N5" s="71">
        <f t="shared" si="14"/>
        <v>2337.5</v>
      </c>
      <c r="O5" s="124">
        <f t="shared" si="15"/>
        <v>2750</v>
      </c>
      <c r="P5" s="121">
        <f t="shared" si="16"/>
        <v>68.039586668607186</v>
      </c>
      <c r="Q5" s="101">
        <f t="shared" si="17"/>
        <v>0.15</v>
      </c>
      <c r="R5" s="87">
        <f t="shared" si="18"/>
        <v>412.5</v>
      </c>
      <c r="S5" s="74">
        <v>0.8</v>
      </c>
      <c r="T5" s="75">
        <f t="shared" si="19"/>
        <v>2200</v>
      </c>
      <c r="U5" s="76">
        <f t="shared" si="20"/>
        <v>4.9999999999999961E-2</v>
      </c>
      <c r="V5" s="69">
        <f t="shared" si="21"/>
        <v>137.49999999999989</v>
      </c>
      <c r="W5" s="77">
        <f ca="1">V5*VLOOKUP(TODAY(),'UF HOY'!$A$2:$B$36,2,0)</f>
        <v>5463416.7499999953</v>
      </c>
      <c r="X5" s="78">
        <f>Datos!$E$5</f>
        <v>8</v>
      </c>
      <c r="Y5" s="79">
        <f ca="1">IF((W5-1000000-Datos!$N$5)/X5&gt;0,(W5-1000000-Datos!$N$5)/X5,0)</f>
        <v>545427.09374999942</v>
      </c>
      <c r="Z5" s="78">
        <f>Datos!$G$5</f>
        <v>26</v>
      </c>
      <c r="AA5" s="79">
        <f ca="1">IF((W5-1000000-Datos!$N$5)/Z5&gt;0,(W5-1000000-Datos!$N$5)/Z5,0)</f>
        <v>167823.72115384598</v>
      </c>
      <c r="AB5" s="221">
        <f>IF(L5&gt;0,VLOOKUP(D5,Datos!$H$35:$J$38,3,0),VLOOKUP(D5,Datos!$H$35:$J$38,2,0))</f>
        <v>380000</v>
      </c>
      <c r="AC5" s="79">
        <f ca="1">(S5*PMT(Datos!$D$16,Datos!$D$13,-O5,,)*VLOOKUP(TODAY(),'UF HOY'!$A$2:$B$36,2,0)/12)+VLOOKUP(TODAY(),'UF HOY'!$A$2:$B$36,2,0)</f>
        <v>461000.51634800789</v>
      </c>
      <c r="AD5" s="79">
        <f t="shared" ca="1" si="22"/>
        <v>-81000.516348007892</v>
      </c>
      <c r="AE5" s="220">
        <f t="shared" ca="1" si="11"/>
        <v>1844002.0653920316</v>
      </c>
      <c r="AF5" s="45"/>
    </row>
    <row r="6" spans="1:33" hidden="1">
      <c r="A6" s="66" t="s">
        <v>171</v>
      </c>
      <c r="B6" s="66">
        <v>201</v>
      </c>
      <c r="C6" s="67" t="s">
        <v>129</v>
      </c>
      <c r="D6" s="67" t="s">
        <v>195</v>
      </c>
      <c r="E6" s="67"/>
      <c r="F6" s="66">
        <v>31.51</v>
      </c>
      <c r="G6" s="66">
        <v>5.69</v>
      </c>
      <c r="H6" s="67">
        <f t="shared" si="12"/>
        <v>34.355000000000004</v>
      </c>
      <c r="I6" s="68">
        <f t="shared" si="13"/>
        <v>37.200000000000003</v>
      </c>
      <c r="J6" s="69">
        <v>2850</v>
      </c>
      <c r="K6" s="263">
        <v>100</v>
      </c>
      <c r="L6" s="71">
        <v>0</v>
      </c>
      <c r="M6" s="71">
        <v>0</v>
      </c>
      <c r="N6" s="71">
        <f t="shared" si="14"/>
        <v>2337.5</v>
      </c>
      <c r="O6" s="124">
        <f t="shared" si="15"/>
        <v>2750</v>
      </c>
      <c r="P6" s="121">
        <f t="shared" si="16"/>
        <v>68.039586668607186</v>
      </c>
      <c r="Q6" s="101">
        <f t="shared" si="17"/>
        <v>0.15</v>
      </c>
      <c r="R6" s="87">
        <f t="shared" si="18"/>
        <v>412.5</v>
      </c>
      <c r="S6" s="74">
        <v>0.8</v>
      </c>
      <c r="T6" s="75">
        <f t="shared" si="19"/>
        <v>2200</v>
      </c>
      <c r="U6" s="76">
        <f t="shared" si="20"/>
        <v>4.9999999999999961E-2</v>
      </c>
      <c r="V6" s="69">
        <f t="shared" si="21"/>
        <v>137.49999999999989</v>
      </c>
      <c r="W6" s="77">
        <f ca="1">V6*VLOOKUP(TODAY(),'UF HOY'!$A$2:$B$36,2,0)</f>
        <v>5463416.7499999953</v>
      </c>
      <c r="X6" s="78">
        <f>Datos!$E$5</f>
        <v>8</v>
      </c>
      <c r="Y6" s="79">
        <f ca="1">IF((W6-1000000-Datos!$N$5)/X6&gt;0,(W6-1000000-Datos!$N$5)/X6,0)</f>
        <v>545427.09374999942</v>
      </c>
      <c r="Z6" s="78">
        <f>Datos!$G$5</f>
        <v>26</v>
      </c>
      <c r="AA6" s="79">
        <f ca="1">IF((W6-1000000-Datos!$N$5)/Z6&gt;0,(W6-1000000-Datos!$N$5)/Z6,0)</f>
        <v>167823.72115384598</v>
      </c>
      <c r="AB6" s="221">
        <f>IF(L6&gt;0,VLOOKUP(D6,Datos!$H$35:$J$38,3,0),VLOOKUP(D6,Datos!$H$35:$J$38,2,0))</f>
        <v>380000</v>
      </c>
      <c r="AC6" s="79">
        <f ca="1">(S6*PMT(Datos!$D$16,Datos!$D$13,-O6,,)*VLOOKUP(TODAY(),'UF HOY'!$A$2:$B$36,2,0)/12)+VLOOKUP(TODAY(),'UF HOY'!$A$2:$B$36,2,0)</f>
        <v>461000.51634800789</v>
      </c>
      <c r="AD6" s="79">
        <f t="shared" ca="1" si="22"/>
        <v>-81000.516348007892</v>
      </c>
      <c r="AE6" s="220">
        <f t="shared" ca="1" si="11"/>
        <v>1844002.0653920316</v>
      </c>
      <c r="AF6" s="45"/>
    </row>
    <row r="7" spans="1:33" hidden="1">
      <c r="A7" s="66" t="s">
        <v>171</v>
      </c>
      <c r="B7" s="66">
        <v>208</v>
      </c>
      <c r="C7" s="67" t="s">
        <v>130</v>
      </c>
      <c r="D7" s="67" t="s">
        <v>195</v>
      </c>
      <c r="E7" s="67"/>
      <c r="F7" s="66">
        <v>31.45</v>
      </c>
      <c r="G7" s="66">
        <v>7.29</v>
      </c>
      <c r="H7" s="67">
        <f t="shared" si="12"/>
        <v>35.094999999999999</v>
      </c>
      <c r="I7" s="68">
        <f t="shared" si="13"/>
        <v>38.74</v>
      </c>
      <c r="J7" s="69">
        <v>2850</v>
      </c>
      <c r="K7" s="263">
        <v>100</v>
      </c>
      <c r="L7" s="71">
        <v>0</v>
      </c>
      <c r="M7" s="71">
        <v>0</v>
      </c>
      <c r="N7" s="71">
        <f t="shared" si="14"/>
        <v>2337.5</v>
      </c>
      <c r="O7" s="124">
        <f t="shared" si="15"/>
        <v>2750</v>
      </c>
      <c r="P7" s="121">
        <f t="shared" si="16"/>
        <v>66.604929477133496</v>
      </c>
      <c r="Q7" s="101">
        <f t="shared" si="17"/>
        <v>0.15</v>
      </c>
      <c r="R7" s="87">
        <f t="shared" si="18"/>
        <v>412.5</v>
      </c>
      <c r="S7" s="74">
        <v>0.8</v>
      </c>
      <c r="T7" s="75">
        <f t="shared" si="19"/>
        <v>2200</v>
      </c>
      <c r="U7" s="76">
        <f t="shared" si="20"/>
        <v>4.9999999999999961E-2</v>
      </c>
      <c r="V7" s="69">
        <f t="shared" si="21"/>
        <v>137.49999999999989</v>
      </c>
      <c r="W7" s="77">
        <f ca="1">V7*VLOOKUP(TODAY(),'UF HOY'!$A$2:$B$36,2,0)</f>
        <v>5463416.7499999953</v>
      </c>
      <c r="X7" s="78">
        <f>Datos!$E$5</f>
        <v>8</v>
      </c>
      <c r="Y7" s="79">
        <f ca="1">IF((W7-1000000-Datos!$N$5)/X7&gt;0,(W7-1000000-Datos!$N$5)/X7,0)</f>
        <v>545427.09374999942</v>
      </c>
      <c r="Z7" s="78">
        <f>Datos!$G$5</f>
        <v>26</v>
      </c>
      <c r="AA7" s="79">
        <f ca="1">IF((W7-1000000-Datos!$N$5)/Z7&gt;0,(W7-1000000-Datos!$N$5)/Z7,0)</f>
        <v>167823.72115384598</v>
      </c>
      <c r="AB7" s="221">
        <f>IF(L7&gt;0,VLOOKUP(D7,Datos!$H$35:$J$38,3,0),VLOOKUP(D7,Datos!$H$35:$J$38,2,0))</f>
        <v>380000</v>
      </c>
      <c r="AC7" s="79">
        <f ca="1">(S7*PMT(Datos!$D$16,Datos!$D$13,-O7,,)*VLOOKUP(TODAY(),'UF HOY'!$A$2:$B$36,2,0)/12)+VLOOKUP(TODAY(),'UF HOY'!$A$2:$B$36,2,0)</f>
        <v>461000.51634800789</v>
      </c>
      <c r="AD7" s="79">
        <f t="shared" ca="1" si="22"/>
        <v>-81000.516348007892</v>
      </c>
      <c r="AE7" s="220">
        <f t="shared" ca="1" si="11"/>
        <v>1844002.0653920316</v>
      </c>
      <c r="AF7" s="45"/>
    </row>
    <row r="8" spans="1:33">
      <c r="A8" s="66" t="s">
        <v>4</v>
      </c>
      <c r="B8" s="66">
        <v>104</v>
      </c>
      <c r="C8" s="67" t="s">
        <v>122</v>
      </c>
      <c r="D8" s="67" t="s">
        <v>194</v>
      </c>
      <c r="E8" s="67"/>
      <c r="F8" s="66">
        <v>51.28</v>
      </c>
      <c r="G8" s="66">
        <v>5.35</v>
      </c>
      <c r="H8" s="67">
        <f t="shared" si="12"/>
        <v>53.954999999999998</v>
      </c>
      <c r="I8" s="68">
        <f t="shared" si="13"/>
        <v>56.63</v>
      </c>
      <c r="J8" s="69">
        <v>3870</v>
      </c>
      <c r="K8" s="263">
        <v>100</v>
      </c>
      <c r="L8" s="71">
        <v>0</v>
      </c>
      <c r="M8" s="71">
        <v>0</v>
      </c>
      <c r="N8" s="71">
        <f t="shared" si="14"/>
        <v>3204.5</v>
      </c>
      <c r="O8" s="124">
        <f t="shared" si="15"/>
        <v>3770</v>
      </c>
      <c r="P8" s="121">
        <f t="shared" si="16"/>
        <v>59.392085997590584</v>
      </c>
      <c r="Q8" s="101">
        <f t="shared" si="17"/>
        <v>0.15</v>
      </c>
      <c r="R8" s="87">
        <f t="shared" si="18"/>
        <v>565.5</v>
      </c>
      <c r="S8" s="74">
        <v>0.8</v>
      </c>
      <c r="T8" s="75">
        <f t="shared" si="19"/>
        <v>3016</v>
      </c>
      <c r="U8" s="76">
        <f t="shared" si="20"/>
        <v>4.9999999999999961E-2</v>
      </c>
      <c r="V8" s="69">
        <f t="shared" si="21"/>
        <v>188.49999999999986</v>
      </c>
      <c r="W8" s="77">
        <f ca="1">V8*VLOOKUP(TODAY(),'UF HOY'!$A$2:$B$36,2,0)</f>
        <v>7489847.6899999948</v>
      </c>
      <c r="X8" s="78">
        <f>Datos!$E$5</f>
        <v>8</v>
      </c>
      <c r="Y8" s="79">
        <f ca="1">IF((W8-1000000-Datos!$N$5)/X8&gt;0,(W8-1000000-Datos!$N$5)/X8,0)</f>
        <v>798730.96124999935</v>
      </c>
      <c r="Z8" s="78">
        <f>Datos!$G$5</f>
        <v>26</v>
      </c>
      <c r="AA8" s="79">
        <f ca="1">IF((W8-1000000-Datos!$N$5)/Z8&gt;0,(W8-1000000-Datos!$N$5)/Z8,0)</f>
        <v>245763.37269230749</v>
      </c>
      <c r="AB8" s="221">
        <f>IF(L8&gt;0,VLOOKUP(D8,Datos!$H$35:$J$38,3,0),VLOOKUP(D8,Datos!$H$35:$J$38,2,0))</f>
        <v>500000</v>
      </c>
      <c r="AC8" s="79">
        <f ca="1">(S8*PMT(Datos!$D$16,Datos!$D$13,-O8,,)*VLOOKUP(TODAY(),'UF HOY'!$A$2:$B$36,2,0)/12)+VLOOKUP(TODAY(),'UF HOY'!$A$2:$B$36,2,0)</f>
        <v>617252.11921163253</v>
      </c>
      <c r="AD8" s="79">
        <f t="shared" ca="1" si="22"/>
        <v>-117252.11921163253</v>
      </c>
      <c r="AE8" s="220">
        <f t="shared" ca="1" si="11"/>
        <v>2469008.4768465301</v>
      </c>
      <c r="AF8" s="45"/>
    </row>
    <row r="9" spans="1:33" hidden="1">
      <c r="A9" s="66" t="s">
        <v>171</v>
      </c>
      <c r="B9" s="66">
        <v>211</v>
      </c>
      <c r="C9" s="67" t="s">
        <v>103</v>
      </c>
      <c r="D9" s="67" t="s">
        <v>195</v>
      </c>
      <c r="E9" s="67"/>
      <c r="F9" s="66">
        <v>31.45</v>
      </c>
      <c r="G9" s="66">
        <v>6.69</v>
      </c>
      <c r="H9" s="67">
        <f t="shared" si="12"/>
        <v>34.795000000000002</v>
      </c>
      <c r="I9" s="68">
        <f t="shared" si="13"/>
        <v>38.14</v>
      </c>
      <c r="J9" s="69">
        <v>2850</v>
      </c>
      <c r="K9" s="263">
        <v>100</v>
      </c>
      <c r="L9" s="71">
        <v>0</v>
      </c>
      <c r="M9" s="71">
        <v>0</v>
      </c>
      <c r="N9" s="71">
        <f t="shared" si="14"/>
        <v>2337.5</v>
      </c>
      <c r="O9" s="124">
        <f t="shared" si="15"/>
        <v>2750</v>
      </c>
      <c r="P9" s="121">
        <f t="shared" si="16"/>
        <v>67.179192412702974</v>
      </c>
      <c r="Q9" s="101">
        <f t="shared" si="17"/>
        <v>0.15</v>
      </c>
      <c r="R9" s="87">
        <f t="shared" si="18"/>
        <v>412.5</v>
      </c>
      <c r="S9" s="74">
        <v>0.8</v>
      </c>
      <c r="T9" s="75">
        <f t="shared" si="19"/>
        <v>2200</v>
      </c>
      <c r="U9" s="76">
        <f t="shared" si="20"/>
        <v>4.9999999999999961E-2</v>
      </c>
      <c r="V9" s="69">
        <f t="shared" si="21"/>
        <v>137.49999999999989</v>
      </c>
      <c r="W9" s="77">
        <f ca="1">V9*VLOOKUP(TODAY(),'UF HOY'!$A$2:$B$36,2,0)</f>
        <v>5463416.7499999953</v>
      </c>
      <c r="X9" s="78">
        <f>Datos!$E$5</f>
        <v>8</v>
      </c>
      <c r="Y9" s="79">
        <f ca="1">IF((W9-1000000-Datos!$N$5)/X9&gt;0,(W9-1000000-Datos!$N$5)/X9,0)</f>
        <v>545427.09374999942</v>
      </c>
      <c r="Z9" s="78">
        <f>Datos!$G$5</f>
        <v>26</v>
      </c>
      <c r="AA9" s="79">
        <f ca="1">IF((W9-1000000-Datos!$N$5)/Z9&gt;0,(W9-1000000-Datos!$N$5)/Z9,0)</f>
        <v>167823.72115384598</v>
      </c>
      <c r="AB9" s="221">
        <f>IF(L9&gt;0,VLOOKUP(D9,Datos!$H$35:$J$38,3,0),VLOOKUP(D9,Datos!$H$35:$J$38,2,0))</f>
        <v>380000</v>
      </c>
      <c r="AC9" s="79">
        <f ca="1">(S9*PMT(Datos!$D$16,Datos!$D$13,-O9,,)*VLOOKUP(TODAY(),'UF HOY'!$A$2:$B$36,2,0)/12)+VLOOKUP(TODAY(),'UF HOY'!$A$2:$B$36,2,0)</f>
        <v>461000.51634800789</v>
      </c>
      <c r="AD9" s="79">
        <f t="shared" ca="1" si="22"/>
        <v>-81000.516348007892</v>
      </c>
      <c r="AE9" s="220">
        <f t="shared" ca="1" si="11"/>
        <v>1844002.0653920316</v>
      </c>
      <c r="AF9" s="45"/>
    </row>
    <row r="10" spans="1:33" hidden="1">
      <c r="A10" s="66" t="s">
        <v>171</v>
      </c>
      <c r="B10" s="66">
        <v>213</v>
      </c>
      <c r="C10" s="67" t="s">
        <v>103</v>
      </c>
      <c r="D10" s="67" t="s">
        <v>195</v>
      </c>
      <c r="E10" s="67"/>
      <c r="F10" s="66">
        <v>31.45</v>
      </c>
      <c r="G10" s="66">
        <v>6.95</v>
      </c>
      <c r="H10" s="67">
        <f t="shared" si="12"/>
        <v>34.924999999999997</v>
      </c>
      <c r="I10" s="68">
        <f t="shared" si="13"/>
        <v>38.4</v>
      </c>
      <c r="J10" s="69">
        <v>2850</v>
      </c>
      <c r="K10" s="263">
        <v>100</v>
      </c>
      <c r="L10" s="71">
        <v>0</v>
      </c>
      <c r="M10" s="71">
        <v>0</v>
      </c>
      <c r="N10" s="71">
        <f t="shared" si="14"/>
        <v>2337.5</v>
      </c>
      <c r="O10" s="124">
        <f t="shared" si="15"/>
        <v>2750</v>
      </c>
      <c r="P10" s="121">
        <f t="shared" si="16"/>
        <v>66.929133858267718</v>
      </c>
      <c r="Q10" s="101">
        <f t="shared" si="17"/>
        <v>0.15</v>
      </c>
      <c r="R10" s="87">
        <f t="shared" si="18"/>
        <v>412.5</v>
      </c>
      <c r="S10" s="74">
        <v>0.8</v>
      </c>
      <c r="T10" s="75">
        <f t="shared" si="19"/>
        <v>2200</v>
      </c>
      <c r="U10" s="76">
        <f t="shared" si="20"/>
        <v>4.9999999999999961E-2</v>
      </c>
      <c r="V10" s="69">
        <f t="shared" si="21"/>
        <v>137.49999999999989</v>
      </c>
      <c r="W10" s="77">
        <f ca="1">V10*VLOOKUP(TODAY(),'UF HOY'!$A$2:$B$36,2,0)</f>
        <v>5463416.7499999953</v>
      </c>
      <c r="X10" s="78">
        <f>Datos!$E$5</f>
        <v>8</v>
      </c>
      <c r="Y10" s="79">
        <f ca="1">IF((W10-1000000-Datos!$N$5)/X10&gt;0,(W10-1000000-Datos!$N$5)/X10,0)</f>
        <v>545427.09374999942</v>
      </c>
      <c r="Z10" s="78">
        <f>Datos!$G$5</f>
        <v>26</v>
      </c>
      <c r="AA10" s="79">
        <f ca="1">IF((W10-1000000-Datos!$N$5)/Z10&gt;0,(W10-1000000-Datos!$N$5)/Z10,0)</f>
        <v>167823.72115384598</v>
      </c>
      <c r="AB10" s="221">
        <f>IF(L10&gt;0,VLOOKUP(D10,Datos!$H$35:$J$38,3,0),VLOOKUP(D10,Datos!$H$35:$J$38,2,0))</f>
        <v>380000</v>
      </c>
      <c r="AC10" s="79">
        <f ca="1">(S10*PMT(Datos!$D$16,Datos!$D$13,-O10,,)*VLOOKUP(TODAY(),'UF HOY'!$A$2:$B$36,2,0)/12)+VLOOKUP(TODAY(),'UF HOY'!$A$2:$B$36,2,0)</f>
        <v>461000.51634800789</v>
      </c>
      <c r="AD10" s="79">
        <f t="shared" ca="1" si="22"/>
        <v>-81000.516348007892</v>
      </c>
      <c r="AE10" s="220">
        <f t="shared" ca="1" si="11"/>
        <v>1844002.0653920316</v>
      </c>
      <c r="AF10" s="45"/>
    </row>
    <row r="11" spans="1:33" hidden="1">
      <c r="A11" s="66" t="s">
        <v>171</v>
      </c>
      <c r="B11" s="66">
        <v>301</v>
      </c>
      <c r="C11" s="67" t="s">
        <v>129</v>
      </c>
      <c r="D11" s="67" t="s">
        <v>195</v>
      </c>
      <c r="E11" s="67"/>
      <c r="F11" s="66">
        <v>31.51</v>
      </c>
      <c r="G11" s="66">
        <v>5.69</v>
      </c>
      <c r="H11" s="67">
        <f t="shared" si="12"/>
        <v>34.355000000000004</v>
      </c>
      <c r="I11" s="68">
        <f t="shared" si="13"/>
        <v>37.200000000000003</v>
      </c>
      <c r="J11" s="69">
        <v>2850</v>
      </c>
      <c r="K11" s="263">
        <v>100</v>
      </c>
      <c r="L11" s="71">
        <v>0</v>
      </c>
      <c r="M11" s="71">
        <v>0</v>
      </c>
      <c r="N11" s="71">
        <f t="shared" si="14"/>
        <v>2337.5</v>
      </c>
      <c r="O11" s="124">
        <f t="shared" si="15"/>
        <v>2750</v>
      </c>
      <c r="P11" s="121">
        <f t="shared" si="16"/>
        <v>68.039586668607186</v>
      </c>
      <c r="Q11" s="101">
        <f t="shared" si="17"/>
        <v>0.15</v>
      </c>
      <c r="R11" s="87">
        <f t="shared" si="18"/>
        <v>412.5</v>
      </c>
      <c r="S11" s="74">
        <v>0.8</v>
      </c>
      <c r="T11" s="75">
        <f t="shared" si="19"/>
        <v>2200</v>
      </c>
      <c r="U11" s="76">
        <f t="shared" si="20"/>
        <v>4.9999999999999961E-2</v>
      </c>
      <c r="V11" s="69">
        <f t="shared" si="21"/>
        <v>137.49999999999989</v>
      </c>
      <c r="W11" s="77">
        <f ca="1">V11*VLOOKUP(TODAY(),'UF HOY'!$A$2:$B$36,2,0)</f>
        <v>5463416.7499999953</v>
      </c>
      <c r="X11" s="78">
        <f>Datos!$E$5</f>
        <v>8</v>
      </c>
      <c r="Y11" s="79">
        <f ca="1">IF((W11-1000000-Datos!$N$5)/X11&gt;0,(W11-1000000-Datos!$N$5)/X11,0)</f>
        <v>545427.09374999942</v>
      </c>
      <c r="Z11" s="78">
        <f>Datos!$G$5</f>
        <v>26</v>
      </c>
      <c r="AA11" s="79">
        <f ca="1">IF((W11-1000000-Datos!$N$5)/Z11&gt;0,(W11-1000000-Datos!$N$5)/Z11,0)</f>
        <v>167823.72115384598</v>
      </c>
      <c r="AB11" s="221">
        <f>IF(L11&gt;0,VLOOKUP(D11,Datos!$H$35:$J$38,3,0),VLOOKUP(D11,Datos!$H$35:$J$38,2,0))</f>
        <v>380000</v>
      </c>
      <c r="AC11" s="79">
        <f ca="1">(S11*PMT(Datos!$D$16,Datos!$D$13,-O11,,)*VLOOKUP(TODAY(),'UF HOY'!$A$2:$B$36,2,0)/12)+VLOOKUP(TODAY(),'UF HOY'!$A$2:$B$36,2,0)</f>
        <v>461000.51634800789</v>
      </c>
      <c r="AD11" s="79">
        <f t="shared" ca="1" si="22"/>
        <v>-81000.516348007892</v>
      </c>
      <c r="AE11" s="220">
        <f t="shared" ca="1" si="11"/>
        <v>1844002.0653920316</v>
      </c>
      <c r="AF11" s="45"/>
    </row>
    <row r="12" spans="1:33">
      <c r="A12" s="66" t="s">
        <v>4</v>
      </c>
      <c r="B12" s="66">
        <v>704</v>
      </c>
      <c r="C12" s="67" t="s">
        <v>122</v>
      </c>
      <c r="D12" s="67" t="s">
        <v>194</v>
      </c>
      <c r="E12" s="67"/>
      <c r="F12" s="66">
        <v>51.28</v>
      </c>
      <c r="G12" s="66">
        <v>5.35</v>
      </c>
      <c r="H12" s="67">
        <f t="shared" si="12"/>
        <v>53.954999999999998</v>
      </c>
      <c r="I12" s="68">
        <f t="shared" si="13"/>
        <v>56.63</v>
      </c>
      <c r="J12" s="69">
        <v>3870</v>
      </c>
      <c r="K12" s="263">
        <v>100</v>
      </c>
      <c r="L12" s="71">
        <v>0</v>
      </c>
      <c r="M12" s="71">
        <v>0</v>
      </c>
      <c r="N12" s="71">
        <f t="shared" si="14"/>
        <v>3204.5</v>
      </c>
      <c r="O12" s="124">
        <f t="shared" si="15"/>
        <v>3770</v>
      </c>
      <c r="P12" s="121">
        <f t="shared" si="16"/>
        <v>59.392085997590584</v>
      </c>
      <c r="Q12" s="101">
        <f t="shared" si="17"/>
        <v>0.15</v>
      </c>
      <c r="R12" s="87">
        <f t="shared" si="18"/>
        <v>565.5</v>
      </c>
      <c r="S12" s="74">
        <v>0.8</v>
      </c>
      <c r="T12" s="75">
        <f t="shared" si="19"/>
        <v>3016</v>
      </c>
      <c r="U12" s="76">
        <f t="shared" si="20"/>
        <v>4.9999999999999961E-2</v>
      </c>
      <c r="V12" s="69">
        <f t="shared" si="21"/>
        <v>188.49999999999986</v>
      </c>
      <c r="W12" s="77">
        <f ca="1">V12*VLOOKUP(TODAY(),'UF HOY'!$A$2:$B$36,2,0)</f>
        <v>7489847.6899999948</v>
      </c>
      <c r="X12" s="78">
        <f>Datos!$E$5</f>
        <v>8</v>
      </c>
      <c r="Y12" s="79">
        <f ca="1">IF((W12-1000000-Datos!$N$5)/X12&gt;0,(W12-1000000-Datos!$N$5)/X12,0)</f>
        <v>798730.96124999935</v>
      </c>
      <c r="Z12" s="78">
        <f>Datos!$G$5</f>
        <v>26</v>
      </c>
      <c r="AA12" s="79">
        <f ca="1">IF((W12-1000000-Datos!$N$5)/Z12&gt;0,(W12-1000000-Datos!$N$5)/Z12,0)</f>
        <v>245763.37269230749</v>
      </c>
      <c r="AB12" s="221">
        <f>IF(L12&gt;0,VLOOKUP(D12,Datos!$H$35:$J$38,3,0),VLOOKUP(D12,Datos!$H$35:$J$38,2,0))</f>
        <v>500000</v>
      </c>
      <c r="AC12" s="79">
        <f ca="1">(S12*PMT(Datos!$D$16,Datos!$D$13,-O12,,)*VLOOKUP(TODAY(),'UF HOY'!$A$2:$B$36,2,0)/12)+VLOOKUP(TODAY(),'UF HOY'!$A$2:$B$36,2,0)</f>
        <v>617252.11921163253</v>
      </c>
      <c r="AD12" s="79">
        <f t="shared" ca="1" si="22"/>
        <v>-117252.11921163253</v>
      </c>
      <c r="AE12" s="220">
        <f t="shared" ca="1" si="11"/>
        <v>2469008.4768465301</v>
      </c>
      <c r="AF12" s="45"/>
    </row>
    <row r="13" spans="1:33" hidden="1">
      <c r="A13" s="66" t="s">
        <v>171</v>
      </c>
      <c r="B13" s="66">
        <v>316</v>
      </c>
      <c r="C13" s="67" t="s">
        <v>131</v>
      </c>
      <c r="D13" s="67" t="s">
        <v>195</v>
      </c>
      <c r="E13" s="67"/>
      <c r="F13" s="66">
        <v>31.45</v>
      </c>
      <c r="G13" s="66">
        <v>6.72</v>
      </c>
      <c r="H13" s="67">
        <f t="shared" si="12"/>
        <v>34.81</v>
      </c>
      <c r="I13" s="68">
        <f t="shared" si="13"/>
        <v>38.17</v>
      </c>
      <c r="J13" s="69">
        <v>2850</v>
      </c>
      <c r="K13" s="263">
        <v>100</v>
      </c>
      <c r="L13" s="71">
        <v>0</v>
      </c>
      <c r="M13" s="71">
        <v>0</v>
      </c>
      <c r="N13" s="71">
        <f t="shared" si="14"/>
        <v>2337.5</v>
      </c>
      <c r="O13" s="124">
        <f t="shared" si="15"/>
        <v>2750</v>
      </c>
      <c r="P13" s="121">
        <f t="shared" si="16"/>
        <v>67.150244182706118</v>
      </c>
      <c r="Q13" s="101">
        <f t="shared" si="17"/>
        <v>0.15</v>
      </c>
      <c r="R13" s="87">
        <f t="shared" si="18"/>
        <v>412.5</v>
      </c>
      <c r="S13" s="74">
        <v>0.8</v>
      </c>
      <c r="T13" s="75">
        <f t="shared" si="19"/>
        <v>2200</v>
      </c>
      <c r="U13" s="76">
        <f t="shared" si="20"/>
        <v>4.9999999999999961E-2</v>
      </c>
      <c r="V13" s="69">
        <f t="shared" si="21"/>
        <v>137.49999999999989</v>
      </c>
      <c r="W13" s="77">
        <f ca="1">V13*VLOOKUP(TODAY(),'UF HOY'!$A$2:$B$36,2,0)</f>
        <v>5463416.7499999953</v>
      </c>
      <c r="X13" s="78">
        <f>Datos!$E$5</f>
        <v>8</v>
      </c>
      <c r="Y13" s="79">
        <f ca="1">IF((W13-1000000-Datos!$N$5)/X13&gt;0,(W13-1000000-Datos!$N$5)/X13,0)</f>
        <v>545427.09374999942</v>
      </c>
      <c r="Z13" s="78">
        <f>Datos!$G$5</f>
        <v>26</v>
      </c>
      <c r="AA13" s="79">
        <f ca="1">IF((W13-1000000-Datos!$N$5)/Z13&gt;0,(W13-1000000-Datos!$N$5)/Z13,0)</f>
        <v>167823.72115384598</v>
      </c>
      <c r="AB13" s="221">
        <f>IF(L13&gt;0,VLOOKUP(D13,Datos!$H$35:$J$38,3,0),VLOOKUP(D13,Datos!$H$35:$J$38,2,0))</f>
        <v>380000</v>
      </c>
      <c r="AC13" s="79">
        <f ca="1">(S13*PMT(Datos!$D$16,Datos!$D$13,-O13,,)*VLOOKUP(TODAY(),'UF HOY'!$A$2:$B$36,2,0)/12)+VLOOKUP(TODAY(),'UF HOY'!$A$2:$B$36,2,0)</f>
        <v>461000.51634800789</v>
      </c>
      <c r="AD13" s="79">
        <f t="shared" ca="1" si="22"/>
        <v>-81000.516348007892</v>
      </c>
      <c r="AE13" s="220">
        <f t="shared" ca="1" si="11"/>
        <v>1844002.0653920316</v>
      </c>
      <c r="AF13" s="45"/>
    </row>
    <row r="14" spans="1:33" hidden="1">
      <c r="A14" s="66" t="s">
        <v>171</v>
      </c>
      <c r="B14" s="66">
        <v>402</v>
      </c>
      <c r="C14" s="67" t="s">
        <v>129</v>
      </c>
      <c r="D14" s="67" t="s">
        <v>195</v>
      </c>
      <c r="E14" s="67"/>
      <c r="F14" s="66">
        <v>33.14</v>
      </c>
      <c r="G14" s="66">
        <v>7.54</v>
      </c>
      <c r="H14" s="67">
        <f t="shared" si="12"/>
        <v>36.910000000000004</v>
      </c>
      <c r="I14" s="68">
        <f t="shared" si="13"/>
        <v>40.68</v>
      </c>
      <c r="J14" s="69">
        <v>2850</v>
      </c>
      <c r="K14" s="263">
        <v>100</v>
      </c>
      <c r="L14" s="71">
        <v>0</v>
      </c>
      <c r="M14" s="71">
        <v>0</v>
      </c>
      <c r="N14" s="71">
        <f t="shared" si="14"/>
        <v>2337.5</v>
      </c>
      <c r="O14" s="124">
        <f t="shared" si="15"/>
        <v>2750</v>
      </c>
      <c r="P14" s="121">
        <f t="shared" si="16"/>
        <v>63.329720942833916</v>
      </c>
      <c r="Q14" s="101">
        <f t="shared" si="17"/>
        <v>0.15</v>
      </c>
      <c r="R14" s="87">
        <f t="shared" si="18"/>
        <v>412.5</v>
      </c>
      <c r="S14" s="74">
        <v>0.8</v>
      </c>
      <c r="T14" s="75">
        <f t="shared" si="19"/>
        <v>2200</v>
      </c>
      <c r="U14" s="76">
        <f t="shared" si="20"/>
        <v>4.9999999999999961E-2</v>
      </c>
      <c r="V14" s="69">
        <f t="shared" si="21"/>
        <v>137.49999999999989</v>
      </c>
      <c r="W14" s="77">
        <f ca="1">V14*VLOOKUP(TODAY(),'UF HOY'!$A$2:$B$36,2,0)</f>
        <v>5463416.7499999953</v>
      </c>
      <c r="X14" s="78">
        <f>Datos!$E$5</f>
        <v>8</v>
      </c>
      <c r="Y14" s="79">
        <f ca="1">IF((W14-1000000-Datos!$N$5)/X14&gt;0,(W14-1000000-Datos!$N$5)/X14,0)</f>
        <v>545427.09374999942</v>
      </c>
      <c r="Z14" s="78">
        <f>Datos!$G$5</f>
        <v>26</v>
      </c>
      <c r="AA14" s="79">
        <f ca="1">IF((W14-1000000-Datos!$N$5)/Z14&gt;0,(W14-1000000-Datos!$N$5)/Z14,0)</f>
        <v>167823.72115384598</v>
      </c>
      <c r="AB14" s="221">
        <f>IF(L14&gt;0,VLOOKUP(D14,Datos!$H$35:$J$38,3,0),VLOOKUP(D14,Datos!$H$35:$J$38,2,0))</f>
        <v>380000</v>
      </c>
      <c r="AC14" s="79">
        <f ca="1">(S14*PMT(Datos!$D$16,Datos!$D$13,-O14,,)*VLOOKUP(TODAY(),'UF HOY'!$A$2:$B$36,2,0)/12)+VLOOKUP(TODAY(),'UF HOY'!$A$2:$B$36,2,0)</f>
        <v>461000.51634800789</v>
      </c>
      <c r="AD14" s="79">
        <f t="shared" ca="1" si="22"/>
        <v>-81000.516348007892</v>
      </c>
      <c r="AE14" s="220">
        <f t="shared" ca="1" si="11"/>
        <v>1844002.0653920316</v>
      </c>
      <c r="AF14" s="45"/>
    </row>
    <row r="15" spans="1:33" hidden="1">
      <c r="A15" s="66" t="s">
        <v>171</v>
      </c>
      <c r="B15" s="66">
        <v>414</v>
      </c>
      <c r="C15" s="67" t="s">
        <v>121</v>
      </c>
      <c r="D15" s="67" t="s">
        <v>194</v>
      </c>
      <c r="E15" s="67"/>
      <c r="F15" s="66">
        <v>47.98</v>
      </c>
      <c r="G15" s="66">
        <v>6.15</v>
      </c>
      <c r="H15" s="67">
        <f t="shared" si="12"/>
        <v>51.055</v>
      </c>
      <c r="I15" s="68">
        <f t="shared" si="13"/>
        <v>54.129999999999995</v>
      </c>
      <c r="J15" s="69">
        <v>3580</v>
      </c>
      <c r="K15" s="263">
        <v>100</v>
      </c>
      <c r="L15" s="71">
        <v>0</v>
      </c>
      <c r="M15" s="71">
        <v>0</v>
      </c>
      <c r="N15" s="71">
        <f t="shared" si="14"/>
        <v>2958</v>
      </c>
      <c r="O15" s="124">
        <f t="shared" si="15"/>
        <v>3480</v>
      </c>
      <c r="P15" s="121">
        <f t="shared" si="16"/>
        <v>57.937518362550193</v>
      </c>
      <c r="Q15" s="101">
        <f t="shared" si="17"/>
        <v>0.15</v>
      </c>
      <c r="R15" s="87">
        <f t="shared" si="18"/>
        <v>522</v>
      </c>
      <c r="S15" s="74">
        <v>0.8</v>
      </c>
      <c r="T15" s="75">
        <f t="shared" si="19"/>
        <v>2784</v>
      </c>
      <c r="U15" s="76">
        <f t="shared" si="20"/>
        <v>4.9999999999999961E-2</v>
      </c>
      <c r="V15" s="69">
        <f t="shared" si="21"/>
        <v>173.99999999999986</v>
      </c>
      <c r="W15" s="77">
        <f ca="1">V15*VLOOKUP(TODAY(),'UF HOY'!$A$2:$B$36,2,0)</f>
        <v>6913705.5599999949</v>
      </c>
      <c r="X15" s="78">
        <f>Datos!$E$5</f>
        <v>8</v>
      </c>
      <c r="Y15" s="79">
        <f ca="1">IF((W15-1000000-Datos!$N$5)/X15&gt;0,(W15-1000000-Datos!$N$5)/X15,0)</f>
        <v>726713.19499999937</v>
      </c>
      <c r="Z15" s="78">
        <f>Datos!$G$5</f>
        <v>26</v>
      </c>
      <c r="AA15" s="79">
        <f ca="1">IF((W15-1000000-Datos!$N$5)/Z15&gt;0,(W15-1000000-Datos!$N$5)/Z15,0)</f>
        <v>223604.05999999979</v>
      </c>
      <c r="AB15" s="221">
        <f>IF(L15&gt;0,VLOOKUP(D15,Datos!$H$35:$J$38,3,0),VLOOKUP(D15,Datos!$H$35:$J$38,2,0))</f>
        <v>500000</v>
      </c>
      <c r="AC15" s="79">
        <f ca="1">(S15*PMT(Datos!$D$16,Datos!$D$13,-O15,,)*VLOOKUP(TODAY(),'UF HOY'!$A$2:$B$36,2,0)/12)+VLOOKUP(TODAY(),'UF HOY'!$A$2:$B$36,2,0)</f>
        <v>572827.64388766093</v>
      </c>
      <c r="AD15" s="79">
        <f t="shared" ca="1" si="22"/>
        <v>-72827.643887660932</v>
      </c>
      <c r="AE15" s="220">
        <f t="shared" ca="1" si="11"/>
        <v>2291310.5755506437</v>
      </c>
      <c r="AF15" s="45"/>
    </row>
    <row r="16" spans="1:33" hidden="1">
      <c r="A16" s="66" t="s">
        <v>171</v>
      </c>
      <c r="B16" s="66">
        <v>415</v>
      </c>
      <c r="C16" s="67" t="s">
        <v>122</v>
      </c>
      <c r="D16" s="67" t="s">
        <v>194</v>
      </c>
      <c r="E16" s="67"/>
      <c r="F16" s="66">
        <v>47.98</v>
      </c>
      <c r="G16" s="66">
        <v>5.96</v>
      </c>
      <c r="H16" s="67">
        <f t="shared" si="12"/>
        <v>50.959999999999994</v>
      </c>
      <c r="I16" s="68">
        <f t="shared" si="13"/>
        <v>53.94</v>
      </c>
      <c r="J16" s="69">
        <v>3580</v>
      </c>
      <c r="K16" s="263">
        <v>100</v>
      </c>
      <c r="L16" s="71">
        <v>0</v>
      </c>
      <c r="M16" s="71">
        <v>0</v>
      </c>
      <c r="N16" s="71">
        <f t="shared" si="14"/>
        <v>2958</v>
      </c>
      <c r="O16" s="124">
        <f t="shared" si="15"/>
        <v>3480</v>
      </c>
      <c r="P16" s="121">
        <f t="shared" si="16"/>
        <v>58.045525902668764</v>
      </c>
      <c r="Q16" s="101">
        <f t="shared" si="17"/>
        <v>0.15</v>
      </c>
      <c r="R16" s="87">
        <f t="shared" si="18"/>
        <v>522</v>
      </c>
      <c r="S16" s="74">
        <v>0.85</v>
      </c>
      <c r="T16" s="75">
        <f t="shared" si="19"/>
        <v>2958</v>
      </c>
      <c r="U16" s="76">
        <f t="shared" si="20"/>
        <v>0</v>
      </c>
      <c r="V16" s="69">
        <f t="shared" si="21"/>
        <v>0</v>
      </c>
      <c r="W16" s="77">
        <f ca="1">V16*VLOOKUP(TODAY(),'UF HOY'!$A$2:$B$36,2,0)</f>
        <v>0</v>
      </c>
      <c r="X16" s="78">
        <f>Datos!$E$5</f>
        <v>8</v>
      </c>
      <c r="Y16" s="79">
        <f ca="1">IF((W16-1000000-Datos!$N$5)/X16&gt;0,(W16-1000000-Datos!$N$5)/X16,0)</f>
        <v>0</v>
      </c>
      <c r="Z16" s="78">
        <f>Datos!$G$5</f>
        <v>26</v>
      </c>
      <c r="AA16" s="79">
        <f ca="1">IF((W16-1000000-Datos!$N$5)/Z16&gt;0,(W16-1000000-Datos!$N$5)/Z16,0)</f>
        <v>0</v>
      </c>
      <c r="AB16" s="221">
        <f>IF(L16&gt;0,VLOOKUP(D16,Datos!$H$35:$J$38,3,0),VLOOKUP(D16,Datos!$H$35:$J$38,2,0))</f>
        <v>500000</v>
      </c>
      <c r="AC16" s="79">
        <f ca="1">(S16*PMT(Datos!$D$16,Datos!$D$13,-O16,,)*VLOOKUP(TODAY(),'UF HOY'!$A$2:$B$36,2,0)/12)+VLOOKUP(TODAY(),'UF HOY'!$A$2:$B$36,2,0)</f>
        <v>606146.00038063969</v>
      </c>
      <c r="AD16" s="79">
        <f t="shared" ca="1" si="22"/>
        <v>-106146.00038063969</v>
      </c>
      <c r="AE16" s="220">
        <f t="shared" ca="1" si="11"/>
        <v>2424584.0015225587</v>
      </c>
      <c r="AF16" s="45"/>
    </row>
    <row r="17" spans="1:32">
      <c r="A17" s="66" t="s">
        <v>4</v>
      </c>
      <c r="B17" s="66">
        <v>804</v>
      </c>
      <c r="C17" s="67" t="s">
        <v>122</v>
      </c>
      <c r="D17" s="67" t="s">
        <v>194</v>
      </c>
      <c r="E17" s="67"/>
      <c r="F17" s="66">
        <v>51.28</v>
      </c>
      <c r="G17" s="66">
        <v>5.35</v>
      </c>
      <c r="H17" s="67">
        <f t="shared" si="12"/>
        <v>53.954999999999998</v>
      </c>
      <c r="I17" s="68">
        <f t="shared" si="13"/>
        <v>56.63</v>
      </c>
      <c r="J17" s="69">
        <v>3870</v>
      </c>
      <c r="K17" s="263">
        <v>100</v>
      </c>
      <c r="L17" s="71">
        <v>0</v>
      </c>
      <c r="M17" s="71">
        <v>0</v>
      </c>
      <c r="N17" s="71">
        <f t="shared" si="14"/>
        <v>3204.5</v>
      </c>
      <c r="O17" s="124">
        <f t="shared" si="15"/>
        <v>3770</v>
      </c>
      <c r="P17" s="121">
        <f t="shared" si="16"/>
        <v>59.392085997590584</v>
      </c>
      <c r="Q17" s="101">
        <f t="shared" si="17"/>
        <v>0.15</v>
      </c>
      <c r="R17" s="87">
        <f t="shared" si="18"/>
        <v>565.5</v>
      </c>
      <c r="S17" s="74">
        <v>0.8</v>
      </c>
      <c r="T17" s="75">
        <f t="shared" si="19"/>
        <v>3016</v>
      </c>
      <c r="U17" s="76">
        <f t="shared" si="20"/>
        <v>4.9999999999999961E-2</v>
      </c>
      <c r="V17" s="69">
        <f t="shared" si="21"/>
        <v>188.49999999999986</v>
      </c>
      <c r="W17" s="77">
        <f ca="1">V17*VLOOKUP(TODAY(),'UF HOY'!$A$2:$B$36,2,0)</f>
        <v>7489847.6899999948</v>
      </c>
      <c r="X17" s="78">
        <f>Datos!$E$5</f>
        <v>8</v>
      </c>
      <c r="Y17" s="79">
        <f ca="1">IF((W17-1000000-Datos!$N$5)/X17&gt;0,(W17-1000000-Datos!$N$5)/X17,0)</f>
        <v>798730.96124999935</v>
      </c>
      <c r="Z17" s="78">
        <f>Datos!$G$5</f>
        <v>26</v>
      </c>
      <c r="AA17" s="79">
        <f ca="1">IF((W17-1000000-Datos!$N$5)/Z17&gt;0,(W17-1000000-Datos!$N$5)/Z17,0)</f>
        <v>245763.37269230749</v>
      </c>
      <c r="AB17" s="221">
        <f>IF(L17&gt;0,VLOOKUP(D17,Datos!$H$35:$J$38,3,0),VLOOKUP(D17,Datos!$H$35:$J$38,2,0))</f>
        <v>500000</v>
      </c>
      <c r="AC17" s="79">
        <f ca="1">(S17*PMT(Datos!$D$16,Datos!$D$13,-O17,,)*VLOOKUP(TODAY(),'UF HOY'!$A$2:$B$36,2,0)/12)+VLOOKUP(TODAY(),'UF HOY'!$A$2:$B$36,2,0)</f>
        <v>617252.11921163253</v>
      </c>
      <c r="AD17" s="79">
        <f t="shared" ca="1" si="22"/>
        <v>-117252.11921163253</v>
      </c>
      <c r="AE17" s="220">
        <f t="shared" ca="1" si="11"/>
        <v>2469008.4768465301</v>
      </c>
      <c r="AF17" s="45"/>
    </row>
    <row r="18" spans="1:32" hidden="1">
      <c r="A18" s="66" t="s">
        <v>171</v>
      </c>
      <c r="B18" s="66">
        <v>504</v>
      </c>
      <c r="C18" s="67" t="s">
        <v>122</v>
      </c>
      <c r="D18" s="67" t="s">
        <v>194</v>
      </c>
      <c r="E18" s="67"/>
      <c r="F18" s="66">
        <v>51.28</v>
      </c>
      <c r="G18" s="66">
        <v>5.35</v>
      </c>
      <c r="H18" s="67">
        <f t="shared" si="12"/>
        <v>53.954999999999998</v>
      </c>
      <c r="I18" s="68">
        <f t="shared" si="13"/>
        <v>56.63</v>
      </c>
      <c r="J18" s="69">
        <v>3870</v>
      </c>
      <c r="K18" s="263">
        <v>100</v>
      </c>
      <c r="L18" s="71">
        <v>0</v>
      </c>
      <c r="M18" s="71">
        <v>80</v>
      </c>
      <c r="N18" s="71">
        <f t="shared" si="14"/>
        <v>3272.5</v>
      </c>
      <c r="O18" s="124">
        <f t="shared" si="15"/>
        <v>3850</v>
      </c>
      <c r="P18" s="121">
        <f t="shared" si="16"/>
        <v>59.169678435733481</v>
      </c>
      <c r="Q18" s="101">
        <f t="shared" si="17"/>
        <v>0.15</v>
      </c>
      <c r="R18" s="87">
        <f t="shared" si="18"/>
        <v>577.5</v>
      </c>
      <c r="S18" s="74">
        <v>0.8</v>
      </c>
      <c r="T18" s="75">
        <f t="shared" si="19"/>
        <v>3080</v>
      </c>
      <c r="U18" s="76">
        <f t="shared" si="20"/>
        <v>4.9999999999999961E-2</v>
      </c>
      <c r="V18" s="69">
        <f t="shared" si="21"/>
        <v>192.49999999999986</v>
      </c>
      <c r="W18" s="77">
        <f ca="1">V18*VLOOKUP(TODAY(),'UF HOY'!$A$2:$B$36,2,0)</f>
        <v>7648783.4499999946</v>
      </c>
      <c r="X18" s="78">
        <f>Datos!$E$5</f>
        <v>8</v>
      </c>
      <c r="Y18" s="79">
        <f ca="1">IF((W18-1000000-Datos!$N$5)/X18&gt;0,(W18-1000000-Datos!$N$5)/X18,0)</f>
        <v>818597.93124999932</v>
      </c>
      <c r="Z18" s="78">
        <f>Datos!$G$5</f>
        <v>26</v>
      </c>
      <c r="AA18" s="79">
        <f ca="1">IF((W18-1000000-Datos!$N$5)/Z18&gt;0,(W18-1000000-Datos!$N$5)/Z18,0)</f>
        <v>251876.28653846134</v>
      </c>
      <c r="AB18" s="221">
        <f>IF(L18&gt;0,VLOOKUP(D18,Datos!$H$35:$J$38,3,0),VLOOKUP(D18,Datos!$H$35:$J$38,2,0))</f>
        <v>500000</v>
      </c>
      <c r="AC18" s="79">
        <f ca="1">(S18*PMT(Datos!$D$16,Datos!$D$13,-O18,,)*VLOOKUP(TODAY(),'UF HOY'!$A$2:$B$36,2,0)/12)+VLOOKUP(TODAY(),'UF HOY'!$A$2:$B$36,2,0)</f>
        <v>629507.14688721113</v>
      </c>
      <c r="AD18" s="79">
        <f t="shared" ca="1" si="22"/>
        <v>-129507.14688721113</v>
      </c>
      <c r="AE18" s="220">
        <f t="shared" ca="1" si="11"/>
        <v>2518028.5875488445</v>
      </c>
      <c r="AF18" s="45"/>
    </row>
    <row r="19" spans="1:32" hidden="1">
      <c r="A19" s="66" t="s">
        <v>171</v>
      </c>
      <c r="B19" s="66">
        <v>507</v>
      </c>
      <c r="C19" s="67" t="s">
        <v>130</v>
      </c>
      <c r="D19" s="67" t="s">
        <v>194</v>
      </c>
      <c r="E19" s="67"/>
      <c r="F19" s="66">
        <v>40.93</v>
      </c>
      <c r="G19" s="66">
        <v>9.11</v>
      </c>
      <c r="H19" s="67">
        <f t="shared" si="12"/>
        <v>45.484999999999999</v>
      </c>
      <c r="I19" s="68">
        <f t="shared" si="13"/>
        <v>50.04</v>
      </c>
      <c r="J19" s="69">
        <v>3410</v>
      </c>
      <c r="K19" s="263">
        <v>100</v>
      </c>
      <c r="L19" s="71">
        <v>0</v>
      </c>
      <c r="M19" s="71">
        <v>0</v>
      </c>
      <c r="N19" s="71">
        <f t="shared" si="14"/>
        <v>2813.5</v>
      </c>
      <c r="O19" s="124">
        <f t="shared" si="15"/>
        <v>3310</v>
      </c>
      <c r="P19" s="121">
        <f t="shared" si="16"/>
        <v>61.855556776959439</v>
      </c>
      <c r="Q19" s="101">
        <f t="shared" si="17"/>
        <v>0.15</v>
      </c>
      <c r="R19" s="87">
        <f t="shared" si="18"/>
        <v>496.5</v>
      </c>
      <c r="S19" s="74">
        <v>0.8</v>
      </c>
      <c r="T19" s="75">
        <f t="shared" si="19"/>
        <v>2648</v>
      </c>
      <c r="U19" s="76">
        <f t="shared" si="20"/>
        <v>4.9999999999999961E-2</v>
      </c>
      <c r="V19" s="69">
        <f t="shared" si="21"/>
        <v>165.49999999999986</v>
      </c>
      <c r="W19" s="77">
        <f ca="1">V19*VLOOKUP(TODAY(),'UF HOY'!$A$2:$B$36,2,0)</f>
        <v>6575967.0699999947</v>
      </c>
      <c r="X19" s="78">
        <f>Datos!$E$5</f>
        <v>8</v>
      </c>
      <c r="Y19" s="79">
        <f ca="1">IF((W19-1000000-Datos!$N$5)/X19&gt;0,(W19-1000000-Datos!$N$5)/X19,0)</f>
        <v>684495.88374999934</v>
      </c>
      <c r="Z19" s="78">
        <f>Datos!$G$5</f>
        <v>26</v>
      </c>
      <c r="AA19" s="79">
        <f ca="1">IF((W19-1000000-Datos!$N$5)/Z19&gt;0,(W19-1000000-Datos!$N$5)/Z19,0)</f>
        <v>210614.11807692287</v>
      </c>
      <c r="AB19" s="221">
        <f>IF(L19&gt;0,VLOOKUP(D19,Datos!$H$35:$J$38,3,0),VLOOKUP(D19,Datos!$H$35:$J$38,2,0))</f>
        <v>500000</v>
      </c>
      <c r="AC19" s="79">
        <f ca="1">(S19*PMT(Datos!$D$16,Datos!$D$13,-O19,,)*VLOOKUP(TODAY(),'UF HOY'!$A$2:$B$36,2,0)/12)+VLOOKUP(TODAY(),'UF HOY'!$A$2:$B$36,2,0)</f>
        <v>546785.71007705678</v>
      </c>
      <c r="AD19" s="79">
        <f t="shared" ca="1" si="22"/>
        <v>-46785.710077056778</v>
      </c>
      <c r="AE19" s="220">
        <f t="shared" ca="1" si="11"/>
        <v>2187142.8403082271</v>
      </c>
      <c r="AF19" s="45"/>
    </row>
    <row r="20" spans="1:32" hidden="1">
      <c r="A20" s="66" t="s">
        <v>171</v>
      </c>
      <c r="B20" s="66">
        <v>509</v>
      </c>
      <c r="C20" s="67" t="s">
        <v>124</v>
      </c>
      <c r="D20" s="67" t="s">
        <v>194</v>
      </c>
      <c r="E20" s="67"/>
      <c r="F20" s="66">
        <v>55.73</v>
      </c>
      <c r="G20" s="66">
        <v>9.4599999999999991</v>
      </c>
      <c r="H20" s="67">
        <f t="shared" si="12"/>
        <v>60.459999999999994</v>
      </c>
      <c r="I20" s="68">
        <f t="shared" si="13"/>
        <v>65.19</v>
      </c>
      <c r="J20" s="69">
        <v>3990</v>
      </c>
      <c r="K20" s="263">
        <v>100</v>
      </c>
      <c r="L20" s="71">
        <v>0</v>
      </c>
      <c r="M20" s="71">
        <v>0</v>
      </c>
      <c r="N20" s="71">
        <f t="shared" si="14"/>
        <v>3306.5</v>
      </c>
      <c r="O20" s="124">
        <f t="shared" si="15"/>
        <v>3890</v>
      </c>
      <c r="P20" s="121">
        <f t="shared" si="16"/>
        <v>54.689050611974864</v>
      </c>
      <c r="Q20" s="101">
        <f t="shared" si="17"/>
        <v>0.15</v>
      </c>
      <c r="R20" s="87">
        <f t="shared" si="18"/>
        <v>583.5</v>
      </c>
      <c r="S20" s="74">
        <v>0.8</v>
      </c>
      <c r="T20" s="75">
        <f t="shared" si="19"/>
        <v>3112</v>
      </c>
      <c r="U20" s="76">
        <f t="shared" si="20"/>
        <v>4.9999999999999961E-2</v>
      </c>
      <c r="V20" s="69">
        <f t="shared" si="21"/>
        <v>194.49999999999986</v>
      </c>
      <c r="W20" s="77">
        <f ca="1">V20*VLOOKUP(TODAY(),'UF HOY'!$A$2:$B$36,2,0)</f>
        <v>7728251.3299999945</v>
      </c>
      <c r="X20" s="78">
        <f>Datos!$E$5</f>
        <v>8</v>
      </c>
      <c r="Y20" s="79">
        <f ca="1">IF((W20-1000000-Datos!$N$5)/X20&gt;0,(W20-1000000-Datos!$N$5)/X20,0)</f>
        <v>828531.41624999931</v>
      </c>
      <c r="Z20" s="78">
        <f>Datos!$G$5</f>
        <v>26</v>
      </c>
      <c r="AA20" s="79">
        <f ca="1">IF((W20-1000000-Datos!$N$5)/Z20&gt;0,(W20-1000000-Datos!$N$5)/Z20,0)</f>
        <v>254932.74346153825</v>
      </c>
      <c r="AB20" s="221">
        <f>IF(L20&gt;0,VLOOKUP(D20,Datos!$H$35:$J$38,3,0),VLOOKUP(D20,Datos!$H$35:$J$38,2,0))</f>
        <v>500000</v>
      </c>
      <c r="AC20" s="79">
        <f ca="1">(S20*PMT(Datos!$D$16,Datos!$D$13,-O20,,)*VLOOKUP(TODAY(),'UF HOY'!$A$2:$B$36,2,0)/12)+VLOOKUP(TODAY(),'UF HOY'!$A$2:$B$36,2,0)</f>
        <v>635634.66072500008</v>
      </c>
      <c r="AD20" s="79">
        <f t="shared" ca="1" si="22"/>
        <v>-135634.66072500008</v>
      </c>
      <c r="AE20" s="220">
        <f t="shared" ca="1" si="11"/>
        <v>2542538.6429000003</v>
      </c>
      <c r="AF20" s="45"/>
    </row>
    <row r="21" spans="1:32">
      <c r="A21" s="66" t="s">
        <v>4</v>
      </c>
      <c r="B21" s="66">
        <v>1104</v>
      </c>
      <c r="C21" s="67" t="s">
        <v>122</v>
      </c>
      <c r="D21" s="67" t="s">
        <v>194</v>
      </c>
      <c r="E21" s="67"/>
      <c r="F21" s="66">
        <v>51.28</v>
      </c>
      <c r="G21" s="66">
        <v>5.35</v>
      </c>
      <c r="H21" s="67">
        <f t="shared" si="12"/>
        <v>53.954999999999998</v>
      </c>
      <c r="I21" s="68">
        <f t="shared" si="13"/>
        <v>56.63</v>
      </c>
      <c r="J21" s="69">
        <v>3870</v>
      </c>
      <c r="K21" s="263">
        <v>100</v>
      </c>
      <c r="L21" s="71">
        <v>0</v>
      </c>
      <c r="M21" s="71">
        <v>0</v>
      </c>
      <c r="N21" s="71">
        <f t="shared" si="14"/>
        <v>3204.5</v>
      </c>
      <c r="O21" s="124">
        <f t="shared" si="15"/>
        <v>3770</v>
      </c>
      <c r="P21" s="121">
        <f t="shared" si="16"/>
        <v>59.392085997590584</v>
      </c>
      <c r="Q21" s="101">
        <f t="shared" si="17"/>
        <v>0.15</v>
      </c>
      <c r="R21" s="87">
        <f t="shared" si="18"/>
        <v>565.5</v>
      </c>
      <c r="S21" s="74">
        <v>0.8</v>
      </c>
      <c r="T21" s="75">
        <f t="shared" si="19"/>
        <v>3016</v>
      </c>
      <c r="U21" s="76">
        <f t="shared" si="20"/>
        <v>4.9999999999999961E-2</v>
      </c>
      <c r="V21" s="69">
        <f t="shared" si="21"/>
        <v>188.49999999999986</v>
      </c>
      <c r="W21" s="77">
        <f ca="1">V21*VLOOKUP(TODAY(),'UF HOY'!$A$2:$B$36,2,0)</f>
        <v>7489847.6899999948</v>
      </c>
      <c r="X21" s="78">
        <f>Datos!$E$5</f>
        <v>8</v>
      </c>
      <c r="Y21" s="79">
        <f ca="1">IF((W21-1000000-Datos!$N$5)/X21&gt;0,(W21-1000000-Datos!$N$5)/X21,0)</f>
        <v>798730.96124999935</v>
      </c>
      <c r="Z21" s="78">
        <f>Datos!$G$5</f>
        <v>26</v>
      </c>
      <c r="AA21" s="79">
        <f ca="1">IF((W21-1000000-Datos!$N$5)/Z21&gt;0,(W21-1000000-Datos!$N$5)/Z21,0)</f>
        <v>245763.37269230749</v>
      </c>
      <c r="AB21" s="221">
        <f>IF(L21&gt;0,VLOOKUP(D21,Datos!$H$35:$J$38,3,0),VLOOKUP(D21,Datos!$H$35:$J$38,2,0))</f>
        <v>500000</v>
      </c>
      <c r="AC21" s="79">
        <f ca="1">(S21*PMT(Datos!$D$16,Datos!$D$13,-O21,,)*VLOOKUP(TODAY(),'UF HOY'!$A$2:$B$36,2,0)/12)+VLOOKUP(TODAY(),'UF HOY'!$A$2:$B$36,2,0)</f>
        <v>617252.11921163253</v>
      </c>
      <c r="AD21" s="79">
        <f t="shared" ca="1" si="22"/>
        <v>-117252.11921163253</v>
      </c>
      <c r="AE21" s="220">
        <f t="shared" ca="1" si="11"/>
        <v>2469008.4768465301</v>
      </c>
      <c r="AF21" s="45"/>
    </row>
    <row r="22" spans="1:32" hidden="1">
      <c r="A22" s="66" t="s">
        <v>171</v>
      </c>
      <c r="B22" s="66">
        <v>606</v>
      </c>
      <c r="C22" s="67" t="s">
        <v>130</v>
      </c>
      <c r="D22" s="67" t="s">
        <v>195</v>
      </c>
      <c r="E22" s="67"/>
      <c r="F22" s="66">
        <v>31.45</v>
      </c>
      <c r="G22" s="66">
        <v>7.35</v>
      </c>
      <c r="H22" s="67">
        <f t="shared" si="12"/>
        <v>35.125</v>
      </c>
      <c r="I22" s="68">
        <f t="shared" si="13"/>
        <v>38.799999999999997</v>
      </c>
      <c r="J22" s="69">
        <v>2850</v>
      </c>
      <c r="K22" s="263">
        <v>100</v>
      </c>
      <c r="L22" s="71">
        <v>0</v>
      </c>
      <c r="M22" s="71">
        <v>0</v>
      </c>
      <c r="N22" s="71">
        <f t="shared" si="14"/>
        <v>2337.5</v>
      </c>
      <c r="O22" s="124">
        <f t="shared" si="15"/>
        <v>2750</v>
      </c>
      <c r="P22" s="121">
        <f t="shared" si="16"/>
        <v>66.54804270462634</v>
      </c>
      <c r="Q22" s="101">
        <f t="shared" si="17"/>
        <v>0.15</v>
      </c>
      <c r="R22" s="87">
        <f t="shared" si="18"/>
        <v>412.5</v>
      </c>
      <c r="S22" s="74">
        <v>0.8</v>
      </c>
      <c r="T22" s="75">
        <f t="shared" si="19"/>
        <v>2200</v>
      </c>
      <c r="U22" s="76">
        <f t="shared" si="20"/>
        <v>4.9999999999999961E-2</v>
      </c>
      <c r="V22" s="69">
        <f t="shared" si="21"/>
        <v>137.49999999999989</v>
      </c>
      <c r="W22" s="77">
        <f ca="1">V22*VLOOKUP(TODAY(),'UF HOY'!$A$2:$B$36,2,0)</f>
        <v>5463416.7499999953</v>
      </c>
      <c r="X22" s="78">
        <f>Datos!$E$5</f>
        <v>8</v>
      </c>
      <c r="Y22" s="79">
        <f ca="1">IF((W22-1000000-Datos!$N$5)/X22&gt;0,(W22-1000000-Datos!$N$5)/X22,0)</f>
        <v>545427.09374999942</v>
      </c>
      <c r="Z22" s="78">
        <f>Datos!$G$5</f>
        <v>26</v>
      </c>
      <c r="AA22" s="79">
        <f ca="1">IF((W22-1000000-Datos!$N$5)/Z22&gt;0,(W22-1000000-Datos!$N$5)/Z22,0)</f>
        <v>167823.72115384598</v>
      </c>
      <c r="AB22" s="221">
        <f>IF(L22&gt;0,VLOOKUP(D22,Datos!$H$35:$J$38,3,0),VLOOKUP(D22,Datos!$H$35:$J$38,2,0))</f>
        <v>380000</v>
      </c>
      <c r="AC22" s="79">
        <f ca="1">(S22*PMT(Datos!$D$16,Datos!$D$13,-O22,,)*VLOOKUP(TODAY(),'UF HOY'!$A$2:$B$36,2,0)/12)+VLOOKUP(TODAY(),'UF HOY'!$A$2:$B$36,2,0)</f>
        <v>461000.51634800789</v>
      </c>
      <c r="AD22" s="79">
        <f t="shared" ca="1" si="22"/>
        <v>-81000.516348007892</v>
      </c>
      <c r="AE22" s="220">
        <f t="shared" ca="1" si="11"/>
        <v>1844002.0653920316</v>
      </c>
      <c r="AF22" s="45"/>
    </row>
    <row r="23" spans="1:32" hidden="1">
      <c r="A23" s="66" t="s">
        <v>171</v>
      </c>
      <c r="B23" s="66">
        <v>613</v>
      </c>
      <c r="C23" s="67" t="s">
        <v>103</v>
      </c>
      <c r="D23" s="67" t="s">
        <v>195</v>
      </c>
      <c r="E23" s="67"/>
      <c r="F23" s="66">
        <v>31.45</v>
      </c>
      <c r="G23" s="66">
        <v>6.95</v>
      </c>
      <c r="H23" s="67">
        <f t="shared" si="12"/>
        <v>34.924999999999997</v>
      </c>
      <c r="I23" s="68">
        <f t="shared" si="13"/>
        <v>38.4</v>
      </c>
      <c r="J23" s="69">
        <v>2850</v>
      </c>
      <c r="K23" s="263">
        <v>100</v>
      </c>
      <c r="L23" s="71">
        <v>0</v>
      </c>
      <c r="M23" s="71">
        <v>0</v>
      </c>
      <c r="N23" s="71">
        <f t="shared" si="14"/>
        <v>2337.5</v>
      </c>
      <c r="O23" s="124">
        <f t="shared" si="15"/>
        <v>2750</v>
      </c>
      <c r="P23" s="121">
        <f t="shared" si="16"/>
        <v>66.929133858267718</v>
      </c>
      <c r="Q23" s="101">
        <f t="shared" si="17"/>
        <v>0.15</v>
      </c>
      <c r="R23" s="87">
        <f t="shared" si="18"/>
        <v>412.5</v>
      </c>
      <c r="S23" s="74">
        <v>0.8</v>
      </c>
      <c r="T23" s="75">
        <f t="shared" si="19"/>
        <v>2200</v>
      </c>
      <c r="U23" s="76">
        <f t="shared" si="20"/>
        <v>4.9999999999999961E-2</v>
      </c>
      <c r="V23" s="69">
        <f t="shared" si="21"/>
        <v>137.49999999999989</v>
      </c>
      <c r="W23" s="77">
        <f ca="1">V23*VLOOKUP(TODAY(),'UF HOY'!$A$2:$B$36,2,0)</f>
        <v>5463416.7499999953</v>
      </c>
      <c r="X23" s="78">
        <f>Datos!$E$5</f>
        <v>8</v>
      </c>
      <c r="Y23" s="79">
        <f ca="1">IF((W23-1000000-Datos!$N$5)/X23&gt;0,(W23-1000000-Datos!$N$5)/X23,0)</f>
        <v>545427.09374999942</v>
      </c>
      <c r="Z23" s="78">
        <f>Datos!$G$5</f>
        <v>26</v>
      </c>
      <c r="AA23" s="79">
        <f ca="1">IF((W23-1000000-Datos!$N$5)/Z23&gt;0,(W23-1000000-Datos!$N$5)/Z23,0)</f>
        <v>167823.72115384598</v>
      </c>
      <c r="AB23" s="221">
        <f>IF(L23&gt;0,VLOOKUP(D23,Datos!$H$35:$J$38,3,0),VLOOKUP(D23,Datos!$H$35:$J$38,2,0))</f>
        <v>380000</v>
      </c>
      <c r="AC23" s="79">
        <f ca="1">(S23*PMT(Datos!$D$16,Datos!$D$13,-O23,,)*VLOOKUP(TODAY(),'UF HOY'!$A$2:$B$36,2,0)/12)+VLOOKUP(TODAY(),'UF HOY'!$A$2:$B$36,2,0)</f>
        <v>461000.51634800789</v>
      </c>
      <c r="AD23" s="79">
        <f t="shared" ca="1" si="22"/>
        <v>-81000.516348007892</v>
      </c>
      <c r="AE23" s="220">
        <f t="shared" ca="1" si="11"/>
        <v>1844002.0653920316</v>
      </c>
      <c r="AF23" s="45"/>
    </row>
    <row r="24" spans="1:32" hidden="1">
      <c r="A24" s="66" t="s">
        <v>171</v>
      </c>
      <c r="B24" s="66">
        <v>614</v>
      </c>
      <c r="C24" s="67" t="s">
        <v>121</v>
      </c>
      <c r="D24" s="67" t="s">
        <v>194</v>
      </c>
      <c r="E24" s="67"/>
      <c r="F24" s="66">
        <v>47.98</v>
      </c>
      <c r="G24" s="66">
        <v>6.15</v>
      </c>
      <c r="H24" s="67">
        <f t="shared" si="12"/>
        <v>51.055</v>
      </c>
      <c r="I24" s="68">
        <f t="shared" si="13"/>
        <v>54.129999999999995</v>
      </c>
      <c r="J24" s="69">
        <v>3590</v>
      </c>
      <c r="K24" s="263">
        <v>100</v>
      </c>
      <c r="L24" s="71">
        <v>0</v>
      </c>
      <c r="M24" s="71">
        <v>0</v>
      </c>
      <c r="N24" s="71">
        <f t="shared" si="14"/>
        <v>2966.5</v>
      </c>
      <c r="O24" s="124">
        <f t="shared" si="15"/>
        <v>3490</v>
      </c>
      <c r="P24" s="121">
        <f t="shared" si="16"/>
        <v>58.104005484281657</v>
      </c>
      <c r="Q24" s="101">
        <f t="shared" si="17"/>
        <v>0.15</v>
      </c>
      <c r="R24" s="87">
        <f t="shared" si="18"/>
        <v>523.5</v>
      </c>
      <c r="S24" s="74">
        <v>0.85</v>
      </c>
      <c r="T24" s="75">
        <f t="shared" si="19"/>
        <v>2966.5</v>
      </c>
      <c r="U24" s="76">
        <f t="shared" si="20"/>
        <v>0</v>
      </c>
      <c r="V24" s="69">
        <f t="shared" si="21"/>
        <v>0</v>
      </c>
      <c r="W24" s="77">
        <f ca="1">V24*VLOOKUP(TODAY(),'UF HOY'!$A$2:$B$36,2,0)</f>
        <v>0</v>
      </c>
      <c r="X24" s="78">
        <f>Datos!$E$5</f>
        <v>8</v>
      </c>
      <c r="Y24" s="79">
        <f ca="1">IF((W24-1000000-Datos!$N$5)/X24&gt;0,(W24-1000000-Datos!$N$5)/X24,0)</f>
        <v>0</v>
      </c>
      <c r="Z24" s="78">
        <f>Datos!$G$5</f>
        <v>26</v>
      </c>
      <c r="AA24" s="79">
        <f ca="1">IF((W24-1000000-Datos!$N$5)/Z24&gt;0,(W24-1000000-Datos!$N$5)/Z24,0)</f>
        <v>0</v>
      </c>
      <c r="AB24" s="221">
        <f>IF(L24&gt;0,VLOOKUP(D24,Datos!$H$35:$J$38,3,0),VLOOKUP(D24,Datos!$H$35:$J$38,2,0))</f>
        <v>500000</v>
      </c>
      <c r="AC24" s="79">
        <f ca="1">(S24*PMT(Datos!$D$16,Datos!$D$13,-O24,,)*VLOOKUP(TODAY(),'UF HOY'!$A$2:$B$36,2,0)/12)+VLOOKUP(TODAY(),'UF HOY'!$A$2:$B$36,2,0)</f>
        <v>607773.62124380236</v>
      </c>
      <c r="AD24" s="79">
        <f t="shared" ca="1" si="22"/>
        <v>-107773.62124380236</v>
      </c>
      <c r="AE24" s="220">
        <f t="shared" ca="1" si="11"/>
        <v>2431094.4849752095</v>
      </c>
      <c r="AF24" s="45"/>
    </row>
    <row r="25" spans="1:32" hidden="1">
      <c r="A25" s="66" t="s">
        <v>171</v>
      </c>
      <c r="B25" s="66">
        <v>702</v>
      </c>
      <c r="C25" s="67" t="s">
        <v>129</v>
      </c>
      <c r="D25" s="67" t="s">
        <v>195</v>
      </c>
      <c r="E25" s="67"/>
      <c r="F25" s="66">
        <v>33.14</v>
      </c>
      <c r="G25" s="66">
        <v>7.54</v>
      </c>
      <c r="H25" s="67">
        <f t="shared" si="12"/>
        <v>36.910000000000004</v>
      </c>
      <c r="I25" s="68">
        <f t="shared" si="13"/>
        <v>40.68</v>
      </c>
      <c r="J25" s="69">
        <v>2850</v>
      </c>
      <c r="K25" s="263">
        <v>100</v>
      </c>
      <c r="L25" s="71">
        <v>0</v>
      </c>
      <c r="M25" s="71">
        <v>0</v>
      </c>
      <c r="N25" s="71">
        <f t="shared" si="14"/>
        <v>2337.5</v>
      </c>
      <c r="O25" s="124">
        <f t="shared" si="15"/>
        <v>2750</v>
      </c>
      <c r="P25" s="121">
        <f t="shared" si="16"/>
        <v>63.329720942833916</v>
      </c>
      <c r="Q25" s="101">
        <f t="shared" si="17"/>
        <v>0.15</v>
      </c>
      <c r="R25" s="87">
        <f t="shared" si="18"/>
        <v>412.5</v>
      </c>
      <c r="S25" s="74">
        <v>0.8</v>
      </c>
      <c r="T25" s="75">
        <f t="shared" si="19"/>
        <v>2200</v>
      </c>
      <c r="U25" s="76">
        <f t="shared" si="20"/>
        <v>4.9999999999999961E-2</v>
      </c>
      <c r="V25" s="69">
        <f t="shared" si="21"/>
        <v>137.49999999999989</v>
      </c>
      <c r="W25" s="77">
        <f ca="1">V25*VLOOKUP(TODAY(),'UF HOY'!$A$2:$B$36,2,0)</f>
        <v>5463416.7499999953</v>
      </c>
      <c r="X25" s="78">
        <f>Datos!$E$5</f>
        <v>8</v>
      </c>
      <c r="Y25" s="79">
        <f ca="1">IF((W25-1000000-Datos!$N$5)/X25&gt;0,(W25-1000000-Datos!$N$5)/X25,0)</f>
        <v>545427.09374999942</v>
      </c>
      <c r="Z25" s="78">
        <f>Datos!$G$5</f>
        <v>26</v>
      </c>
      <c r="AA25" s="79">
        <f ca="1">IF((W25-1000000-Datos!$N$5)/Z25&gt;0,(W25-1000000-Datos!$N$5)/Z25,0)</f>
        <v>167823.72115384598</v>
      </c>
      <c r="AB25" s="221">
        <f>IF(L25&gt;0,VLOOKUP(D25,Datos!$H$35:$J$38,3,0),VLOOKUP(D25,Datos!$H$35:$J$38,2,0))</f>
        <v>380000</v>
      </c>
      <c r="AC25" s="79">
        <f ca="1">(S25*PMT(Datos!$D$16,Datos!$D$13,-O25,,)*VLOOKUP(TODAY(),'UF HOY'!$A$2:$B$36,2,0)/12)+VLOOKUP(TODAY(),'UF HOY'!$A$2:$B$36,2,0)</f>
        <v>461000.51634800789</v>
      </c>
      <c r="AD25" s="79">
        <f t="shared" ca="1" si="22"/>
        <v>-81000.516348007892</v>
      </c>
      <c r="AE25" s="220">
        <f t="shared" ca="1" si="11"/>
        <v>1844002.0653920316</v>
      </c>
      <c r="AF25" s="45"/>
    </row>
    <row r="26" spans="1:32">
      <c r="A26" s="66" t="s">
        <v>4</v>
      </c>
      <c r="B26" s="66">
        <v>105</v>
      </c>
      <c r="C26" s="67" t="s">
        <v>123</v>
      </c>
      <c r="D26" s="67" t="s">
        <v>194</v>
      </c>
      <c r="E26" s="67"/>
      <c r="F26" s="66">
        <v>55.01</v>
      </c>
      <c r="G26" s="66">
        <v>11.100000000000001</v>
      </c>
      <c r="H26" s="67">
        <f t="shared" si="12"/>
        <v>60.56</v>
      </c>
      <c r="I26" s="68">
        <f t="shared" si="13"/>
        <v>66.11</v>
      </c>
      <c r="J26" s="69">
        <v>3990</v>
      </c>
      <c r="K26" s="263">
        <v>100</v>
      </c>
      <c r="L26" s="71">
        <v>0</v>
      </c>
      <c r="M26" s="71">
        <v>0</v>
      </c>
      <c r="N26" s="71">
        <f t="shared" si="14"/>
        <v>3306.5</v>
      </c>
      <c r="O26" s="124">
        <f t="shared" si="15"/>
        <v>3890</v>
      </c>
      <c r="P26" s="121">
        <f t="shared" si="16"/>
        <v>54.598745046235138</v>
      </c>
      <c r="Q26" s="101">
        <f t="shared" si="17"/>
        <v>0.15</v>
      </c>
      <c r="R26" s="87">
        <f t="shared" si="18"/>
        <v>583.5</v>
      </c>
      <c r="S26" s="74">
        <v>0.8</v>
      </c>
      <c r="T26" s="75">
        <f t="shared" si="19"/>
        <v>3112</v>
      </c>
      <c r="U26" s="76">
        <f t="shared" si="20"/>
        <v>4.9999999999999961E-2</v>
      </c>
      <c r="V26" s="69">
        <f t="shared" si="21"/>
        <v>194.49999999999986</v>
      </c>
      <c r="W26" s="77">
        <f ca="1">V26*VLOOKUP(TODAY(),'UF HOY'!$A$2:$B$36,2,0)</f>
        <v>7728251.3299999945</v>
      </c>
      <c r="X26" s="78">
        <f>Datos!$E$5</f>
        <v>8</v>
      </c>
      <c r="Y26" s="79">
        <f ca="1">IF((W26-1000000-Datos!$N$5)/X26&gt;0,(W26-1000000-Datos!$N$5)/X26,0)</f>
        <v>828531.41624999931</v>
      </c>
      <c r="Z26" s="78">
        <f>Datos!$G$5</f>
        <v>26</v>
      </c>
      <c r="AA26" s="79">
        <f ca="1">IF((W26-1000000-Datos!$N$5)/Z26&gt;0,(W26-1000000-Datos!$N$5)/Z26,0)</f>
        <v>254932.74346153825</v>
      </c>
      <c r="AB26" s="221">
        <f>IF(L26&gt;0,VLOOKUP(D26,Datos!$H$35:$J$38,3,0),VLOOKUP(D26,Datos!$H$35:$J$38,2,0))</f>
        <v>500000</v>
      </c>
      <c r="AC26" s="79">
        <f ca="1">(S26*PMT(Datos!$D$16,Datos!$D$13,-O26,,)*VLOOKUP(TODAY(),'UF HOY'!$A$2:$B$36,2,0)/12)+VLOOKUP(TODAY(),'UF HOY'!$A$2:$B$36,2,0)</f>
        <v>635634.66072500008</v>
      </c>
      <c r="AD26" s="79">
        <f t="shared" ca="1" si="22"/>
        <v>-135634.66072500008</v>
      </c>
      <c r="AE26" s="220">
        <f t="shared" ca="1" si="11"/>
        <v>2542538.6429000003</v>
      </c>
      <c r="AF26" s="45"/>
    </row>
    <row r="27" spans="1:32" hidden="1">
      <c r="A27" s="66" t="s">
        <v>171</v>
      </c>
      <c r="B27" s="66">
        <v>711</v>
      </c>
      <c r="C27" s="67" t="s">
        <v>103</v>
      </c>
      <c r="D27" s="67" t="s">
        <v>195</v>
      </c>
      <c r="E27" s="67"/>
      <c r="F27" s="66">
        <v>31.45</v>
      </c>
      <c r="G27" s="66">
        <v>6.69</v>
      </c>
      <c r="H27" s="67">
        <f t="shared" si="12"/>
        <v>34.795000000000002</v>
      </c>
      <c r="I27" s="68">
        <f t="shared" si="13"/>
        <v>38.14</v>
      </c>
      <c r="J27" s="69">
        <v>2850</v>
      </c>
      <c r="K27" s="263">
        <v>100</v>
      </c>
      <c r="L27" s="71">
        <v>0</v>
      </c>
      <c r="M27" s="71">
        <v>0</v>
      </c>
      <c r="N27" s="71">
        <f t="shared" si="14"/>
        <v>2337.5</v>
      </c>
      <c r="O27" s="124">
        <f t="shared" si="15"/>
        <v>2750</v>
      </c>
      <c r="P27" s="121">
        <f t="shared" si="16"/>
        <v>67.179192412702974</v>
      </c>
      <c r="Q27" s="101">
        <f t="shared" si="17"/>
        <v>0.15</v>
      </c>
      <c r="R27" s="87">
        <f t="shared" si="18"/>
        <v>412.5</v>
      </c>
      <c r="S27" s="74">
        <v>0.8</v>
      </c>
      <c r="T27" s="75">
        <f t="shared" si="19"/>
        <v>2200</v>
      </c>
      <c r="U27" s="76">
        <f t="shared" si="20"/>
        <v>4.9999999999999961E-2</v>
      </c>
      <c r="V27" s="69">
        <f t="shared" si="21"/>
        <v>137.49999999999989</v>
      </c>
      <c r="W27" s="77">
        <f ca="1">V27*VLOOKUP(TODAY(),'UF HOY'!$A$2:$B$36,2,0)</f>
        <v>5463416.7499999953</v>
      </c>
      <c r="X27" s="78">
        <f>Datos!$E$5</f>
        <v>8</v>
      </c>
      <c r="Y27" s="79">
        <f ca="1">IF((W27-1000000-Datos!$N$5)/X27&gt;0,(W27-1000000-Datos!$N$5)/X27,0)</f>
        <v>545427.09374999942</v>
      </c>
      <c r="Z27" s="78">
        <f>Datos!$G$5</f>
        <v>26</v>
      </c>
      <c r="AA27" s="79">
        <f ca="1">IF((W27-1000000-Datos!$N$5)/Z27&gt;0,(W27-1000000-Datos!$N$5)/Z27,0)</f>
        <v>167823.72115384598</v>
      </c>
      <c r="AB27" s="221">
        <f>IF(L27&gt;0,VLOOKUP(D27,Datos!$H$35:$J$38,3,0),VLOOKUP(D27,Datos!$H$35:$J$38,2,0))</f>
        <v>380000</v>
      </c>
      <c r="AC27" s="79">
        <f ca="1">(S27*PMT(Datos!$D$16,Datos!$D$13,-O27,,)*VLOOKUP(TODAY(),'UF HOY'!$A$2:$B$36,2,0)/12)+VLOOKUP(TODAY(),'UF HOY'!$A$2:$B$36,2,0)</f>
        <v>461000.51634800789</v>
      </c>
      <c r="AD27" s="79">
        <f t="shared" ca="1" si="22"/>
        <v>-81000.516348007892</v>
      </c>
      <c r="AE27" s="220">
        <f t="shared" ca="1" si="11"/>
        <v>1844002.0653920316</v>
      </c>
      <c r="AF27" s="45"/>
    </row>
    <row r="28" spans="1:32" hidden="1">
      <c r="A28" s="66" t="s">
        <v>171</v>
      </c>
      <c r="B28" s="66">
        <v>803</v>
      </c>
      <c r="C28" s="67" t="s">
        <v>129</v>
      </c>
      <c r="D28" s="67" t="s">
        <v>195</v>
      </c>
      <c r="E28" s="67"/>
      <c r="F28" s="66">
        <v>32.51</v>
      </c>
      <c r="G28" s="66">
        <v>7.4</v>
      </c>
      <c r="H28" s="67">
        <f t="shared" si="12"/>
        <v>36.21</v>
      </c>
      <c r="I28" s="68">
        <f t="shared" si="13"/>
        <v>39.909999999999997</v>
      </c>
      <c r="J28" s="69">
        <v>2850</v>
      </c>
      <c r="K28" s="263">
        <v>100</v>
      </c>
      <c r="L28" s="71">
        <v>0</v>
      </c>
      <c r="M28" s="71">
        <v>0</v>
      </c>
      <c r="N28" s="71">
        <f t="shared" si="14"/>
        <v>2337.5</v>
      </c>
      <c r="O28" s="124">
        <f t="shared" si="15"/>
        <v>2750</v>
      </c>
      <c r="P28" s="121">
        <f t="shared" si="16"/>
        <v>64.55399061032864</v>
      </c>
      <c r="Q28" s="101">
        <f t="shared" si="17"/>
        <v>0.15</v>
      </c>
      <c r="R28" s="87">
        <f t="shared" si="18"/>
        <v>412.5</v>
      </c>
      <c r="S28" s="74">
        <v>0.8</v>
      </c>
      <c r="T28" s="75">
        <f t="shared" si="19"/>
        <v>2200</v>
      </c>
      <c r="U28" s="76">
        <f t="shared" si="20"/>
        <v>4.9999999999999961E-2</v>
      </c>
      <c r="V28" s="69">
        <f t="shared" si="21"/>
        <v>137.49999999999989</v>
      </c>
      <c r="W28" s="77">
        <f ca="1">V28*VLOOKUP(TODAY(),'UF HOY'!$A$2:$B$36,2,0)</f>
        <v>5463416.7499999953</v>
      </c>
      <c r="X28" s="78">
        <f>Datos!$E$5</f>
        <v>8</v>
      </c>
      <c r="Y28" s="79">
        <f ca="1">IF((W28-1000000-Datos!$N$5)/X28&gt;0,(W28-1000000-Datos!$N$5)/X28,0)</f>
        <v>545427.09374999942</v>
      </c>
      <c r="Z28" s="78">
        <f>Datos!$G$5</f>
        <v>26</v>
      </c>
      <c r="AA28" s="79">
        <f ca="1">IF((W28-1000000-Datos!$N$5)/Z28&gt;0,(W28-1000000-Datos!$N$5)/Z28,0)</f>
        <v>167823.72115384598</v>
      </c>
      <c r="AB28" s="221">
        <f>IF(L28&gt;0,VLOOKUP(D28,Datos!$H$35:$J$38,3,0),VLOOKUP(D28,Datos!$H$35:$J$38,2,0))</f>
        <v>380000</v>
      </c>
      <c r="AC28" s="79">
        <f ca="1">(S28*PMT(Datos!$D$16,Datos!$D$13,-O28,,)*VLOOKUP(TODAY(),'UF HOY'!$A$2:$B$36,2,0)/12)+VLOOKUP(TODAY(),'UF HOY'!$A$2:$B$36,2,0)</f>
        <v>461000.51634800789</v>
      </c>
      <c r="AD28" s="79">
        <f t="shared" ca="1" si="22"/>
        <v>-81000.516348007892</v>
      </c>
      <c r="AE28" s="220">
        <f t="shared" ca="1" si="11"/>
        <v>1844002.0653920316</v>
      </c>
      <c r="AF28" s="45"/>
    </row>
    <row r="29" spans="1:32">
      <c r="A29" s="66" t="s">
        <v>4</v>
      </c>
      <c r="B29" s="66">
        <v>209</v>
      </c>
      <c r="C29" s="67" t="s">
        <v>124</v>
      </c>
      <c r="D29" s="67" t="s">
        <v>194</v>
      </c>
      <c r="E29" s="67"/>
      <c r="F29" s="66">
        <v>55.73</v>
      </c>
      <c r="G29" s="66">
        <v>9.4599999999999991</v>
      </c>
      <c r="H29" s="67">
        <f t="shared" si="12"/>
        <v>60.459999999999994</v>
      </c>
      <c r="I29" s="68">
        <f t="shared" si="13"/>
        <v>65.19</v>
      </c>
      <c r="J29" s="69">
        <v>3990</v>
      </c>
      <c r="K29" s="263">
        <v>100</v>
      </c>
      <c r="L29" s="71">
        <v>0</v>
      </c>
      <c r="M29" s="71">
        <v>0</v>
      </c>
      <c r="N29" s="71">
        <f t="shared" si="14"/>
        <v>3306.5</v>
      </c>
      <c r="O29" s="124">
        <f t="shared" si="15"/>
        <v>3890</v>
      </c>
      <c r="P29" s="121">
        <f t="shared" si="16"/>
        <v>54.689050611974864</v>
      </c>
      <c r="Q29" s="101">
        <f t="shared" si="17"/>
        <v>0.15</v>
      </c>
      <c r="R29" s="87">
        <f t="shared" si="18"/>
        <v>583.5</v>
      </c>
      <c r="S29" s="74">
        <v>0.8</v>
      </c>
      <c r="T29" s="75">
        <f t="shared" si="19"/>
        <v>3112</v>
      </c>
      <c r="U29" s="76">
        <f t="shared" si="20"/>
        <v>4.9999999999999961E-2</v>
      </c>
      <c r="V29" s="69">
        <f t="shared" si="21"/>
        <v>194.49999999999986</v>
      </c>
      <c r="W29" s="77">
        <f ca="1">V29*VLOOKUP(TODAY(),'UF HOY'!$A$2:$B$36,2,0)</f>
        <v>7728251.3299999945</v>
      </c>
      <c r="X29" s="78">
        <f>Datos!$E$5</f>
        <v>8</v>
      </c>
      <c r="Y29" s="79">
        <f ca="1">IF((W29-1000000-Datos!$N$5)/X29&gt;0,(W29-1000000-Datos!$N$5)/X29,0)</f>
        <v>828531.41624999931</v>
      </c>
      <c r="Z29" s="78">
        <f>Datos!$G$5</f>
        <v>26</v>
      </c>
      <c r="AA29" s="79">
        <f ca="1">IF((W29-1000000-Datos!$N$5)/Z29&gt;0,(W29-1000000-Datos!$N$5)/Z29,0)</f>
        <v>254932.74346153825</v>
      </c>
      <c r="AB29" s="221">
        <f>IF(L29&gt;0,VLOOKUP(D29,Datos!$H$35:$J$38,3,0),VLOOKUP(D29,Datos!$H$35:$J$38,2,0))</f>
        <v>500000</v>
      </c>
      <c r="AC29" s="79">
        <f ca="1">(S29*PMT(Datos!$D$16,Datos!$D$13,-O29,,)*VLOOKUP(TODAY(),'UF HOY'!$A$2:$B$36,2,0)/12)+VLOOKUP(TODAY(),'UF HOY'!$A$2:$B$36,2,0)</f>
        <v>635634.66072500008</v>
      </c>
      <c r="AD29" s="79">
        <f t="shared" ca="1" si="22"/>
        <v>-135634.66072500008</v>
      </c>
      <c r="AE29" s="220">
        <f t="shared" ref="AE29:AE47" ca="1" si="23">IF((AC29/0.25)&lt;=1600000,1600000,(AC29/0.25))</f>
        <v>2542538.6429000003</v>
      </c>
      <c r="AF29" s="45"/>
    </row>
    <row r="30" spans="1:32" hidden="1">
      <c r="A30" s="66" t="s">
        <v>171</v>
      </c>
      <c r="B30" s="66">
        <v>905</v>
      </c>
      <c r="C30" s="67" t="s">
        <v>123</v>
      </c>
      <c r="D30" s="67" t="s">
        <v>194</v>
      </c>
      <c r="E30" s="67"/>
      <c r="F30" s="66">
        <v>55.01</v>
      </c>
      <c r="G30" s="66">
        <v>11.100000000000001</v>
      </c>
      <c r="H30" s="67">
        <f t="shared" si="12"/>
        <v>60.56</v>
      </c>
      <c r="I30" s="68">
        <f t="shared" si="13"/>
        <v>66.11</v>
      </c>
      <c r="J30" s="69">
        <v>3990</v>
      </c>
      <c r="K30" s="263">
        <v>100</v>
      </c>
      <c r="L30" s="71">
        <v>0</v>
      </c>
      <c r="M30" s="71">
        <v>0</v>
      </c>
      <c r="N30" s="71">
        <f t="shared" si="14"/>
        <v>3306.5</v>
      </c>
      <c r="O30" s="124">
        <f t="shared" si="15"/>
        <v>3890</v>
      </c>
      <c r="P30" s="121">
        <f t="shared" si="16"/>
        <v>54.598745046235138</v>
      </c>
      <c r="Q30" s="101">
        <f t="shared" si="17"/>
        <v>0.15</v>
      </c>
      <c r="R30" s="87">
        <f t="shared" si="18"/>
        <v>583.5</v>
      </c>
      <c r="S30" s="74">
        <v>0.8</v>
      </c>
      <c r="T30" s="75">
        <f t="shared" si="19"/>
        <v>3112</v>
      </c>
      <c r="U30" s="76">
        <f t="shared" si="20"/>
        <v>4.9999999999999961E-2</v>
      </c>
      <c r="V30" s="69">
        <f t="shared" si="21"/>
        <v>194.49999999999986</v>
      </c>
      <c r="W30" s="77">
        <f ca="1">V30*VLOOKUP(TODAY(),'UF HOY'!$A$2:$B$36,2,0)</f>
        <v>7728251.3299999945</v>
      </c>
      <c r="X30" s="78">
        <f>Datos!$E$5</f>
        <v>8</v>
      </c>
      <c r="Y30" s="79">
        <f ca="1">IF((W30-1000000-Datos!$N$5)/X30&gt;0,(W30-1000000-Datos!$N$5)/X30,0)</f>
        <v>828531.41624999931</v>
      </c>
      <c r="Z30" s="78">
        <f>Datos!$G$5</f>
        <v>26</v>
      </c>
      <c r="AA30" s="79">
        <f ca="1">IF((W30-1000000-Datos!$N$5)/Z30&gt;0,(W30-1000000-Datos!$N$5)/Z30,0)</f>
        <v>254932.74346153825</v>
      </c>
      <c r="AB30" s="221">
        <f>IF(L30&gt;0,VLOOKUP(D30,Datos!$H$35:$J$38,3,0),VLOOKUP(D30,Datos!$H$35:$J$38,2,0))</f>
        <v>500000</v>
      </c>
      <c r="AC30" s="79">
        <f ca="1">(S30*PMT(Datos!$D$16,Datos!$D$13,-O30,,)*VLOOKUP(TODAY(),'UF HOY'!$A$2:$B$36,2,0)/12)+VLOOKUP(TODAY(),'UF HOY'!$A$2:$B$36,2,0)</f>
        <v>635634.66072500008</v>
      </c>
      <c r="AD30" s="79">
        <f t="shared" ca="1" si="22"/>
        <v>-135634.66072500008</v>
      </c>
      <c r="AE30" s="220">
        <f t="shared" ca="1" si="23"/>
        <v>2542538.6429000003</v>
      </c>
      <c r="AF30" s="45"/>
    </row>
    <row r="31" spans="1:32" hidden="1">
      <c r="A31" s="66" t="s">
        <v>171</v>
      </c>
      <c r="B31" s="66">
        <v>909</v>
      </c>
      <c r="C31" s="67" t="s">
        <v>124</v>
      </c>
      <c r="D31" s="67" t="s">
        <v>194</v>
      </c>
      <c r="E31" s="67"/>
      <c r="F31" s="66">
        <v>55.73</v>
      </c>
      <c r="G31" s="66">
        <v>9.4599999999999991</v>
      </c>
      <c r="H31" s="67">
        <f t="shared" si="12"/>
        <v>60.459999999999994</v>
      </c>
      <c r="I31" s="68">
        <f t="shared" si="13"/>
        <v>65.19</v>
      </c>
      <c r="J31" s="69">
        <v>3990</v>
      </c>
      <c r="K31" s="263">
        <v>100</v>
      </c>
      <c r="L31" s="71">
        <v>0</v>
      </c>
      <c r="M31" s="71">
        <v>0</v>
      </c>
      <c r="N31" s="71">
        <f t="shared" si="14"/>
        <v>3306.5</v>
      </c>
      <c r="O31" s="124">
        <f t="shared" si="15"/>
        <v>3890</v>
      </c>
      <c r="P31" s="121">
        <f t="shared" si="16"/>
        <v>54.689050611974864</v>
      </c>
      <c r="Q31" s="101">
        <f t="shared" si="17"/>
        <v>0.15</v>
      </c>
      <c r="R31" s="87">
        <f t="shared" si="18"/>
        <v>583.5</v>
      </c>
      <c r="S31" s="74">
        <v>0.8</v>
      </c>
      <c r="T31" s="75">
        <f t="shared" si="19"/>
        <v>3112</v>
      </c>
      <c r="U31" s="76">
        <f t="shared" si="20"/>
        <v>4.9999999999999961E-2</v>
      </c>
      <c r="V31" s="69">
        <f t="shared" si="21"/>
        <v>194.49999999999986</v>
      </c>
      <c r="W31" s="77">
        <f ca="1">V31*VLOOKUP(TODAY(),'UF HOY'!$A$2:$B$36,2,0)</f>
        <v>7728251.3299999945</v>
      </c>
      <c r="X31" s="78">
        <f>Datos!$E$5</f>
        <v>8</v>
      </c>
      <c r="Y31" s="79">
        <f ca="1">IF((W31-1000000-Datos!$N$5)/X31&gt;0,(W31-1000000-Datos!$N$5)/X31,0)</f>
        <v>828531.41624999931</v>
      </c>
      <c r="Z31" s="78">
        <f>Datos!$G$5</f>
        <v>26</v>
      </c>
      <c r="AA31" s="79">
        <f ca="1">IF((W31-1000000-Datos!$N$5)/Z31&gt;0,(W31-1000000-Datos!$N$5)/Z31,0)</f>
        <v>254932.74346153825</v>
      </c>
      <c r="AB31" s="221">
        <f>IF(L31&gt;0,VLOOKUP(D31,Datos!$H$35:$J$38,3,0),VLOOKUP(D31,Datos!$H$35:$J$38,2,0))</f>
        <v>500000</v>
      </c>
      <c r="AC31" s="79">
        <f ca="1">(S31*PMT(Datos!$D$16,Datos!$D$13,-O31,,)*VLOOKUP(TODAY(),'UF HOY'!$A$2:$B$36,2,0)/12)+VLOOKUP(TODAY(),'UF HOY'!$A$2:$B$36,2,0)</f>
        <v>635634.66072500008</v>
      </c>
      <c r="AD31" s="79">
        <f t="shared" ca="1" si="22"/>
        <v>-135634.66072500008</v>
      </c>
      <c r="AE31" s="220">
        <f t="shared" ca="1" si="23"/>
        <v>2542538.6429000003</v>
      </c>
      <c r="AF31" s="45"/>
    </row>
    <row r="32" spans="1:32" hidden="1">
      <c r="A32" s="66" t="s">
        <v>171</v>
      </c>
      <c r="B32" s="66">
        <v>911</v>
      </c>
      <c r="C32" s="67" t="s">
        <v>103</v>
      </c>
      <c r="D32" s="67" t="s">
        <v>195</v>
      </c>
      <c r="E32" s="67"/>
      <c r="F32" s="66">
        <v>31.45</v>
      </c>
      <c r="G32" s="66">
        <v>6.69</v>
      </c>
      <c r="H32" s="67">
        <f t="shared" si="12"/>
        <v>34.795000000000002</v>
      </c>
      <c r="I32" s="68">
        <f t="shared" si="13"/>
        <v>38.14</v>
      </c>
      <c r="J32" s="69">
        <v>2850</v>
      </c>
      <c r="K32" s="263">
        <v>100</v>
      </c>
      <c r="L32" s="71">
        <v>0</v>
      </c>
      <c r="M32" s="71">
        <v>0</v>
      </c>
      <c r="N32" s="71">
        <f t="shared" si="14"/>
        <v>2337.5</v>
      </c>
      <c r="O32" s="124">
        <f t="shared" si="15"/>
        <v>2750</v>
      </c>
      <c r="P32" s="121">
        <f t="shared" si="16"/>
        <v>67.179192412702974</v>
      </c>
      <c r="Q32" s="101">
        <f t="shared" si="17"/>
        <v>0.15</v>
      </c>
      <c r="R32" s="87">
        <f t="shared" si="18"/>
        <v>412.5</v>
      </c>
      <c r="S32" s="74">
        <v>0.8</v>
      </c>
      <c r="T32" s="75">
        <f t="shared" si="19"/>
        <v>2200</v>
      </c>
      <c r="U32" s="76">
        <f t="shared" si="20"/>
        <v>4.9999999999999961E-2</v>
      </c>
      <c r="V32" s="69">
        <f t="shared" si="21"/>
        <v>137.49999999999989</v>
      </c>
      <c r="W32" s="77">
        <f ca="1">V32*VLOOKUP(TODAY(),'UF HOY'!$A$2:$B$36,2,0)</f>
        <v>5463416.7499999953</v>
      </c>
      <c r="X32" s="78">
        <f>Datos!$E$5</f>
        <v>8</v>
      </c>
      <c r="Y32" s="79">
        <f ca="1">IF((W32-1000000-Datos!$N$5)/X32&gt;0,(W32-1000000-Datos!$N$5)/X32,0)</f>
        <v>545427.09374999942</v>
      </c>
      <c r="Z32" s="78">
        <f>Datos!$G$5</f>
        <v>26</v>
      </c>
      <c r="AA32" s="79">
        <f ca="1">IF((W32-1000000-Datos!$N$5)/Z32&gt;0,(W32-1000000-Datos!$N$5)/Z32,0)</f>
        <v>167823.72115384598</v>
      </c>
      <c r="AB32" s="221">
        <f>IF(L32&gt;0,VLOOKUP(D32,Datos!$H$35:$J$38,3,0),VLOOKUP(D32,Datos!$H$35:$J$38,2,0))</f>
        <v>380000</v>
      </c>
      <c r="AC32" s="79">
        <f ca="1">(S32*PMT(Datos!$D$16,Datos!$D$13,-O32,,)*VLOOKUP(TODAY(),'UF HOY'!$A$2:$B$36,2,0)/12)+VLOOKUP(TODAY(),'UF HOY'!$A$2:$B$36,2,0)</f>
        <v>461000.51634800789</v>
      </c>
      <c r="AD32" s="79">
        <f t="shared" ca="1" si="22"/>
        <v>-81000.516348007892</v>
      </c>
      <c r="AE32" s="220">
        <f t="shared" ca="1" si="23"/>
        <v>1844002.0653920316</v>
      </c>
      <c r="AF32" s="45"/>
    </row>
    <row r="33" spans="1:32" hidden="1">
      <c r="A33" s="66" t="s">
        <v>171</v>
      </c>
      <c r="B33" s="66">
        <v>916</v>
      </c>
      <c r="C33" s="67" t="s">
        <v>131</v>
      </c>
      <c r="D33" s="67" t="s">
        <v>195</v>
      </c>
      <c r="E33" s="67"/>
      <c r="F33" s="66">
        <v>31.45</v>
      </c>
      <c r="G33" s="66">
        <v>6.72</v>
      </c>
      <c r="H33" s="67">
        <f t="shared" si="12"/>
        <v>34.81</v>
      </c>
      <c r="I33" s="68">
        <f t="shared" si="13"/>
        <v>38.17</v>
      </c>
      <c r="J33" s="69">
        <v>2990</v>
      </c>
      <c r="K33" s="263">
        <v>100</v>
      </c>
      <c r="L33" s="71">
        <v>0</v>
      </c>
      <c r="M33" s="71">
        <v>0</v>
      </c>
      <c r="N33" s="71">
        <f t="shared" si="14"/>
        <v>2456.5</v>
      </c>
      <c r="O33" s="124">
        <f t="shared" si="15"/>
        <v>2890</v>
      </c>
      <c r="P33" s="121">
        <f t="shared" si="16"/>
        <v>70.568802068371156</v>
      </c>
      <c r="Q33" s="101">
        <f t="shared" si="17"/>
        <v>0.15</v>
      </c>
      <c r="R33" s="87">
        <f t="shared" si="18"/>
        <v>433.5</v>
      </c>
      <c r="S33" s="74">
        <v>0.8</v>
      </c>
      <c r="T33" s="75">
        <f t="shared" si="19"/>
        <v>2312</v>
      </c>
      <c r="U33" s="76">
        <f t="shared" si="20"/>
        <v>4.9999999999999961E-2</v>
      </c>
      <c r="V33" s="69">
        <f t="shared" si="21"/>
        <v>144.49999999999989</v>
      </c>
      <c r="W33" s="77">
        <f ca="1">V33*VLOOKUP(TODAY(),'UF HOY'!$A$2:$B$36,2,0)</f>
        <v>5741554.3299999954</v>
      </c>
      <c r="X33" s="78">
        <f>Datos!$E$5</f>
        <v>8</v>
      </c>
      <c r="Y33" s="79">
        <f ca="1">IF((W33-1000000-Datos!$N$5)/X33&gt;0,(W33-1000000-Datos!$N$5)/X33,0)</f>
        <v>580194.29124999943</v>
      </c>
      <c r="Z33" s="78">
        <f>Datos!$G$5</f>
        <v>26</v>
      </c>
      <c r="AA33" s="79">
        <f ca="1">IF((W33-1000000-Datos!$N$5)/Z33&gt;0,(W33-1000000-Datos!$N$5)/Z33,0)</f>
        <v>178521.32038461522</v>
      </c>
      <c r="AB33" s="221">
        <f>IF(L33&gt;0,VLOOKUP(D33,Datos!$H$35:$J$38,3,0),VLOOKUP(D33,Datos!$H$35:$J$38,2,0))</f>
        <v>380000</v>
      </c>
      <c r="AC33" s="79">
        <f ca="1">(S33*PMT(Datos!$D$16,Datos!$D$13,-O33,,)*VLOOKUP(TODAY(),'UF HOY'!$A$2:$B$36,2,0)/12)+VLOOKUP(TODAY(),'UF HOY'!$A$2:$B$36,2,0)</f>
        <v>482446.8147802701</v>
      </c>
      <c r="AD33" s="79">
        <f t="shared" ca="1" si="22"/>
        <v>-102446.8147802701</v>
      </c>
      <c r="AE33" s="220">
        <f t="shared" ca="1" si="23"/>
        <v>1929787.2591210804</v>
      </c>
      <c r="AF33" s="45"/>
    </row>
    <row r="34" spans="1:32" hidden="1">
      <c r="A34" s="66" t="s">
        <v>171</v>
      </c>
      <c r="B34" s="66">
        <v>1003</v>
      </c>
      <c r="C34" s="67" t="s">
        <v>129</v>
      </c>
      <c r="D34" s="67" t="s">
        <v>195</v>
      </c>
      <c r="E34" s="67"/>
      <c r="F34" s="66">
        <v>32.51</v>
      </c>
      <c r="G34" s="66">
        <v>7.4</v>
      </c>
      <c r="H34" s="67">
        <f t="shared" si="12"/>
        <v>36.21</v>
      </c>
      <c r="I34" s="68">
        <f t="shared" si="13"/>
        <v>39.909999999999997</v>
      </c>
      <c r="J34" s="69">
        <v>2850</v>
      </c>
      <c r="K34" s="263">
        <v>100</v>
      </c>
      <c r="L34" s="71">
        <v>0</v>
      </c>
      <c r="M34" s="71">
        <v>0</v>
      </c>
      <c r="N34" s="71">
        <f t="shared" si="14"/>
        <v>2337.5</v>
      </c>
      <c r="O34" s="124">
        <f t="shared" si="15"/>
        <v>2750</v>
      </c>
      <c r="P34" s="121">
        <f t="shared" si="16"/>
        <v>64.55399061032864</v>
      </c>
      <c r="Q34" s="101">
        <f t="shared" si="17"/>
        <v>0.15</v>
      </c>
      <c r="R34" s="87">
        <f t="shared" si="18"/>
        <v>412.5</v>
      </c>
      <c r="S34" s="74">
        <v>0.8</v>
      </c>
      <c r="T34" s="75">
        <f t="shared" si="19"/>
        <v>2200</v>
      </c>
      <c r="U34" s="76">
        <f t="shared" si="20"/>
        <v>4.9999999999999961E-2</v>
      </c>
      <c r="V34" s="69">
        <f t="shared" si="21"/>
        <v>137.49999999999989</v>
      </c>
      <c r="W34" s="77">
        <f ca="1">V34*VLOOKUP(TODAY(),'UF HOY'!$A$2:$B$36,2,0)</f>
        <v>5463416.7499999953</v>
      </c>
      <c r="X34" s="78">
        <f>Datos!$E$5</f>
        <v>8</v>
      </c>
      <c r="Y34" s="79">
        <f ca="1">IF((W34-1000000-Datos!$N$5)/X34&gt;0,(W34-1000000-Datos!$N$5)/X34,0)</f>
        <v>545427.09374999942</v>
      </c>
      <c r="Z34" s="78">
        <f>Datos!$G$5</f>
        <v>26</v>
      </c>
      <c r="AA34" s="79">
        <f ca="1">IF((W34-1000000-Datos!$N$5)/Z34&gt;0,(W34-1000000-Datos!$N$5)/Z34,0)</f>
        <v>167823.72115384598</v>
      </c>
      <c r="AB34" s="221">
        <f>IF(L34&gt;0,VLOOKUP(D34,Datos!$H$35:$J$38,3,0),VLOOKUP(D34,Datos!$H$35:$J$38,2,0))</f>
        <v>380000</v>
      </c>
      <c r="AC34" s="79">
        <f ca="1">(S34*PMT(Datos!$D$16,Datos!$D$13,-O34,,)*VLOOKUP(TODAY(),'UF HOY'!$A$2:$B$36,2,0)/12)+VLOOKUP(TODAY(),'UF HOY'!$A$2:$B$36,2,0)</f>
        <v>461000.51634800789</v>
      </c>
      <c r="AD34" s="79">
        <f t="shared" ca="1" si="22"/>
        <v>-81000.516348007892</v>
      </c>
      <c r="AE34" s="220">
        <f t="shared" ca="1" si="23"/>
        <v>1844002.0653920316</v>
      </c>
      <c r="AF34" s="45"/>
    </row>
    <row r="35" spans="1:32" hidden="1">
      <c r="A35" s="66" t="s">
        <v>171</v>
      </c>
      <c r="B35" s="66">
        <v>1005</v>
      </c>
      <c r="C35" s="67" t="s">
        <v>123</v>
      </c>
      <c r="D35" s="67" t="s">
        <v>194</v>
      </c>
      <c r="E35" s="67"/>
      <c r="F35" s="66">
        <v>55.01</v>
      </c>
      <c r="G35" s="66">
        <v>11.100000000000001</v>
      </c>
      <c r="H35" s="67">
        <f t="shared" si="12"/>
        <v>60.56</v>
      </c>
      <c r="I35" s="68">
        <f t="shared" si="13"/>
        <v>66.11</v>
      </c>
      <c r="J35" s="69">
        <v>3990</v>
      </c>
      <c r="K35" s="263">
        <v>100</v>
      </c>
      <c r="L35" s="71">
        <v>0</v>
      </c>
      <c r="M35" s="71">
        <v>0</v>
      </c>
      <c r="N35" s="71">
        <f t="shared" si="14"/>
        <v>3306.5</v>
      </c>
      <c r="O35" s="124">
        <f t="shared" si="15"/>
        <v>3890</v>
      </c>
      <c r="P35" s="121">
        <f t="shared" si="16"/>
        <v>54.598745046235138</v>
      </c>
      <c r="Q35" s="101">
        <f t="shared" si="17"/>
        <v>0.15</v>
      </c>
      <c r="R35" s="87">
        <f t="shared" si="18"/>
        <v>583.5</v>
      </c>
      <c r="S35" s="74">
        <v>0.8</v>
      </c>
      <c r="T35" s="75">
        <f t="shared" si="19"/>
        <v>3112</v>
      </c>
      <c r="U35" s="76">
        <f t="shared" si="20"/>
        <v>4.9999999999999961E-2</v>
      </c>
      <c r="V35" s="69">
        <f t="shared" si="21"/>
        <v>194.49999999999986</v>
      </c>
      <c r="W35" s="77">
        <f ca="1">V35*VLOOKUP(TODAY(),'UF HOY'!$A$2:$B$36,2,0)</f>
        <v>7728251.3299999945</v>
      </c>
      <c r="X35" s="78">
        <f>Datos!$E$5</f>
        <v>8</v>
      </c>
      <c r="Y35" s="79">
        <f ca="1">IF((W35-1000000-Datos!$N$5)/X35&gt;0,(W35-1000000-Datos!$N$5)/X35,0)</f>
        <v>828531.41624999931</v>
      </c>
      <c r="Z35" s="78">
        <f>Datos!$G$5</f>
        <v>26</v>
      </c>
      <c r="AA35" s="79">
        <f ca="1">IF((W35-1000000-Datos!$N$5)/Z35&gt;0,(W35-1000000-Datos!$N$5)/Z35,0)</f>
        <v>254932.74346153825</v>
      </c>
      <c r="AB35" s="221">
        <f>IF(L35&gt;0,VLOOKUP(D35,Datos!$H$35:$J$38,3,0),VLOOKUP(D35,Datos!$H$35:$J$38,2,0))</f>
        <v>500000</v>
      </c>
      <c r="AC35" s="79">
        <f ca="1">(S35*PMT(Datos!$D$16,Datos!$D$13,-O35,,)*VLOOKUP(TODAY(),'UF HOY'!$A$2:$B$36,2,0)/12)+VLOOKUP(TODAY(),'UF HOY'!$A$2:$B$36,2,0)</f>
        <v>635634.66072500008</v>
      </c>
      <c r="AD35" s="79">
        <f t="shared" ca="1" si="22"/>
        <v>-135634.66072500008</v>
      </c>
      <c r="AE35" s="220">
        <f t="shared" ca="1" si="23"/>
        <v>2542538.6429000003</v>
      </c>
      <c r="AF35" s="45"/>
    </row>
    <row r="36" spans="1:32" hidden="1">
      <c r="A36" s="66" t="s">
        <v>171</v>
      </c>
      <c r="B36" s="66">
        <v>1009</v>
      </c>
      <c r="C36" s="67" t="s">
        <v>124</v>
      </c>
      <c r="D36" s="67" t="s">
        <v>194</v>
      </c>
      <c r="E36" s="67"/>
      <c r="F36" s="66">
        <v>55.73</v>
      </c>
      <c r="G36" s="66">
        <v>9.4599999999999991</v>
      </c>
      <c r="H36" s="67">
        <f t="shared" si="12"/>
        <v>60.459999999999994</v>
      </c>
      <c r="I36" s="68">
        <f t="shared" si="13"/>
        <v>65.19</v>
      </c>
      <c r="J36" s="69">
        <v>3990</v>
      </c>
      <c r="K36" s="263">
        <v>100</v>
      </c>
      <c r="L36" s="71">
        <v>0</v>
      </c>
      <c r="M36" s="71">
        <v>0</v>
      </c>
      <c r="N36" s="71">
        <f t="shared" si="14"/>
        <v>3306.5</v>
      </c>
      <c r="O36" s="124">
        <f t="shared" si="15"/>
        <v>3890</v>
      </c>
      <c r="P36" s="121">
        <f t="shared" si="16"/>
        <v>54.689050611974864</v>
      </c>
      <c r="Q36" s="101">
        <f t="shared" si="17"/>
        <v>0.15</v>
      </c>
      <c r="R36" s="87">
        <f t="shared" si="18"/>
        <v>583.5</v>
      </c>
      <c r="S36" s="74">
        <v>0.8</v>
      </c>
      <c r="T36" s="75">
        <f t="shared" si="19"/>
        <v>3112</v>
      </c>
      <c r="U36" s="76">
        <f t="shared" si="20"/>
        <v>4.9999999999999961E-2</v>
      </c>
      <c r="V36" s="69">
        <f t="shared" si="21"/>
        <v>194.49999999999986</v>
      </c>
      <c r="W36" s="77">
        <f ca="1">V36*VLOOKUP(TODAY(),'UF HOY'!$A$2:$B$36,2,0)</f>
        <v>7728251.3299999945</v>
      </c>
      <c r="X36" s="78">
        <f>Datos!$E$5</f>
        <v>8</v>
      </c>
      <c r="Y36" s="79">
        <f ca="1">IF((W36-1000000-Datos!$N$5)/X36&gt;0,(W36-1000000-Datos!$N$5)/X36,0)</f>
        <v>828531.41624999931</v>
      </c>
      <c r="Z36" s="78">
        <f>Datos!$G$5</f>
        <v>26</v>
      </c>
      <c r="AA36" s="79">
        <f ca="1">IF((W36-1000000-Datos!$N$5)/Z36&gt;0,(W36-1000000-Datos!$N$5)/Z36,0)</f>
        <v>254932.74346153825</v>
      </c>
      <c r="AB36" s="221">
        <f>IF(L36&gt;0,VLOOKUP(D36,Datos!$H$35:$J$38,3,0),VLOOKUP(D36,Datos!$H$35:$J$38,2,0))</f>
        <v>500000</v>
      </c>
      <c r="AC36" s="79">
        <f ca="1">(S36*PMT(Datos!$D$16,Datos!$D$13,-O36,,)*VLOOKUP(TODAY(),'UF HOY'!$A$2:$B$36,2,0)/12)+VLOOKUP(TODAY(),'UF HOY'!$A$2:$B$36,2,0)</f>
        <v>635634.66072500008</v>
      </c>
      <c r="AD36" s="79">
        <f t="shared" ca="1" si="22"/>
        <v>-135634.66072500008</v>
      </c>
      <c r="AE36" s="220">
        <f t="shared" ca="1" si="23"/>
        <v>2542538.6429000003</v>
      </c>
      <c r="AF36" s="45"/>
    </row>
    <row r="37" spans="1:32" hidden="1">
      <c r="A37" s="66" t="s">
        <v>171</v>
      </c>
      <c r="B37" s="66">
        <v>1102</v>
      </c>
      <c r="C37" s="67" t="s">
        <v>129</v>
      </c>
      <c r="D37" s="67" t="s">
        <v>195</v>
      </c>
      <c r="E37" s="67"/>
      <c r="F37" s="66">
        <v>33.14</v>
      </c>
      <c r="G37" s="66">
        <v>7.54</v>
      </c>
      <c r="H37" s="67">
        <f t="shared" si="12"/>
        <v>36.910000000000004</v>
      </c>
      <c r="I37" s="68">
        <f t="shared" si="13"/>
        <v>40.68</v>
      </c>
      <c r="J37" s="69">
        <v>2850</v>
      </c>
      <c r="K37" s="263">
        <v>100</v>
      </c>
      <c r="L37" s="71">
        <v>0</v>
      </c>
      <c r="M37" s="71">
        <v>0</v>
      </c>
      <c r="N37" s="71">
        <f t="shared" si="14"/>
        <v>2337.5</v>
      </c>
      <c r="O37" s="124">
        <f t="shared" si="15"/>
        <v>2750</v>
      </c>
      <c r="P37" s="121">
        <f t="shared" si="16"/>
        <v>63.329720942833916</v>
      </c>
      <c r="Q37" s="101">
        <f t="shared" si="17"/>
        <v>0.15</v>
      </c>
      <c r="R37" s="87">
        <f t="shared" si="18"/>
        <v>412.5</v>
      </c>
      <c r="S37" s="74">
        <v>0.8</v>
      </c>
      <c r="T37" s="75">
        <f t="shared" si="19"/>
        <v>2200</v>
      </c>
      <c r="U37" s="76">
        <f t="shared" si="20"/>
        <v>4.9999999999999961E-2</v>
      </c>
      <c r="V37" s="69">
        <f t="shared" si="21"/>
        <v>137.49999999999989</v>
      </c>
      <c r="W37" s="77">
        <f ca="1">V37*VLOOKUP(TODAY(),'UF HOY'!$A$2:$B$36,2,0)</f>
        <v>5463416.7499999953</v>
      </c>
      <c r="X37" s="78">
        <f>Datos!$E$5</f>
        <v>8</v>
      </c>
      <c r="Y37" s="79">
        <f ca="1">IF((W37-1000000-Datos!$N$5)/X37&gt;0,(W37-1000000-Datos!$N$5)/X37,0)</f>
        <v>545427.09374999942</v>
      </c>
      <c r="Z37" s="78">
        <f>Datos!$G$5</f>
        <v>26</v>
      </c>
      <c r="AA37" s="79">
        <f ca="1">IF((W37-1000000-Datos!$N$5)/Z37&gt;0,(W37-1000000-Datos!$N$5)/Z37,0)</f>
        <v>167823.72115384598</v>
      </c>
      <c r="AB37" s="221">
        <f>IF(L37&gt;0,VLOOKUP(D37,Datos!$H$35:$J$38,3,0),VLOOKUP(D37,Datos!$H$35:$J$38,2,0))</f>
        <v>380000</v>
      </c>
      <c r="AC37" s="79">
        <f ca="1">(S37*PMT(Datos!$D$16,Datos!$D$13,-O37,,)*VLOOKUP(TODAY(),'UF HOY'!$A$2:$B$36,2,0)/12)+VLOOKUP(TODAY(),'UF HOY'!$A$2:$B$36,2,0)</f>
        <v>461000.51634800789</v>
      </c>
      <c r="AD37" s="79">
        <f t="shared" ca="1" si="22"/>
        <v>-81000.516348007892</v>
      </c>
      <c r="AE37" s="220">
        <f t="shared" ca="1" si="23"/>
        <v>1844002.0653920316</v>
      </c>
      <c r="AF37" s="45"/>
    </row>
    <row r="38" spans="1:32">
      <c r="A38" s="66" t="s">
        <v>4</v>
      </c>
      <c r="B38" s="66">
        <v>309</v>
      </c>
      <c r="C38" s="67" t="s">
        <v>124</v>
      </c>
      <c r="D38" s="67" t="s">
        <v>194</v>
      </c>
      <c r="E38" s="67"/>
      <c r="F38" s="66">
        <v>55.73</v>
      </c>
      <c r="G38" s="66">
        <v>9.4599999999999991</v>
      </c>
      <c r="H38" s="67">
        <f t="shared" si="12"/>
        <v>60.459999999999994</v>
      </c>
      <c r="I38" s="68">
        <f t="shared" si="13"/>
        <v>65.19</v>
      </c>
      <c r="J38" s="69">
        <v>3990</v>
      </c>
      <c r="K38" s="263">
        <v>100</v>
      </c>
      <c r="L38" s="71">
        <v>0</v>
      </c>
      <c r="M38" s="71">
        <v>0</v>
      </c>
      <c r="N38" s="71">
        <f t="shared" si="14"/>
        <v>3306.5</v>
      </c>
      <c r="O38" s="124">
        <f t="shared" si="15"/>
        <v>3890</v>
      </c>
      <c r="P38" s="121">
        <f t="shared" si="16"/>
        <v>54.689050611974864</v>
      </c>
      <c r="Q38" s="101">
        <f t="shared" si="17"/>
        <v>0.15</v>
      </c>
      <c r="R38" s="87">
        <f t="shared" si="18"/>
        <v>583.5</v>
      </c>
      <c r="S38" s="74">
        <v>0.8</v>
      </c>
      <c r="T38" s="75">
        <f t="shared" si="19"/>
        <v>3112</v>
      </c>
      <c r="U38" s="76">
        <f t="shared" si="20"/>
        <v>4.9999999999999961E-2</v>
      </c>
      <c r="V38" s="69">
        <f t="shared" si="21"/>
        <v>194.49999999999986</v>
      </c>
      <c r="W38" s="77">
        <f ca="1">V38*VLOOKUP(TODAY(),'UF HOY'!$A$2:$B$36,2,0)</f>
        <v>7728251.3299999945</v>
      </c>
      <c r="X38" s="78">
        <f>Datos!$E$5</f>
        <v>8</v>
      </c>
      <c r="Y38" s="79">
        <f ca="1">IF((W38-1000000-Datos!$N$5)/X38&gt;0,(W38-1000000-Datos!$N$5)/X38,0)</f>
        <v>828531.41624999931</v>
      </c>
      <c r="Z38" s="78">
        <f>Datos!$G$5</f>
        <v>26</v>
      </c>
      <c r="AA38" s="79">
        <f ca="1">IF((W38-1000000-Datos!$N$5)/Z38&gt;0,(W38-1000000-Datos!$N$5)/Z38,0)</f>
        <v>254932.74346153825</v>
      </c>
      <c r="AB38" s="221">
        <f>IF(L38&gt;0,VLOOKUP(D38,Datos!$H$35:$J$38,3,0),VLOOKUP(D38,Datos!$H$35:$J$38,2,0))</f>
        <v>500000</v>
      </c>
      <c r="AC38" s="79">
        <f ca="1">(S38*PMT(Datos!$D$16,Datos!$D$13,-O38,,)*VLOOKUP(TODAY(),'UF HOY'!$A$2:$B$36,2,0)/12)+VLOOKUP(TODAY(),'UF HOY'!$A$2:$B$36,2,0)</f>
        <v>635634.66072500008</v>
      </c>
      <c r="AD38" s="79">
        <f t="shared" ca="1" si="22"/>
        <v>-135634.66072500008</v>
      </c>
      <c r="AE38" s="220">
        <f t="shared" ca="1" si="23"/>
        <v>2542538.6429000003</v>
      </c>
      <c r="AF38" s="45"/>
    </row>
    <row r="39" spans="1:32" hidden="1">
      <c r="A39" s="66" t="s">
        <v>171</v>
      </c>
      <c r="B39" s="66">
        <v>1106</v>
      </c>
      <c r="C39" s="67" t="s">
        <v>130</v>
      </c>
      <c r="D39" s="67" t="s">
        <v>195</v>
      </c>
      <c r="E39" s="67"/>
      <c r="F39" s="66">
        <v>31.45</v>
      </c>
      <c r="G39" s="66">
        <v>7.35</v>
      </c>
      <c r="H39" s="67">
        <f t="shared" si="12"/>
        <v>35.125</v>
      </c>
      <c r="I39" s="68">
        <f t="shared" si="13"/>
        <v>38.799999999999997</v>
      </c>
      <c r="J39" s="69">
        <v>2850</v>
      </c>
      <c r="K39" s="263">
        <v>100</v>
      </c>
      <c r="L39" s="71">
        <v>0</v>
      </c>
      <c r="M39" s="71">
        <v>0</v>
      </c>
      <c r="N39" s="71">
        <f t="shared" si="14"/>
        <v>2337.5</v>
      </c>
      <c r="O39" s="124">
        <f t="shared" si="15"/>
        <v>2750</v>
      </c>
      <c r="P39" s="121">
        <f t="shared" si="16"/>
        <v>66.54804270462634</v>
      </c>
      <c r="Q39" s="101">
        <f t="shared" si="17"/>
        <v>0.15</v>
      </c>
      <c r="R39" s="87">
        <f t="shared" si="18"/>
        <v>412.5</v>
      </c>
      <c r="S39" s="74">
        <v>0.8</v>
      </c>
      <c r="T39" s="75">
        <f t="shared" si="19"/>
        <v>2200</v>
      </c>
      <c r="U39" s="76">
        <f t="shared" si="20"/>
        <v>4.9999999999999961E-2</v>
      </c>
      <c r="V39" s="69">
        <f t="shared" si="21"/>
        <v>137.49999999999989</v>
      </c>
      <c r="W39" s="77">
        <f ca="1">V39*VLOOKUP(TODAY(),'UF HOY'!$A$2:$B$36,2,0)</f>
        <v>5463416.7499999953</v>
      </c>
      <c r="X39" s="78">
        <f>Datos!$E$5</f>
        <v>8</v>
      </c>
      <c r="Y39" s="79">
        <f ca="1">IF((W39-1000000-Datos!$N$5)/X39&gt;0,(W39-1000000-Datos!$N$5)/X39,0)</f>
        <v>545427.09374999942</v>
      </c>
      <c r="Z39" s="78">
        <f>Datos!$G$5</f>
        <v>26</v>
      </c>
      <c r="AA39" s="79">
        <f ca="1">IF((W39-1000000-Datos!$N$5)/Z39&gt;0,(W39-1000000-Datos!$N$5)/Z39,0)</f>
        <v>167823.72115384598</v>
      </c>
      <c r="AB39" s="221">
        <f>IF(L39&gt;0,VLOOKUP(D39,Datos!$H$35:$J$38,3,0),VLOOKUP(D39,Datos!$H$35:$J$38,2,0))</f>
        <v>380000</v>
      </c>
      <c r="AC39" s="79">
        <f ca="1">(S39*PMT(Datos!$D$16,Datos!$D$13,-O39,,)*VLOOKUP(TODAY(),'UF HOY'!$A$2:$B$36,2,0)/12)+VLOOKUP(TODAY(),'UF HOY'!$A$2:$B$36,2,0)</f>
        <v>461000.51634800789</v>
      </c>
      <c r="AD39" s="79">
        <f t="shared" ca="1" si="22"/>
        <v>-81000.516348007892</v>
      </c>
      <c r="AE39" s="220">
        <f t="shared" ca="1" si="23"/>
        <v>1844002.0653920316</v>
      </c>
      <c r="AF39" s="45"/>
    </row>
    <row r="40" spans="1:32" hidden="1">
      <c r="A40" s="66" t="s">
        <v>171</v>
      </c>
      <c r="B40" s="66">
        <v>1110</v>
      </c>
      <c r="C40" s="67" t="s">
        <v>103</v>
      </c>
      <c r="D40" s="67" t="s">
        <v>195</v>
      </c>
      <c r="E40" s="67"/>
      <c r="F40" s="66">
        <v>31.47</v>
      </c>
      <c r="G40" s="66">
        <v>7.59</v>
      </c>
      <c r="H40" s="67">
        <f t="shared" si="12"/>
        <v>35.265000000000001</v>
      </c>
      <c r="I40" s="68">
        <f t="shared" si="13"/>
        <v>39.06</v>
      </c>
      <c r="J40" s="69">
        <v>2850</v>
      </c>
      <c r="K40" s="263">
        <v>100</v>
      </c>
      <c r="L40" s="71">
        <v>0</v>
      </c>
      <c r="M40" s="71">
        <v>0</v>
      </c>
      <c r="N40" s="71">
        <f t="shared" si="14"/>
        <v>2337.5</v>
      </c>
      <c r="O40" s="124">
        <f t="shared" si="15"/>
        <v>2750</v>
      </c>
      <c r="P40" s="121">
        <f t="shared" si="16"/>
        <v>66.28385084361264</v>
      </c>
      <c r="Q40" s="101">
        <f t="shared" si="17"/>
        <v>0.15</v>
      </c>
      <c r="R40" s="87">
        <f t="shared" si="18"/>
        <v>412.5</v>
      </c>
      <c r="S40" s="74">
        <v>0.8</v>
      </c>
      <c r="T40" s="75">
        <f t="shared" si="19"/>
        <v>2200</v>
      </c>
      <c r="U40" s="76">
        <f t="shared" si="20"/>
        <v>4.9999999999999961E-2</v>
      </c>
      <c r="V40" s="69">
        <f t="shared" si="21"/>
        <v>137.49999999999989</v>
      </c>
      <c r="W40" s="77">
        <f ca="1">V40*VLOOKUP(TODAY(),'UF HOY'!$A$2:$B$36,2,0)</f>
        <v>5463416.7499999953</v>
      </c>
      <c r="X40" s="78">
        <f>Datos!$E$5</f>
        <v>8</v>
      </c>
      <c r="Y40" s="79">
        <f ca="1">IF((W40-1000000-Datos!$N$5)/X40&gt;0,(W40-1000000-Datos!$N$5)/X40,0)</f>
        <v>545427.09374999942</v>
      </c>
      <c r="Z40" s="78">
        <f>Datos!$G$5</f>
        <v>26</v>
      </c>
      <c r="AA40" s="79">
        <f ca="1">IF((W40-1000000-Datos!$N$5)/Z40&gt;0,(W40-1000000-Datos!$N$5)/Z40,0)</f>
        <v>167823.72115384598</v>
      </c>
      <c r="AB40" s="221">
        <f>IF(L40&gt;0,VLOOKUP(D40,Datos!$H$35:$J$38,3,0),VLOOKUP(D40,Datos!$H$35:$J$38,2,0))</f>
        <v>380000</v>
      </c>
      <c r="AC40" s="79">
        <f ca="1">(S40*PMT(Datos!$D$16,Datos!$D$13,-O40,,)*VLOOKUP(TODAY(),'UF HOY'!$A$2:$B$36,2,0)/12)+VLOOKUP(TODAY(),'UF HOY'!$A$2:$B$36,2,0)</f>
        <v>461000.51634800789</v>
      </c>
      <c r="AD40" s="79">
        <f t="shared" ca="1" si="22"/>
        <v>-81000.516348007892</v>
      </c>
      <c r="AE40" s="220">
        <f t="shared" ca="1" si="23"/>
        <v>1844002.0653920316</v>
      </c>
      <c r="AF40" s="45"/>
    </row>
    <row r="41" spans="1:32" hidden="1">
      <c r="A41" s="66" t="s">
        <v>171</v>
      </c>
      <c r="B41" s="66">
        <v>1114</v>
      </c>
      <c r="C41" s="67" t="s">
        <v>121</v>
      </c>
      <c r="D41" s="67" t="s">
        <v>194</v>
      </c>
      <c r="E41" s="67"/>
      <c r="F41" s="66">
        <v>47.98</v>
      </c>
      <c r="G41" s="66">
        <v>6.15</v>
      </c>
      <c r="H41" s="67">
        <f t="shared" si="12"/>
        <v>51.055</v>
      </c>
      <c r="I41" s="68">
        <f t="shared" si="13"/>
        <v>54.129999999999995</v>
      </c>
      <c r="J41" s="69">
        <v>3590</v>
      </c>
      <c r="K41" s="263">
        <v>100</v>
      </c>
      <c r="L41" s="71">
        <v>380</v>
      </c>
      <c r="M41" s="71">
        <v>0</v>
      </c>
      <c r="N41" s="71">
        <f t="shared" si="14"/>
        <v>3289.5</v>
      </c>
      <c r="O41" s="124">
        <f t="shared" si="15"/>
        <v>3870</v>
      </c>
      <c r="P41" s="121">
        <f t="shared" si="16"/>
        <v>56.98756243267065</v>
      </c>
      <c r="Q41" s="101">
        <f t="shared" si="17"/>
        <v>0.15</v>
      </c>
      <c r="R41" s="87">
        <f t="shared" si="18"/>
        <v>580.5</v>
      </c>
      <c r="S41" s="74">
        <v>0.8</v>
      </c>
      <c r="T41" s="75">
        <f t="shared" si="19"/>
        <v>3096</v>
      </c>
      <c r="U41" s="76">
        <f t="shared" si="20"/>
        <v>4.9999999999999961E-2</v>
      </c>
      <c r="V41" s="69">
        <f t="shared" si="21"/>
        <v>193.49999999999986</v>
      </c>
      <c r="W41" s="77">
        <f ca="1">V41*VLOOKUP(TODAY(),'UF HOY'!$A$2:$B$36,2,0)</f>
        <v>7688517.389999995</v>
      </c>
      <c r="X41" s="78">
        <f>Datos!$E$5</f>
        <v>8</v>
      </c>
      <c r="Y41" s="79">
        <f ca="1">IF((W41-1000000-Datos!$N$5)/X41&gt;0,(W41-1000000-Datos!$N$5)/X41,0)</f>
        <v>823564.67374999938</v>
      </c>
      <c r="Z41" s="78">
        <f>Datos!$G$5</f>
        <v>26</v>
      </c>
      <c r="AA41" s="79">
        <f ca="1">IF((W41-1000000-Datos!$N$5)/Z41&gt;0,(W41-1000000-Datos!$N$5)/Z41,0)</f>
        <v>253404.51499999981</v>
      </c>
      <c r="AB41" s="221">
        <f>IF(L41&gt;0,VLOOKUP(D41,Datos!$H$35:$J$38,3,0),VLOOKUP(D41,Datos!$H$35:$J$38,2,0))</f>
        <v>500000</v>
      </c>
      <c r="AC41" s="79">
        <f ca="1">(S41*PMT(Datos!$D$16,Datos!$D$13,-O41,,)*VLOOKUP(TODAY(),'UF HOY'!$A$2:$B$36,2,0)/12)+VLOOKUP(TODAY(),'UF HOY'!$A$2:$B$36,2,0)</f>
        <v>632570.90380610549</v>
      </c>
      <c r="AD41" s="79">
        <f t="shared" ca="1" si="22"/>
        <v>-132570.90380610549</v>
      </c>
      <c r="AE41" s="220">
        <f t="shared" ca="1" si="23"/>
        <v>2530283.615224422</v>
      </c>
      <c r="AF41" s="45"/>
    </row>
    <row r="42" spans="1:32" hidden="1">
      <c r="A42" s="66" t="s">
        <v>171</v>
      </c>
      <c r="B42" s="66">
        <v>1116</v>
      </c>
      <c r="C42" s="67" t="s">
        <v>131</v>
      </c>
      <c r="D42" s="67" t="s">
        <v>195</v>
      </c>
      <c r="E42" s="67"/>
      <c r="F42" s="66">
        <v>31.45</v>
      </c>
      <c r="G42" s="66">
        <v>6.72</v>
      </c>
      <c r="H42" s="67">
        <f t="shared" si="12"/>
        <v>34.81</v>
      </c>
      <c r="I42" s="68">
        <f t="shared" si="13"/>
        <v>38.17</v>
      </c>
      <c r="J42" s="69">
        <v>2990</v>
      </c>
      <c r="K42" s="263">
        <v>100</v>
      </c>
      <c r="L42" s="71">
        <v>0</v>
      </c>
      <c r="M42" s="71">
        <v>0</v>
      </c>
      <c r="N42" s="71">
        <f t="shared" si="14"/>
        <v>2456.5</v>
      </c>
      <c r="O42" s="124">
        <f t="shared" si="15"/>
        <v>2890</v>
      </c>
      <c r="P42" s="121">
        <f t="shared" si="16"/>
        <v>70.568802068371156</v>
      </c>
      <c r="Q42" s="101">
        <f t="shared" si="17"/>
        <v>0.15</v>
      </c>
      <c r="R42" s="87">
        <f t="shared" si="18"/>
        <v>433.5</v>
      </c>
      <c r="S42" s="74">
        <v>0.8</v>
      </c>
      <c r="T42" s="75">
        <f t="shared" si="19"/>
        <v>2312</v>
      </c>
      <c r="U42" s="76">
        <f t="shared" si="20"/>
        <v>4.9999999999999961E-2</v>
      </c>
      <c r="V42" s="69">
        <f t="shared" si="21"/>
        <v>144.49999999999989</v>
      </c>
      <c r="W42" s="77">
        <f ca="1">V42*VLOOKUP(TODAY(),'UF HOY'!$A$2:$B$36,2,0)</f>
        <v>5741554.3299999954</v>
      </c>
      <c r="X42" s="78">
        <f>Datos!$E$5</f>
        <v>8</v>
      </c>
      <c r="Y42" s="79">
        <f ca="1">IF((W42-1000000-Datos!$N$5)/X42&gt;0,(W42-1000000-Datos!$N$5)/X42,0)</f>
        <v>580194.29124999943</v>
      </c>
      <c r="Z42" s="78">
        <f>Datos!$G$5</f>
        <v>26</v>
      </c>
      <c r="AA42" s="79">
        <f ca="1">IF((W42-1000000-Datos!$N$5)/Z42&gt;0,(W42-1000000-Datos!$N$5)/Z42,0)</f>
        <v>178521.32038461522</v>
      </c>
      <c r="AB42" s="221">
        <f>IF(L42&gt;0,VLOOKUP(D42,Datos!$H$35:$J$38,3,0),VLOOKUP(D42,Datos!$H$35:$J$38,2,0))</f>
        <v>380000</v>
      </c>
      <c r="AC42" s="79">
        <f ca="1">(S42*PMT(Datos!$D$16,Datos!$D$13,-O42,,)*VLOOKUP(TODAY(),'UF HOY'!$A$2:$B$36,2,0)/12)+VLOOKUP(TODAY(),'UF HOY'!$A$2:$B$36,2,0)</f>
        <v>482446.8147802701</v>
      </c>
      <c r="AD42" s="79">
        <f t="shared" ca="1" si="22"/>
        <v>-102446.8147802701</v>
      </c>
      <c r="AE42" s="220">
        <f t="shared" ca="1" si="23"/>
        <v>1929787.2591210804</v>
      </c>
      <c r="AF42" s="45"/>
    </row>
    <row r="43" spans="1:32" hidden="1">
      <c r="A43" s="66" t="s">
        <v>171</v>
      </c>
      <c r="B43" s="66">
        <v>1201</v>
      </c>
      <c r="C43" s="67" t="s">
        <v>129</v>
      </c>
      <c r="D43" s="67" t="s">
        <v>195</v>
      </c>
      <c r="E43" s="67"/>
      <c r="F43" s="66">
        <v>31.51</v>
      </c>
      <c r="G43" s="66">
        <v>5.69</v>
      </c>
      <c r="H43" s="67">
        <f t="shared" si="12"/>
        <v>34.355000000000004</v>
      </c>
      <c r="I43" s="68">
        <f t="shared" si="13"/>
        <v>37.200000000000003</v>
      </c>
      <c r="J43" s="69">
        <v>2850</v>
      </c>
      <c r="K43" s="263">
        <v>100</v>
      </c>
      <c r="L43" s="71">
        <v>0</v>
      </c>
      <c r="M43" s="71">
        <v>0</v>
      </c>
      <c r="N43" s="71">
        <f t="shared" si="14"/>
        <v>2337.5</v>
      </c>
      <c r="O43" s="124">
        <f t="shared" si="15"/>
        <v>2750</v>
      </c>
      <c r="P43" s="121">
        <f t="shared" si="16"/>
        <v>68.039586668607186</v>
      </c>
      <c r="Q43" s="101">
        <f t="shared" si="17"/>
        <v>0.15</v>
      </c>
      <c r="R43" s="87">
        <f t="shared" si="18"/>
        <v>412.5</v>
      </c>
      <c r="S43" s="74">
        <v>0.8</v>
      </c>
      <c r="T43" s="75">
        <f t="shared" si="19"/>
        <v>2200</v>
      </c>
      <c r="U43" s="76">
        <f t="shared" si="20"/>
        <v>4.9999999999999961E-2</v>
      </c>
      <c r="V43" s="69">
        <f t="shared" si="21"/>
        <v>137.49999999999989</v>
      </c>
      <c r="W43" s="77">
        <f ca="1">V43*VLOOKUP(TODAY(),'UF HOY'!$A$2:$B$36,2,0)</f>
        <v>5463416.7499999953</v>
      </c>
      <c r="X43" s="78">
        <f>Datos!$E$5</f>
        <v>8</v>
      </c>
      <c r="Y43" s="79">
        <f ca="1">IF((W43-1000000-Datos!$N$5)/X43&gt;0,(W43-1000000-Datos!$N$5)/X43,0)</f>
        <v>545427.09374999942</v>
      </c>
      <c r="Z43" s="78">
        <f>Datos!$G$5</f>
        <v>26</v>
      </c>
      <c r="AA43" s="79">
        <f ca="1">IF((W43-1000000-Datos!$N$5)/Z43&gt;0,(W43-1000000-Datos!$N$5)/Z43,0)</f>
        <v>167823.72115384598</v>
      </c>
      <c r="AB43" s="221">
        <f>IF(L43&gt;0,VLOOKUP(D43,Datos!$H$35:$J$38,3,0),VLOOKUP(D43,Datos!$H$35:$J$38,2,0))</f>
        <v>380000</v>
      </c>
      <c r="AC43" s="79">
        <f ca="1">(S43*PMT(Datos!$D$16,Datos!$D$13,-O43,,)*VLOOKUP(TODAY(),'UF HOY'!$A$2:$B$36,2,0)/12)+VLOOKUP(TODAY(),'UF HOY'!$A$2:$B$36,2,0)</f>
        <v>461000.51634800789</v>
      </c>
      <c r="AD43" s="79">
        <f t="shared" ca="1" si="22"/>
        <v>-81000.516348007892</v>
      </c>
      <c r="AE43" s="220">
        <f t="shared" ca="1" si="23"/>
        <v>1844002.0653920316</v>
      </c>
      <c r="AF43" s="45"/>
    </row>
    <row r="44" spans="1:32" hidden="1">
      <c r="A44" s="66" t="s">
        <v>171</v>
      </c>
      <c r="B44" s="66">
        <v>1208</v>
      </c>
      <c r="C44" s="67" t="s">
        <v>130</v>
      </c>
      <c r="D44" s="67" t="s">
        <v>195</v>
      </c>
      <c r="E44" s="67"/>
      <c r="F44" s="66">
        <v>31.45</v>
      </c>
      <c r="G44" s="66">
        <v>7.29</v>
      </c>
      <c r="H44" s="67">
        <f t="shared" si="12"/>
        <v>35.094999999999999</v>
      </c>
      <c r="I44" s="68">
        <f t="shared" si="13"/>
        <v>38.74</v>
      </c>
      <c r="J44" s="69">
        <v>2850</v>
      </c>
      <c r="K44" s="263">
        <v>100</v>
      </c>
      <c r="L44" s="71">
        <v>0</v>
      </c>
      <c r="M44" s="71">
        <v>0</v>
      </c>
      <c r="N44" s="71">
        <f t="shared" si="14"/>
        <v>2337.5</v>
      </c>
      <c r="O44" s="124">
        <f t="shared" si="15"/>
        <v>2750</v>
      </c>
      <c r="P44" s="121">
        <f t="shared" si="16"/>
        <v>66.604929477133496</v>
      </c>
      <c r="Q44" s="101">
        <f t="shared" si="17"/>
        <v>0.15</v>
      </c>
      <c r="R44" s="87">
        <f t="shared" si="18"/>
        <v>412.5</v>
      </c>
      <c r="S44" s="74">
        <v>0.8</v>
      </c>
      <c r="T44" s="75">
        <f t="shared" si="19"/>
        <v>2200</v>
      </c>
      <c r="U44" s="76">
        <f t="shared" si="20"/>
        <v>4.9999999999999961E-2</v>
      </c>
      <c r="V44" s="69">
        <f t="shared" si="21"/>
        <v>137.49999999999989</v>
      </c>
      <c r="W44" s="77">
        <f ca="1">V44*VLOOKUP(TODAY(),'UF HOY'!$A$2:$B$36,2,0)</f>
        <v>5463416.7499999953</v>
      </c>
      <c r="X44" s="78">
        <f>Datos!$E$5</f>
        <v>8</v>
      </c>
      <c r="Y44" s="79">
        <f ca="1">IF((W44-1000000-Datos!$N$5)/X44&gt;0,(W44-1000000-Datos!$N$5)/X44,0)</f>
        <v>545427.09374999942</v>
      </c>
      <c r="Z44" s="78">
        <f>Datos!$G$5</f>
        <v>26</v>
      </c>
      <c r="AA44" s="79">
        <f ca="1">IF((W44-1000000-Datos!$N$5)/Z44&gt;0,(W44-1000000-Datos!$N$5)/Z44,0)</f>
        <v>167823.72115384598</v>
      </c>
      <c r="AB44" s="221">
        <f>IF(L44&gt;0,VLOOKUP(D44,Datos!$H$35:$J$38,3,0),VLOOKUP(D44,Datos!$H$35:$J$38,2,0))</f>
        <v>380000</v>
      </c>
      <c r="AC44" s="79">
        <f ca="1">(S44*PMT(Datos!$D$16,Datos!$D$13,-O44,,)*VLOOKUP(TODAY(),'UF HOY'!$A$2:$B$36,2,0)/12)+VLOOKUP(TODAY(),'UF HOY'!$A$2:$B$36,2,0)</f>
        <v>461000.51634800789</v>
      </c>
      <c r="AD44" s="79">
        <f t="shared" ca="1" si="22"/>
        <v>-81000.516348007892</v>
      </c>
      <c r="AE44" s="220">
        <f t="shared" ca="1" si="23"/>
        <v>1844002.0653920316</v>
      </c>
      <c r="AF44" s="45"/>
    </row>
    <row r="45" spans="1:32" hidden="1">
      <c r="A45" s="66" t="s">
        <v>171</v>
      </c>
      <c r="B45" s="66">
        <v>1209</v>
      </c>
      <c r="C45" s="67" t="s">
        <v>124</v>
      </c>
      <c r="D45" s="67" t="s">
        <v>194</v>
      </c>
      <c r="E45" s="67"/>
      <c r="F45" s="66">
        <v>55.73</v>
      </c>
      <c r="G45" s="66">
        <v>9.4599999999999991</v>
      </c>
      <c r="H45" s="67">
        <f t="shared" si="12"/>
        <v>60.459999999999994</v>
      </c>
      <c r="I45" s="68">
        <f t="shared" si="13"/>
        <v>65.19</v>
      </c>
      <c r="J45" s="69">
        <v>3990</v>
      </c>
      <c r="K45" s="263">
        <v>100</v>
      </c>
      <c r="L45" s="71">
        <v>0</v>
      </c>
      <c r="M45" s="71">
        <v>0</v>
      </c>
      <c r="N45" s="71">
        <f t="shared" si="14"/>
        <v>3306.5</v>
      </c>
      <c r="O45" s="124">
        <f t="shared" si="15"/>
        <v>3890</v>
      </c>
      <c r="P45" s="121">
        <f t="shared" si="16"/>
        <v>54.689050611974864</v>
      </c>
      <c r="Q45" s="101">
        <f t="shared" si="17"/>
        <v>0.15</v>
      </c>
      <c r="R45" s="87">
        <f t="shared" si="18"/>
        <v>583.5</v>
      </c>
      <c r="S45" s="74">
        <v>0.8</v>
      </c>
      <c r="T45" s="75">
        <f t="shared" si="19"/>
        <v>3112</v>
      </c>
      <c r="U45" s="76">
        <f t="shared" si="20"/>
        <v>4.9999999999999961E-2</v>
      </c>
      <c r="V45" s="69">
        <f t="shared" si="21"/>
        <v>194.49999999999986</v>
      </c>
      <c r="W45" s="77">
        <f ca="1">V45*VLOOKUP(TODAY(),'UF HOY'!$A$2:$B$36,2,0)</f>
        <v>7728251.3299999945</v>
      </c>
      <c r="X45" s="78">
        <f>Datos!$E$5</f>
        <v>8</v>
      </c>
      <c r="Y45" s="79">
        <f ca="1">IF((W45-1000000-Datos!$N$5)/X45&gt;0,(W45-1000000-Datos!$N$5)/X45,0)</f>
        <v>828531.41624999931</v>
      </c>
      <c r="Z45" s="78">
        <f>Datos!$G$5</f>
        <v>26</v>
      </c>
      <c r="AA45" s="79">
        <f ca="1">IF((W45-1000000-Datos!$N$5)/Z45&gt;0,(W45-1000000-Datos!$N$5)/Z45,0)</f>
        <v>254932.74346153825</v>
      </c>
      <c r="AB45" s="221">
        <f>IF(L45&gt;0,VLOOKUP(D45,Datos!$H$35:$J$38,3,0),VLOOKUP(D45,Datos!$H$35:$J$38,2,0))</f>
        <v>500000</v>
      </c>
      <c r="AC45" s="79">
        <f ca="1">(S45*PMT(Datos!$D$16,Datos!$D$13,-O45,,)*VLOOKUP(TODAY(),'UF HOY'!$A$2:$B$36,2,0)/12)+VLOOKUP(TODAY(),'UF HOY'!$A$2:$B$36,2,0)</f>
        <v>635634.66072500008</v>
      </c>
      <c r="AD45" s="79">
        <f t="shared" ca="1" si="22"/>
        <v>-135634.66072500008</v>
      </c>
      <c r="AE45" s="220">
        <f t="shared" ca="1" si="23"/>
        <v>2542538.6429000003</v>
      </c>
      <c r="AF45" s="45"/>
    </row>
    <row r="46" spans="1:32" hidden="1">
      <c r="A46" s="66" t="s">
        <v>171</v>
      </c>
      <c r="B46" s="66">
        <v>1212</v>
      </c>
      <c r="C46" s="67" t="s">
        <v>103</v>
      </c>
      <c r="D46" s="67" t="s">
        <v>195</v>
      </c>
      <c r="E46" s="67"/>
      <c r="F46" s="66">
        <v>33.14</v>
      </c>
      <c r="G46" s="66">
        <v>6.9</v>
      </c>
      <c r="H46" s="67">
        <f t="shared" si="0"/>
        <v>36.590000000000003</v>
      </c>
      <c r="I46" s="68">
        <f t="shared" si="1"/>
        <v>40.04</v>
      </c>
      <c r="J46" s="69">
        <v>2850</v>
      </c>
      <c r="K46" s="263">
        <v>100</v>
      </c>
      <c r="L46" s="71">
        <v>0</v>
      </c>
      <c r="M46" s="71">
        <v>0</v>
      </c>
      <c r="N46" s="71">
        <f t="shared" si="2"/>
        <v>2337.5</v>
      </c>
      <c r="O46" s="124">
        <f t="shared" si="3"/>
        <v>2750</v>
      </c>
      <c r="P46" s="121">
        <f t="shared" si="4"/>
        <v>63.883574747198679</v>
      </c>
      <c r="Q46" s="101">
        <f t="shared" si="5"/>
        <v>0.15</v>
      </c>
      <c r="R46" s="87">
        <f t="shared" si="6"/>
        <v>412.5</v>
      </c>
      <c r="S46" s="74">
        <v>0.8</v>
      </c>
      <c r="T46" s="75">
        <f t="shared" si="7"/>
        <v>2200</v>
      </c>
      <c r="U46" s="76">
        <f t="shared" si="8"/>
        <v>4.9999999999999961E-2</v>
      </c>
      <c r="V46" s="69">
        <f t="shared" si="9"/>
        <v>137.49999999999989</v>
      </c>
      <c r="W46" s="77">
        <f ca="1">V46*VLOOKUP(TODAY(),'UF HOY'!$A$2:$B$36,2,0)</f>
        <v>5463416.7499999953</v>
      </c>
      <c r="X46" s="78">
        <f>Datos!$E$5</f>
        <v>8</v>
      </c>
      <c r="Y46" s="79">
        <f ca="1">IF((W46-1000000-Datos!$N$5)/X46&gt;0,(W46-1000000-Datos!$N$5)/X46,0)</f>
        <v>545427.09374999942</v>
      </c>
      <c r="Z46" s="78">
        <f>Datos!$G$5</f>
        <v>26</v>
      </c>
      <c r="AA46" s="79">
        <f ca="1">IF((W46-1000000-Datos!$N$5)/Z46&gt;0,(W46-1000000-Datos!$N$5)/Z46,0)</f>
        <v>167823.72115384598</v>
      </c>
      <c r="AB46" s="221">
        <f>IF(L46&gt;0,VLOOKUP(D46,Datos!$H$35:$J$38,3,0),VLOOKUP(D46,Datos!$H$35:$J$38,2,0))</f>
        <v>380000</v>
      </c>
      <c r="AC46" s="79">
        <f ca="1">(S46*PMT(Datos!$D$16,Datos!$D$13,-O46,,)*VLOOKUP(TODAY(),'UF HOY'!$A$2:$B$36,2,0)/12)+VLOOKUP(TODAY(),'UF HOY'!$A$2:$B$36,2,0)</f>
        <v>461000.51634800789</v>
      </c>
      <c r="AD46" s="79">
        <f t="shared" ca="1" si="10"/>
        <v>-81000.516348007892</v>
      </c>
      <c r="AE46" s="220">
        <f t="shared" ca="1" si="23"/>
        <v>1844002.0653920316</v>
      </c>
      <c r="AF46" s="45"/>
    </row>
    <row r="47" spans="1:32" hidden="1">
      <c r="A47" s="66" t="s">
        <v>171</v>
      </c>
      <c r="B47" s="66">
        <v>1216</v>
      </c>
      <c r="C47" s="67" t="s">
        <v>131</v>
      </c>
      <c r="D47" s="67" t="s">
        <v>195</v>
      </c>
      <c r="E47" s="67"/>
      <c r="F47" s="66">
        <v>31.45</v>
      </c>
      <c r="G47" s="66">
        <v>6.72</v>
      </c>
      <c r="H47" s="67">
        <f t="shared" si="0"/>
        <v>34.81</v>
      </c>
      <c r="I47" s="68">
        <f t="shared" si="1"/>
        <v>38.17</v>
      </c>
      <c r="J47" s="69">
        <v>2850</v>
      </c>
      <c r="K47" s="263">
        <v>100</v>
      </c>
      <c r="L47" s="71">
        <v>0</v>
      </c>
      <c r="M47" s="71">
        <v>0</v>
      </c>
      <c r="N47" s="71">
        <f t="shared" si="2"/>
        <v>2337.5</v>
      </c>
      <c r="O47" s="124">
        <f t="shared" si="3"/>
        <v>2750</v>
      </c>
      <c r="P47" s="121">
        <f t="shared" si="4"/>
        <v>67.150244182706118</v>
      </c>
      <c r="Q47" s="101">
        <f t="shared" si="5"/>
        <v>0.15</v>
      </c>
      <c r="R47" s="87">
        <f t="shared" si="6"/>
        <v>412.5</v>
      </c>
      <c r="S47" s="74">
        <v>0.8</v>
      </c>
      <c r="T47" s="75">
        <f t="shared" si="7"/>
        <v>2200</v>
      </c>
      <c r="U47" s="76">
        <f t="shared" si="8"/>
        <v>4.9999999999999961E-2</v>
      </c>
      <c r="V47" s="69">
        <f t="shared" si="9"/>
        <v>137.49999999999989</v>
      </c>
      <c r="W47" s="77">
        <f ca="1">V47*VLOOKUP(TODAY(),'UF HOY'!$A$2:$B$36,2,0)</f>
        <v>5463416.7499999953</v>
      </c>
      <c r="X47" s="78">
        <f>Datos!$E$5</f>
        <v>8</v>
      </c>
      <c r="Y47" s="79">
        <f ca="1">IF((W47-1000000-Datos!$N$5)/X47&gt;0,(W47-1000000-Datos!$N$5)/X47,0)</f>
        <v>545427.09374999942</v>
      </c>
      <c r="Z47" s="78">
        <f>Datos!$G$5</f>
        <v>26</v>
      </c>
      <c r="AA47" s="79">
        <f ca="1">IF((W47-1000000-Datos!$N$5)/Z47&gt;0,(W47-1000000-Datos!$N$5)/Z47,0)</f>
        <v>167823.72115384598</v>
      </c>
      <c r="AB47" s="221">
        <f>IF(L47&gt;0,VLOOKUP(D47,Datos!$H$35:$J$38,3,0),VLOOKUP(D47,Datos!$H$35:$J$38,2,0))</f>
        <v>380000</v>
      </c>
      <c r="AC47" s="79">
        <f ca="1">(S47*PMT(Datos!$D$16,Datos!$D$13,-O47,,)*VLOOKUP(TODAY(),'UF HOY'!$A$2:$B$36,2,0)/12)+VLOOKUP(TODAY(),'UF HOY'!$A$2:$B$36,2,0)</f>
        <v>461000.51634800789</v>
      </c>
      <c r="AD47" s="79">
        <f t="shared" ca="1" si="10"/>
        <v>-81000.516348007892</v>
      </c>
      <c r="AE47" s="220">
        <f t="shared" ca="1" si="23"/>
        <v>1844002.0653920316</v>
      </c>
      <c r="AF47" s="45"/>
    </row>
    <row r="48" spans="1:32">
      <c r="A48" s="46"/>
      <c r="B48" s="46"/>
      <c r="C48" s="5"/>
      <c r="D48" s="46"/>
      <c r="E48" s="46"/>
      <c r="F48" s="46"/>
      <c r="G48" s="46"/>
      <c r="H48" s="46"/>
      <c r="I48" s="46"/>
      <c r="J48" s="5"/>
      <c r="K48" s="6"/>
      <c r="L48" s="25"/>
      <c r="M48" s="7"/>
      <c r="N48" s="46"/>
      <c r="Z48" s="44"/>
    </row>
    <row r="49" spans="5:18">
      <c r="E49" s="46"/>
      <c r="L49" s="102" t="s">
        <v>228</v>
      </c>
      <c r="M49" s="47"/>
      <c r="N49" s="48"/>
      <c r="R49" s="62"/>
    </row>
    <row r="50" spans="5:18">
      <c r="E50" s="46"/>
      <c r="L50" s="102" t="s">
        <v>227</v>
      </c>
      <c r="M50" s="47"/>
      <c r="N50" s="48"/>
    </row>
    <row r="51" spans="5:18">
      <c r="E51" s="46"/>
      <c r="L51" s="46"/>
      <c r="M51" s="47"/>
      <c r="N51" s="47"/>
      <c r="O51" s="49"/>
      <c r="P51" s="49"/>
      <c r="Q51" s="45"/>
    </row>
    <row r="52" spans="5:18">
      <c r="E52" s="46"/>
      <c r="L52" s="46"/>
      <c r="M52" s="47"/>
      <c r="N52" s="48"/>
      <c r="O52" s="50"/>
      <c r="P52" s="50"/>
    </row>
    <row r="53" spans="5:18">
      <c r="E53" s="46"/>
      <c r="F53" s="46"/>
      <c r="G53" s="46"/>
      <c r="H53" s="46"/>
      <c r="I53" s="46"/>
      <c r="L53" s="46"/>
      <c r="M53" s="48"/>
      <c r="N53" s="48"/>
      <c r="O53" s="51"/>
      <c r="P53" s="51"/>
    </row>
    <row r="54" spans="5:18">
      <c r="E54" s="46"/>
      <c r="F54" s="46"/>
      <c r="G54" s="46"/>
      <c r="H54" s="46"/>
      <c r="I54" s="46"/>
      <c r="L54" s="46"/>
      <c r="M54" s="48"/>
      <c r="N54" s="48"/>
    </row>
    <row r="55" spans="5:18">
      <c r="E55" s="46"/>
      <c r="F55" s="46"/>
      <c r="G55" s="46"/>
      <c r="H55" s="46"/>
      <c r="I55" s="46"/>
      <c r="L55" s="46"/>
      <c r="M55" s="48"/>
      <c r="N55" s="48"/>
      <c r="O55" s="45"/>
      <c r="P55" s="45"/>
    </row>
    <row r="57" spans="5:18">
      <c r="M57" s="48"/>
      <c r="O57" s="52"/>
      <c r="P57" s="52"/>
    </row>
    <row r="65" spans="12:14">
      <c r="L65" s="49"/>
      <c r="N65" s="53"/>
    </row>
    <row r="66" spans="12:14">
      <c r="L66" s="49"/>
      <c r="N66" s="53"/>
    </row>
    <row r="67" spans="12:14">
      <c r="L67" s="49"/>
      <c r="N67" s="53"/>
    </row>
  </sheetData>
  <autoFilter ref="A1:AE47" xr:uid="{1C03C8CF-38C1-4CA6-AA49-03800B6AC10F}">
    <filterColumn colId="0">
      <filters>
        <filter val="Disponible"/>
      </filters>
    </filterColumn>
    <sortState xmlns:xlrd2="http://schemas.microsoft.com/office/spreadsheetml/2017/richdata2" ref="A4:AE45">
      <sortCondition ref="N1:N47"/>
    </sortState>
  </autoFilter>
  <conditionalFormatting sqref="A1:AD1 L2:M47 A2:J47 S2:AD47">
    <cfRule type="expression" dxfId="5" priority="8">
      <formula>ROW()=CELL("fila")</formula>
    </cfRule>
  </conditionalFormatting>
  <conditionalFormatting sqref="AE1">
    <cfRule type="expression" dxfId="4" priority="7">
      <formula>ROW()=CELL("fila")</formula>
    </cfRule>
  </conditionalFormatting>
  <conditionalFormatting sqref="K2:K47">
    <cfRule type="expression" dxfId="3" priority="3">
      <formula>ROW()=CELL("fila")</formula>
    </cfRule>
  </conditionalFormatting>
  <conditionalFormatting sqref="N2:R47">
    <cfRule type="expression" dxfId="2" priority="2">
      <formula>ROW()=CELL("fila")</formula>
    </cfRule>
  </conditionalFormatting>
  <conditionalFormatting sqref="AE2:AE47">
    <cfRule type="expression" dxfId="1" priority="1">
      <formula>ROW()=CELL("fila")</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D7313-9286-4F4D-833E-A9BE6B8A9741}">
  <sheetPr codeName="Hoja7" filterMode="1">
    <tabColor rgb="FF002060"/>
  </sheetPr>
  <dimension ref="A1:AG151"/>
  <sheetViews>
    <sheetView showGridLines="0" zoomScale="80" zoomScaleNormal="80" workbookViewId="0">
      <pane ySplit="1" topLeftCell="A83" activePane="bottomLeft" state="frozen"/>
      <selection activeCell="O15" activeCellId="1" sqref="B15 O15"/>
      <selection pane="bottomLeft" activeCell="C157" sqref="C157"/>
    </sheetView>
  </sheetViews>
  <sheetFormatPr baseColWidth="10" defaultColWidth="11" defaultRowHeight="15.5"/>
  <cols>
    <col min="1" max="1" width="11" style="44"/>
    <col min="2" max="2" width="12.5" style="44" bestFit="1" customWidth="1"/>
    <col min="3" max="3" width="11" style="44"/>
    <col min="4" max="4" width="12" style="44" bestFit="1" customWidth="1"/>
    <col min="5" max="5" width="9.75" style="44" hidden="1" customWidth="1"/>
    <col min="6" max="6" width="11" style="44" hidden="1" customWidth="1"/>
    <col min="7" max="8" width="11.5" style="44" hidden="1" customWidth="1"/>
    <col min="9" max="9" width="11.5" style="44" customWidth="1"/>
    <col min="10" max="10" width="13.5" style="44" bestFit="1" customWidth="1"/>
    <col min="11" max="11" width="11" style="44"/>
    <col min="12" max="12" width="8.08203125" style="44" bestFit="1" customWidth="1"/>
    <col min="13" max="13" width="8.5" style="44" bestFit="1" customWidth="1"/>
    <col min="14" max="14" width="11.5" style="44" customWidth="1"/>
    <col min="15" max="16" width="11" style="44"/>
    <col min="17" max="17" width="8.83203125" style="44" bestFit="1" customWidth="1"/>
    <col min="18" max="18" width="11" style="44" customWidth="1"/>
    <col min="19" max="19" width="10.75" style="44" customWidth="1"/>
    <col min="20" max="20" width="14.83203125" style="44" bestFit="1" customWidth="1"/>
    <col min="21" max="21" width="10.5" style="44" bestFit="1" customWidth="1"/>
    <col min="22" max="22" width="11" style="44" hidden="1" customWidth="1"/>
    <col min="23" max="24" width="11" style="44"/>
    <col min="25" max="25" width="15.58203125" style="44" bestFit="1" customWidth="1"/>
    <col min="26" max="26" width="12.5" style="49" customWidth="1"/>
    <col min="27" max="27" width="14.5" style="44" bestFit="1" customWidth="1"/>
    <col min="28" max="28" width="12.33203125" style="44" customWidth="1"/>
    <col min="29" max="29" width="11.33203125" style="44" bestFit="1" customWidth="1"/>
    <col min="30" max="31" width="11" style="44"/>
    <col min="32" max="32" width="12" style="44" bestFit="1" customWidth="1"/>
    <col min="33" max="33" width="13.08203125" style="44" bestFit="1" customWidth="1"/>
    <col min="34" max="16384" width="11" style="44"/>
  </cols>
  <sheetData>
    <row r="1" spans="1:33" ht="20">
      <c r="A1" s="63" t="s">
        <v>0</v>
      </c>
      <c r="B1" s="63" t="s">
        <v>5</v>
      </c>
      <c r="C1" s="63" t="s">
        <v>9</v>
      </c>
      <c r="D1" s="64" t="s">
        <v>8</v>
      </c>
      <c r="E1" s="64" t="s">
        <v>47</v>
      </c>
      <c r="F1" s="64" t="s">
        <v>30</v>
      </c>
      <c r="G1" s="64" t="s">
        <v>31</v>
      </c>
      <c r="H1" s="64" t="s">
        <v>6</v>
      </c>
      <c r="I1" s="64" t="s">
        <v>53</v>
      </c>
      <c r="J1" s="64" t="s">
        <v>7</v>
      </c>
      <c r="K1" s="64" t="s">
        <v>1</v>
      </c>
      <c r="L1" s="64" t="s">
        <v>25</v>
      </c>
      <c r="M1" s="64" t="s">
        <v>26</v>
      </c>
      <c r="N1" s="64" t="s">
        <v>2</v>
      </c>
      <c r="O1" s="64" t="s">
        <v>16</v>
      </c>
      <c r="P1" s="120" t="s">
        <v>182</v>
      </c>
      <c r="Q1" s="65" t="s">
        <v>14</v>
      </c>
      <c r="R1" s="65" t="s">
        <v>23</v>
      </c>
      <c r="S1" s="65" t="s">
        <v>58</v>
      </c>
      <c r="T1" s="65" t="s">
        <v>27</v>
      </c>
      <c r="U1" s="65" t="s">
        <v>13</v>
      </c>
      <c r="V1" s="65" t="s">
        <v>22</v>
      </c>
      <c r="W1" s="65" t="s">
        <v>12</v>
      </c>
      <c r="X1" s="65" t="s">
        <v>20</v>
      </c>
      <c r="Y1" s="65" t="s">
        <v>3</v>
      </c>
      <c r="Z1" s="65" t="s">
        <v>113</v>
      </c>
      <c r="AA1" s="65" t="s">
        <v>21</v>
      </c>
      <c r="AB1" s="65" t="s">
        <v>17</v>
      </c>
      <c r="AC1" s="65" t="s">
        <v>19</v>
      </c>
      <c r="AD1" s="65" t="s">
        <v>18</v>
      </c>
    </row>
    <row r="2" spans="1:33" hidden="1">
      <c r="A2" s="169" t="s">
        <v>223</v>
      </c>
      <c r="B2" s="170">
        <v>301</v>
      </c>
      <c r="C2" s="67" t="s">
        <v>131</v>
      </c>
      <c r="D2" s="67" t="s">
        <v>127</v>
      </c>
      <c r="E2" s="67"/>
      <c r="F2" s="66"/>
      <c r="G2" s="66"/>
      <c r="H2" s="67">
        <v>37.450000000000003</v>
      </c>
      <c r="I2" s="68">
        <v>41.95</v>
      </c>
      <c r="J2" s="69">
        <v>2990</v>
      </c>
      <c r="K2" s="70">
        <v>0</v>
      </c>
      <c r="L2" s="71">
        <v>0</v>
      </c>
      <c r="M2" s="71">
        <v>0</v>
      </c>
      <c r="N2" s="72">
        <f t="shared" ref="N2" si="0">O2-R2</f>
        <v>2541.5</v>
      </c>
      <c r="O2" s="73">
        <f t="shared" ref="O2" si="1">J2*(100%-K2)+L2+M2</f>
        <v>2990</v>
      </c>
      <c r="P2" s="121">
        <f t="shared" ref="P2" si="2">(N2-L2-M2)/H2</f>
        <v>67.863818424566077</v>
      </c>
      <c r="Q2" s="74">
        <f t="shared" ref="Q2" si="3">R2/O2</f>
        <v>0.15</v>
      </c>
      <c r="R2" s="75">
        <f t="shared" ref="R2" si="4">O2*0.15</f>
        <v>448.5</v>
      </c>
      <c r="S2" s="74">
        <v>0.8</v>
      </c>
      <c r="T2" s="75">
        <f t="shared" ref="T2" si="5">S2*O2</f>
        <v>2392</v>
      </c>
      <c r="U2" s="76">
        <f t="shared" ref="U2" si="6">100%-S2-Q2</f>
        <v>4.9999999999999961E-2</v>
      </c>
      <c r="V2" s="69">
        <f t="shared" ref="V2" si="7">O2*U2</f>
        <v>149.49999999999989</v>
      </c>
      <c r="W2" s="77">
        <f ca="1">V2*VLOOKUP(TODAY(),'UF HOY'!$A$2:$B$36,2,0)</f>
        <v>5940224.0299999956</v>
      </c>
      <c r="X2" s="78">
        <f>Datos!$E$9</f>
        <v>4</v>
      </c>
      <c r="Y2" s="79">
        <f ca="1">IF((W2-1000000-Datos!$N$9)/X2&gt;0,(W2-1000000-Datos!$N$9)/X2,0)</f>
        <v>1210056.0074999989</v>
      </c>
      <c r="Z2" s="78">
        <f>Datos!$G$9</f>
        <v>4</v>
      </c>
      <c r="AA2" s="79">
        <f ca="1">IF((W2-1000000-Datos!$N$9)/Z2&gt;0,(W2-1000000-Datos!$N$9)/Z2,0)</f>
        <v>1210056.0074999989</v>
      </c>
      <c r="AB2" s="79">
        <f>IF(L2&gt;0,VLOOKUP(D2,Datos!$H$25:$J$28,3,0),VLOOKUP(D2,Datos!$H$25:$J$28,2,0))</f>
        <v>340000</v>
      </c>
      <c r="AC2" s="79">
        <f ca="1">(S2*PMT(Datos!$D$15,Datos!$D$13,-O2,,)*VLOOKUP(TODAY(),'UF HOY'!$A$2:$B$36,2,0)/12)</f>
        <v>458031.65937474306</v>
      </c>
      <c r="AD2" s="79">
        <f t="shared" ref="AD2" ca="1" si="8">AB2-AC2</f>
        <v>-118031.65937474306</v>
      </c>
      <c r="AE2" s="45"/>
      <c r="AF2" s="45"/>
      <c r="AG2" s="45"/>
    </row>
    <row r="3" spans="1:33" hidden="1">
      <c r="A3" s="173" t="s">
        <v>171</v>
      </c>
      <c r="B3" s="173">
        <v>310</v>
      </c>
      <c r="C3" s="67" t="s">
        <v>131</v>
      </c>
      <c r="D3" s="67" t="s">
        <v>127</v>
      </c>
      <c r="E3" s="67"/>
      <c r="F3" s="66">
        <v>31.37</v>
      </c>
      <c r="G3" s="66">
        <v>4.2</v>
      </c>
      <c r="H3" s="67">
        <f t="shared" ref="H3:H15" si="9">F3+G3/2</f>
        <v>33.47</v>
      </c>
      <c r="I3" s="68">
        <f t="shared" ref="I3:I15" si="10">F3+G3</f>
        <v>35.57</v>
      </c>
      <c r="J3" s="69">
        <v>2850</v>
      </c>
      <c r="K3" s="70">
        <v>0</v>
      </c>
      <c r="L3" s="71">
        <v>0</v>
      </c>
      <c r="M3" s="71">
        <v>0</v>
      </c>
      <c r="N3" s="72">
        <f t="shared" ref="N3:N34" si="11">O3-R3</f>
        <v>2422.5</v>
      </c>
      <c r="O3" s="73">
        <f t="shared" ref="O3:O34" si="12">J3*(100%-K3)+L3+M3</f>
        <v>2850</v>
      </c>
      <c r="P3" s="121">
        <f t="shared" ref="P3:P34" si="13">(N3-L3-M3)/H3</f>
        <v>72.378249178368691</v>
      </c>
      <c r="Q3" s="74">
        <f t="shared" ref="Q3:Q34" si="14">R3/O3</f>
        <v>0.15</v>
      </c>
      <c r="R3" s="75">
        <f t="shared" ref="R3:R34" si="15">O3*0.15</f>
        <v>427.5</v>
      </c>
      <c r="S3" s="74">
        <v>0.8</v>
      </c>
      <c r="T3" s="75">
        <f t="shared" ref="T3:T34" si="16">S3*O3</f>
        <v>2280</v>
      </c>
      <c r="U3" s="76">
        <f t="shared" ref="U3:U34" si="17">100%-S3-Q3</f>
        <v>4.9999999999999961E-2</v>
      </c>
      <c r="V3" s="69">
        <f t="shared" ref="V3:V34" si="18">O3*U3</f>
        <v>142.49999999999989</v>
      </c>
      <c r="W3" s="77">
        <f ca="1">V3*VLOOKUP(TODAY(),'UF HOY'!$A$2:$B$36,2,0)</f>
        <v>5662086.4499999955</v>
      </c>
      <c r="X3" s="78">
        <f>Datos!$E$9</f>
        <v>4</v>
      </c>
      <c r="Y3" s="79">
        <f ca="1">IF((W3-1000000-Datos!$N$9)/X3&gt;0,(W3-1000000-Datos!$N$9)/X3,0)</f>
        <v>1140521.6124999989</v>
      </c>
      <c r="Z3" s="78">
        <f>Datos!$G$9</f>
        <v>4</v>
      </c>
      <c r="AA3" s="79">
        <f ca="1">IF((W3-1000000-Datos!$N$9)/Z3&gt;0,(W3-1000000-Datos!$N$9)/Z3,0)</f>
        <v>1140521.6124999989</v>
      </c>
      <c r="AB3" s="79">
        <f>IF(L3&gt;0,VLOOKUP(D3,Datos!$H$25:$J$28,3,0),VLOOKUP(D3,Datos!$H$25:$J$28,2,0))</f>
        <v>340000</v>
      </c>
      <c r="AC3" s="79">
        <f ca="1">(S3*PMT(Datos!$D$15,Datos!$D$13,-O3,,)*VLOOKUP(TODAY(),'UF HOY'!$A$2:$B$36,2,0)/12)</f>
        <v>436585.36094248091</v>
      </c>
      <c r="AD3" s="79">
        <f t="shared" ref="AD3:AD34" ca="1" si="19">AB3-AC3</f>
        <v>-96585.360942480911</v>
      </c>
      <c r="AE3" s="45"/>
      <c r="AF3" s="45"/>
    </row>
    <row r="4" spans="1:33" hidden="1">
      <c r="A4" s="173" t="s">
        <v>171</v>
      </c>
      <c r="B4" s="173">
        <v>510</v>
      </c>
      <c r="C4" s="67" t="s">
        <v>131</v>
      </c>
      <c r="D4" s="67" t="s">
        <v>127</v>
      </c>
      <c r="E4" s="67"/>
      <c r="F4" s="66">
        <v>31.37</v>
      </c>
      <c r="G4" s="66">
        <v>4.2</v>
      </c>
      <c r="H4" s="67">
        <f t="shared" si="9"/>
        <v>33.47</v>
      </c>
      <c r="I4" s="68">
        <f t="shared" si="10"/>
        <v>35.57</v>
      </c>
      <c r="J4" s="69">
        <v>2850</v>
      </c>
      <c r="K4" s="70">
        <v>0</v>
      </c>
      <c r="L4" s="71">
        <v>0</v>
      </c>
      <c r="M4" s="71">
        <v>0</v>
      </c>
      <c r="N4" s="72">
        <f t="shared" si="11"/>
        <v>2422.5</v>
      </c>
      <c r="O4" s="73">
        <f t="shared" si="12"/>
        <v>2850</v>
      </c>
      <c r="P4" s="121">
        <f t="shared" si="13"/>
        <v>72.378249178368691</v>
      </c>
      <c r="Q4" s="74">
        <f t="shared" si="14"/>
        <v>0.15</v>
      </c>
      <c r="R4" s="75">
        <f t="shared" si="15"/>
        <v>427.5</v>
      </c>
      <c r="S4" s="74">
        <v>0.8</v>
      </c>
      <c r="T4" s="75">
        <f t="shared" si="16"/>
        <v>2280</v>
      </c>
      <c r="U4" s="76">
        <f t="shared" si="17"/>
        <v>4.9999999999999961E-2</v>
      </c>
      <c r="V4" s="69">
        <f t="shared" si="18"/>
        <v>142.49999999999989</v>
      </c>
      <c r="W4" s="77">
        <f ca="1">V4*VLOOKUP(TODAY(),'UF HOY'!$A$2:$B$36,2,0)</f>
        <v>5662086.4499999955</v>
      </c>
      <c r="X4" s="78">
        <f>Datos!$E$9</f>
        <v>4</v>
      </c>
      <c r="Y4" s="79">
        <f ca="1">IF((W4-1000000-Datos!$N$9)/X4&gt;0,(W4-1000000-Datos!$N$9)/X4,0)</f>
        <v>1140521.6124999989</v>
      </c>
      <c r="Z4" s="78">
        <f>Datos!$G$9</f>
        <v>4</v>
      </c>
      <c r="AA4" s="79">
        <f ca="1">IF((W4-1000000-Datos!$N$9)/Z4&gt;0,(W4-1000000-Datos!$N$9)/Z4,0)</f>
        <v>1140521.6124999989</v>
      </c>
      <c r="AB4" s="79">
        <f>IF(L4&gt;0,VLOOKUP(D4,Datos!$H$25:$J$28,3,0),VLOOKUP(D4,Datos!$H$25:$J$28,2,0))</f>
        <v>340000</v>
      </c>
      <c r="AC4" s="79">
        <f ca="1">(S4*PMT(Datos!$D$15,Datos!$D$13,-O4,,)*VLOOKUP(TODAY(),'UF HOY'!$A$2:$B$36,2,0)/12)</f>
        <v>436585.36094248091</v>
      </c>
      <c r="AD4" s="79">
        <f t="shared" ca="1" si="19"/>
        <v>-96585.360942480911</v>
      </c>
      <c r="AE4" s="45"/>
      <c r="AF4" s="45"/>
    </row>
    <row r="5" spans="1:33" hidden="1">
      <c r="A5" s="173" t="s">
        <v>171</v>
      </c>
      <c r="B5" s="173">
        <v>610</v>
      </c>
      <c r="C5" s="67" t="s">
        <v>131</v>
      </c>
      <c r="D5" s="67" t="s">
        <v>127</v>
      </c>
      <c r="E5" s="67"/>
      <c r="F5" s="66">
        <v>31.37</v>
      </c>
      <c r="G5" s="66">
        <v>4.2</v>
      </c>
      <c r="H5" s="67">
        <f t="shared" si="9"/>
        <v>33.47</v>
      </c>
      <c r="I5" s="68">
        <f t="shared" si="10"/>
        <v>35.57</v>
      </c>
      <c r="J5" s="69">
        <v>2850</v>
      </c>
      <c r="K5" s="70">
        <v>0</v>
      </c>
      <c r="L5" s="71">
        <v>0</v>
      </c>
      <c r="M5" s="71">
        <v>0</v>
      </c>
      <c r="N5" s="72">
        <f t="shared" si="11"/>
        <v>2422.5</v>
      </c>
      <c r="O5" s="73">
        <f t="shared" si="12"/>
        <v>2850</v>
      </c>
      <c r="P5" s="121">
        <f t="shared" si="13"/>
        <v>72.378249178368691</v>
      </c>
      <c r="Q5" s="74">
        <f t="shared" si="14"/>
        <v>0.15</v>
      </c>
      <c r="R5" s="75">
        <f t="shared" si="15"/>
        <v>427.5</v>
      </c>
      <c r="S5" s="74">
        <v>0.8</v>
      </c>
      <c r="T5" s="75">
        <f t="shared" si="16"/>
        <v>2280</v>
      </c>
      <c r="U5" s="76">
        <f t="shared" si="17"/>
        <v>4.9999999999999961E-2</v>
      </c>
      <c r="V5" s="69">
        <f t="shared" si="18"/>
        <v>142.49999999999989</v>
      </c>
      <c r="W5" s="77">
        <f ca="1">V5*VLOOKUP(TODAY(),'UF HOY'!$A$2:$B$36,2,0)</f>
        <v>5662086.4499999955</v>
      </c>
      <c r="X5" s="78">
        <f>Datos!$E$9</f>
        <v>4</v>
      </c>
      <c r="Y5" s="79">
        <f ca="1">IF((W5-1000000-Datos!$N$9)/X5&gt;0,(W5-1000000-Datos!$N$9)/X5,0)</f>
        <v>1140521.6124999989</v>
      </c>
      <c r="Z5" s="78">
        <f>Datos!$G$9</f>
        <v>4</v>
      </c>
      <c r="AA5" s="79">
        <f ca="1">IF((W5-1000000-Datos!$N$9)/Z5&gt;0,(W5-1000000-Datos!$N$9)/Z5,0)</f>
        <v>1140521.6124999989</v>
      </c>
      <c r="AB5" s="79">
        <f>IF(L5&gt;0,VLOOKUP(D5,Datos!$H$25:$J$28,3,0),VLOOKUP(D5,Datos!$H$25:$J$28,2,0))</f>
        <v>340000</v>
      </c>
      <c r="AC5" s="79">
        <f ca="1">(S5*PMT(Datos!$D$15,Datos!$D$13,-O5,,)*VLOOKUP(TODAY(),'UF HOY'!$A$2:$B$36,2,0)/12)</f>
        <v>436585.36094248091</v>
      </c>
      <c r="AD5" s="79">
        <f t="shared" ca="1" si="19"/>
        <v>-96585.360942480911</v>
      </c>
      <c r="AE5" s="45"/>
      <c r="AF5" s="45"/>
    </row>
    <row r="6" spans="1:33" hidden="1">
      <c r="A6" s="173" t="s">
        <v>171</v>
      </c>
      <c r="B6" s="173">
        <v>710</v>
      </c>
      <c r="C6" s="67" t="s">
        <v>131</v>
      </c>
      <c r="D6" s="67" t="s">
        <v>127</v>
      </c>
      <c r="E6" s="67"/>
      <c r="F6" s="66">
        <v>31.37</v>
      </c>
      <c r="G6" s="66">
        <v>4.2</v>
      </c>
      <c r="H6" s="67">
        <f t="shared" si="9"/>
        <v>33.47</v>
      </c>
      <c r="I6" s="68">
        <f t="shared" si="10"/>
        <v>35.57</v>
      </c>
      <c r="J6" s="69">
        <v>2850</v>
      </c>
      <c r="K6" s="70">
        <v>0</v>
      </c>
      <c r="L6" s="71">
        <v>0</v>
      </c>
      <c r="M6" s="71">
        <v>0</v>
      </c>
      <c r="N6" s="72">
        <f t="shared" si="11"/>
        <v>2422.5</v>
      </c>
      <c r="O6" s="73">
        <f t="shared" si="12"/>
        <v>2850</v>
      </c>
      <c r="P6" s="121">
        <f t="shared" si="13"/>
        <v>72.378249178368691</v>
      </c>
      <c r="Q6" s="74">
        <f t="shared" si="14"/>
        <v>0.15</v>
      </c>
      <c r="R6" s="75">
        <f t="shared" si="15"/>
        <v>427.5</v>
      </c>
      <c r="S6" s="74">
        <v>0.8</v>
      </c>
      <c r="T6" s="75">
        <f t="shared" si="16"/>
        <v>2280</v>
      </c>
      <c r="U6" s="76">
        <f t="shared" si="17"/>
        <v>4.9999999999999961E-2</v>
      </c>
      <c r="V6" s="69">
        <f t="shared" si="18"/>
        <v>142.49999999999989</v>
      </c>
      <c r="W6" s="77">
        <f ca="1">V6*VLOOKUP(TODAY(),'UF HOY'!$A$2:$B$36,2,0)</f>
        <v>5662086.4499999955</v>
      </c>
      <c r="X6" s="78">
        <f>Datos!$E$9</f>
        <v>4</v>
      </c>
      <c r="Y6" s="79">
        <f ca="1">IF((W6-1000000-Datos!$N$9)/X6&gt;0,(W6-1000000-Datos!$N$9)/X6,0)</f>
        <v>1140521.6124999989</v>
      </c>
      <c r="Z6" s="78">
        <f>Datos!$G$9</f>
        <v>4</v>
      </c>
      <c r="AA6" s="79">
        <f ca="1">IF((W6-1000000-Datos!$N$9)/Z6&gt;0,(W6-1000000-Datos!$N$9)/Z6,0)</f>
        <v>1140521.6124999989</v>
      </c>
      <c r="AB6" s="79">
        <f>IF(L6&gt;0,VLOOKUP(D6,Datos!$H$25:$J$28,3,0),VLOOKUP(D6,Datos!$H$25:$J$28,2,0))</f>
        <v>340000</v>
      </c>
      <c r="AC6" s="79">
        <f ca="1">(S6*PMT(Datos!$D$15,Datos!$D$13,-O6,,)*VLOOKUP(TODAY(),'UF HOY'!$A$2:$B$36,2,0)/12)</f>
        <v>436585.36094248091</v>
      </c>
      <c r="AD6" s="79">
        <f t="shared" ca="1" si="19"/>
        <v>-96585.360942480911</v>
      </c>
      <c r="AE6" s="45"/>
      <c r="AF6" s="45"/>
    </row>
    <row r="7" spans="1:33" hidden="1">
      <c r="A7" s="173" t="s">
        <v>171</v>
      </c>
      <c r="B7" s="173">
        <v>810</v>
      </c>
      <c r="C7" s="67" t="s">
        <v>131</v>
      </c>
      <c r="D7" s="67" t="s">
        <v>127</v>
      </c>
      <c r="E7" s="67"/>
      <c r="F7" s="66">
        <v>31.37</v>
      </c>
      <c r="G7" s="66">
        <v>4.2</v>
      </c>
      <c r="H7" s="67">
        <f t="shared" si="9"/>
        <v>33.47</v>
      </c>
      <c r="I7" s="68">
        <f t="shared" si="10"/>
        <v>35.57</v>
      </c>
      <c r="J7" s="69">
        <v>2850</v>
      </c>
      <c r="K7" s="70">
        <v>0</v>
      </c>
      <c r="L7" s="71">
        <v>0</v>
      </c>
      <c r="M7" s="71">
        <v>0</v>
      </c>
      <c r="N7" s="72">
        <f t="shared" si="11"/>
        <v>2422.5</v>
      </c>
      <c r="O7" s="73">
        <f t="shared" si="12"/>
        <v>2850</v>
      </c>
      <c r="P7" s="121">
        <f t="shared" si="13"/>
        <v>72.378249178368691</v>
      </c>
      <c r="Q7" s="74">
        <f t="shared" si="14"/>
        <v>0.15</v>
      </c>
      <c r="R7" s="75">
        <f t="shared" si="15"/>
        <v>427.5</v>
      </c>
      <c r="S7" s="74">
        <v>0.8</v>
      </c>
      <c r="T7" s="75">
        <f t="shared" si="16"/>
        <v>2280</v>
      </c>
      <c r="U7" s="76">
        <f t="shared" si="17"/>
        <v>4.9999999999999961E-2</v>
      </c>
      <c r="V7" s="69">
        <f t="shared" si="18"/>
        <v>142.49999999999989</v>
      </c>
      <c r="W7" s="77">
        <f ca="1">V7*VLOOKUP(TODAY(),'UF HOY'!$A$2:$B$36,2,0)</f>
        <v>5662086.4499999955</v>
      </c>
      <c r="X7" s="78">
        <f>Datos!$E$9</f>
        <v>4</v>
      </c>
      <c r="Y7" s="79">
        <f ca="1">IF((W7-1000000-Datos!$N$9)/X7&gt;0,(W7-1000000-Datos!$N$9)/X7,0)</f>
        <v>1140521.6124999989</v>
      </c>
      <c r="Z7" s="78">
        <f>Datos!$G$9</f>
        <v>4</v>
      </c>
      <c r="AA7" s="79">
        <f ca="1">IF((W7-1000000-Datos!$N$9)/Z7&gt;0,(W7-1000000-Datos!$N$9)/Z7,0)</f>
        <v>1140521.6124999989</v>
      </c>
      <c r="AB7" s="79">
        <f>IF(L7&gt;0,VLOOKUP(D7,Datos!$H$25:$J$28,3,0),VLOOKUP(D7,Datos!$H$25:$J$28,2,0))</f>
        <v>340000</v>
      </c>
      <c r="AC7" s="79">
        <f ca="1">(S7*PMT(Datos!$D$15,Datos!$D$13,-O7,,)*VLOOKUP(TODAY(),'UF HOY'!$A$2:$B$36,2,0)/12)</f>
        <v>436585.36094248091</v>
      </c>
      <c r="AD7" s="79">
        <f t="shared" ca="1" si="19"/>
        <v>-96585.360942480911</v>
      </c>
      <c r="AE7" s="45"/>
      <c r="AF7" s="45"/>
    </row>
    <row r="8" spans="1:33" hidden="1">
      <c r="A8" s="173" t="s">
        <v>171</v>
      </c>
      <c r="B8" s="173">
        <v>910</v>
      </c>
      <c r="C8" s="67" t="s">
        <v>131</v>
      </c>
      <c r="D8" s="67" t="s">
        <v>127</v>
      </c>
      <c r="E8" s="67"/>
      <c r="F8" s="66">
        <v>31.37</v>
      </c>
      <c r="G8" s="66">
        <v>4.2</v>
      </c>
      <c r="H8" s="67">
        <f t="shared" si="9"/>
        <v>33.47</v>
      </c>
      <c r="I8" s="68">
        <f t="shared" si="10"/>
        <v>35.57</v>
      </c>
      <c r="J8" s="69">
        <v>2850</v>
      </c>
      <c r="K8" s="70">
        <v>0</v>
      </c>
      <c r="L8" s="71">
        <v>0</v>
      </c>
      <c r="M8" s="71">
        <v>0</v>
      </c>
      <c r="N8" s="72">
        <f t="shared" si="11"/>
        <v>2422.5</v>
      </c>
      <c r="O8" s="73">
        <f t="shared" si="12"/>
        <v>2850</v>
      </c>
      <c r="P8" s="121">
        <f t="shared" si="13"/>
        <v>72.378249178368691</v>
      </c>
      <c r="Q8" s="74">
        <f t="shared" si="14"/>
        <v>0.15</v>
      </c>
      <c r="R8" s="75">
        <f t="shared" si="15"/>
        <v>427.5</v>
      </c>
      <c r="S8" s="74">
        <v>0.8</v>
      </c>
      <c r="T8" s="75">
        <f t="shared" si="16"/>
        <v>2280</v>
      </c>
      <c r="U8" s="76">
        <f t="shared" si="17"/>
        <v>4.9999999999999961E-2</v>
      </c>
      <c r="V8" s="69">
        <f t="shared" si="18"/>
        <v>142.49999999999989</v>
      </c>
      <c r="W8" s="77">
        <f ca="1">V8*VLOOKUP(TODAY(),'UF HOY'!$A$2:$B$36,2,0)</f>
        <v>5662086.4499999955</v>
      </c>
      <c r="X8" s="78">
        <f>Datos!$E$9</f>
        <v>4</v>
      </c>
      <c r="Y8" s="79">
        <f ca="1">IF((W8-1000000-Datos!$N$9)/X8&gt;0,(W8-1000000-Datos!$N$9)/X8,0)</f>
        <v>1140521.6124999989</v>
      </c>
      <c r="Z8" s="78">
        <f>Datos!$G$9</f>
        <v>4</v>
      </c>
      <c r="AA8" s="79">
        <f ca="1">IF((W8-1000000-Datos!$N$9)/Z8&gt;0,(W8-1000000-Datos!$N$9)/Z8,0)</f>
        <v>1140521.6124999989</v>
      </c>
      <c r="AB8" s="79">
        <f>IF(L8&gt;0,VLOOKUP(D8,Datos!$H$25:$J$28,3,0),VLOOKUP(D8,Datos!$H$25:$J$28,2,0))</f>
        <v>340000</v>
      </c>
      <c r="AC8" s="79">
        <f ca="1">(S8*PMT(Datos!$D$15,Datos!$D$13,-O8,,)*VLOOKUP(TODAY(),'UF HOY'!$A$2:$B$36,2,0)/12)</f>
        <v>436585.36094248091</v>
      </c>
      <c r="AD8" s="79">
        <f t="shared" ca="1" si="19"/>
        <v>-96585.360942480911</v>
      </c>
      <c r="AE8" s="45"/>
      <c r="AF8" s="45"/>
    </row>
    <row r="9" spans="1:33" hidden="1">
      <c r="A9" s="173" t="s">
        <v>171</v>
      </c>
      <c r="B9" s="173">
        <v>1010</v>
      </c>
      <c r="C9" s="67" t="s">
        <v>131</v>
      </c>
      <c r="D9" s="67" t="s">
        <v>127</v>
      </c>
      <c r="E9" s="67"/>
      <c r="F9" s="66">
        <v>31.37</v>
      </c>
      <c r="G9" s="66">
        <v>4.2</v>
      </c>
      <c r="H9" s="67">
        <f t="shared" si="9"/>
        <v>33.47</v>
      </c>
      <c r="I9" s="68">
        <f t="shared" si="10"/>
        <v>35.57</v>
      </c>
      <c r="J9" s="69">
        <v>2850</v>
      </c>
      <c r="K9" s="70">
        <v>0</v>
      </c>
      <c r="L9" s="71">
        <v>0</v>
      </c>
      <c r="M9" s="71">
        <v>0</v>
      </c>
      <c r="N9" s="72">
        <f t="shared" si="11"/>
        <v>2422.5</v>
      </c>
      <c r="O9" s="73">
        <f t="shared" si="12"/>
        <v>2850</v>
      </c>
      <c r="P9" s="121">
        <f t="shared" si="13"/>
        <v>72.378249178368691</v>
      </c>
      <c r="Q9" s="74">
        <f t="shared" si="14"/>
        <v>0.15</v>
      </c>
      <c r="R9" s="75">
        <f t="shared" si="15"/>
        <v>427.5</v>
      </c>
      <c r="S9" s="74">
        <v>0.8</v>
      </c>
      <c r="T9" s="75">
        <f t="shared" si="16"/>
        <v>2280</v>
      </c>
      <c r="U9" s="76">
        <f t="shared" si="17"/>
        <v>4.9999999999999961E-2</v>
      </c>
      <c r="V9" s="69">
        <f t="shared" si="18"/>
        <v>142.49999999999989</v>
      </c>
      <c r="W9" s="77">
        <f ca="1">V9*VLOOKUP(TODAY(),'UF HOY'!$A$2:$B$36,2,0)</f>
        <v>5662086.4499999955</v>
      </c>
      <c r="X9" s="78">
        <f>Datos!$E$9</f>
        <v>4</v>
      </c>
      <c r="Y9" s="79">
        <f ca="1">IF((W9-1000000-Datos!$N$9)/X9&gt;0,(W9-1000000-Datos!$N$9)/X9,0)</f>
        <v>1140521.6124999989</v>
      </c>
      <c r="Z9" s="78">
        <f>Datos!$G$9</f>
        <v>4</v>
      </c>
      <c r="AA9" s="79">
        <f ca="1">IF((W9-1000000-Datos!$N$9)/Z9&gt;0,(W9-1000000-Datos!$N$9)/Z9,0)</f>
        <v>1140521.6124999989</v>
      </c>
      <c r="AB9" s="79">
        <f>IF(L9&gt;0,VLOOKUP(D9,Datos!$H$25:$J$28,3,0),VLOOKUP(D9,Datos!$H$25:$J$28,2,0))</f>
        <v>340000</v>
      </c>
      <c r="AC9" s="79">
        <f ca="1">(S9*PMT(Datos!$D$15,Datos!$D$13,-O9,,)*VLOOKUP(TODAY(),'UF HOY'!$A$2:$B$36,2,0)/12)</f>
        <v>436585.36094248091</v>
      </c>
      <c r="AD9" s="79">
        <f t="shared" ca="1" si="19"/>
        <v>-96585.360942480911</v>
      </c>
      <c r="AE9" s="45"/>
      <c r="AF9" s="45"/>
    </row>
    <row r="10" spans="1:33" hidden="1">
      <c r="A10" s="173" t="s">
        <v>171</v>
      </c>
      <c r="B10" s="173">
        <v>1110</v>
      </c>
      <c r="C10" s="67" t="s">
        <v>131</v>
      </c>
      <c r="D10" s="67" t="s">
        <v>127</v>
      </c>
      <c r="E10" s="67"/>
      <c r="F10" s="66">
        <v>31.37</v>
      </c>
      <c r="G10" s="66">
        <v>4.2</v>
      </c>
      <c r="H10" s="67">
        <f t="shared" si="9"/>
        <v>33.47</v>
      </c>
      <c r="I10" s="68">
        <f t="shared" si="10"/>
        <v>35.57</v>
      </c>
      <c r="J10" s="69">
        <v>2850</v>
      </c>
      <c r="K10" s="70">
        <v>0</v>
      </c>
      <c r="L10" s="71">
        <v>0</v>
      </c>
      <c r="M10" s="71">
        <v>0</v>
      </c>
      <c r="N10" s="72">
        <f t="shared" si="11"/>
        <v>2422.5</v>
      </c>
      <c r="O10" s="73">
        <f t="shared" si="12"/>
        <v>2850</v>
      </c>
      <c r="P10" s="121">
        <f t="shared" si="13"/>
        <v>72.378249178368691</v>
      </c>
      <c r="Q10" s="74">
        <f t="shared" si="14"/>
        <v>0.15</v>
      </c>
      <c r="R10" s="75">
        <f t="shared" si="15"/>
        <v>427.5</v>
      </c>
      <c r="S10" s="74">
        <v>0.8</v>
      </c>
      <c r="T10" s="75">
        <f t="shared" si="16"/>
        <v>2280</v>
      </c>
      <c r="U10" s="76">
        <f t="shared" si="17"/>
        <v>4.9999999999999961E-2</v>
      </c>
      <c r="V10" s="69">
        <f t="shared" si="18"/>
        <v>142.49999999999989</v>
      </c>
      <c r="W10" s="77">
        <f ca="1">V10*VLOOKUP(TODAY(),'UF HOY'!$A$2:$B$36,2,0)</f>
        <v>5662086.4499999955</v>
      </c>
      <c r="X10" s="78">
        <f>Datos!$E$9</f>
        <v>4</v>
      </c>
      <c r="Y10" s="79">
        <f ca="1">IF((W10-1000000-Datos!$N$9)/X10&gt;0,(W10-1000000-Datos!$N$9)/X10,0)</f>
        <v>1140521.6124999989</v>
      </c>
      <c r="Z10" s="78">
        <f>Datos!$G$9</f>
        <v>4</v>
      </c>
      <c r="AA10" s="79">
        <f ca="1">IF((W10-1000000-Datos!$N$9)/Z10&gt;0,(W10-1000000-Datos!$N$9)/Z10,0)</f>
        <v>1140521.6124999989</v>
      </c>
      <c r="AB10" s="79">
        <f>IF(L10&gt;0,VLOOKUP(D10,Datos!$H$25:$J$28,3,0),VLOOKUP(D10,Datos!$H$25:$J$28,2,0))</f>
        <v>340000</v>
      </c>
      <c r="AC10" s="79">
        <f ca="1">(S10*PMT(Datos!$D$15,Datos!$D$13,-O10,,)*VLOOKUP(TODAY(),'UF HOY'!$A$2:$B$36,2,0)/12)</f>
        <v>436585.36094248091</v>
      </c>
      <c r="AD10" s="79">
        <f t="shared" ca="1" si="19"/>
        <v>-96585.360942480911</v>
      </c>
      <c r="AE10" s="45"/>
      <c r="AF10" s="45"/>
    </row>
    <row r="11" spans="1:33" hidden="1">
      <c r="A11" s="173" t="s">
        <v>171</v>
      </c>
      <c r="B11" s="173">
        <v>1210</v>
      </c>
      <c r="C11" s="67" t="s">
        <v>131</v>
      </c>
      <c r="D11" s="67" t="s">
        <v>127</v>
      </c>
      <c r="E11" s="67"/>
      <c r="F11" s="66">
        <v>31.37</v>
      </c>
      <c r="G11" s="66">
        <v>4.2</v>
      </c>
      <c r="H11" s="67">
        <f t="shared" si="9"/>
        <v>33.47</v>
      </c>
      <c r="I11" s="68">
        <f t="shared" si="10"/>
        <v>35.57</v>
      </c>
      <c r="J11" s="69">
        <v>2850</v>
      </c>
      <c r="K11" s="70">
        <v>0</v>
      </c>
      <c r="L11" s="71">
        <v>0</v>
      </c>
      <c r="M11" s="71">
        <v>0</v>
      </c>
      <c r="N11" s="72">
        <f t="shared" si="11"/>
        <v>2422.5</v>
      </c>
      <c r="O11" s="73">
        <f t="shared" si="12"/>
        <v>2850</v>
      </c>
      <c r="P11" s="121">
        <f t="shared" si="13"/>
        <v>72.378249178368691</v>
      </c>
      <c r="Q11" s="74">
        <f t="shared" si="14"/>
        <v>0.15</v>
      </c>
      <c r="R11" s="75">
        <f t="shared" si="15"/>
        <v>427.5</v>
      </c>
      <c r="S11" s="74">
        <v>0.8</v>
      </c>
      <c r="T11" s="75">
        <f t="shared" si="16"/>
        <v>2280</v>
      </c>
      <c r="U11" s="76">
        <f t="shared" si="17"/>
        <v>4.9999999999999961E-2</v>
      </c>
      <c r="V11" s="69">
        <f t="shared" si="18"/>
        <v>142.49999999999989</v>
      </c>
      <c r="W11" s="77">
        <f ca="1">V11*VLOOKUP(TODAY(),'UF HOY'!$A$2:$B$36,2,0)</f>
        <v>5662086.4499999955</v>
      </c>
      <c r="X11" s="78">
        <f>Datos!$E$9</f>
        <v>4</v>
      </c>
      <c r="Y11" s="79">
        <f ca="1">IF((W11-1000000-Datos!$N$9)/X11&gt;0,(W11-1000000-Datos!$N$9)/X11,0)</f>
        <v>1140521.6124999989</v>
      </c>
      <c r="Z11" s="78">
        <f>Datos!$G$9</f>
        <v>4</v>
      </c>
      <c r="AA11" s="79">
        <f ca="1">IF((W11-1000000-Datos!$N$9)/Z11&gt;0,(W11-1000000-Datos!$N$9)/Z11,0)</f>
        <v>1140521.6124999989</v>
      </c>
      <c r="AB11" s="79">
        <f>IF(L11&gt;0,VLOOKUP(D11,Datos!$H$25:$J$28,3,0),VLOOKUP(D11,Datos!$H$25:$J$28,2,0))</f>
        <v>340000</v>
      </c>
      <c r="AC11" s="79">
        <f ca="1">(S11*PMT(Datos!$D$15,Datos!$D$13,-O11,,)*VLOOKUP(TODAY(),'UF HOY'!$A$2:$B$36,2,0)/12)</f>
        <v>436585.36094248091</v>
      </c>
      <c r="AD11" s="79">
        <f t="shared" ca="1" si="19"/>
        <v>-96585.360942480911</v>
      </c>
      <c r="AE11" s="45"/>
      <c r="AF11" s="45"/>
    </row>
    <row r="12" spans="1:33" hidden="1">
      <c r="A12" s="173" t="s">
        <v>171</v>
      </c>
      <c r="B12" s="173">
        <v>1310</v>
      </c>
      <c r="C12" s="67" t="s">
        <v>131</v>
      </c>
      <c r="D12" s="67" t="s">
        <v>127</v>
      </c>
      <c r="E12" s="67"/>
      <c r="F12" s="66">
        <v>31.37</v>
      </c>
      <c r="G12" s="66">
        <v>4.2</v>
      </c>
      <c r="H12" s="67">
        <f t="shared" si="9"/>
        <v>33.47</v>
      </c>
      <c r="I12" s="68">
        <f t="shared" si="10"/>
        <v>35.57</v>
      </c>
      <c r="J12" s="69">
        <v>2850</v>
      </c>
      <c r="K12" s="70">
        <v>0</v>
      </c>
      <c r="L12" s="71">
        <v>0</v>
      </c>
      <c r="M12" s="71">
        <v>0</v>
      </c>
      <c r="N12" s="72">
        <f t="shared" si="11"/>
        <v>2422.5</v>
      </c>
      <c r="O12" s="73">
        <f t="shared" si="12"/>
        <v>2850</v>
      </c>
      <c r="P12" s="121">
        <f t="shared" si="13"/>
        <v>72.378249178368691</v>
      </c>
      <c r="Q12" s="74">
        <f t="shared" si="14"/>
        <v>0.15</v>
      </c>
      <c r="R12" s="75">
        <f t="shared" si="15"/>
        <v>427.5</v>
      </c>
      <c r="S12" s="74">
        <v>0.8</v>
      </c>
      <c r="T12" s="75">
        <f t="shared" si="16"/>
        <v>2280</v>
      </c>
      <c r="U12" s="76">
        <f t="shared" si="17"/>
        <v>4.9999999999999961E-2</v>
      </c>
      <c r="V12" s="69">
        <f t="shared" si="18"/>
        <v>142.49999999999989</v>
      </c>
      <c r="W12" s="77">
        <f ca="1">V12*VLOOKUP(TODAY(),'UF HOY'!$A$2:$B$36,2,0)</f>
        <v>5662086.4499999955</v>
      </c>
      <c r="X12" s="78">
        <f>Datos!$E$9</f>
        <v>4</v>
      </c>
      <c r="Y12" s="79">
        <f ca="1">IF((W12-1000000-Datos!$N$9)/X12&gt;0,(W12-1000000-Datos!$N$9)/X12,0)</f>
        <v>1140521.6124999989</v>
      </c>
      <c r="Z12" s="78">
        <f>Datos!$G$9</f>
        <v>4</v>
      </c>
      <c r="AA12" s="79">
        <f ca="1">IF((W12-1000000-Datos!$N$9)/Z12&gt;0,(W12-1000000-Datos!$N$9)/Z12,0)</f>
        <v>1140521.6124999989</v>
      </c>
      <c r="AB12" s="79">
        <f>IF(L12&gt;0,VLOOKUP(D12,Datos!$H$25:$J$28,3,0),VLOOKUP(D12,Datos!$H$25:$J$28,2,0))</f>
        <v>340000</v>
      </c>
      <c r="AC12" s="79">
        <f ca="1">(S12*PMT(Datos!$D$15,Datos!$D$13,-O12,,)*VLOOKUP(TODAY(),'UF HOY'!$A$2:$B$36,2,0)/12)</f>
        <v>436585.36094248091</v>
      </c>
      <c r="AD12" s="79">
        <f t="shared" ca="1" si="19"/>
        <v>-96585.360942480911</v>
      </c>
      <c r="AE12" s="45"/>
      <c r="AF12" s="45"/>
    </row>
    <row r="13" spans="1:33" hidden="1">
      <c r="A13" s="173" t="s">
        <v>171</v>
      </c>
      <c r="B13" s="173">
        <v>1410</v>
      </c>
      <c r="C13" s="67" t="s">
        <v>131</v>
      </c>
      <c r="D13" s="67" t="s">
        <v>127</v>
      </c>
      <c r="E13" s="67"/>
      <c r="F13" s="66">
        <v>31.37</v>
      </c>
      <c r="G13" s="66">
        <v>4.2</v>
      </c>
      <c r="H13" s="67">
        <f t="shared" si="9"/>
        <v>33.47</v>
      </c>
      <c r="I13" s="68">
        <f t="shared" si="10"/>
        <v>35.57</v>
      </c>
      <c r="J13" s="69">
        <v>2850</v>
      </c>
      <c r="K13" s="70">
        <v>0</v>
      </c>
      <c r="L13" s="71">
        <v>0</v>
      </c>
      <c r="M13" s="71">
        <v>0</v>
      </c>
      <c r="N13" s="72">
        <f t="shared" si="11"/>
        <v>2422.5</v>
      </c>
      <c r="O13" s="73">
        <f t="shared" si="12"/>
        <v>2850</v>
      </c>
      <c r="P13" s="121">
        <f t="shared" si="13"/>
        <v>72.378249178368691</v>
      </c>
      <c r="Q13" s="74">
        <f t="shared" si="14"/>
        <v>0.15</v>
      </c>
      <c r="R13" s="75">
        <f t="shared" si="15"/>
        <v>427.5</v>
      </c>
      <c r="S13" s="74">
        <v>0.8</v>
      </c>
      <c r="T13" s="75">
        <f t="shared" si="16"/>
        <v>2280</v>
      </c>
      <c r="U13" s="76">
        <f t="shared" si="17"/>
        <v>4.9999999999999961E-2</v>
      </c>
      <c r="V13" s="69">
        <f t="shared" si="18"/>
        <v>142.49999999999989</v>
      </c>
      <c r="W13" s="77">
        <f ca="1">V13*VLOOKUP(TODAY(),'UF HOY'!$A$2:$B$36,2,0)</f>
        <v>5662086.4499999955</v>
      </c>
      <c r="X13" s="78">
        <f>Datos!$E$9</f>
        <v>4</v>
      </c>
      <c r="Y13" s="79">
        <f ca="1">IF((W13-1000000-Datos!$N$9)/X13&gt;0,(W13-1000000-Datos!$N$9)/X13,0)</f>
        <v>1140521.6124999989</v>
      </c>
      <c r="Z13" s="78">
        <f>Datos!$G$9</f>
        <v>4</v>
      </c>
      <c r="AA13" s="79">
        <f ca="1">IF((W13-1000000-Datos!$N$9)/Z13&gt;0,(W13-1000000-Datos!$N$9)/Z13,0)</f>
        <v>1140521.6124999989</v>
      </c>
      <c r="AB13" s="79">
        <f>IF(L13&gt;0,VLOOKUP(D13,Datos!$H$25:$J$28,3,0),VLOOKUP(D13,Datos!$H$25:$J$28,2,0))</f>
        <v>340000</v>
      </c>
      <c r="AC13" s="79">
        <f ca="1">(S13*PMT(Datos!$D$15,Datos!$D$13,-O13,,)*VLOOKUP(TODAY(),'UF HOY'!$A$2:$B$36,2,0)/12)</f>
        <v>436585.36094248091</v>
      </c>
      <c r="AD13" s="79">
        <f t="shared" ca="1" si="19"/>
        <v>-96585.360942480911</v>
      </c>
      <c r="AE13" s="45"/>
      <c r="AF13" s="45"/>
    </row>
    <row r="14" spans="1:33" ht="14.25" hidden="1" customHeight="1">
      <c r="A14" s="173" t="s">
        <v>171</v>
      </c>
      <c r="B14" s="173">
        <v>1510</v>
      </c>
      <c r="C14" s="67" t="s">
        <v>131</v>
      </c>
      <c r="D14" s="67" t="s">
        <v>127</v>
      </c>
      <c r="E14" s="67"/>
      <c r="F14" s="66">
        <v>31.37</v>
      </c>
      <c r="G14" s="66">
        <v>4.2</v>
      </c>
      <c r="H14" s="67">
        <f t="shared" si="9"/>
        <v>33.47</v>
      </c>
      <c r="I14" s="68">
        <f t="shared" si="10"/>
        <v>35.57</v>
      </c>
      <c r="J14" s="69">
        <v>2850</v>
      </c>
      <c r="K14" s="70">
        <v>0</v>
      </c>
      <c r="L14" s="71">
        <v>0</v>
      </c>
      <c r="M14" s="71">
        <v>0</v>
      </c>
      <c r="N14" s="72">
        <f t="shared" si="11"/>
        <v>2422.5</v>
      </c>
      <c r="O14" s="73">
        <f t="shared" si="12"/>
        <v>2850</v>
      </c>
      <c r="P14" s="121">
        <f t="shared" si="13"/>
        <v>72.378249178368691</v>
      </c>
      <c r="Q14" s="74">
        <f t="shared" si="14"/>
        <v>0.15</v>
      </c>
      <c r="R14" s="75">
        <f t="shared" si="15"/>
        <v>427.5</v>
      </c>
      <c r="S14" s="74">
        <v>0.8</v>
      </c>
      <c r="T14" s="75">
        <f t="shared" si="16"/>
        <v>2280</v>
      </c>
      <c r="U14" s="76">
        <f t="shared" si="17"/>
        <v>4.9999999999999961E-2</v>
      </c>
      <c r="V14" s="69">
        <f t="shared" si="18"/>
        <v>142.49999999999989</v>
      </c>
      <c r="W14" s="77">
        <f ca="1">V14*VLOOKUP(TODAY(),'UF HOY'!$A$2:$B$36,2,0)</f>
        <v>5662086.4499999955</v>
      </c>
      <c r="X14" s="78">
        <f>Datos!$E$9</f>
        <v>4</v>
      </c>
      <c r="Y14" s="79">
        <f ca="1">IF((W14-1000000-Datos!$N$9)/X14&gt;0,(W14-1000000-Datos!$N$9)/X14,0)</f>
        <v>1140521.6124999989</v>
      </c>
      <c r="Z14" s="78">
        <f>Datos!$G$9</f>
        <v>4</v>
      </c>
      <c r="AA14" s="79">
        <f ca="1">IF((W14-1000000-Datos!$N$9)/Z14&gt;0,(W14-1000000-Datos!$N$9)/Z14,0)</f>
        <v>1140521.6124999989</v>
      </c>
      <c r="AB14" s="79">
        <f>IF(L14&gt;0,VLOOKUP(D14,Datos!$H$25:$J$28,3,0),VLOOKUP(D14,Datos!$H$25:$J$28,2,0))</f>
        <v>340000</v>
      </c>
      <c r="AC14" s="79">
        <f ca="1">(S14*PMT(Datos!$D$15,Datos!$D$13,-O14,,)*VLOOKUP(TODAY(),'UF HOY'!$A$2:$B$36,2,0)/12)</f>
        <v>436585.36094248091</v>
      </c>
      <c r="AD14" s="79">
        <f t="shared" ca="1" si="19"/>
        <v>-96585.360942480911</v>
      </c>
      <c r="AE14" s="45"/>
      <c r="AF14" s="45"/>
    </row>
    <row r="15" spans="1:33" hidden="1">
      <c r="A15" s="173" t="s">
        <v>171</v>
      </c>
      <c r="B15" s="173">
        <v>1610</v>
      </c>
      <c r="C15" s="67" t="s">
        <v>131</v>
      </c>
      <c r="D15" s="67" t="s">
        <v>127</v>
      </c>
      <c r="E15" s="67"/>
      <c r="F15" s="66">
        <v>31.37</v>
      </c>
      <c r="G15" s="66">
        <v>4.2</v>
      </c>
      <c r="H15" s="67">
        <f t="shared" si="9"/>
        <v>33.47</v>
      </c>
      <c r="I15" s="68">
        <f t="shared" si="10"/>
        <v>35.57</v>
      </c>
      <c r="J15" s="69">
        <v>2850</v>
      </c>
      <c r="K15" s="70">
        <v>0</v>
      </c>
      <c r="L15" s="71">
        <v>0</v>
      </c>
      <c r="M15" s="71">
        <v>0</v>
      </c>
      <c r="N15" s="72">
        <f t="shared" si="11"/>
        <v>2422.5</v>
      </c>
      <c r="O15" s="73">
        <f t="shared" si="12"/>
        <v>2850</v>
      </c>
      <c r="P15" s="121">
        <f t="shared" si="13"/>
        <v>72.378249178368691</v>
      </c>
      <c r="Q15" s="74">
        <f t="shared" si="14"/>
        <v>0.15</v>
      </c>
      <c r="R15" s="75">
        <f t="shared" si="15"/>
        <v>427.5</v>
      </c>
      <c r="S15" s="74">
        <v>0.8</v>
      </c>
      <c r="T15" s="75">
        <f t="shared" si="16"/>
        <v>2280</v>
      </c>
      <c r="U15" s="76">
        <f t="shared" si="17"/>
        <v>4.9999999999999961E-2</v>
      </c>
      <c r="V15" s="69">
        <f t="shared" si="18"/>
        <v>142.49999999999989</v>
      </c>
      <c r="W15" s="77">
        <f ca="1">V15*VLOOKUP(TODAY(),'UF HOY'!$A$2:$B$36,2,0)</f>
        <v>5662086.4499999955</v>
      </c>
      <c r="X15" s="78">
        <f>Datos!$E$9</f>
        <v>4</v>
      </c>
      <c r="Y15" s="79">
        <f ca="1">IF((W15-1000000-Datos!$N$9)/X15&gt;0,(W15-1000000-Datos!$N$9)/X15,0)</f>
        <v>1140521.6124999989</v>
      </c>
      <c r="Z15" s="78">
        <f>Datos!$G$9</f>
        <v>4</v>
      </c>
      <c r="AA15" s="79">
        <f ca="1">IF((W15-1000000-Datos!$N$9)/Z15&gt;0,(W15-1000000-Datos!$N$9)/Z15,0)</f>
        <v>1140521.6124999989</v>
      </c>
      <c r="AB15" s="79">
        <f>IF(L15&gt;0,VLOOKUP(D15,Datos!$H$25:$J$28,3,0),VLOOKUP(D15,Datos!$H$25:$J$28,2,0))</f>
        <v>340000</v>
      </c>
      <c r="AC15" s="79">
        <f ca="1">(S15*PMT(Datos!$D$15,Datos!$D$13,-O15,,)*VLOOKUP(TODAY(),'UF HOY'!$A$2:$B$36,2,0)/12)</f>
        <v>436585.36094248091</v>
      </c>
      <c r="AD15" s="79">
        <f t="shared" ca="1" si="19"/>
        <v>-96585.360942480911</v>
      </c>
      <c r="AE15" s="45"/>
      <c r="AF15" s="45"/>
    </row>
    <row r="16" spans="1:33" hidden="1">
      <c r="A16" s="169" t="s">
        <v>223</v>
      </c>
      <c r="B16" s="170">
        <v>408</v>
      </c>
      <c r="C16" s="67" t="s">
        <v>122</v>
      </c>
      <c r="D16" s="67" t="s">
        <v>127</v>
      </c>
      <c r="E16" s="67"/>
      <c r="F16" s="66"/>
      <c r="G16" s="66"/>
      <c r="H16" s="67">
        <v>38.715000000000003</v>
      </c>
      <c r="I16" s="68">
        <v>40.86</v>
      </c>
      <c r="J16" s="69">
        <v>3050</v>
      </c>
      <c r="K16" s="70">
        <v>0</v>
      </c>
      <c r="L16" s="71">
        <v>0</v>
      </c>
      <c r="M16" s="71">
        <v>0</v>
      </c>
      <c r="N16" s="72">
        <f t="shared" si="11"/>
        <v>2592.5</v>
      </c>
      <c r="O16" s="73">
        <f t="shared" si="12"/>
        <v>3050</v>
      </c>
      <c r="P16" s="121">
        <f t="shared" si="13"/>
        <v>66.963709156657615</v>
      </c>
      <c r="Q16" s="74">
        <f t="shared" si="14"/>
        <v>0.15</v>
      </c>
      <c r="R16" s="75">
        <f t="shared" si="15"/>
        <v>457.5</v>
      </c>
      <c r="S16" s="74">
        <v>0.8</v>
      </c>
      <c r="T16" s="75">
        <f t="shared" si="16"/>
        <v>2440</v>
      </c>
      <c r="U16" s="76">
        <f t="shared" si="17"/>
        <v>4.9999999999999961E-2</v>
      </c>
      <c r="V16" s="69">
        <f t="shared" si="18"/>
        <v>152.49999999999989</v>
      </c>
      <c r="W16" s="77">
        <f ca="1">V16*VLOOKUP(TODAY(),'UF HOY'!$A$2:$B$36,2,0)</f>
        <v>6059425.8499999959</v>
      </c>
      <c r="X16" s="78">
        <f>Datos!$E$9</f>
        <v>4</v>
      </c>
      <c r="Y16" s="79">
        <f ca="1">IF((W16-1000000-Datos!$N$9)/X16&gt;0,(W16-1000000-Datos!$N$9)/X16,0)</f>
        <v>1239856.462499999</v>
      </c>
      <c r="Z16" s="78">
        <f>Datos!$G$9</f>
        <v>4</v>
      </c>
      <c r="AA16" s="79">
        <f ca="1">IF((W16-1000000-Datos!$N$9)/Z16&gt;0,(W16-1000000-Datos!$N$9)/Z16,0)</f>
        <v>1239856.462499999</v>
      </c>
      <c r="AB16" s="79">
        <f>IF(L16&gt;0,VLOOKUP(D16,Datos!$H$25:$J$28,3,0),VLOOKUP(D16,Datos!$H$25:$J$28,2,0))</f>
        <v>340000</v>
      </c>
      <c r="AC16" s="79">
        <f ca="1">(S16*PMT(Datos!$D$15,Datos!$D$13,-O16,,)*VLOOKUP(TODAY(),'UF HOY'!$A$2:$B$36,2,0)/12)</f>
        <v>467222.93013142684</v>
      </c>
      <c r="AD16" s="79">
        <f t="shared" ca="1" si="19"/>
        <v>-127222.93013142684</v>
      </c>
      <c r="AE16" s="45"/>
      <c r="AF16" s="45"/>
    </row>
    <row r="17" spans="1:32" hidden="1">
      <c r="A17" s="173" t="s">
        <v>171</v>
      </c>
      <c r="B17" s="173">
        <v>1710</v>
      </c>
      <c r="C17" s="67" t="s">
        <v>131</v>
      </c>
      <c r="D17" s="67" t="s">
        <v>127</v>
      </c>
      <c r="E17" s="67"/>
      <c r="F17" s="66">
        <v>31.37</v>
      </c>
      <c r="G17" s="66">
        <v>4.2</v>
      </c>
      <c r="H17" s="67">
        <f>F17+G17/2</f>
        <v>33.47</v>
      </c>
      <c r="I17" s="68">
        <f>F17+G17</f>
        <v>35.57</v>
      </c>
      <c r="J17" s="69">
        <v>2850</v>
      </c>
      <c r="K17" s="70">
        <v>0</v>
      </c>
      <c r="L17" s="71">
        <v>0</v>
      </c>
      <c r="M17" s="71">
        <v>0</v>
      </c>
      <c r="N17" s="72">
        <f t="shared" si="11"/>
        <v>2422.5</v>
      </c>
      <c r="O17" s="73">
        <f t="shared" si="12"/>
        <v>2850</v>
      </c>
      <c r="P17" s="121">
        <f t="shared" si="13"/>
        <v>72.378249178368691</v>
      </c>
      <c r="Q17" s="74">
        <f t="shared" si="14"/>
        <v>0.15</v>
      </c>
      <c r="R17" s="75">
        <f t="shared" si="15"/>
        <v>427.5</v>
      </c>
      <c r="S17" s="74">
        <v>0.8</v>
      </c>
      <c r="T17" s="75">
        <f t="shared" si="16"/>
        <v>2280</v>
      </c>
      <c r="U17" s="76">
        <f t="shared" si="17"/>
        <v>4.9999999999999961E-2</v>
      </c>
      <c r="V17" s="69">
        <f t="shared" si="18"/>
        <v>142.49999999999989</v>
      </c>
      <c r="W17" s="77">
        <f ca="1">V17*VLOOKUP(TODAY(),'UF HOY'!$A$2:$B$36,2,0)</f>
        <v>5662086.4499999955</v>
      </c>
      <c r="X17" s="78">
        <f>Datos!$E$9</f>
        <v>4</v>
      </c>
      <c r="Y17" s="79">
        <f ca="1">IF((W17-1000000-Datos!$N$9)/X17&gt;0,(W17-1000000-Datos!$N$9)/X17,0)</f>
        <v>1140521.6124999989</v>
      </c>
      <c r="Z17" s="78">
        <f>Datos!$G$9</f>
        <v>4</v>
      </c>
      <c r="AA17" s="79">
        <f ca="1">IF((W17-1000000-Datos!$N$9)/Z17&gt;0,(W17-1000000-Datos!$N$9)/Z17,0)</f>
        <v>1140521.6124999989</v>
      </c>
      <c r="AB17" s="79">
        <f>IF(L17&gt;0,VLOOKUP(D17,Datos!$H$25:$J$28,3,0),VLOOKUP(D17,Datos!$H$25:$J$28,2,0))</f>
        <v>340000</v>
      </c>
      <c r="AC17" s="79">
        <f ca="1">(S17*PMT(Datos!$D$15,Datos!$D$13,-O17,,)*VLOOKUP(TODAY(),'UF HOY'!$A$2:$B$36,2,0)/12)</f>
        <v>436585.36094248091</v>
      </c>
      <c r="AD17" s="79">
        <f t="shared" ca="1" si="19"/>
        <v>-96585.360942480911</v>
      </c>
      <c r="AE17" s="45"/>
      <c r="AF17" s="45"/>
    </row>
    <row r="18" spans="1:32" hidden="1">
      <c r="A18" s="173" t="s">
        <v>171</v>
      </c>
      <c r="B18" s="173">
        <v>309</v>
      </c>
      <c r="C18" s="67" t="s">
        <v>131</v>
      </c>
      <c r="D18" s="67" t="s">
        <v>127</v>
      </c>
      <c r="E18" s="67"/>
      <c r="F18" s="66"/>
      <c r="G18" s="66"/>
      <c r="H18" s="67">
        <v>36.655000000000001</v>
      </c>
      <c r="I18" s="68">
        <v>41.06</v>
      </c>
      <c r="J18" s="69">
        <v>2950</v>
      </c>
      <c r="K18" s="70">
        <v>0</v>
      </c>
      <c r="L18" s="71">
        <v>0</v>
      </c>
      <c r="M18" s="71">
        <v>0</v>
      </c>
      <c r="N18" s="72">
        <f t="shared" si="11"/>
        <v>2507.5</v>
      </c>
      <c r="O18" s="73">
        <f t="shared" si="12"/>
        <v>2950</v>
      </c>
      <c r="P18" s="121">
        <f t="shared" si="13"/>
        <v>68.408129859500747</v>
      </c>
      <c r="Q18" s="74">
        <f t="shared" si="14"/>
        <v>0.15</v>
      </c>
      <c r="R18" s="75">
        <f t="shared" si="15"/>
        <v>442.5</v>
      </c>
      <c r="S18" s="74">
        <v>0.8</v>
      </c>
      <c r="T18" s="75">
        <f t="shared" si="16"/>
        <v>2360</v>
      </c>
      <c r="U18" s="76">
        <f t="shared" si="17"/>
        <v>4.9999999999999961E-2</v>
      </c>
      <c r="V18" s="69">
        <f t="shared" si="18"/>
        <v>147.49999999999989</v>
      </c>
      <c r="W18" s="77">
        <f ca="1">V18*VLOOKUP(TODAY(),'UF HOY'!$A$2:$B$36,2,0)</f>
        <v>5860756.1499999957</v>
      </c>
      <c r="X18" s="78">
        <f>Datos!$E$9</f>
        <v>4</v>
      </c>
      <c r="Y18" s="79">
        <f ca="1">IF((W18-1000000-Datos!$N$9)/X18&gt;0,(W18-1000000-Datos!$N$9)/X18,0)</f>
        <v>1190189.0374999989</v>
      </c>
      <c r="Z18" s="78">
        <f>Datos!$G$9</f>
        <v>4</v>
      </c>
      <c r="AA18" s="79">
        <f ca="1">IF((W18-1000000-Datos!$N$9)/Z18&gt;0,(W18-1000000-Datos!$N$9)/Z18,0)</f>
        <v>1190189.0374999989</v>
      </c>
      <c r="AB18" s="79">
        <f>IF(L18&gt;0,VLOOKUP(D18,Datos!$H$25:$J$28,3,0),VLOOKUP(D18,Datos!$H$25:$J$28,2,0))</f>
        <v>340000</v>
      </c>
      <c r="AC18" s="79">
        <f ca="1">(S18*PMT(Datos!$D$15,Datos!$D$13,-O18,,)*VLOOKUP(TODAY(),'UF HOY'!$A$2:$B$36,2,0)/12)</f>
        <v>451904.14553695387</v>
      </c>
      <c r="AD18" s="79">
        <f t="shared" ca="1" si="19"/>
        <v>-111904.14553695387</v>
      </c>
      <c r="AE18" s="45"/>
      <c r="AF18" s="45"/>
    </row>
    <row r="19" spans="1:32" hidden="1">
      <c r="A19" s="173" t="s">
        <v>171</v>
      </c>
      <c r="B19" s="173">
        <v>809</v>
      </c>
      <c r="C19" s="67" t="s">
        <v>131</v>
      </c>
      <c r="D19" s="67" t="s">
        <v>127</v>
      </c>
      <c r="E19" s="67"/>
      <c r="F19" s="66"/>
      <c r="G19" s="66"/>
      <c r="H19" s="67">
        <v>36.655000000000001</v>
      </c>
      <c r="I19" s="68">
        <v>41.06</v>
      </c>
      <c r="J19" s="69">
        <v>2950</v>
      </c>
      <c r="K19" s="70">
        <v>0</v>
      </c>
      <c r="L19" s="71">
        <v>0</v>
      </c>
      <c r="M19" s="71">
        <v>0</v>
      </c>
      <c r="N19" s="72">
        <f t="shared" si="11"/>
        <v>2507.5</v>
      </c>
      <c r="O19" s="73">
        <f t="shared" si="12"/>
        <v>2950</v>
      </c>
      <c r="P19" s="121">
        <f t="shared" si="13"/>
        <v>68.408129859500747</v>
      </c>
      <c r="Q19" s="74">
        <f t="shared" si="14"/>
        <v>0.15</v>
      </c>
      <c r="R19" s="75">
        <f t="shared" si="15"/>
        <v>442.5</v>
      </c>
      <c r="S19" s="74">
        <v>0.8</v>
      </c>
      <c r="T19" s="75">
        <f t="shared" si="16"/>
        <v>2360</v>
      </c>
      <c r="U19" s="76">
        <f t="shared" si="17"/>
        <v>4.9999999999999961E-2</v>
      </c>
      <c r="V19" s="69">
        <f t="shared" si="18"/>
        <v>147.49999999999989</v>
      </c>
      <c r="W19" s="77">
        <f ca="1">V19*VLOOKUP(TODAY(),'UF HOY'!$A$2:$B$36,2,0)</f>
        <v>5860756.1499999957</v>
      </c>
      <c r="X19" s="78">
        <f>Datos!$E$9</f>
        <v>4</v>
      </c>
      <c r="Y19" s="79">
        <f ca="1">IF((W19-1000000-Datos!$N$9)/X19&gt;0,(W19-1000000-Datos!$N$9)/X19,0)</f>
        <v>1190189.0374999989</v>
      </c>
      <c r="Z19" s="78">
        <f>Datos!$G$9</f>
        <v>4</v>
      </c>
      <c r="AA19" s="79">
        <f ca="1">IF((W19-1000000-Datos!$N$9)/Z19&gt;0,(W19-1000000-Datos!$N$9)/Z19,0)</f>
        <v>1190189.0374999989</v>
      </c>
      <c r="AB19" s="79">
        <f>IF(L19&gt;0,VLOOKUP(D19,Datos!$H$25:$J$28,3,0),VLOOKUP(D19,Datos!$H$25:$J$28,2,0))</f>
        <v>340000</v>
      </c>
      <c r="AC19" s="79">
        <f ca="1">(S19*PMT(Datos!$D$15,Datos!$D$13,-O19,,)*VLOOKUP(TODAY(),'UF HOY'!$A$2:$B$36,2,0)/12)</f>
        <v>451904.14553695387</v>
      </c>
      <c r="AD19" s="79">
        <f t="shared" ca="1" si="19"/>
        <v>-111904.14553695387</v>
      </c>
      <c r="AE19" s="45"/>
      <c r="AF19" s="45"/>
    </row>
    <row r="20" spans="1:32" hidden="1">
      <c r="A20" s="173" t="s">
        <v>171</v>
      </c>
      <c r="B20" s="173">
        <v>409</v>
      </c>
      <c r="C20" s="67" t="s">
        <v>131</v>
      </c>
      <c r="D20" s="67" t="s">
        <v>127</v>
      </c>
      <c r="E20" s="67"/>
      <c r="F20" s="66"/>
      <c r="G20" s="66"/>
      <c r="H20" s="67">
        <v>36.655000000000001</v>
      </c>
      <c r="I20" s="68">
        <v>41.06</v>
      </c>
      <c r="J20" s="69">
        <v>2950</v>
      </c>
      <c r="K20" s="70">
        <v>0</v>
      </c>
      <c r="L20" s="71">
        <v>0</v>
      </c>
      <c r="M20" s="71">
        <v>0</v>
      </c>
      <c r="N20" s="72">
        <f t="shared" si="11"/>
        <v>2507.5</v>
      </c>
      <c r="O20" s="73">
        <f t="shared" si="12"/>
        <v>2950</v>
      </c>
      <c r="P20" s="121">
        <f t="shared" si="13"/>
        <v>68.408129859500747</v>
      </c>
      <c r="Q20" s="74">
        <f t="shared" si="14"/>
        <v>0.15</v>
      </c>
      <c r="R20" s="75">
        <f t="shared" si="15"/>
        <v>442.5</v>
      </c>
      <c r="S20" s="74">
        <v>0.8</v>
      </c>
      <c r="T20" s="75">
        <f t="shared" si="16"/>
        <v>2360</v>
      </c>
      <c r="U20" s="76">
        <f t="shared" si="17"/>
        <v>4.9999999999999961E-2</v>
      </c>
      <c r="V20" s="69">
        <f t="shared" si="18"/>
        <v>147.49999999999989</v>
      </c>
      <c r="W20" s="77">
        <f ca="1">V20*VLOOKUP(TODAY(),'UF HOY'!$A$2:$B$36,2,0)</f>
        <v>5860756.1499999957</v>
      </c>
      <c r="X20" s="78">
        <f>Datos!$E$9</f>
        <v>4</v>
      </c>
      <c r="Y20" s="79">
        <f ca="1">IF((W20-1000000-Datos!$N$9)/X20&gt;0,(W20-1000000-Datos!$N$9)/X20,0)</f>
        <v>1190189.0374999989</v>
      </c>
      <c r="Z20" s="78">
        <f>Datos!$G$9</f>
        <v>4</v>
      </c>
      <c r="AA20" s="79">
        <f ca="1">IF((W20-1000000-Datos!$N$9)/Z20&gt;0,(W20-1000000-Datos!$N$9)/Z20,0)</f>
        <v>1190189.0374999989</v>
      </c>
      <c r="AB20" s="79">
        <f>IF(L20&gt;0,VLOOKUP(D20,Datos!$H$25:$J$28,3,0),VLOOKUP(D20,Datos!$H$25:$J$28,2,0))</f>
        <v>340000</v>
      </c>
      <c r="AC20" s="79">
        <f ca="1">(S20*PMT(Datos!$D$15,Datos!$D$13,-O20,,)*VLOOKUP(TODAY(),'UF HOY'!$A$2:$B$36,2,0)/12)</f>
        <v>451904.14553695387</v>
      </c>
      <c r="AD20" s="79">
        <f t="shared" ca="1" si="19"/>
        <v>-111904.14553695387</v>
      </c>
      <c r="AE20" s="45"/>
      <c r="AF20" s="45"/>
    </row>
    <row r="21" spans="1:32" hidden="1">
      <c r="A21" s="173" t="s">
        <v>171</v>
      </c>
      <c r="B21" s="173">
        <v>509</v>
      </c>
      <c r="C21" s="67" t="s">
        <v>131</v>
      </c>
      <c r="D21" s="67" t="s">
        <v>127</v>
      </c>
      <c r="E21" s="67"/>
      <c r="F21" s="66"/>
      <c r="G21" s="66"/>
      <c r="H21" s="67">
        <v>36.655000000000001</v>
      </c>
      <c r="I21" s="68">
        <v>41.06</v>
      </c>
      <c r="J21" s="69">
        <v>2950</v>
      </c>
      <c r="K21" s="70">
        <v>0</v>
      </c>
      <c r="L21" s="71">
        <v>0</v>
      </c>
      <c r="M21" s="71">
        <v>0</v>
      </c>
      <c r="N21" s="72">
        <f t="shared" si="11"/>
        <v>2507.5</v>
      </c>
      <c r="O21" s="73">
        <f t="shared" si="12"/>
        <v>2950</v>
      </c>
      <c r="P21" s="121">
        <f t="shared" si="13"/>
        <v>68.408129859500747</v>
      </c>
      <c r="Q21" s="74">
        <f t="shared" si="14"/>
        <v>0.15</v>
      </c>
      <c r="R21" s="75">
        <f t="shared" si="15"/>
        <v>442.5</v>
      </c>
      <c r="S21" s="74">
        <v>0.8</v>
      </c>
      <c r="T21" s="75">
        <f t="shared" si="16"/>
        <v>2360</v>
      </c>
      <c r="U21" s="76">
        <f t="shared" si="17"/>
        <v>4.9999999999999961E-2</v>
      </c>
      <c r="V21" s="69">
        <f t="shared" si="18"/>
        <v>147.49999999999989</v>
      </c>
      <c r="W21" s="77">
        <f ca="1">V21*VLOOKUP(TODAY(),'UF HOY'!$A$2:$B$36,2,0)</f>
        <v>5860756.1499999957</v>
      </c>
      <c r="X21" s="78">
        <f>Datos!$E$9</f>
        <v>4</v>
      </c>
      <c r="Y21" s="79">
        <f ca="1">IF((W21-1000000-Datos!$N$9)/X21&gt;0,(W21-1000000-Datos!$N$9)/X21,0)</f>
        <v>1190189.0374999989</v>
      </c>
      <c r="Z21" s="78">
        <f>Datos!$G$9</f>
        <v>4</v>
      </c>
      <c r="AA21" s="79">
        <f ca="1">IF((W21-1000000-Datos!$N$9)/Z21&gt;0,(W21-1000000-Datos!$N$9)/Z21,0)</f>
        <v>1190189.0374999989</v>
      </c>
      <c r="AB21" s="79">
        <f>IF(L21&gt;0,VLOOKUP(D21,Datos!$H$25:$J$28,3,0),VLOOKUP(D21,Datos!$H$25:$J$28,2,0))</f>
        <v>340000</v>
      </c>
      <c r="AC21" s="79">
        <f ca="1">(S21*PMT(Datos!$D$15,Datos!$D$13,-O21,,)*VLOOKUP(TODAY(),'UF HOY'!$A$2:$B$36,2,0)/12)</f>
        <v>451904.14553695387</v>
      </c>
      <c r="AD21" s="79">
        <f t="shared" ca="1" si="19"/>
        <v>-111904.14553695387</v>
      </c>
      <c r="AE21" s="45"/>
      <c r="AF21" s="45"/>
    </row>
    <row r="22" spans="1:32" hidden="1">
      <c r="A22" s="173" t="s">
        <v>171</v>
      </c>
      <c r="B22" s="173">
        <v>909</v>
      </c>
      <c r="C22" s="67" t="s">
        <v>131</v>
      </c>
      <c r="D22" s="67" t="s">
        <v>127</v>
      </c>
      <c r="E22" s="67"/>
      <c r="F22" s="66"/>
      <c r="G22" s="66"/>
      <c r="H22" s="67">
        <v>36.655000000000001</v>
      </c>
      <c r="I22" s="68">
        <v>41.06</v>
      </c>
      <c r="J22" s="69">
        <v>2950</v>
      </c>
      <c r="K22" s="70">
        <v>0</v>
      </c>
      <c r="L22" s="71">
        <v>0</v>
      </c>
      <c r="M22" s="71">
        <v>0</v>
      </c>
      <c r="N22" s="72">
        <f t="shared" si="11"/>
        <v>2507.5</v>
      </c>
      <c r="O22" s="73">
        <f t="shared" si="12"/>
        <v>2950</v>
      </c>
      <c r="P22" s="121">
        <f t="shared" si="13"/>
        <v>68.408129859500747</v>
      </c>
      <c r="Q22" s="74">
        <f t="shared" si="14"/>
        <v>0.15</v>
      </c>
      <c r="R22" s="75">
        <f t="shared" si="15"/>
        <v>442.5</v>
      </c>
      <c r="S22" s="74">
        <v>0.8</v>
      </c>
      <c r="T22" s="75">
        <f t="shared" si="16"/>
        <v>2360</v>
      </c>
      <c r="U22" s="76">
        <f t="shared" si="17"/>
        <v>4.9999999999999961E-2</v>
      </c>
      <c r="V22" s="69">
        <f t="shared" si="18"/>
        <v>147.49999999999989</v>
      </c>
      <c r="W22" s="77">
        <f ca="1">V22*VLOOKUP(TODAY(),'UF HOY'!$A$2:$B$36,2,0)</f>
        <v>5860756.1499999957</v>
      </c>
      <c r="X22" s="78">
        <f>Datos!$E$9</f>
        <v>4</v>
      </c>
      <c r="Y22" s="79">
        <f ca="1">IF((W22-1000000-Datos!$N$9)/X22&gt;0,(W22-1000000-Datos!$N$9)/X22,0)</f>
        <v>1190189.0374999989</v>
      </c>
      <c r="Z22" s="78">
        <f>Datos!$G$9</f>
        <v>4</v>
      </c>
      <c r="AA22" s="79">
        <f ca="1">IF((W22-1000000-Datos!$N$9)/Z22&gt;0,(W22-1000000-Datos!$N$9)/Z22,0)</f>
        <v>1190189.0374999989</v>
      </c>
      <c r="AB22" s="79">
        <f>IF(L22&gt;0,VLOOKUP(D22,Datos!$H$25:$J$28,3,0),VLOOKUP(D22,Datos!$H$25:$J$28,2,0))</f>
        <v>340000</v>
      </c>
      <c r="AC22" s="79">
        <f ca="1">(S22*PMT(Datos!$D$15,Datos!$D$13,-O22,,)*VLOOKUP(TODAY(),'UF HOY'!$A$2:$B$36,2,0)/12)</f>
        <v>451904.14553695387</v>
      </c>
      <c r="AD22" s="79">
        <f t="shared" ca="1" si="19"/>
        <v>-111904.14553695387</v>
      </c>
      <c r="AE22" s="45"/>
      <c r="AF22" s="45"/>
    </row>
    <row r="23" spans="1:32" hidden="1">
      <c r="A23" s="173" t="s">
        <v>171</v>
      </c>
      <c r="B23" s="173">
        <v>1009</v>
      </c>
      <c r="C23" s="67" t="s">
        <v>131</v>
      </c>
      <c r="D23" s="67" t="s">
        <v>127</v>
      </c>
      <c r="E23" s="67"/>
      <c r="F23" s="66"/>
      <c r="G23" s="66"/>
      <c r="H23" s="67">
        <v>36.655000000000001</v>
      </c>
      <c r="I23" s="68">
        <v>41.06</v>
      </c>
      <c r="J23" s="69">
        <v>2950</v>
      </c>
      <c r="K23" s="70">
        <v>0</v>
      </c>
      <c r="L23" s="71">
        <v>0</v>
      </c>
      <c r="M23" s="71">
        <v>0</v>
      </c>
      <c r="N23" s="72">
        <f t="shared" si="11"/>
        <v>2507.5</v>
      </c>
      <c r="O23" s="73">
        <f t="shared" si="12"/>
        <v>2950</v>
      </c>
      <c r="P23" s="121">
        <f t="shared" si="13"/>
        <v>68.408129859500747</v>
      </c>
      <c r="Q23" s="74">
        <f t="shared" si="14"/>
        <v>0.15</v>
      </c>
      <c r="R23" s="75">
        <f t="shared" si="15"/>
        <v>442.5</v>
      </c>
      <c r="S23" s="74">
        <v>0.8</v>
      </c>
      <c r="T23" s="75">
        <f t="shared" si="16"/>
        <v>2360</v>
      </c>
      <c r="U23" s="76">
        <f t="shared" si="17"/>
        <v>4.9999999999999961E-2</v>
      </c>
      <c r="V23" s="69">
        <f t="shared" si="18"/>
        <v>147.49999999999989</v>
      </c>
      <c r="W23" s="77">
        <f ca="1">V23*VLOOKUP(TODAY(),'UF HOY'!$A$2:$B$36,2,0)</f>
        <v>5860756.1499999957</v>
      </c>
      <c r="X23" s="78">
        <f>Datos!$E$9</f>
        <v>4</v>
      </c>
      <c r="Y23" s="79">
        <f ca="1">IF((W23-1000000-Datos!$N$9)/X23&gt;0,(W23-1000000-Datos!$N$9)/X23,0)</f>
        <v>1190189.0374999989</v>
      </c>
      <c r="Z23" s="78">
        <f>Datos!$G$9</f>
        <v>4</v>
      </c>
      <c r="AA23" s="79">
        <f ca="1">IF((W23-1000000-Datos!$N$9)/Z23&gt;0,(W23-1000000-Datos!$N$9)/Z23,0)</f>
        <v>1190189.0374999989</v>
      </c>
      <c r="AB23" s="79">
        <f>IF(L23&gt;0,VLOOKUP(D23,Datos!$H$25:$J$28,3,0),VLOOKUP(D23,Datos!$H$25:$J$28,2,0))</f>
        <v>340000</v>
      </c>
      <c r="AC23" s="79">
        <f ca="1">(S23*PMT(Datos!$D$15,Datos!$D$13,-O23,,)*VLOOKUP(TODAY(),'UF HOY'!$A$2:$B$36,2,0)/12)</f>
        <v>451904.14553695387</v>
      </c>
      <c r="AD23" s="79">
        <f t="shared" ca="1" si="19"/>
        <v>-111904.14553695387</v>
      </c>
      <c r="AE23" s="45"/>
      <c r="AF23" s="45"/>
    </row>
    <row r="24" spans="1:32" hidden="1">
      <c r="A24" s="173" t="s">
        <v>171</v>
      </c>
      <c r="B24" s="173">
        <v>1209</v>
      </c>
      <c r="C24" s="67" t="s">
        <v>131</v>
      </c>
      <c r="D24" s="67" t="s">
        <v>127</v>
      </c>
      <c r="E24" s="67"/>
      <c r="F24" s="66"/>
      <c r="G24" s="66"/>
      <c r="H24" s="67">
        <v>36.655000000000001</v>
      </c>
      <c r="I24" s="68">
        <v>41.06</v>
      </c>
      <c r="J24" s="69">
        <v>2950</v>
      </c>
      <c r="K24" s="70">
        <v>0</v>
      </c>
      <c r="L24" s="71">
        <v>0</v>
      </c>
      <c r="M24" s="71">
        <v>0</v>
      </c>
      <c r="N24" s="72">
        <f t="shared" si="11"/>
        <v>2507.5</v>
      </c>
      <c r="O24" s="73">
        <f t="shared" si="12"/>
        <v>2950</v>
      </c>
      <c r="P24" s="121">
        <f t="shared" si="13"/>
        <v>68.408129859500747</v>
      </c>
      <c r="Q24" s="74">
        <f t="shared" si="14"/>
        <v>0.15</v>
      </c>
      <c r="R24" s="75">
        <f t="shared" si="15"/>
        <v>442.5</v>
      </c>
      <c r="S24" s="74">
        <v>0.8</v>
      </c>
      <c r="T24" s="75">
        <f t="shared" si="16"/>
        <v>2360</v>
      </c>
      <c r="U24" s="76">
        <f t="shared" si="17"/>
        <v>4.9999999999999961E-2</v>
      </c>
      <c r="V24" s="69">
        <f t="shared" si="18"/>
        <v>147.49999999999989</v>
      </c>
      <c r="W24" s="77">
        <f ca="1">V24*VLOOKUP(TODAY(),'UF HOY'!$A$2:$B$36,2,0)</f>
        <v>5860756.1499999957</v>
      </c>
      <c r="X24" s="78">
        <f>Datos!$E$9</f>
        <v>4</v>
      </c>
      <c r="Y24" s="79">
        <f ca="1">IF((W24-1000000-Datos!$N$9)/X24&gt;0,(W24-1000000-Datos!$N$9)/X24,0)</f>
        <v>1190189.0374999989</v>
      </c>
      <c r="Z24" s="78">
        <f>Datos!$G$9</f>
        <v>4</v>
      </c>
      <c r="AA24" s="79">
        <f ca="1">IF((W24-1000000-Datos!$N$9)/Z24&gt;0,(W24-1000000-Datos!$N$9)/Z24,0)</f>
        <v>1190189.0374999989</v>
      </c>
      <c r="AB24" s="79">
        <f>IF(L24&gt;0,VLOOKUP(D24,Datos!$H$25:$J$28,3,0),VLOOKUP(D24,Datos!$H$25:$J$28,2,0))</f>
        <v>340000</v>
      </c>
      <c r="AC24" s="79">
        <f ca="1">(S24*PMT(Datos!$D$15,Datos!$D$13,-O24,,)*VLOOKUP(TODAY(),'UF HOY'!$A$2:$B$36,2,0)/12)</f>
        <v>451904.14553695387</v>
      </c>
      <c r="AD24" s="79">
        <f t="shared" ca="1" si="19"/>
        <v>-111904.14553695387</v>
      </c>
      <c r="AE24" s="45"/>
      <c r="AF24" s="45"/>
    </row>
    <row r="25" spans="1:32" hidden="1">
      <c r="A25" s="173" t="s">
        <v>171</v>
      </c>
      <c r="B25" s="173">
        <v>1309</v>
      </c>
      <c r="C25" s="67" t="s">
        <v>131</v>
      </c>
      <c r="D25" s="67" t="s">
        <v>127</v>
      </c>
      <c r="E25" s="67"/>
      <c r="F25" s="66"/>
      <c r="G25" s="66"/>
      <c r="H25" s="67">
        <v>36.655000000000001</v>
      </c>
      <c r="I25" s="68">
        <v>41.06</v>
      </c>
      <c r="J25" s="69">
        <v>2950</v>
      </c>
      <c r="K25" s="70">
        <v>0</v>
      </c>
      <c r="L25" s="71">
        <v>0</v>
      </c>
      <c r="M25" s="71">
        <v>0</v>
      </c>
      <c r="N25" s="72">
        <f t="shared" si="11"/>
        <v>2507.5</v>
      </c>
      <c r="O25" s="73">
        <f t="shared" si="12"/>
        <v>2950</v>
      </c>
      <c r="P25" s="121">
        <f t="shared" si="13"/>
        <v>68.408129859500747</v>
      </c>
      <c r="Q25" s="74">
        <f t="shared" si="14"/>
        <v>0.15</v>
      </c>
      <c r="R25" s="75">
        <f t="shared" si="15"/>
        <v>442.5</v>
      </c>
      <c r="S25" s="74">
        <v>0.8</v>
      </c>
      <c r="T25" s="75">
        <f t="shared" si="16"/>
        <v>2360</v>
      </c>
      <c r="U25" s="76">
        <f t="shared" si="17"/>
        <v>4.9999999999999961E-2</v>
      </c>
      <c r="V25" s="69">
        <f t="shared" si="18"/>
        <v>147.49999999999989</v>
      </c>
      <c r="W25" s="77">
        <f ca="1">V25*VLOOKUP(TODAY(),'UF HOY'!$A$2:$B$36,2,0)</f>
        <v>5860756.1499999957</v>
      </c>
      <c r="X25" s="78">
        <f>Datos!$E$9</f>
        <v>4</v>
      </c>
      <c r="Y25" s="79">
        <f ca="1">IF((W25-1000000-Datos!$N$9)/X25&gt;0,(W25-1000000-Datos!$N$9)/X25,0)</f>
        <v>1190189.0374999989</v>
      </c>
      <c r="Z25" s="78">
        <f>Datos!$G$9</f>
        <v>4</v>
      </c>
      <c r="AA25" s="79">
        <f ca="1">IF((W25-1000000-Datos!$N$9)/Z25&gt;0,(W25-1000000-Datos!$N$9)/Z25,0)</f>
        <v>1190189.0374999989</v>
      </c>
      <c r="AB25" s="79">
        <f>IF(L25&gt;0,VLOOKUP(D25,Datos!$H$25:$J$28,3,0),VLOOKUP(D25,Datos!$H$25:$J$28,2,0))</f>
        <v>340000</v>
      </c>
      <c r="AC25" s="79">
        <f ca="1">(S25*PMT(Datos!$D$15,Datos!$D$13,-O25,,)*VLOOKUP(TODAY(),'UF HOY'!$A$2:$B$36,2,0)/12)</f>
        <v>451904.14553695387</v>
      </c>
      <c r="AD25" s="79">
        <f t="shared" ca="1" si="19"/>
        <v>-111904.14553695387</v>
      </c>
      <c r="AE25" s="45"/>
      <c r="AF25" s="45"/>
    </row>
    <row r="26" spans="1:32" ht="14.25" hidden="1" customHeight="1">
      <c r="A26" s="173" t="s">
        <v>171</v>
      </c>
      <c r="B26" s="173">
        <v>1409</v>
      </c>
      <c r="C26" s="67" t="s">
        <v>131</v>
      </c>
      <c r="D26" s="67" t="s">
        <v>127</v>
      </c>
      <c r="E26" s="67"/>
      <c r="F26" s="66"/>
      <c r="G26" s="66"/>
      <c r="H26" s="67">
        <v>36.655000000000001</v>
      </c>
      <c r="I26" s="68">
        <v>41.06</v>
      </c>
      <c r="J26" s="69">
        <v>2950</v>
      </c>
      <c r="K26" s="70">
        <v>0</v>
      </c>
      <c r="L26" s="71">
        <v>0</v>
      </c>
      <c r="M26" s="71">
        <v>0</v>
      </c>
      <c r="N26" s="72">
        <f t="shared" si="11"/>
        <v>2507.5</v>
      </c>
      <c r="O26" s="73">
        <f t="shared" si="12"/>
        <v>2950</v>
      </c>
      <c r="P26" s="121">
        <f t="shared" si="13"/>
        <v>68.408129859500747</v>
      </c>
      <c r="Q26" s="74">
        <f t="shared" si="14"/>
        <v>0.15</v>
      </c>
      <c r="R26" s="75">
        <f t="shared" si="15"/>
        <v>442.5</v>
      </c>
      <c r="S26" s="74">
        <v>0.8</v>
      </c>
      <c r="T26" s="75">
        <f t="shared" si="16"/>
        <v>2360</v>
      </c>
      <c r="U26" s="76">
        <f t="shared" si="17"/>
        <v>4.9999999999999961E-2</v>
      </c>
      <c r="V26" s="69">
        <f t="shared" si="18"/>
        <v>147.49999999999989</v>
      </c>
      <c r="W26" s="77">
        <f ca="1">V26*VLOOKUP(TODAY(),'UF HOY'!$A$2:$B$36,2,0)</f>
        <v>5860756.1499999957</v>
      </c>
      <c r="X26" s="78">
        <f>Datos!$E$9</f>
        <v>4</v>
      </c>
      <c r="Y26" s="79">
        <f ca="1">IF((W26-1000000-Datos!$N$9)/X26&gt;0,(W26-1000000-Datos!$N$9)/X26,0)</f>
        <v>1190189.0374999989</v>
      </c>
      <c r="Z26" s="78">
        <f>Datos!$G$9</f>
        <v>4</v>
      </c>
      <c r="AA26" s="79">
        <f ca="1">IF((W26-1000000-Datos!$N$9)/Z26&gt;0,(W26-1000000-Datos!$N$9)/Z26,0)</f>
        <v>1190189.0374999989</v>
      </c>
      <c r="AB26" s="79">
        <f>IF(L26&gt;0,VLOOKUP(D26,Datos!$H$25:$J$28,3,0),VLOOKUP(D26,Datos!$H$25:$J$28,2,0))</f>
        <v>340000</v>
      </c>
      <c r="AC26" s="79">
        <f ca="1">(S26*PMT(Datos!$D$15,Datos!$D$13,-O26,,)*VLOOKUP(TODAY(),'UF HOY'!$A$2:$B$36,2,0)/12)</f>
        <v>451904.14553695387</v>
      </c>
      <c r="AD26" s="79">
        <f t="shared" ca="1" si="19"/>
        <v>-111904.14553695387</v>
      </c>
      <c r="AE26" s="45"/>
      <c r="AF26" s="45"/>
    </row>
    <row r="27" spans="1:32" hidden="1">
      <c r="A27" s="173" t="s">
        <v>171</v>
      </c>
      <c r="B27" s="173">
        <v>1509</v>
      </c>
      <c r="C27" s="67" t="s">
        <v>131</v>
      </c>
      <c r="D27" s="67" t="s">
        <v>127</v>
      </c>
      <c r="E27" s="67"/>
      <c r="F27" s="66"/>
      <c r="G27" s="66"/>
      <c r="H27" s="67">
        <v>36.655000000000001</v>
      </c>
      <c r="I27" s="68">
        <v>41.06</v>
      </c>
      <c r="J27" s="69">
        <v>2950</v>
      </c>
      <c r="K27" s="70">
        <v>0</v>
      </c>
      <c r="L27" s="71">
        <v>0</v>
      </c>
      <c r="M27" s="71">
        <v>0</v>
      </c>
      <c r="N27" s="72">
        <f t="shared" si="11"/>
        <v>2507.5</v>
      </c>
      <c r="O27" s="73">
        <f t="shared" si="12"/>
        <v>2950</v>
      </c>
      <c r="P27" s="121">
        <f t="shared" si="13"/>
        <v>68.408129859500747</v>
      </c>
      <c r="Q27" s="74">
        <f t="shared" si="14"/>
        <v>0.15</v>
      </c>
      <c r="R27" s="75">
        <f t="shared" si="15"/>
        <v>442.5</v>
      </c>
      <c r="S27" s="74">
        <v>0.8</v>
      </c>
      <c r="T27" s="75">
        <f t="shared" si="16"/>
        <v>2360</v>
      </c>
      <c r="U27" s="76">
        <f t="shared" si="17"/>
        <v>4.9999999999999961E-2</v>
      </c>
      <c r="V27" s="69">
        <f t="shared" si="18"/>
        <v>147.49999999999989</v>
      </c>
      <c r="W27" s="77">
        <f ca="1">V27*VLOOKUP(TODAY(),'UF HOY'!$A$2:$B$36,2,0)</f>
        <v>5860756.1499999957</v>
      </c>
      <c r="X27" s="78">
        <f>Datos!$E$9</f>
        <v>4</v>
      </c>
      <c r="Y27" s="79">
        <f ca="1">IF((W27-1000000-Datos!$N$9)/X27&gt;0,(W27-1000000-Datos!$N$9)/X27,0)</f>
        <v>1190189.0374999989</v>
      </c>
      <c r="Z27" s="78">
        <f>Datos!$G$9</f>
        <v>4</v>
      </c>
      <c r="AA27" s="79">
        <f ca="1">IF((W27-1000000-Datos!$N$9)/Z27&gt;0,(W27-1000000-Datos!$N$9)/Z27,0)</f>
        <v>1190189.0374999989</v>
      </c>
      <c r="AB27" s="79">
        <f>IF(L27&gt;0,VLOOKUP(D27,Datos!$H$25:$J$28,3,0),VLOOKUP(D27,Datos!$H$25:$J$28,2,0))</f>
        <v>340000</v>
      </c>
      <c r="AC27" s="79">
        <f ca="1">(S27*PMT(Datos!$D$15,Datos!$D$13,-O27,,)*VLOOKUP(TODAY(),'UF HOY'!$A$2:$B$36,2,0)/12)</f>
        <v>451904.14553695387</v>
      </c>
      <c r="AD27" s="79">
        <f t="shared" ca="1" si="19"/>
        <v>-111904.14553695387</v>
      </c>
      <c r="AE27" s="45"/>
      <c r="AF27" s="45"/>
    </row>
    <row r="28" spans="1:32" hidden="1">
      <c r="A28" s="173" t="s">
        <v>171</v>
      </c>
      <c r="B28" s="173">
        <v>401</v>
      </c>
      <c r="C28" s="67" t="s">
        <v>131</v>
      </c>
      <c r="D28" s="67" t="s">
        <v>127</v>
      </c>
      <c r="E28" s="67"/>
      <c r="F28" s="66"/>
      <c r="G28" s="66"/>
      <c r="H28" s="67">
        <v>37.450000000000003</v>
      </c>
      <c r="I28" s="68">
        <v>41.95</v>
      </c>
      <c r="J28" s="69">
        <v>2990</v>
      </c>
      <c r="K28" s="70">
        <v>0</v>
      </c>
      <c r="L28" s="71">
        <v>0</v>
      </c>
      <c r="M28" s="71">
        <v>0</v>
      </c>
      <c r="N28" s="72">
        <f t="shared" si="11"/>
        <v>2541.5</v>
      </c>
      <c r="O28" s="73">
        <f t="shared" si="12"/>
        <v>2990</v>
      </c>
      <c r="P28" s="121">
        <f t="shared" si="13"/>
        <v>67.863818424566077</v>
      </c>
      <c r="Q28" s="74">
        <f t="shared" si="14"/>
        <v>0.15</v>
      </c>
      <c r="R28" s="75">
        <f t="shared" si="15"/>
        <v>448.5</v>
      </c>
      <c r="S28" s="74">
        <v>0.8</v>
      </c>
      <c r="T28" s="75">
        <f t="shared" si="16"/>
        <v>2392</v>
      </c>
      <c r="U28" s="76">
        <f t="shared" si="17"/>
        <v>4.9999999999999961E-2</v>
      </c>
      <c r="V28" s="69">
        <f t="shared" si="18"/>
        <v>149.49999999999989</v>
      </c>
      <c r="W28" s="77">
        <f ca="1">V28*VLOOKUP(TODAY(),'UF HOY'!$A$2:$B$36,2,0)</f>
        <v>5940224.0299999956</v>
      </c>
      <c r="X28" s="78">
        <f>Datos!$E$9</f>
        <v>4</v>
      </c>
      <c r="Y28" s="79">
        <f ca="1">IF((W28-1000000-Datos!$N$9)/X28&gt;0,(W28-1000000-Datos!$N$9)/X28,0)</f>
        <v>1210056.0074999989</v>
      </c>
      <c r="Z28" s="78">
        <f>Datos!$G$9</f>
        <v>4</v>
      </c>
      <c r="AA28" s="79">
        <f ca="1">IF((W28-1000000-Datos!$N$9)/Z28&gt;0,(W28-1000000-Datos!$N$9)/Z28,0)</f>
        <v>1210056.0074999989</v>
      </c>
      <c r="AB28" s="79">
        <f>IF(L28&gt;0,VLOOKUP(D28,Datos!$H$25:$J$28,3,0),VLOOKUP(D28,Datos!$H$25:$J$28,2,0))</f>
        <v>340000</v>
      </c>
      <c r="AC28" s="79">
        <f ca="1">(S28*PMT(Datos!$D$15,Datos!$D$13,-O28,,)*VLOOKUP(TODAY(),'UF HOY'!$A$2:$B$36,2,0)/12)</f>
        <v>458031.65937474306</v>
      </c>
      <c r="AD28" s="79">
        <f t="shared" ca="1" si="19"/>
        <v>-118031.65937474306</v>
      </c>
      <c r="AE28" s="45"/>
      <c r="AF28" s="45"/>
    </row>
    <row r="29" spans="1:32" hidden="1">
      <c r="A29" s="173" t="s">
        <v>171</v>
      </c>
      <c r="B29" s="173">
        <v>601</v>
      </c>
      <c r="C29" s="67" t="s">
        <v>131</v>
      </c>
      <c r="D29" s="67" t="s">
        <v>127</v>
      </c>
      <c r="E29" s="67"/>
      <c r="F29" s="66"/>
      <c r="G29" s="66"/>
      <c r="H29" s="67">
        <v>37.450000000000003</v>
      </c>
      <c r="I29" s="68">
        <v>41.95</v>
      </c>
      <c r="J29" s="69">
        <v>2990</v>
      </c>
      <c r="K29" s="70">
        <v>0</v>
      </c>
      <c r="L29" s="71">
        <v>0</v>
      </c>
      <c r="M29" s="71">
        <v>0</v>
      </c>
      <c r="N29" s="72">
        <f t="shared" si="11"/>
        <v>2541.5</v>
      </c>
      <c r="O29" s="73">
        <f t="shared" si="12"/>
        <v>2990</v>
      </c>
      <c r="P29" s="121">
        <f t="shared" si="13"/>
        <v>67.863818424566077</v>
      </c>
      <c r="Q29" s="74">
        <f t="shared" si="14"/>
        <v>0.15</v>
      </c>
      <c r="R29" s="75">
        <f t="shared" si="15"/>
        <v>448.5</v>
      </c>
      <c r="S29" s="74">
        <v>0.8</v>
      </c>
      <c r="T29" s="75">
        <f t="shared" si="16"/>
        <v>2392</v>
      </c>
      <c r="U29" s="76">
        <f t="shared" si="17"/>
        <v>4.9999999999999961E-2</v>
      </c>
      <c r="V29" s="69">
        <f t="shared" si="18"/>
        <v>149.49999999999989</v>
      </c>
      <c r="W29" s="77">
        <f ca="1">V29*VLOOKUP(TODAY(),'UF HOY'!$A$2:$B$36,2,0)</f>
        <v>5940224.0299999956</v>
      </c>
      <c r="X29" s="78">
        <f>Datos!$E$9</f>
        <v>4</v>
      </c>
      <c r="Y29" s="79">
        <f ca="1">IF((W29-1000000-Datos!$N$9)/X29&gt;0,(W29-1000000-Datos!$N$9)/X29,0)</f>
        <v>1210056.0074999989</v>
      </c>
      <c r="Z29" s="78">
        <f>Datos!$G$9</f>
        <v>4</v>
      </c>
      <c r="AA29" s="79">
        <f ca="1">IF((W29-1000000-Datos!$N$9)/Z29&gt;0,(W29-1000000-Datos!$N$9)/Z29,0)</f>
        <v>1210056.0074999989</v>
      </c>
      <c r="AB29" s="79">
        <f>IF(L29&gt;0,VLOOKUP(D29,Datos!$H$25:$J$28,3,0),VLOOKUP(D29,Datos!$H$25:$J$28,2,0))</f>
        <v>340000</v>
      </c>
      <c r="AC29" s="79">
        <f ca="1">(S29*PMT(Datos!$D$15,Datos!$D$13,-O29,,)*VLOOKUP(TODAY(),'UF HOY'!$A$2:$B$36,2,0)/12)</f>
        <v>458031.65937474306</v>
      </c>
      <c r="AD29" s="79">
        <f t="shared" ca="1" si="19"/>
        <v>-118031.65937474306</v>
      </c>
      <c r="AE29" s="45"/>
      <c r="AF29" s="45"/>
    </row>
    <row r="30" spans="1:32" hidden="1">
      <c r="A30" s="173" t="s">
        <v>171</v>
      </c>
      <c r="B30" s="173">
        <v>701</v>
      </c>
      <c r="C30" s="67" t="s">
        <v>131</v>
      </c>
      <c r="D30" s="67" t="s">
        <v>127</v>
      </c>
      <c r="E30" s="67"/>
      <c r="F30" s="66"/>
      <c r="G30" s="66"/>
      <c r="H30" s="67">
        <v>37.450000000000003</v>
      </c>
      <c r="I30" s="68">
        <v>41.95</v>
      </c>
      <c r="J30" s="69">
        <v>2990</v>
      </c>
      <c r="K30" s="70">
        <v>0</v>
      </c>
      <c r="L30" s="71">
        <v>0</v>
      </c>
      <c r="M30" s="71">
        <v>0</v>
      </c>
      <c r="N30" s="72">
        <f t="shared" si="11"/>
        <v>2541.5</v>
      </c>
      <c r="O30" s="73">
        <f t="shared" si="12"/>
        <v>2990</v>
      </c>
      <c r="P30" s="121">
        <f t="shared" si="13"/>
        <v>67.863818424566077</v>
      </c>
      <c r="Q30" s="74">
        <f t="shared" si="14"/>
        <v>0.15</v>
      </c>
      <c r="R30" s="75">
        <f t="shared" si="15"/>
        <v>448.5</v>
      </c>
      <c r="S30" s="74">
        <v>0.8</v>
      </c>
      <c r="T30" s="75">
        <f t="shared" si="16"/>
        <v>2392</v>
      </c>
      <c r="U30" s="76">
        <f t="shared" si="17"/>
        <v>4.9999999999999961E-2</v>
      </c>
      <c r="V30" s="69">
        <f t="shared" si="18"/>
        <v>149.49999999999989</v>
      </c>
      <c r="W30" s="77">
        <f ca="1">V30*VLOOKUP(TODAY(),'UF HOY'!$A$2:$B$36,2,0)</f>
        <v>5940224.0299999956</v>
      </c>
      <c r="X30" s="78">
        <f>Datos!$E$9</f>
        <v>4</v>
      </c>
      <c r="Y30" s="79">
        <f ca="1">IF((W30-1000000-Datos!$N$9)/X30&gt;0,(W30-1000000-Datos!$N$9)/X30,0)</f>
        <v>1210056.0074999989</v>
      </c>
      <c r="Z30" s="78">
        <f>Datos!$G$9</f>
        <v>4</v>
      </c>
      <c r="AA30" s="79">
        <f ca="1">IF((W30-1000000-Datos!$N$9)/Z30&gt;0,(W30-1000000-Datos!$N$9)/Z30,0)</f>
        <v>1210056.0074999989</v>
      </c>
      <c r="AB30" s="79">
        <f>IF(L30&gt;0,VLOOKUP(D30,Datos!$H$25:$J$28,3,0),VLOOKUP(D30,Datos!$H$25:$J$28,2,0))</f>
        <v>340000</v>
      </c>
      <c r="AC30" s="79">
        <f ca="1">(S30*PMT(Datos!$D$15,Datos!$D$13,-O30,,)*VLOOKUP(TODAY(),'UF HOY'!$A$2:$B$36,2,0)/12)</f>
        <v>458031.65937474306</v>
      </c>
      <c r="AD30" s="79">
        <f t="shared" ca="1" si="19"/>
        <v>-118031.65937474306</v>
      </c>
      <c r="AE30" s="45"/>
      <c r="AF30" s="45"/>
    </row>
    <row r="31" spans="1:32" hidden="1">
      <c r="A31" s="173" t="s">
        <v>171</v>
      </c>
      <c r="B31" s="173">
        <v>801</v>
      </c>
      <c r="C31" s="67" t="s">
        <v>131</v>
      </c>
      <c r="D31" s="67" t="s">
        <v>127</v>
      </c>
      <c r="E31" s="67"/>
      <c r="F31" s="66"/>
      <c r="G31" s="66"/>
      <c r="H31" s="67">
        <v>37.450000000000003</v>
      </c>
      <c r="I31" s="68">
        <v>41.95</v>
      </c>
      <c r="J31" s="69">
        <v>2990</v>
      </c>
      <c r="K31" s="70">
        <v>0</v>
      </c>
      <c r="L31" s="71">
        <v>0</v>
      </c>
      <c r="M31" s="71">
        <v>0</v>
      </c>
      <c r="N31" s="72">
        <f t="shared" si="11"/>
        <v>2541.5</v>
      </c>
      <c r="O31" s="73">
        <f t="shared" si="12"/>
        <v>2990</v>
      </c>
      <c r="P31" s="121">
        <f t="shared" si="13"/>
        <v>67.863818424566077</v>
      </c>
      <c r="Q31" s="74">
        <f t="shared" si="14"/>
        <v>0.15</v>
      </c>
      <c r="R31" s="75">
        <f t="shared" si="15"/>
        <v>448.5</v>
      </c>
      <c r="S31" s="74">
        <v>0.8</v>
      </c>
      <c r="T31" s="87">
        <f t="shared" si="16"/>
        <v>2392</v>
      </c>
      <c r="U31" s="88">
        <f t="shared" si="17"/>
        <v>4.9999999999999961E-2</v>
      </c>
      <c r="V31" s="69">
        <f t="shared" si="18"/>
        <v>149.49999999999989</v>
      </c>
      <c r="W31" s="89">
        <f ca="1">V31*VLOOKUP(TODAY(),'UF HOY'!$A$2:$B$36,2,0)</f>
        <v>5940224.0299999956</v>
      </c>
      <c r="X31" s="78">
        <f>Datos!$E$9</f>
        <v>4</v>
      </c>
      <c r="Y31" s="79">
        <f ca="1">IF((W31-1000000-Datos!$N$9)/X31&gt;0,(W31-1000000-Datos!$N$9)/X31,0)</f>
        <v>1210056.0074999989</v>
      </c>
      <c r="Z31" s="78">
        <f>Datos!$G$9</f>
        <v>4</v>
      </c>
      <c r="AA31" s="79">
        <f ca="1">IF((W31-1000000-Datos!$N$9)/Z31&gt;0,(W31-1000000-Datos!$N$9)/Z31,0)</f>
        <v>1210056.0074999989</v>
      </c>
      <c r="AB31" s="79">
        <f>IF(L31&gt;0,VLOOKUP(D31,Datos!$H$25:$J$28,3,0),VLOOKUP(D31,Datos!$H$25:$J$28,2,0))</f>
        <v>340000</v>
      </c>
      <c r="AC31" s="79">
        <f ca="1">(S31*PMT(Datos!$D$15,Datos!$D$13,-O31,,)*VLOOKUP(TODAY(),'UF HOY'!$A$2:$B$36,2,0)/12)</f>
        <v>458031.65937474306</v>
      </c>
      <c r="AD31" s="89">
        <f t="shared" ca="1" si="19"/>
        <v>-118031.65937474306</v>
      </c>
      <c r="AE31" s="45"/>
      <c r="AF31" s="45"/>
    </row>
    <row r="32" spans="1:32" hidden="1">
      <c r="A32" s="173" t="s">
        <v>171</v>
      </c>
      <c r="B32" s="173">
        <v>901</v>
      </c>
      <c r="C32" s="67" t="s">
        <v>131</v>
      </c>
      <c r="D32" s="67" t="s">
        <v>127</v>
      </c>
      <c r="E32" s="67"/>
      <c r="F32" s="66"/>
      <c r="G32" s="66"/>
      <c r="H32" s="67">
        <v>37.450000000000003</v>
      </c>
      <c r="I32" s="68">
        <v>41.95</v>
      </c>
      <c r="J32" s="69">
        <v>2990</v>
      </c>
      <c r="K32" s="70">
        <v>0</v>
      </c>
      <c r="L32" s="71">
        <v>0</v>
      </c>
      <c r="M32" s="71">
        <v>0</v>
      </c>
      <c r="N32" s="72">
        <f t="shared" si="11"/>
        <v>2541.5</v>
      </c>
      <c r="O32" s="73">
        <f t="shared" si="12"/>
        <v>2990</v>
      </c>
      <c r="P32" s="121">
        <f t="shared" si="13"/>
        <v>67.863818424566077</v>
      </c>
      <c r="Q32" s="74">
        <f t="shared" si="14"/>
        <v>0.15</v>
      </c>
      <c r="R32" s="75">
        <f t="shared" si="15"/>
        <v>448.5</v>
      </c>
      <c r="S32" s="74">
        <v>0.8</v>
      </c>
      <c r="T32" s="75">
        <f t="shared" si="16"/>
        <v>2392</v>
      </c>
      <c r="U32" s="76">
        <f t="shared" si="17"/>
        <v>4.9999999999999961E-2</v>
      </c>
      <c r="V32" s="69">
        <f t="shared" si="18"/>
        <v>149.49999999999989</v>
      </c>
      <c r="W32" s="77">
        <f ca="1">V32*VLOOKUP(TODAY(),'UF HOY'!$A$2:$B$36,2,0)</f>
        <v>5940224.0299999956</v>
      </c>
      <c r="X32" s="78">
        <f>Datos!$E$9</f>
        <v>4</v>
      </c>
      <c r="Y32" s="79">
        <f ca="1">IF((W32-1000000-Datos!$N$9)/X32&gt;0,(W32-1000000-Datos!$N$9)/X32,0)</f>
        <v>1210056.0074999989</v>
      </c>
      <c r="Z32" s="78">
        <f>Datos!$G$9</f>
        <v>4</v>
      </c>
      <c r="AA32" s="79">
        <f ca="1">IF((W32-1000000-Datos!$N$9)/Z32&gt;0,(W32-1000000-Datos!$N$9)/Z32,0)</f>
        <v>1210056.0074999989</v>
      </c>
      <c r="AB32" s="79">
        <f>IF(L32&gt;0,VLOOKUP(D32,Datos!$H$25:$J$28,3,0),VLOOKUP(D32,Datos!$H$25:$J$28,2,0))</f>
        <v>340000</v>
      </c>
      <c r="AC32" s="79">
        <f ca="1">(S32*PMT(Datos!$D$15,Datos!$D$13,-O32,,)*VLOOKUP(TODAY(),'UF HOY'!$A$2:$B$36,2,0)/12)</f>
        <v>458031.65937474306</v>
      </c>
      <c r="AD32" s="79">
        <f t="shared" ca="1" si="19"/>
        <v>-118031.65937474306</v>
      </c>
      <c r="AE32" s="45"/>
      <c r="AF32" s="45"/>
    </row>
    <row r="33" spans="1:32" hidden="1">
      <c r="A33" s="173" t="s">
        <v>171</v>
      </c>
      <c r="B33" s="173">
        <v>1001</v>
      </c>
      <c r="C33" s="67" t="s">
        <v>131</v>
      </c>
      <c r="D33" s="67" t="s">
        <v>127</v>
      </c>
      <c r="E33" s="67"/>
      <c r="F33" s="66"/>
      <c r="G33" s="66"/>
      <c r="H33" s="67">
        <v>37.450000000000003</v>
      </c>
      <c r="I33" s="68">
        <v>41.95</v>
      </c>
      <c r="J33" s="69">
        <v>2990</v>
      </c>
      <c r="K33" s="70">
        <v>0</v>
      </c>
      <c r="L33" s="71">
        <v>0</v>
      </c>
      <c r="M33" s="71">
        <v>0</v>
      </c>
      <c r="N33" s="72">
        <f t="shared" si="11"/>
        <v>2541.5</v>
      </c>
      <c r="O33" s="73">
        <f t="shared" si="12"/>
        <v>2990</v>
      </c>
      <c r="P33" s="121">
        <f t="shared" si="13"/>
        <v>67.863818424566077</v>
      </c>
      <c r="Q33" s="74">
        <f t="shared" si="14"/>
        <v>0.15</v>
      </c>
      <c r="R33" s="75">
        <f t="shared" si="15"/>
        <v>448.5</v>
      </c>
      <c r="S33" s="74">
        <v>0.8</v>
      </c>
      <c r="T33" s="75">
        <f t="shared" si="16"/>
        <v>2392</v>
      </c>
      <c r="U33" s="76">
        <f t="shared" si="17"/>
        <v>4.9999999999999961E-2</v>
      </c>
      <c r="V33" s="69">
        <f t="shared" si="18"/>
        <v>149.49999999999989</v>
      </c>
      <c r="W33" s="77">
        <f ca="1">V33*VLOOKUP(TODAY(),'UF HOY'!$A$2:$B$36,2,0)</f>
        <v>5940224.0299999956</v>
      </c>
      <c r="X33" s="78">
        <f>Datos!$E$9</f>
        <v>4</v>
      </c>
      <c r="Y33" s="79">
        <f ca="1">IF((W33-1000000-Datos!$N$9)/X33&gt;0,(W33-1000000-Datos!$N$9)/X33,0)</f>
        <v>1210056.0074999989</v>
      </c>
      <c r="Z33" s="78">
        <f>Datos!$G$9</f>
        <v>4</v>
      </c>
      <c r="AA33" s="79">
        <f ca="1">IF((W33-1000000-Datos!$N$9)/Z33&gt;0,(W33-1000000-Datos!$N$9)/Z33,0)</f>
        <v>1210056.0074999989</v>
      </c>
      <c r="AB33" s="79">
        <f>IF(L33&gt;0,VLOOKUP(D33,Datos!$H$25:$J$28,3,0),VLOOKUP(D33,Datos!$H$25:$J$28,2,0))</f>
        <v>340000</v>
      </c>
      <c r="AC33" s="79">
        <f ca="1">(S33*PMT(Datos!$D$15,Datos!$D$13,-O33,,)*VLOOKUP(TODAY(),'UF HOY'!$A$2:$B$36,2,0)/12)</f>
        <v>458031.65937474306</v>
      </c>
      <c r="AD33" s="79">
        <f t="shared" ca="1" si="19"/>
        <v>-118031.65937474306</v>
      </c>
      <c r="AE33" s="45"/>
      <c r="AF33" s="45"/>
    </row>
    <row r="34" spans="1:32" hidden="1">
      <c r="A34" s="173" t="s">
        <v>171</v>
      </c>
      <c r="B34" s="173">
        <v>1101</v>
      </c>
      <c r="C34" s="67" t="s">
        <v>131</v>
      </c>
      <c r="D34" s="67" t="s">
        <v>127</v>
      </c>
      <c r="E34" s="67"/>
      <c r="F34" s="66"/>
      <c r="G34" s="66"/>
      <c r="H34" s="67">
        <v>37.450000000000003</v>
      </c>
      <c r="I34" s="68">
        <v>41.95</v>
      </c>
      <c r="J34" s="69">
        <v>2990</v>
      </c>
      <c r="K34" s="70">
        <v>0</v>
      </c>
      <c r="L34" s="71">
        <v>0</v>
      </c>
      <c r="M34" s="71">
        <v>0</v>
      </c>
      <c r="N34" s="72">
        <f t="shared" si="11"/>
        <v>2541.5</v>
      </c>
      <c r="O34" s="73">
        <f t="shared" si="12"/>
        <v>2990</v>
      </c>
      <c r="P34" s="121">
        <f t="shared" si="13"/>
        <v>67.863818424566077</v>
      </c>
      <c r="Q34" s="74">
        <f t="shared" si="14"/>
        <v>0.15</v>
      </c>
      <c r="R34" s="75">
        <f t="shared" si="15"/>
        <v>448.5</v>
      </c>
      <c r="S34" s="74">
        <v>0.8</v>
      </c>
      <c r="T34" s="75">
        <f t="shared" si="16"/>
        <v>2392</v>
      </c>
      <c r="U34" s="76">
        <f t="shared" si="17"/>
        <v>4.9999999999999961E-2</v>
      </c>
      <c r="V34" s="69">
        <f t="shared" si="18"/>
        <v>149.49999999999989</v>
      </c>
      <c r="W34" s="77">
        <f ca="1">V34*VLOOKUP(TODAY(),'UF HOY'!$A$2:$B$36,2,0)</f>
        <v>5940224.0299999956</v>
      </c>
      <c r="X34" s="78">
        <f>Datos!$E$9</f>
        <v>4</v>
      </c>
      <c r="Y34" s="79">
        <f ca="1">IF((W34-1000000-Datos!$N$9)/X34&gt;0,(W34-1000000-Datos!$N$9)/X34,0)</f>
        <v>1210056.0074999989</v>
      </c>
      <c r="Z34" s="78">
        <f>Datos!$G$9</f>
        <v>4</v>
      </c>
      <c r="AA34" s="79">
        <f ca="1">IF((W34-1000000-Datos!$N$9)/Z34&gt;0,(W34-1000000-Datos!$N$9)/Z34,0)</f>
        <v>1210056.0074999989</v>
      </c>
      <c r="AB34" s="79">
        <f>IF(L34&gt;0,VLOOKUP(D34,Datos!$H$25:$J$28,3,0),VLOOKUP(D34,Datos!$H$25:$J$28,2,0))</f>
        <v>340000</v>
      </c>
      <c r="AC34" s="79">
        <f ca="1">(S34*PMT(Datos!$D$15,Datos!$D$13,-O34,,)*VLOOKUP(TODAY(),'UF HOY'!$A$2:$B$36,2,0)/12)</f>
        <v>458031.65937474306</v>
      </c>
      <c r="AD34" s="79">
        <f t="shared" ca="1" si="19"/>
        <v>-118031.65937474306</v>
      </c>
      <c r="AE34" s="45"/>
      <c r="AF34" s="45"/>
    </row>
    <row r="35" spans="1:32" hidden="1">
      <c r="A35" s="173" t="s">
        <v>171</v>
      </c>
      <c r="B35" s="173">
        <v>1201</v>
      </c>
      <c r="C35" s="67" t="s">
        <v>131</v>
      </c>
      <c r="D35" s="67" t="s">
        <v>127</v>
      </c>
      <c r="E35" s="67"/>
      <c r="F35" s="66"/>
      <c r="G35" s="66"/>
      <c r="H35" s="67">
        <v>37.450000000000003</v>
      </c>
      <c r="I35" s="68">
        <v>41.95</v>
      </c>
      <c r="J35" s="69">
        <v>2990</v>
      </c>
      <c r="K35" s="70">
        <v>0</v>
      </c>
      <c r="L35" s="71">
        <v>0</v>
      </c>
      <c r="M35" s="71">
        <v>0</v>
      </c>
      <c r="N35" s="72">
        <f t="shared" ref="N35:N66" si="20">O35-R35</f>
        <v>2541.5</v>
      </c>
      <c r="O35" s="73">
        <f t="shared" ref="O35:O66" si="21">J35*(100%-K35)+L35+M35</f>
        <v>2990</v>
      </c>
      <c r="P35" s="121">
        <f t="shared" ref="P35:P66" si="22">(N35-L35-M35)/H35</f>
        <v>67.863818424566077</v>
      </c>
      <c r="Q35" s="74">
        <f t="shared" ref="Q35:Q66" si="23">R35/O35</f>
        <v>0.15</v>
      </c>
      <c r="R35" s="75">
        <f t="shared" ref="R35:R66" si="24">O35*0.15</f>
        <v>448.5</v>
      </c>
      <c r="S35" s="74">
        <v>0.8</v>
      </c>
      <c r="T35" s="75">
        <f t="shared" ref="T35:T66" si="25">S35*O35</f>
        <v>2392</v>
      </c>
      <c r="U35" s="76">
        <f t="shared" ref="U35:U66" si="26">100%-S35-Q35</f>
        <v>4.9999999999999961E-2</v>
      </c>
      <c r="V35" s="69">
        <f t="shared" ref="V35:V66" si="27">O35*U35</f>
        <v>149.49999999999989</v>
      </c>
      <c r="W35" s="77">
        <f ca="1">V35*VLOOKUP(TODAY(),'UF HOY'!$A$2:$B$36,2,0)</f>
        <v>5940224.0299999956</v>
      </c>
      <c r="X35" s="78">
        <f>Datos!$E$9</f>
        <v>4</v>
      </c>
      <c r="Y35" s="79">
        <f ca="1">IF((W35-1000000-Datos!$N$9)/X35&gt;0,(W35-1000000-Datos!$N$9)/X35,0)</f>
        <v>1210056.0074999989</v>
      </c>
      <c r="Z35" s="78">
        <f>Datos!$G$9</f>
        <v>4</v>
      </c>
      <c r="AA35" s="79">
        <f ca="1">IF((W35-1000000-Datos!$N$9)/Z35&gt;0,(W35-1000000-Datos!$N$9)/Z35,0)</f>
        <v>1210056.0074999989</v>
      </c>
      <c r="AB35" s="79">
        <f>IF(L35&gt;0,VLOOKUP(D35,Datos!$H$25:$J$28,3,0),VLOOKUP(D35,Datos!$H$25:$J$28,2,0))</f>
        <v>340000</v>
      </c>
      <c r="AC35" s="79">
        <f ca="1">(S35*PMT(Datos!$D$15,Datos!$D$13,-O35,,)*VLOOKUP(TODAY(),'UF HOY'!$A$2:$B$36,2,0)/12)</f>
        <v>458031.65937474306</v>
      </c>
      <c r="AD35" s="79">
        <f t="shared" ref="AD35:AD66" ca="1" si="28">AB35-AC35</f>
        <v>-118031.65937474306</v>
      </c>
      <c r="AE35" s="45"/>
      <c r="AF35" s="45"/>
    </row>
    <row r="36" spans="1:32" hidden="1">
      <c r="A36" s="173" t="s">
        <v>171</v>
      </c>
      <c r="B36" s="173">
        <v>1301</v>
      </c>
      <c r="C36" s="67" t="s">
        <v>131</v>
      </c>
      <c r="D36" s="67" t="s">
        <v>127</v>
      </c>
      <c r="E36" s="67"/>
      <c r="F36" s="66"/>
      <c r="G36" s="66"/>
      <c r="H36" s="67">
        <v>37.450000000000003</v>
      </c>
      <c r="I36" s="68">
        <v>41.95</v>
      </c>
      <c r="J36" s="69">
        <v>2990</v>
      </c>
      <c r="K36" s="70">
        <v>0</v>
      </c>
      <c r="L36" s="71">
        <v>0</v>
      </c>
      <c r="M36" s="71">
        <v>0</v>
      </c>
      <c r="N36" s="72">
        <f t="shared" si="20"/>
        <v>2541.5</v>
      </c>
      <c r="O36" s="73">
        <f t="shared" si="21"/>
        <v>2990</v>
      </c>
      <c r="P36" s="121">
        <f t="shared" si="22"/>
        <v>67.863818424566077</v>
      </c>
      <c r="Q36" s="74">
        <f t="shared" si="23"/>
        <v>0.15</v>
      </c>
      <c r="R36" s="75">
        <f t="shared" si="24"/>
        <v>448.5</v>
      </c>
      <c r="S36" s="74">
        <v>0.8</v>
      </c>
      <c r="T36" s="75">
        <f t="shared" si="25"/>
        <v>2392</v>
      </c>
      <c r="U36" s="76">
        <f t="shared" si="26"/>
        <v>4.9999999999999961E-2</v>
      </c>
      <c r="V36" s="69">
        <f t="shared" si="27"/>
        <v>149.49999999999989</v>
      </c>
      <c r="W36" s="77">
        <f ca="1">V36*VLOOKUP(TODAY(),'UF HOY'!$A$2:$B$36,2,0)</f>
        <v>5940224.0299999956</v>
      </c>
      <c r="X36" s="78">
        <f>Datos!$E$9</f>
        <v>4</v>
      </c>
      <c r="Y36" s="79">
        <f ca="1">IF((W36-1000000-Datos!$N$9)/X36&gt;0,(W36-1000000-Datos!$N$9)/X36,0)</f>
        <v>1210056.0074999989</v>
      </c>
      <c r="Z36" s="78">
        <f>Datos!$G$9</f>
        <v>4</v>
      </c>
      <c r="AA36" s="79">
        <f ca="1">IF((W36-1000000-Datos!$N$9)/Z36&gt;0,(W36-1000000-Datos!$N$9)/Z36,0)</f>
        <v>1210056.0074999989</v>
      </c>
      <c r="AB36" s="79">
        <f>IF(L36&gt;0,VLOOKUP(D36,Datos!$H$25:$J$28,3,0),VLOOKUP(D36,Datos!$H$25:$J$28,2,0))</f>
        <v>340000</v>
      </c>
      <c r="AC36" s="79">
        <f ca="1">(S36*PMT(Datos!$D$15,Datos!$D$13,-O36,,)*VLOOKUP(TODAY(),'UF HOY'!$A$2:$B$36,2,0)/12)</f>
        <v>458031.65937474306</v>
      </c>
      <c r="AD36" s="79">
        <f t="shared" ca="1" si="28"/>
        <v>-118031.65937474306</v>
      </c>
      <c r="AE36" s="45"/>
      <c r="AF36" s="45"/>
    </row>
    <row r="37" spans="1:32" hidden="1">
      <c r="A37" s="173" t="s">
        <v>171</v>
      </c>
      <c r="B37" s="173">
        <v>1401</v>
      </c>
      <c r="C37" s="67" t="s">
        <v>131</v>
      </c>
      <c r="D37" s="67" t="s">
        <v>127</v>
      </c>
      <c r="E37" s="67"/>
      <c r="F37" s="66"/>
      <c r="G37" s="66"/>
      <c r="H37" s="67">
        <v>37.450000000000003</v>
      </c>
      <c r="I37" s="68">
        <v>41.95</v>
      </c>
      <c r="J37" s="69">
        <v>2990</v>
      </c>
      <c r="K37" s="70">
        <v>0</v>
      </c>
      <c r="L37" s="71">
        <v>0</v>
      </c>
      <c r="M37" s="71">
        <v>0</v>
      </c>
      <c r="N37" s="72">
        <f t="shared" si="20"/>
        <v>2541.5</v>
      </c>
      <c r="O37" s="73">
        <f t="shared" si="21"/>
        <v>2990</v>
      </c>
      <c r="P37" s="121">
        <f t="shared" si="22"/>
        <v>67.863818424566077</v>
      </c>
      <c r="Q37" s="74">
        <f t="shared" si="23"/>
        <v>0.15</v>
      </c>
      <c r="R37" s="75">
        <f t="shared" si="24"/>
        <v>448.5</v>
      </c>
      <c r="S37" s="74">
        <v>0.8</v>
      </c>
      <c r="T37" s="75">
        <f t="shared" si="25"/>
        <v>2392</v>
      </c>
      <c r="U37" s="76">
        <f t="shared" si="26"/>
        <v>4.9999999999999961E-2</v>
      </c>
      <c r="V37" s="69">
        <f t="shared" si="27"/>
        <v>149.49999999999989</v>
      </c>
      <c r="W37" s="77">
        <f ca="1">V37*VLOOKUP(TODAY(),'UF HOY'!$A$2:$B$36,2,0)</f>
        <v>5940224.0299999956</v>
      </c>
      <c r="X37" s="78">
        <f>Datos!$E$9</f>
        <v>4</v>
      </c>
      <c r="Y37" s="79">
        <f ca="1">IF((W37-1000000-Datos!$N$9)/X37&gt;0,(W37-1000000-Datos!$N$9)/X37,0)</f>
        <v>1210056.0074999989</v>
      </c>
      <c r="Z37" s="78">
        <f>Datos!$G$9</f>
        <v>4</v>
      </c>
      <c r="AA37" s="79">
        <f ca="1">IF((W37-1000000-Datos!$N$9)/Z37&gt;0,(W37-1000000-Datos!$N$9)/Z37,0)</f>
        <v>1210056.0074999989</v>
      </c>
      <c r="AB37" s="79">
        <f>IF(L37&gt;0,VLOOKUP(D37,Datos!$H$25:$J$28,3,0),VLOOKUP(D37,Datos!$H$25:$J$28,2,0))</f>
        <v>340000</v>
      </c>
      <c r="AC37" s="79">
        <f ca="1">(S37*PMT(Datos!$D$15,Datos!$D$13,-O37,,)*VLOOKUP(TODAY(),'UF HOY'!$A$2:$B$36,2,0)/12)</f>
        <v>458031.65937474306</v>
      </c>
      <c r="AD37" s="79">
        <f t="shared" ca="1" si="28"/>
        <v>-118031.65937474306</v>
      </c>
      <c r="AE37" s="45"/>
      <c r="AF37" s="45"/>
    </row>
    <row r="38" spans="1:32" ht="14.25" hidden="1" customHeight="1">
      <c r="A38" s="173" t="s">
        <v>171</v>
      </c>
      <c r="B38" s="173">
        <v>1501</v>
      </c>
      <c r="C38" s="67" t="s">
        <v>131</v>
      </c>
      <c r="D38" s="67" t="s">
        <v>127</v>
      </c>
      <c r="E38" s="67"/>
      <c r="F38" s="66"/>
      <c r="G38" s="66"/>
      <c r="H38" s="67">
        <v>37.450000000000003</v>
      </c>
      <c r="I38" s="68">
        <v>41.95</v>
      </c>
      <c r="J38" s="69">
        <v>2990</v>
      </c>
      <c r="K38" s="70">
        <v>0</v>
      </c>
      <c r="L38" s="71">
        <v>0</v>
      </c>
      <c r="M38" s="71">
        <v>0</v>
      </c>
      <c r="N38" s="72">
        <f t="shared" si="20"/>
        <v>2541.5</v>
      </c>
      <c r="O38" s="73">
        <f t="shared" si="21"/>
        <v>2990</v>
      </c>
      <c r="P38" s="121">
        <f t="shared" si="22"/>
        <v>67.863818424566077</v>
      </c>
      <c r="Q38" s="74">
        <f t="shared" si="23"/>
        <v>0.15</v>
      </c>
      <c r="R38" s="75">
        <f t="shared" si="24"/>
        <v>448.5</v>
      </c>
      <c r="S38" s="74">
        <v>0.8</v>
      </c>
      <c r="T38" s="75">
        <f t="shared" si="25"/>
        <v>2392</v>
      </c>
      <c r="U38" s="76">
        <f t="shared" si="26"/>
        <v>4.9999999999999961E-2</v>
      </c>
      <c r="V38" s="69">
        <f t="shared" si="27"/>
        <v>149.49999999999989</v>
      </c>
      <c r="W38" s="77">
        <f ca="1">V38*VLOOKUP(TODAY(),'UF HOY'!$A$2:$B$36,2,0)</f>
        <v>5940224.0299999956</v>
      </c>
      <c r="X38" s="78">
        <f>Datos!$E$9</f>
        <v>4</v>
      </c>
      <c r="Y38" s="79">
        <f ca="1">IF((W38-1000000-Datos!$N$9)/X38&gt;0,(W38-1000000-Datos!$N$9)/X38,0)</f>
        <v>1210056.0074999989</v>
      </c>
      <c r="Z38" s="78">
        <f>Datos!$G$9</f>
        <v>4</v>
      </c>
      <c r="AA38" s="79">
        <f ca="1">IF((W38-1000000-Datos!$N$9)/Z38&gt;0,(W38-1000000-Datos!$N$9)/Z38,0)</f>
        <v>1210056.0074999989</v>
      </c>
      <c r="AB38" s="79">
        <f>IF(L38&gt;0,VLOOKUP(D38,Datos!$H$25:$J$28,3,0),VLOOKUP(D38,Datos!$H$25:$J$28,2,0))</f>
        <v>340000</v>
      </c>
      <c r="AC38" s="79">
        <f ca="1">(S38*PMT(Datos!$D$15,Datos!$D$13,-O38,,)*VLOOKUP(TODAY(),'UF HOY'!$A$2:$B$36,2,0)/12)</f>
        <v>458031.65937474306</v>
      </c>
      <c r="AD38" s="79">
        <f t="shared" ca="1" si="28"/>
        <v>-118031.65937474306</v>
      </c>
      <c r="AE38" s="45"/>
      <c r="AF38" s="45"/>
    </row>
    <row r="39" spans="1:32" hidden="1">
      <c r="A39" s="173" t="s">
        <v>171</v>
      </c>
      <c r="B39" s="173">
        <v>1601</v>
      </c>
      <c r="C39" s="67" t="s">
        <v>131</v>
      </c>
      <c r="D39" s="67" t="s">
        <v>127</v>
      </c>
      <c r="E39" s="67"/>
      <c r="F39" s="66"/>
      <c r="G39" s="66"/>
      <c r="H39" s="67">
        <v>37.450000000000003</v>
      </c>
      <c r="I39" s="68">
        <v>41.95</v>
      </c>
      <c r="J39" s="69">
        <v>2990</v>
      </c>
      <c r="K39" s="70">
        <v>0</v>
      </c>
      <c r="L39" s="71">
        <v>0</v>
      </c>
      <c r="M39" s="71">
        <v>0</v>
      </c>
      <c r="N39" s="72">
        <f t="shared" si="20"/>
        <v>2541.5</v>
      </c>
      <c r="O39" s="73">
        <f t="shared" si="21"/>
        <v>2990</v>
      </c>
      <c r="P39" s="121">
        <f t="shared" si="22"/>
        <v>67.863818424566077</v>
      </c>
      <c r="Q39" s="74">
        <f t="shared" si="23"/>
        <v>0.15</v>
      </c>
      <c r="R39" s="75">
        <f t="shared" si="24"/>
        <v>448.5</v>
      </c>
      <c r="S39" s="74">
        <v>0.8</v>
      </c>
      <c r="T39" s="75">
        <f t="shared" si="25"/>
        <v>2392</v>
      </c>
      <c r="U39" s="76">
        <f t="shared" si="26"/>
        <v>4.9999999999999961E-2</v>
      </c>
      <c r="V39" s="69">
        <f t="shared" si="27"/>
        <v>149.49999999999989</v>
      </c>
      <c r="W39" s="77">
        <f ca="1">V39*VLOOKUP(TODAY(),'UF HOY'!$A$2:$B$36,2,0)</f>
        <v>5940224.0299999956</v>
      </c>
      <c r="X39" s="78">
        <f>Datos!$E$9</f>
        <v>4</v>
      </c>
      <c r="Y39" s="79">
        <f ca="1">IF((W39-1000000-Datos!$N$9)/X39&gt;0,(W39-1000000-Datos!$N$9)/X39,0)</f>
        <v>1210056.0074999989</v>
      </c>
      <c r="Z39" s="78">
        <f>Datos!$G$9</f>
        <v>4</v>
      </c>
      <c r="AA39" s="79">
        <f ca="1">IF((W39-1000000-Datos!$N$9)/Z39&gt;0,(W39-1000000-Datos!$N$9)/Z39,0)</f>
        <v>1210056.0074999989</v>
      </c>
      <c r="AB39" s="79">
        <f>IF(L39&gt;0,VLOOKUP(D39,Datos!$H$25:$J$28,3,0),VLOOKUP(D39,Datos!$H$25:$J$28,2,0))</f>
        <v>340000</v>
      </c>
      <c r="AC39" s="79">
        <f ca="1">(S39*PMT(Datos!$D$15,Datos!$D$13,-O39,,)*VLOOKUP(TODAY(),'UF HOY'!$A$2:$B$36,2,0)/12)</f>
        <v>458031.65937474306</v>
      </c>
      <c r="AD39" s="79">
        <f t="shared" ca="1" si="28"/>
        <v>-118031.65937474306</v>
      </c>
      <c r="AE39" s="45"/>
      <c r="AF39" s="45"/>
    </row>
    <row r="40" spans="1:32" hidden="1">
      <c r="A40" s="173" t="s">
        <v>171</v>
      </c>
      <c r="B40" s="173">
        <v>1701</v>
      </c>
      <c r="C40" s="67" t="s">
        <v>131</v>
      </c>
      <c r="D40" s="67" t="s">
        <v>127</v>
      </c>
      <c r="E40" s="67"/>
      <c r="F40" s="66"/>
      <c r="G40" s="66"/>
      <c r="H40" s="67">
        <v>37.450000000000003</v>
      </c>
      <c r="I40" s="68">
        <v>41.95</v>
      </c>
      <c r="J40" s="69">
        <v>2990</v>
      </c>
      <c r="K40" s="70">
        <v>0</v>
      </c>
      <c r="L40" s="71">
        <v>0</v>
      </c>
      <c r="M40" s="71">
        <v>0</v>
      </c>
      <c r="N40" s="72">
        <f t="shared" si="20"/>
        <v>2541.5</v>
      </c>
      <c r="O40" s="73">
        <f t="shared" si="21"/>
        <v>2990</v>
      </c>
      <c r="P40" s="121">
        <f t="shared" si="22"/>
        <v>67.863818424566077</v>
      </c>
      <c r="Q40" s="74">
        <f t="shared" si="23"/>
        <v>0.15</v>
      </c>
      <c r="R40" s="75">
        <f t="shared" si="24"/>
        <v>448.5</v>
      </c>
      <c r="S40" s="74">
        <v>0.8</v>
      </c>
      <c r="T40" s="75">
        <f t="shared" si="25"/>
        <v>2392</v>
      </c>
      <c r="U40" s="76">
        <f t="shared" si="26"/>
        <v>4.9999999999999961E-2</v>
      </c>
      <c r="V40" s="69">
        <f t="shared" si="27"/>
        <v>149.49999999999989</v>
      </c>
      <c r="W40" s="77">
        <f ca="1">V40*VLOOKUP(TODAY(),'UF HOY'!$A$2:$B$36,2,0)</f>
        <v>5940224.0299999956</v>
      </c>
      <c r="X40" s="78">
        <f>Datos!$E$9</f>
        <v>4</v>
      </c>
      <c r="Y40" s="79">
        <f ca="1">IF((W40-1000000-Datos!$N$9)/X40&gt;0,(W40-1000000-Datos!$N$9)/X40,0)</f>
        <v>1210056.0074999989</v>
      </c>
      <c r="Z40" s="78">
        <f>Datos!$G$9</f>
        <v>4</v>
      </c>
      <c r="AA40" s="79">
        <f ca="1">IF((W40-1000000-Datos!$N$9)/Z40&gt;0,(W40-1000000-Datos!$N$9)/Z40,0)</f>
        <v>1210056.0074999989</v>
      </c>
      <c r="AB40" s="79">
        <f>IF(L40&gt;0,VLOOKUP(D40,Datos!$H$25:$J$28,3,0),VLOOKUP(D40,Datos!$H$25:$J$28,2,0))</f>
        <v>340000</v>
      </c>
      <c r="AC40" s="79">
        <f ca="1">(S40*PMT(Datos!$D$15,Datos!$D$13,-O40,,)*VLOOKUP(TODAY(),'UF HOY'!$A$2:$B$36,2,0)/12)</f>
        <v>458031.65937474306</v>
      </c>
      <c r="AD40" s="79">
        <f t="shared" ca="1" si="28"/>
        <v>-118031.65937474306</v>
      </c>
      <c r="AE40" s="45"/>
      <c r="AF40" s="45"/>
    </row>
    <row r="41" spans="1:32" hidden="1">
      <c r="A41" s="173" t="s">
        <v>171</v>
      </c>
      <c r="B41" s="173">
        <v>1307</v>
      </c>
      <c r="C41" s="67" t="s">
        <v>121</v>
      </c>
      <c r="D41" s="67" t="s">
        <v>127</v>
      </c>
      <c r="E41" s="67"/>
      <c r="F41" s="66"/>
      <c r="G41" s="66"/>
      <c r="H41" s="67">
        <v>38.869999999999997</v>
      </c>
      <c r="I41" s="68">
        <v>41.17</v>
      </c>
      <c r="J41" s="69">
        <v>3050</v>
      </c>
      <c r="K41" s="70">
        <v>0</v>
      </c>
      <c r="L41" s="71">
        <v>0</v>
      </c>
      <c r="M41" s="71">
        <v>0</v>
      </c>
      <c r="N41" s="72">
        <f t="shared" si="20"/>
        <v>2592.5</v>
      </c>
      <c r="O41" s="73">
        <f t="shared" si="21"/>
        <v>3050</v>
      </c>
      <c r="P41" s="121">
        <f t="shared" si="22"/>
        <v>66.696681245176237</v>
      </c>
      <c r="Q41" s="74">
        <f t="shared" si="23"/>
        <v>0.15</v>
      </c>
      <c r="R41" s="75">
        <f t="shared" si="24"/>
        <v>457.5</v>
      </c>
      <c r="S41" s="74">
        <v>0.8</v>
      </c>
      <c r="T41" s="75">
        <f t="shared" si="25"/>
        <v>2440</v>
      </c>
      <c r="U41" s="76">
        <f t="shared" si="26"/>
        <v>4.9999999999999961E-2</v>
      </c>
      <c r="V41" s="69">
        <f t="shared" si="27"/>
        <v>152.49999999999989</v>
      </c>
      <c r="W41" s="77">
        <f ca="1">V41*VLOOKUP(TODAY(),'UF HOY'!$A$2:$B$36,2,0)</f>
        <v>6059425.8499999959</v>
      </c>
      <c r="X41" s="78">
        <f>Datos!$E$9</f>
        <v>4</v>
      </c>
      <c r="Y41" s="79">
        <f ca="1">IF((W41-1000000-Datos!$N$9)/X41&gt;0,(W41-1000000-Datos!$N$9)/X41,0)</f>
        <v>1239856.462499999</v>
      </c>
      <c r="Z41" s="78">
        <f>Datos!$G$9</f>
        <v>4</v>
      </c>
      <c r="AA41" s="79">
        <f ca="1">IF((W41-1000000-Datos!$N$9)/Z41&gt;0,(W41-1000000-Datos!$N$9)/Z41,0)</f>
        <v>1239856.462499999</v>
      </c>
      <c r="AB41" s="79">
        <f>IF(L41&gt;0,VLOOKUP(D41,Datos!$H$25:$J$28,3,0),VLOOKUP(D41,Datos!$H$25:$J$28,2,0))</f>
        <v>340000</v>
      </c>
      <c r="AC41" s="79">
        <f ca="1">(S41*PMT(Datos!$D$15,Datos!$D$13,-O41,,)*VLOOKUP(TODAY(),'UF HOY'!$A$2:$B$36,2,0)/12)</f>
        <v>467222.93013142684</v>
      </c>
      <c r="AD41" s="79">
        <f t="shared" ca="1" si="28"/>
        <v>-127222.93013142684</v>
      </c>
      <c r="AE41" s="45"/>
      <c r="AF41" s="45"/>
    </row>
    <row r="42" spans="1:32" hidden="1">
      <c r="A42" s="173" t="s">
        <v>171</v>
      </c>
      <c r="B42" s="173">
        <v>407</v>
      </c>
      <c r="C42" s="67" t="s">
        <v>121</v>
      </c>
      <c r="D42" s="67" t="s">
        <v>127</v>
      </c>
      <c r="E42" s="67"/>
      <c r="F42" s="66"/>
      <c r="G42" s="66"/>
      <c r="H42" s="67">
        <v>38.869999999999997</v>
      </c>
      <c r="I42" s="68">
        <v>41.17</v>
      </c>
      <c r="J42" s="69">
        <v>3050</v>
      </c>
      <c r="K42" s="70">
        <v>0</v>
      </c>
      <c r="L42" s="71">
        <v>0</v>
      </c>
      <c r="M42" s="71">
        <v>0</v>
      </c>
      <c r="N42" s="72">
        <f t="shared" si="20"/>
        <v>2592.5</v>
      </c>
      <c r="O42" s="73">
        <f t="shared" si="21"/>
        <v>3050</v>
      </c>
      <c r="P42" s="121">
        <f t="shared" si="22"/>
        <v>66.696681245176237</v>
      </c>
      <c r="Q42" s="74">
        <f t="shared" si="23"/>
        <v>0.15</v>
      </c>
      <c r="R42" s="75">
        <f t="shared" si="24"/>
        <v>457.5</v>
      </c>
      <c r="S42" s="74">
        <v>0.8</v>
      </c>
      <c r="T42" s="75">
        <f t="shared" si="25"/>
        <v>2440</v>
      </c>
      <c r="U42" s="76">
        <f t="shared" si="26"/>
        <v>4.9999999999999961E-2</v>
      </c>
      <c r="V42" s="69">
        <f t="shared" si="27"/>
        <v>152.49999999999989</v>
      </c>
      <c r="W42" s="77">
        <f ca="1">V42*VLOOKUP(TODAY(),'UF HOY'!$A$2:$B$36,2,0)</f>
        <v>6059425.8499999959</v>
      </c>
      <c r="X42" s="78">
        <f>Datos!$E$9</f>
        <v>4</v>
      </c>
      <c r="Y42" s="79">
        <f ca="1">IF((W42-1000000-Datos!$N$9)/X42&gt;0,(W42-1000000-Datos!$N$9)/X42,0)</f>
        <v>1239856.462499999</v>
      </c>
      <c r="Z42" s="78">
        <f>Datos!$G$9</f>
        <v>4</v>
      </c>
      <c r="AA42" s="79">
        <f ca="1">IF((W42-1000000-Datos!$N$9)/Z42&gt;0,(W42-1000000-Datos!$N$9)/Z42,0)</f>
        <v>1239856.462499999</v>
      </c>
      <c r="AB42" s="79">
        <f>IF(L42&gt;0,VLOOKUP(D42,Datos!$H$25:$J$28,3,0),VLOOKUP(D42,Datos!$H$25:$J$28,2,0))</f>
        <v>340000</v>
      </c>
      <c r="AC42" s="79">
        <f ca="1">(S42*PMT(Datos!$D$15,Datos!$D$13,-O42,,)*VLOOKUP(TODAY(),'UF HOY'!$A$2:$B$36,2,0)/12)</f>
        <v>467222.93013142684</v>
      </c>
      <c r="AD42" s="79">
        <f t="shared" ca="1" si="28"/>
        <v>-127222.93013142684</v>
      </c>
      <c r="AE42" s="45"/>
      <c r="AF42" s="45"/>
    </row>
    <row r="43" spans="1:32" hidden="1">
      <c r="A43" s="173" t="s">
        <v>171</v>
      </c>
      <c r="B43" s="173">
        <v>1707</v>
      </c>
      <c r="C43" s="67" t="s">
        <v>121</v>
      </c>
      <c r="D43" s="67" t="s">
        <v>127</v>
      </c>
      <c r="E43" s="67"/>
      <c r="F43" s="66"/>
      <c r="G43" s="66"/>
      <c r="H43" s="67">
        <v>38.869999999999997</v>
      </c>
      <c r="I43" s="68">
        <v>41.17</v>
      </c>
      <c r="J43" s="69">
        <v>3050</v>
      </c>
      <c r="K43" s="70">
        <v>0</v>
      </c>
      <c r="L43" s="71">
        <v>0</v>
      </c>
      <c r="M43" s="71">
        <v>0</v>
      </c>
      <c r="N43" s="72">
        <f t="shared" si="20"/>
        <v>2592.5</v>
      </c>
      <c r="O43" s="73">
        <f t="shared" si="21"/>
        <v>3050</v>
      </c>
      <c r="P43" s="121">
        <f t="shared" si="22"/>
        <v>66.696681245176237</v>
      </c>
      <c r="Q43" s="74">
        <f t="shared" si="23"/>
        <v>0.15</v>
      </c>
      <c r="R43" s="75">
        <f t="shared" si="24"/>
        <v>457.5</v>
      </c>
      <c r="S43" s="74">
        <v>0.8</v>
      </c>
      <c r="T43" s="87">
        <f t="shared" si="25"/>
        <v>2440</v>
      </c>
      <c r="U43" s="88">
        <f t="shared" si="26"/>
        <v>4.9999999999999961E-2</v>
      </c>
      <c r="V43" s="69">
        <f t="shared" si="27"/>
        <v>152.49999999999989</v>
      </c>
      <c r="W43" s="89">
        <f ca="1">V43*VLOOKUP(TODAY(),'UF HOY'!$A$2:$B$36,2,0)</f>
        <v>6059425.8499999959</v>
      </c>
      <c r="X43" s="78">
        <f>Datos!$E$9</f>
        <v>4</v>
      </c>
      <c r="Y43" s="79">
        <f ca="1">IF((W43-1000000-Datos!$N$9)/X43&gt;0,(W43-1000000-Datos!$N$9)/X43,0)</f>
        <v>1239856.462499999</v>
      </c>
      <c r="Z43" s="78">
        <f>Datos!$G$9</f>
        <v>4</v>
      </c>
      <c r="AA43" s="79">
        <f ca="1">IF((W43-1000000-Datos!$N$9)/Z43&gt;0,(W43-1000000-Datos!$N$9)/Z43,0)</f>
        <v>1239856.462499999</v>
      </c>
      <c r="AB43" s="79">
        <f>IF(L43&gt;0,VLOOKUP(D43,Datos!$H$25:$J$28,3,0),VLOOKUP(D43,Datos!$H$25:$J$28,2,0))</f>
        <v>340000</v>
      </c>
      <c r="AC43" s="79">
        <f ca="1">(S43*PMT(Datos!$D$15,Datos!$D$13,-O43,,)*VLOOKUP(TODAY(),'UF HOY'!$A$2:$B$36,2,0)/12)</f>
        <v>467222.93013142684</v>
      </c>
      <c r="AD43" s="89">
        <f t="shared" ca="1" si="28"/>
        <v>-127222.93013142684</v>
      </c>
      <c r="AE43" s="45"/>
      <c r="AF43" s="45"/>
    </row>
    <row r="44" spans="1:32" hidden="1">
      <c r="A44" s="173" t="s">
        <v>171</v>
      </c>
      <c r="B44" s="173">
        <v>507</v>
      </c>
      <c r="C44" s="67" t="s">
        <v>121</v>
      </c>
      <c r="D44" s="67" t="s">
        <v>127</v>
      </c>
      <c r="E44" s="67"/>
      <c r="F44" s="66"/>
      <c r="G44" s="66"/>
      <c r="H44" s="67">
        <v>38.869999999999997</v>
      </c>
      <c r="I44" s="68">
        <v>41.17</v>
      </c>
      <c r="J44" s="69">
        <v>3050</v>
      </c>
      <c r="K44" s="70">
        <v>0</v>
      </c>
      <c r="L44" s="71">
        <v>0</v>
      </c>
      <c r="M44" s="71">
        <v>0</v>
      </c>
      <c r="N44" s="72">
        <f t="shared" si="20"/>
        <v>2592.5</v>
      </c>
      <c r="O44" s="73">
        <f t="shared" si="21"/>
        <v>3050</v>
      </c>
      <c r="P44" s="121">
        <f t="shared" si="22"/>
        <v>66.696681245176237</v>
      </c>
      <c r="Q44" s="74">
        <f t="shared" si="23"/>
        <v>0.15</v>
      </c>
      <c r="R44" s="75">
        <f t="shared" si="24"/>
        <v>457.5</v>
      </c>
      <c r="S44" s="74">
        <v>0.8</v>
      </c>
      <c r="T44" s="87">
        <f t="shared" si="25"/>
        <v>2440</v>
      </c>
      <c r="U44" s="88">
        <f t="shared" si="26"/>
        <v>4.9999999999999961E-2</v>
      </c>
      <c r="V44" s="69">
        <f t="shared" si="27"/>
        <v>152.49999999999989</v>
      </c>
      <c r="W44" s="89">
        <f ca="1">V44*VLOOKUP(TODAY(),'UF HOY'!$A$2:$B$36,2,0)</f>
        <v>6059425.8499999959</v>
      </c>
      <c r="X44" s="78">
        <f>Datos!$E$9</f>
        <v>4</v>
      </c>
      <c r="Y44" s="79">
        <f ca="1">IF((W44-1000000-Datos!$N$9)/X44&gt;0,(W44-1000000-Datos!$N$9)/X44,0)</f>
        <v>1239856.462499999</v>
      </c>
      <c r="Z44" s="78">
        <f>Datos!$G$9</f>
        <v>4</v>
      </c>
      <c r="AA44" s="79">
        <f ca="1">IF((W44-1000000-Datos!$N$9)/Z44&gt;0,(W44-1000000-Datos!$N$9)/Z44,0)</f>
        <v>1239856.462499999</v>
      </c>
      <c r="AB44" s="79">
        <f>IF(L44&gt;0,VLOOKUP(D44,Datos!$H$25:$J$28,3,0),VLOOKUP(D44,Datos!$H$25:$J$28,2,0))</f>
        <v>340000</v>
      </c>
      <c r="AC44" s="79">
        <f ca="1">(S44*PMT(Datos!$D$15,Datos!$D$13,-O44,,)*VLOOKUP(TODAY(),'UF HOY'!$A$2:$B$36,2,0)/12)</f>
        <v>467222.93013142684</v>
      </c>
      <c r="AD44" s="89">
        <f t="shared" ca="1" si="28"/>
        <v>-127222.93013142684</v>
      </c>
      <c r="AE44" s="45"/>
      <c r="AF44" s="45"/>
    </row>
    <row r="45" spans="1:32" hidden="1">
      <c r="A45" s="173" t="s">
        <v>171</v>
      </c>
      <c r="B45" s="173">
        <v>508</v>
      </c>
      <c r="C45" s="67" t="s">
        <v>122</v>
      </c>
      <c r="D45" s="67" t="s">
        <v>127</v>
      </c>
      <c r="E45" s="67"/>
      <c r="F45" s="66"/>
      <c r="G45" s="66"/>
      <c r="H45" s="67">
        <v>38.715000000000003</v>
      </c>
      <c r="I45" s="68">
        <v>40.86</v>
      </c>
      <c r="J45" s="69">
        <v>3050</v>
      </c>
      <c r="K45" s="70">
        <v>0</v>
      </c>
      <c r="L45" s="71">
        <v>0</v>
      </c>
      <c r="M45" s="71">
        <v>0</v>
      </c>
      <c r="N45" s="72">
        <f t="shared" si="20"/>
        <v>2592.5</v>
      </c>
      <c r="O45" s="73">
        <f t="shared" si="21"/>
        <v>3050</v>
      </c>
      <c r="P45" s="121">
        <f t="shared" si="22"/>
        <v>66.963709156657615</v>
      </c>
      <c r="Q45" s="74">
        <f t="shared" si="23"/>
        <v>0.15</v>
      </c>
      <c r="R45" s="75">
        <f t="shared" si="24"/>
        <v>457.5</v>
      </c>
      <c r="S45" s="74">
        <v>0.8</v>
      </c>
      <c r="T45" s="75">
        <f t="shared" si="25"/>
        <v>2440</v>
      </c>
      <c r="U45" s="76">
        <f t="shared" si="26"/>
        <v>4.9999999999999961E-2</v>
      </c>
      <c r="V45" s="69">
        <f t="shared" si="27"/>
        <v>152.49999999999989</v>
      </c>
      <c r="W45" s="77">
        <f ca="1">V45*VLOOKUP(TODAY(),'UF HOY'!$A$2:$B$36,2,0)</f>
        <v>6059425.8499999959</v>
      </c>
      <c r="X45" s="78">
        <f>Datos!$E$9</f>
        <v>4</v>
      </c>
      <c r="Y45" s="79">
        <f ca="1">IF((W45-1000000-Datos!$N$9)/X45&gt;0,(W45-1000000-Datos!$N$9)/X45,0)</f>
        <v>1239856.462499999</v>
      </c>
      <c r="Z45" s="78">
        <f>Datos!$G$9</f>
        <v>4</v>
      </c>
      <c r="AA45" s="79">
        <f ca="1">IF((W45-1000000-Datos!$N$9)/Z45&gt;0,(W45-1000000-Datos!$N$9)/Z45,0)</f>
        <v>1239856.462499999</v>
      </c>
      <c r="AB45" s="79">
        <f>IF(L45&gt;0,VLOOKUP(D45,Datos!$H$25:$J$28,3,0),VLOOKUP(D45,Datos!$H$25:$J$28,2,0))</f>
        <v>340000</v>
      </c>
      <c r="AC45" s="79">
        <f ca="1">(S45*PMT(Datos!$D$15,Datos!$D$13,-O45,,)*VLOOKUP(TODAY(),'UF HOY'!$A$2:$B$36,2,0)/12)</f>
        <v>467222.93013142684</v>
      </c>
      <c r="AD45" s="79">
        <f t="shared" ca="1" si="28"/>
        <v>-127222.93013142684</v>
      </c>
      <c r="AE45" s="45"/>
      <c r="AF45" s="45"/>
    </row>
    <row r="46" spans="1:32" hidden="1">
      <c r="A46" s="173" t="s">
        <v>171</v>
      </c>
      <c r="B46" s="173">
        <v>607</v>
      </c>
      <c r="C46" s="67" t="s">
        <v>121</v>
      </c>
      <c r="D46" s="67" t="s">
        <v>127</v>
      </c>
      <c r="E46" s="67"/>
      <c r="F46" s="66"/>
      <c r="G46" s="66"/>
      <c r="H46" s="67">
        <v>38.869999999999997</v>
      </c>
      <c r="I46" s="68">
        <v>41.17</v>
      </c>
      <c r="J46" s="69">
        <v>3050</v>
      </c>
      <c r="K46" s="70">
        <v>0</v>
      </c>
      <c r="L46" s="71">
        <v>0</v>
      </c>
      <c r="M46" s="71">
        <v>0</v>
      </c>
      <c r="N46" s="72">
        <f t="shared" si="20"/>
        <v>2592.5</v>
      </c>
      <c r="O46" s="73">
        <f t="shared" si="21"/>
        <v>3050</v>
      </c>
      <c r="P46" s="121">
        <f t="shared" si="22"/>
        <v>66.696681245176237</v>
      </c>
      <c r="Q46" s="74">
        <f t="shared" si="23"/>
        <v>0.15</v>
      </c>
      <c r="R46" s="75">
        <f t="shared" si="24"/>
        <v>457.5</v>
      </c>
      <c r="S46" s="74">
        <v>0.8</v>
      </c>
      <c r="T46" s="75">
        <f t="shared" si="25"/>
        <v>2440</v>
      </c>
      <c r="U46" s="76">
        <f t="shared" si="26"/>
        <v>4.9999999999999961E-2</v>
      </c>
      <c r="V46" s="69">
        <f t="shared" si="27"/>
        <v>152.49999999999989</v>
      </c>
      <c r="W46" s="77">
        <f ca="1">V46*VLOOKUP(TODAY(),'UF HOY'!$A$2:$B$36,2,0)</f>
        <v>6059425.8499999959</v>
      </c>
      <c r="X46" s="78">
        <f>Datos!$E$9</f>
        <v>4</v>
      </c>
      <c r="Y46" s="79">
        <f ca="1">IF((W46-1000000-Datos!$N$9)/X46&gt;0,(W46-1000000-Datos!$N$9)/X46,0)</f>
        <v>1239856.462499999</v>
      </c>
      <c r="Z46" s="78">
        <f>Datos!$G$9</f>
        <v>4</v>
      </c>
      <c r="AA46" s="79">
        <f ca="1">IF((W46-1000000-Datos!$N$9)/Z46&gt;0,(W46-1000000-Datos!$N$9)/Z46,0)</f>
        <v>1239856.462499999</v>
      </c>
      <c r="AB46" s="79">
        <f>IF(L46&gt;0,VLOOKUP(D46,Datos!$H$25:$J$28,3,0),VLOOKUP(D46,Datos!$H$25:$J$28,2,0))</f>
        <v>340000</v>
      </c>
      <c r="AC46" s="79">
        <f ca="1">(S46*PMT(Datos!$D$15,Datos!$D$13,-O46,,)*VLOOKUP(TODAY(),'UF HOY'!$A$2:$B$36,2,0)/12)</f>
        <v>467222.93013142684</v>
      </c>
      <c r="AD46" s="79">
        <f t="shared" ca="1" si="28"/>
        <v>-127222.93013142684</v>
      </c>
      <c r="AE46" s="45"/>
      <c r="AF46" s="45"/>
    </row>
    <row r="47" spans="1:32" hidden="1">
      <c r="A47" s="173" t="s">
        <v>171</v>
      </c>
      <c r="B47" s="173">
        <v>708</v>
      </c>
      <c r="C47" s="67" t="s">
        <v>122</v>
      </c>
      <c r="D47" s="67" t="s">
        <v>127</v>
      </c>
      <c r="E47" s="67"/>
      <c r="F47" s="66"/>
      <c r="G47" s="66"/>
      <c r="H47" s="67">
        <v>38.715000000000003</v>
      </c>
      <c r="I47" s="68">
        <v>40.86</v>
      </c>
      <c r="J47" s="69">
        <v>3050</v>
      </c>
      <c r="K47" s="70">
        <v>0</v>
      </c>
      <c r="L47" s="71">
        <v>0</v>
      </c>
      <c r="M47" s="71">
        <v>0</v>
      </c>
      <c r="N47" s="72">
        <f t="shared" si="20"/>
        <v>2592.5</v>
      </c>
      <c r="O47" s="73">
        <f t="shared" si="21"/>
        <v>3050</v>
      </c>
      <c r="P47" s="121">
        <f t="shared" si="22"/>
        <v>66.963709156657615</v>
      </c>
      <c r="Q47" s="74">
        <f t="shared" si="23"/>
        <v>0.15</v>
      </c>
      <c r="R47" s="75">
        <f t="shared" si="24"/>
        <v>457.5</v>
      </c>
      <c r="S47" s="74">
        <v>0.74</v>
      </c>
      <c r="T47" s="75">
        <f t="shared" si="25"/>
        <v>2257</v>
      </c>
      <c r="U47" s="76">
        <f t="shared" si="26"/>
        <v>0.11000000000000001</v>
      </c>
      <c r="V47" s="69">
        <f t="shared" si="27"/>
        <v>335.50000000000006</v>
      </c>
      <c r="W47" s="77">
        <f ca="1">V47*VLOOKUP(TODAY(),'UF HOY'!$A$2:$B$36,2,0)</f>
        <v>13330736.870000003</v>
      </c>
      <c r="X47" s="78">
        <f>Datos!$E$9</f>
        <v>4</v>
      </c>
      <c r="Y47" s="79">
        <f ca="1">IF((W47-1000000-Datos!$N$9)/X47&gt;0,(W47-1000000-Datos!$N$9)/X47,0)</f>
        <v>3057684.2175000007</v>
      </c>
      <c r="Z47" s="78">
        <f>Datos!$G$9</f>
        <v>4</v>
      </c>
      <c r="AA47" s="79">
        <f ca="1">IF((W47-1000000-Datos!$N$9)/Z47&gt;0,(W47-1000000-Datos!$N$9)/Z47,0)</f>
        <v>3057684.2175000007</v>
      </c>
      <c r="AB47" s="79">
        <f>IF(L47&gt;0,VLOOKUP(D47,Datos!$H$25:$J$28,3,0),VLOOKUP(D47,Datos!$H$25:$J$28,2,0))</f>
        <v>340000</v>
      </c>
      <c r="AC47" s="79">
        <f ca="1">(S47*PMT(Datos!$D$15,Datos!$D$13,-O47,,)*VLOOKUP(TODAY(),'UF HOY'!$A$2:$B$36,2,0)/12)</f>
        <v>432181.21037156979</v>
      </c>
      <c r="AD47" s="79">
        <f t="shared" ca="1" si="28"/>
        <v>-92181.210371569789</v>
      </c>
      <c r="AE47" s="45"/>
      <c r="AF47" s="45"/>
    </row>
    <row r="48" spans="1:32" hidden="1">
      <c r="A48" s="173" t="s">
        <v>171</v>
      </c>
      <c r="B48" s="173">
        <v>807</v>
      </c>
      <c r="C48" s="67" t="s">
        <v>121</v>
      </c>
      <c r="D48" s="67" t="s">
        <v>127</v>
      </c>
      <c r="E48" s="67"/>
      <c r="F48" s="66"/>
      <c r="G48" s="66"/>
      <c r="H48" s="67">
        <v>38.869999999999997</v>
      </c>
      <c r="I48" s="68">
        <v>41.17</v>
      </c>
      <c r="J48" s="69">
        <v>3050</v>
      </c>
      <c r="K48" s="70">
        <v>0</v>
      </c>
      <c r="L48" s="71">
        <v>0</v>
      </c>
      <c r="M48" s="71">
        <v>0</v>
      </c>
      <c r="N48" s="72">
        <f t="shared" si="20"/>
        <v>2592.5</v>
      </c>
      <c r="O48" s="73">
        <f t="shared" si="21"/>
        <v>3050</v>
      </c>
      <c r="P48" s="121">
        <f t="shared" si="22"/>
        <v>66.696681245176237</v>
      </c>
      <c r="Q48" s="74">
        <f t="shared" si="23"/>
        <v>0.15</v>
      </c>
      <c r="R48" s="75">
        <f t="shared" si="24"/>
        <v>457.5</v>
      </c>
      <c r="S48" s="74">
        <v>0.8</v>
      </c>
      <c r="T48" s="75">
        <f t="shared" si="25"/>
        <v>2440</v>
      </c>
      <c r="U48" s="76">
        <f t="shared" si="26"/>
        <v>4.9999999999999961E-2</v>
      </c>
      <c r="V48" s="69">
        <f t="shared" si="27"/>
        <v>152.49999999999989</v>
      </c>
      <c r="W48" s="77">
        <f ca="1">V48*VLOOKUP(TODAY(),'UF HOY'!$A$2:$B$36,2,0)</f>
        <v>6059425.8499999959</v>
      </c>
      <c r="X48" s="78">
        <f>Datos!$E$9</f>
        <v>4</v>
      </c>
      <c r="Y48" s="79">
        <f ca="1">IF((W48-1000000-Datos!$N$9)/X48&gt;0,(W48-1000000-Datos!$N$9)/X48,0)</f>
        <v>1239856.462499999</v>
      </c>
      <c r="Z48" s="78">
        <f>Datos!$G$9</f>
        <v>4</v>
      </c>
      <c r="AA48" s="79">
        <f ca="1">IF((W48-1000000-Datos!$N$9)/Z48&gt;0,(W48-1000000-Datos!$N$9)/Z48,0)</f>
        <v>1239856.462499999</v>
      </c>
      <c r="AB48" s="79">
        <f>IF(L48&gt;0,VLOOKUP(D48,Datos!$H$25:$J$28,3,0),VLOOKUP(D48,Datos!$H$25:$J$28,2,0))</f>
        <v>340000</v>
      </c>
      <c r="AC48" s="79">
        <f ca="1">(S48*PMT(Datos!$D$15,Datos!$D$13,-O48,,)*VLOOKUP(TODAY(),'UF HOY'!$A$2:$B$36,2,0)/12)</f>
        <v>467222.93013142684</v>
      </c>
      <c r="AD48" s="79">
        <f t="shared" ca="1" si="28"/>
        <v>-127222.93013142684</v>
      </c>
      <c r="AE48" s="45"/>
      <c r="AF48" s="45"/>
    </row>
    <row r="49" spans="1:32" hidden="1">
      <c r="A49" s="173" t="s">
        <v>171</v>
      </c>
      <c r="B49" s="173">
        <v>808</v>
      </c>
      <c r="C49" s="67" t="s">
        <v>122</v>
      </c>
      <c r="D49" s="67" t="s">
        <v>127</v>
      </c>
      <c r="E49" s="67"/>
      <c r="F49" s="66"/>
      <c r="G49" s="66"/>
      <c r="H49" s="67">
        <v>38.715000000000003</v>
      </c>
      <c r="I49" s="68">
        <v>40.86</v>
      </c>
      <c r="J49" s="69">
        <v>3050</v>
      </c>
      <c r="K49" s="70">
        <v>0</v>
      </c>
      <c r="L49" s="71">
        <v>0</v>
      </c>
      <c r="M49" s="71">
        <v>0</v>
      </c>
      <c r="N49" s="72">
        <f t="shared" si="20"/>
        <v>2592.5</v>
      </c>
      <c r="O49" s="73">
        <f t="shared" si="21"/>
        <v>3050</v>
      </c>
      <c r="P49" s="121">
        <f t="shared" si="22"/>
        <v>66.963709156657615</v>
      </c>
      <c r="Q49" s="74">
        <f t="shared" si="23"/>
        <v>0.15</v>
      </c>
      <c r="R49" s="75">
        <f t="shared" si="24"/>
        <v>457.5</v>
      </c>
      <c r="S49" s="74">
        <v>0.8</v>
      </c>
      <c r="T49" s="75">
        <f t="shared" si="25"/>
        <v>2440</v>
      </c>
      <c r="U49" s="76">
        <f t="shared" si="26"/>
        <v>4.9999999999999961E-2</v>
      </c>
      <c r="V49" s="69">
        <f t="shared" si="27"/>
        <v>152.49999999999989</v>
      </c>
      <c r="W49" s="77">
        <f ca="1">V49*VLOOKUP(TODAY(),'UF HOY'!$A$2:$B$36,2,0)</f>
        <v>6059425.8499999959</v>
      </c>
      <c r="X49" s="78">
        <f>Datos!$E$9</f>
        <v>4</v>
      </c>
      <c r="Y49" s="79">
        <f ca="1">IF((W49-1000000-Datos!$N$9)/X49&gt;0,(W49-1000000-Datos!$N$9)/X49,0)</f>
        <v>1239856.462499999</v>
      </c>
      <c r="Z49" s="78">
        <f>Datos!$G$9</f>
        <v>4</v>
      </c>
      <c r="AA49" s="79">
        <f ca="1">IF((W49-1000000-Datos!$N$9)/Z49&gt;0,(W49-1000000-Datos!$N$9)/Z49,0)</f>
        <v>1239856.462499999</v>
      </c>
      <c r="AB49" s="79">
        <f>IF(L49&gt;0,VLOOKUP(D49,Datos!$H$25:$J$28,3,0),VLOOKUP(D49,Datos!$H$25:$J$28,2,0))</f>
        <v>340000</v>
      </c>
      <c r="AC49" s="79">
        <f ca="1">(S49*PMT(Datos!$D$15,Datos!$D$13,-O49,,)*VLOOKUP(TODAY(),'UF HOY'!$A$2:$B$36,2,0)/12)</f>
        <v>467222.93013142684</v>
      </c>
      <c r="AD49" s="79">
        <f t="shared" ca="1" si="28"/>
        <v>-127222.93013142684</v>
      </c>
      <c r="AE49" s="45"/>
      <c r="AF49" s="45"/>
    </row>
    <row r="50" spans="1:32" ht="14.25" hidden="1" customHeight="1">
      <c r="A50" s="173" t="s">
        <v>171</v>
      </c>
      <c r="B50" s="173">
        <v>907</v>
      </c>
      <c r="C50" s="67" t="s">
        <v>121</v>
      </c>
      <c r="D50" s="67" t="s">
        <v>127</v>
      </c>
      <c r="E50" s="67"/>
      <c r="F50" s="66"/>
      <c r="G50" s="66"/>
      <c r="H50" s="67">
        <v>38.869999999999997</v>
      </c>
      <c r="I50" s="68">
        <v>41.17</v>
      </c>
      <c r="J50" s="69">
        <v>3050</v>
      </c>
      <c r="K50" s="70">
        <v>0</v>
      </c>
      <c r="L50" s="71">
        <v>0</v>
      </c>
      <c r="M50" s="71">
        <v>0</v>
      </c>
      <c r="N50" s="72">
        <f t="shared" si="20"/>
        <v>2592.5</v>
      </c>
      <c r="O50" s="73">
        <f t="shared" si="21"/>
        <v>3050</v>
      </c>
      <c r="P50" s="121">
        <f t="shared" si="22"/>
        <v>66.696681245176237</v>
      </c>
      <c r="Q50" s="74">
        <f t="shared" si="23"/>
        <v>0.15</v>
      </c>
      <c r="R50" s="75">
        <f t="shared" si="24"/>
        <v>457.5</v>
      </c>
      <c r="S50" s="74">
        <v>0.8</v>
      </c>
      <c r="T50" s="75">
        <f t="shared" si="25"/>
        <v>2440</v>
      </c>
      <c r="U50" s="76">
        <f t="shared" si="26"/>
        <v>4.9999999999999961E-2</v>
      </c>
      <c r="V50" s="69">
        <f t="shared" si="27"/>
        <v>152.49999999999989</v>
      </c>
      <c r="W50" s="77">
        <f ca="1">V50*VLOOKUP(TODAY(),'UF HOY'!$A$2:$B$36,2,0)</f>
        <v>6059425.8499999959</v>
      </c>
      <c r="X50" s="78">
        <f>Datos!$E$9</f>
        <v>4</v>
      </c>
      <c r="Y50" s="79">
        <f ca="1">IF((W50-1000000-Datos!$N$9)/X50&gt;0,(W50-1000000-Datos!$N$9)/X50,0)</f>
        <v>1239856.462499999</v>
      </c>
      <c r="Z50" s="78">
        <f>Datos!$G$9</f>
        <v>4</v>
      </c>
      <c r="AA50" s="79">
        <f ca="1">IF((W50-1000000-Datos!$N$9)/Z50&gt;0,(W50-1000000-Datos!$N$9)/Z50,0)</f>
        <v>1239856.462499999</v>
      </c>
      <c r="AB50" s="79">
        <f>IF(L50&gt;0,VLOOKUP(D50,Datos!$H$25:$J$28,3,0),VLOOKUP(D50,Datos!$H$25:$J$28,2,0))</f>
        <v>340000</v>
      </c>
      <c r="AC50" s="79">
        <f ca="1">(S50*PMT(Datos!$D$15,Datos!$D$13,-O50,,)*VLOOKUP(TODAY(),'UF HOY'!$A$2:$B$36,2,0)/12)</f>
        <v>467222.93013142684</v>
      </c>
      <c r="AD50" s="79">
        <f t="shared" ca="1" si="28"/>
        <v>-127222.93013142684</v>
      </c>
      <c r="AE50" s="45"/>
      <c r="AF50" s="45"/>
    </row>
    <row r="51" spans="1:32" hidden="1">
      <c r="A51" s="173" t="s">
        <v>171</v>
      </c>
      <c r="B51" s="173">
        <v>908</v>
      </c>
      <c r="C51" s="67" t="s">
        <v>122</v>
      </c>
      <c r="D51" s="67" t="s">
        <v>127</v>
      </c>
      <c r="E51" s="67"/>
      <c r="F51" s="66"/>
      <c r="G51" s="66"/>
      <c r="H51" s="67">
        <v>38.715000000000003</v>
      </c>
      <c r="I51" s="68">
        <v>40.86</v>
      </c>
      <c r="J51" s="69">
        <v>3050</v>
      </c>
      <c r="K51" s="70">
        <v>0</v>
      </c>
      <c r="L51" s="71">
        <v>0</v>
      </c>
      <c r="M51" s="71">
        <v>0</v>
      </c>
      <c r="N51" s="72">
        <f t="shared" si="20"/>
        <v>2592.5</v>
      </c>
      <c r="O51" s="73">
        <f t="shared" si="21"/>
        <v>3050</v>
      </c>
      <c r="P51" s="121">
        <f t="shared" si="22"/>
        <v>66.963709156657615</v>
      </c>
      <c r="Q51" s="74">
        <f t="shared" si="23"/>
        <v>0.15</v>
      </c>
      <c r="R51" s="75">
        <f t="shared" si="24"/>
        <v>457.5</v>
      </c>
      <c r="S51" s="74">
        <v>0.8</v>
      </c>
      <c r="T51" s="75">
        <f t="shared" si="25"/>
        <v>2440</v>
      </c>
      <c r="U51" s="76">
        <f t="shared" si="26"/>
        <v>4.9999999999999961E-2</v>
      </c>
      <c r="V51" s="69">
        <f t="shared" si="27"/>
        <v>152.49999999999989</v>
      </c>
      <c r="W51" s="77">
        <f ca="1">V51*VLOOKUP(TODAY(),'UF HOY'!$A$2:$B$36,2,0)</f>
        <v>6059425.8499999959</v>
      </c>
      <c r="X51" s="78">
        <f>Datos!$E$9</f>
        <v>4</v>
      </c>
      <c r="Y51" s="79">
        <f ca="1">IF((W51-1000000-Datos!$N$9)/X51&gt;0,(W51-1000000-Datos!$N$9)/X51,0)</f>
        <v>1239856.462499999</v>
      </c>
      <c r="Z51" s="78">
        <f>Datos!$G$9</f>
        <v>4</v>
      </c>
      <c r="AA51" s="79">
        <f ca="1">IF((W51-1000000-Datos!$N$9)/Z51&gt;0,(W51-1000000-Datos!$N$9)/Z51,0)</f>
        <v>1239856.462499999</v>
      </c>
      <c r="AB51" s="79">
        <f>IF(L51&gt;0,VLOOKUP(D51,Datos!$H$25:$J$28,3,0),VLOOKUP(D51,Datos!$H$25:$J$28,2,0))</f>
        <v>340000</v>
      </c>
      <c r="AC51" s="79">
        <f ca="1">(S51*PMT(Datos!$D$15,Datos!$D$13,-O51,,)*VLOOKUP(TODAY(),'UF HOY'!$A$2:$B$36,2,0)/12)</f>
        <v>467222.93013142684</v>
      </c>
      <c r="AD51" s="79">
        <f t="shared" ca="1" si="28"/>
        <v>-127222.93013142684</v>
      </c>
      <c r="AE51" s="45"/>
      <c r="AF51" s="45"/>
    </row>
    <row r="52" spans="1:32" hidden="1">
      <c r="A52" s="173" t="s">
        <v>171</v>
      </c>
      <c r="B52" s="173">
        <v>1007</v>
      </c>
      <c r="C52" s="67" t="s">
        <v>121</v>
      </c>
      <c r="D52" s="67" t="s">
        <v>127</v>
      </c>
      <c r="E52" s="67"/>
      <c r="F52" s="66"/>
      <c r="G52" s="66"/>
      <c r="H52" s="67">
        <v>38.869999999999997</v>
      </c>
      <c r="I52" s="68">
        <v>41.17</v>
      </c>
      <c r="J52" s="69">
        <v>3050</v>
      </c>
      <c r="K52" s="70">
        <v>0</v>
      </c>
      <c r="L52" s="71">
        <v>0</v>
      </c>
      <c r="M52" s="71">
        <v>0</v>
      </c>
      <c r="N52" s="72">
        <f t="shared" si="20"/>
        <v>2592.5</v>
      </c>
      <c r="O52" s="73">
        <f t="shared" si="21"/>
        <v>3050</v>
      </c>
      <c r="P52" s="121">
        <f t="shared" si="22"/>
        <v>66.696681245176237</v>
      </c>
      <c r="Q52" s="74">
        <f t="shared" si="23"/>
        <v>0.15</v>
      </c>
      <c r="R52" s="75">
        <f t="shared" si="24"/>
        <v>457.5</v>
      </c>
      <c r="S52" s="74">
        <v>0.8</v>
      </c>
      <c r="T52" s="75">
        <f t="shared" si="25"/>
        <v>2440</v>
      </c>
      <c r="U52" s="76">
        <f t="shared" si="26"/>
        <v>4.9999999999999961E-2</v>
      </c>
      <c r="V52" s="69">
        <f t="shared" si="27"/>
        <v>152.49999999999989</v>
      </c>
      <c r="W52" s="77">
        <f ca="1">V52*VLOOKUP(TODAY(),'UF HOY'!$A$2:$B$36,2,0)</f>
        <v>6059425.8499999959</v>
      </c>
      <c r="X52" s="78">
        <f>Datos!$E$9</f>
        <v>4</v>
      </c>
      <c r="Y52" s="79">
        <f ca="1">IF((W52-1000000-Datos!$N$9)/X52&gt;0,(W52-1000000-Datos!$N$9)/X52,0)</f>
        <v>1239856.462499999</v>
      </c>
      <c r="Z52" s="78">
        <f>Datos!$G$9</f>
        <v>4</v>
      </c>
      <c r="AA52" s="79">
        <f ca="1">IF((W52-1000000-Datos!$N$9)/Z52&gt;0,(W52-1000000-Datos!$N$9)/Z52,0)</f>
        <v>1239856.462499999</v>
      </c>
      <c r="AB52" s="79">
        <f>IF(L52&gt;0,VLOOKUP(D52,Datos!$H$25:$J$28,3,0),VLOOKUP(D52,Datos!$H$25:$J$28,2,0))</f>
        <v>340000</v>
      </c>
      <c r="AC52" s="79">
        <f ca="1">(S52*PMT(Datos!$D$15,Datos!$D$13,-O52,,)*VLOOKUP(TODAY(),'UF HOY'!$A$2:$B$36,2,0)/12)</f>
        <v>467222.93013142684</v>
      </c>
      <c r="AD52" s="79">
        <f t="shared" ca="1" si="28"/>
        <v>-127222.93013142684</v>
      </c>
      <c r="AE52" s="45"/>
      <c r="AF52" s="45"/>
    </row>
    <row r="53" spans="1:32" hidden="1">
      <c r="A53" s="173" t="s">
        <v>171</v>
      </c>
      <c r="B53" s="173">
        <v>1008</v>
      </c>
      <c r="C53" s="67" t="s">
        <v>122</v>
      </c>
      <c r="D53" s="67" t="s">
        <v>127</v>
      </c>
      <c r="E53" s="67"/>
      <c r="F53" s="66"/>
      <c r="G53" s="66"/>
      <c r="H53" s="67">
        <v>38.715000000000003</v>
      </c>
      <c r="I53" s="68">
        <v>40.86</v>
      </c>
      <c r="J53" s="69">
        <v>3050</v>
      </c>
      <c r="K53" s="70">
        <v>0</v>
      </c>
      <c r="L53" s="71">
        <v>0</v>
      </c>
      <c r="M53" s="71">
        <v>0</v>
      </c>
      <c r="N53" s="72">
        <f t="shared" si="20"/>
        <v>2592.5</v>
      </c>
      <c r="O53" s="73">
        <f t="shared" si="21"/>
        <v>3050</v>
      </c>
      <c r="P53" s="121">
        <f t="shared" si="22"/>
        <v>66.963709156657615</v>
      </c>
      <c r="Q53" s="74">
        <f t="shared" si="23"/>
        <v>0.15</v>
      </c>
      <c r="R53" s="75">
        <f t="shared" si="24"/>
        <v>457.5</v>
      </c>
      <c r="S53" s="74">
        <v>0.8</v>
      </c>
      <c r="T53" s="75">
        <f t="shared" si="25"/>
        <v>2440</v>
      </c>
      <c r="U53" s="76">
        <f t="shared" si="26"/>
        <v>4.9999999999999961E-2</v>
      </c>
      <c r="V53" s="69">
        <f t="shared" si="27"/>
        <v>152.49999999999989</v>
      </c>
      <c r="W53" s="77">
        <f ca="1">V53*VLOOKUP(TODAY(),'UF HOY'!$A$2:$B$36,2,0)</f>
        <v>6059425.8499999959</v>
      </c>
      <c r="X53" s="78">
        <f>Datos!$E$9</f>
        <v>4</v>
      </c>
      <c r="Y53" s="79">
        <f ca="1">IF((W53-1000000-Datos!$N$9)/X53&gt;0,(W53-1000000-Datos!$N$9)/X53,0)</f>
        <v>1239856.462499999</v>
      </c>
      <c r="Z53" s="78">
        <f>Datos!$G$9</f>
        <v>4</v>
      </c>
      <c r="AA53" s="79">
        <f ca="1">IF((W53-1000000-Datos!$N$9)/Z53&gt;0,(W53-1000000-Datos!$N$9)/Z53,0)</f>
        <v>1239856.462499999</v>
      </c>
      <c r="AB53" s="79">
        <f>IF(L53&gt;0,VLOOKUP(D53,Datos!$H$25:$J$28,3,0),VLOOKUP(D53,Datos!$H$25:$J$28,2,0))</f>
        <v>340000</v>
      </c>
      <c r="AC53" s="79">
        <f ca="1">(S53*PMT(Datos!$D$15,Datos!$D$13,-O53,,)*VLOOKUP(TODAY(),'UF HOY'!$A$2:$B$36,2,0)/12)</f>
        <v>467222.93013142684</v>
      </c>
      <c r="AD53" s="79">
        <f t="shared" ca="1" si="28"/>
        <v>-127222.93013142684</v>
      </c>
      <c r="AE53" s="45"/>
      <c r="AF53" s="45"/>
    </row>
    <row r="54" spans="1:32" hidden="1">
      <c r="A54" s="173" t="s">
        <v>171</v>
      </c>
      <c r="B54" s="173">
        <v>1107</v>
      </c>
      <c r="C54" s="67" t="s">
        <v>121</v>
      </c>
      <c r="D54" s="67" t="s">
        <v>127</v>
      </c>
      <c r="E54" s="67"/>
      <c r="F54" s="66"/>
      <c r="G54" s="66"/>
      <c r="H54" s="67">
        <v>38.869999999999997</v>
      </c>
      <c r="I54" s="68">
        <v>41.17</v>
      </c>
      <c r="J54" s="69">
        <v>3050</v>
      </c>
      <c r="K54" s="70">
        <v>0</v>
      </c>
      <c r="L54" s="71">
        <v>0</v>
      </c>
      <c r="M54" s="71">
        <v>0</v>
      </c>
      <c r="N54" s="72">
        <f t="shared" si="20"/>
        <v>2592.5</v>
      </c>
      <c r="O54" s="73">
        <f t="shared" si="21"/>
        <v>3050</v>
      </c>
      <c r="P54" s="121">
        <f t="shared" si="22"/>
        <v>66.696681245176237</v>
      </c>
      <c r="Q54" s="74">
        <f t="shared" si="23"/>
        <v>0.15</v>
      </c>
      <c r="R54" s="75">
        <f t="shared" si="24"/>
        <v>457.5</v>
      </c>
      <c r="S54" s="74">
        <v>0.8</v>
      </c>
      <c r="T54" s="75">
        <f t="shared" si="25"/>
        <v>2440</v>
      </c>
      <c r="U54" s="76">
        <f t="shared" si="26"/>
        <v>4.9999999999999961E-2</v>
      </c>
      <c r="V54" s="69">
        <f t="shared" si="27"/>
        <v>152.49999999999989</v>
      </c>
      <c r="W54" s="77">
        <f ca="1">V54*VLOOKUP(TODAY(),'UF HOY'!$A$2:$B$36,2,0)</f>
        <v>6059425.8499999959</v>
      </c>
      <c r="X54" s="78">
        <f>Datos!$E$9</f>
        <v>4</v>
      </c>
      <c r="Y54" s="79">
        <f ca="1">IF((W54-1000000-Datos!$N$9)/X54&gt;0,(W54-1000000-Datos!$N$9)/X54,0)</f>
        <v>1239856.462499999</v>
      </c>
      <c r="Z54" s="78">
        <f>Datos!$G$9</f>
        <v>4</v>
      </c>
      <c r="AA54" s="79">
        <f ca="1">IF((W54-1000000-Datos!$N$9)/Z54&gt;0,(W54-1000000-Datos!$N$9)/Z54,0)</f>
        <v>1239856.462499999</v>
      </c>
      <c r="AB54" s="79">
        <f>IF(L54&gt;0,VLOOKUP(D54,Datos!$H$25:$J$28,3,0),VLOOKUP(D54,Datos!$H$25:$J$28,2,0))</f>
        <v>340000</v>
      </c>
      <c r="AC54" s="79">
        <f ca="1">(S54*PMT(Datos!$D$15,Datos!$D$13,-O54,,)*VLOOKUP(TODAY(),'UF HOY'!$A$2:$B$36,2,0)/12)</f>
        <v>467222.93013142684</v>
      </c>
      <c r="AD54" s="79">
        <f t="shared" ca="1" si="28"/>
        <v>-127222.93013142684</v>
      </c>
      <c r="AE54" s="45"/>
      <c r="AF54" s="45"/>
    </row>
    <row r="55" spans="1:32" hidden="1">
      <c r="A55" s="173" t="s">
        <v>171</v>
      </c>
      <c r="B55" s="173">
        <v>1108</v>
      </c>
      <c r="C55" s="67" t="s">
        <v>122</v>
      </c>
      <c r="D55" s="67" t="s">
        <v>127</v>
      </c>
      <c r="E55" s="67"/>
      <c r="F55" s="66"/>
      <c r="G55" s="66"/>
      <c r="H55" s="67">
        <v>38.715000000000003</v>
      </c>
      <c r="I55" s="68">
        <v>40.86</v>
      </c>
      <c r="J55" s="69">
        <v>3050</v>
      </c>
      <c r="K55" s="70">
        <v>0</v>
      </c>
      <c r="L55" s="71">
        <v>0</v>
      </c>
      <c r="M55" s="71">
        <v>0</v>
      </c>
      <c r="N55" s="72">
        <f t="shared" si="20"/>
        <v>2592.5</v>
      </c>
      <c r="O55" s="73">
        <f t="shared" si="21"/>
        <v>3050</v>
      </c>
      <c r="P55" s="121">
        <f t="shared" si="22"/>
        <v>66.963709156657615</v>
      </c>
      <c r="Q55" s="74">
        <f t="shared" si="23"/>
        <v>0.15</v>
      </c>
      <c r="R55" s="75">
        <f t="shared" si="24"/>
        <v>457.5</v>
      </c>
      <c r="S55" s="74">
        <v>0.8</v>
      </c>
      <c r="T55" s="75">
        <f t="shared" si="25"/>
        <v>2440</v>
      </c>
      <c r="U55" s="76">
        <f t="shared" si="26"/>
        <v>4.9999999999999961E-2</v>
      </c>
      <c r="V55" s="69">
        <f t="shared" si="27"/>
        <v>152.49999999999989</v>
      </c>
      <c r="W55" s="77">
        <f ca="1">V55*VLOOKUP(TODAY(),'UF HOY'!$A$2:$B$36,2,0)</f>
        <v>6059425.8499999959</v>
      </c>
      <c r="X55" s="78">
        <f>Datos!$E$9</f>
        <v>4</v>
      </c>
      <c r="Y55" s="79">
        <f ca="1">IF((W55-1000000-Datos!$N$9)/X55&gt;0,(W55-1000000-Datos!$N$9)/X55,0)</f>
        <v>1239856.462499999</v>
      </c>
      <c r="Z55" s="78">
        <f>Datos!$G$9</f>
        <v>4</v>
      </c>
      <c r="AA55" s="79">
        <f ca="1">IF((W55-1000000-Datos!$N$9)/Z55&gt;0,(W55-1000000-Datos!$N$9)/Z55,0)</f>
        <v>1239856.462499999</v>
      </c>
      <c r="AB55" s="79">
        <f>IF(L55&gt;0,VLOOKUP(D55,Datos!$H$25:$J$28,3,0),VLOOKUP(D55,Datos!$H$25:$J$28,2,0))</f>
        <v>340000</v>
      </c>
      <c r="AC55" s="79">
        <f ca="1">(S55*PMT(Datos!$D$15,Datos!$D$13,-O55,,)*VLOOKUP(TODAY(),'UF HOY'!$A$2:$B$36,2,0)/12)</f>
        <v>467222.93013142684</v>
      </c>
      <c r="AD55" s="79">
        <f t="shared" ca="1" si="28"/>
        <v>-127222.93013142684</v>
      </c>
      <c r="AE55" s="45"/>
      <c r="AF55" s="45"/>
    </row>
    <row r="56" spans="1:32" hidden="1">
      <c r="A56" s="173" t="s">
        <v>171</v>
      </c>
      <c r="B56" s="173">
        <v>1207</v>
      </c>
      <c r="C56" s="67" t="s">
        <v>121</v>
      </c>
      <c r="D56" s="67" t="s">
        <v>127</v>
      </c>
      <c r="E56" s="67"/>
      <c r="F56" s="66"/>
      <c r="G56" s="66"/>
      <c r="H56" s="67">
        <v>38.869999999999997</v>
      </c>
      <c r="I56" s="68">
        <v>41.17</v>
      </c>
      <c r="J56" s="69">
        <v>3050</v>
      </c>
      <c r="K56" s="70">
        <v>0</v>
      </c>
      <c r="L56" s="71">
        <v>0</v>
      </c>
      <c r="M56" s="71">
        <v>0</v>
      </c>
      <c r="N56" s="72">
        <f t="shared" si="20"/>
        <v>2592.5</v>
      </c>
      <c r="O56" s="73">
        <f t="shared" si="21"/>
        <v>3050</v>
      </c>
      <c r="P56" s="121">
        <f t="shared" si="22"/>
        <v>66.696681245176237</v>
      </c>
      <c r="Q56" s="74">
        <f t="shared" si="23"/>
        <v>0.15</v>
      </c>
      <c r="R56" s="75">
        <f t="shared" si="24"/>
        <v>457.5</v>
      </c>
      <c r="S56" s="74">
        <v>0.8</v>
      </c>
      <c r="T56" s="75">
        <f t="shared" si="25"/>
        <v>2440</v>
      </c>
      <c r="U56" s="76">
        <f t="shared" si="26"/>
        <v>4.9999999999999961E-2</v>
      </c>
      <c r="V56" s="69">
        <f t="shared" si="27"/>
        <v>152.49999999999989</v>
      </c>
      <c r="W56" s="77">
        <f ca="1">V56*VLOOKUP(TODAY(),'UF HOY'!$A$2:$B$36,2,0)</f>
        <v>6059425.8499999959</v>
      </c>
      <c r="X56" s="78">
        <f>Datos!$E$9</f>
        <v>4</v>
      </c>
      <c r="Y56" s="79">
        <f ca="1">IF((W56-1000000-Datos!$N$9)/X56&gt;0,(W56-1000000-Datos!$N$9)/X56,0)</f>
        <v>1239856.462499999</v>
      </c>
      <c r="Z56" s="78">
        <f>Datos!$G$9</f>
        <v>4</v>
      </c>
      <c r="AA56" s="79">
        <f ca="1">IF((W56-1000000-Datos!$N$9)/Z56&gt;0,(W56-1000000-Datos!$N$9)/Z56,0)</f>
        <v>1239856.462499999</v>
      </c>
      <c r="AB56" s="79">
        <f>IF(L56&gt;0,VLOOKUP(D56,Datos!$H$25:$J$28,3,0),VLOOKUP(D56,Datos!$H$25:$J$28,2,0))</f>
        <v>340000</v>
      </c>
      <c r="AC56" s="79">
        <f ca="1">(S56*PMT(Datos!$D$15,Datos!$D$13,-O56,,)*VLOOKUP(TODAY(),'UF HOY'!$A$2:$B$36,2,0)/12)</f>
        <v>467222.93013142684</v>
      </c>
      <c r="AD56" s="79">
        <f t="shared" ca="1" si="28"/>
        <v>-127222.93013142684</v>
      </c>
      <c r="AE56" s="45"/>
      <c r="AF56" s="45"/>
    </row>
    <row r="57" spans="1:32" hidden="1">
      <c r="A57" s="173" t="s">
        <v>171</v>
      </c>
      <c r="B57" s="173">
        <v>1407</v>
      </c>
      <c r="C57" s="67" t="s">
        <v>121</v>
      </c>
      <c r="D57" s="67" t="s">
        <v>127</v>
      </c>
      <c r="E57" s="67"/>
      <c r="F57" s="66"/>
      <c r="G57" s="66"/>
      <c r="H57" s="67">
        <v>38.869999999999997</v>
      </c>
      <c r="I57" s="68">
        <v>41.17</v>
      </c>
      <c r="J57" s="69">
        <v>3050</v>
      </c>
      <c r="K57" s="70">
        <v>0</v>
      </c>
      <c r="L57" s="71">
        <v>0</v>
      </c>
      <c r="M57" s="71">
        <v>0</v>
      </c>
      <c r="N57" s="72">
        <f t="shared" si="20"/>
        <v>2592.5</v>
      </c>
      <c r="O57" s="73">
        <f t="shared" si="21"/>
        <v>3050</v>
      </c>
      <c r="P57" s="121">
        <f t="shared" si="22"/>
        <v>66.696681245176237</v>
      </c>
      <c r="Q57" s="74">
        <f t="shared" si="23"/>
        <v>0.15</v>
      </c>
      <c r="R57" s="75">
        <f t="shared" si="24"/>
        <v>457.5</v>
      </c>
      <c r="S57" s="74">
        <v>0.8</v>
      </c>
      <c r="T57" s="75">
        <f t="shared" si="25"/>
        <v>2440</v>
      </c>
      <c r="U57" s="76">
        <f t="shared" si="26"/>
        <v>4.9999999999999961E-2</v>
      </c>
      <c r="V57" s="69">
        <f t="shared" si="27"/>
        <v>152.49999999999989</v>
      </c>
      <c r="W57" s="77">
        <f ca="1">V57*VLOOKUP(TODAY(),'UF HOY'!$A$2:$B$36,2,0)</f>
        <v>6059425.8499999959</v>
      </c>
      <c r="X57" s="78">
        <f>Datos!$E$9</f>
        <v>4</v>
      </c>
      <c r="Y57" s="79">
        <f ca="1">IF((W57-1000000-Datos!$N$9)/X57&gt;0,(W57-1000000-Datos!$N$9)/X57,0)</f>
        <v>1239856.462499999</v>
      </c>
      <c r="Z57" s="78">
        <f>Datos!$G$9</f>
        <v>4</v>
      </c>
      <c r="AA57" s="79">
        <f ca="1">IF((W57-1000000-Datos!$N$9)/Z57&gt;0,(W57-1000000-Datos!$N$9)/Z57,0)</f>
        <v>1239856.462499999</v>
      </c>
      <c r="AB57" s="79">
        <f>IF(L57&gt;0,VLOOKUP(D57,Datos!$H$25:$J$28,3,0),VLOOKUP(D57,Datos!$H$25:$J$28,2,0))</f>
        <v>340000</v>
      </c>
      <c r="AC57" s="79">
        <f ca="1">(S57*PMT(Datos!$D$15,Datos!$D$13,-O57,,)*VLOOKUP(TODAY(),'UF HOY'!$A$2:$B$36,2,0)/12)</f>
        <v>467222.93013142684</v>
      </c>
      <c r="AD57" s="79">
        <f t="shared" ca="1" si="28"/>
        <v>-127222.93013142684</v>
      </c>
      <c r="AE57" s="45"/>
      <c r="AF57" s="45"/>
    </row>
    <row r="58" spans="1:32" hidden="1">
      <c r="A58" s="173" t="s">
        <v>171</v>
      </c>
      <c r="B58" s="173">
        <v>1408</v>
      </c>
      <c r="C58" s="67" t="s">
        <v>122</v>
      </c>
      <c r="D58" s="67" t="s">
        <v>127</v>
      </c>
      <c r="E58" s="67"/>
      <c r="F58" s="66"/>
      <c r="G58" s="66"/>
      <c r="H58" s="67">
        <v>38.715000000000003</v>
      </c>
      <c r="I58" s="68">
        <v>40.86</v>
      </c>
      <c r="J58" s="69">
        <v>3050</v>
      </c>
      <c r="K58" s="70">
        <v>0</v>
      </c>
      <c r="L58" s="71">
        <v>0</v>
      </c>
      <c r="M58" s="71">
        <v>0</v>
      </c>
      <c r="N58" s="72">
        <f t="shared" si="20"/>
        <v>2592.5</v>
      </c>
      <c r="O58" s="73">
        <f t="shared" si="21"/>
        <v>3050</v>
      </c>
      <c r="P58" s="121">
        <f t="shared" si="22"/>
        <v>66.963709156657615</v>
      </c>
      <c r="Q58" s="74">
        <f t="shared" si="23"/>
        <v>0.15</v>
      </c>
      <c r="R58" s="75">
        <f t="shared" si="24"/>
        <v>457.5</v>
      </c>
      <c r="S58" s="74">
        <v>0.8</v>
      </c>
      <c r="T58" s="75">
        <f t="shared" si="25"/>
        <v>2440</v>
      </c>
      <c r="U58" s="76">
        <f t="shared" si="26"/>
        <v>4.9999999999999961E-2</v>
      </c>
      <c r="V58" s="69">
        <f t="shared" si="27"/>
        <v>152.49999999999989</v>
      </c>
      <c r="W58" s="77">
        <f ca="1">V58*VLOOKUP(TODAY(),'UF HOY'!$A$2:$B$36,2,0)</f>
        <v>6059425.8499999959</v>
      </c>
      <c r="X58" s="78">
        <f>Datos!$E$9</f>
        <v>4</v>
      </c>
      <c r="Y58" s="79">
        <f ca="1">IF((W58-1000000-Datos!$N$9)/X58&gt;0,(W58-1000000-Datos!$N$9)/X58,0)</f>
        <v>1239856.462499999</v>
      </c>
      <c r="Z58" s="78">
        <f>Datos!$G$9</f>
        <v>4</v>
      </c>
      <c r="AA58" s="79">
        <f ca="1">IF((W58-1000000-Datos!$N$9)/Z58&gt;0,(W58-1000000-Datos!$N$9)/Z58,0)</f>
        <v>1239856.462499999</v>
      </c>
      <c r="AB58" s="79">
        <f>IF(L58&gt;0,VLOOKUP(D58,Datos!$H$25:$J$28,3,0),VLOOKUP(D58,Datos!$H$25:$J$28,2,0))</f>
        <v>340000</v>
      </c>
      <c r="AC58" s="79">
        <f ca="1">(S58*PMT(Datos!$D$15,Datos!$D$13,-O58,,)*VLOOKUP(TODAY(),'UF HOY'!$A$2:$B$36,2,0)/12)</f>
        <v>467222.93013142684</v>
      </c>
      <c r="AD58" s="79">
        <f t="shared" ca="1" si="28"/>
        <v>-127222.93013142684</v>
      </c>
      <c r="AE58" s="45"/>
      <c r="AF58" s="45"/>
    </row>
    <row r="59" spans="1:32" hidden="1">
      <c r="A59" s="173" t="s">
        <v>171</v>
      </c>
      <c r="B59" s="173">
        <v>1508</v>
      </c>
      <c r="C59" s="67" t="s">
        <v>122</v>
      </c>
      <c r="D59" s="67" t="s">
        <v>127</v>
      </c>
      <c r="E59" s="67"/>
      <c r="F59" s="66"/>
      <c r="G59" s="66"/>
      <c r="H59" s="67">
        <v>38.715000000000003</v>
      </c>
      <c r="I59" s="68">
        <v>40.86</v>
      </c>
      <c r="J59" s="69">
        <v>3050</v>
      </c>
      <c r="K59" s="70">
        <v>0</v>
      </c>
      <c r="L59" s="71">
        <v>0</v>
      </c>
      <c r="M59" s="71">
        <v>0</v>
      </c>
      <c r="N59" s="72">
        <f t="shared" si="20"/>
        <v>2592.5</v>
      </c>
      <c r="O59" s="73">
        <f t="shared" si="21"/>
        <v>3050</v>
      </c>
      <c r="P59" s="121">
        <f t="shared" si="22"/>
        <v>66.963709156657615</v>
      </c>
      <c r="Q59" s="74">
        <f t="shared" si="23"/>
        <v>0.15</v>
      </c>
      <c r="R59" s="75">
        <f t="shared" si="24"/>
        <v>457.5</v>
      </c>
      <c r="S59" s="74">
        <v>0.8</v>
      </c>
      <c r="T59" s="75">
        <f t="shared" si="25"/>
        <v>2440</v>
      </c>
      <c r="U59" s="76">
        <f t="shared" si="26"/>
        <v>4.9999999999999961E-2</v>
      </c>
      <c r="V59" s="69">
        <f t="shared" si="27"/>
        <v>152.49999999999989</v>
      </c>
      <c r="W59" s="77">
        <f ca="1">V59*VLOOKUP(TODAY(),'UF HOY'!$A$2:$B$36,2,0)</f>
        <v>6059425.8499999959</v>
      </c>
      <c r="X59" s="78">
        <f>Datos!$E$9</f>
        <v>4</v>
      </c>
      <c r="Y59" s="79">
        <f ca="1">IF((W59-1000000-Datos!$N$9)/X59&gt;0,(W59-1000000-Datos!$N$9)/X59,0)</f>
        <v>1239856.462499999</v>
      </c>
      <c r="Z59" s="78">
        <f>Datos!$G$9</f>
        <v>4</v>
      </c>
      <c r="AA59" s="79">
        <f ca="1">IF((W59-1000000-Datos!$N$9)/Z59&gt;0,(W59-1000000-Datos!$N$9)/Z59,0)</f>
        <v>1239856.462499999</v>
      </c>
      <c r="AB59" s="79">
        <f>IF(L59&gt;0,VLOOKUP(D59,Datos!$H$25:$J$28,3,0),VLOOKUP(D59,Datos!$H$25:$J$28,2,0))</f>
        <v>340000</v>
      </c>
      <c r="AC59" s="79">
        <f ca="1">(S59*PMT(Datos!$D$15,Datos!$D$13,-O59,,)*VLOOKUP(TODAY(),'UF HOY'!$A$2:$B$36,2,0)/12)</f>
        <v>467222.93013142684</v>
      </c>
      <c r="AD59" s="79">
        <f t="shared" ca="1" si="28"/>
        <v>-127222.93013142684</v>
      </c>
      <c r="AE59" s="45"/>
      <c r="AF59" s="45"/>
    </row>
    <row r="60" spans="1:32" hidden="1">
      <c r="A60" s="173" t="s">
        <v>171</v>
      </c>
      <c r="B60" s="173">
        <v>1607</v>
      </c>
      <c r="C60" s="67" t="s">
        <v>121</v>
      </c>
      <c r="D60" s="67" t="s">
        <v>127</v>
      </c>
      <c r="E60" s="67"/>
      <c r="F60" s="66"/>
      <c r="G60" s="66"/>
      <c r="H60" s="67">
        <v>38.869999999999997</v>
      </c>
      <c r="I60" s="68">
        <v>41.17</v>
      </c>
      <c r="J60" s="69">
        <v>3050</v>
      </c>
      <c r="K60" s="70">
        <v>0</v>
      </c>
      <c r="L60" s="71">
        <v>0</v>
      </c>
      <c r="M60" s="71">
        <v>0</v>
      </c>
      <c r="N60" s="72">
        <f t="shared" si="20"/>
        <v>2592.5</v>
      </c>
      <c r="O60" s="73">
        <f t="shared" si="21"/>
        <v>3050</v>
      </c>
      <c r="P60" s="121">
        <f t="shared" si="22"/>
        <v>66.696681245176237</v>
      </c>
      <c r="Q60" s="74">
        <f t="shared" si="23"/>
        <v>0.15</v>
      </c>
      <c r="R60" s="75">
        <f t="shared" si="24"/>
        <v>457.5</v>
      </c>
      <c r="S60" s="74">
        <v>0.8</v>
      </c>
      <c r="T60" s="75">
        <f t="shared" si="25"/>
        <v>2440</v>
      </c>
      <c r="U60" s="76">
        <f t="shared" si="26"/>
        <v>4.9999999999999961E-2</v>
      </c>
      <c r="V60" s="69">
        <f t="shared" si="27"/>
        <v>152.49999999999989</v>
      </c>
      <c r="W60" s="77">
        <f ca="1">V60*VLOOKUP(TODAY(),'UF HOY'!$A$2:$B$36,2,0)</f>
        <v>6059425.8499999959</v>
      </c>
      <c r="X60" s="78">
        <f>Datos!$E$9</f>
        <v>4</v>
      </c>
      <c r="Y60" s="79">
        <f ca="1">IF((W60-1000000-Datos!$N$9)/X60&gt;0,(W60-1000000-Datos!$N$9)/X60,0)</f>
        <v>1239856.462499999</v>
      </c>
      <c r="Z60" s="78">
        <f>Datos!$G$9</f>
        <v>4</v>
      </c>
      <c r="AA60" s="79">
        <f ca="1">IF((W60-1000000-Datos!$N$9)/Z60&gt;0,(W60-1000000-Datos!$N$9)/Z60,0)</f>
        <v>1239856.462499999</v>
      </c>
      <c r="AB60" s="79">
        <f>IF(L60&gt;0,VLOOKUP(D60,Datos!$H$25:$J$28,3,0),VLOOKUP(D60,Datos!$H$25:$J$28,2,0))</f>
        <v>340000</v>
      </c>
      <c r="AC60" s="79">
        <f ca="1">(S60*PMT(Datos!$D$15,Datos!$D$13,-O60,,)*VLOOKUP(TODAY(),'UF HOY'!$A$2:$B$36,2,0)/12)</f>
        <v>467222.93013142684</v>
      </c>
      <c r="AD60" s="79">
        <f t="shared" ca="1" si="28"/>
        <v>-127222.93013142684</v>
      </c>
      <c r="AE60" s="45"/>
      <c r="AF60" s="45"/>
    </row>
    <row r="61" spans="1:32" ht="14.25" hidden="1" customHeight="1">
      <c r="A61" s="173" t="s">
        <v>171</v>
      </c>
      <c r="B61" s="173">
        <v>1608</v>
      </c>
      <c r="C61" s="67" t="s">
        <v>122</v>
      </c>
      <c r="D61" s="67" t="s">
        <v>127</v>
      </c>
      <c r="E61" s="67"/>
      <c r="F61" s="66"/>
      <c r="G61" s="66"/>
      <c r="H61" s="67">
        <v>38.715000000000003</v>
      </c>
      <c r="I61" s="68">
        <v>40.86</v>
      </c>
      <c r="J61" s="69">
        <v>3050</v>
      </c>
      <c r="K61" s="70">
        <v>0</v>
      </c>
      <c r="L61" s="71">
        <v>0</v>
      </c>
      <c r="M61" s="71">
        <v>0</v>
      </c>
      <c r="N61" s="72">
        <f t="shared" si="20"/>
        <v>2592.5</v>
      </c>
      <c r="O61" s="73">
        <f t="shared" si="21"/>
        <v>3050</v>
      </c>
      <c r="P61" s="121">
        <f t="shared" si="22"/>
        <v>66.963709156657615</v>
      </c>
      <c r="Q61" s="74">
        <f t="shared" si="23"/>
        <v>0.15</v>
      </c>
      <c r="R61" s="75">
        <f t="shared" si="24"/>
        <v>457.5</v>
      </c>
      <c r="S61" s="74">
        <v>0.8</v>
      </c>
      <c r="T61" s="75">
        <f t="shared" si="25"/>
        <v>2440</v>
      </c>
      <c r="U61" s="76">
        <f t="shared" si="26"/>
        <v>4.9999999999999961E-2</v>
      </c>
      <c r="V61" s="69">
        <f t="shared" si="27"/>
        <v>152.49999999999989</v>
      </c>
      <c r="W61" s="77">
        <f ca="1">V61*VLOOKUP(TODAY(),'UF HOY'!$A$2:$B$36,2,0)</f>
        <v>6059425.8499999959</v>
      </c>
      <c r="X61" s="78">
        <f>Datos!$E$9</f>
        <v>4</v>
      </c>
      <c r="Y61" s="79">
        <f ca="1">IF((W61-1000000-Datos!$N$9)/X61&gt;0,(W61-1000000-Datos!$N$9)/X61,0)</f>
        <v>1239856.462499999</v>
      </c>
      <c r="Z61" s="78">
        <f>Datos!$G$9</f>
        <v>4</v>
      </c>
      <c r="AA61" s="79">
        <f ca="1">IF((W61-1000000-Datos!$N$9)/Z61&gt;0,(W61-1000000-Datos!$N$9)/Z61,0)</f>
        <v>1239856.462499999</v>
      </c>
      <c r="AB61" s="79">
        <f>IF(L61&gt;0,VLOOKUP(D61,Datos!$H$25:$J$28,3,0),VLOOKUP(D61,Datos!$H$25:$J$28,2,0))</f>
        <v>340000</v>
      </c>
      <c r="AC61" s="79">
        <f ca="1">(S61*PMT(Datos!$D$15,Datos!$D$13,-O61,,)*VLOOKUP(TODAY(),'UF HOY'!$A$2:$B$36,2,0)/12)</f>
        <v>467222.93013142684</v>
      </c>
      <c r="AD61" s="79">
        <f t="shared" ca="1" si="28"/>
        <v>-127222.93013142684</v>
      </c>
      <c r="AE61" s="45"/>
      <c r="AF61" s="45"/>
    </row>
    <row r="62" spans="1:32" hidden="1">
      <c r="A62" s="173" t="s">
        <v>171</v>
      </c>
      <c r="B62" s="173">
        <v>1609</v>
      </c>
      <c r="C62" s="67" t="s">
        <v>131</v>
      </c>
      <c r="D62" s="67" t="s">
        <v>127</v>
      </c>
      <c r="E62" s="67"/>
      <c r="F62" s="66"/>
      <c r="G62" s="66"/>
      <c r="H62" s="67">
        <v>36.655000000000001</v>
      </c>
      <c r="I62" s="68">
        <v>41.06</v>
      </c>
      <c r="J62" s="69">
        <v>2950</v>
      </c>
      <c r="K62" s="70">
        <v>0</v>
      </c>
      <c r="L62" s="71">
        <v>0</v>
      </c>
      <c r="M62" s="71">
        <v>100</v>
      </c>
      <c r="N62" s="72">
        <f t="shared" si="20"/>
        <v>2592.5</v>
      </c>
      <c r="O62" s="73">
        <f t="shared" si="21"/>
        <v>3050</v>
      </c>
      <c r="P62" s="121">
        <f t="shared" si="22"/>
        <v>67.998908743691175</v>
      </c>
      <c r="Q62" s="74">
        <f t="shared" si="23"/>
        <v>0.15</v>
      </c>
      <c r="R62" s="75">
        <f t="shared" si="24"/>
        <v>457.5</v>
      </c>
      <c r="S62" s="74">
        <v>0.8</v>
      </c>
      <c r="T62" s="75">
        <f t="shared" si="25"/>
        <v>2440</v>
      </c>
      <c r="U62" s="76">
        <f t="shared" si="26"/>
        <v>4.9999999999999961E-2</v>
      </c>
      <c r="V62" s="69">
        <f t="shared" si="27"/>
        <v>152.49999999999989</v>
      </c>
      <c r="W62" s="77">
        <f ca="1">V62*VLOOKUP(TODAY(),'UF HOY'!$A$2:$B$36,2,0)</f>
        <v>6059425.8499999959</v>
      </c>
      <c r="X62" s="78">
        <f>Datos!$E$9</f>
        <v>4</v>
      </c>
      <c r="Y62" s="79">
        <f ca="1">IF((W62-1000000-Datos!$N$9)/X62&gt;0,(W62-1000000-Datos!$N$9)/X62,0)</f>
        <v>1239856.462499999</v>
      </c>
      <c r="Z62" s="78">
        <f>Datos!$G$9</f>
        <v>4</v>
      </c>
      <c r="AA62" s="79">
        <f ca="1">IF((W62-1000000-Datos!$N$9)/Z62&gt;0,(W62-1000000-Datos!$N$9)/Z62,0)</f>
        <v>1239856.462499999</v>
      </c>
      <c r="AB62" s="79">
        <f>IF(L62&gt;0,VLOOKUP(D62,Datos!$H$25:$J$28,3,0),VLOOKUP(D62,Datos!$H$25:$J$28,2,0))</f>
        <v>340000</v>
      </c>
      <c r="AC62" s="79">
        <f ca="1">(S62*PMT(Datos!$D$15,Datos!$D$13,-O62,,)*VLOOKUP(TODAY(),'UF HOY'!$A$2:$B$36,2,0)/12)</f>
        <v>467222.93013142684</v>
      </c>
      <c r="AD62" s="79">
        <f t="shared" ca="1" si="28"/>
        <v>-127222.93013142684</v>
      </c>
      <c r="AE62" s="45"/>
      <c r="AF62" s="45"/>
    </row>
    <row r="63" spans="1:32" hidden="1">
      <c r="A63" s="173" t="s">
        <v>171</v>
      </c>
      <c r="B63" s="173">
        <v>1708</v>
      </c>
      <c r="C63" s="67" t="s">
        <v>122</v>
      </c>
      <c r="D63" s="67" t="s">
        <v>127</v>
      </c>
      <c r="E63" s="67"/>
      <c r="F63" s="66"/>
      <c r="G63" s="66"/>
      <c r="H63" s="67">
        <v>38.715000000000003</v>
      </c>
      <c r="I63" s="68">
        <v>40.86</v>
      </c>
      <c r="J63" s="69">
        <v>3050</v>
      </c>
      <c r="K63" s="70">
        <v>0</v>
      </c>
      <c r="L63" s="71">
        <v>0</v>
      </c>
      <c r="M63" s="71">
        <v>0</v>
      </c>
      <c r="N63" s="72">
        <f t="shared" si="20"/>
        <v>2592.5</v>
      </c>
      <c r="O63" s="73">
        <f t="shared" si="21"/>
        <v>3050</v>
      </c>
      <c r="P63" s="121">
        <f t="shared" si="22"/>
        <v>66.963709156657615</v>
      </c>
      <c r="Q63" s="74">
        <f t="shared" si="23"/>
        <v>0.15</v>
      </c>
      <c r="R63" s="75">
        <f t="shared" si="24"/>
        <v>457.5</v>
      </c>
      <c r="S63" s="74">
        <v>0.8</v>
      </c>
      <c r="T63" s="75">
        <f t="shared" si="25"/>
        <v>2440</v>
      </c>
      <c r="U63" s="76">
        <f t="shared" si="26"/>
        <v>4.9999999999999961E-2</v>
      </c>
      <c r="V63" s="69">
        <f t="shared" si="27"/>
        <v>152.49999999999989</v>
      </c>
      <c r="W63" s="77">
        <f ca="1">V63*VLOOKUP(TODAY(),'UF HOY'!$A$2:$B$36,2,0)</f>
        <v>6059425.8499999959</v>
      </c>
      <c r="X63" s="78">
        <f>Datos!$E$9</f>
        <v>4</v>
      </c>
      <c r="Y63" s="79">
        <f ca="1">IF((W63-1000000-Datos!$N$9)/X63&gt;0,(W63-1000000-Datos!$N$9)/X63,0)</f>
        <v>1239856.462499999</v>
      </c>
      <c r="Z63" s="78">
        <f>Datos!$G$9</f>
        <v>4</v>
      </c>
      <c r="AA63" s="79">
        <f ca="1">IF((W63-1000000-Datos!$N$9)/Z63&gt;0,(W63-1000000-Datos!$N$9)/Z63,0)</f>
        <v>1239856.462499999</v>
      </c>
      <c r="AB63" s="79">
        <f>IF(L63&gt;0,VLOOKUP(D63,Datos!$H$25:$J$28,3,0),VLOOKUP(D63,Datos!$H$25:$J$28,2,0))</f>
        <v>340000</v>
      </c>
      <c r="AC63" s="79">
        <f ca="1">(S63*PMT(Datos!$D$15,Datos!$D$13,-O63,,)*VLOOKUP(TODAY(),'UF HOY'!$A$2:$B$36,2,0)/12)</f>
        <v>467222.93013142684</v>
      </c>
      <c r="AD63" s="79">
        <f t="shared" ca="1" si="28"/>
        <v>-127222.93013142684</v>
      </c>
      <c r="AE63" s="45"/>
      <c r="AF63" s="45"/>
    </row>
    <row r="64" spans="1:32" hidden="1">
      <c r="A64" s="173" t="s">
        <v>171</v>
      </c>
      <c r="B64" s="173">
        <v>1709</v>
      </c>
      <c r="C64" s="67" t="s">
        <v>131</v>
      </c>
      <c r="D64" s="67" t="s">
        <v>127</v>
      </c>
      <c r="E64" s="67"/>
      <c r="F64" s="66"/>
      <c r="G64" s="66"/>
      <c r="H64" s="67">
        <v>36.655000000000001</v>
      </c>
      <c r="I64" s="68">
        <v>41.06</v>
      </c>
      <c r="J64" s="69">
        <v>2950</v>
      </c>
      <c r="K64" s="70">
        <v>0</v>
      </c>
      <c r="L64" s="71">
        <v>0</v>
      </c>
      <c r="M64" s="71">
        <v>100</v>
      </c>
      <c r="N64" s="72">
        <f t="shared" si="20"/>
        <v>2592.5</v>
      </c>
      <c r="O64" s="73">
        <f t="shared" si="21"/>
        <v>3050</v>
      </c>
      <c r="P64" s="121">
        <f t="shared" si="22"/>
        <v>67.998908743691175</v>
      </c>
      <c r="Q64" s="74">
        <f t="shared" si="23"/>
        <v>0.15</v>
      </c>
      <c r="R64" s="75">
        <f t="shared" si="24"/>
        <v>457.5</v>
      </c>
      <c r="S64" s="74">
        <v>0.8</v>
      </c>
      <c r="T64" s="75">
        <f t="shared" si="25"/>
        <v>2440</v>
      </c>
      <c r="U64" s="76">
        <f t="shared" si="26"/>
        <v>4.9999999999999961E-2</v>
      </c>
      <c r="V64" s="69">
        <f t="shared" si="27"/>
        <v>152.49999999999989</v>
      </c>
      <c r="W64" s="77">
        <f ca="1">V64*VLOOKUP(TODAY(),'UF HOY'!$A$2:$B$36,2,0)</f>
        <v>6059425.8499999959</v>
      </c>
      <c r="X64" s="78">
        <f>Datos!$E$9</f>
        <v>4</v>
      </c>
      <c r="Y64" s="79">
        <f ca="1">IF((W64-1000000-Datos!$N$9)/X64&gt;0,(W64-1000000-Datos!$N$9)/X64,0)</f>
        <v>1239856.462499999</v>
      </c>
      <c r="Z64" s="78">
        <f>Datos!$G$9</f>
        <v>4</v>
      </c>
      <c r="AA64" s="79">
        <f ca="1">IF((W64-1000000-Datos!$N$9)/Z64&gt;0,(W64-1000000-Datos!$N$9)/Z64,0)</f>
        <v>1239856.462499999</v>
      </c>
      <c r="AB64" s="79">
        <f>IF(L64&gt;0,VLOOKUP(D64,Datos!$H$25:$J$28,3,0),VLOOKUP(D64,Datos!$H$25:$J$28,2,0))</f>
        <v>340000</v>
      </c>
      <c r="AC64" s="79">
        <f ca="1">(S64*PMT(Datos!$D$15,Datos!$D$13,-O64,,)*VLOOKUP(TODAY(),'UF HOY'!$A$2:$B$36,2,0)/12)</f>
        <v>467222.93013142684</v>
      </c>
      <c r="AD64" s="79">
        <f t="shared" ca="1" si="28"/>
        <v>-127222.93013142684</v>
      </c>
      <c r="AE64" s="45"/>
      <c r="AF64" s="45"/>
    </row>
    <row r="65" spans="1:32" hidden="1">
      <c r="A65" s="173" t="s">
        <v>171</v>
      </c>
      <c r="B65" s="173">
        <v>410</v>
      </c>
      <c r="C65" s="67" t="s">
        <v>131</v>
      </c>
      <c r="D65" s="67" t="s">
        <v>127</v>
      </c>
      <c r="E65" s="67"/>
      <c r="F65" s="66">
        <v>31.37</v>
      </c>
      <c r="G65" s="66">
        <v>4.2</v>
      </c>
      <c r="H65" s="67">
        <f>F65+G65/2</f>
        <v>33.47</v>
      </c>
      <c r="I65" s="68">
        <f>F65+G65</f>
        <v>35.57</v>
      </c>
      <c r="J65" s="69">
        <v>2850</v>
      </c>
      <c r="K65" s="70">
        <v>0</v>
      </c>
      <c r="L65" s="71">
        <v>390</v>
      </c>
      <c r="M65" s="71">
        <v>0</v>
      </c>
      <c r="N65" s="72">
        <f t="shared" si="20"/>
        <v>2754</v>
      </c>
      <c r="O65" s="73">
        <f t="shared" si="21"/>
        <v>3240</v>
      </c>
      <c r="P65" s="121">
        <f t="shared" si="22"/>
        <v>70.630415297281147</v>
      </c>
      <c r="Q65" s="74">
        <f t="shared" si="23"/>
        <v>0.15</v>
      </c>
      <c r="R65" s="75">
        <f t="shared" si="24"/>
        <v>486</v>
      </c>
      <c r="S65" s="74">
        <v>0.8</v>
      </c>
      <c r="T65" s="75">
        <f t="shared" si="25"/>
        <v>2592</v>
      </c>
      <c r="U65" s="76">
        <f t="shared" si="26"/>
        <v>4.9999999999999961E-2</v>
      </c>
      <c r="V65" s="69">
        <f t="shared" si="27"/>
        <v>161.99999999999989</v>
      </c>
      <c r="W65" s="77">
        <f ca="1">V65*VLOOKUP(TODAY(),'UF HOY'!$A$2:$B$36,2,0)</f>
        <v>6436898.2799999956</v>
      </c>
      <c r="X65" s="78">
        <f>Datos!$E$9</f>
        <v>4</v>
      </c>
      <c r="Y65" s="79">
        <f ca="1">IF((W65-1000000-Datos!$N$9)/X65&gt;0,(W65-1000000-Datos!$N$9)/X65,0)</f>
        <v>1334224.5699999989</v>
      </c>
      <c r="Z65" s="78">
        <f>Datos!$G$9</f>
        <v>4</v>
      </c>
      <c r="AA65" s="79">
        <f ca="1">IF((W65-1000000-Datos!$N$9)/Z65&gt;0,(W65-1000000-Datos!$N$9)/Z65,0)</f>
        <v>1334224.5699999989</v>
      </c>
      <c r="AB65" s="79">
        <f>IF(L65&gt;0,VLOOKUP(D65,Datos!$H$25:$J$28,3,0),VLOOKUP(D65,Datos!$H$25:$J$28,2,0))</f>
        <v>380000</v>
      </c>
      <c r="AC65" s="79">
        <f ca="1">(S65*PMT(Datos!$D$15,Datos!$D$13,-O65,,)*VLOOKUP(TODAY(),'UF HOY'!$A$2:$B$36,2,0)/12)</f>
        <v>496328.62086092564</v>
      </c>
      <c r="AD65" s="79">
        <f t="shared" ca="1" si="28"/>
        <v>-116328.62086092564</v>
      </c>
      <c r="AE65" s="45"/>
      <c r="AF65" s="45"/>
    </row>
    <row r="66" spans="1:32" hidden="1">
      <c r="A66" s="173" t="s">
        <v>171</v>
      </c>
      <c r="B66" s="173">
        <v>1109</v>
      </c>
      <c r="C66" s="67" t="s">
        <v>131</v>
      </c>
      <c r="D66" s="67" t="s">
        <v>127</v>
      </c>
      <c r="E66" s="67"/>
      <c r="F66" s="66"/>
      <c r="G66" s="66"/>
      <c r="H66" s="67">
        <v>36.655000000000001</v>
      </c>
      <c r="I66" s="68">
        <v>41.06</v>
      </c>
      <c r="J66" s="69">
        <v>2950</v>
      </c>
      <c r="K66" s="70">
        <v>0</v>
      </c>
      <c r="L66" s="71">
        <v>390</v>
      </c>
      <c r="M66" s="71">
        <v>0</v>
      </c>
      <c r="N66" s="72">
        <f t="shared" si="20"/>
        <v>2839</v>
      </c>
      <c r="O66" s="73">
        <f t="shared" si="21"/>
        <v>3340</v>
      </c>
      <c r="P66" s="121">
        <f t="shared" si="22"/>
        <v>66.812167507843398</v>
      </c>
      <c r="Q66" s="74">
        <f t="shared" si="23"/>
        <v>0.15</v>
      </c>
      <c r="R66" s="75">
        <f t="shared" si="24"/>
        <v>501</v>
      </c>
      <c r="S66" s="74">
        <v>0.8</v>
      </c>
      <c r="T66" s="75">
        <f t="shared" si="25"/>
        <v>2672</v>
      </c>
      <c r="U66" s="76">
        <f t="shared" si="26"/>
        <v>4.9999999999999961E-2</v>
      </c>
      <c r="V66" s="69">
        <f t="shared" si="27"/>
        <v>166.99999999999986</v>
      </c>
      <c r="W66" s="77">
        <f ca="1">V66*VLOOKUP(TODAY(),'UF HOY'!$A$2:$B$36,2,0)</f>
        <v>6635567.9799999949</v>
      </c>
      <c r="X66" s="78">
        <f>Datos!$E$9</f>
        <v>4</v>
      </c>
      <c r="Y66" s="79">
        <f ca="1">IF((W66-1000000-Datos!$N$9)/X66&gt;0,(W66-1000000-Datos!$N$9)/X66,0)</f>
        <v>1383891.9949999987</v>
      </c>
      <c r="Z66" s="78">
        <f>Datos!$G$9</f>
        <v>4</v>
      </c>
      <c r="AA66" s="79">
        <f ca="1">IF((W66-1000000-Datos!$N$9)/Z66&gt;0,(W66-1000000-Datos!$N$9)/Z66,0)</f>
        <v>1383891.9949999987</v>
      </c>
      <c r="AB66" s="79">
        <f>IF(L66&gt;0,VLOOKUP(D66,Datos!$H$25:$J$28,3,0),VLOOKUP(D66,Datos!$H$25:$J$28,2,0))</f>
        <v>380000</v>
      </c>
      <c r="AC66" s="79">
        <f ca="1">(S66*PMT(Datos!$D$15,Datos!$D$13,-O66,,)*VLOOKUP(TODAY(),'UF HOY'!$A$2:$B$36,2,0)/12)</f>
        <v>511647.40545539861</v>
      </c>
      <c r="AD66" s="79">
        <f t="shared" ca="1" si="28"/>
        <v>-131647.40545539861</v>
      </c>
      <c r="AE66" s="45"/>
      <c r="AF66" s="45"/>
    </row>
    <row r="67" spans="1:32" hidden="1">
      <c r="A67" s="173" t="s">
        <v>171</v>
      </c>
      <c r="B67" s="173">
        <v>1604</v>
      </c>
      <c r="C67" s="67" t="s">
        <v>103</v>
      </c>
      <c r="D67" s="67" t="s">
        <v>125</v>
      </c>
      <c r="E67" s="67"/>
      <c r="F67" s="66"/>
      <c r="G67" s="66"/>
      <c r="H67" s="67">
        <v>46.629999999999995</v>
      </c>
      <c r="I67" s="68">
        <v>49.209999999999994</v>
      </c>
      <c r="J67" s="69">
        <v>3390</v>
      </c>
      <c r="K67" s="70">
        <v>0</v>
      </c>
      <c r="L67" s="71">
        <v>0</v>
      </c>
      <c r="M67" s="71">
        <v>0</v>
      </c>
      <c r="N67" s="72">
        <f t="shared" ref="N67:N98" si="29">O67-R67</f>
        <v>2881.5</v>
      </c>
      <c r="O67" s="73">
        <f t="shared" ref="O67:O98" si="30">J67*(100%-K67)+L67+M67</f>
        <v>3390</v>
      </c>
      <c r="P67" s="121">
        <f t="shared" ref="P67:P98" si="31">(N67-L67-M67)/H67</f>
        <v>61.794981771391811</v>
      </c>
      <c r="Q67" s="74">
        <f t="shared" ref="Q67:Q98" si="32">R67/O67</f>
        <v>0.15</v>
      </c>
      <c r="R67" s="75">
        <f t="shared" ref="R67:R98" si="33">O67*0.15</f>
        <v>508.5</v>
      </c>
      <c r="S67" s="74">
        <v>0.8</v>
      </c>
      <c r="T67" s="75">
        <f t="shared" ref="T67:T98" si="34">S67*O67</f>
        <v>2712</v>
      </c>
      <c r="U67" s="76">
        <f t="shared" ref="U67:U98" si="35">100%-S67-Q67</f>
        <v>4.9999999999999961E-2</v>
      </c>
      <c r="V67" s="69">
        <f t="shared" ref="V67:V98" si="36">O67*U67</f>
        <v>169.49999999999986</v>
      </c>
      <c r="W67" s="77">
        <f ca="1">V67*VLOOKUP(TODAY(),'UF HOY'!$A$2:$B$36,2,0)</f>
        <v>6734902.8299999945</v>
      </c>
      <c r="X67" s="78">
        <f>Datos!$E$9</f>
        <v>4</v>
      </c>
      <c r="Y67" s="79">
        <f ca="1">IF((W67-1000000-Datos!$N$9)/X67&gt;0,(W67-1000000-Datos!$N$9)/X67,0)</f>
        <v>1408725.7074999986</v>
      </c>
      <c r="Z67" s="78">
        <f>Datos!$G$9</f>
        <v>4</v>
      </c>
      <c r="AA67" s="79">
        <f ca="1">IF((W67-1000000-Datos!$N$9)/Z67&gt;0,(W67-1000000-Datos!$N$9)/Z67,0)</f>
        <v>1408725.7074999986</v>
      </c>
      <c r="AB67" s="79">
        <f>IF(L67&gt;0,VLOOKUP(D67,Datos!$H$25:$J$28,3,0),VLOOKUP(D67,Datos!$H$25:$J$28,2,0))</f>
        <v>440000</v>
      </c>
      <c r="AC67" s="79">
        <f ca="1">(S67*PMT(Datos!$D$15,Datos!$D$13,-O67,,)*VLOOKUP(TODAY(),'UF HOY'!$A$2:$B$36,2,0)/12)</f>
        <v>519306.79775263509</v>
      </c>
      <c r="AD67" s="79">
        <f t="shared" ref="AD67:AD98" ca="1" si="37">AB67-AC67</f>
        <v>-79306.797752635088</v>
      </c>
      <c r="AE67" s="45"/>
      <c r="AF67" s="45"/>
    </row>
    <row r="68" spans="1:32" hidden="1">
      <c r="A68" s="173" t="s">
        <v>171</v>
      </c>
      <c r="B68" s="173">
        <v>304</v>
      </c>
      <c r="C68" s="67" t="s">
        <v>103</v>
      </c>
      <c r="D68" s="67" t="s">
        <v>126</v>
      </c>
      <c r="E68" s="67"/>
      <c r="F68" s="66"/>
      <c r="G68" s="66"/>
      <c r="H68" s="67">
        <v>46.629999999999995</v>
      </c>
      <c r="I68" s="68">
        <v>49.209999999999994</v>
      </c>
      <c r="J68" s="69">
        <v>3390</v>
      </c>
      <c r="K68" s="70">
        <v>0</v>
      </c>
      <c r="L68" s="71">
        <v>0</v>
      </c>
      <c r="M68" s="71">
        <v>0</v>
      </c>
      <c r="N68" s="72">
        <f t="shared" si="29"/>
        <v>2881.5</v>
      </c>
      <c r="O68" s="73">
        <f t="shared" si="30"/>
        <v>3390</v>
      </c>
      <c r="P68" s="121">
        <f t="shared" si="31"/>
        <v>61.794981771391811</v>
      </c>
      <c r="Q68" s="74">
        <f t="shared" si="32"/>
        <v>0.15</v>
      </c>
      <c r="R68" s="75">
        <f t="shared" si="33"/>
        <v>508.5</v>
      </c>
      <c r="S68" s="74">
        <v>0.8</v>
      </c>
      <c r="T68" s="75">
        <f t="shared" si="34"/>
        <v>2712</v>
      </c>
      <c r="U68" s="76">
        <f t="shared" si="35"/>
        <v>4.9999999999999961E-2</v>
      </c>
      <c r="V68" s="69">
        <f t="shared" si="36"/>
        <v>169.49999999999986</v>
      </c>
      <c r="W68" s="77">
        <f ca="1">V68*VLOOKUP(TODAY(),'UF HOY'!$A$2:$B$36,2,0)</f>
        <v>6734902.8299999945</v>
      </c>
      <c r="X68" s="78">
        <f>Datos!$E$9</f>
        <v>4</v>
      </c>
      <c r="Y68" s="79">
        <f ca="1">IF((W68-1000000-Datos!$N$9)/X68&gt;0,(W68-1000000-Datos!$N$9)/X68,0)</f>
        <v>1408725.7074999986</v>
      </c>
      <c r="Z68" s="78">
        <f>Datos!$G$9</f>
        <v>4</v>
      </c>
      <c r="AA68" s="79">
        <f ca="1">IF((W68-1000000-Datos!$N$9)/Z68&gt;0,(W68-1000000-Datos!$N$9)/Z68,0)</f>
        <v>1408725.7074999986</v>
      </c>
      <c r="AB68" s="79">
        <f>IF(L68&gt;0,VLOOKUP(D68,Datos!$H$25:$J$28,3,0),VLOOKUP(D68,Datos!$H$25:$J$28,2,0))</f>
        <v>390000</v>
      </c>
      <c r="AC68" s="79">
        <f ca="1">(S68*PMT(Datos!$D$15,Datos!$D$13,-O68,,)*VLOOKUP(TODAY(),'UF HOY'!$A$2:$B$36,2,0)/12)</f>
        <v>519306.79775263509</v>
      </c>
      <c r="AD68" s="79">
        <f t="shared" ca="1" si="37"/>
        <v>-129306.79775263509</v>
      </c>
      <c r="AE68" s="45"/>
      <c r="AF68" s="45"/>
    </row>
    <row r="69" spans="1:32" hidden="1">
      <c r="A69" s="173" t="s">
        <v>171</v>
      </c>
      <c r="B69" s="173">
        <v>404</v>
      </c>
      <c r="C69" s="67" t="s">
        <v>103</v>
      </c>
      <c r="D69" s="67" t="s">
        <v>126</v>
      </c>
      <c r="E69" s="67"/>
      <c r="F69" s="66"/>
      <c r="G69" s="66"/>
      <c r="H69" s="67">
        <v>46.629999999999995</v>
      </c>
      <c r="I69" s="68">
        <v>49.209999999999994</v>
      </c>
      <c r="J69" s="69">
        <v>3390</v>
      </c>
      <c r="K69" s="70">
        <v>0</v>
      </c>
      <c r="L69" s="71">
        <v>0</v>
      </c>
      <c r="M69" s="71">
        <v>0</v>
      </c>
      <c r="N69" s="72">
        <f t="shared" si="29"/>
        <v>2881.5</v>
      </c>
      <c r="O69" s="73">
        <f t="shared" si="30"/>
        <v>3390</v>
      </c>
      <c r="P69" s="121">
        <f t="shared" si="31"/>
        <v>61.794981771391811</v>
      </c>
      <c r="Q69" s="74">
        <f t="shared" si="32"/>
        <v>0.15</v>
      </c>
      <c r="R69" s="75">
        <f t="shared" si="33"/>
        <v>508.5</v>
      </c>
      <c r="S69" s="74">
        <v>0.8</v>
      </c>
      <c r="T69" s="75">
        <f t="shared" si="34"/>
        <v>2712</v>
      </c>
      <c r="U69" s="76">
        <f t="shared" si="35"/>
        <v>4.9999999999999961E-2</v>
      </c>
      <c r="V69" s="69">
        <f t="shared" si="36"/>
        <v>169.49999999999986</v>
      </c>
      <c r="W69" s="77">
        <f ca="1">V69*VLOOKUP(TODAY(),'UF HOY'!$A$2:$B$36,2,0)</f>
        <v>6734902.8299999945</v>
      </c>
      <c r="X69" s="78">
        <f>Datos!$E$9</f>
        <v>4</v>
      </c>
      <c r="Y69" s="79">
        <f ca="1">IF((W69-1000000-Datos!$N$9)/X69&gt;0,(W69-1000000-Datos!$N$9)/X69,0)</f>
        <v>1408725.7074999986</v>
      </c>
      <c r="Z69" s="78">
        <f>Datos!$G$9</f>
        <v>4</v>
      </c>
      <c r="AA69" s="79">
        <f ca="1">IF((W69-1000000-Datos!$N$9)/Z69&gt;0,(W69-1000000-Datos!$N$9)/Z69,0)</f>
        <v>1408725.7074999986</v>
      </c>
      <c r="AB69" s="79">
        <f>IF(L69&gt;0,VLOOKUP(D69,Datos!$H$25:$J$28,3,0),VLOOKUP(D69,Datos!$H$25:$J$28,2,0))</f>
        <v>390000</v>
      </c>
      <c r="AC69" s="79">
        <f ca="1">(S69*PMT(Datos!$D$15,Datos!$D$13,-O69,,)*VLOOKUP(TODAY(),'UF HOY'!$A$2:$B$36,2,0)/12)</f>
        <v>519306.79775263509</v>
      </c>
      <c r="AD69" s="79">
        <f t="shared" ca="1" si="37"/>
        <v>-129306.79775263509</v>
      </c>
      <c r="AE69" s="45"/>
      <c r="AF69" s="45"/>
    </row>
    <row r="70" spans="1:32" hidden="1">
      <c r="A70" s="173" t="s">
        <v>171</v>
      </c>
      <c r="B70" s="173">
        <v>604</v>
      </c>
      <c r="C70" s="67" t="s">
        <v>103</v>
      </c>
      <c r="D70" s="67" t="s">
        <v>125</v>
      </c>
      <c r="E70" s="67"/>
      <c r="F70" s="66"/>
      <c r="G70" s="66"/>
      <c r="H70" s="67">
        <v>46.629999999999995</v>
      </c>
      <c r="I70" s="68">
        <v>49.209999999999994</v>
      </c>
      <c r="J70" s="69">
        <v>3390</v>
      </c>
      <c r="K70" s="70">
        <v>0</v>
      </c>
      <c r="L70" s="71">
        <v>0</v>
      </c>
      <c r="M70" s="71">
        <v>0</v>
      </c>
      <c r="N70" s="72">
        <f t="shared" si="29"/>
        <v>2881.5</v>
      </c>
      <c r="O70" s="73">
        <f t="shared" si="30"/>
        <v>3390</v>
      </c>
      <c r="P70" s="121">
        <f t="shared" si="31"/>
        <v>61.794981771391811</v>
      </c>
      <c r="Q70" s="74">
        <f t="shared" si="32"/>
        <v>0.15</v>
      </c>
      <c r="R70" s="75">
        <f t="shared" si="33"/>
        <v>508.5</v>
      </c>
      <c r="S70" s="74">
        <v>0.8</v>
      </c>
      <c r="T70" s="87">
        <f t="shared" si="34"/>
        <v>2712</v>
      </c>
      <c r="U70" s="88">
        <f t="shared" si="35"/>
        <v>4.9999999999999961E-2</v>
      </c>
      <c r="V70" s="69">
        <f t="shared" si="36"/>
        <v>169.49999999999986</v>
      </c>
      <c r="W70" s="89">
        <f ca="1">V70*VLOOKUP(TODAY(),'UF HOY'!$A$2:$B$36,2,0)</f>
        <v>6734902.8299999945</v>
      </c>
      <c r="X70" s="78">
        <f>Datos!$E$9</f>
        <v>4</v>
      </c>
      <c r="Y70" s="79">
        <f ca="1">IF((W70-1000000-Datos!$N$9)/X70&gt;0,(W70-1000000-Datos!$N$9)/X70,0)</f>
        <v>1408725.7074999986</v>
      </c>
      <c r="Z70" s="78">
        <f>Datos!$G$9</f>
        <v>4</v>
      </c>
      <c r="AA70" s="79">
        <f ca="1">IF((W70-1000000-Datos!$N$9)/Z70&gt;0,(W70-1000000-Datos!$N$9)/Z70,0)</f>
        <v>1408725.7074999986</v>
      </c>
      <c r="AB70" s="79">
        <f>IF(L70&gt;0,VLOOKUP(D70,Datos!$H$25:$J$28,3,0),VLOOKUP(D70,Datos!$H$25:$J$28,2,0))</f>
        <v>440000</v>
      </c>
      <c r="AC70" s="79">
        <f ca="1">(S70*PMT(Datos!$D$15,Datos!$D$13,-O70,,)*VLOOKUP(TODAY(),'UF HOY'!$A$2:$B$36,2,0)/12)</f>
        <v>519306.79775263509</v>
      </c>
      <c r="AD70" s="89">
        <f t="shared" ca="1" si="37"/>
        <v>-79306.797752635088</v>
      </c>
      <c r="AE70" s="45"/>
      <c r="AF70" s="45"/>
    </row>
    <row r="71" spans="1:32" hidden="1">
      <c r="A71" s="173" t="s">
        <v>171</v>
      </c>
      <c r="B71" s="173">
        <v>707</v>
      </c>
      <c r="C71" s="67" t="s">
        <v>121</v>
      </c>
      <c r="D71" s="67" t="s">
        <v>127</v>
      </c>
      <c r="E71" s="67"/>
      <c r="F71" s="66"/>
      <c r="G71" s="66"/>
      <c r="H71" s="67">
        <v>38.869999999999997</v>
      </c>
      <c r="I71" s="68">
        <v>41.17</v>
      </c>
      <c r="J71" s="69">
        <v>3050</v>
      </c>
      <c r="K71" s="70">
        <v>0</v>
      </c>
      <c r="L71" s="71">
        <v>380</v>
      </c>
      <c r="M71" s="71">
        <v>0</v>
      </c>
      <c r="N71" s="72">
        <f t="shared" si="29"/>
        <v>2915.5</v>
      </c>
      <c r="O71" s="73">
        <f t="shared" si="30"/>
        <v>3430</v>
      </c>
      <c r="P71" s="121">
        <f t="shared" si="31"/>
        <v>65.230254695137646</v>
      </c>
      <c r="Q71" s="74">
        <f t="shared" si="32"/>
        <v>0.15</v>
      </c>
      <c r="R71" s="75">
        <f t="shared" si="33"/>
        <v>514.5</v>
      </c>
      <c r="S71" s="74">
        <v>0.8</v>
      </c>
      <c r="T71" s="75">
        <f t="shared" si="34"/>
        <v>2744</v>
      </c>
      <c r="U71" s="76">
        <f t="shared" si="35"/>
        <v>4.9999999999999961E-2</v>
      </c>
      <c r="V71" s="69">
        <f t="shared" si="36"/>
        <v>171.49999999999986</v>
      </c>
      <c r="W71" s="77">
        <f ca="1">V71*VLOOKUP(TODAY(),'UF HOY'!$A$2:$B$36,2,0)</f>
        <v>6814370.7099999944</v>
      </c>
      <c r="X71" s="78">
        <f>Datos!$E$9</f>
        <v>4</v>
      </c>
      <c r="Y71" s="79">
        <f ca="1">IF((W71-1000000-Datos!$N$9)/X71&gt;0,(W71-1000000-Datos!$N$9)/X71,0)</f>
        <v>1428592.6774999986</v>
      </c>
      <c r="Z71" s="78">
        <f>Datos!$G$9</f>
        <v>4</v>
      </c>
      <c r="AA71" s="79">
        <f ca="1">IF((W71-1000000-Datos!$N$9)/Z71&gt;0,(W71-1000000-Datos!$N$9)/Z71,0)</f>
        <v>1428592.6774999986</v>
      </c>
      <c r="AB71" s="79">
        <f>IF(L71&gt;0,VLOOKUP(D71,Datos!$H$25:$J$28,3,0),VLOOKUP(D71,Datos!$H$25:$J$28,2,0))</f>
        <v>380000</v>
      </c>
      <c r="AC71" s="79">
        <f ca="1">(S71*PMT(Datos!$D$15,Datos!$D$13,-O71,,)*VLOOKUP(TODAY(),'UF HOY'!$A$2:$B$36,2,0)/12)</f>
        <v>525434.31159042439</v>
      </c>
      <c r="AD71" s="79">
        <f t="shared" ca="1" si="37"/>
        <v>-145434.31159042439</v>
      </c>
      <c r="AE71" s="45"/>
      <c r="AF71" s="45"/>
    </row>
    <row r="72" spans="1:32" hidden="1">
      <c r="A72" s="173" t="s">
        <v>171</v>
      </c>
      <c r="B72" s="173">
        <v>609</v>
      </c>
      <c r="C72" s="67" t="s">
        <v>131</v>
      </c>
      <c r="D72" s="67" t="s">
        <v>127</v>
      </c>
      <c r="E72" s="67"/>
      <c r="F72" s="66"/>
      <c r="G72" s="66"/>
      <c r="H72" s="67">
        <v>36.655000000000001</v>
      </c>
      <c r="I72" s="68">
        <v>41.06</v>
      </c>
      <c r="J72" s="69">
        <v>2950</v>
      </c>
      <c r="K72" s="70">
        <v>0</v>
      </c>
      <c r="L72" s="71">
        <v>390</v>
      </c>
      <c r="M72" s="71">
        <v>100</v>
      </c>
      <c r="N72" s="72">
        <f t="shared" si="29"/>
        <v>2924</v>
      </c>
      <c r="O72" s="73">
        <f t="shared" si="30"/>
        <v>3440</v>
      </c>
      <c r="P72" s="121">
        <f t="shared" si="31"/>
        <v>66.402946392033826</v>
      </c>
      <c r="Q72" s="74">
        <f t="shared" si="32"/>
        <v>0.15</v>
      </c>
      <c r="R72" s="75">
        <f t="shared" si="33"/>
        <v>516</v>
      </c>
      <c r="S72" s="74">
        <v>0.8</v>
      </c>
      <c r="T72" s="87">
        <f t="shared" si="34"/>
        <v>2752</v>
      </c>
      <c r="U72" s="88">
        <f t="shared" si="35"/>
        <v>4.9999999999999961E-2</v>
      </c>
      <c r="V72" s="69">
        <f t="shared" si="36"/>
        <v>171.99999999999986</v>
      </c>
      <c r="W72" s="89">
        <f ca="1">V72*VLOOKUP(TODAY(),'UF HOY'!$A$2:$B$36,2,0)</f>
        <v>6834237.679999995</v>
      </c>
      <c r="X72" s="78">
        <f>Datos!$E$9</f>
        <v>4</v>
      </c>
      <c r="Y72" s="79">
        <f ca="1">IF((W72-1000000-Datos!$N$9)/X72&gt;0,(W72-1000000-Datos!$N$9)/X72,0)</f>
        <v>1433559.4199999988</v>
      </c>
      <c r="Z72" s="78">
        <f>Datos!$G$9</f>
        <v>4</v>
      </c>
      <c r="AA72" s="79">
        <f ca="1">IF((W72-1000000-Datos!$N$9)/Z72&gt;0,(W72-1000000-Datos!$N$9)/Z72,0)</f>
        <v>1433559.4199999988</v>
      </c>
      <c r="AB72" s="79">
        <f>IF(L72&gt;0,VLOOKUP(D72,Datos!$H$25:$J$28,3,0),VLOOKUP(D72,Datos!$H$25:$J$28,2,0))</f>
        <v>380000</v>
      </c>
      <c r="AC72" s="79">
        <f ca="1">(S72*PMT(Datos!$D$15,Datos!$D$13,-O72,,)*VLOOKUP(TODAY(),'UF HOY'!$A$2:$B$36,2,0)/12)</f>
        <v>526966.19004987169</v>
      </c>
      <c r="AD72" s="89">
        <f t="shared" ca="1" si="37"/>
        <v>-146966.19004987169</v>
      </c>
      <c r="AE72" s="45"/>
      <c r="AF72" s="45"/>
    </row>
    <row r="73" spans="1:32" ht="14.25" hidden="1" customHeight="1">
      <c r="A73" s="173" t="s">
        <v>171</v>
      </c>
      <c r="B73" s="173">
        <v>709</v>
      </c>
      <c r="C73" s="67" t="s">
        <v>131</v>
      </c>
      <c r="D73" s="67" t="s">
        <v>127</v>
      </c>
      <c r="E73" s="67"/>
      <c r="F73" s="66"/>
      <c r="G73" s="66"/>
      <c r="H73" s="67">
        <v>36.655000000000001</v>
      </c>
      <c r="I73" s="68">
        <v>41.06</v>
      </c>
      <c r="J73" s="69">
        <v>2950</v>
      </c>
      <c r="K73" s="70">
        <v>0</v>
      </c>
      <c r="L73" s="71">
        <v>390</v>
      </c>
      <c r="M73" s="71">
        <v>100</v>
      </c>
      <c r="N73" s="72">
        <f t="shared" si="29"/>
        <v>2924</v>
      </c>
      <c r="O73" s="73">
        <f t="shared" si="30"/>
        <v>3440</v>
      </c>
      <c r="P73" s="121">
        <f t="shared" si="31"/>
        <v>66.402946392033826</v>
      </c>
      <c r="Q73" s="74">
        <f t="shared" si="32"/>
        <v>0.15</v>
      </c>
      <c r="R73" s="75">
        <f t="shared" si="33"/>
        <v>516</v>
      </c>
      <c r="S73" s="74">
        <v>0.8</v>
      </c>
      <c r="T73" s="75">
        <f t="shared" si="34"/>
        <v>2752</v>
      </c>
      <c r="U73" s="76">
        <f t="shared" si="35"/>
        <v>4.9999999999999961E-2</v>
      </c>
      <c r="V73" s="69">
        <f t="shared" si="36"/>
        <v>171.99999999999986</v>
      </c>
      <c r="W73" s="77">
        <f ca="1">V73*VLOOKUP(TODAY(),'UF HOY'!$A$2:$B$36,2,0)</f>
        <v>6834237.679999995</v>
      </c>
      <c r="X73" s="78">
        <f>Datos!$E$9</f>
        <v>4</v>
      </c>
      <c r="Y73" s="79">
        <f ca="1">IF((W73-1000000-Datos!$N$9)/X73&gt;0,(W73-1000000-Datos!$N$9)/X73,0)</f>
        <v>1433559.4199999988</v>
      </c>
      <c r="Z73" s="78">
        <f>Datos!$G$9</f>
        <v>4</v>
      </c>
      <c r="AA73" s="79">
        <f ca="1">IF((W73-1000000-Datos!$N$9)/Z73&gt;0,(W73-1000000-Datos!$N$9)/Z73,0)</f>
        <v>1433559.4199999988</v>
      </c>
      <c r="AB73" s="79">
        <f>IF(L73&gt;0,VLOOKUP(D73,Datos!$H$25:$J$28,3,0),VLOOKUP(D73,Datos!$H$25:$J$28,2,0))</f>
        <v>380000</v>
      </c>
      <c r="AC73" s="79">
        <f ca="1">(S73*PMT(Datos!$D$15,Datos!$D$13,-O73,,)*VLOOKUP(TODAY(),'UF HOY'!$A$2:$B$36,2,0)/12)</f>
        <v>526966.19004987169</v>
      </c>
      <c r="AD73" s="79">
        <f t="shared" ca="1" si="37"/>
        <v>-146966.19004987169</v>
      </c>
      <c r="AE73" s="45"/>
      <c r="AF73" s="45"/>
    </row>
    <row r="74" spans="1:32" hidden="1">
      <c r="A74" s="173" t="s">
        <v>171</v>
      </c>
      <c r="B74" s="173">
        <v>1208</v>
      </c>
      <c r="C74" s="67" t="s">
        <v>122</v>
      </c>
      <c r="D74" s="67" t="s">
        <v>127</v>
      </c>
      <c r="E74" s="67"/>
      <c r="F74" s="66"/>
      <c r="G74" s="66"/>
      <c r="H74" s="67">
        <v>38.715000000000003</v>
      </c>
      <c r="I74" s="68">
        <v>40.86</v>
      </c>
      <c r="J74" s="69">
        <v>3050</v>
      </c>
      <c r="K74" s="70">
        <v>0</v>
      </c>
      <c r="L74" s="71">
        <v>390</v>
      </c>
      <c r="M74" s="71">
        <v>0</v>
      </c>
      <c r="N74" s="72">
        <f t="shared" si="29"/>
        <v>2924</v>
      </c>
      <c r="O74" s="73">
        <f t="shared" si="30"/>
        <v>3440</v>
      </c>
      <c r="P74" s="121">
        <f t="shared" si="31"/>
        <v>65.452666924964475</v>
      </c>
      <c r="Q74" s="74">
        <f t="shared" si="32"/>
        <v>0.15</v>
      </c>
      <c r="R74" s="75">
        <f t="shared" si="33"/>
        <v>516</v>
      </c>
      <c r="S74" s="74">
        <v>0.8</v>
      </c>
      <c r="T74" s="87">
        <f t="shared" si="34"/>
        <v>2752</v>
      </c>
      <c r="U74" s="88">
        <f t="shared" si="35"/>
        <v>4.9999999999999961E-2</v>
      </c>
      <c r="V74" s="69">
        <f t="shared" si="36"/>
        <v>171.99999999999986</v>
      </c>
      <c r="W74" s="89">
        <f ca="1">V74*VLOOKUP(TODAY(),'UF HOY'!$A$2:$B$36,2,0)</f>
        <v>6834237.679999995</v>
      </c>
      <c r="X74" s="78">
        <f>Datos!$E$9</f>
        <v>4</v>
      </c>
      <c r="Y74" s="79">
        <f ca="1">IF((W74-1000000-Datos!$N$9)/X74&gt;0,(W74-1000000-Datos!$N$9)/X74,0)</f>
        <v>1433559.4199999988</v>
      </c>
      <c r="Z74" s="78">
        <f>Datos!$G$9</f>
        <v>4</v>
      </c>
      <c r="AA74" s="79">
        <f ca="1">IF((W74-1000000-Datos!$N$9)/Z74&gt;0,(W74-1000000-Datos!$N$9)/Z74,0)</f>
        <v>1433559.4199999988</v>
      </c>
      <c r="AB74" s="79">
        <f>IF(L74&gt;0,VLOOKUP(D74,Datos!$H$25:$J$28,3,0),VLOOKUP(D74,Datos!$H$25:$J$28,2,0))</f>
        <v>380000</v>
      </c>
      <c r="AC74" s="79">
        <f ca="1">(S74*PMT(Datos!$D$15,Datos!$D$13,-O74,,)*VLOOKUP(TODAY(),'UF HOY'!$A$2:$B$36,2,0)/12)</f>
        <v>526966.19004987169</v>
      </c>
      <c r="AD74" s="89">
        <f t="shared" ca="1" si="37"/>
        <v>-146966.19004987169</v>
      </c>
      <c r="AE74" s="45"/>
      <c r="AF74" s="45"/>
    </row>
    <row r="75" spans="1:32" hidden="1">
      <c r="A75" s="173" t="s">
        <v>171</v>
      </c>
      <c r="B75" s="173">
        <v>1308</v>
      </c>
      <c r="C75" s="67" t="s">
        <v>122</v>
      </c>
      <c r="D75" s="67" t="s">
        <v>127</v>
      </c>
      <c r="E75" s="67"/>
      <c r="F75" s="66"/>
      <c r="G75" s="66"/>
      <c r="H75" s="67">
        <v>38.715000000000003</v>
      </c>
      <c r="I75" s="68">
        <v>40.86</v>
      </c>
      <c r="J75" s="69">
        <v>3050</v>
      </c>
      <c r="K75" s="70">
        <v>0</v>
      </c>
      <c r="L75" s="71">
        <v>390</v>
      </c>
      <c r="M75" s="71">
        <v>0</v>
      </c>
      <c r="N75" s="72">
        <f t="shared" si="29"/>
        <v>2924</v>
      </c>
      <c r="O75" s="73">
        <f t="shared" si="30"/>
        <v>3440</v>
      </c>
      <c r="P75" s="121">
        <f t="shared" si="31"/>
        <v>65.452666924964475</v>
      </c>
      <c r="Q75" s="74">
        <f t="shared" si="32"/>
        <v>0.15</v>
      </c>
      <c r="R75" s="75">
        <f t="shared" si="33"/>
        <v>516</v>
      </c>
      <c r="S75" s="74">
        <v>0.8</v>
      </c>
      <c r="T75" s="75">
        <f t="shared" si="34"/>
        <v>2752</v>
      </c>
      <c r="U75" s="76">
        <f t="shared" si="35"/>
        <v>4.9999999999999961E-2</v>
      </c>
      <c r="V75" s="69">
        <f t="shared" si="36"/>
        <v>171.99999999999986</v>
      </c>
      <c r="W75" s="77">
        <f ca="1">V75*VLOOKUP(TODAY(),'UF HOY'!$A$2:$B$36,2,0)</f>
        <v>6834237.679999995</v>
      </c>
      <c r="X75" s="78">
        <f>Datos!$E$9</f>
        <v>4</v>
      </c>
      <c r="Y75" s="79">
        <f ca="1">IF((W75-1000000-Datos!$N$9)/X75&gt;0,(W75-1000000-Datos!$N$9)/X75,0)</f>
        <v>1433559.4199999988</v>
      </c>
      <c r="Z75" s="78">
        <f>Datos!$G$9</f>
        <v>4</v>
      </c>
      <c r="AA75" s="79">
        <f ca="1">IF((W75-1000000-Datos!$N$9)/Z75&gt;0,(W75-1000000-Datos!$N$9)/Z75,0)</f>
        <v>1433559.4199999988</v>
      </c>
      <c r="AB75" s="79">
        <f>IF(L75&gt;0,VLOOKUP(D75,Datos!$H$25:$J$28,3,0),VLOOKUP(D75,Datos!$H$25:$J$28,2,0))</f>
        <v>380000</v>
      </c>
      <c r="AC75" s="79">
        <f ca="1">(S75*PMT(Datos!$D$15,Datos!$D$13,-O75,,)*VLOOKUP(TODAY(),'UF HOY'!$A$2:$B$36,2,0)/12)</f>
        <v>526966.19004987169</v>
      </c>
      <c r="AD75" s="79">
        <f t="shared" ca="1" si="37"/>
        <v>-146966.19004987169</v>
      </c>
      <c r="AE75" s="45"/>
      <c r="AF75" s="45"/>
    </row>
    <row r="76" spans="1:32" hidden="1">
      <c r="A76" s="173" t="s">
        <v>171</v>
      </c>
      <c r="B76" s="173">
        <v>1507</v>
      </c>
      <c r="C76" s="67" t="s">
        <v>121</v>
      </c>
      <c r="D76" s="67" t="s">
        <v>127</v>
      </c>
      <c r="E76" s="67"/>
      <c r="F76" s="66"/>
      <c r="G76" s="66"/>
      <c r="H76" s="67">
        <v>38.869999999999997</v>
      </c>
      <c r="I76" s="68">
        <v>41.17</v>
      </c>
      <c r="J76" s="69">
        <v>3050</v>
      </c>
      <c r="K76" s="70">
        <v>0</v>
      </c>
      <c r="L76" s="71">
        <v>390</v>
      </c>
      <c r="M76" s="71">
        <v>0</v>
      </c>
      <c r="N76" s="72">
        <f t="shared" si="29"/>
        <v>2924</v>
      </c>
      <c r="O76" s="73">
        <f t="shared" si="30"/>
        <v>3440</v>
      </c>
      <c r="P76" s="121">
        <f t="shared" si="31"/>
        <v>65.191664522768207</v>
      </c>
      <c r="Q76" s="74">
        <f t="shared" si="32"/>
        <v>0.15</v>
      </c>
      <c r="R76" s="75">
        <f t="shared" si="33"/>
        <v>516</v>
      </c>
      <c r="S76" s="74">
        <v>0.8</v>
      </c>
      <c r="T76" s="75">
        <f t="shared" si="34"/>
        <v>2752</v>
      </c>
      <c r="U76" s="76">
        <f t="shared" si="35"/>
        <v>4.9999999999999961E-2</v>
      </c>
      <c r="V76" s="69">
        <f t="shared" si="36"/>
        <v>171.99999999999986</v>
      </c>
      <c r="W76" s="77">
        <f ca="1">V76*VLOOKUP(TODAY(),'UF HOY'!$A$2:$B$36,2,0)</f>
        <v>6834237.679999995</v>
      </c>
      <c r="X76" s="78">
        <f>Datos!$E$9</f>
        <v>4</v>
      </c>
      <c r="Y76" s="79">
        <f ca="1">IF((W76-1000000-Datos!$N$9)/X76&gt;0,(W76-1000000-Datos!$N$9)/X76,0)</f>
        <v>1433559.4199999988</v>
      </c>
      <c r="Z76" s="78">
        <f>Datos!$G$9</f>
        <v>4</v>
      </c>
      <c r="AA76" s="79">
        <f ca="1">IF((W76-1000000-Datos!$N$9)/Z76&gt;0,(W76-1000000-Datos!$N$9)/Z76,0)</f>
        <v>1433559.4199999988</v>
      </c>
      <c r="AB76" s="79">
        <f>IF(L76&gt;0,VLOOKUP(D76,Datos!$H$25:$J$28,3,0),VLOOKUP(D76,Datos!$H$25:$J$28,2,0))</f>
        <v>380000</v>
      </c>
      <c r="AC76" s="79">
        <f ca="1">(S76*PMT(Datos!$D$15,Datos!$D$13,-O76,,)*VLOOKUP(TODAY(),'UF HOY'!$A$2:$B$36,2,0)/12)</f>
        <v>526966.19004987169</v>
      </c>
      <c r="AD76" s="79">
        <f t="shared" ca="1" si="37"/>
        <v>-146966.19004987169</v>
      </c>
      <c r="AE76" s="45"/>
      <c r="AF76" s="45"/>
    </row>
    <row r="77" spans="1:32" hidden="1">
      <c r="A77" s="173" t="s">
        <v>171</v>
      </c>
      <c r="B77" s="173">
        <v>501</v>
      </c>
      <c r="C77" s="67" t="s">
        <v>131</v>
      </c>
      <c r="D77" s="67" t="s">
        <v>127</v>
      </c>
      <c r="E77" s="67"/>
      <c r="F77" s="66"/>
      <c r="G77" s="66"/>
      <c r="H77" s="67">
        <v>37.450000000000003</v>
      </c>
      <c r="I77" s="68">
        <v>41.95</v>
      </c>
      <c r="J77" s="69">
        <v>2990</v>
      </c>
      <c r="K77" s="70">
        <v>0</v>
      </c>
      <c r="L77" s="71">
        <v>390</v>
      </c>
      <c r="M77" s="71">
        <v>90</v>
      </c>
      <c r="N77" s="72">
        <f t="shared" si="29"/>
        <v>2949.5</v>
      </c>
      <c r="O77" s="73">
        <f t="shared" si="30"/>
        <v>3470</v>
      </c>
      <c r="P77" s="121">
        <f t="shared" si="31"/>
        <v>65.941255006675561</v>
      </c>
      <c r="Q77" s="74">
        <f t="shared" si="32"/>
        <v>0.15</v>
      </c>
      <c r="R77" s="75">
        <f t="shared" si="33"/>
        <v>520.5</v>
      </c>
      <c r="S77" s="74">
        <v>0.8</v>
      </c>
      <c r="T77" s="75">
        <f t="shared" si="34"/>
        <v>2776</v>
      </c>
      <c r="U77" s="76">
        <f t="shared" si="35"/>
        <v>4.9999999999999961E-2</v>
      </c>
      <c r="V77" s="69">
        <f t="shared" si="36"/>
        <v>173.49999999999986</v>
      </c>
      <c r="W77" s="77">
        <f ca="1">V77*VLOOKUP(TODAY(),'UF HOY'!$A$2:$B$36,2,0)</f>
        <v>6893838.5899999952</v>
      </c>
      <c r="X77" s="78">
        <f>Datos!$E$9</f>
        <v>4</v>
      </c>
      <c r="Y77" s="79">
        <f ca="1">IF((W77-1000000-Datos!$N$9)/X77&gt;0,(W77-1000000-Datos!$N$9)/X77,0)</f>
        <v>1448459.6474999988</v>
      </c>
      <c r="Z77" s="78">
        <f>Datos!$G$9</f>
        <v>4</v>
      </c>
      <c r="AA77" s="79">
        <f ca="1">IF((W77-1000000-Datos!$N$9)/Z77&gt;0,(W77-1000000-Datos!$N$9)/Z77,0)</f>
        <v>1448459.6474999988</v>
      </c>
      <c r="AB77" s="79">
        <f>IF(L77&gt;0,VLOOKUP(D77,Datos!$H$25:$J$28,3,0),VLOOKUP(D77,Datos!$H$25:$J$28,2,0))</f>
        <v>380000</v>
      </c>
      <c r="AC77" s="79">
        <f ca="1">(S77*PMT(Datos!$D$15,Datos!$D$13,-O77,,)*VLOOKUP(TODAY(),'UF HOY'!$A$2:$B$36,2,0)/12)</f>
        <v>531561.82542821357</v>
      </c>
      <c r="AD77" s="79">
        <f t="shared" ca="1" si="37"/>
        <v>-151561.82542821357</v>
      </c>
      <c r="AE77" s="45"/>
      <c r="AF77" s="45"/>
    </row>
    <row r="78" spans="1:32" hidden="1">
      <c r="A78" s="173" t="s">
        <v>171</v>
      </c>
      <c r="B78" s="173">
        <v>303</v>
      </c>
      <c r="C78" s="67" t="s">
        <v>124</v>
      </c>
      <c r="D78" s="67" t="s">
        <v>125</v>
      </c>
      <c r="E78" s="67"/>
      <c r="F78" s="66"/>
      <c r="G78" s="66"/>
      <c r="H78" s="67">
        <v>52.410000000000004</v>
      </c>
      <c r="I78" s="68">
        <v>54.61</v>
      </c>
      <c r="J78" s="69">
        <v>3490</v>
      </c>
      <c r="K78" s="70">
        <v>0</v>
      </c>
      <c r="L78" s="71">
        <v>0</v>
      </c>
      <c r="M78" s="71">
        <v>0</v>
      </c>
      <c r="N78" s="72">
        <f t="shared" si="29"/>
        <v>2966.5</v>
      </c>
      <c r="O78" s="73">
        <f t="shared" si="30"/>
        <v>3490</v>
      </c>
      <c r="P78" s="121">
        <f t="shared" si="31"/>
        <v>56.601793550849074</v>
      </c>
      <c r="Q78" s="74">
        <f t="shared" si="32"/>
        <v>0.15</v>
      </c>
      <c r="R78" s="75">
        <f t="shared" si="33"/>
        <v>523.5</v>
      </c>
      <c r="S78" s="74">
        <v>0.8</v>
      </c>
      <c r="T78" s="75">
        <f t="shared" si="34"/>
        <v>2792</v>
      </c>
      <c r="U78" s="76">
        <f t="shared" si="35"/>
        <v>4.9999999999999961E-2</v>
      </c>
      <c r="V78" s="69">
        <f t="shared" si="36"/>
        <v>174.49999999999986</v>
      </c>
      <c r="W78" s="77">
        <f ca="1">V78*VLOOKUP(TODAY(),'UF HOY'!$A$2:$B$36,2,0)</f>
        <v>6933572.5299999947</v>
      </c>
      <c r="X78" s="78">
        <f>Datos!$E$9</f>
        <v>4</v>
      </c>
      <c r="Y78" s="79">
        <f ca="1">IF((W78-1000000-Datos!$N$9)/X78&gt;0,(W78-1000000-Datos!$N$9)/X78,0)</f>
        <v>1458393.1324999987</v>
      </c>
      <c r="Z78" s="78">
        <f>Datos!$G$9</f>
        <v>4</v>
      </c>
      <c r="AA78" s="79">
        <f ca="1">IF((W78-1000000-Datos!$N$9)/Z78&gt;0,(W78-1000000-Datos!$N$9)/Z78,0)</f>
        <v>1458393.1324999987</v>
      </c>
      <c r="AB78" s="79">
        <f>IF(L78&gt;0,VLOOKUP(D78,Datos!$H$25:$J$28,3,0),VLOOKUP(D78,Datos!$H$25:$J$28,2,0))</f>
        <v>440000</v>
      </c>
      <c r="AC78" s="79">
        <f ca="1">(S78*PMT(Datos!$D$15,Datos!$D$13,-O78,,)*VLOOKUP(TODAY(),'UF HOY'!$A$2:$B$36,2,0)/12)</f>
        <v>534625.58234710817</v>
      </c>
      <c r="AD78" s="79">
        <f t="shared" ca="1" si="37"/>
        <v>-94625.582347108168</v>
      </c>
      <c r="AE78" s="45"/>
      <c r="AF78" s="45"/>
    </row>
    <row r="79" spans="1:32" hidden="1">
      <c r="A79" s="173" t="s">
        <v>171</v>
      </c>
      <c r="B79" s="173">
        <v>608</v>
      </c>
      <c r="C79" s="67" t="s">
        <v>122</v>
      </c>
      <c r="D79" s="67" t="s">
        <v>127</v>
      </c>
      <c r="E79" s="67"/>
      <c r="F79" s="66"/>
      <c r="G79" s="66"/>
      <c r="H79" s="67">
        <v>38.715000000000003</v>
      </c>
      <c r="I79" s="68">
        <v>40.86</v>
      </c>
      <c r="J79" s="69">
        <v>3050</v>
      </c>
      <c r="K79" s="70">
        <v>0</v>
      </c>
      <c r="L79" s="71">
        <v>390</v>
      </c>
      <c r="M79" s="71">
        <v>90</v>
      </c>
      <c r="N79" s="72">
        <f t="shared" si="29"/>
        <v>3000.5</v>
      </c>
      <c r="O79" s="73">
        <f t="shared" si="30"/>
        <v>3530</v>
      </c>
      <c r="P79" s="121">
        <f t="shared" si="31"/>
        <v>65.103964871496828</v>
      </c>
      <c r="Q79" s="74">
        <f t="shared" si="32"/>
        <v>0.15</v>
      </c>
      <c r="R79" s="75">
        <f t="shared" si="33"/>
        <v>529.5</v>
      </c>
      <c r="S79" s="74">
        <v>0.8</v>
      </c>
      <c r="T79" s="75">
        <f t="shared" si="34"/>
        <v>2824</v>
      </c>
      <c r="U79" s="76">
        <f t="shared" si="35"/>
        <v>4.9999999999999961E-2</v>
      </c>
      <c r="V79" s="69">
        <f t="shared" si="36"/>
        <v>176.49999999999986</v>
      </c>
      <c r="W79" s="77">
        <f ca="1">V79*VLOOKUP(TODAY(),'UF HOY'!$A$2:$B$36,2,0)</f>
        <v>7013040.4099999946</v>
      </c>
      <c r="X79" s="78">
        <f>Datos!$E$9</f>
        <v>4</v>
      </c>
      <c r="Y79" s="79">
        <f ca="1">IF((W79-1000000-Datos!$N$9)/X79&gt;0,(W79-1000000-Datos!$N$9)/X79,0)</f>
        <v>1478260.1024999986</v>
      </c>
      <c r="Z79" s="78">
        <f>Datos!$G$9</f>
        <v>4</v>
      </c>
      <c r="AA79" s="79">
        <f ca="1">IF((W79-1000000-Datos!$N$9)/Z79&gt;0,(W79-1000000-Datos!$N$9)/Z79,0)</f>
        <v>1478260.1024999986</v>
      </c>
      <c r="AB79" s="79">
        <f>IF(L79&gt;0,VLOOKUP(D79,Datos!$H$25:$J$28,3,0),VLOOKUP(D79,Datos!$H$25:$J$28,2,0))</f>
        <v>380000</v>
      </c>
      <c r="AC79" s="79">
        <f ca="1">(S79*PMT(Datos!$D$15,Datos!$D$13,-O79,,)*VLOOKUP(TODAY(),'UF HOY'!$A$2:$B$36,2,0)/12)</f>
        <v>540753.09618489735</v>
      </c>
      <c r="AD79" s="79">
        <f t="shared" ca="1" si="37"/>
        <v>-160753.09618489735</v>
      </c>
      <c r="AE79" s="45"/>
      <c r="AF79" s="45"/>
    </row>
    <row r="80" spans="1:32" hidden="1">
      <c r="A80" s="173" t="s">
        <v>171</v>
      </c>
      <c r="B80" s="173">
        <v>1106</v>
      </c>
      <c r="C80" s="67" t="s">
        <v>103</v>
      </c>
      <c r="D80" s="67" t="s">
        <v>125</v>
      </c>
      <c r="E80" s="67"/>
      <c r="F80" s="66"/>
      <c r="G80" s="66"/>
      <c r="H80" s="67">
        <v>49.49</v>
      </c>
      <c r="I80" s="68">
        <v>55.85</v>
      </c>
      <c r="J80" s="69">
        <v>3560</v>
      </c>
      <c r="K80" s="70">
        <v>0</v>
      </c>
      <c r="L80" s="71">
        <v>0</v>
      </c>
      <c r="M80" s="71">
        <v>0</v>
      </c>
      <c r="N80" s="72">
        <f t="shared" si="29"/>
        <v>3026</v>
      </c>
      <c r="O80" s="73">
        <f t="shared" si="30"/>
        <v>3560</v>
      </c>
      <c r="P80" s="121">
        <f t="shared" si="31"/>
        <v>61.143665386946857</v>
      </c>
      <c r="Q80" s="74">
        <f t="shared" si="32"/>
        <v>0.15</v>
      </c>
      <c r="R80" s="75">
        <f t="shared" si="33"/>
        <v>534</v>
      </c>
      <c r="S80" s="74">
        <v>0.8</v>
      </c>
      <c r="T80" s="75">
        <f t="shared" si="34"/>
        <v>2848</v>
      </c>
      <c r="U80" s="76">
        <f t="shared" si="35"/>
        <v>4.9999999999999961E-2</v>
      </c>
      <c r="V80" s="69">
        <f t="shared" si="36"/>
        <v>177.99999999999986</v>
      </c>
      <c r="W80" s="77">
        <f ca="1">V80*VLOOKUP(TODAY(),'UF HOY'!$A$2:$B$36,2,0)</f>
        <v>7072641.3199999947</v>
      </c>
      <c r="X80" s="78">
        <f>Datos!$E$9</f>
        <v>4</v>
      </c>
      <c r="Y80" s="79">
        <f ca="1">IF((W80-1000000-Datos!$N$9)/X80&gt;0,(W80-1000000-Datos!$N$9)/X80,0)</f>
        <v>1493160.3299999987</v>
      </c>
      <c r="Z80" s="78">
        <f>Datos!$G$9</f>
        <v>4</v>
      </c>
      <c r="AA80" s="79">
        <f ca="1">IF((W80-1000000-Datos!$N$9)/Z80&gt;0,(W80-1000000-Datos!$N$9)/Z80,0)</f>
        <v>1493160.3299999987</v>
      </c>
      <c r="AB80" s="79">
        <f>IF(L80&gt;0,VLOOKUP(D80,Datos!$H$25:$J$28,3,0),VLOOKUP(D80,Datos!$H$25:$J$28,2,0))</f>
        <v>440000</v>
      </c>
      <c r="AC80" s="79">
        <f ca="1">(S80*PMT(Datos!$D$15,Datos!$D$13,-O80,,)*VLOOKUP(TODAY(),'UF HOY'!$A$2:$B$36,2,0)/12)</f>
        <v>545348.73156323924</v>
      </c>
      <c r="AD80" s="79">
        <f t="shared" ca="1" si="37"/>
        <v>-105348.73156323924</v>
      </c>
      <c r="AE80" s="45"/>
      <c r="AF80" s="45"/>
    </row>
    <row r="81" spans="1:32" hidden="1">
      <c r="A81" s="86" t="s">
        <v>171</v>
      </c>
      <c r="B81" s="86">
        <v>1105</v>
      </c>
      <c r="C81" s="67" t="s">
        <v>103</v>
      </c>
      <c r="D81" s="67" t="s">
        <v>126</v>
      </c>
      <c r="E81" s="67"/>
      <c r="F81" s="66"/>
      <c r="G81" s="66"/>
      <c r="H81" s="67">
        <v>49.91</v>
      </c>
      <c r="I81" s="68">
        <v>52.489999999999995</v>
      </c>
      <c r="J81" s="69">
        <v>3590</v>
      </c>
      <c r="K81" s="70">
        <v>0</v>
      </c>
      <c r="L81" s="71">
        <v>0</v>
      </c>
      <c r="M81" s="71">
        <v>0</v>
      </c>
      <c r="N81" s="72">
        <f t="shared" si="29"/>
        <v>3051.5</v>
      </c>
      <c r="O81" s="73">
        <f t="shared" si="30"/>
        <v>3590</v>
      </c>
      <c r="P81" s="121">
        <f t="shared" si="31"/>
        <v>61.140052093768787</v>
      </c>
      <c r="Q81" s="74">
        <f t="shared" si="32"/>
        <v>0.15</v>
      </c>
      <c r="R81" s="75">
        <f t="shared" si="33"/>
        <v>538.5</v>
      </c>
      <c r="S81" s="74">
        <v>0.8</v>
      </c>
      <c r="T81" s="75">
        <f t="shared" si="34"/>
        <v>2872</v>
      </c>
      <c r="U81" s="76">
        <f t="shared" si="35"/>
        <v>4.9999999999999961E-2</v>
      </c>
      <c r="V81" s="69">
        <f t="shared" si="36"/>
        <v>179.49999999999986</v>
      </c>
      <c r="W81" s="77">
        <f ca="1">V81*VLOOKUP(TODAY(),'UF HOY'!$A$2:$B$36,2,0)</f>
        <v>7132242.2299999949</v>
      </c>
      <c r="X81" s="78">
        <f>Datos!$E$9</f>
        <v>4</v>
      </c>
      <c r="Y81" s="79">
        <f ca="1">IF((W81-1000000-Datos!$N$9)/X81&gt;0,(W81-1000000-Datos!$N$9)/X81,0)</f>
        <v>1508060.5574999987</v>
      </c>
      <c r="Z81" s="78">
        <f>Datos!$G$9</f>
        <v>4</v>
      </c>
      <c r="AA81" s="79">
        <f ca="1">IF((W81-1000000-Datos!$N$9)/Z81&gt;0,(W81-1000000-Datos!$N$9)/Z81,0)</f>
        <v>1508060.5574999987</v>
      </c>
      <c r="AB81" s="79">
        <f>IF(L81&gt;0,VLOOKUP(D81,Datos!$H$25:$J$28,3,0),VLOOKUP(D81,Datos!$H$25:$J$28,2,0))</f>
        <v>390000</v>
      </c>
      <c r="AC81" s="79">
        <f ca="1">(S81*PMT(Datos!$D$15,Datos!$D$13,-O81,,)*VLOOKUP(TODAY(),'UF HOY'!$A$2:$B$36,2,0)/12)</f>
        <v>549944.36694158125</v>
      </c>
      <c r="AD81" s="79">
        <f t="shared" ca="1" si="37"/>
        <v>-159944.36694158125</v>
      </c>
      <c r="AE81" s="45"/>
      <c r="AF81" s="45"/>
    </row>
    <row r="82" spans="1:32" hidden="1">
      <c r="A82" s="173" t="s">
        <v>171</v>
      </c>
      <c r="B82" s="173">
        <v>1305</v>
      </c>
      <c r="C82" s="67" t="s">
        <v>103</v>
      </c>
      <c r="D82" s="67" t="s">
        <v>126</v>
      </c>
      <c r="E82" s="67"/>
      <c r="F82" s="66"/>
      <c r="G82" s="66"/>
      <c r="H82" s="67">
        <v>49.91</v>
      </c>
      <c r="I82" s="68">
        <v>52.489999999999995</v>
      </c>
      <c r="J82" s="69">
        <v>3590</v>
      </c>
      <c r="K82" s="70">
        <v>0</v>
      </c>
      <c r="L82" s="71">
        <v>0</v>
      </c>
      <c r="M82" s="71">
        <v>0</v>
      </c>
      <c r="N82" s="72">
        <f t="shared" si="29"/>
        <v>3051.5</v>
      </c>
      <c r="O82" s="73">
        <f t="shared" si="30"/>
        <v>3590</v>
      </c>
      <c r="P82" s="121">
        <f t="shared" si="31"/>
        <v>61.140052093768787</v>
      </c>
      <c r="Q82" s="74">
        <f t="shared" si="32"/>
        <v>0.15</v>
      </c>
      <c r="R82" s="75">
        <f t="shared" si="33"/>
        <v>538.5</v>
      </c>
      <c r="S82" s="74">
        <v>0.8</v>
      </c>
      <c r="T82" s="75">
        <f t="shared" si="34"/>
        <v>2872</v>
      </c>
      <c r="U82" s="76">
        <f t="shared" si="35"/>
        <v>4.9999999999999961E-2</v>
      </c>
      <c r="V82" s="69">
        <f t="shared" si="36"/>
        <v>179.49999999999986</v>
      </c>
      <c r="W82" s="77">
        <f ca="1">V82*VLOOKUP(TODAY(),'UF HOY'!$A$2:$B$36,2,0)</f>
        <v>7132242.2299999949</v>
      </c>
      <c r="X82" s="78">
        <f>Datos!$E$9</f>
        <v>4</v>
      </c>
      <c r="Y82" s="79">
        <f ca="1">IF((W82-1000000-Datos!$N$9)/X82&gt;0,(W82-1000000-Datos!$N$9)/X82,0)</f>
        <v>1508060.5574999987</v>
      </c>
      <c r="Z82" s="78">
        <f>Datos!$G$9</f>
        <v>4</v>
      </c>
      <c r="AA82" s="79">
        <f ca="1">IF((W82-1000000-Datos!$N$9)/Z82&gt;0,(W82-1000000-Datos!$N$9)/Z82,0)</f>
        <v>1508060.5574999987</v>
      </c>
      <c r="AB82" s="79">
        <f>IF(L82&gt;0,VLOOKUP(D82,Datos!$H$25:$J$28,3,0),VLOOKUP(D82,Datos!$H$25:$J$28,2,0))</f>
        <v>390000</v>
      </c>
      <c r="AC82" s="79">
        <f ca="1">(S82*PMT(Datos!$D$15,Datos!$D$13,-O82,,)*VLOOKUP(TODAY(),'UF HOY'!$A$2:$B$36,2,0)/12)</f>
        <v>549944.36694158125</v>
      </c>
      <c r="AD82" s="79">
        <f t="shared" ca="1" si="37"/>
        <v>-159944.36694158125</v>
      </c>
      <c r="AE82" s="45"/>
      <c r="AF82" s="45"/>
    </row>
    <row r="83" spans="1:32">
      <c r="A83" s="86" t="s">
        <v>171</v>
      </c>
      <c r="B83" s="86">
        <v>1405</v>
      </c>
      <c r="C83" s="67" t="s">
        <v>103</v>
      </c>
      <c r="D83" s="67" t="s">
        <v>126</v>
      </c>
      <c r="E83" s="67"/>
      <c r="F83" s="66"/>
      <c r="G83" s="66"/>
      <c r="H83" s="67">
        <v>49.91</v>
      </c>
      <c r="I83" s="68">
        <v>52.489999999999995</v>
      </c>
      <c r="J83" s="69">
        <v>3590</v>
      </c>
      <c r="K83" s="70">
        <v>0</v>
      </c>
      <c r="L83" s="71">
        <v>0</v>
      </c>
      <c r="M83" s="71">
        <v>0</v>
      </c>
      <c r="N83" s="72">
        <f t="shared" si="29"/>
        <v>3051.5</v>
      </c>
      <c r="O83" s="73">
        <f t="shared" si="30"/>
        <v>3590</v>
      </c>
      <c r="P83" s="121">
        <f t="shared" si="31"/>
        <v>61.140052093768787</v>
      </c>
      <c r="Q83" s="74">
        <f t="shared" si="32"/>
        <v>0.15</v>
      </c>
      <c r="R83" s="75">
        <f t="shared" si="33"/>
        <v>538.5</v>
      </c>
      <c r="S83" s="74">
        <v>0.8</v>
      </c>
      <c r="T83" s="87">
        <f t="shared" si="34"/>
        <v>2872</v>
      </c>
      <c r="U83" s="88">
        <f t="shared" si="35"/>
        <v>4.9999999999999961E-2</v>
      </c>
      <c r="V83" s="69">
        <f t="shared" si="36"/>
        <v>179.49999999999986</v>
      </c>
      <c r="W83" s="89">
        <f ca="1">V83*VLOOKUP(TODAY(),'UF HOY'!$A$2:$B$36,2,0)</f>
        <v>7132242.2299999949</v>
      </c>
      <c r="X83" s="78">
        <f>Datos!$E$9</f>
        <v>4</v>
      </c>
      <c r="Y83" s="79">
        <f ca="1">IF((W83-1000000-Datos!$N$9)/X83&gt;0,(W83-1000000-Datos!$N$9)/X83,0)</f>
        <v>1508060.5574999987</v>
      </c>
      <c r="Z83" s="78">
        <f>Datos!$G$9</f>
        <v>4</v>
      </c>
      <c r="AA83" s="79">
        <f ca="1">IF((W83-1000000-Datos!$N$9)/Z83&gt;0,(W83-1000000-Datos!$N$9)/Z83,0)</f>
        <v>1508060.5574999987</v>
      </c>
      <c r="AB83" s="79">
        <f>IF(L83&gt;0,VLOOKUP(D83,Datos!$H$25:$J$28,3,0),VLOOKUP(D83,Datos!$H$25:$J$28,2,0))</f>
        <v>390000</v>
      </c>
      <c r="AC83" s="79">
        <f ca="1">(S83*PMT(Datos!$D$15,Datos!$D$13,-O83,,)*VLOOKUP(TODAY(),'UF HOY'!$A$2:$B$36,2,0)/12)</f>
        <v>549944.36694158125</v>
      </c>
      <c r="AD83" s="89">
        <f t="shared" ca="1" si="37"/>
        <v>-159944.36694158125</v>
      </c>
      <c r="AE83" s="45"/>
      <c r="AF83" s="45"/>
    </row>
    <row r="84" spans="1:32" hidden="1">
      <c r="A84" s="173" t="s">
        <v>171</v>
      </c>
      <c r="B84" s="173">
        <v>1505</v>
      </c>
      <c r="C84" s="67" t="s">
        <v>103</v>
      </c>
      <c r="D84" s="67" t="s">
        <v>126</v>
      </c>
      <c r="E84" s="67"/>
      <c r="F84" s="66"/>
      <c r="G84" s="66"/>
      <c r="H84" s="67">
        <v>49.91</v>
      </c>
      <c r="I84" s="68">
        <v>52.489999999999995</v>
      </c>
      <c r="J84" s="69">
        <v>3590</v>
      </c>
      <c r="K84" s="70">
        <v>0</v>
      </c>
      <c r="L84" s="71">
        <v>0</v>
      </c>
      <c r="M84" s="71">
        <v>0</v>
      </c>
      <c r="N84" s="72">
        <f t="shared" si="29"/>
        <v>3051.5</v>
      </c>
      <c r="O84" s="73">
        <f t="shared" si="30"/>
        <v>3590</v>
      </c>
      <c r="P84" s="121">
        <f t="shared" si="31"/>
        <v>61.140052093768787</v>
      </c>
      <c r="Q84" s="74">
        <f t="shared" si="32"/>
        <v>0.15</v>
      </c>
      <c r="R84" s="75">
        <f t="shared" si="33"/>
        <v>538.5</v>
      </c>
      <c r="S84" s="74">
        <v>0.8</v>
      </c>
      <c r="T84" s="75">
        <f t="shared" si="34"/>
        <v>2872</v>
      </c>
      <c r="U84" s="76">
        <f t="shared" si="35"/>
        <v>4.9999999999999961E-2</v>
      </c>
      <c r="V84" s="69">
        <f t="shared" si="36"/>
        <v>179.49999999999986</v>
      </c>
      <c r="W84" s="77">
        <f ca="1">V84*VLOOKUP(TODAY(),'UF HOY'!$A$2:$B$36,2,0)</f>
        <v>7132242.2299999949</v>
      </c>
      <c r="X84" s="78">
        <f>Datos!$E$9</f>
        <v>4</v>
      </c>
      <c r="Y84" s="79">
        <f ca="1">IF((W84-1000000-Datos!$N$9)/X84&gt;0,(W84-1000000-Datos!$N$9)/X84,0)</f>
        <v>1508060.5574999987</v>
      </c>
      <c r="Z84" s="78">
        <f>Datos!$G$9</f>
        <v>4</v>
      </c>
      <c r="AA84" s="79">
        <f ca="1">IF((W84-1000000-Datos!$N$9)/Z84&gt;0,(W84-1000000-Datos!$N$9)/Z84,0)</f>
        <v>1508060.5574999987</v>
      </c>
      <c r="AB84" s="79">
        <f>IF(L84&gt;0,VLOOKUP(D84,Datos!$H$25:$J$28,3,0),VLOOKUP(D84,Datos!$H$25:$J$28,2,0))</f>
        <v>390000</v>
      </c>
      <c r="AC84" s="79">
        <f ca="1">(S84*PMT(Datos!$D$15,Datos!$D$13,-O84,,)*VLOOKUP(TODAY(),'UF HOY'!$A$2:$B$36,2,0)/12)</f>
        <v>549944.36694158125</v>
      </c>
      <c r="AD84" s="79">
        <f t="shared" ca="1" si="37"/>
        <v>-159944.36694158125</v>
      </c>
      <c r="AE84" s="45"/>
      <c r="AF84" s="45"/>
    </row>
    <row r="85" spans="1:32" ht="14.25" hidden="1" customHeight="1">
      <c r="A85" s="173" t="s">
        <v>171</v>
      </c>
      <c r="B85" s="173">
        <v>1205</v>
      </c>
      <c r="C85" s="67" t="s">
        <v>103</v>
      </c>
      <c r="D85" s="67" t="s">
        <v>126</v>
      </c>
      <c r="E85" s="67"/>
      <c r="F85" s="66"/>
      <c r="G85" s="66"/>
      <c r="H85" s="67">
        <v>49.91</v>
      </c>
      <c r="I85" s="68">
        <v>52.489999999999995</v>
      </c>
      <c r="J85" s="69">
        <v>3590</v>
      </c>
      <c r="K85" s="70">
        <v>0</v>
      </c>
      <c r="L85" s="71">
        <v>0</v>
      </c>
      <c r="M85" s="71">
        <v>0</v>
      </c>
      <c r="N85" s="72">
        <f t="shared" si="29"/>
        <v>3051.5</v>
      </c>
      <c r="O85" s="73">
        <f t="shared" si="30"/>
        <v>3590</v>
      </c>
      <c r="P85" s="121">
        <f t="shared" si="31"/>
        <v>61.140052093768787</v>
      </c>
      <c r="Q85" s="74">
        <f t="shared" si="32"/>
        <v>0.15</v>
      </c>
      <c r="R85" s="75">
        <f t="shared" si="33"/>
        <v>538.5</v>
      </c>
      <c r="S85" s="74">
        <v>0.8</v>
      </c>
      <c r="T85" s="75">
        <f t="shared" si="34"/>
        <v>2872</v>
      </c>
      <c r="U85" s="76">
        <f t="shared" si="35"/>
        <v>4.9999999999999961E-2</v>
      </c>
      <c r="V85" s="69">
        <f t="shared" si="36"/>
        <v>179.49999999999986</v>
      </c>
      <c r="W85" s="77">
        <f ca="1">V85*VLOOKUP(TODAY(),'UF HOY'!$A$2:$B$36,2,0)</f>
        <v>7132242.2299999949</v>
      </c>
      <c r="X85" s="78">
        <f>Datos!$E$9</f>
        <v>4</v>
      </c>
      <c r="Y85" s="79">
        <f ca="1">IF((W85-1000000-Datos!$N$9)/X85&gt;0,(W85-1000000-Datos!$N$9)/X85,0)</f>
        <v>1508060.5574999987</v>
      </c>
      <c r="Z85" s="78">
        <f>Datos!$G$9</f>
        <v>4</v>
      </c>
      <c r="AA85" s="79">
        <f ca="1">IF((W85-1000000-Datos!$N$9)/Z85&gt;0,(W85-1000000-Datos!$N$9)/Z85,0)</f>
        <v>1508060.5574999987</v>
      </c>
      <c r="AB85" s="79">
        <f>IF(L85&gt;0,VLOOKUP(D85,Datos!$H$25:$J$28,3,0),VLOOKUP(D85,Datos!$H$25:$J$28,2,0))</f>
        <v>390000</v>
      </c>
      <c r="AC85" s="79">
        <f ca="1">(S85*PMT(Datos!$D$15,Datos!$D$13,-O85,,)*VLOOKUP(TODAY(),'UF HOY'!$A$2:$B$36,2,0)/12)</f>
        <v>549944.36694158125</v>
      </c>
      <c r="AD85" s="79">
        <f t="shared" ca="1" si="37"/>
        <v>-159944.36694158125</v>
      </c>
      <c r="AE85" s="45"/>
      <c r="AF85" s="45"/>
    </row>
    <row r="86" spans="1:32" hidden="1">
      <c r="A86" s="173" t="s">
        <v>171</v>
      </c>
      <c r="B86" s="173">
        <v>1605</v>
      </c>
      <c r="C86" s="67" t="s">
        <v>103</v>
      </c>
      <c r="D86" s="67" t="s">
        <v>126</v>
      </c>
      <c r="E86" s="67"/>
      <c r="F86" s="66"/>
      <c r="G86" s="66"/>
      <c r="H86" s="67">
        <v>49.91</v>
      </c>
      <c r="I86" s="68">
        <v>52.489999999999995</v>
      </c>
      <c r="J86" s="69">
        <v>3590</v>
      </c>
      <c r="K86" s="70">
        <v>0</v>
      </c>
      <c r="L86" s="71">
        <v>0</v>
      </c>
      <c r="M86" s="71">
        <v>0</v>
      </c>
      <c r="N86" s="72">
        <f t="shared" si="29"/>
        <v>3051.5</v>
      </c>
      <c r="O86" s="73">
        <f t="shared" si="30"/>
        <v>3590</v>
      </c>
      <c r="P86" s="121">
        <f t="shared" si="31"/>
        <v>61.140052093768787</v>
      </c>
      <c r="Q86" s="74">
        <f t="shared" si="32"/>
        <v>0.15</v>
      </c>
      <c r="R86" s="75">
        <f t="shared" si="33"/>
        <v>538.5</v>
      </c>
      <c r="S86" s="74">
        <v>0.8</v>
      </c>
      <c r="T86" s="75">
        <f t="shared" si="34"/>
        <v>2872</v>
      </c>
      <c r="U86" s="76">
        <f t="shared" si="35"/>
        <v>4.9999999999999961E-2</v>
      </c>
      <c r="V86" s="69">
        <f t="shared" si="36"/>
        <v>179.49999999999986</v>
      </c>
      <c r="W86" s="77">
        <f ca="1">V86*VLOOKUP(TODAY(),'UF HOY'!$A$2:$B$36,2,0)</f>
        <v>7132242.2299999949</v>
      </c>
      <c r="X86" s="78">
        <f>Datos!$E$9</f>
        <v>4</v>
      </c>
      <c r="Y86" s="79">
        <f ca="1">IF((W86-1000000-Datos!$N$9)/X86&gt;0,(W86-1000000-Datos!$N$9)/X86,0)</f>
        <v>1508060.5574999987</v>
      </c>
      <c r="Z86" s="78">
        <f>Datos!$G$9</f>
        <v>4</v>
      </c>
      <c r="AA86" s="79">
        <f ca="1">IF((W86-1000000-Datos!$N$9)/Z86&gt;0,(W86-1000000-Datos!$N$9)/Z86,0)</f>
        <v>1508060.5574999987</v>
      </c>
      <c r="AB86" s="79">
        <f>IF(L86&gt;0,VLOOKUP(D86,Datos!$H$25:$J$28,3,0),VLOOKUP(D86,Datos!$H$25:$J$28,2,0))</f>
        <v>390000</v>
      </c>
      <c r="AC86" s="79">
        <f ca="1">(S86*PMT(Datos!$D$15,Datos!$D$13,-O86,,)*VLOOKUP(TODAY(),'UF HOY'!$A$2:$B$36,2,0)/12)</f>
        <v>549944.36694158125</v>
      </c>
      <c r="AD86" s="79">
        <f t="shared" ca="1" si="37"/>
        <v>-159944.36694158125</v>
      </c>
      <c r="AE86" s="45"/>
      <c r="AF86" s="45"/>
    </row>
    <row r="87" spans="1:32" hidden="1">
      <c r="A87" s="173" t="s">
        <v>171</v>
      </c>
      <c r="B87" s="173">
        <v>1705</v>
      </c>
      <c r="C87" s="67" t="s">
        <v>103</v>
      </c>
      <c r="D87" s="67" t="s">
        <v>126</v>
      </c>
      <c r="E87" s="67"/>
      <c r="F87" s="66"/>
      <c r="G87" s="66"/>
      <c r="H87" s="67">
        <v>49.91</v>
      </c>
      <c r="I87" s="68">
        <v>52.489999999999995</v>
      </c>
      <c r="J87" s="69">
        <v>3590</v>
      </c>
      <c r="K87" s="70">
        <v>0</v>
      </c>
      <c r="L87" s="71">
        <v>0</v>
      </c>
      <c r="M87" s="71">
        <v>0</v>
      </c>
      <c r="N87" s="72">
        <f t="shared" si="29"/>
        <v>3051.5</v>
      </c>
      <c r="O87" s="73">
        <f t="shared" si="30"/>
        <v>3590</v>
      </c>
      <c r="P87" s="121">
        <f t="shared" si="31"/>
        <v>61.140052093768787</v>
      </c>
      <c r="Q87" s="74">
        <f t="shared" si="32"/>
        <v>0.15</v>
      </c>
      <c r="R87" s="75">
        <f t="shared" si="33"/>
        <v>538.5</v>
      </c>
      <c r="S87" s="74">
        <v>0.8</v>
      </c>
      <c r="T87" s="75">
        <f t="shared" si="34"/>
        <v>2872</v>
      </c>
      <c r="U87" s="76">
        <f t="shared" si="35"/>
        <v>4.9999999999999961E-2</v>
      </c>
      <c r="V87" s="69">
        <f t="shared" si="36"/>
        <v>179.49999999999986</v>
      </c>
      <c r="W87" s="77">
        <f ca="1">V87*VLOOKUP(TODAY(),'UF HOY'!$A$2:$B$36,2,0)</f>
        <v>7132242.2299999949</v>
      </c>
      <c r="X87" s="78">
        <f>Datos!$E$9</f>
        <v>4</v>
      </c>
      <c r="Y87" s="79">
        <f ca="1">IF((W87-1000000-Datos!$N$9)/X87&gt;0,(W87-1000000-Datos!$N$9)/X87,0)</f>
        <v>1508060.5574999987</v>
      </c>
      <c r="Z87" s="78">
        <f>Datos!$G$9</f>
        <v>4</v>
      </c>
      <c r="AA87" s="79">
        <f ca="1">IF((W87-1000000-Datos!$N$9)/Z87&gt;0,(W87-1000000-Datos!$N$9)/Z87,0)</f>
        <v>1508060.5574999987</v>
      </c>
      <c r="AB87" s="79">
        <f>IF(L87&gt;0,VLOOKUP(D87,Datos!$H$25:$J$28,3,0),VLOOKUP(D87,Datos!$H$25:$J$28,2,0))</f>
        <v>390000</v>
      </c>
      <c r="AC87" s="79">
        <f ca="1">(S87*PMT(Datos!$D$15,Datos!$D$13,-O87,,)*VLOOKUP(TODAY(),'UF HOY'!$A$2:$B$36,2,0)/12)</f>
        <v>549944.36694158125</v>
      </c>
      <c r="AD87" s="79">
        <f t="shared" ca="1" si="37"/>
        <v>-159944.36694158125</v>
      </c>
      <c r="AE87" s="45"/>
      <c r="AF87" s="45"/>
    </row>
    <row r="88" spans="1:32" hidden="1">
      <c r="A88" s="173" t="s">
        <v>171</v>
      </c>
      <c r="B88" s="173">
        <v>703</v>
      </c>
      <c r="C88" s="67" t="s">
        <v>124</v>
      </c>
      <c r="D88" s="67" t="s">
        <v>125</v>
      </c>
      <c r="E88" s="67"/>
      <c r="F88" s="66"/>
      <c r="G88" s="66"/>
      <c r="H88" s="67">
        <v>52.410000000000004</v>
      </c>
      <c r="I88" s="68">
        <v>54.61</v>
      </c>
      <c r="J88" s="69">
        <v>3690</v>
      </c>
      <c r="K88" s="70">
        <v>0</v>
      </c>
      <c r="L88" s="71">
        <v>0</v>
      </c>
      <c r="M88" s="71">
        <v>0</v>
      </c>
      <c r="N88" s="72">
        <f t="shared" si="29"/>
        <v>3136.5</v>
      </c>
      <c r="O88" s="73">
        <f t="shared" si="30"/>
        <v>3690</v>
      </c>
      <c r="P88" s="121">
        <f t="shared" si="31"/>
        <v>59.845449341728674</v>
      </c>
      <c r="Q88" s="74">
        <f t="shared" si="32"/>
        <v>0.15</v>
      </c>
      <c r="R88" s="75">
        <f t="shared" si="33"/>
        <v>553.5</v>
      </c>
      <c r="S88" s="74">
        <v>0.8</v>
      </c>
      <c r="T88" s="75">
        <f t="shared" si="34"/>
        <v>2952</v>
      </c>
      <c r="U88" s="76">
        <f t="shared" si="35"/>
        <v>4.9999999999999961E-2</v>
      </c>
      <c r="V88" s="69">
        <f t="shared" si="36"/>
        <v>184.49999999999986</v>
      </c>
      <c r="W88" s="77">
        <f ca="1">V88*VLOOKUP(TODAY(),'UF HOY'!$A$2:$B$36,2,0)</f>
        <v>7330911.929999995</v>
      </c>
      <c r="X88" s="78">
        <f>Datos!$E$9</f>
        <v>4</v>
      </c>
      <c r="Y88" s="79">
        <f ca="1">IF((W88-1000000-Datos!$N$9)/X88&gt;0,(W88-1000000-Datos!$N$9)/X88,0)</f>
        <v>1557727.9824999988</v>
      </c>
      <c r="Z88" s="78">
        <f>Datos!$G$9</f>
        <v>4</v>
      </c>
      <c r="AA88" s="79">
        <f ca="1">IF((W88-1000000-Datos!$N$9)/Z88&gt;0,(W88-1000000-Datos!$N$9)/Z88,0)</f>
        <v>1557727.9824999988</v>
      </c>
      <c r="AB88" s="79">
        <f>IF(L88&gt;0,VLOOKUP(D88,Datos!$H$25:$J$28,3,0),VLOOKUP(D88,Datos!$H$25:$J$28,2,0))</f>
        <v>440000</v>
      </c>
      <c r="AC88" s="79">
        <f ca="1">(S88*PMT(Datos!$D$15,Datos!$D$13,-O88,,)*VLOOKUP(TODAY(),'UF HOY'!$A$2:$B$36,2,0)/12)</f>
        <v>565263.15153605421</v>
      </c>
      <c r="AD88" s="79">
        <f t="shared" ca="1" si="37"/>
        <v>-125263.15153605421</v>
      </c>
      <c r="AE88" s="45"/>
      <c r="AF88" s="45"/>
    </row>
    <row r="89" spans="1:32" hidden="1">
      <c r="A89" s="173" t="s">
        <v>171</v>
      </c>
      <c r="B89" s="173">
        <v>803</v>
      </c>
      <c r="C89" s="67" t="s">
        <v>124</v>
      </c>
      <c r="D89" s="67" t="s">
        <v>125</v>
      </c>
      <c r="E89" s="67"/>
      <c r="F89" s="66"/>
      <c r="G89" s="66"/>
      <c r="H89" s="67">
        <v>52.410000000000004</v>
      </c>
      <c r="I89" s="68">
        <v>54.61</v>
      </c>
      <c r="J89" s="69">
        <v>3690</v>
      </c>
      <c r="K89" s="70">
        <v>0</v>
      </c>
      <c r="L89" s="71">
        <v>0</v>
      </c>
      <c r="M89" s="71">
        <v>0</v>
      </c>
      <c r="N89" s="72">
        <f t="shared" si="29"/>
        <v>3136.5</v>
      </c>
      <c r="O89" s="73">
        <f t="shared" si="30"/>
        <v>3690</v>
      </c>
      <c r="P89" s="121">
        <f t="shared" si="31"/>
        <v>59.845449341728674</v>
      </c>
      <c r="Q89" s="74">
        <f t="shared" si="32"/>
        <v>0.15</v>
      </c>
      <c r="R89" s="75">
        <f t="shared" si="33"/>
        <v>553.5</v>
      </c>
      <c r="S89" s="74">
        <v>0.8</v>
      </c>
      <c r="T89" s="75">
        <f t="shared" si="34"/>
        <v>2952</v>
      </c>
      <c r="U89" s="76">
        <f t="shared" si="35"/>
        <v>4.9999999999999961E-2</v>
      </c>
      <c r="V89" s="69">
        <f t="shared" si="36"/>
        <v>184.49999999999986</v>
      </c>
      <c r="W89" s="77">
        <f ca="1">V89*VLOOKUP(TODAY(),'UF HOY'!$A$2:$B$36,2,0)</f>
        <v>7330911.929999995</v>
      </c>
      <c r="X89" s="78">
        <f>Datos!$E$9</f>
        <v>4</v>
      </c>
      <c r="Y89" s="79">
        <f ca="1">IF((W89-1000000-Datos!$N$9)/X89&gt;0,(W89-1000000-Datos!$N$9)/X89,0)</f>
        <v>1557727.9824999988</v>
      </c>
      <c r="Z89" s="78">
        <f>Datos!$G$9</f>
        <v>4</v>
      </c>
      <c r="AA89" s="79">
        <f ca="1">IF((W89-1000000-Datos!$N$9)/Z89&gt;0,(W89-1000000-Datos!$N$9)/Z89,0)</f>
        <v>1557727.9824999988</v>
      </c>
      <c r="AB89" s="79">
        <f>IF(L89&gt;0,VLOOKUP(D89,Datos!$H$25:$J$28,3,0),VLOOKUP(D89,Datos!$H$25:$J$28,2,0))</f>
        <v>440000</v>
      </c>
      <c r="AC89" s="79">
        <f ca="1">(S89*PMT(Datos!$D$15,Datos!$D$13,-O89,,)*VLOOKUP(TODAY(),'UF HOY'!$A$2:$B$36,2,0)/12)</f>
        <v>565263.15153605421</v>
      </c>
      <c r="AD89" s="79">
        <f t="shared" ca="1" si="37"/>
        <v>-125263.15153605421</v>
      </c>
      <c r="AE89" s="45"/>
      <c r="AF89" s="45"/>
    </row>
    <row r="90" spans="1:32" hidden="1">
      <c r="A90" s="173" t="s">
        <v>171</v>
      </c>
      <c r="B90" s="173">
        <v>1203</v>
      </c>
      <c r="C90" s="67" t="s">
        <v>124</v>
      </c>
      <c r="D90" s="67" t="s">
        <v>125</v>
      </c>
      <c r="E90" s="67"/>
      <c r="F90" s="66"/>
      <c r="G90" s="66"/>
      <c r="H90" s="67">
        <v>52.410000000000004</v>
      </c>
      <c r="I90" s="68">
        <v>54.61</v>
      </c>
      <c r="J90" s="69">
        <v>3690</v>
      </c>
      <c r="K90" s="70">
        <v>0</v>
      </c>
      <c r="L90" s="71">
        <v>0</v>
      </c>
      <c r="M90" s="71">
        <v>0</v>
      </c>
      <c r="N90" s="72">
        <f t="shared" si="29"/>
        <v>3136.5</v>
      </c>
      <c r="O90" s="73">
        <f t="shared" si="30"/>
        <v>3690</v>
      </c>
      <c r="P90" s="121">
        <f t="shared" si="31"/>
        <v>59.845449341728674</v>
      </c>
      <c r="Q90" s="74">
        <f t="shared" si="32"/>
        <v>0.15</v>
      </c>
      <c r="R90" s="75">
        <f t="shared" si="33"/>
        <v>553.5</v>
      </c>
      <c r="S90" s="74">
        <v>0.8</v>
      </c>
      <c r="T90" s="75">
        <f t="shared" si="34"/>
        <v>2952</v>
      </c>
      <c r="U90" s="76">
        <f t="shared" si="35"/>
        <v>4.9999999999999961E-2</v>
      </c>
      <c r="V90" s="69">
        <f t="shared" si="36"/>
        <v>184.49999999999986</v>
      </c>
      <c r="W90" s="77">
        <f ca="1">V90*VLOOKUP(TODAY(),'UF HOY'!$A$2:$B$36,2,0)</f>
        <v>7330911.929999995</v>
      </c>
      <c r="X90" s="78">
        <f>Datos!$E$9</f>
        <v>4</v>
      </c>
      <c r="Y90" s="79">
        <f ca="1">IF((W90-1000000-Datos!$N$9)/X90&gt;0,(W90-1000000-Datos!$N$9)/X90,0)</f>
        <v>1557727.9824999988</v>
      </c>
      <c r="Z90" s="78">
        <f>Datos!$G$9</f>
        <v>4</v>
      </c>
      <c r="AA90" s="79">
        <f ca="1">IF((W90-1000000-Datos!$N$9)/Z90&gt;0,(W90-1000000-Datos!$N$9)/Z90,0)</f>
        <v>1557727.9824999988</v>
      </c>
      <c r="AB90" s="79">
        <f>IF(L90&gt;0,VLOOKUP(D90,Datos!$H$25:$J$28,3,0),VLOOKUP(D90,Datos!$H$25:$J$28,2,0))</f>
        <v>440000</v>
      </c>
      <c r="AC90" s="79">
        <f ca="1">(S90*PMT(Datos!$D$15,Datos!$D$13,-O90,,)*VLOOKUP(TODAY(),'UF HOY'!$A$2:$B$36,2,0)/12)</f>
        <v>565263.15153605421</v>
      </c>
      <c r="AD90" s="79">
        <f t="shared" ca="1" si="37"/>
        <v>-125263.15153605421</v>
      </c>
      <c r="AE90" s="45"/>
      <c r="AF90" s="45"/>
    </row>
    <row r="91" spans="1:32" hidden="1">
      <c r="A91" s="173" t="s">
        <v>171</v>
      </c>
      <c r="B91" s="173">
        <v>1403</v>
      </c>
      <c r="C91" s="67" t="s">
        <v>124</v>
      </c>
      <c r="D91" s="67" t="s">
        <v>125</v>
      </c>
      <c r="E91" s="67"/>
      <c r="F91" s="66"/>
      <c r="G91" s="66"/>
      <c r="H91" s="67">
        <v>52.410000000000004</v>
      </c>
      <c r="I91" s="68">
        <v>54.61</v>
      </c>
      <c r="J91" s="69">
        <v>3690</v>
      </c>
      <c r="K91" s="70">
        <v>0</v>
      </c>
      <c r="L91" s="71">
        <v>0</v>
      </c>
      <c r="M91" s="71">
        <v>0</v>
      </c>
      <c r="N91" s="72">
        <f t="shared" si="29"/>
        <v>3136.5</v>
      </c>
      <c r="O91" s="73">
        <f t="shared" si="30"/>
        <v>3690</v>
      </c>
      <c r="P91" s="121">
        <f t="shared" si="31"/>
        <v>59.845449341728674</v>
      </c>
      <c r="Q91" s="74">
        <f t="shared" si="32"/>
        <v>0.15</v>
      </c>
      <c r="R91" s="75">
        <f t="shared" si="33"/>
        <v>553.5</v>
      </c>
      <c r="S91" s="74">
        <v>0.8</v>
      </c>
      <c r="T91" s="75">
        <f t="shared" si="34"/>
        <v>2952</v>
      </c>
      <c r="U91" s="76">
        <f t="shared" si="35"/>
        <v>4.9999999999999961E-2</v>
      </c>
      <c r="V91" s="69">
        <f t="shared" si="36"/>
        <v>184.49999999999986</v>
      </c>
      <c r="W91" s="77">
        <f ca="1">V91*VLOOKUP(TODAY(),'UF HOY'!$A$2:$B$36,2,0)</f>
        <v>7330911.929999995</v>
      </c>
      <c r="X91" s="78">
        <f>Datos!$E$9</f>
        <v>4</v>
      </c>
      <c r="Y91" s="79">
        <f ca="1">IF((W91-1000000-Datos!$N$9)/X91&gt;0,(W91-1000000-Datos!$N$9)/X91,0)</f>
        <v>1557727.9824999988</v>
      </c>
      <c r="Z91" s="78">
        <f>Datos!$G$9</f>
        <v>4</v>
      </c>
      <c r="AA91" s="79">
        <f ca="1">IF((W91-1000000-Datos!$N$9)/Z91&gt;0,(W91-1000000-Datos!$N$9)/Z91,0)</f>
        <v>1557727.9824999988</v>
      </c>
      <c r="AB91" s="79">
        <f>IF(L91&gt;0,VLOOKUP(D91,Datos!$H$25:$J$28,3,0),VLOOKUP(D91,Datos!$H$25:$J$28,2,0))</f>
        <v>440000</v>
      </c>
      <c r="AC91" s="79">
        <f ca="1">(S91*PMT(Datos!$D$15,Datos!$D$13,-O91,,)*VLOOKUP(TODAY(),'UF HOY'!$A$2:$B$36,2,0)/12)</f>
        <v>565263.15153605421</v>
      </c>
      <c r="AD91" s="79">
        <f t="shared" ca="1" si="37"/>
        <v>-125263.15153605421</v>
      </c>
      <c r="AE91" s="45"/>
      <c r="AF91" s="45"/>
    </row>
    <row r="92" spans="1:32" hidden="1">
      <c r="A92" s="173" t="s">
        <v>171</v>
      </c>
      <c r="B92" s="173">
        <v>502</v>
      </c>
      <c r="C92" s="67" t="s">
        <v>123</v>
      </c>
      <c r="D92" s="67" t="s">
        <v>125</v>
      </c>
      <c r="E92" s="67"/>
      <c r="F92" s="66"/>
      <c r="G92" s="66"/>
      <c r="H92" s="67">
        <v>52.080000000000005</v>
      </c>
      <c r="I92" s="68">
        <v>54.28</v>
      </c>
      <c r="J92" s="69">
        <v>3750</v>
      </c>
      <c r="K92" s="70">
        <v>0</v>
      </c>
      <c r="L92" s="71">
        <v>0</v>
      </c>
      <c r="M92" s="71">
        <v>0</v>
      </c>
      <c r="N92" s="72">
        <f t="shared" si="29"/>
        <v>3187.5</v>
      </c>
      <c r="O92" s="73">
        <f t="shared" si="30"/>
        <v>3750</v>
      </c>
      <c r="P92" s="121">
        <f t="shared" si="31"/>
        <v>61.203917050691238</v>
      </c>
      <c r="Q92" s="74">
        <f t="shared" si="32"/>
        <v>0.15</v>
      </c>
      <c r="R92" s="75">
        <f t="shared" si="33"/>
        <v>562.5</v>
      </c>
      <c r="S92" s="74">
        <v>0.8</v>
      </c>
      <c r="T92" s="75">
        <f t="shared" si="34"/>
        <v>3000</v>
      </c>
      <c r="U92" s="76">
        <f t="shared" si="35"/>
        <v>4.9999999999999961E-2</v>
      </c>
      <c r="V92" s="69">
        <f t="shared" si="36"/>
        <v>187.49999999999986</v>
      </c>
      <c r="W92" s="77">
        <f ca="1">V92*VLOOKUP(TODAY(),'UF HOY'!$A$2:$B$36,2,0)</f>
        <v>7450113.7499999944</v>
      </c>
      <c r="X92" s="78">
        <f>Datos!$E$9</f>
        <v>4</v>
      </c>
      <c r="Y92" s="79">
        <f ca="1">IF((W92-1000000-Datos!$N$9)/X92&gt;0,(W92-1000000-Datos!$N$9)/X92,0)</f>
        <v>1587528.4374999986</v>
      </c>
      <c r="Z92" s="78">
        <f>Datos!$G$9</f>
        <v>4</v>
      </c>
      <c r="AA92" s="79">
        <f ca="1">IF((W92-1000000-Datos!$N$9)/Z92&gt;0,(W92-1000000-Datos!$N$9)/Z92,0)</f>
        <v>1587528.4374999986</v>
      </c>
      <c r="AB92" s="79">
        <f>IF(L92&gt;0,VLOOKUP(D92,Datos!$H$25:$J$28,3,0),VLOOKUP(D92,Datos!$H$25:$J$28,2,0))</f>
        <v>440000</v>
      </c>
      <c r="AC92" s="79">
        <f ca="1">(S92*PMT(Datos!$D$15,Datos!$D$13,-O92,,)*VLOOKUP(TODAY(),'UF HOY'!$A$2:$B$36,2,0)/12)</f>
        <v>574454.42229273787</v>
      </c>
      <c r="AD92" s="79">
        <f t="shared" ca="1" si="37"/>
        <v>-134454.42229273787</v>
      </c>
      <c r="AE92" s="45"/>
      <c r="AF92" s="45"/>
    </row>
    <row r="93" spans="1:32" hidden="1">
      <c r="A93" s="173" t="s">
        <v>171</v>
      </c>
      <c r="B93" s="173">
        <v>1402</v>
      </c>
      <c r="C93" s="67" t="s">
        <v>123</v>
      </c>
      <c r="D93" s="67" t="s">
        <v>125</v>
      </c>
      <c r="E93" s="67"/>
      <c r="F93" s="66"/>
      <c r="G93" s="66"/>
      <c r="H93" s="67">
        <v>52.080000000000005</v>
      </c>
      <c r="I93" s="68">
        <v>54.28</v>
      </c>
      <c r="J93" s="69">
        <v>3750</v>
      </c>
      <c r="K93" s="70">
        <v>0</v>
      </c>
      <c r="L93" s="71">
        <v>0</v>
      </c>
      <c r="M93" s="71">
        <v>0</v>
      </c>
      <c r="N93" s="72">
        <f t="shared" si="29"/>
        <v>3187.5</v>
      </c>
      <c r="O93" s="73">
        <f t="shared" si="30"/>
        <v>3750</v>
      </c>
      <c r="P93" s="121">
        <f t="shared" si="31"/>
        <v>61.203917050691238</v>
      </c>
      <c r="Q93" s="74">
        <f t="shared" si="32"/>
        <v>0.15</v>
      </c>
      <c r="R93" s="75">
        <f t="shared" si="33"/>
        <v>562.5</v>
      </c>
      <c r="S93" s="74">
        <v>0.8</v>
      </c>
      <c r="T93" s="87">
        <f t="shared" si="34"/>
        <v>3000</v>
      </c>
      <c r="U93" s="88">
        <f t="shared" si="35"/>
        <v>4.9999999999999961E-2</v>
      </c>
      <c r="V93" s="69">
        <f t="shared" si="36"/>
        <v>187.49999999999986</v>
      </c>
      <c r="W93" s="89">
        <f ca="1">V93*VLOOKUP(TODAY(),'UF HOY'!$A$2:$B$36,2,0)</f>
        <v>7450113.7499999944</v>
      </c>
      <c r="X93" s="78">
        <f>Datos!$E$9</f>
        <v>4</v>
      </c>
      <c r="Y93" s="79">
        <f ca="1">IF((W93-1000000-Datos!$N$9)/X93&gt;0,(W93-1000000-Datos!$N$9)/X93,0)</f>
        <v>1587528.4374999986</v>
      </c>
      <c r="Z93" s="78">
        <f>Datos!$G$9</f>
        <v>4</v>
      </c>
      <c r="AA93" s="79">
        <f ca="1">IF((W93-1000000-Datos!$N$9)/Z93&gt;0,(W93-1000000-Datos!$N$9)/Z93,0)</f>
        <v>1587528.4374999986</v>
      </c>
      <c r="AB93" s="79">
        <f>IF(L93&gt;0,VLOOKUP(D93,Datos!$H$25:$J$28,3,0),VLOOKUP(D93,Datos!$H$25:$J$28,2,0))</f>
        <v>440000</v>
      </c>
      <c r="AC93" s="79">
        <f ca="1">(S93*PMT(Datos!$D$15,Datos!$D$13,-O93,,)*VLOOKUP(TODAY(),'UF HOY'!$A$2:$B$36,2,0)/12)</f>
        <v>574454.42229273787</v>
      </c>
      <c r="AD93" s="89">
        <f t="shared" ca="1" si="37"/>
        <v>-134454.42229273787</v>
      </c>
      <c r="AE93" s="45"/>
      <c r="AF93" s="45"/>
    </row>
    <row r="94" spans="1:32" hidden="1">
      <c r="A94" s="173" t="s">
        <v>171</v>
      </c>
      <c r="B94" s="173">
        <v>602</v>
      </c>
      <c r="C94" s="67" t="s">
        <v>123</v>
      </c>
      <c r="D94" s="67" t="s">
        <v>125</v>
      </c>
      <c r="E94" s="67"/>
      <c r="F94" s="66"/>
      <c r="G94" s="66"/>
      <c r="H94" s="67">
        <v>52.080000000000005</v>
      </c>
      <c r="I94" s="68">
        <v>54.28</v>
      </c>
      <c r="J94" s="69">
        <v>3750</v>
      </c>
      <c r="K94" s="70">
        <v>0</v>
      </c>
      <c r="L94" s="71">
        <v>390</v>
      </c>
      <c r="M94" s="71">
        <v>0</v>
      </c>
      <c r="N94" s="72">
        <f t="shared" si="29"/>
        <v>3519</v>
      </c>
      <c r="O94" s="73">
        <f t="shared" si="30"/>
        <v>4140</v>
      </c>
      <c r="P94" s="121">
        <f t="shared" si="31"/>
        <v>60.080645161290313</v>
      </c>
      <c r="Q94" s="74">
        <f t="shared" si="32"/>
        <v>0.15</v>
      </c>
      <c r="R94" s="75">
        <f t="shared" si="33"/>
        <v>621</v>
      </c>
      <c r="S94" s="74">
        <v>0.8</v>
      </c>
      <c r="T94" s="75">
        <f t="shared" si="34"/>
        <v>3312</v>
      </c>
      <c r="U94" s="76">
        <f t="shared" si="35"/>
        <v>4.9999999999999961E-2</v>
      </c>
      <c r="V94" s="69">
        <f t="shared" si="36"/>
        <v>206.99999999999983</v>
      </c>
      <c r="W94" s="77">
        <f ca="1">V94*VLOOKUP(TODAY(),'UF HOY'!$A$2:$B$36,2,0)</f>
        <v>8224925.5799999936</v>
      </c>
      <c r="X94" s="78">
        <f>Datos!$E$9</f>
        <v>4</v>
      </c>
      <c r="Y94" s="79">
        <f ca="1">IF((W94-1000000-Datos!$N$9)/X94&gt;0,(W94-1000000-Datos!$N$9)/X94,0)</f>
        <v>1781231.3949999984</v>
      </c>
      <c r="Z94" s="78">
        <f>Datos!$G$9</f>
        <v>4</v>
      </c>
      <c r="AA94" s="79">
        <f ca="1">IF((W94-1000000-Datos!$N$9)/Z94&gt;0,(W94-1000000-Datos!$N$9)/Z94,0)</f>
        <v>1781231.3949999984</v>
      </c>
      <c r="AB94" s="79">
        <f>IF(L94&gt;0,VLOOKUP(D94,Datos!$H$25:$J$28,3,0),VLOOKUP(D94,Datos!$H$25:$J$28,2,0))</f>
        <v>480000</v>
      </c>
      <c r="AC94" s="79">
        <f ca="1">(S94*PMT(Datos!$D$15,Datos!$D$13,-O94,,)*VLOOKUP(TODAY(),'UF HOY'!$A$2:$B$36,2,0)/12)</f>
        <v>634197.68221118278</v>
      </c>
      <c r="AD94" s="79">
        <f t="shared" ca="1" si="37"/>
        <v>-154197.68221118278</v>
      </c>
      <c r="AE94" s="45"/>
      <c r="AF94" s="45"/>
    </row>
    <row r="95" spans="1:32" hidden="1">
      <c r="A95" s="173" t="s">
        <v>171</v>
      </c>
      <c r="B95" s="173">
        <v>1302</v>
      </c>
      <c r="C95" s="67" t="s">
        <v>123</v>
      </c>
      <c r="D95" s="67" t="s">
        <v>125</v>
      </c>
      <c r="E95" s="67"/>
      <c r="F95" s="66"/>
      <c r="G95" s="66"/>
      <c r="H95" s="67">
        <v>52.080000000000005</v>
      </c>
      <c r="I95" s="68">
        <v>54.28</v>
      </c>
      <c r="J95" s="69">
        <v>3750</v>
      </c>
      <c r="K95" s="70">
        <v>0</v>
      </c>
      <c r="L95" s="71">
        <v>0</v>
      </c>
      <c r="M95" s="71">
        <v>0</v>
      </c>
      <c r="N95" s="72">
        <f t="shared" si="29"/>
        <v>3187.5</v>
      </c>
      <c r="O95" s="73">
        <f t="shared" si="30"/>
        <v>3750</v>
      </c>
      <c r="P95" s="121">
        <f t="shared" si="31"/>
        <v>61.203917050691238</v>
      </c>
      <c r="Q95" s="74">
        <f t="shared" si="32"/>
        <v>0.15</v>
      </c>
      <c r="R95" s="75">
        <f t="shared" si="33"/>
        <v>562.5</v>
      </c>
      <c r="S95" s="74">
        <v>0.8</v>
      </c>
      <c r="T95" s="75">
        <f t="shared" si="34"/>
        <v>3000</v>
      </c>
      <c r="U95" s="76">
        <f t="shared" si="35"/>
        <v>4.9999999999999961E-2</v>
      </c>
      <c r="V95" s="69">
        <f t="shared" si="36"/>
        <v>187.49999999999986</v>
      </c>
      <c r="W95" s="77">
        <f ca="1">V95*VLOOKUP(TODAY(),'UF HOY'!$A$2:$B$36,2,0)</f>
        <v>7450113.7499999944</v>
      </c>
      <c r="X95" s="78">
        <f>Datos!$E$9</f>
        <v>4</v>
      </c>
      <c r="Y95" s="79">
        <f ca="1">IF((W95-1000000-Datos!$N$9)/X95&gt;0,(W95-1000000-Datos!$N$9)/X95,0)</f>
        <v>1587528.4374999986</v>
      </c>
      <c r="Z95" s="78">
        <f>Datos!$G$9</f>
        <v>4</v>
      </c>
      <c r="AA95" s="79">
        <f ca="1">IF((W95-1000000-Datos!$N$9)/Z95&gt;0,(W95-1000000-Datos!$N$9)/Z95,0)</f>
        <v>1587528.4374999986</v>
      </c>
      <c r="AB95" s="79">
        <f>IF(L95&gt;0,VLOOKUP(D95,Datos!$H$25:$J$28,3,0),VLOOKUP(D95,Datos!$H$25:$J$28,2,0))</f>
        <v>440000</v>
      </c>
      <c r="AC95" s="79">
        <f ca="1">(S95*PMT(Datos!$D$15,Datos!$D$13,-O95,,)*VLOOKUP(TODAY(),'UF HOY'!$A$2:$B$36,2,0)/12)</f>
        <v>574454.42229273787</v>
      </c>
      <c r="AD95" s="79">
        <f t="shared" ca="1" si="37"/>
        <v>-134454.42229273787</v>
      </c>
      <c r="AE95" s="45"/>
      <c r="AF95" s="45"/>
    </row>
    <row r="96" spans="1:32" hidden="1">
      <c r="A96" s="173" t="s">
        <v>171</v>
      </c>
      <c r="B96" s="173">
        <v>1002</v>
      </c>
      <c r="C96" s="67" t="s">
        <v>123</v>
      </c>
      <c r="D96" s="67" t="s">
        <v>125</v>
      </c>
      <c r="E96" s="67"/>
      <c r="F96" s="66"/>
      <c r="G96" s="66"/>
      <c r="H96" s="67">
        <v>52.080000000000005</v>
      </c>
      <c r="I96" s="68">
        <v>54.28</v>
      </c>
      <c r="J96" s="69">
        <v>3750</v>
      </c>
      <c r="K96" s="70">
        <v>0</v>
      </c>
      <c r="L96" s="71">
        <v>0</v>
      </c>
      <c r="M96" s="71">
        <v>0</v>
      </c>
      <c r="N96" s="72">
        <f t="shared" si="29"/>
        <v>3187.5</v>
      </c>
      <c r="O96" s="73">
        <f t="shared" si="30"/>
        <v>3750</v>
      </c>
      <c r="P96" s="121">
        <f t="shared" si="31"/>
        <v>61.203917050691238</v>
      </c>
      <c r="Q96" s="74">
        <f t="shared" si="32"/>
        <v>0.15</v>
      </c>
      <c r="R96" s="75">
        <f t="shared" si="33"/>
        <v>562.5</v>
      </c>
      <c r="S96" s="74">
        <v>0.8</v>
      </c>
      <c r="T96" s="75">
        <f t="shared" si="34"/>
        <v>3000</v>
      </c>
      <c r="U96" s="76">
        <f t="shared" si="35"/>
        <v>4.9999999999999961E-2</v>
      </c>
      <c r="V96" s="69">
        <f t="shared" si="36"/>
        <v>187.49999999999986</v>
      </c>
      <c r="W96" s="77">
        <f ca="1">V96*VLOOKUP(TODAY(),'UF HOY'!$A$2:$B$36,2,0)</f>
        <v>7450113.7499999944</v>
      </c>
      <c r="X96" s="78">
        <f>Datos!$E$9</f>
        <v>4</v>
      </c>
      <c r="Y96" s="79">
        <f ca="1">IF((W96-1000000-Datos!$N$9)/X96&gt;0,(W96-1000000-Datos!$N$9)/X96,0)</f>
        <v>1587528.4374999986</v>
      </c>
      <c r="Z96" s="78">
        <f>Datos!$G$9</f>
        <v>4</v>
      </c>
      <c r="AA96" s="79">
        <f ca="1">IF((W96-1000000-Datos!$N$9)/Z96&gt;0,(W96-1000000-Datos!$N$9)/Z96,0)</f>
        <v>1587528.4374999986</v>
      </c>
      <c r="AB96" s="79">
        <f>IF(L96&gt;0,VLOOKUP(D96,Datos!$H$25:$J$28,3,0),VLOOKUP(D96,Datos!$H$25:$J$28,2,0))</f>
        <v>440000</v>
      </c>
      <c r="AC96" s="79">
        <f ca="1">(S96*PMT(Datos!$D$15,Datos!$D$13,-O96,,)*VLOOKUP(TODAY(),'UF HOY'!$A$2:$B$36,2,0)/12)</f>
        <v>574454.42229273787</v>
      </c>
      <c r="AD96" s="79">
        <f t="shared" ca="1" si="37"/>
        <v>-134454.42229273787</v>
      </c>
      <c r="AE96" s="45"/>
      <c r="AF96" s="45"/>
    </row>
    <row r="97" spans="1:32" ht="14.25" hidden="1" customHeight="1">
      <c r="A97" s="173" t="s">
        <v>171</v>
      </c>
      <c r="B97" s="173">
        <v>902</v>
      </c>
      <c r="C97" s="67" t="s">
        <v>123</v>
      </c>
      <c r="D97" s="67" t="s">
        <v>125</v>
      </c>
      <c r="E97" s="67"/>
      <c r="F97" s="66"/>
      <c r="G97" s="66"/>
      <c r="H97" s="67">
        <v>52.080000000000005</v>
      </c>
      <c r="I97" s="68">
        <v>54.28</v>
      </c>
      <c r="J97" s="69">
        <v>3750</v>
      </c>
      <c r="K97" s="70">
        <v>0</v>
      </c>
      <c r="L97" s="71">
        <v>0</v>
      </c>
      <c r="M97" s="71">
        <v>0</v>
      </c>
      <c r="N97" s="72">
        <f t="shared" si="29"/>
        <v>3187.5</v>
      </c>
      <c r="O97" s="73">
        <f t="shared" si="30"/>
        <v>3750</v>
      </c>
      <c r="P97" s="121">
        <f t="shared" si="31"/>
        <v>61.203917050691238</v>
      </c>
      <c r="Q97" s="74">
        <f t="shared" si="32"/>
        <v>0.15</v>
      </c>
      <c r="R97" s="75">
        <f t="shared" si="33"/>
        <v>562.5</v>
      </c>
      <c r="S97" s="74">
        <v>0.8</v>
      </c>
      <c r="T97" s="87">
        <f t="shared" si="34"/>
        <v>3000</v>
      </c>
      <c r="U97" s="88">
        <f t="shared" si="35"/>
        <v>4.9999999999999961E-2</v>
      </c>
      <c r="V97" s="69">
        <f t="shared" si="36"/>
        <v>187.49999999999986</v>
      </c>
      <c r="W97" s="89">
        <f ca="1">V97*VLOOKUP(TODAY(),'UF HOY'!$A$2:$B$36,2,0)</f>
        <v>7450113.7499999944</v>
      </c>
      <c r="X97" s="78">
        <f>Datos!$E$9</f>
        <v>4</v>
      </c>
      <c r="Y97" s="79">
        <f ca="1">IF((W97-1000000-Datos!$N$9)/X97&gt;0,(W97-1000000-Datos!$N$9)/X97,0)</f>
        <v>1587528.4374999986</v>
      </c>
      <c r="Z97" s="78">
        <f>Datos!$G$9</f>
        <v>4</v>
      </c>
      <c r="AA97" s="79">
        <f ca="1">IF((W97-1000000-Datos!$N$9)/Z97&gt;0,(W97-1000000-Datos!$N$9)/Z97,0)</f>
        <v>1587528.4374999986</v>
      </c>
      <c r="AB97" s="79">
        <f>IF(L97&gt;0,VLOOKUP(D97,Datos!$H$25:$J$28,3,0),VLOOKUP(D97,Datos!$H$25:$J$28,2,0))</f>
        <v>440000</v>
      </c>
      <c r="AC97" s="79">
        <f ca="1">(S97*PMT(Datos!$D$15,Datos!$D$13,-O97,,)*VLOOKUP(TODAY(),'UF HOY'!$A$2:$B$36,2,0)/12)</f>
        <v>574454.42229273787</v>
      </c>
      <c r="AD97" s="89">
        <f t="shared" ca="1" si="37"/>
        <v>-134454.42229273787</v>
      </c>
      <c r="AE97" s="45"/>
      <c r="AF97" s="45"/>
    </row>
    <row r="98" spans="1:32" hidden="1">
      <c r="A98" s="173" t="s">
        <v>171</v>
      </c>
      <c r="B98" s="173">
        <v>1702</v>
      </c>
      <c r="C98" s="67" t="s">
        <v>123</v>
      </c>
      <c r="D98" s="67" t="s">
        <v>125</v>
      </c>
      <c r="E98" s="67"/>
      <c r="F98" s="66"/>
      <c r="G98" s="66"/>
      <c r="H98" s="67">
        <v>52.080000000000005</v>
      </c>
      <c r="I98" s="68">
        <v>54.28</v>
      </c>
      <c r="J98" s="69">
        <v>3750</v>
      </c>
      <c r="K98" s="70">
        <v>0</v>
      </c>
      <c r="L98" s="71">
        <v>0</v>
      </c>
      <c r="M98" s="71">
        <v>0</v>
      </c>
      <c r="N98" s="72">
        <f t="shared" si="29"/>
        <v>3187.5</v>
      </c>
      <c r="O98" s="73">
        <f t="shared" si="30"/>
        <v>3750</v>
      </c>
      <c r="P98" s="121">
        <f t="shared" si="31"/>
        <v>61.203917050691238</v>
      </c>
      <c r="Q98" s="74">
        <f t="shared" si="32"/>
        <v>0.15</v>
      </c>
      <c r="R98" s="75">
        <f t="shared" si="33"/>
        <v>562.5</v>
      </c>
      <c r="S98" s="74">
        <v>0.8</v>
      </c>
      <c r="T98" s="75">
        <f t="shared" si="34"/>
        <v>3000</v>
      </c>
      <c r="U98" s="76">
        <f t="shared" si="35"/>
        <v>4.9999999999999961E-2</v>
      </c>
      <c r="V98" s="69">
        <f t="shared" si="36"/>
        <v>187.49999999999986</v>
      </c>
      <c r="W98" s="77">
        <f ca="1">V98*VLOOKUP(TODAY(),'UF HOY'!$A$2:$B$36,2,0)</f>
        <v>7450113.7499999944</v>
      </c>
      <c r="X98" s="78">
        <f>Datos!$E$9</f>
        <v>4</v>
      </c>
      <c r="Y98" s="79">
        <f ca="1">IF((W98-1000000-Datos!$N$9)/X98&gt;0,(W98-1000000-Datos!$N$9)/X98,0)</f>
        <v>1587528.4374999986</v>
      </c>
      <c r="Z98" s="78">
        <f>Datos!$G$9</f>
        <v>4</v>
      </c>
      <c r="AA98" s="79">
        <f ca="1">IF((W98-1000000-Datos!$N$9)/Z98&gt;0,(W98-1000000-Datos!$N$9)/Z98,0)</f>
        <v>1587528.4374999986</v>
      </c>
      <c r="AB98" s="79">
        <f>IF(L98&gt;0,VLOOKUP(D98,Datos!$H$25:$J$28,3,0),VLOOKUP(D98,Datos!$H$25:$J$28,2,0))</f>
        <v>440000</v>
      </c>
      <c r="AC98" s="79">
        <f ca="1">(S98*PMT(Datos!$D$15,Datos!$D$13,-O98,,)*VLOOKUP(TODAY(),'UF HOY'!$A$2:$B$36,2,0)/12)</f>
        <v>574454.42229273787</v>
      </c>
      <c r="AD98" s="79">
        <f t="shared" ca="1" si="37"/>
        <v>-134454.42229273787</v>
      </c>
      <c r="AE98" s="45"/>
      <c r="AF98" s="45"/>
    </row>
    <row r="99" spans="1:32" ht="14.25" hidden="1" customHeight="1">
      <c r="A99" s="173" t="s">
        <v>171</v>
      </c>
      <c r="B99" s="173">
        <v>1404</v>
      </c>
      <c r="C99" s="67" t="s">
        <v>103</v>
      </c>
      <c r="D99" s="67" t="s">
        <v>125</v>
      </c>
      <c r="E99" s="67"/>
      <c r="F99" s="66"/>
      <c r="G99" s="66"/>
      <c r="H99" s="67">
        <v>46.629999999999995</v>
      </c>
      <c r="I99" s="68">
        <v>49.209999999999994</v>
      </c>
      <c r="J99" s="69">
        <v>3390</v>
      </c>
      <c r="K99" s="70">
        <v>0</v>
      </c>
      <c r="L99" s="71">
        <v>380</v>
      </c>
      <c r="M99" s="71">
        <v>0</v>
      </c>
      <c r="N99" s="72">
        <f t="shared" ref="N99:N130" si="38">O99-R99</f>
        <v>3204.5</v>
      </c>
      <c r="O99" s="73">
        <f t="shared" ref="O99:O130" si="39">J99*(100%-K99)+L99+M99</f>
        <v>3770</v>
      </c>
      <c r="P99" s="121">
        <f t="shared" ref="P99:P130" si="40">(N99-L99-M99)/H99</f>
        <v>60.572592751447573</v>
      </c>
      <c r="Q99" s="74">
        <f t="shared" ref="Q99:Q130" si="41">R99/O99</f>
        <v>0.15</v>
      </c>
      <c r="R99" s="75">
        <f t="shared" ref="R99:R130" si="42">O99*0.15</f>
        <v>565.5</v>
      </c>
      <c r="S99" s="74">
        <v>0.8</v>
      </c>
      <c r="T99" s="75">
        <f t="shared" ref="T99:T130" si="43">S99*O99</f>
        <v>3016</v>
      </c>
      <c r="U99" s="76">
        <f t="shared" ref="U99:U130" si="44">100%-S99-Q99</f>
        <v>4.9999999999999961E-2</v>
      </c>
      <c r="V99" s="69">
        <f t="shared" ref="V99:V130" si="45">O99*U99</f>
        <v>188.49999999999986</v>
      </c>
      <c r="W99" s="77">
        <f ca="1">V99*VLOOKUP(TODAY(),'UF HOY'!$A$2:$B$36,2,0)</f>
        <v>7489847.6899999948</v>
      </c>
      <c r="X99" s="78">
        <f>Datos!$E$9</f>
        <v>4</v>
      </c>
      <c r="Y99" s="79">
        <f ca="1">IF((W99-1000000-Datos!$N$9)/X99&gt;0,(W99-1000000-Datos!$N$9)/X99,0)</f>
        <v>1597461.9224999987</v>
      </c>
      <c r="Z99" s="78">
        <f>Datos!$G$9</f>
        <v>4</v>
      </c>
      <c r="AA99" s="79">
        <f ca="1">IF((W99-1000000-Datos!$N$9)/Z99&gt;0,(W99-1000000-Datos!$N$9)/Z99,0)</f>
        <v>1597461.9224999987</v>
      </c>
      <c r="AB99" s="79">
        <f>IF(L99&gt;0,VLOOKUP(D99,Datos!$H$25:$J$28,3,0),VLOOKUP(D99,Datos!$H$25:$J$28,2,0))</f>
        <v>480000</v>
      </c>
      <c r="AC99" s="79">
        <f ca="1">(S99*PMT(Datos!$D$15,Datos!$D$13,-O99,,)*VLOOKUP(TODAY(),'UF HOY'!$A$2:$B$36,2,0)/12)</f>
        <v>577518.17921163258</v>
      </c>
      <c r="AD99" s="79">
        <f t="shared" ref="AD99:AD130" ca="1" si="46">AB99-AC99</f>
        <v>-97518.179211632581</v>
      </c>
      <c r="AE99" s="45"/>
      <c r="AF99" s="45"/>
    </row>
    <row r="100" spans="1:32" hidden="1">
      <c r="A100" s="173" t="s">
        <v>171</v>
      </c>
      <c r="B100" s="173">
        <v>704</v>
      </c>
      <c r="C100" s="67" t="s">
        <v>103</v>
      </c>
      <c r="D100" s="67" t="s">
        <v>125</v>
      </c>
      <c r="E100" s="67"/>
      <c r="F100" s="66"/>
      <c r="G100" s="66"/>
      <c r="H100" s="67">
        <v>46.629999999999995</v>
      </c>
      <c r="I100" s="68">
        <v>49.209999999999994</v>
      </c>
      <c r="J100" s="69">
        <v>3390</v>
      </c>
      <c r="K100" s="70">
        <v>0</v>
      </c>
      <c r="L100" s="71">
        <v>390</v>
      </c>
      <c r="M100" s="71">
        <v>0</v>
      </c>
      <c r="N100" s="72">
        <f t="shared" si="38"/>
        <v>3213</v>
      </c>
      <c r="O100" s="73">
        <f t="shared" si="39"/>
        <v>3780</v>
      </c>
      <c r="P100" s="121">
        <f t="shared" si="40"/>
        <v>60.540424619343774</v>
      </c>
      <c r="Q100" s="74">
        <f t="shared" si="41"/>
        <v>0.15</v>
      </c>
      <c r="R100" s="75">
        <f t="shared" si="42"/>
        <v>567</v>
      </c>
      <c r="S100" s="74">
        <v>0.8</v>
      </c>
      <c r="T100" s="75">
        <f t="shared" si="43"/>
        <v>3024</v>
      </c>
      <c r="U100" s="76">
        <f t="shared" si="44"/>
        <v>4.9999999999999961E-2</v>
      </c>
      <c r="V100" s="69">
        <f t="shared" si="45"/>
        <v>188.99999999999986</v>
      </c>
      <c r="W100" s="77">
        <f ca="1">V100*VLOOKUP(TODAY(),'UF HOY'!$A$2:$B$36,2,0)</f>
        <v>7509714.6599999946</v>
      </c>
      <c r="X100" s="78">
        <f>Datos!$E$9</f>
        <v>4</v>
      </c>
      <c r="Y100" s="79">
        <f ca="1">IF((W100-1000000-Datos!$N$9)/X100&gt;0,(W100-1000000-Datos!$N$9)/X100,0)</f>
        <v>1602428.6649999986</v>
      </c>
      <c r="Z100" s="78">
        <f>Datos!$G$9</f>
        <v>4</v>
      </c>
      <c r="AA100" s="79">
        <f ca="1">IF((W100-1000000-Datos!$N$9)/Z100&gt;0,(W100-1000000-Datos!$N$9)/Z100,0)</f>
        <v>1602428.6649999986</v>
      </c>
      <c r="AB100" s="79">
        <f>IF(L100&gt;0,VLOOKUP(D100,Datos!$H$25:$J$28,3,0),VLOOKUP(D100,Datos!$H$25:$J$28,2,0))</f>
        <v>480000</v>
      </c>
      <c r="AC100" s="79">
        <f ca="1">(S100*PMT(Datos!$D$15,Datos!$D$13,-O100,,)*VLOOKUP(TODAY(),'UF HOY'!$A$2:$B$36,2,0)/12)</f>
        <v>579050.05767107988</v>
      </c>
      <c r="AD100" s="79">
        <f t="shared" ca="1" si="46"/>
        <v>-99050.057671079878</v>
      </c>
      <c r="AE100" s="45"/>
      <c r="AF100" s="45"/>
    </row>
    <row r="101" spans="1:32" hidden="1">
      <c r="A101" s="173" t="s">
        <v>171</v>
      </c>
      <c r="B101" s="173">
        <v>804</v>
      </c>
      <c r="C101" s="67" t="s">
        <v>103</v>
      </c>
      <c r="D101" s="67" t="s">
        <v>125</v>
      </c>
      <c r="E101" s="67"/>
      <c r="F101" s="66"/>
      <c r="G101" s="66"/>
      <c r="H101" s="67">
        <v>46.629999999999995</v>
      </c>
      <c r="I101" s="68">
        <v>49.209999999999994</v>
      </c>
      <c r="J101" s="69">
        <v>3390</v>
      </c>
      <c r="K101" s="70">
        <v>0</v>
      </c>
      <c r="L101" s="71">
        <v>390</v>
      </c>
      <c r="M101" s="71">
        <v>0</v>
      </c>
      <c r="N101" s="72">
        <f t="shared" si="38"/>
        <v>3213</v>
      </c>
      <c r="O101" s="73">
        <f t="shared" si="39"/>
        <v>3780</v>
      </c>
      <c r="P101" s="121">
        <f t="shared" si="40"/>
        <v>60.540424619343774</v>
      </c>
      <c r="Q101" s="74">
        <f t="shared" si="41"/>
        <v>0.15</v>
      </c>
      <c r="R101" s="75">
        <f t="shared" si="42"/>
        <v>567</v>
      </c>
      <c r="S101" s="74">
        <v>0.8</v>
      </c>
      <c r="T101" s="75">
        <f t="shared" si="43"/>
        <v>3024</v>
      </c>
      <c r="U101" s="76">
        <f t="shared" si="44"/>
        <v>4.9999999999999961E-2</v>
      </c>
      <c r="V101" s="69">
        <f t="shared" si="45"/>
        <v>188.99999999999986</v>
      </c>
      <c r="W101" s="77">
        <f ca="1">V101*VLOOKUP(TODAY(),'UF HOY'!$A$2:$B$36,2,0)</f>
        <v>7509714.6599999946</v>
      </c>
      <c r="X101" s="78">
        <f>Datos!$E$9</f>
        <v>4</v>
      </c>
      <c r="Y101" s="79">
        <f ca="1">IF((W101-1000000-Datos!$N$9)/X101&gt;0,(W101-1000000-Datos!$N$9)/X101,0)</f>
        <v>1602428.6649999986</v>
      </c>
      <c r="Z101" s="78">
        <f>Datos!$G$9</f>
        <v>4</v>
      </c>
      <c r="AA101" s="79">
        <f ca="1">IF((W101-1000000-Datos!$N$9)/Z101&gt;0,(W101-1000000-Datos!$N$9)/Z101,0)</f>
        <v>1602428.6649999986</v>
      </c>
      <c r="AB101" s="79">
        <f>IF(L101&gt;0,VLOOKUP(D101,Datos!$H$25:$J$28,3,0),VLOOKUP(D101,Datos!$H$25:$J$28,2,0))</f>
        <v>480000</v>
      </c>
      <c r="AC101" s="79">
        <f ca="1">(S101*PMT(Datos!$D$15,Datos!$D$13,-O101,,)*VLOOKUP(TODAY(),'UF HOY'!$A$2:$B$36,2,0)/12)</f>
        <v>579050.05767107988</v>
      </c>
      <c r="AD101" s="79">
        <f t="shared" ca="1" si="46"/>
        <v>-99050.057671079878</v>
      </c>
      <c r="AE101" s="45"/>
      <c r="AF101" s="45"/>
    </row>
    <row r="102" spans="1:32" hidden="1">
      <c r="A102" s="173" t="s">
        <v>171</v>
      </c>
      <c r="B102" s="173">
        <v>904</v>
      </c>
      <c r="C102" s="67" t="s">
        <v>103</v>
      </c>
      <c r="D102" s="67" t="s">
        <v>125</v>
      </c>
      <c r="E102" s="67"/>
      <c r="F102" s="66"/>
      <c r="G102" s="66"/>
      <c r="H102" s="67">
        <v>46.629999999999995</v>
      </c>
      <c r="I102" s="68">
        <v>49.209999999999994</v>
      </c>
      <c r="J102" s="69">
        <v>3390</v>
      </c>
      <c r="K102" s="70">
        <v>0</v>
      </c>
      <c r="L102" s="71">
        <v>390</v>
      </c>
      <c r="M102" s="71">
        <v>0</v>
      </c>
      <c r="N102" s="72">
        <f t="shared" si="38"/>
        <v>3213</v>
      </c>
      <c r="O102" s="73">
        <f t="shared" si="39"/>
        <v>3780</v>
      </c>
      <c r="P102" s="121">
        <f t="shared" si="40"/>
        <v>60.540424619343774</v>
      </c>
      <c r="Q102" s="74">
        <f t="shared" si="41"/>
        <v>0.15</v>
      </c>
      <c r="R102" s="75">
        <f t="shared" si="42"/>
        <v>567</v>
      </c>
      <c r="S102" s="74">
        <v>0.8</v>
      </c>
      <c r="T102" s="75">
        <f t="shared" si="43"/>
        <v>3024</v>
      </c>
      <c r="U102" s="76">
        <f t="shared" si="44"/>
        <v>4.9999999999999961E-2</v>
      </c>
      <c r="V102" s="69">
        <f t="shared" si="45"/>
        <v>188.99999999999986</v>
      </c>
      <c r="W102" s="77">
        <f ca="1">V102*VLOOKUP(TODAY(),'UF HOY'!$A$2:$B$36,2,0)</f>
        <v>7509714.6599999946</v>
      </c>
      <c r="X102" s="78">
        <f>Datos!$E$9</f>
        <v>4</v>
      </c>
      <c r="Y102" s="79">
        <f ca="1">IF((W102-1000000-Datos!$N$9)/X102&gt;0,(W102-1000000-Datos!$N$9)/X102,0)</f>
        <v>1602428.6649999986</v>
      </c>
      <c r="Z102" s="78">
        <f>Datos!$G$9</f>
        <v>4</v>
      </c>
      <c r="AA102" s="79">
        <f ca="1">IF((W102-1000000-Datos!$N$9)/Z102&gt;0,(W102-1000000-Datos!$N$9)/Z102,0)</f>
        <v>1602428.6649999986</v>
      </c>
      <c r="AB102" s="79">
        <f>IF(L102&gt;0,VLOOKUP(D102,Datos!$H$25:$J$28,3,0),VLOOKUP(D102,Datos!$H$25:$J$28,2,0))</f>
        <v>480000</v>
      </c>
      <c r="AC102" s="79">
        <f ca="1">(S102*PMT(Datos!$D$15,Datos!$D$13,-O102,,)*VLOOKUP(TODAY(),'UF HOY'!$A$2:$B$36,2,0)/12)</f>
        <v>579050.05767107988</v>
      </c>
      <c r="AD102" s="79">
        <f t="shared" ca="1" si="46"/>
        <v>-99050.057671079878</v>
      </c>
      <c r="AE102" s="45"/>
      <c r="AF102" s="45"/>
    </row>
    <row r="103" spans="1:32" hidden="1">
      <c r="A103" s="173" t="s">
        <v>171</v>
      </c>
      <c r="B103" s="173">
        <v>1004</v>
      </c>
      <c r="C103" s="67" t="s">
        <v>103</v>
      </c>
      <c r="D103" s="67" t="s">
        <v>125</v>
      </c>
      <c r="E103" s="67"/>
      <c r="F103" s="66"/>
      <c r="G103" s="66"/>
      <c r="H103" s="67">
        <v>46.629999999999995</v>
      </c>
      <c r="I103" s="68">
        <v>49.209999999999994</v>
      </c>
      <c r="J103" s="69">
        <v>3390</v>
      </c>
      <c r="K103" s="70">
        <v>0</v>
      </c>
      <c r="L103" s="71">
        <v>390</v>
      </c>
      <c r="M103" s="71">
        <v>0</v>
      </c>
      <c r="N103" s="72">
        <f t="shared" si="38"/>
        <v>3213</v>
      </c>
      <c r="O103" s="73">
        <f t="shared" si="39"/>
        <v>3780</v>
      </c>
      <c r="P103" s="121">
        <f t="shared" si="40"/>
        <v>60.540424619343774</v>
      </c>
      <c r="Q103" s="74">
        <f t="shared" si="41"/>
        <v>0.15</v>
      </c>
      <c r="R103" s="75">
        <f t="shared" si="42"/>
        <v>567</v>
      </c>
      <c r="S103" s="74">
        <v>0.8</v>
      </c>
      <c r="T103" s="75">
        <f t="shared" si="43"/>
        <v>3024</v>
      </c>
      <c r="U103" s="76">
        <f t="shared" si="44"/>
        <v>4.9999999999999961E-2</v>
      </c>
      <c r="V103" s="69">
        <f t="shared" si="45"/>
        <v>188.99999999999986</v>
      </c>
      <c r="W103" s="77">
        <f ca="1">V103*VLOOKUP(TODAY(),'UF HOY'!$A$2:$B$36,2,0)</f>
        <v>7509714.6599999946</v>
      </c>
      <c r="X103" s="78">
        <f>Datos!$E$9</f>
        <v>4</v>
      </c>
      <c r="Y103" s="79">
        <f ca="1">IF((W103-1000000-Datos!$N$9)/X103&gt;0,(W103-1000000-Datos!$N$9)/X103,0)</f>
        <v>1602428.6649999986</v>
      </c>
      <c r="Z103" s="78">
        <f>Datos!$G$9</f>
        <v>4</v>
      </c>
      <c r="AA103" s="79">
        <f ca="1">IF((W103-1000000-Datos!$N$9)/Z103&gt;0,(W103-1000000-Datos!$N$9)/Z103,0)</f>
        <v>1602428.6649999986</v>
      </c>
      <c r="AB103" s="79">
        <f>IF(L103&gt;0,VLOOKUP(D103,Datos!$H$25:$J$28,3,0),VLOOKUP(D103,Datos!$H$25:$J$28,2,0))</f>
        <v>480000</v>
      </c>
      <c r="AC103" s="79">
        <f ca="1">(S103*PMT(Datos!$D$15,Datos!$D$13,-O103,,)*VLOOKUP(TODAY(),'UF HOY'!$A$2:$B$36,2,0)/12)</f>
        <v>579050.05767107988</v>
      </c>
      <c r="AD103" s="79">
        <f t="shared" ca="1" si="46"/>
        <v>-99050.057671079878</v>
      </c>
      <c r="AE103" s="45"/>
      <c r="AF103" s="45"/>
    </row>
    <row r="104" spans="1:32" hidden="1">
      <c r="A104" s="173" t="s">
        <v>171</v>
      </c>
      <c r="B104" s="173">
        <v>1104</v>
      </c>
      <c r="C104" s="67" t="s">
        <v>103</v>
      </c>
      <c r="D104" s="67" t="s">
        <v>125</v>
      </c>
      <c r="E104" s="67"/>
      <c r="F104" s="66"/>
      <c r="G104" s="66"/>
      <c r="H104" s="67">
        <v>46.629999999999995</v>
      </c>
      <c r="I104" s="68">
        <v>49.209999999999994</v>
      </c>
      <c r="J104" s="69">
        <v>3390</v>
      </c>
      <c r="K104" s="70">
        <v>0</v>
      </c>
      <c r="L104" s="71">
        <v>390</v>
      </c>
      <c r="M104" s="71">
        <v>0</v>
      </c>
      <c r="N104" s="72">
        <f t="shared" si="38"/>
        <v>3213</v>
      </c>
      <c r="O104" s="73">
        <f t="shared" si="39"/>
        <v>3780</v>
      </c>
      <c r="P104" s="121">
        <f t="shared" si="40"/>
        <v>60.540424619343774</v>
      </c>
      <c r="Q104" s="74">
        <f t="shared" si="41"/>
        <v>0.15</v>
      </c>
      <c r="R104" s="75">
        <f t="shared" si="42"/>
        <v>567</v>
      </c>
      <c r="S104" s="74">
        <v>0.8</v>
      </c>
      <c r="T104" s="75">
        <f t="shared" si="43"/>
        <v>3024</v>
      </c>
      <c r="U104" s="76">
        <f t="shared" si="44"/>
        <v>4.9999999999999961E-2</v>
      </c>
      <c r="V104" s="69">
        <f t="shared" si="45"/>
        <v>188.99999999999986</v>
      </c>
      <c r="W104" s="77">
        <f ca="1">V104*VLOOKUP(TODAY(),'UF HOY'!$A$2:$B$36,2,0)</f>
        <v>7509714.6599999946</v>
      </c>
      <c r="X104" s="78">
        <f>Datos!$E$9</f>
        <v>4</v>
      </c>
      <c r="Y104" s="79">
        <f ca="1">IF((W104-1000000-Datos!$N$9)/X104&gt;0,(W104-1000000-Datos!$N$9)/X104,0)</f>
        <v>1602428.6649999986</v>
      </c>
      <c r="Z104" s="78">
        <f>Datos!$G$9</f>
        <v>4</v>
      </c>
      <c r="AA104" s="79">
        <f ca="1">IF((W104-1000000-Datos!$N$9)/Z104&gt;0,(W104-1000000-Datos!$N$9)/Z104,0)</f>
        <v>1602428.6649999986</v>
      </c>
      <c r="AB104" s="79">
        <f>IF(L104&gt;0,VLOOKUP(D104,Datos!$H$25:$J$28,3,0),VLOOKUP(D104,Datos!$H$25:$J$28,2,0))</f>
        <v>480000</v>
      </c>
      <c r="AC104" s="79">
        <f ca="1">(S104*PMT(Datos!$D$15,Datos!$D$13,-O104,,)*VLOOKUP(TODAY(),'UF HOY'!$A$2:$B$36,2,0)/12)</f>
        <v>579050.05767107988</v>
      </c>
      <c r="AD104" s="79">
        <f t="shared" ca="1" si="46"/>
        <v>-99050.057671079878</v>
      </c>
      <c r="AE104" s="45"/>
      <c r="AF104" s="45"/>
    </row>
    <row r="105" spans="1:32" hidden="1">
      <c r="A105" s="173" t="s">
        <v>171</v>
      </c>
      <c r="B105" s="173">
        <v>1304</v>
      </c>
      <c r="C105" s="67" t="s">
        <v>103</v>
      </c>
      <c r="D105" s="67" t="s">
        <v>125</v>
      </c>
      <c r="E105" s="67"/>
      <c r="F105" s="66"/>
      <c r="G105" s="66"/>
      <c r="H105" s="67">
        <v>46.629999999999995</v>
      </c>
      <c r="I105" s="68">
        <v>49.209999999999994</v>
      </c>
      <c r="J105" s="69">
        <v>3390</v>
      </c>
      <c r="K105" s="70">
        <v>0</v>
      </c>
      <c r="L105" s="71">
        <v>390</v>
      </c>
      <c r="M105" s="71">
        <v>0</v>
      </c>
      <c r="N105" s="72">
        <f t="shared" si="38"/>
        <v>3213</v>
      </c>
      <c r="O105" s="73">
        <f t="shared" si="39"/>
        <v>3780</v>
      </c>
      <c r="P105" s="121">
        <f t="shared" si="40"/>
        <v>60.540424619343774</v>
      </c>
      <c r="Q105" s="74">
        <f t="shared" si="41"/>
        <v>0.15</v>
      </c>
      <c r="R105" s="75">
        <f t="shared" si="42"/>
        <v>567</v>
      </c>
      <c r="S105" s="74">
        <v>0.8</v>
      </c>
      <c r="T105" s="75">
        <f t="shared" si="43"/>
        <v>3024</v>
      </c>
      <c r="U105" s="76">
        <f t="shared" si="44"/>
        <v>4.9999999999999961E-2</v>
      </c>
      <c r="V105" s="69">
        <f t="shared" si="45"/>
        <v>188.99999999999986</v>
      </c>
      <c r="W105" s="77">
        <f ca="1">V105*VLOOKUP(TODAY(),'UF HOY'!$A$2:$B$36,2,0)</f>
        <v>7509714.6599999946</v>
      </c>
      <c r="X105" s="78">
        <f>Datos!$E$9</f>
        <v>4</v>
      </c>
      <c r="Y105" s="79">
        <f ca="1">IF((W105-1000000-Datos!$N$9)/X105&gt;0,(W105-1000000-Datos!$N$9)/X105,0)</f>
        <v>1602428.6649999986</v>
      </c>
      <c r="Z105" s="78">
        <f>Datos!$G$9</f>
        <v>4</v>
      </c>
      <c r="AA105" s="79">
        <f ca="1">IF((W105-1000000-Datos!$N$9)/Z105&gt;0,(W105-1000000-Datos!$N$9)/Z105,0)</f>
        <v>1602428.6649999986</v>
      </c>
      <c r="AB105" s="79">
        <f>IF(L105&gt;0,VLOOKUP(D105,Datos!$H$25:$J$28,3,0),VLOOKUP(D105,Datos!$H$25:$J$28,2,0))</f>
        <v>480000</v>
      </c>
      <c r="AC105" s="79">
        <f ca="1">(S105*PMT(Datos!$D$15,Datos!$D$13,-O105,,)*VLOOKUP(TODAY(),'UF HOY'!$A$2:$B$36,2,0)/12)</f>
        <v>579050.05767107988</v>
      </c>
      <c r="AD105" s="79">
        <f t="shared" ca="1" si="46"/>
        <v>-99050.057671079878</v>
      </c>
      <c r="AE105" s="45"/>
      <c r="AF105" s="45"/>
    </row>
    <row r="106" spans="1:32" hidden="1">
      <c r="A106" s="173" t="s">
        <v>171</v>
      </c>
      <c r="B106" s="173">
        <v>1204</v>
      </c>
      <c r="C106" s="67" t="s">
        <v>103</v>
      </c>
      <c r="D106" s="67" t="s">
        <v>125</v>
      </c>
      <c r="E106" s="67"/>
      <c r="F106" s="66"/>
      <c r="G106" s="66"/>
      <c r="H106" s="67">
        <v>46.629999999999995</v>
      </c>
      <c r="I106" s="68">
        <v>49.209999999999994</v>
      </c>
      <c r="J106" s="69">
        <v>3390</v>
      </c>
      <c r="K106" s="70">
        <v>0</v>
      </c>
      <c r="L106" s="71">
        <v>400</v>
      </c>
      <c r="M106" s="71">
        <v>0</v>
      </c>
      <c r="N106" s="72">
        <f t="shared" si="38"/>
        <v>3221.5</v>
      </c>
      <c r="O106" s="73">
        <f t="shared" si="39"/>
        <v>3790</v>
      </c>
      <c r="P106" s="121">
        <f t="shared" si="40"/>
        <v>60.508256487239983</v>
      </c>
      <c r="Q106" s="74">
        <f t="shared" si="41"/>
        <v>0.15</v>
      </c>
      <c r="R106" s="75">
        <f t="shared" si="42"/>
        <v>568.5</v>
      </c>
      <c r="S106" s="74">
        <v>0.8</v>
      </c>
      <c r="T106" s="75">
        <f t="shared" si="43"/>
        <v>3032</v>
      </c>
      <c r="U106" s="76">
        <f t="shared" si="44"/>
        <v>4.9999999999999961E-2</v>
      </c>
      <c r="V106" s="69">
        <f t="shared" si="45"/>
        <v>189.49999999999986</v>
      </c>
      <c r="W106" s="77">
        <f ca="1">V106*VLOOKUP(TODAY(),'UF HOY'!$A$2:$B$36,2,0)</f>
        <v>7529581.6299999952</v>
      </c>
      <c r="X106" s="78">
        <f>Datos!$E$9</f>
        <v>4</v>
      </c>
      <c r="Y106" s="79">
        <f ca="1">IF((W106-1000000-Datos!$N$9)/X106&gt;0,(W106-1000000-Datos!$N$9)/X106,0)</f>
        <v>1607395.4074999988</v>
      </c>
      <c r="Z106" s="78">
        <f>Datos!$G$9</f>
        <v>4</v>
      </c>
      <c r="AA106" s="79">
        <f ca="1">IF((W106-1000000-Datos!$N$9)/Z106&gt;0,(W106-1000000-Datos!$N$9)/Z106,0)</f>
        <v>1607395.4074999988</v>
      </c>
      <c r="AB106" s="79">
        <f>IF(L106&gt;0,VLOOKUP(D106,Datos!$H$25:$J$28,3,0),VLOOKUP(D106,Datos!$H$25:$J$28,2,0))</f>
        <v>480000</v>
      </c>
      <c r="AC106" s="79">
        <f ca="1">(S106*PMT(Datos!$D$15,Datos!$D$13,-O106,,)*VLOOKUP(TODAY(),'UF HOY'!$A$2:$B$36,2,0)/12)</f>
        <v>580581.93613052729</v>
      </c>
      <c r="AD106" s="79">
        <f t="shared" ca="1" si="46"/>
        <v>-100581.93613052729</v>
      </c>
      <c r="AE106" s="45"/>
      <c r="AF106" s="45"/>
    </row>
    <row r="107" spans="1:32" hidden="1">
      <c r="A107" s="173" t="s">
        <v>171</v>
      </c>
      <c r="B107" s="173">
        <v>1504</v>
      </c>
      <c r="C107" s="67" t="s">
        <v>103</v>
      </c>
      <c r="D107" s="67" t="s">
        <v>125</v>
      </c>
      <c r="E107" s="67"/>
      <c r="F107" s="66"/>
      <c r="G107" s="66"/>
      <c r="H107" s="67">
        <v>46.629999999999995</v>
      </c>
      <c r="I107" s="68">
        <v>49.209999999999994</v>
      </c>
      <c r="J107" s="69">
        <v>3390</v>
      </c>
      <c r="K107" s="70">
        <v>0</v>
      </c>
      <c r="L107" s="71">
        <v>400</v>
      </c>
      <c r="M107" s="71">
        <v>0</v>
      </c>
      <c r="N107" s="72">
        <f t="shared" si="38"/>
        <v>3221.5</v>
      </c>
      <c r="O107" s="73">
        <f t="shared" si="39"/>
        <v>3790</v>
      </c>
      <c r="P107" s="121">
        <f t="shared" si="40"/>
        <v>60.508256487239983</v>
      </c>
      <c r="Q107" s="74">
        <f t="shared" si="41"/>
        <v>0.15</v>
      </c>
      <c r="R107" s="75">
        <f t="shared" si="42"/>
        <v>568.5</v>
      </c>
      <c r="S107" s="74">
        <v>0.8</v>
      </c>
      <c r="T107" s="75">
        <f t="shared" si="43"/>
        <v>3032</v>
      </c>
      <c r="U107" s="76">
        <f t="shared" si="44"/>
        <v>4.9999999999999961E-2</v>
      </c>
      <c r="V107" s="69">
        <f t="shared" si="45"/>
        <v>189.49999999999986</v>
      </c>
      <c r="W107" s="77">
        <f ca="1">V107*VLOOKUP(TODAY(),'UF HOY'!$A$2:$B$36,2,0)</f>
        <v>7529581.6299999952</v>
      </c>
      <c r="X107" s="78">
        <f>Datos!$E$9</f>
        <v>4</v>
      </c>
      <c r="Y107" s="79">
        <f ca="1">IF((W107-1000000-Datos!$N$9)/X107&gt;0,(W107-1000000-Datos!$N$9)/X107,0)</f>
        <v>1607395.4074999988</v>
      </c>
      <c r="Z107" s="78">
        <f>Datos!$G$9</f>
        <v>4</v>
      </c>
      <c r="AA107" s="79">
        <f ca="1">IF((W107-1000000-Datos!$N$9)/Z107&gt;0,(W107-1000000-Datos!$N$9)/Z107,0)</f>
        <v>1607395.4074999988</v>
      </c>
      <c r="AB107" s="79">
        <f>IF(L107&gt;0,VLOOKUP(D107,Datos!$H$25:$J$28,3,0),VLOOKUP(D107,Datos!$H$25:$J$28,2,0))</f>
        <v>480000</v>
      </c>
      <c r="AC107" s="79">
        <f ca="1">(S107*PMT(Datos!$D$15,Datos!$D$13,-O107,,)*VLOOKUP(TODAY(),'UF HOY'!$A$2:$B$36,2,0)/12)</f>
        <v>580581.93613052729</v>
      </c>
      <c r="AD107" s="79">
        <f t="shared" ca="1" si="46"/>
        <v>-100581.93613052729</v>
      </c>
      <c r="AE107" s="45"/>
      <c r="AF107" s="45"/>
    </row>
    <row r="108" spans="1:32" hidden="1">
      <c r="A108" s="173" t="s">
        <v>171</v>
      </c>
      <c r="B108" s="173">
        <v>504</v>
      </c>
      <c r="C108" s="67" t="s">
        <v>103</v>
      </c>
      <c r="D108" s="67" t="s">
        <v>125</v>
      </c>
      <c r="E108" s="67"/>
      <c r="F108" s="66"/>
      <c r="G108" s="66"/>
      <c r="H108" s="67">
        <v>46.629999999999995</v>
      </c>
      <c r="I108" s="68">
        <v>49.209999999999994</v>
      </c>
      <c r="J108" s="69">
        <v>3390</v>
      </c>
      <c r="K108" s="70">
        <v>0</v>
      </c>
      <c r="L108" s="71">
        <v>400</v>
      </c>
      <c r="M108" s="71">
        <v>80</v>
      </c>
      <c r="N108" s="72">
        <f t="shared" si="38"/>
        <v>3289.5</v>
      </c>
      <c r="O108" s="73">
        <f t="shared" si="39"/>
        <v>3870</v>
      </c>
      <c r="P108" s="121">
        <f t="shared" si="40"/>
        <v>60.250911430409616</v>
      </c>
      <c r="Q108" s="74">
        <f t="shared" si="41"/>
        <v>0.15</v>
      </c>
      <c r="R108" s="75">
        <f t="shared" si="42"/>
        <v>580.5</v>
      </c>
      <c r="S108" s="74">
        <v>0.8</v>
      </c>
      <c r="T108" s="75">
        <f t="shared" si="43"/>
        <v>3096</v>
      </c>
      <c r="U108" s="76">
        <f t="shared" si="44"/>
        <v>4.9999999999999961E-2</v>
      </c>
      <c r="V108" s="69">
        <f t="shared" si="45"/>
        <v>193.49999999999986</v>
      </c>
      <c r="W108" s="77">
        <f ca="1">V108*VLOOKUP(TODAY(),'UF HOY'!$A$2:$B$36,2,0)</f>
        <v>7688517.389999995</v>
      </c>
      <c r="X108" s="78">
        <f>Datos!$E$9</f>
        <v>4</v>
      </c>
      <c r="Y108" s="79">
        <f ca="1">IF((W108-1000000-Datos!$N$9)/X108&gt;0,(W108-1000000-Datos!$N$9)/X108,0)</f>
        <v>1647129.3474999988</v>
      </c>
      <c r="Z108" s="78">
        <f>Datos!$G$9</f>
        <v>4</v>
      </c>
      <c r="AA108" s="79">
        <f ca="1">IF((W108-1000000-Datos!$N$9)/Z108&gt;0,(W108-1000000-Datos!$N$9)/Z108,0)</f>
        <v>1647129.3474999988</v>
      </c>
      <c r="AB108" s="79">
        <f>IF(L108&gt;0,VLOOKUP(D108,Datos!$H$25:$J$28,3,0),VLOOKUP(D108,Datos!$H$25:$J$28,2,0))</f>
        <v>480000</v>
      </c>
      <c r="AC108" s="79">
        <f ca="1">(S108*PMT(Datos!$D$15,Datos!$D$13,-O108,,)*VLOOKUP(TODAY(),'UF HOY'!$A$2:$B$36,2,0)/12)</f>
        <v>592836.96380610554</v>
      </c>
      <c r="AD108" s="79">
        <f t="shared" ca="1" si="46"/>
        <v>-112836.96380610554</v>
      </c>
      <c r="AE108" s="45"/>
      <c r="AF108" s="45"/>
    </row>
    <row r="109" spans="1:32" hidden="1">
      <c r="A109" s="173" t="s">
        <v>171</v>
      </c>
      <c r="B109" s="173">
        <v>1704</v>
      </c>
      <c r="C109" s="67" t="s">
        <v>103</v>
      </c>
      <c r="D109" s="67" t="s">
        <v>125</v>
      </c>
      <c r="E109" s="67"/>
      <c r="F109" s="66"/>
      <c r="G109" s="66"/>
      <c r="H109" s="67">
        <v>46.629999999999995</v>
      </c>
      <c r="I109" s="68">
        <v>49.209999999999994</v>
      </c>
      <c r="J109" s="69">
        <v>3390</v>
      </c>
      <c r="K109" s="70">
        <v>0</v>
      </c>
      <c r="L109" s="71">
        <v>390</v>
      </c>
      <c r="M109" s="71">
        <v>100</v>
      </c>
      <c r="N109" s="72">
        <f t="shared" si="38"/>
        <v>3298</v>
      </c>
      <c r="O109" s="73">
        <f t="shared" si="39"/>
        <v>3880</v>
      </c>
      <c r="P109" s="121">
        <f t="shared" si="40"/>
        <v>60.218743298305817</v>
      </c>
      <c r="Q109" s="74">
        <f t="shared" si="41"/>
        <v>0.15</v>
      </c>
      <c r="R109" s="75">
        <f t="shared" si="42"/>
        <v>582</v>
      </c>
      <c r="S109" s="74">
        <v>0.8</v>
      </c>
      <c r="T109" s="75">
        <f t="shared" si="43"/>
        <v>3104</v>
      </c>
      <c r="U109" s="76">
        <f t="shared" si="44"/>
        <v>4.9999999999999961E-2</v>
      </c>
      <c r="V109" s="69">
        <f t="shared" si="45"/>
        <v>193.99999999999986</v>
      </c>
      <c r="W109" s="77">
        <f ca="1">V109*VLOOKUP(TODAY(),'UF HOY'!$A$2:$B$36,2,0)</f>
        <v>7708384.3599999947</v>
      </c>
      <c r="X109" s="78">
        <f>Datos!$E$9</f>
        <v>4</v>
      </c>
      <c r="Y109" s="79">
        <f ca="1">IF((W109-1000000-Datos!$N$9)/X109&gt;0,(W109-1000000-Datos!$N$9)/X109,0)</f>
        <v>1652096.0899999987</v>
      </c>
      <c r="Z109" s="78">
        <f>Datos!$G$9</f>
        <v>4</v>
      </c>
      <c r="AA109" s="79">
        <f ca="1">IF((W109-1000000-Datos!$N$9)/Z109&gt;0,(W109-1000000-Datos!$N$9)/Z109,0)</f>
        <v>1652096.0899999987</v>
      </c>
      <c r="AB109" s="79">
        <f>IF(L109&gt;0,VLOOKUP(D109,Datos!$H$25:$J$28,3,0),VLOOKUP(D109,Datos!$H$25:$J$28,2,0))</f>
        <v>480000</v>
      </c>
      <c r="AC109" s="79">
        <f ca="1">(S109*PMT(Datos!$D$15,Datos!$D$13,-O109,,)*VLOOKUP(TODAY(),'UF HOY'!$A$2:$B$36,2,0)/12)</f>
        <v>594368.84226555284</v>
      </c>
      <c r="AD109" s="79">
        <f t="shared" ca="1" si="46"/>
        <v>-114368.84226555284</v>
      </c>
      <c r="AE109" s="45"/>
      <c r="AF109" s="45"/>
    </row>
    <row r="110" spans="1:32" hidden="1">
      <c r="A110" s="173" t="s">
        <v>171</v>
      </c>
      <c r="B110" s="173">
        <v>406</v>
      </c>
      <c r="C110" s="67" t="s">
        <v>103</v>
      </c>
      <c r="D110" s="67" t="s">
        <v>125</v>
      </c>
      <c r="E110" s="67"/>
      <c r="F110" s="66"/>
      <c r="G110" s="66"/>
      <c r="H110" s="67">
        <v>49.49</v>
      </c>
      <c r="I110" s="68">
        <v>55.85</v>
      </c>
      <c r="J110" s="69">
        <v>3560</v>
      </c>
      <c r="K110" s="70">
        <v>0</v>
      </c>
      <c r="L110" s="71">
        <v>380</v>
      </c>
      <c r="M110" s="71">
        <v>0</v>
      </c>
      <c r="N110" s="72">
        <f t="shared" si="38"/>
        <v>3349</v>
      </c>
      <c r="O110" s="73">
        <f t="shared" si="39"/>
        <v>3940</v>
      </c>
      <c r="P110" s="121">
        <f t="shared" si="40"/>
        <v>59.991917559102845</v>
      </c>
      <c r="Q110" s="74">
        <f t="shared" si="41"/>
        <v>0.15</v>
      </c>
      <c r="R110" s="75">
        <f t="shared" si="42"/>
        <v>591</v>
      </c>
      <c r="S110" s="74">
        <v>0.8</v>
      </c>
      <c r="T110" s="75">
        <f t="shared" si="43"/>
        <v>3152</v>
      </c>
      <c r="U110" s="76">
        <f t="shared" si="44"/>
        <v>4.9999999999999961E-2</v>
      </c>
      <c r="V110" s="69">
        <f t="shared" si="45"/>
        <v>196.99999999999986</v>
      </c>
      <c r="W110" s="77">
        <f ca="1">V110*VLOOKUP(TODAY(),'UF HOY'!$A$2:$B$36,2,0)</f>
        <v>7827586.179999995</v>
      </c>
      <c r="X110" s="78">
        <f>Datos!$E$9</f>
        <v>4</v>
      </c>
      <c r="Y110" s="79">
        <f ca="1">IF((W110-1000000-Datos!$N$9)/X110&gt;0,(W110-1000000-Datos!$N$9)/X110,0)</f>
        <v>1681896.5449999988</v>
      </c>
      <c r="Z110" s="78">
        <f>Datos!$G$9</f>
        <v>4</v>
      </c>
      <c r="AA110" s="79">
        <f ca="1">IF((W110-1000000-Datos!$N$9)/Z110&gt;0,(W110-1000000-Datos!$N$9)/Z110,0)</f>
        <v>1681896.5449999988</v>
      </c>
      <c r="AB110" s="79">
        <f>IF(L110&gt;0,VLOOKUP(D110,Datos!$H$25:$J$28,3,0),VLOOKUP(D110,Datos!$H$25:$J$28,2,0))</f>
        <v>480000</v>
      </c>
      <c r="AC110" s="79">
        <f ca="1">(S110*PMT(Datos!$D$15,Datos!$D$13,-O110,,)*VLOOKUP(TODAY(),'UF HOY'!$A$2:$B$36,2,0)/12)</f>
        <v>603560.11302223674</v>
      </c>
      <c r="AD110" s="79">
        <f t="shared" ca="1" si="46"/>
        <v>-123560.11302223674</v>
      </c>
      <c r="AE110" s="45"/>
      <c r="AF110" s="45"/>
    </row>
    <row r="111" spans="1:32" ht="14.25" hidden="1" customHeight="1">
      <c r="A111" s="173" t="s">
        <v>171</v>
      </c>
      <c r="B111" s="173">
        <v>506</v>
      </c>
      <c r="C111" s="67" t="s">
        <v>103</v>
      </c>
      <c r="D111" s="67" t="s">
        <v>125</v>
      </c>
      <c r="E111" s="67"/>
      <c r="F111" s="66"/>
      <c r="G111" s="66"/>
      <c r="H111" s="67">
        <v>49.49</v>
      </c>
      <c r="I111" s="68">
        <v>55.85</v>
      </c>
      <c r="J111" s="69">
        <v>3560</v>
      </c>
      <c r="K111" s="70">
        <v>0</v>
      </c>
      <c r="L111" s="71">
        <v>380</v>
      </c>
      <c r="M111" s="71">
        <v>0</v>
      </c>
      <c r="N111" s="72">
        <f t="shared" si="38"/>
        <v>3349</v>
      </c>
      <c r="O111" s="73">
        <f t="shared" si="39"/>
        <v>3940</v>
      </c>
      <c r="P111" s="121">
        <f t="shared" si="40"/>
        <v>59.991917559102845</v>
      </c>
      <c r="Q111" s="74">
        <f t="shared" si="41"/>
        <v>0.15</v>
      </c>
      <c r="R111" s="75">
        <f t="shared" si="42"/>
        <v>591</v>
      </c>
      <c r="S111" s="74">
        <v>0.8</v>
      </c>
      <c r="T111" s="75">
        <f t="shared" si="43"/>
        <v>3152</v>
      </c>
      <c r="U111" s="76">
        <f t="shared" si="44"/>
        <v>4.9999999999999961E-2</v>
      </c>
      <c r="V111" s="69">
        <f t="shared" si="45"/>
        <v>196.99999999999986</v>
      </c>
      <c r="W111" s="77">
        <f ca="1">V111*VLOOKUP(TODAY(),'UF HOY'!$A$2:$B$36,2,0)</f>
        <v>7827586.179999995</v>
      </c>
      <c r="X111" s="78">
        <f>Datos!$E$9</f>
        <v>4</v>
      </c>
      <c r="Y111" s="79">
        <f ca="1">IF((W111-1000000-Datos!$N$9)/X111&gt;0,(W111-1000000-Datos!$N$9)/X111,0)</f>
        <v>1681896.5449999988</v>
      </c>
      <c r="Z111" s="78">
        <f>Datos!$G$9</f>
        <v>4</v>
      </c>
      <c r="AA111" s="79">
        <f ca="1">IF((W111-1000000-Datos!$N$9)/Z111&gt;0,(W111-1000000-Datos!$N$9)/Z111,0)</f>
        <v>1681896.5449999988</v>
      </c>
      <c r="AB111" s="79">
        <f>IF(L111&gt;0,VLOOKUP(D111,Datos!$H$25:$J$28,3,0),VLOOKUP(D111,Datos!$H$25:$J$28,2,0))</f>
        <v>480000</v>
      </c>
      <c r="AC111" s="79">
        <f ca="1">(S111*PMT(Datos!$D$15,Datos!$D$13,-O111,,)*VLOOKUP(TODAY(),'UF HOY'!$A$2:$B$36,2,0)/12)</f>
        <v>603560.11302223674</v>
      </c>
      <c r="AD111" s="79">
        <f t="shared" ca="1" si="46"/>
        <v>-123560.11302223674</v>
      </c>
      <c r="AE111" s="45"/>
      <c r="AF111" s="45"/>
    </row>
    <row r="112" spans="1:32" hidden="1">
      <c r="A112" s="173" t="s">
        <v>171</v>
      </c>
      <c r="B112" s="173">
        <v>606</v>
      </c>
      <c r="C112" s="67" t="s">
        <v>103</v>
      </c>
      <c r="D112" s="67" t="s">
        <v>125</v>
      </c>
      <c r="E112" s="67"/>
      <c r="F112" s="66"/>
      <c r="G112" s="66"/>
      <c r="H112" s="67">
        <v>49.49</v>
      </c>
      <c r="I112" s="68">
        <v>55.85</v>
      </c>
      <c r="J112" s="69">
        <v>3560</v>
      </c>
      <c r="K112" s="70">
        <v>0</v>
      </c>
      <c r="L112" s="71">
        <v>380</v>
      </c>
      <c r="M112" s="71">
        <v>0</v>
      </c>
      <c r="N112" s="72">
        <f t="shared" si="38"/>
        <v>3349</v>
      </c>
      <c r="O112" s="73">
        <f t="shared" si="39"/>
        <v>3940</v>
      </c>
      <c r="P112" s="121">
        <f t="shared" si="40"/>
        <v>59.991917559102845</v>
      </c>
      <c r="Q112" s="74">
        <f t="shared" si="41"/>
        <v>0.15</v>
      </c>
      <c r="R112" s="75">
        <f t="shared" si="42"/>
        <v>591</v>
      </c>
      <c r="S112" s="74">
        <v>0.8</v>
      </c>
      <c r="T112" s="75">
        <f t="shared" si="43"/>
        <v>3152</v>
      </c>
      <c r="U112" s="76">
        <f t="shared" si="44"/>
        <v>4.9999999999999961E-2</v>
      </c>
      <c r="V112" s="69">
        <f t="shared" si="45"/>
        <v>196.99999999999986</v>
      </c>
      <c r="W112" s="77">
        <f ca="1">V112*VLOOKUP(TODAY(),'UF HOY'!$A$2:$B$36,2,0)</f>
        <v>7827586.179999995</v>
      </c>
      <c r="X112" s="78">
        <f>Datos!$E$9</f>
        <v>4</v>
      </c>
      <c r="Y112" s="79">
        <f ca="1">IF((W112-1000000-Datos!$N$9)/X112&gt;0,(W112-1000000-Datos!$N$9)/X112,0)</f>
        <v>1681896.5449999988</v>
      </c>
      <c r="Z112" s="78">
        <f>Datos!$G$9</f>
        <v>4</v>
      </c>
      <c r="AA112" s="79">
        <f ca="1">IF((W112-1000000-Datos!$N$9)/Z112&gt;0,(W112-1000000-Datos!$N$9)/Z112,0)</f>
        <v>1681896.5449999988</v>
      </c>
      <c r="AB112" s="79">
        <f>IF(L112&gt;0,VLOOKUP(D112,Datos!$H$25:$J$28,3,0),VLOOKUP(D112,Datos!$H$25:$J$28,2,0))</f>
        <v>480000</v>
      </c>
      <c r="AC112" s="79">
        <f ca="1">(S112*PMT(Datos!$D$15,Datos!$D$13,-O112,,)*VLOOKUP(TODAY(),'UF HOY'!$A$2:$B$36,2,0)/12)</f>
        <v>603560.11302223674</v>
      </c>
      <c r="AD112" s="79">
        <f t="shared" ca="1" si="46"/>
        <v>-123560.11302223674</v>
      </c>
      <c r="AE112" s="45"/>
      <c r="AF112" s="45"/>
    </row>
    <row r="113" spans="1:32" hidden="1">
      <c r="A113" s="173" t="s">
        <v>171</v>
      </c>
      <c r="B113" s="173">
        <v>706</v>
      </c>
      <c r="C113" s="67" t="s">
        <v>103</v>
      </c>
      <c r="D113" s="67" t="s">
        <v>125</v>
      </c>
      <c r="E113" s="67"/>
      <c r="F113" s="66"/>
      <c r="G113" s="66"/>
      <c r="H113" s="67">
        <v>49.49</v>
      </c>
      <c r="I113" s="68">
        <v>55.85</v>
      </c>
      <c r="J113" s="69">
        <v>3560</v>
      </c>
      <c r="K113" s="70">
        <v>0</v>
      </c>
      <c r="L113" s="71">
        <v>390</v>
      </c>
      <c r="M113" s="71">
        <v>0</v>
      </c>
      <c r="N113" s="72">
        <f t="shared" si="38"/>
        <v>3357.5</v>
      </c>
      <c r="O113" s="73">
        <f t="shared" si="39"/>
        <v>3950</v>
      </c>
      <c r="P113" s="121">
        <f t="shared" si="40"/>
        <v>59.961608405738531</v>
      </c>
      <c r="Q113" s="74">
        <f t="shared" si="41"/>
        <v>0.15</v>
      </c>
      <c r="R113" s="75">
        <f t="shared" si="42"/>
        <v>592.5</v>
      </c>
      <c r="S113" s="74">
        <v>0.8</v>
      </c>
      <c r="T113" s="75">
        <f t="shared" si="43"/>
        <v>3160</v>
      </c>
      <c r="U113" s="76">
        <f t="shared" si="44"/>
        <v>4.9999999999999961E-2</v>
      </c>
      <c r="V113" s="69">
        <f t="shared" si="45"/>
        <v>197.49999999999986</v>
      </c>
      <c r="W113" s="77">
        <f ca="1">V113*VLOOKUP(TODAY(),'UF HOY'!$A$2:$B$36,2,0)</f>
        <v>7847453.1499999948</v>
      </c>
      <c r="X113" s="78">
        <f>Datos!$E$9</f>
        <v>4</v>
      </c>
      <c r="Y113" s="79">
        <f ca="1">IF((W113-1000000-Datos!$N$9)/X113&gt;0,(W113-1000000-Datos!$N$9)/X113,0)</f>
        <v>1686863.2874999987</v>
      </c>
      <c r="Z113" s="78">
        <f>Datos!$G$9</f>
        <v>4</v>
      </c>
      <c r="AA113" s="79">
        <f ca="1">IF((W113-1000000-Datos!$N$9)/Z113&gt;0,(W113-1000000-Datos!$N$9)/Z113,0)</f>
        <v>1686863.2874999987</v>
      </c>
      <c r="AB113" s="79">
        <f>IF(L113&gt;0,VLOOKUP(D113,Datos!$H$25:$J$28,3,0),VLOOKUP(D113,Datos!$H$25:$J$28,2,0))</f>
        <v>480000</v>
      </c>
      <c r="AC113" s="79">
        <f ca="1">(S113*PMT(Datos!$D$15,Datos!$D$13,-O113,,)*VLOOKUP(TODAY(),'UF HOY'!$A$2:$B$36,2,0)/12)</f>
        <v>605091.99148168403</v>
      </c>
      <c r="AD113" s="79">
        <f t="shared" ca="1" si="46"/>
        <v>-125091.99148168403</v>
      </c>
      <c r="AE113" s="45"/>
      <c r="AF113" s="45"/>
    </row>
    <row r="114" spans="1:32" hidden="1">
      <c r="A114" s="173" t="s">
        <v>171</v>
      </c>
      <c r="B114" s="173">
        <v>806</v>
      </c>
      <c r="C114" s="67" t="s">
        <v>103</v>
      </c>
      <c r="D114" s="67" t="s">
        <v>125</v>
      </c>
      <c r="E114" s="67"/>
      <c r="F114" s="66"/>
      <c r="G114" s="66"/>
      <c r="H114" s="67">
        <v>49.49</v>
      </c>
      <c r="I114" s="68">
        <v>55.85</v>
      </c>
      <c r="J114" s="69">
        <v>3560</v>
      </c>
      <c r="K114" s="70">
        <v>0</v>
      </c>
      <c r="L114" s="71">
        <v>390</v>
      </c>
      <c r="M114" s="71">
        <v>0</v>
      </c>
      <c r="N114" s="72">
        <f t="shared" si="38"/>
        <v>3357.5</v>
      </c>
      <c r="O114" s="73">
        <f t="shared" si="39"/>
        <v>3950</v>
      </c>
      <c r="P114" s="121">
        <f t="shared" si="40"/>
        <v>59.961608405738531</v>
      </c>
      <c r="Q114" s="74">
        <f t="shared" si="41"/>
        <v>0.15</v>
      </c>
      <c r="R114" s="75">
        <f t="shared" si="42"/>
        <v>592.5</v>
      </c>
      <c r="S114" s="74">
        <v>0.8</v>
      </c>
      <c r="T114" s="75">
        <f t="shared" si="43"/>
        <v>3160</v>
      </c>
      <c r="U114" s="76">
        <f t="shared" si="44"/>
        <v>4.9999999999999961E-2</v>
      </c>
      <c r="V114" s="69">
        <f t="shared" si="45"/>
        <v>197.49999999999986</v>
      </c>
      <c r="W114" s="77">
        <f ca="1">V114*VLOOKUP(TODAY(),'UF HOY'!$A$2:$B$36,2,0)</f>
        <v>7847453.1499999948</v>
      </c>
      <c r="X114" s="78">
        <f>Datos!$E$9</f>
        <v>4</v>
      </c>
      <c r="Y114" s="79">
        <f ca="1">IF((W114-1000000-Datos!$N$9)/X114&gt;0,(W114-1000000-Datos!$N$9)/X114,0)</f>
        <v>1686863.2874999987</v>
      </c>
      <c r="Z114" s="78">
        <f>Datos!$G$9</f>
        <v>4</v>
      </c>
      <c r="AA114" s="79">
        <f ca="1">IF((W114-1000000-Datos!$N$9)/Z114&gt;0,(W114-1000000-Datos!$N$9)/Z114,0)</f>
        <v>1686863.2874999987</v>
      </c>
      <c r="AB114" s="79">
        <f>IF(L114&gt;0,VLOOKUP(D114,Datos!$H$25:$J$28,3,0),VLOOKUP(D114,Datos!$H$25:$J$28,2,0))</f>
        <v>480000</v>
      </c>
      <c r="AC114" s="79">
        <f ca="1">(S114*PMT(Datos!$D$15,Datos!$D$13,-O114,,)*VLOOKUP(TODAY(),'UF HOY'!$A$2:$B$36,2,0)/12)</f>
        <v>605091.99148168403</v>
      </c>
      <c r="AD114" s="79">
        <f t="shared" ca="1" si="46"/>
        <v>-125091.99148168403</v>
      </c>
      <c r="AE114" s="45"/>
      <c r="AF114" s="45"/>
    </row>
    <row r="115" spans="1:32" hidden="1">
      <c r="A115" s="173" t="s">
        <v>171</v>
      </c>
      <c r="B115" s="173">
        <v>906</v>
      </c>
      <c r="C115" s="67" t="s">
        <v>103</v>
      </c>
      <c r="D115" s="67" t="s">
        <v>125</v>
      </c>
      <c r="E115" s="67"/>
      <c r="F115" s="66"/>
      <c r="G115" s="66"/>
      <c r="H115" s="67">
        <v>49.49</v>
      </c>
      <c r="I115" s="68">
        <v>55.85</v>
      </c>
      <c r="J115" s="69">
        <v>3560</v>
      </c>
      <c r="K115" s="70">
        <v>0</v>
      </c>
      <c r="L115" s="71">
        <v>390</v>
      </c>
      <c r="M115" s="71">
        <v>0</v>
      </c>
      <c r="N115" s="72">
        <f t="shared" si="38"/>
        <v>3357.5</v>
      </c>
      <c r="O115" s="73">
        <f t="shared" si="39"/>
        <v>3950</v>
      </c>
      <c r="P115" s="121">
        <f t="shared" si="40"/>
        <v>59.961608405738531</v>
      </c>
      <c r="Q115" s="74">
        <f t="shared" si="41"/>
        <v>0.15</v>
      </c>
      <c r="R115" s="75">
        <f t="shared" si="42"/>
        <v>592.5</v>
      </c>
      <c r="S115" s="74">
        <v>0.8</v>
      </c>
      <c r="T115" s="75">
        <f t="shared" si="43"/>
        <v>3160</v>
      </c>
      <c r="U115" s="76">
        <f t="shared" si="44"/>
        <v>4.9999999999999961E-2</v>
      </c>
      <c r="V115" s="69">
        <f t="shared" si="45"/>
        <v>197.49999999999986</v>
      </c>
      <c r="W115" s="77">
        <f ca="1">V115*VLOOKUP(TODAY(),'UF HOY'!$A$2:$B$36,2,0)</f>
        <v>7847453.1499999948</v>
      </c>
      <c r="X115" s="78">
        <f>Datos!$E$9</f>
        <v>4</v>
      </c>
      <c r="Y115" s="79">
        <f ca="1">IF((W115-1000000-Datos!$N$9)/X115&gt;0,(W115-1000000-Datos!$N$9)/X115,0)</f>
        <v>1686863.2874999987</v>
      </c>
      <c r="Z115" s="78">
        <f>Datos!$G$9</f>
        <v>4</v>
      </c>
      <c r="AA115" s="79">
        <f ca="1">IF((W115-1000000-Datos!$N$9)/Z115&gt;0,(W115-1000000-Datos!$N$9)/Z115,0)</f>
        <v>1686863.2874999987</v>
      </c>
      <c r="AB115" s="79">
        <f>IF(L115&gt;0,VLOOKUP(D115,Datos!$H$25:$J$28,3,0),VLOOKUP(D115,Datos!$H$25:$J$28,2,0))</f>
        <v>480000</v>
      </c>
      <c r="AC115" s="79">
        <f ca="1">(S115*PMT(Datos!$D$15,Datos!$D$13,-O115,,)*VLOOKUP(TODAY(),'UF HOY'!$A$2:$B$36,2,0)/12)</f>
        <v>605091.99148168403</v>
      </c>
      <c r="AD115" s="79">
        <f t="shared" ca="1" si="46"/>
        <v>-125091.99148168403</v>
      </c>
      <c r="AE115" s="45"/>
      <c r="AF115" s="45"/>
    </row>
    <row r="116" spans="1:32" hidden="1">
      <c r="A116" s="173" t="s">
        <v>171</v>
      </c>
      <c r="B116" s="173">
        <v>1006</v>
      </c>
      <c r="C116" s="67" t="s">
        <v>103</v>
      </c>
      <c r="D116" s="67" t="s">
        <v>125</v>
      </c>
      <c r="E116" s="67"/>
      <c r="F116" s="66"/>
      <c r="G116" s="66"/>
      <c r="H116" s="67">
        <v>49.49</v>
      </c>
      <c r="I116" s="68">
        <v>55.85</v>
      </c>
      <c r="J116" s="69">
        <v>3560</v>
      </c>
      <c r="K116" s="70">
        <v>0</v>
      </c>
      <c r="L116" s="71">
        <v>390</v>
      </c>
      <c r="M116" s="71">
        <v>0</v>
      </c>
      <c r="N116" s="72">
        <f t="shared" si="38"/>
        <v>3357.5</v>
      </c>
      <c r="O116" s="73">
        <f t="shared" si="39"/>
        <v>3950</v>
      </c>
      <c r="P116" s="121">
        <f t="shared" si="40"/>
        <v>59.961608405738531</v>
      </c>
      <c r="Q116" s="74">
        <f t="shared" si="41"/>
        <v>0.15</v>
      </c>
      <c r="R116" s="75">
        <f t="shared" si="42"/>
        <v>592.5</v>
      </c>
      <c r="S116" s="74">
        <v>0.8</v>
      </c>
      <c r="T116" s="87">
        <f t="shared" si="43"/>
        <v>3160</v>
      </c>
      <c r="U116" s="88">
        <f t="shared" si="44"/>
        <v>4.9999999999999961E-2</v>
      </c>
      <c r="V116" s="69">
        <f t="shared" si="45"/>
        <v>197.49999999999986</v>
      </c>
      <c r="W116" s="89">
        <f ca="1">V116*VLOOKUP(TODAY(),'UF HOY'!$A$2:$B$36,2,0)</f>
        <v>7847453.1499999948</v>
      </c>
      <c r="X116" s="78">
        <f>Datos!$E$9</f>
        <v>4</v>
      </c>
      <c r="Y116" s="79">
        <f ca="1">IF((W116-1000000-Datos!$N$9)/X116&gt;0,(W116-1000000-Datos!$N$9)/X116,0)</f>
        <v>1686863.2874999987</v>
      </c>
      <c r="Z116" s="78">
        <f>Datos!$G$9</f>
        <v>4</v>
      </c>
      <c r="AA116" s="79">
        <f ca="1">IF((W116-1000000-Datos!$N$9)/Z116&gt;0,(W116-1000000-Datos!$N$9)/Z116,0)</f>
        <v>1686863.2874999987</v>
      </c>
      <c r="AB116" s="79">
        <f>IF(L116&gt;0,VLOOKUP(D116,Datos!$H$25:$J$28,3,0),VLOOKUP(D116,Datos!$H$25:$J$28,2,0))</f>
        <v>480000</v>
      </c>
      <c r="AC116" s="79">
        <f ca="1">(S116*PMT(Datos!$D$15,Datos!$D$13,-O116,,)*VLOOKUP(TODAY(),'UF HOY'!$A$2:$B$36,2,0)/12)</f>
        <v>605091.99148168403</v>
      </c>
      <c r="AD116" s="89">
        <f t="shared" ca="1" si="46"/>
        <v>-125091.99148168403</v>
      </c>
      <c r="AE116" s="45"/>
      <c r="AF116" s="45"/>
    </row>
    <row r="117" spans="1:32" hidden="1">
      <c r="A117" s="173" t="s">
        <v>171</v>
      </c>
      <c r="B117" s="173">
        <v>1506</v>
      </c>
      <c r="C117" s="67" t="s">
        <v>103</v>
      </c>
      <c r="D117" s="67" t="s">
        <v>125</v>
      </c>
      <c r="E117" s="67"/>
      <c r="F117" s="66"/>
      <c r="G117" s="66"/>
      <c r="H117" s="67">
        <v>49.49</v>
      </c>
      <c r="I117" s="68">
        <v>55.85</v>
      </c>
      <c r="J117" s="69">
        <v>3560</v>
      </c>
      <c r="K117" s="70">
        <v>0</v>
      </c>
      <c r="L117" s="71">
        <v>390</v>
      </c>
      <c r="M117" s="71">
        <v>0</v>
      </c>
      <c r="N117" s="72">
        <f t="shared" si="38"/>
        <v>3357.5</v>
      </c>
      <c r="O117" s="73">
        <f t="shared" si="39"/>
        <v>3950</v>
      </c>
      <c r="P117" s="121">
        <f t="shared" si="40"/>
        <v>59.961608405738531</v>
      </c>
      <c r="Q117" s="74">
        <f t="shared" si="41"/>
        <v>0.15</v>
      </c>
      <c r="R117" s="75">
        <f t="shared" si="42"/>
        <v>592.5</v>
      </c>
      <c r="S117" s="74">
        <v>0.8</v>
      </c>
      <c r="T117" s="87">
        <f t="shared" si="43"/>
        <v>3160</v>
      </c>
      <c r="U117" s="88">
        <f t="shared" si="44"/>
        <v>4.9999999999999961E-2</v>
      </c>
      <c r="V117" s="69">
        <f t="shared" si="45"/>
        <v>197.49999999999986</v>
      </c>
      <c r="W117" s="89">
        <f ca="1">V117*VLOOKUP(TODAY(),'UF HOY'!$A$2:$B$36,2,0)</f>
        <v>7847453.1499999948</v>
      </c>
      <c r="X117" s="78">
        <f>Datos!$E$9</f>
        <v>4</v>
      </c>
      <c r="Y117" s="79">
        <f ca="1">IF((W117-1000000-Datos!$N$9)/X117&gt;0,(W117-1000000-Datos!$N$9)/X117,0)</f>
        <v>1686863.2874999987</v>
      </c>
      <c r="Z117" s="78">
        <f>Datos!$G$9</f>
        <v>4</v>
      </c>
      <c r="AA117" s="79">
        <f ca="1">IF((W117-1000000-Datos!$N$9)/Z117&gt;0,(W117-1000000-Datos!$N$9)/Z117,0)</f>
        <v>1686863.2874999987</v>
      </c>
      <c r="AB117" s="79">
        <f>IF(L117&gt;0,VLOOKUP(D117,Datos!$H$25:$J$28,3,0),VLOOKUP(D117,Datos!$H$25:$J$28,2,0))</f>
        <v>480000</v>
      </c>
      <c r="AC117" s="79">
        <f ca="1">(S117*PMT(Datos!$D$15,Datos!$D$13,-O117,,)*VLOOKUP(TODAY(),'UF HOY'!$A$2:$B$36,2,0)/12)</f>
        <v>605091.99148168403</v>
      </c>
      <c r="AD117" s="89">
        <f t="shared" ca="1" si="46"/>
        <v>-125091.99148168403</v>
      </c>
      <c r="AE117" s="45"/>
      <c r="AF117" s="45"/>
    </row>
    <row r="118" spans="1:32" hidden="1">
      <c r="A118" s="173" t="s">
        <v>171</v>
      </c>
      <c r="B118" s="173">
        <v>1606</v>
      </c>
      <c r="C118" s="67" t="s">
        <v>103</v>
      </c>
      <c r="D118" s="67" t="s">
        <v>125</v>
      </c>
      <c r="E118" s="67"/>
      <c r="F118" s="66"/>
      <c r="G118" s="66"/>
      <c r="H118" s="67">
        <v>49.49</v>
      </c>
      <c r="I118" s="68">
        <v>55.85</v>
      </c>
      <c r="J118" s="69">
        <v>3560</v>
      </c>
      <c r="K118" s="70">
        <v>0</v>
      </c>
      <c r="L118" s="71">
        <v>390</v>
      </c>
      <c r="M118" s="71">
        <v>0</v>
      </c>
      <c r="N118" s="72">
        <f t="shared" si="38"/>
        <v>3357.5</v>
      </c>
      <c r="O118" s="73">
        <f t="shared" si="39"/>
        <v>3950</v>
      </c>
      <c r="P118" s="121">
        <f t="shared" si="40"/>
        <v>59.961608405738531</v>
      </c>
      <c r="Q118" s="74">
        <f t="shared" si="41"/>
        <v>0.15</v>
      </c>
      <c r="R118" s="75">
        <f t="shared" si="42"/>
        <v>592.5</v>
      </c>
      <c r="S118" s="74">
        <v>0.8</v>
      </c>
      <c r="T118" s="75">
        <f t="shared" si="43"/>
        <v>3160</v>
      </c>
      <c r="U118" s="76">
        <f t="shared" si="44"/>
        <v>4.9999999999999961E-2</v>
      </c>
      <c r="V118" s="69">
        <f t="shared" si="45"/>
        <v>197.49999999999986</v>
      </c>
      <c r="W118" s="77">
        <f ca="1">V118*VLOOKUP(TODAY(),'UF HOY'!$A$2:$B$36,2,0)</f>
        <v>7847453.1499999948</v>
      </c>
      <c r="X118" s="78">
        <f>Datos!$E$9</f>
        <v>4</v>
      </c>
      <c r="Y118" s="79">
        <f ca="1">IF((W118-1000000-Datos!$N$9)/X118&gt;0,(W118-1000000-Datos!$N$9)/X118,0)</f>
        <v>1686863.2874999987</v>
      </c>
      <c r="Z118" s="78">
        <f>Datos!$G$9</f>
        <v>4</v>
      </c>
      <c r="AA118" s="79">
        <f ca="1">IF((W118-1000000-Datos!$N$9)/Z118&gt;0,(W118-1000000-Datos!$N$9)/Z118,0)</f>
        <v>1686863.2874999987</v>
      </c>
      <c r="AB118" s="79">
        <f>IF(L118&gt;0,VLOOKUP(D118,Datos!$H$25:$J$28,3,0),VLOOKUP(D118,Datos!$H$25:$J$28,2,0))</f>
        <v>480000</v>
      </c>
      <c r="AC118" s="79">
        <f ca="1">(S118*PMT(Datos!$D$15,Datos!$D$13,-O118,,)*VLOOKUP(TODAY(),'UF HOY'!$A$2:$B$36,2,0)/12)</f>
        <v>605091.99148168403</v>
      </c>
      <c r="AD118" s="79">
        <f t="shared" ca="1" si="46"/>
        <v>-125091.99148168403</v>
      </c>
      <c r="AE118" s="45"/>
      <c r="AF118" s="45"/>
    </row>
    <row r="119" spans="1:32" hidden="1">
      <c r="A119" s="173" t="s">
        <v>171</v>
      </c>
      <c r="B119" s="173">
        <v>1306</v>
      </c>
      <c r="C119" s="67" t="s">
        <v>103</v>
      </c>
      <c r="D119" s="67" t="s">
        <v>125</v>
      </c>
      <c r="E119" s="67"/>
      <c r="F119" s="66"/>
      <c r="G119" s="66"/>
      <c r="H119" s="67">
        <v>49.49</v>
      </c>
      <c r="I119" s="68">
        <v>55.85</v>
      </c>
      <c r="J119" s="69">
        <v>3560</v>
      </c>
      <c r="K119" s="70">
        <v>0</v>
      </c>
      <c r="L119" s="71">
        <v>400</v>
      </c>
      <c r="M119" s="71">
        <v>0</v>
      </c>
      <c r="N119" s="72">
        <f t="shared" si="38"/>
        <v>3366</v>
      </c>
      <c r="O119" s="73">
        <f t="shared" si="39"/>
        <v>3960</v>
      </c>
      <c r="P119" s="121">
        <f t="shared" si="40"/>
        <v>59.931299252374217</v>
      </c>
      <c r="Q119" s="74">
        <f t="shared" si="41"/>
        <v>0.15</v>
      </c>
      <c r="R119" s="75">
        <f t="shared" si="42"/>
        <v>594</v>
      </c>
      <c r="S119" s="74">
        <v>0.8</v>
      </c>
      <c r="T119" s="75">
        <f t="shared" si="43"/>
        <v>3168</v>
      </c>
      <c r="U119" s="76">
        <f t="shared" si="44"/>
        <v>4.9999999999999961E-2</v>
      </c>
      <c r="V119" s="69">
        <f t="shared" si="45"/>
        <v>197.99999999999986</v>
      </c>
      <c r="W119" s="77">
        <f ca="1">V119*VLOOKUP(TODAY(),'UF HOY'!$A$2:$B$36,2,0)</f>
        <v>7867320.1199999945</v>
      </c>
      <c r="X119" s="78">
        <f>Datos!$E$9</f>
        <v>4</v>
      </c>
      <c r="Y119" s="79">
        <f ca="1">IF((W119-1000000-Datos!$N$9)/X119&gt;0,(W119-1000000-Datos!$N$9)/X119,0)</f>
        <v>1691830.0299999986</v>
      </c>
      <c r="Z119" s="78">
        <f>Datos!$G$9</f>
        <v>4</v>
      </c>
      <c r="AA119" s="79">
        <f ca="1">IF((W119-1000000-Datos!$N$9)/Z119&gt;0,(W119-1000000-Datos!$N$9)/Z119,0)</f>
        <v>1691830.0299999986</v>
      </c>
      <c r="AB119" s="79">
        <f>IF(L119&gt;0,VLOOKUP(D119,Datos!$H$25:$J$28,3,0),VLOOKUP(D119,Datos!$H$25:$J$28,2,0))</f>
        <v>480000</v>
      </c>
      <c r="AC119" s="79">
        <f ca="1">(S119*PMT(Datos!$D$15,Datos!$D$13,-O119,,)*VLOOKUP(TODAY(),'UF HOY'!$A$2:$B$36,2,0)/12)</f>
        <v>606623.86994113121</v>
      </c>
      <c r="AD119" s="79">
        <f t="shared" ca="1" si="46"/>
        <v>-126623.86994113121</v>
      </c>
      <c r="AE119" s="45"/>
      <c r="AF119" s="45"/>
    </row>
    <row r="120" spans="1:32" hidden="1">
      <c r="A120" s="173" t="s">
        <v>171</v>
      </c>
      <c r="B120" s="173">
        <v>305</v>
      </c>
      <c r="C120" s="67" t="s">
        <v>103</v>
      </c>
      <c r="D120" s="67" t="s">
        <v>126</v>
      </c>
      <c r="E120" s="67"/>
      <c r="F120" s="66"/>
      <c r="G120" s="66"/>
      <c r="H120" s="67">
        <v>49.91</v>
      </c>
      <c r="I120" s="68">
        <v>52.489999999999995</v>
      </c>
      <c r="J120" s="69">
        <v>3590</v>
      </c>
      <c r="K120" s="70">
        <v>0</v>
      </c>
      <c r="L120" s="71">
        <v>380</v>
      </c>
      <c r="M120" s="71">
        <v>0</v>
      </c>
      <c r="N120" s="72">
        <f t="shared" si="38"/>
        <v>3374.5</v>
      </c>
      <c r="O120" s="73">
        <f t="shared" si="39"/>
        <v>3970</v>
      </c>
      <c r="P120" s="121">
        <f t="shared" si="40"/>
        <v>59.997996393508316</v>
      </c>
      <c r="Q120" s="74">
        <f t="shared" si="41"/>
        <v>0.15</v>
      </c>
      <c r="R120" s="75">
        <f t="shared" si="42"/>
        <v>595.5</v>
      </c>
      <c r="S120" s="74">
        <v>0.8</v>
      </c>
      <c r="T120" s="75">
        <f t="shared" si="43"/>
        <v>3176</v>
      </c>
      <c r="U120" s="76">
        <f t="shared" si="44"/>
        <v>4.9999999999999961E-2</v>
      </c>
      <c r="V120" s="69">
        <f t="shared" si="45"/>
        <v>198.49999999999986</v>
      </c>
      <c r="W120" s="77">
        <f ca="1">V120*VLOOKUP(TODAY(),'UF HOY'!$A$2:$B$36,2,0)</f>
        <v>7887187.0899999952</v>
      </c>
      <c r="X120" s="78">
        <f>Datos!$E$9</f>
        <v>4</v>
      </c>
      <c r="Y120" s="79">
        <f ca="1">IF((W120-1000000-Datos!$N$9)/X120&gt;0,(W120-1000000-Datos!$N$9)/X120,0)</f>
        <v>1696796.7724999988</v>
      </c>
      <c r="Z120" s="78">
        <f>Datos!$G$9</f>
        <v>4</v>
      </c>
      <c r="AA120" s="79">
        <f ca="1">IF((W120-1000000-Datos!$N$9)/Z120&gt;0,(W120-1000000-Datos!$N$9)/Z120,0)</f>
        <v>1696796.7724999988</v>
      </c>
      <c r="AB120" s="79">
        <f>IF(L120&gt;0,VLOOKUP(D120,Datos!$H$25:$J$28,3,0),VLOOKUP(D120,Datos!$H$25:$J$28,2,0))</f>
        <v>430000</v>
      </c>
      <c r="AC120" s="79">
        <f ca="1">(S120*PMT(Datos!$D$15,Datos!$D$13,-O120,,)*VLOOKUP(TODAY(),'UF HOY'!$A$2:$B$36,2,0)/12)</f>
        <v>608155.74840057862</v>
      </c>
      <c r="AD120" s="79">
        <f t="shared" ca="1" si="46"/>
        <v>-178155.74840057862</v>
      </c>
      <c r="AE120" s="45"/>
      <c r="AF120" s="45"/>
    </row>
    <row r="121" spans="1:32" hidden="1">
      <c r="A121" s="173" t="s">
        <v>171</v>
      </c>
      <c r="B121" s="173">
        <v>405</v>
      </c>
      <c r="C121" s="67" t="s">
        <v>103</v>
      </c>
      <c r="D121" s="67" t="s">
        <v>126</v>
      </c>
      <c r="E121" s="67"/>
      <c r="F121" s="66"/>
      <c r="G121" s="66"/>
      <c r="H121" s="67">
        <v>49.91</v>
      </c>
      <c r="I121" s="68">
        <v>52.489999999999995</v>
      </c>
      <c r="J121" s="69">
        <v>3590</v>
      </c>
      <c r="K121" s="70">
        <v>0</v>
      </c>
      <c r="L121" s="71">
        <v>380</v>
      </c>
      <c r="M121" s="71">
        <v>0</v>
      </c>
      <c r="N121" s="72">
        <f t="shared" si="38"/>
        <v>3374.5</v>
      </c>
      <c r="O121" s="73">
        <f t="shared" si="39"/>
        <v>3970</v>
      </c>
      <c r="P121" s="121">
        <f t="shared" si="40"/>
        <v>59.997996393508316</v>
      </c>
      <c r="Q121" s="74">
        <f t="shared" si="41"/>
        <v>0.15</v>
      </c>
      <c r="R121" s="75">
        <f t="shared" si="42"/>
        <v>595.5</v>
      </c>
      <c r="S121" s="74">
        <v>0.8</v>
      </c>
      <c r="T121" s="75">
        <f t="shared" si="43"/>
        <v>3176</v>
      </c>
      <c r="U121" s="76">
        <f t="shared" si="44"/>
        <v>4.9999999999999961E-2</v>
      </c>
      <c r="V121" s="69">
        <f t="shared" si="45"/>
        <v>198.49999999999986</v>
      </c>
      <c r="W121" s="77">
        <f ca="1">V121*VLOOKUP(TODAY(),'UF HOY'!$A$2:$B$36,2,0)</f>
        <v>7887187.0899999952</v>
      </c>
      <c r="X121" s="78">
        <f>Datos!$E$9</f>
        <v>4</v>
      </c>
      <c r="Y121" s="79">
        <f ca="1">IF((W121-1000000-Datos!$N$9)/X121&gt;0,(W121-1000000-Datos!$N$9)/X121,0)</f>
        <v>1696796.7724999988</v>
      </c>
      <c r="Z121" s="78">
        <f>Datos!$G$9</f>
        <v>4</v>
      </c>
      <c r="AA121" s="79">
        <f ca="1">IF((W121-1000000-Datos!$N$9)/Z121&gt;0,(W121-1000000-Datos!$N$9)/Z121,0)</f>
        <v>1696796.7724999988</v>
      </c>
      <c r="AB121" s="79">
        <f>IF(L121&gt;0,VLOOKUP(D121,Datos!$H$25:$J$28,3,0),VLOOKUP(D121,Datos!$H$25:$J$28,2,0))</f>
        <v>430000</v>
      </c>
      <c r="AC121" s="79">
        <f ca="1">(S121*PMT(Datos!$D$15,Datos!$D$13,-O121,,)*VLOOKUP(TODAY(),'UF HOY'!$A$2:$B$36,2,0)/12)</f>
        <v>608155.74840057862</v>
      </c>
      <c r="AD121" s="79">
        <f t="shared" ca="1" si="46"/>
        <v>-178155.74840057862</v>
      </c>
      <c r="AE121" s="45"/>
      <c r="AF121" s="45"/>
    </row>
    <row r="122" spans="1:32" hidden="1">
      <c r="A122" s="173" t="s">
        <v>171</v>
      </c>
      <c r="B122" s="173">
        <v>605</v>
      </c>
      <c r="C122" s="67" t="s">
        <v>103</v>
      </c>
      <c r="D122" s="67" t="s">
        <v>126</v>
      </c>
      <c r="E122" s="67"/>
      <c r="F122" s="66"/>
      <c r="G122" s="66"/>
      <c r="H122" s="67">
        <v>49.91</v>
      </c>
      <c r="I122" s="68">
        <v>52.489999999999995</v>
      </c>
      <c r="J122" s="69">
        <v>3590</v>
      </c>
      <c r="K122" s="70">
        <v>0</v>
      </c>
      <c r="L122" s="71">
        <v>380</v>
      </c>
      <c r="M122" s="71">
        <v>0</v>
      </c>
      <c r="N122" s="72">
        <f t="shared" si="38"/>
        <v>3374.5</v>
      </c>
      <c r="O122" s="73">
        <f t="shared" si="39"/>
        <v>3970</v>
      </c>
      <c r="P122" s="121">
        <f t="shared" si="40"/>
        <v>59.997996393508316</v>
      </c>
      <c r="Q122" s="74">
        <f t="shared" si="41"/>
        <v>0.15</v>
      </c>
      <c r="R122" s="75">
        <f t="shared" si="42"/>
        <v>595.5</v>
      </c>
      <c r="S122" s="74">
        <v>0.8</v>
      </c>
      <c r="T122" s="75">
        <f t="shared" si="43"/>
        <v>3176</v>
      </c>
      <c r="U122" s="76">
        <f t="shared" si="44"/>
        <v>4.9999999999999961E-2</v>
      </c>
      <c r="V122" s="69">
        <f t="shared" si="45"/>
        <v>198.49999999999986</v>
      </c>
      <c r="W122" s="77">
        <f ca="1">V122*VLOOKUP(TODAY(),'UF HOY'!$A$2:$B$36,2,0)</f>
        <v>7887187.0899999952</v>
      </c>
      <c r="X122" s="78">
        <f>Datos!$E$9</f>
        <v>4</v>
      </c>
      <c r="Y122" s="79">
        <f ca="1">IF((W122-1000000-Datos!$N$9)/X122&gt;0,(W122-1000000-Datos!$N$9)/X122,0)</f>
        <v>1696796.7724999988</v>
      </c>
      <c r="Z122" s="78">
        <f>Datos!$G$9</f>
        <v>4</v>
      </c>
      <c r="AA122" s="79">
        <f ca="1">IF((W122-1000000-Datos!$N$9)/Z122&gt;0,(W122-1000000-Datos!$N$9)/Z122,0)</f>
        <v>1696796.7724999988</v>
      </c>
      <c r="AB122" s="79">
        <f>IF(L122&gt;0,VLOOKUP(D122,Datos!$H$25:$J$28,3,0),VLOOKUP(D122,Datos!$H$25:$J$28,2,0))</f>
        <v>430000</v>
      </c>
      <c r="AC122" s="79">
        <f ca="1">(S122*PMT(Datos!$D$15,Datos!$D$13,-O122,,)*VLOOKUP(TODAY(),'UF HOY'!$A$2:$B$36,2,0)/12)</f>
        <v>608155.74840057862</v>
      </c>
      <c r="AD122" s="79">
        <f t="shared" ca="1" si="46"/>
        <v>-178155.74840057862</v>
      </c>
      <c r="AE122" s="45"/>
      <c r="AF122" s="45"/>
    </row>
    <row r="123" spans="1:32" ht="14.25" hidden="1" customHeight="1">
      <c r="A123" s="173" t="s">
        <v>171</v>
      </c>
      <c r="B123" s="173">
        <v>705</v>
      </c>
      <c r="C123" s="67" t="s">
        <v>103</v>
      </c>
      <c r="D123" s="67" t="s">
        <v>126</v>
      </c>
      <c r="E123" s="67"/>
      <c r="F123" s="66"/>
      <c r="G123" s="66"/>
      <c r="H123" s="67">
        <v>49.91</v>
      </c>
      <c r="I123" s="68">
        <v>52.489999999999995</v>
      </c>
      <c r="J123" s="69">
        <v>3590</v>
      </c>
      <c r="K123" s="70">
        <v>0</v>
      </c>
      <c r="L123" s="71">
        <v>380</v>
      </c>
      <c r="M123" s="71">
        <v>0</v>
      </c>
      <c r="N123" s="72">
        <f t="shared" si="38"/>
        <v>3374.5</v>
      </c>
      <c r="O123" s="73">
        <f t="shared" si="39"/>
        <v>3970</v>
      </c>
      <c r="P123" s="121">
        <f t="shared" si="40"/>
        <v>59.997996393508316</v>
      </c>
      <c r="Q123" s="74">
        <f t="shared" si="41"/>
        <v>0.15</v>
      </c>
      <c r="R123" s="75">
        <f t="shared" si="42"/>
        <v>595.5</v>
      </c>
      <c r="S123" s="74">
        <v>0.8</v>
      </c>
      <c r="T123" s="75">
        <f t="shared" si="43"/>
        <v>3176</v>
      </c>
      <c r="U123" s="76">
        <f t="shared" si="44"/>
        <v>4.9999999999999961E-2</v>
      </c>
      <c r="V123" s="69">
        <f t="shared" si="45"/>
        <v>198.49999999999986</v>
      </c>
      <c r="W123" s="77">
        <f ca="1">V123*VLOOKUP(TODAY(),'UF HOY'!$A$2:$B$36,2,0)</f>
        <v>7887187.0899999952</v>
      </c>
      <c r="X123" s="78">
        <f>Datos!$E$9</f>
        <v>4</v>
      </c>
      <c r="Y123" s="79">
        <f ca="1">IF((W123-1000000-Datos!$N$9)/X123&gt;0,(W123-1000000-Datos!$N$9)/X123,0)</f>
        <v>1696796.7724999988</v>
      </c>
      <c r="Z123" s="78">
        <f>Datos!$G$9</f>
        <v>4</v>
      </c>
      <c r="AA123" s="79">
        <f ca="1">IF((W123-1000000-Datos!$N$9)/Z123&gt;0,(W123-1000000-Datos!$N$9)/Z123,0)</f>
        <v>1696796.7724999988</v>
      </c>
      <c r="AB123" s="79">
        <f>IF(L123&gt;0,VLOOKUP(D123,Datos!$H$25:$J$28,3,0),VLOOKUP(D123,Datos!$H$25:$J$28,2,0))</f>
        <v>430000</v>
      </c>
      <c r="AC123" s="79">
        <f ca="1">(S123*PMT(Datos!$D$15,Datos!$D$13,-O123,,)*VLOOKUP(TODAY(),'UF HOY'!$A$2:$B$36,2,0)/12)</f>
        <v>608155.74840057862</v>
      </c>
      <c r="AD123" s="79">
        <f t="shared" ca="1" si="46"/>
        <v>-178155.74840057862</v>
      </c>
      <c r="AE123" s="45"/>
      <c r="AF123" s="45"/>
    </row>
    <row r="124" spans="1:32" hidden="1">
      <c r="A124" s="173" t="s">
        <v>171</v>
      </c>
      <c r="B124" s="173">
        <v>805</v>
      </c>
      <c r="C124" s="67" t="s">
        <v>103</v>
      </c>
      <c r="D124" s="67" t="s">
        <v>126</v>
      </c>
      <c r="E124" s="67"/>
      <c r="F124" s="66"/>
      <c r="G124" s="66"/>
      <c r="H124" s="67">
        <v>49.91</v>
      </c>
      <c r="I124" s="68">
        <v>52.489999999999995</v>
      </c>
      <c r="J124" s="69">
        <v>3590</v>
      </c>
      <c r="K124" s="70">
        <v>0</v>
      </c>
      <c r="L124" s="71">
        <v>380</v>
      </c>
      <c r="M124" s="71">
        <v>0</v>
      </c>
      <c r="N124" s="72">
        <f t="shared" si="38"/>
        <v>3374.5</v>
      </c>
      <c r="O124" s="73">
        <f t="shared" si="39"/>
        <v>3970</v>
      </c>
      <c r="P124" s="121">
        <f t="shared" si="40"/>
        <v>59.997996393508316</v>
      </c>
      <c r="Q124" s="74">
        <f t="shared" si="41"/>
        <v>0.15</v>
      </c>
      <c r="R124" s="75">
        <f t="shared" si="42"/>
        <v>595.5</v>
      </c>
      <c r="S124" s="74">
        <v>0.8</v>
      </c>
      <c r="T124" s="75">
        <f t="shared" si="43"/>
        <v>3176</v>
      </c>
      <c r="U124" s="76">
        <f t="shared" si="44"/>
        <v>4.9999999999999961E-2</v>
      </c>
      <c r="V124" s="69">
        <f t="shared" si="45"/>
        <v>198.49999999999986</v>
      </c>
      <c r="W124" s="77">
        <f ca="1">V124*VLOOKUP(TODAY(),'UF HOY'!$A$2:$B$36,2,0)</f>
        <v>7887187.0899999952</v>
      </c>
      <c r="X124" s="78">
        <f>Datos!$E$9</f>
        <v>4</v>
      </c>
      <c r="Y124" s="79">
        <f ca="1">IF((W124-1000000-Datos!$N$9)/X124&gt;0,(W124-1000000-Datos!$N$9)/X124,0)</f>
        <v>1696796.7724999988</v>
      </c>
      <c r="Z124" s="78">
        <f>Datos!$G$9</f>
        <v>4</v>
      </c>
      <c r="AA124" s="79">
        <f ca="1">IF((W124-1000000-Datos!$N$9)/Z124&gt;0,(W124-1000000-Datos!$N$9)/Z124,0)</f>
        <v>1696796.7724999988</v>
      </c>
      <c r="AB124" s="79">
        <f>IF(L124&gt;0,VLOOKUP(D124,Datos!$H$25:$J$28,3,0),VLOOKUP(D124,Datos!$H$25:$J$28,2,0))</f>
        <v>430000</v>
      </c>
      <c r="AC124" s="79">
        <f ca="1">(S124*PMT(Datos!$D$15,Datos!$D$13,-O124,,)*VLOOKUP(TODAY(),'UF HOY'!$A$2:$B$36,2,0)/12)</f>
        <v>608155.74840057862</v>
      </c>
      <c r="AD124" s="79">
        <f t="shared" ca="1" si="46"/>
        <v>-178155.74840057862</v>
      </c>
      <c r="AE124" s="45"/>
      <c r="AF124" s="45"/>
    </row>
    <row r="125" spans="1:32" hidden="1">
      <c r="A125" s="173" t="s">
        <v>171</v>
      </c>
      <c r="B125" s="173">
        <v>1005</v>
      </c>
      <c r="C125" s="67" t="s">
        <v>103</v>
      </c>
      <c r="D125" s="67" t="s">
        <v>126</v>
      </c>
      <c r="E125" s="67"/>
      <c r="F125" s="66"/>
      <c r="G125" s="66"/>
      <c r="H125" s="67">
        <v>49.91</v>
      </c>
      <c r="I125" s="68">
        <v>52.489999999999995</v>
      </c>
      <c r="J125" s="69">
        <v>3590</v>
      </c>
      <c r="K125" s="70">
        <v>0</v>
      </c>
      <c r="L125" s="71">
        <v>380</v>
      </c>
      <c r="M125" s="71">
        <v>0</v>
      </c>
      <c r="N125" s="72">
        <f t="shared" si="38"/>
        <v>3374.5</v>
      </c>
      <c r="O125" s="73">
        <f t="shared" si="39"/>
        <v>3970</v>
      </c>
      <c r="P125" s="121">
        <f t="shared" si="40"/>
        <v>59.997996393508316</v>
      </c>
      <c r="Q125" s="74">
        <f t="shared" si="41"/>
        <v>0.15</v>
      </c>
      <c r="R125" s="75">
        <f t="shared" si="42"/>
        <v>595.5</v>
      </c>
      <c r="S125" s="74">
        <v>0.8</v>
      </c>
      <c r="T125" s="75">
        <f t="shared" si="43"/>
        <v>3176</v>
      </c>
      <c r="U125" s="76">
        <f t="shared" si="44"/>
        <v>4.9999999999999961E-2</v>
      </c>
      <c r="V125" s="69">
        <f t="shared" si="45"/>
        <v>198.49999999999986</v>
      </c>
      <c r="W125" s="77">
        <f ca="1">V125*VLOOKUP(TODAY(),'UF HOY'!$A$2:$B$36,2,0)</f>
        <v>7887187.0899999952</v>
      </c>
      <c r="X125" s="78">
        <f>Datos!$E$9</f>
        <v>4</v>
      </c>
      <c r="Y125" s="79">
        <f ca="1">IF((W125-1000000-Datos!$N$9)/X125&gt;0,(W125-1000000-Datos!$N$9)/X125,0)</f>
        <v>1696796.7724999988</v>
      </c>
      <c r="Z125" s="78">
        <f>Datos!$G$9</f>
        <v>4</v>
      </c>
      <c r="AA125" s="79">
        <f ca="1">IF((W125-1000000-Datos!$N$9)/Z125&gt;0,(W125-1000000-Datos!$N$9)/Z125,0)</f>
        <v>1696796.7724999988</v>
      </c>
      <c r="AB125" s="79">
        <f>IF(L125&gt;0,VLOOKUP(D125,Datos!$H$25:$J$28,3,0),VLOOKUP(D125,Datos!$H$25:$J$28,2,0))</f>
        <v>430000</v>
      </c>
      <c r="AC125" s="79">
        <f ca="1">(S125*PMT(Datos!$D$15,Datos!$D$13,-O125,,)*VLOOKUP(TODAY(),'UF HOY'!$A$2:$B$36,2,0)/12)</f>
        <v>608155.74840057862</v>
      </c>
      <c r="AD125" s="79">
        <f t="shared" ca="1" si="46"/>
        <v>-178155.74840057862</v>
      </c>
      <c r="AE125" s="45"/>
      <c r="AF125" s="45"/>
    </row>
    <row r="126" spans="1:32" hidden="1">
      <c r="A126" s="173" t="s">
        <v>171</v>
      </c>
      <c r="B126" s="173">
        <v>505</v>
      </c>
      <c r="C126" s="67" t="s">
        <v>103</v>
      </c>
      <c r="D126" s="67" t="s">
        <v>126</v>
      </c>
      <c r="E126" s="67"/>
      <c r="F126" s="66"/>
      <c r="G126" s="66"/>
      <c r="H126" s="67">
        <v>49.91</v>
      </c>
      <c r="I126" s="68">
        <v>52.489999999999995</v>
      </c>
      <c r="J126" s="69">
        <v>3590</v>
      </c>
      <c r="K126" s="70">
        <v>0</v>
      </c>
      <c r="L126" s="71">
        <v>390</v>
      </c>
      <c r="M126" s="71">
        <v>0</v>
      </c>
      <c r="N126" s="72">
        <f t="shared" si="38"/>
        <v>3383</v>
      </c>
      <c r="O126" s="73">
        <f t="shared" si="39"/>
        <v>3980</v>
      </c>
      <c r="P126" s="121">
        <f t="shared" si="40"/>
        <v>59.967942296133046</v>
      </c>
      <c r="Q126" s="74">
        <f t="shared" si="41"/>
        <v>0.15</v>
      </c>
      <c r="R126" s="75">
        <f t="shared" si="42"/>
        <v>597</v>
      </c>
      <c r="S126" s="74">
        <v>0.8</v>
      </c>
      <c r="T126" s="75">
        <f t="shared" si="43"/>
        <v>3184</v>
      </c>
      <c r="U126" s="76">
        <f t="shared" si="44"/>
        <v>4.9999999999999961E-2</v>
      </c>
      <c r="V126" s="69">
        <f t="shared" si="45"/>
        <v>198.99999999999986</v>
      </c>
      <c r="W126" s="77">
        <f ca="1">V126*VLOOKUP(TODAY(),'UF HOY'!$A$2:$B$36,2,0)</f>
        <v>7907054.0599999949</v>
      </c>
      <c r="X126" s="78">
        <f>Datos!$E$9</f>
        <v>4</v>
      </c>
      <c r="Y126" s="79">
        <f ca="1">IF((W126-1000000-Datos!$N$9)/X126&gt;0,(W126-1000000-Datos!$N$9)/X126,0)</f>
        <v>1701763.5149999987</v>
      </c>
      <c r="Z126" s="78">
        <f>Datos!$G$9</f>
        <v>4</v>
      </c>
      <c r="AA126" s="79">
        <f ca="1">IF((W126-1000000-Datos!$N$9)/Z126&gt;0,(W126-1000000-Datos!$N$9)/Z126,0)</f>
        <v>1701763.5149999987</v>
      </c>
      <c r="AB126" s="79">
        <f>IF(L126&gt;0,VLOOKUP(D126,Datos!$H$25:$J$28,3,0),VLOOKUP(D126,Datos!$H$25:$J$28,2,0))</f>
        <v>430000</v>
      </c>
      <c r="AC126" s="79">
        <f ca="1">(S126*PMT(Datos!$D$15,Datos!$D$13,-O126,,)*VLOOKUP(TODAY(),'UF HOY'!$A$2:$B$36,2,0)/12)</f>
        <v>609687.62686002592</v>
      </c>
      <c r="AD126" s="79">
        <f t="shared" ca="1" si="46"/>
        <v>-179687.62686002592</v>
      </c>
      <c r="AE126" s="45"/>
      <c r="AF126" s="45"/>
    </row>
    <row r="127" spans="1:32" hidden="1">
      <c r="A127" s="173" t="s">
        <v>171</v>
      </c>
      <c r="B127" s="173">
        <v>905</v>
      </c>
      <c r="C127" s="67" t="s">
        <v>103</v>
      </c>
      <c r="D127" s="67" t="s">
        <v>126</v>
      </c>
      <c r="E127" s="67"/>
      <c r="F127" s="66"/>
      <c r="G127" s="66"/>
      <c r="H127" s="67">
        <v>49.91</v>
      </c>
      <c r="I127" s="68">
        <v>52.489999999999995</v>
      </c>
      <c r="J127" s="69">
        <v>3590</v>
      </c>
      <c r="K127" s="70">
        <v>0</v>
      </c>
      <c r="L127" s="71">
        <v>390</v>
      </c>
      <c r="M127" s="71">
        <v>0</v>
      </c>
      <c r="N127" s="72">
        <f t="shared" si="38"/>
        <v>3383</v>
      </c>
      <c r="O127" s="73">
        <f t="shared" si="39"/>
        <v>3980</v>
      </c>
      <c r="P127" s="121">
        <f t="shared" si="40"/>
        <v>59.967942296133046</v>
      </c>
      <c r="Q127" s="74">
        <f t="shared" si="41"/>
        <v>0.15</v>
      </c>
      <c r="R127" s="75">
        <f t="shared" si="42"/>
        <v>597</v>
      </c>
      <c r="S127" s="74">
        <v>0.8</v>
      </c>
      <c r="T127" s="87">
        <f t="shared" si="43"/>
        <v>3184</v>
      </c>
      <c r="U127" s="88">
        <f t="shared" si="44"/>
        <v>4.9999999999999961E-2</v>
      </c>
      <c r="V127" s="69">
        <f t="shared" si="45"/>
        <v>198.99999999999986</v>
      </c>
      <c r="W127" s="89">
        <f ca="1">V127*VLOOKUP(TODAY(),'UF HOY'!$A$2:$B$36,2,0)</f>
        <v>7907054.0599999949</v>
      </c>
      <c r="X127" s="78">
        <f>Datos!$E$9</f>
        <v>4</v>
      </c>
      <c r="Y127" s="79">
        <f ca="1">IF((W127-1000000-Datos!$N$9)/X127&gt;0,(W127-1000000-Datos!$N$9)/X127,0)</f>
        <v>1701763.5149999987</v>
      </c>
      <c r="Z127" s="78">
        <f>Datos!$G$9</f>
        <v>4</v>
      </c>
      <c r="AA127" s="79">
        <f ca="1">IF((W127-1000000-Datos!$N$9)/Z127&gt;0,(W127-1000000-Datos!$N$9)/Z127,0)</f>
        <v>1701763.5149999987</v>
      </c>
      <c r="AB127" s="79">
        <f>IF(L127&gt;0,VLOOKUP(D127,Datos!$H$25:$J$28,3,0),VLOOKUP(D127,Datos!$H$25:$J$28,2,0))</f>
        <v>430000</v>
      </c>
      <c r="AC127" s="79">
        <f ca="1">(S127*PMT(Datos!$D$15,Datos!$D$13,-O127,,)*VLOOKUP(TODAY(),'UF HOY'!$A$2:$B$36,2,0)/12)</f>
        <v>609687.62686002592</v>
      </c>
      <c r="AD127" s="89">
        <f t="shared" ca="1" si="46"/>
        <v>-179687.62686002592</v>
      </c>
      <c r="AE127" s="45"/>
      <c r="AF127" s="45"/>
    </row>
    <row r="128" spans="1:32" hidden="1">
      <c r="A128" s="173" t="s">
        <v>171</v>
      </c>
      <c r="B128" s="173">
        <v>1206</v>
      </c>
      <c r="C128" s="67" t="s">
        <v>103</v>
      </c>
      <c r="D128" s="67" t="s">
        <v>125</v>
      </c>
      <c r="E128" s="67"/>
      <c r="F128" s="66"/>
      <c r="G128" s="66"/>
      <c r="H128" s="67">
        <v>49.49</v>
      </c>
      <c r="I128" s="68">
        <v>55.85</v>
      </c>
      <c r="J128" s="69">
        <v>3560</v>
      </c>
      <c r="K128" s="70">
        <v>0</v>
      </c>
      <c r="L128" s="71">
        <v>390</v>
      </c>
      <c r="M128" s="71">
        <v>100</v>
      </c>
      <c r="N128" s="72">
        <f t="shared" si="38"/>
        <v>3442.5</v>
      </c>
      <c r="O128" s="73">
        <f t="shared" si="39"/>
        <v>4050</v>
      </c>
      <c r="P128" s="121">
        <f t="shared" si="40"/>
        <v>59.658516872095369</v>
      </c>
      <c r="Q128" s="74">
        <f t="shared" si="41"/>
        <v>0.15</v>
      </c>
      <c r="R128" s="75">
        <f t="shared" si="42"/>
        <v>607.5</v>
      </c>
      <c r="S128" s="74">
        <v>0.8</v>
      </c>
      <c r="T128" s="75">
        <f t="shared" si="43"/>
        <v>3240</v>
      </c>
      <c r="U128" s="76">
        <f t="shared" si="44"/>
        <v>4.9999999999999961E-2</v>
      </c>
      <c r="V128" s="69">
        <f t="shared" si="45"/>
        <v>202.49999999999983</v>
      </c>
      <c r="W128" s="77">
        <f ca="1">V128*VLOOKUP(TODAY(),'UF HOY'!$A$2:$B$36,2,0)</f>
        <v>8046122.849999994</v>
      </c>
      <c r="X128" s="78">
        <f>Datos!$E$9</f>
        <v>4</v>
      </c>
      <c r="Y128" s="79">
        <f ca="1">IF((W128-1000000-Datos!$N$9)/X128&gt;0,(W128-1000000-Datos!$N$9)/X128,0)</f>
        <v>1736530.7124999985</v>
      </c>
      <c r="Z128" s="78">
        <f>Datos!$G$9</f>
        <v>4</v>
      </c>
      <c r="AA128" s="79">
        <f ca="1">IF((W128-1000000-Datos!$N$9)/Z128&gt;0,(W128-1000000-Datos!$N$9)/Z128,0)</f>
        <v>1736530.7124999985</v>
      </c>
      <c r="AB128" s="79">
        <f>IF(L128&gt;0,VLOOKUP(D128,Datos!$H$25:$J$28,3,0),VLOOKUP(D128,Datos!$H$25:$J$28,2,0))</f>
        <v>480000</v>
      </c>
      <c r="AC128" s="79">
        <f ca="1">(S128*PMT(Datos!$D$15,Datos!$D$13,-O128,,)*VLOOKUP(TODAY(),'UF HOY'!$A$2:$B$36,2,0)/12)</f>
        <v>620410.776076157</v>
      </c>
      <c r="AD128" s="79">
        <f t="shared" ca="1" si="46"/>
        <v>-140410.776076157</v>
      </c>
      <c r="AE128" s="45"/>
      <c r="AF128" s="45"/>
    </row>
    <row r="129" spans="1:32" hidden="1">
      <c r="A129" s="173" t="s">
        <v>171</v>
      </c>
      <c r="B129" s="173">
        <v>1406</v>
      </c>
      <c r="C129" s="67" t="s">
        <v>103</v>
      </c>
      <c r="D129" s="67" t="s">
        <v>125</v>
      </c>
      <c r="E129" s="67"/>
      <c r="F129" s="66"/>
      <c r="G129" s="66"/>
      <c r="H129" s="67">
        <v>49.49</v>
      </c>
      <c r="I129" s="68">
        <v>55.85</v>
      </c>
      <c r="J129" s="69">
        <v>3560</v>
      </c>
      <c r="K129" s="70">
        <v>0</v>
      </c>
      <c r="L129" s="71">
        <v>390</v>
      </c>
      <c r="M129" s="71">
        <v>110</v>
      </c>
      <c r="N129" s="72">
        <f t="shared" si="38"/>
        <v>3451</v>
      </c>
      <c r="O129" s="73">
        <f t="shared" si="39"/>
        <v>4060</v>
      </c>
      <c r="P129" s="121">
        <f t="shared" si="40"/>
        <v>59.628207718731055</v>
      </c>
      <c r="Q129" s="74">
        <f t="shared" si="41"/>
        <v>0.15</v>
      </c>
      <c r="R129" s="75">
        <f t="shared" si="42"/>
        <v>609</v>
      </c>
      <c r="S129" s="74">
        <v>0.8</v>
      </c>
      <c r="T129" s="75">
        <f t="shared" si="43"/>
        <v>3248</v>
      </c>
      <c r="U129" s="76">
        <f t="shared" si="44"/>
        <v>4.9999999999999961E-2</v>
      </c>
      <c r="V129" s="69">
        <f t="shared" si="45"/>
        <v>202.99999999999983</v>
      </c>
      <c r="W129" s="77">
        <f ca="1">V129*VLOOKUP(TODAY(),'UF HOY'!$A$2:$B$36,2,0)</f>
        <v>8065989.8199999938</v>
      </c>
      <c r="X129" s="78">
        <f>Datos!$E$9</f>
        <v>4</v>
      </c>
      <c r="Y129" s="79">
        <f ca="1">IF((W129-1000000-Datos!$N$9)/X129&gt;0,(W129-1000000-Datos!$N$9)/X129,0)</f>
        <v>1741497.4549999984</v>
      </c>
      <c r="Z129" s="78">
        <f>Datos!$G$9</f>
        <v>4</v>
      </c>
      <c r="AA129" s="79">
        <f ca="1">IF((W129-1000000-Datos!$N$9)/Z129&gt;0,(W129-1000000-Datos!$N$9)/Z129,0)</f>
        <v>1741497.4549999984</v>
      </c>
      <c r="AB129" s="79">
        <f>IF(L129&gt;0,VLOOKUP(D129,Datos!$H$25:$J$28,3,0),VLOOKUP(D129,Datos!$H$25:$J$28,2,0))</f>
        <v>480000</v>
      </c>
      <c r="AC129" s="79">
        <f ca="1">(S129*PMT(Datos!$D$15,Datos!$D$13,-O129,,)*VLOOKUP(TODAY(),'UF HOY'!$A$2:$B$36,2,0)/12)</f>
        <v>621942.65453560441</v>
      </c>
      <c r="AD129" s="79">
        <f t="shared" ca="1" si="46"/>
        <v>-141942.65453560441</v>
      </c>
      <c r="AE129" s="45"/>
      <c r="AF129" s="45"/>
    </row>
    <row r="130" spans="1:32" hidden="1">
      <c r="A130" s="173" t="s">
        <v>171</v>
      </c>
      <c r="B130" s="173">
        <v>1503</v>
      </c>
      <c r="C130" s="67" t="s">
        <v>124</v>
      </c>
      <c r="D130" s="67" t="s">
        <v>125</v>
      </c>
      <c r="E130" s="67"/>
      <c r="F130" s="66"/>
      <c r="G130" s="66"/>
      <c r="H130" s="67">
        <v>52.410000000000004</v>
      </c>
      <c r="I130" s="68">
        <v>54.61</v>
      </c>
      <c r="J130" s="69">
        <v>3690</v>
      </c>
      <c r="K130" s="70">
        <v>0</v>
      </c>
      <c r="L130" s="71">
        <v>390</v>
      </c>
      <c r="M130" s="71">
        <v>0</v>
      </c>
      <c r="N130" s="72">
        <f t="shared" si="38"/>
        <v>3468</v>
      </c>
      <c r="O130" s="73">
        <f t="shared" si="39"/>
        <v>4080</v>
      </c>
      <c r="P130" s="121">
        <f t="shared" si="40"/>
        <v>58.729250143102455</v>
      </c>
      <c r="Q130" s="74">
        <f t="shared" si="41"/>
        <v>0.15</v>
      </c>
      <c r="R130" s="75">
        <f t="shared" si="42"/>
        <v>612</v>
      </c>
      <c r="S130" s="74">
        <v>0.8</v>
      </c>
      <c r="T130" s="75">
        <f t="shared" si="43"/>
        <v>3264</v>
      </c>
      <c r="U130" s="76">
        <f t="shared" si="44"/>
        <v>4.9999999999999961E-2</v>
      </c>
      <c r="V130" s="69">
        <f t="shared" si="45"/>
        <v>203.99999999999983</v>
      </c>
      <c r="W130" s="77">
        <f ca="1">V130*VLOOKUP(TODAY(),'UF HOY'!$A$2:$B$36,2,0)</f>
        <v>8105723.7599999933</v>
      </c>
      <c r="X130" s="78">
        <f>Datos!$E$9</f>
        <v>4</v>
      </c>
      <c r="Y130" s="79">
        <f ca="1">IF((W130-1000000-Datos!$N$9)/X130&gt;0,(W130-1000000-Datos!$N$9)/X130,0)</f>
        <v>1751430.9399999983</v>
      </c>
      <c r="Z130" s="78">
        <f>Datos!$G$9</f>
        <v>4</v>
      </c>
      <c r="AA130" s="79">
        <f ca="1">IF((W130-1000000-Datos!$N$9)/Z130&gt;0,(W130-1000000-Datos!$N$9)/Z130,0)</f>
        <v>1751430.9399999983</v>
      </c>
      <c r="AB130" s="79">
        <f>IF(L130&gt;0,VLOOKUP(D130,Datos!$H$25:$J$28,3,0),VLOOKUP(D130,Datos!$H$25:$J$28,2,0))</f>
        <v>480000</v>
      </c>
      <c r="AC130" s="79">
        <f ca="1">(S130*PMT(Datos!$D$15,Datos!$D$13,-O130,,)*VLOOKUP(TODAY(),'UF HOY'!$A$2:$B$36,2,0)/12)</f>
        <v>625006.41145449888</v>
      </c>
      <c r="AD130" s="79">
        <f t="shared" ca="1" si="46"/>
        <v>-145006.41145449888</v>
      </c>
      <c r="AE130" s="45"/>
      <c r="AF130" s="45"/>
    </row>
    <row r="131" spans="1:32" hidden="1">
      <c r="A131" s="173" t="s">
        <v>171</v>
      </c>
      <c r="B131" s="173">
        <v>1303</v>
      </c>
      <c r="C131" s="67" t="s">
        <v>124</v>
      </c>
      <c r="D131" s="67" t="s">
        <v>125</v>
      </c>
      <c r="E131" s="67"/>
      <c r="F131" s="66"/>
      <c r="G131" s="66"/>
      <c r="H131" s="67">
        <v>52.410000000000004</v>
      </c>
      <c r="I131" s="68">
        <v>54.61</v>
      </c>
      <c r="J131" s="69">
        <v>3690</v>
      </c>
      <c r="K131" s="70">
        <v>0</v>
      </c>
      <c r="L131" s="71">
        <v>400</v>
      </c>
      <c r="M131" s="71">
        <v>0</v>
      </c>
      <c r="N131" s="72">
        <f t="shared" ref="N131:N148" si="47">O131-R131</f>
        <v>3476.5</v>
      </c>
      <c r="O131" s="73">
        <f t="shared" ref="O131:O148" si="48">J131*(100%-K131)+L131+M131</f>
        <v>4090</v>
      </c>
      <c r="P131" s="121">
        <f t="shared" ref="P131:P148" si="49">(N131-L131-M131)/H131</f>
        <v>58.700629650829988</v>
      </c>
      <c r="Q131" s="74">
        <f t="shared" ref="Q131:Q148" si="50">R131/O131</f>
        <v>0.15</v>
      </c>
      <c r="R131" s="75">
        <f t="shared" ref="R131:R148" si="51">O131*0.15</f>
        <v>613.5</v>
      </c>
      <c r="S131" s="74">
        <v>0.8</v>
      </c>
      <c r="T131" s="75">
        <f t="shared" ref="T131:T148" si="52">S131*O131</f>
        <v>3272</v>
      </c>
      <c r="U131" s="76">
        <f t="shared" ref="U131:U148" si="53">100%-S131-Q131</f>
        <v>4.9999999999999961E-2</v>
      </c>
      <c r="V131" s="69">
        <f t="shared" ref="V131:V148" si="54">O131*U131</f>
        <v>204.49999999999983</v>
      </c>
      <c r="W131" s="77">
        <f ca="1">V131*VLOOKUP(TODAY(),'UF HOY'!$A$2:$B$36,2,0)</f>
        <v>8125590.7299999939</v>
      </c>
      <c r="X131" s="78">
        <f>Datos!$E$9</f>
        <v>4</v>
      </c>
      <c r="Y131" s="79">
        <f ca="1">IF((W131-1000000-Datos!$N$9)/X131&gt;0,(W131-1000000-Datos!$N$9)/X131,0)</f>
        <v>1756397.6824999985</v>
      </c>
      <c r="Z131" s="78">
        <f>Datos!$G$9</f>
        <v>4</v>
      </c>
      <c r="AA131" s="79">
        <f ca="1">IF((W131-1000000-Datos!$N$9)/Z131&gt;0,(W131-1000000-Datos!$N$9)/Z131,0)</f>
        <v>1756397.6824999985</v>
      </c>
      <c r="AB131" s="79">
        <f>IF(L131&gt;0,VLOOKUP(D131,Datos!$H$25:$J$28,3,0),VLOOKUP(D131,Datos!$H$25:$J$28,2,0))</f>
        <v>480000</v>
      </c>
      <c r="AC131" s="79">
        <f ca="1">(S131*PMT(Datos!$D$15,Datos!$D$13,-O131,,)*VLOOKUP(TODAY(),'UF HOY'!$A$2:$B$36,2,0)/12)</f>
        <v>626538.28991394618</v>
      </c>
      <c r="AD131" s="79">
        <f t="shared" ref="AD131:AD148" ca="1" si="55">AB131-AC131</f>
        <v>-146538.28991394618</v>
      </c>
      <c r="AE131" s="45"/>
      <c r="AF131" s="45"/>
    </row>
    <row r="132" spans="1:32" hidden="1">
      <c r="A132" s="173" t="s">
        <v>171</v>
      </c>
      <c r="B132" s="173">
        <v>1603</v>
      </c>
      <c r="C132" s="67" t="s">
        <v>124</v>
      </c>
      <c r="D132" s="67" t="s">
        <v>125</v>
      </c>
      <c r="E132" s="67"/>
      <c r="F132" s="66"/>
      <c r="G132" s="66"/>
      <c r="H132" s="67">
        <v>52.410000000000004</v>
      </c>
      <c r="I132" s="68">
        <v>54.61</v>
      </c>
      <c r="J132" s="69">
        <v>3690</v>
      </c>
      <c r="K132" s="70">
        <v>0</v>
      </c>
      <c r="L132" s="71">
        <v>400</v>
      </c>
      <c r="M132" s="71">
        <v>0</v>
      </c>
      <c r="N132" s="72">
        <f t="shared" si="47"/>
        <v>3476.5</v>
      </c>
      <c r="O132" s="73">
        <f t="shared" si="48"/>
        <v>4090</v>
      </c>
      <c r="P132" s="121">
        <f t="shared" si="49"/>
        <v>58.700629650829988</v>
      </c>
      <c r="Q132" s="74">
        <f t="shared" si="50"/>
        <v>0.15</v>
      </c>
      <c r="R132" s="75">
        <f t="shared" si="51"/>
        <v>613.5</v>
      </c>
      <c r="S132" s="74">
        <v>0.8</v>
      </c>
      <c r="T132" s="75">
        <f t="shared" si="52"/>
        <v>3272</v>
      </c>
      <c r="U132" s="76">
        <f t="shared" si="53"/>
        <v>4.9999999999999961E-2</v>
      </c>
      <c r="V132" s="69">
        <f t="shared" si="54"/>
        <v>204.49999999999983</v>
      </c>
      <c r="W132" s="77">
        <f ca="1">V132*VLOOKUP(TODAY(),'UF HOY'!$A$2:$B$36,2,0)</f>
        <v>8125590.7299999939</v>
      </c>
      <c r="X132" s="78">
        <f>Datos!$E$9</f>
        <v>4</v>
      </c>
      <c r="Y132" s="79">
        <f ca="1">IF((W132-1000000-Datos!$N$9)/X132&gt;0,(W132-1000000-Datos!$N$9)/X132,0)</f>
        <v>1756397.6824999985</v>
      </c>
      <c r="Z132" s="78">
        <f>Datos!$G$9</f>
        <v>4</v>
      </c>
      <c r="AA132" s="79">
        <f ca="1">IF((W132-1000000-Datos!$N$9)/Z132&gt;0,(W132-1000000-Datos!$N$9)/Z132,0)</f>
        <v>1756397.6824999985</v>
      </c>
      <c r="AB132" s="79">
        <f>IF(L132&gt;0,VLOOKUP(D132,Datos!$H$25:$J$28,3,0),VLOOKUP(D132,Datos!$H$25:$J$28,2,0))</f>
        <v>480000</v>
      </c>
      <c r="AC132" s="79">
        <f ca="1">(S132*PMT(Datos!$D$15,Datos!$D$13,-O132,,)*VLOOKUP(TODAY(),'UF HOY'!$A$2:$B$36,2,0)/12)</f>
        <v>626538.28991394618</v>
      </c>
      <c r="AD132" s="79">
        <f t="shared" ca="1" si="55"/>
        <v>-146538.28991394618</v>
      </c>
      <c r="AE132" s="45"/>
      <c r="AF132" s="45"/>
    </row>
    <row r="133" spans="1:32" hidden="1">
      <c r="A133" s="173" t="s">
        <v>171</v>
      </c>
      <c r="B133" s="173">
        <v>1706</v>
      </c>
      <c r="C133" s="67" t="s">
        <v>103</v>
      </c>
      <c r="D133" s="67" t="s">
        <v>125</v>
      </c>
      <c r="E133" s="67"/>
      <c r="F133" s="66"/>
      <c r="G133" s="66"/>
      <c r="H133" s="67">
        <v>49.49</v>
      </c>
      <c r="I133" s="68">
        <v>55.85</v>
      </c>
      <c r="J133" s="69">
        <v>3560</v>
      </c>
      <c r="K133" s="70">
        <v>0</v>
      </c>
      <c r="L133" s="71">
        <v>380</v>
      </c>
      <c r="M133" s="71">
        <v>170</v>
      </c>
      <c r="N133" s="72">
        <f t="shared" si="47"/>
        <v>3493.5</v>
      </c>
      <c r="O133" s="73">
        <f t="shared" si="48"/>
        <v>4110</v>
      </c>
      <c r="P133" s="121">
        <f t="shared" si="49"/>
        <v>59.476661951909477</v>
      </c>
      <c r="Q133" s="74">
        <f t="shared" si="50"/>
        <v>0.15</v>
      </c>
      <c r="R133" s="75">
        <f t="shared" si="51"/>
        <v>616.5</v>
      </c>
      <c r="S133" s="74">
        <v>0.8</v>
      </c>
      <c r="T133" s="75">
        <f t="shared" si="52"/>
        <v>3288</v>
      </c>
      <c r="U133" s="76">
        <f t="shared" si="53"/>
        <v>4.9999999999999961E-2</v>
      </c>
      <c r="V133" s="69">
        <f t="shared" si="54"/>
        <v>205.49999999999983</v>
      </c>
      <c r="W133" s="77">
        <f ca="1">V133*VLOOKUP(TODAY(),'UF HOY'!$A$2:$B$36,2,0)</f>
        <v>8165324.6699999934</v>
      </c>
      <c r="X133" s="78">
        <f>Datos!$E$9</f>
        <v>4</v>
      </c>
      <c r="Y133" s="79">
        <f ca="1">IF((W133-1000000-Datos!$N$9)/X133&gt;0,(W133-1000000-Datos!$N$9)/X133,0)</f>
        <v>1766331.1674999984</v>
      </c>
      <c r="Z133" s="78">
        <f>Datos!$G$9</f>
        <v>4</v>
      </c>
      <c r="AA133" s="79">
        <f ca="1">IF((W133-1000000-Datos!$N$9)/Z133&gt;0,(W133-1000000-Datos!$N$9)/Z133,0)</f>
        <v>1766331.1674999984</v>
      </c>
      <c r="AB133" s="79">
        <f>IF(L133&gt;0,VLOOKUP(D133,Datos!$H$25:$J$28,3,0),VLOOKUP(D133,Datos!$H$25:$J$28,2,0))</f>
        <v>480000</v>
      </c>
      <c r="AC133" s="79">
        <f ca="1">(S133*PMT(Datos!$D$15,Datos!$D$13,-O133,,)*VLOOKUP(TODAY(),'UF HOY'!$A$2:$B$36,2,0)/12)</f>
        <v>629602.04683284089</v>
      </c>
      <c r="AD133" s="79">
        <f t="shared" ca="1" si="55"/>
        <v>-149602.04683284089</v>
      </c>
      <c r="AE133" s="45"/>
      <c r="AF133" s="45"/>
    </row>
    <row r="134" spans="1:32" hidden="1">
      <c r="A134" s="173" t="s">
        <v>171</v>
      </c>
      <c r="B134" s="173">
        <v>302</v>
      </c>
      <c r="C134" s="67" t="s">
        <v>123</v>
      </c>
      <c r="D134" s="67" t="s">
        <v>125</v>
      </c>
      <c r="E134" s="67"/>
      <c r="F134" s="66"/>
      <c r="G134" s="66"/>
      <c r="H134" s="67">
        <v>52.080000000000005</v>
      </c>
      <c r="I134" s="68">
        <v>54.28</v>
      </c>
      <c r="J134" s="69">
        <v>3590</v>
      </c>
      <c r="K134" s="70">
        <v>0</v>
      </c>
      <c r="L134" s="71">
        <v>380</v>
      </c>
      <c r="M134" s="71">
        <v>170</v>
      </c>
      <c r="N134" s="72">
        <f t="shared" si="47"/>
        <v>3519</v>
      </c>
      <c r="O134" s="73">
        <f t="shared" si="48"/>
        <v>4140</v>
      </c>
      <c r="P134" s="121">
        <f t="shared" si="49"/>
        <v>57.008448540706603</v>
      </c>
      <c r="Q134" s="74">
        <f t="shared" si="50"/>
        <v>0.15</v>
      </c>
      <c r="R134" s="75">
        <f t="shared" si="51"/>
        <v>621</v>
      </c>
      <c r="S134" s="74">
        <v>0.8</v>
      </c>
      <c r="T134" s="75">
        <f t="shared" si="52"/>
        <v>3312</v>
      </c>
      <c r="U134" s="76">
        <f t="shared" si="53"/>
        <v>4.9999999999999961E-2</v>
      </c>
      <c r="V134" s="69">
        <f t="shared" si="54"/>
        <v>206.99999999999983</v>
      </c>
      <c r="W134" s="77">
        <f ca="1">V134*VLOOKUP(TODAY(),'UF HOY'!$A$2:$B$36,2,0)</f>
        <v>8224925.5799999936</v>
      </c>
      <c r="X134" s="78">
        <f>Datos!$E$9</f>
        <v>4</v>
      </c>
      <c r="Y134" s="79">
        <f ca="1">IF((W134-1000000-Datos!$N$9)/X134&gt;0,(W134-1000000-Datos!$N$9)/X134,0)</f>
        <v>1781231.3949999984</v>
      </c>
      <c r="Z134" s="78">
        <f>Datos!$G$9</f>
        <v>4</v>
      </c>
      <c r="AA134" s="79">
        <f ca="1">IF((W134-1000000-Datos!$N$9)/Z134&gt;0,(W134-1000000-Datos!$N$9)/Z134,0)</f>
        <v>1781231.3949999984</v>
      </c>
      <c r="AB134" s="79">
        <f>IF(L134&gt;0,VLOOKUP(D134,Datos!$H$25:$J$28,3,0),VLOOKUP(D134,Datos!$H$25:$J$28,2,0))</f>
        <v>480000</v>
      </c>
      <c r="AC134" s="79">
        <f ca="1">(S134*PMT(Datos!$D$15,Datos!$D$13,-O134,,)*VLOOKUP(TODAY(),'UF HOY'!$A$2:$B$36,2,0)/12)</f>
        <v>634197.68221118278</v>
      </c>
      <c r="AD134" s="79">
        <f t="shared" ca="1" si="55"/>
        <v>-154197.68221118278</v>
      </c>
      <c r="AE134" s="45"/>
      <c r="AF134" s="45"/>
    </row>
    <row r="135" spans="1:32" ht="14.25" hidden="1" customHeight="1">
      <c r="A135" s="173" t="s">
        <v>171</v>
      </c>
      <c r="B135" s="173">
        <v>1703</v>
      </c>
      <c r="C135" s="67" t="s">
        <v>124</v>
      </c>
      <c r="D135" s="67" t="s">
        <v>125</v>
      </c>
      <c r="E135" s="67"/>
      <c r="F135" s="66"/>
      <c r="G135" s="66"/>
      <c r="H135" s="67">
        <v>52.410000000000004</v>
      </c>
      <c r="I135" s="68">
        <v>54.61</v>
      </c>
      <c r="J135" s="69">
        <v>3690</v>
      </c>
      <c r="K135" s="70">
        <v>0</v>
      </c>
      <c r="L135" s="71">
        <v>380</v>
      </c>
      <c r="M135" s="71">
        <v>80</v>
      </c>
      <c r="N135" s="72">
        <f t="shared" si="47"/>
        <v>3527.5</v>
      </c>
      <c r="O135" s="73">
        <f t="shared" si="48"/>
        <v>4150</v>
      </c>
      <c r="P135" s="121">
        <f t="shared" si="49"/>
        <v>58.52890669719519</v>
      </c>
      <c r="Q135" s="74">
        <f t="shared" si="50"/>
        <v>0.15</v>
      </c>
      <c r="R135" s="75">
        <f t="shared" si="51"/>
        <v>622.5</v>
      </c>
      <c r="S135" s="74">
        <v>0.8</v>
      </c>
      <c r="T135" s="75">
        <f t="shared" si="52"/>
        <v>3320</v>
      </c>
      <c r="U135" s="76">
        <f t="shared" si="53"/>
        <v>4.9999999999999961E-2</v>
      </c>
      <c r="V135" s="69">
        <f t="shared" si="54"/>
        <v>207.49999999999983</v>
      </c>
      <c r="W135" s="77">
        <f ca="1">V135*VLOOKUP(TODAY(),'UF HOY'!$A$2:$B$36,2,0)</f>
        <v>8244792.5499999933</v>
      </c>
      <c r="X135" s="78">
        <f>Datos!$E$9</f>
        <v>4</v>
      </c>
      <c r="Y135" s="79">
        <f ca="1">IF((W135-1000000-Datos!$N$9)/X135&gt;0,(W135-1000000-Datos!$N$9)/X135,0)</f>
        <v>1786198.1374999983</v>
      </c>
      <c r="Z135" s="78">
        <f>Datos!$G$9</f>
        <v>4</v>
      </c>
      <c r="AA135" s="79">
        <f ca="1">IF((W135-1000000-Datos!$N$9)/Z135&gt;0,(W135-1000000-Datos!$N$9)/Z135,0)</f>
        <v>1786198.1374999983</v>
      </c>
      <c r="AB135" s="79">
        <f>IF(L135&gt;0,VLOOKUP(D135,Datos!$H$25:$J$28,3,0),VLOOKUP(D135,Datos!$H$25:$J$28,2,0))</f>
        <v>480000</v>
      </c>
      <c r="AC135" s="79">
        <f ca="1">(S135*PMT(Datos!$D$15,Datos!$D$13,-O135,,)*VLOOKUP(TODAY(),'UF HOY'!$A$2:$B$36,2,0)/12)</f>
        <v>635729.56067062996</v>
      </c>
      <c r="AD135" s="79">
        <f t="shared" ca="1" si="55"/>
        <v>-155729.56067062996</v>
      </c>
      <c r="AE135" s="45"/>
      <c r="AF135" s="45"/>
    </row>
    <row r="136" spans="1:32" hidden="1">
      <c r="A136" s="173" t="s">
        <v>171</v>
      </c>
      <c r="B136" s="173">
        <v>1502</v>
      </c>
      <c r="C136" s="67" t="s">
        <v>123</v>
      </c>
      <c r="D136" s="67" t="s">
        <v>125</v>
      </c>
      <c r="E136" s="67"/>
      <c r="F136" s="66"/>
      <c r="G136" s="66"/>
      <c r="H136" s="67">
        <v>52.080000000000005</v>
      </c>
      <c r="I136" s="68">
        <v>54.28</v>
      </c>
      <c r="J136" s="69">
        <v>3750</v>
      </c>
      <c r="K136" s="70">
        <v>0</v>
      </c>
      <c r="L136" s="71">
        <v>400</v>
      </c>
      <c r="M136" s="71">
        <v>0</v>
      </c>
      <c r="N136" s="72">
        <f t="shared" si="47"/>
        <v>3527.5</v>
      </c>
      <c r="O136" s="73">
        <f t="shared" si="48"/>
        <v>4150</v>
      </c>
      <c r="P136" s="121">
        <f t="shared" si="49"/>
        <v>60.051843317972342</v>
      </c>
      <c r="Q136" s="74">
        <f t="shared" si="50"/>
        <v>0.15</v>
      </c>
      <c r="R136" s="75">
        <f t="shared" si="51"/>
        <v>622.5</v>
      </c>
      <c r="S136" s="74">
        <v>0.8</v>
      </c>
      <c r="T136" s="75">
        <f t="shared" si="52"/>
        <v>3320</v>
      </c>
      <c r="U136" s="76">
        <f t="shared" si="53"/>
        <v>4.9999999999999961E-2</v>
      </c>
      <c r="V136" s="69">
        <f t="shared" si="54"/>
        <v>207.49999999999983</v>
      </c>
      <c r="W136" s="77">
        <f ca="1">V136*VLOOKUP(TODAY(),'UF HOY'!$A$2:$B$36,2,0)</f>
        <v>8244792.5499999933</v>
      </c>
      <c r="X136" s="78">
        <f>Datos!$E$9</f>
        <v>4</v>
      </c>
      <c r="Y136" s="79">
        <f ca="1">IF((W136-1000000-Datos!$N$9)/X136&gt;0,(W136-1000000-Datos!$N$9)/X136,0)</f>
        <v>1786198.1374999983</v>
      </c>
      <c r="Z136" s="78">
        <f>Datos!$G$9</f>
        <v>4</v>
      </c>
      <c r="AA136" s="79">
        <f ca="1">IF((W136-1000000-Datos!$N$9)/Z136&gt;0,(W136-1000000-Datos!$N$9)/Z136,0)</f>
        <v>1786198.1374999983</v>
      </c>
      <c r="AB136" s="79">
        <f>IF(L136&gt;0,VLOOKUP(D136,Datos!$H$25:$J$28,3,0),VLOOKUP(D136,Datos!$H$25:$J$28,2,0))</f>
        <v>480000</v>
      </c>
      <c r="AC136" s="79">
        <f ca="1">(S136*PMT(Datos!$D$15,Datos!$D$13,-O136,,)*VLOOKUP(TODAY(),'UF HOY'!$A$2:$B$36,2,0)/12)</f>
        <v>635729.56067062996</v>
      </c>
      <c r="AD136" s="79">
        <f t="shared" ca="1" si="55"/>
        <v>-155729.56067062996</v>
      </c>
      <c r="AE136" s="45"/>
      <c r="AF136" s="45"/>
    </row>
    <row r="137" spans="1:32" hidden="1">
      <c r="A137" s="173" t="s">
        <v>171</v>
      </c>
      <c r="B137" s="173">
        <v>1602</v>
      </c>
      <c r="C137" s="67" t="s">
        <v>123</v>
      </c>
      <c r="D137" s="67" t="s">
        <v>125</v>
      </c>
      <c r="E137" s="67"/>
      <c r="F137" s="66"/>
      <c r="G137" s="66"/>
      <c r="H137" s="67">
        <v>52.080000000000005</v>
      </c>
      <c r="I137" s="68">
        <v>54.28</v>
      </c>
      <c r="J137" s="69">
        <v>3750</v>
      </c>
      <c r="K137" s="70">
        <v>0</v>
      </c>
      <c r="L137" s="71">
        <v>400</v>
      </c>
      <c r="M137" s="71">
        <v>0</v>
      </c>
      <c r="N137" s="72">
        <f t="shared" si="47"/>
        <v>3527.5</v>
      </c>
      <c r="O137" s="73">
        <f t="shared" si="48"/>
        <v>4150</v>
      </c>
      <c r="P137" s="121">
        <f t="shared" si="49"/>
        <v>60.051843317972342</v>
      </c>
      <c r="Q137" s="74">
        <f t="shared" si="50"/>
        <v>0.15</v>
      </c>
      <c r="R137" s="75">
        <f t="shared" si="51"/>
        <v>622.5</v>
      </c>
      <c r="S137" s="74">
        <v>0.8</v>
      </c>
      <c r="T137" s="75">
        <f t="shared" si="52"/>
        <v>3320</v>
      </c>
      <c r="U137" s="76">
        <f t="shared" si="53"/>
        <v>4.9999999999999961E-2</v>
      </c>
      <c r="V137" s="69">
        <f t="shared" si="54"/>
        <v>207.49999999999983</v>
      </c>
      <c r="W137" s="77">
        <f ca="1">V137*VLOOKUP(TODAY(),'UF HOY'!$A$2:$B$36,2,0)</f>
        <v>8244792.5499999933</v>
      </c>
      <c r="X137" s="78">
        <f>Datos!$E$9</f>
        <v>4</v>
      </c>
      <c r="Y137" s="79">
        <f ca="1">IF((W137-1000000-Datos!$N$9)/X137&gt;0,(W137-1000000-Datos!$N$9)/X137,0)</f>
        <v>1786198.1374999983</v>
      </c>
      <c r="Z137" s="78">
        <f>Datos!$G$9</f>
        <v>4</v>
      </c>
      <c r="AA137" s="79">
        <f ca="1">IF((W137-1000000-Datos!$N$9)/Z137&gt;0,(W137-1000000-Datos!$N$9)/Z137,0)</f>
        <v>1786198.1374999983</v>
      </c>
      <c r="AB137" s="79">
        <f>IF(L137&gt;0,VLOOKUP(D137,Datos!$H$25:$J$28,3,0),VLOOKUP(D137,Datos!$H$25:$J$28,2,0))</f>
        <v>480000</v>
      </c>
      <c r="AC137" s="79">
        <f ca="1">(S137*PMT(Datos!$D$15,Datos!$D$13,-O137,,)*VLOOKUP(TODAY(),'UF HOY'!$A$2:$B$36,2,0)/12)</f>
        <v>635729.56067062996</v>
      </c>
      <c r="AD137" s="79">
        <f t="shared" ca="1" si="55"/>
        <v>-155729.56067062996</v>
      </c>
      <c r="AE137" s="45"/>
      <c r="AF137" s="45"/>
    </row>
    <row r="138" spans="1:32" hidden="1">
      <c r="A138" s="173" t="s">
        <v>171</v>
      </c>
      <c r="B138" s="173">
        <v>903</v>
      </c>
      <c r="C138" s="67" t="s">
        <v>124</v>
      </c>
      <c r="D138" s="67" t="s">
        <v>125</v>
      </c>
      <c r="E138" s="67"/>
      <c r="F138" s="66"/>
      <c r="G138" s="66"/>
      <c r="H138" s="67">
        <v>52.410000000000004</v>
      </c>
      <c r="I138" s="68">
        <v>54.61</v>
      </c>
      <c r="J138" s="69">
        <v>3690</v>
      </c>
      <c r="K138" s="70">
        <v>0</v>
      </c>
      <c r="L138" s="71">
        <v>390</v>
      </c>
      <c r="M138" s="71">
        <v>90</v>
      </c>
      <c r="N138" s="72">
        <f t="shared" si="47"/>
        <v>3544.5</v>
      </c>
      <c r="O138" s="73">
        <f t="shared" si="48"/>
        <v>4170</v>
      </c>
      <c r="P138" s="121">
        <f t="shared" si="49"/>
        <v>58.471665712650257</v>
      </c>
      <c r="Q138" s="74">
        <f t="shared" si="50"/>
        <v>0.15</v>
      </c>
      <c r="R138" s="75">
        <f t="shared" si="51"/>
        <v>625.5</v>
      </c>
      <c r="S138" s="74">
        <v>0.8</v>
      </c>
      <c r="T138" s="75">
        <f t="shared" si="52"/>
        <v>3336</v>
      </c>
      <c r="U138" s="76">
        <f t="shared" si="53"/>
        <v>4.9999999999999961E-2</v>
      </c>
      <c r="V138" s="69">
        <f t="shared" si="54"/>
        <v>208.49999999999983</v>
      </c>
      <c r="W138" s="77">
        <f ca="1">V138*VLOOKUP(TODAY(),'UF HOY'!$A$2:$B$36,2,0)</f>
        <v>8284526.4899999937</v>
      </c>
      <c r="X138" s="78">
        <f>Datos!$E$9</f>
        <v>4</v>
      </c>
      <c r="Y138" s="79">
        <f ca="1">IF((W138-1000000-Datos!$N$9)/X138&gt;0,(W138-1000000-Datos!$N$9)/X138,0)</f>
        <v>1796131.6224999984</v>
      </c>
      <c r="Z138" s="78">
        <f>Datos!$G$9</f>
        <v>4</v>
      </c>
      <c r="AA138" s="79">
        <f ca="1">IF((W138-1000000-Datos!$N$9)/Z138&gt;0,(W138-1000000-Datos!$N$9)/Z138,0)</f>
        <v>1796131.6224999984</v>
      </c>
      <c r="AB138" s="79">
        <f>IF(L138&gt;0,VLOOKUP(D138,Datos!$H$25:$J$28,3,0),VLOOKUP(D138,Datos!$H$25:$J$28,2,0))</f>
        <v>480000</v>
      </c>
      <c r="AC138" s="79">
        <f ca="1">(S138*PMT(Datos!$D$15,Datos!$D$13,-O138,,)*VLOOKUP(TODAY(),'UF HOY'!$A$2:$B$36,2,0)/12)</f>
        <v>638793.31758952467</v>
      </c>
      <c r="AD138" s="79">
        <f t="shared" ca="1" si="55"/>
        <v>-158793.31758952467</v>
      </c>
      <c r="AE138" s="45"/>
      <c r="AF138" s="45"/>
    </row>
    <row r="139" spans="1:32" hidden="1">
      <c r="A139" s="173" t="s">
        <v>171</v>
      </c>
      <c r="B139" s="173">
        <v>503</v>
      </c>
      <c r="C139" s="67" t="s">
        <v>124</v>
      </c>
      <c r="D139" s="67" t="s">
        <v>125</v>
      </c>
      <c r="E139" s="67"/>
      <c r="F139" s="66"/>
      <c r="G139" s="66"/>
      <c r="H139" s="67">
        <v>52.410000000000004</v>
      </c>
      <c r="I139" s="68">
        <v>54.61</v>
      </c>
      <c r="J139" s="69">
        <v>3690</v>
      </c>
      <c r="K139" s="70">
        <v>0</v>
      </c>
      <c r="L139" s="71">
        <v>390</v>
      </c>
      <c r="M139" s="71">
        <v>110</v>
      </c>
      <c r="N139" s="72">
        <f t="shared" si="47"/>
        <v>3561.5</v>
      </c>
      <c r="O139" s="73">
        <f t="shared" si="48"/>
        <v>4190</v>
      </c>
      <c r="P139" s="121">
        <f t="shared" si="49"/>
        <v>58.414424728105317</v>
      </c>
      <c r="Q139" s="74">
        <f t="shared" si="50"/>
        <v>0.15</v>
      </c>
      <c r="R139" s="75">
        <f t="shared" si="51"/>
        <v>628.5</v>
      </c>
      <c r="S139" s="74">
        <v>0.8</v>
      </c>
      <c r="T139" s="75">
        <f t="shared" si="52"/>
        <v>3352</v>
      </c>
      <c r="U139" s="76">
        <f t="shared" si="53"/>
        <v>4.9999999999999961E-2</v>
      </c>
      <c r="V139" s="69">
        <f t="shared" si="54"/>
        <v>209.49999999999983</v>
      </c>
      <c r="W139" s="77">
        <f ca="1">V139*VLOOKUP(TODAY(),'UF HOY'!$A$2:$B$36,2,0)</f>
        <v>8324260.4299999941</v>
      </c>
      <c r="X139" s="78">
        <f>Datos!$E$9</f>
        <v>4</v>
      </c>
      <c r="Y139" s="79">
        <f ca="1">IF((W139-1000000-Datos!$N$9)/X139&gt;0,(W139-1000000-Datos!$N$9)/X139,0)</f>
        <v>1806065.1074999985</v>
      </c>
      <c r="Z139" s="78">
        <f>Datos!$G$9</f>
        <v>4</v>
      </c>
      <c r="AA139" s="79">
        <f ca="1">IF((W139-1000000-Datos!$N$9)/Z139&gt;0,(W139-1000000-Datos!$N$9)/Z139,0)</f>
        <v>1806065.1074999985</v>
      </c>
      <c r="AB139" s="79">
        <f>IF(L139&gt;0,VLOOKUP(D139,Datos!$H$25:$J$28,3,0),VLOOKUP(D139,Datos!$H$25:$J$28,2,0))</f>
        <v>480000</v>
      </c>
      <c r="AC139" s="79">
        <f ca="1">(S139*PMT(Datos!$D$15,Datos!$D$13,-O139,,)*VLOOKUP(TODAY(),'UF HOY'!$A$2:$B$36,2,0)/12)</f>
        <v>641857.07450841914</v>
      </c>
      <c r="AD139" s="79">
        <f t="shared" ca="1" si="55"/>
        <v>-161857.07450841914</v>
      </c>
      <c r="AE139" s="45"/>
      <c r="AF139" s="45"/>
    </row>
    <row r="140" spans="1:32" hidden="1">
      <c r="A140" s="173" t="s">
        <v>171</v>
      </c>
      <c r="B140" s="173">
        <v>603</v>
      </c>
      <c r="C140" s="67" t="s">
        <v>124</v>
      </c>
      <c r="D140" s="67" t="s">
        <v>125</v>
      </c>
      <c r="E140" s="67"/>
      <c r="F140" s="66"/>
      <c r="G140" s="66"/>
      <c r="H140" s="67">
        <v>52.410000000000004</v>
      </c>
      <c r="I140" s="68">
        <v>54.61</v>
      </c>
      <c r="J140" s="69">
        <v>3690</v>
      </c>
      <c r="K140" s="70">
        <v>0</v>
      </c>
      <c r="L140" s="71">
        <v>390</v>
      </c>
      <c r="M140" s="71">
        <v>110</v>
      </c>
      <c r="N140" s="72">
        <f t="shared" si="47"/>
        <v>3561.5</v>
      </c>
      <c r="O140" s="73">
        <f t="shared" si="48"/>
        <v>4190</v>
      </c>
      <c r="P140" s="121">
        <f t="shared" si="49"/>
        <v>58.414424728105317</v>
      </c>
      <c r="Q140" s="74">
        <f t="shared" si="50"/>
        <v>0.15</v>
      </c>
      <c r="R140" s="75">
        <f t="shared" si="51"/>
        <v>628.5</v>
      </c>
      <c r="S140" s="74">
        <v>0.8</v>
      </c>
      <c r="T140" s="75">
        <f t="shared" si="52"/>
        <v>3352</v>
      </c>
      <c r="U140" s="76">
        <f t="shared" si="53"/>
        <v>4.9999999999999961E-2</v>
      </c>
      <c r="V140" s="69">
        <f t="shared" si="54"/>
        <v>209.49999999999983</v>
      </c>
      <c r="W140" s="77">
        <f ca="1">V140*VLOOKUP(TODAY(),'UF HOY'!$A$2:$B$36,2,0)</f>
        <v>8324260.4299999941</v>
      </c>
      <c r="X140" s="78">
        <f>Datos!$E$9</f>
        <v>4</v>
      </c>
      <c r="Y140" s="79">
        <f ca="1">IF((W140-1000000-Datos!$N$9)/X140&gt;0,(W140-1000000-Datos!$N$9)/X140,0)</f>
        <v>1806065.1074999985</v>
      </c>
      <c r="Z140" s="78">
        <f>Datos!$G$9</f>
        <v>4</v>
      </c>
      <c r="AA140" s="79">
        <f ca="1">IF((W140-1000000-Datos!$N$9)/Z140&gt;0,(W140-1000000-Datos!$N$9)/Z140,0)</f>
        <v>1806065.1074999985</v>
      </c>
      <c r="AB140" s="79">
        <f>IF(L140&gt;0,VLOOKUP(D140,Datos!$H$25:$J$28,3,0),VLOOKUP(D140,Datos!$H$25:$J$28,2,0))</f>
        <v>480000</v>
      </c>
      <c r="AC140" s="79">
        <f ca="1">(S140*PMT(Datos!$D$15,Datos!$D$13,-O140,,)*VLOOKUP(TODAY(),'UF HOY'!$A$2:$B$36,2,0)/12)</f>
        <v>641857.07450841914</v>
      </c>
      <c r="AD140" s="79">
        <f t="shared" ca="1" si="55"/>
        <v>-161857.07450841914</v>
      </c>
      <c r="AE140" s="45"/>
      <c r="AF140" s="45"/>
    </row>
    <row r="141" spans="1:32" hidden="1">
      <c r="A141" s="173" t="s">
        <v>171</v>
      </c>
      <c r="B141" s="173">
        <v>1003</v>
      </c>
      <c r="C141" s="67" t="s">
        <v>124</v>
      </c>
      <c r="D141" s="67" t="s">
        <v>125</v>
      </c>
      <c r="E141" s="67"/>
      <c r="F141" s="66"/>
      <c r="G141" s="66"/>
      <c r="H141" s="67">
        <v>52.410000000000004</v>
      </c>
      <c r="I141" s="68">
        <v>54.61</v>
      </c>
      <c r="J141" s="69">
        <v>3690</v>
      </c>
      <c r="K141" s="70">
        <v>0</v>
      </c>
      <c r="L141" s="71">
        <v>390</v>
      </c>
      <c r="M141" s="71">
        <v>110</v>
      </c>
      <c r="N141" s="72">
        <f t="shared" si="47"/>
        <v>3561.5</v>
      </c>
      <c r="O141" s="73">
        <f t="shared" si="48"/>
        <v>4190</v>
      </c>
      <c r="P141" s="121">
        <f t="shared" si="49"/>
        <v>58.414424728105317</v>
      </c>
      <c r="Q141" s="74">
        <f t="shared" si="50"/>
        <v>0.15</v>
      </c>
      <c r="R141" s="75">
        <f t="shared" si="51"/>
        <v>628.5</v>
      </c>
      <c r="S141" s="74">
        <v>0.8</v>
      </c>
      <c r="T141" s="75">
        <f t="shared" si="52"/>
        <v>3352</v>
      </c>
      <c r="U141" s="76">
        <f t="shared" si="53"/>
        <v>4.9999999999999961E-2</v>
      </c>
      <c r="V141" s="69">
        <f t="shared" si="54"/>
        <v>209.49999999999983</v>
      </c>
      <c r="W141" s="77">
        <f ca="1">V141*VLOOKUP(TODAY(),'UF HOY'!$A$2:$B$36,2,0)</f>
        <v>8324260.4299999941</v>
      </c>
      <c r="X141" s="78">
        <f>Datos!$E$9</f>
        <v>4</v>
      </c>
      <c r="Y141" s="79">
        <f ca="1">IF((W141-1000000-Datos!$N$9)/X141&gt;0,(W141-1000000-Datos!$N$9)/X141,0)</f>
        <v>1806065.1074999985</v>
      </c>
      <c r="Z141" s="78">
        <f>Datos!$G$9</f>
        <v>4</v>
      </c>
      <c r="AA141" s="79">
        <f ca="1">IF((W141-1000000-Datos!$N$9)/Z141&gt;0,(W141-1000000-Datos!$N$9)/Z141,0)</f>
        <v>1806065.1074999985</v>
      </c>
      <c r="AB141" s="79">
        <f>IF(L141&gt;0,VLOOKUP(D141,Datos!$H$25:$J$28,3,0),VLOOKUP(D141,Datos!$H$25:$J$28,2,0))</f>
        <v>480000</v>
      </c>
      <c r="AC141" s="79">
        <f ca="1">(S141*PMT(Datos!$D$15,Datos!$D$13,-O141,,)*VLOOKUP(TODAY(),'UF HOY'!$A$2:$B$36,2,0)/12)</f>
        <v>641857.07450841914</v>
      </c>
      <c r="AD141" s="79">
        <f t="shared" ca="1" si="55"/>
        <v>-161857.07450841914</v>
      </c>
      <c r="AE141" s="45"/>
      <c r="AF141" s="45"/>
    </row>
    <row r="142" spans="1:32" hidden="1">
      <c r="A142" s="173" t="s">
        <v>171</v>
      </c>
      <c r="B142" s="173">
        <v>1103</v>
      </c>
      <c r="C142" s="67" t="s">
        <v>124</v>
      </c>
      <c r="D142" s="67" t="s">
        <v>125</v>
      </c>
      <c r="E142" s="67"/>
      <c r="F142" s="66"/>
      <c r="G142" s="66"/>
      <c r="H142" s="67">
        <v>52.410000000000004</v>
      </c>
      <c r="I142" s="68">
        <v>54.61</v>
      </c>
      <c r="J142" s="69">
        <v>3690</v>
      </c>
      <c r="K142" s="70">
        <v>0</v>
      </c>
      <c r="L142" s="71">
        <v>390</v>
      </c>
      <c r="M142" s="71">
        <v>110</v>
      </c>
      <c r="N142" s="72">
        <f t="shared" si="47"/>
        <v>3561.5</v>
      </c>
      <c r="O142" s="73">
        <f t="shared" si="48"/>
        <v>4190</v>
      </c>
      <c r="P142" s="121">
        <f t="shared" si="49"/>
        <v>58.414424728105317</v>
      </c>
      <c r="Q142" s="74">
        <f t="shared" si="50"/>
        <v>0.15</v>
      </c>
      <c r="R142" s="75">
        <f t="shared" si="51"/>
        <v>628.5</v>
      </c>
      <c r="S142" s="74">
        <v>0.8</v>
      </c>
      <c r="T142" s="75">
        <f t="shared" si="52"/>
        <v>3352</v>
      </c>
      <c r="U142" s="76">
        <f t="shared" si="53"/>
        <v>4.9999999999999961E-2</v>
      </c>
      <c r="V142" s="69">
        <f t="shared" si="54"/>
        <v>209.49999999999983</v>
      </c>
      <c r="W142" s="77">
        <f ca="1">V142*VLOOKUP(TODAY(),'UF HOY'!$A$2:$B$36,2,0)</f>
        <v>8324260.4299999941</v>
      </c>
      <c r="X142" s="78">
        <f>Datos!$E$9</f>
        <v>4</v>
      </c>
      <c r="Y142" s="79">
        <f ca="1">IF((W142-1000000-Datos!$N$9)/X142&gt;0,(W142-1000000-Datos!$N$9)/X142,0)</f>
        <v>1806065.1074999985</v>
      </c>
      <c r="Z142" s="78">
        <f>Datos!$G$9</f>
        <v>4</v>
      </c>
      <c r="AA142" s="79">
        <f ca="1">IF((W142-1000000-Datos!$N$9)/Z142&gt;0,(W142-1000000-Datos!$N$9)/Z142,0)</f>
        <v>1806065.1074999985</v>
      </c>
      <c r="AB142" s="79">
        <f>IF(L142&gt;0,VLOOKUP(D142,Datos!$H$25:$J$28,3,0),VLOOKUP(D142,Datos!$H$25:$J$28,2,0))</f>
        <v>480000</v>
      </c>
      <c r="AC142" s="79">
        <f ca="1">(S142*PMT(Datos!$D$15,Datos!$D$13,-O142,,)*VLOOKUP(TODAY(),'UF HOY'!$A$2:$B$36,2,0)/12)</f>
        <v>641857.07450841914</v>
      </c>
      <c r="AD142" s="79">
        <f t="shared" ca="1" si="55"/>
        <v>-161857.07450841914</v>
      </c>
      <c r="AE142" s="45"/>
      <c r="AF142" s="45"/>
    </row>
    <row r="143" spans="1:32" hidden="1">
      <c r="A143" s="173" t="s">
        <v>171</v>
      </c>
      <c r="B143" s="173">
        <v>1102</v>
      </c>
      <c r="C143" s="67" t="s">
        <v>123</v>
      </c>
      <c r="D143" s="67" t="s">
        <v>125</v>
      </c>
      <c r="E143" s="67"/>
      <c r="F143" s="66"/>
      <c r="G143" s="66"/>
      <c r="H143" s="67">
        <v>52.080000000000005</v>
      </c>
      <c r="I143" s="68">
        <v>54.28</v>
      </c>
      <c r="J143" s="69">
        <v>3750</v>
      </c>
      <c r="K143" s="70">
        <v>0</v>
      </c>
      <c r="L143" s="71">
        <v>390</v>
      </c>
      <c r="M143" s="71">
        <v>80</v>
      </c>
      <c r="N143" s="72">
        <f t="shared" si="47"/>
        <v>3587</v>
      </c>
      <c r="O143" s="73">
        <f t="shared" si="48"/>
        <v>4220</v>
      </c>
      <c r="P143" s="121">
        <f t="shared" si="49"/>
        <v>59.850230414746541</v>
      </c>
      <c r="Q143" s="74">
        <f t="shared" si="50"/>
        <v>0.15</v>
      </c>
      <c r="R143" s="75">
        <f t="shared" si="51"/>
        <v>633</v>
      </c>
      <c r="S143" s="74">
        <v>0.8</v>
      </c>
      <c r="T143" s="75">
        <f t="shared" si="52"/>
        <v>3376</v>
      </c>
      <c r="U143" s="76">
        <f t="shared" si="53"/>
        <v>4.9999999999999961E-2</v>
      </c>
      <c r="V143" s="69">
        <f t="shared" si="54"/>
        <v>210.99999999999983</v>
      </c>
      <c r="W143" s="77">
        <f ca="1">V143*VLOOKUP(TODAY(),'UF HOY'!$A$2:$B$36,2,0)</f>
        <v>8383861.3399999933</v>
      </c>
      <c r="X143" s="78">
        <f>Datos!$E$9</f>
        <v>4</v>
      </c>
      <c r="Y143" s="79">
        <f ca="1">IF((W143-1000000-Datos!$N$9)/X143&gt;0,(W143-1000000-Datos!$N$9)/X143,0)</f>
        <v>1820965.3349999983</v>
      </c>
      <c r="Z143" s="78">
        <f>Datos!$G$9</f>
        <v>4</v>
      </c>
      <c r="AA143" s="79">
        <f ca="1">IF((W143-1000000-Datos!$N$9)/Z143&gt;0,(W143-1000000-Datos!$N$9)/Z143,0)</f>
        <v>1820965.3349999983</v>
      </c>
      <c r="AB143" s="79">
        <f>IF(L143&gt;0,VLOOKUP(D143,Datos!$H$25:$J$28,3,0),VLOOKUP(D143,Datos!$H$25:$J$28,2,0))</f>
        <v>480000</v>
      </c>
      <c r="AC143" s="79">
        <f ca="1">(S143*PMT(Datos!$D$15,Datos!$D$13,-O143,,)*VLOOKUP(TODAY(),'UF HOY'!$A$2:$B$36,2,0)/12)</f>
        <v>646452.70988676115</v>
      </c>
      <c r="AD143" s="79">
        <f t="shared" ca="1" si="55"/>
        <v>-166452.70988676115</v>
      </c>
      <c r="AE143" s="45"/>
      <c r="AF143" s="45"/>
    </row>
    <row r="144" spans="1:32" hidden="1">
      <c r="A144" s="173" t="s">
        <v>171</v>
      </c>
      <c r="B144" s="173">
        <v>402</v>
      </c>
      <c r="C144" s="67" t="s">
        <v>123</v>
      </c>
      <c r="D144" s="67" t="s">
        <v>125</v>
      </c>
      <c r="E144" s="67"/>
      <c r="F144" s="66"/>
      <c r="G144" s="66"/>
      <c r="H144" s="67">
        <v>52.080000000000005</v>
      </c>
      <c r="I144" s="68">
        <v>54.28</v>
      </c>
      <c r="J144" s="69">
        <v>3750</v>
      </c>
      <c r="K144" s="70">
        <v>0</v>
      </c>
      <c r="L144" s="71">
        <v>390</v>
      </c>
      <c r="M144" s="71">
        <v>100</v>
      </c>
      <c r="N144" s="72">
        <f t="shared" si="47"/>
        <v>3604</v>
      </c>
      <c r="O144" s="73">
        <f t="shared" si="48"/>
        <v>4240</v>
      </c>
      <c r="P144" s="121">
        <f t="shared" si="49"/>
        <v>59.792626728110591</v>
      </c>
      <c r="Q144" s="74">
        <f t="shared" si="50"/>
        <v>0.15</v>
      </c>
      <c r="R144" s="75">
        <f t="shared" si="51"/>
        <v>636</v>
      </c>
      <c r="S144" s="74">
        <v>0.8</v>
      </c>
      <c r="T144" s="75">
        <f t="shared" si="52"/>
        <v>3392</v>
      </c>
      <c r="U144" s="76">
        <f t="shared" si="53"/>
        <v>4.9999999999999961E-2</v>
      </c>
      <c r="V144" s="69">
        <f t="shared" si="54"/>
        <v>211.99999999999983</v>
      </c>
      <c r="W144" s="77">
        <f ca="1">V144*VLOOKUP(TODAY(),'UF HOY'!$A$2:$B$36,2,0)</f>
        <v>8423595.2799999937</v>
      </c>
      <c r="X144" s="78">
        <f>Datos!$E$9</f>
        <v>4</v>
      </c>
      <c r="Y144" s="79">
        <f ca="1">IF((W144-1000000-Datos!$N$9)/X144&gt;0,(W144-1000000-Datos!$N$9)/X144,0)</f>
        <v>1830898.8199999984</v>
      </c>
      <c r="Z144" s="78">
        <f>Datos!$G$9</f>
        <v>4</v>
      </c>
      <c r="AA144" s="79">
        <f ca="1">IF((W144-1000000-Datos!$N$9)/Z144&gt;0,(W144-1000000-Datos!$N$9)/Z144,0)</f>
        <v>1830898.8199999984</v>
      </c>
      <c r="AB144" s="79">
        <f>IF(L144&gt;0,VLOOKUP(D144,Datos!$H$25:$J$28,3,0),VLOOKUP(D144,Datos!$H$25:$J$28,2,0))</f>
        <v>480000</v>
      </c>
      <c r="AC144" s="79">
        <f ca="1">(S144*PMT(Datos!$D$15,Datos!$D$13,-O144,,)*VLOOKUP(TODAY(),'UF HOY'!$A$2:$B$36,2,0)/12)</f>
        <v>649516.46680565574</v>
      </c>
      <c r="AD144" s="79">
        <f t="shared" ca="1" si="55"/>
        <v>-169516.46680565574</v>
      </c>
      <c r="AE144" s="45"/>
      <c r="AF144" s="45"/>
    </row>
    <row r="145" spans="1:32" hidden="1">
      <c r="A145" s="173" t="s">
        <v>171</v>
      </c>
      <c r="B145" s="173">
        <v>702</v>
      </c>
      <c r="C145" s="67" t="s">
        <v>123</v>
      </c>
      <c r="D145" s="67" t="s">
        <v>125</v>
      </c>
      <c r="E145" s="67"/>
      <c r="F145" s="66"/>
      <c r="G145" s="66"/>
      <c r="H145" s="67">
        <v>52.080000000000005</v>
      </c>
      <c r="I145" s="68">
        <v>54.28</v>
      </c>
      <c r="J145" s="69">
        <v>3750</v>
      </c>
      <c r="K145" s="70">
        <v>0</v>
      </c>
      <c r="L145" s="71">
        <v>400</v>
      </c>
      <c r="M145" s="71">
        <v>100</v>
      </c>
      <c r="N145" s="72">
        <f t="shared" si="47"/>
        <v>3612.5</v>
      </c>
      <c r="O145" s="73">
        <f t="shared" si="48"/>
        <v>4250</v>
      </c>
      <c r="P145" s="121">
        <f t="shared" si="49"/>
        <v>59.763824884792619</v>
      </c>
      <c r="Q145" s="74">
        <f t="shared" si="50"/>
        <v>0.15</v>
      </c>
      <c r="R145" s="75">
        <f t="shared" si="51"/>
        <v>637.5</v>
      </c>
      <c r="S145" s="74">
        <v>0.8</v>
      </c>
      <c r="T145" s="75">
        <f t="shared" si="52"/>
        <v>3400</v>
      </c>
      <c r="U145" s="76">
        <f t="shared" si="53"/>
        <v>4.9999999999999961E-2</v>
      </c>
      <c r="V145" s="69">
        <f t="shared" si="54"/>
        <v>212.49999999999983</v>
      </c>
      <c r="W145" s="77">
        <f ca="1">V145*VLOOKUP(TODAY(),'UF HOY'!$A$2:$B$36,2,0)</f>
        <v>8443462.2499999944</v>
      </c>
      <c r="X145" s="78">
        <f>Datos!$E$9</f>
        <v>4</v>
      </c>
      <c r="Y145" s="79">
        <f ca="1">IF((W145-1000000-Datos!$N$9)/X145&gt;0,(W145-1000000-Datos!$N$9)/X145,0)</f>
        <v>1835865.5624999986</v>
      </c>
      <c r="Z145" s="78">
        <f>Datos!$G$9</f>
        <v>4</v>
      </c>
      <c r="AA145" s="79">
        <f ca="1">IF((W145-1000000-Datos!$N$9)/Z145&gt;0,(W145-1000000-Datos!$N$9)/Z145,0)</f>
        <v>1835865.5624999986</v>
      </c>
      <c r="AB145" s="79">
        <f>IF(L145&gt;0,VLOOKUP(D145,Datos!$H$25:$J$28,3,0),VLOOKUP(D145,Datos!$H$25:$J$28,2,0))</f>
        <v>480000</v>
      </c>
      <c r="AC145" s="79">
        <f ca="1">(S145*PMT(Datos!$D$15,Datos!$D$13,-O145,,)*VLOOKUP(TODAY(),'UF HOY'!$A$2:$B$36,2,0)/12)</f>
        <v>651048.34526510304</v>
      </c>
      <c r="AD145" s="79">
        <f t="shared" ca="1" si="55"/>
        <v>-171048.34526510304</v>
      </c>
      <c r="AE145" s="45"/>
      <c r="AF145" s="45"/>
    </row>
    <row r="146" spans="1:32" ht="14.25" hidden="1" customHeight="1">
      <c r="A146" s="173" t="s">
        <v>171</v>
      </c>
      <c r="B146" s="173">
        <v>802</v>
      </c>
      <c r="C146" s="67" t="s">
        <v>123</v>
      </c>
      <c r="D146" s="67" t="s">
        <v>125</v>
      </c>
      <c r="E146" s="67"/>
      <c r="F146" s="66"/>
      <c r="G146" s="66"/>
      <c r="H146" s="67">
        <v>52.080000000000005</v>
      </c>
      <c r="I146" s="68">
        <v>54.28</v>
      </c>
      <c r="J146" s="69">
        <v>3750</v>
      </c>
      <c r="K146" s="70">
        <v>0</v>
      </c>
      <c r="L146" s="71">
        <v>400</v>
      </c>
      <c r="M146" s="71">
        <v>100</v>
      </c>
      <c r="N146" s="72">
        <f t="shared" si="47"/>
        <v>3612.5</v>
      </c>
      <c r="O146" s="73">
        <f t="shared" si="48"/>
        <v>4250</v>
      </c>
      <c r="P146" s="121">
        <f t="shared" si="49"/>
        <v>59.763824884792619</v>
      </c>
      <c r="Q146" s="74">
        <f t="shared" si="50"/>
        <v>0.15</v>
      </c>
      <c r="R146" s="75">
        <f t="shared" si="51"/>
        <v>637.5</v>
      </c>
      <c r="S146" s="74">
        <v>0.8</v>
      </c>
      <c r="T146" s="75">
        <f t="shared" si="52"/>
        <v>3400</v>
      </c>
      <c r="U146" s="76">
        <f t="shared" si="53"/>
        <v>4.9999999999999961E-2</v>
      </c>
      <c r="V146" s="69">
        <f t="shared" si="54"/>
        <v>212.49999999999983</v>
      </c>
      <c r="W146" s="77">
        <f ca="1">V146*VLOOKUP(TODAY(),'UF HOY'!$A$2:$B$36,2,0)</f>
        <v>8443462.2499999944</v>
      </c>
      <c r="X146" s="78">
        <f>Datos!$E$9</f>
        <v>4</v>
      </c>
      <c r="Y146" s="79">
        <f ca="1">IF((W146-1000000-Datos!$N$9)/X146&gt;0,(W146-1000000-Datos!$N$9)/X146,0)</f>
        <v>1835865.5624999986</v>
      </c>
      <c r="Z146" s="78">
        <f>Datos!$G$9</f>
        <v>4</v>
      </c>
      <c r="AA146" s="79">
        <f ca="1">IF((W146-1000000-Datos!$N$9)/Z146&gt;0,(W146-1000000-Datos!$N$9)/Z146,0)</f>
        <v>1835865.5624999986</v>
      </c>
      <c r="AB146" s="79">
        <f>IF(L146&gt;0,VLOOKUP(D146,Datos!$H$25:$J$28,3,0),VLOOKUP(D146,Datos!$H$25:$J$28,2,0))</f>
        <v>480000</v>
      </c>
      <c r="AC146" s="79">
        <f ca="1">(S146*PMT(Datos!$D$15,Datos!$D$13,-O146,,)*VLOOKUP(TODAY(),'UF HOY'!$A$2:$B$36,2,0)/12)</f>
        <v>651048.34526510304</v>
      </c>
      <c r="AD146" s="79">
        <f t="shared" ca="1" si="55"/>
        <v>-171048.34526510304</v>
      </c>
      <c r="AE146" s="45"/>
      <c r="AF146" s="45"/>
    </row>
    <row r="147" spans="1:32" hidden="1">
      <c r="A147" s="173" t="s">
        <v>171</v>
      </c>
      <c r="B147" s="173">
        <v>403</v>
      </c>
      <c r="C147" s="67" t="s">
        <v>124</v>
      </c>
      <c r="D147" s="67" t="s">
        <v>125</v>
      </c>
      <c r="E147" s="67"/>
      <c r="F147" s="66"/>
      <c r="G147" s="66"/>
      <c r="H147" s="67">
        <v>52.410000000000004</v>
      </c>
      <c r="I147" s="68">
        <v>54.61</v>
      </c>
      <c r="J147" s="69">
        <v>3690</v>
      </c>
      <c r="K147" s="70">
        <v>0</v>
      </c>
      <c r="L147" s="71">
        <v>380</v>
      </c>
      <c r="M147" s="71">
        <v>180</v>
      </c>
      <c r="N147" s="72">
        <f t="shared" si="47"/>
        <v>3612.5</v>
      </c>
      <c r="O147" s="73">
        <f t="shared" si="48"/>
        <v>4250</v>
      </c>
      <c r="P147" s="121">
        <f t="shared" si="49"/>
        <v>58.242701774470518</v>
      </c>
      <c r="Q147" s="74">
        <f t="shared" si="50"/>
        <v>0.15</v>
      </c>
      <c r="R147" s="75">
        <f t="shared" si="51"/>
        <v>637.5</v>
      </c>
      <c r="S147" s="74">
        <v>0.8</v>
      </c>
      <c r="T147" s="75">
        <f t="shared" si="52"/>
        <v>3400</v>
      </c>
      <c r="U147" s="76">
        <f t="shared" si="53"/>
        <v>4.9999999999999961E-2</v>
      </c>
      <c r="V147" s="69">
        <f t="shared" si="54"/>
        <v>212.49999999999983</v>
      </c>
      <c r="W147" s="77">
        <f ca="1">V147*VLOOKUP(TODAY(),'UF HOY'!$A$2:$B$36,2,0)</f>
        <v>8443462.2499999944</v>
      </c>
      <c r="X147" s="78">
        <f>Datos!$E$9</f>
        <v>4</v>
      </c>
      <c r="Y147" s="79">
        <f ca="1">IF((W147-1000000-Datos!$N$9)/X147&gt;0,(W147-1000000-Datos!$N$9)/X147,0)</f>
        <v>1835865.5624999986</v>
      </c>
      <c r="Z147" s="78">
        <f>Datos!$G$9</f>
        <v>4</v>
      </c>
      <c r="AA147" s="79">
        <f ca="1">IF((W147-1000000-Datos!$N$9)/Z147&gt;0,(W147-1000000-Datos!$N$9)/Z147,0)</f>
        <v>1835865.5624999986</v>
      </c>
      <c r="AB147" s="79">
        <f>IF(L147&gt;0,VLOOKUP(D147,Datos!$H$25:$J$28,3,0),VLOOKUP(D147,Datos!$H$25:$J$28,2,0))</f>
        <v>480000</v>
      </c>
      <c r="AC147" s="79">
        <f ca="1">(S147*PMT(Datos!$D$15,Datos!$D$13,-O147,,)*VLOOKUP(TODAY(),'UF HOY'!$A$2:$B$36,2,0)/12)</f>
        <v>651048.34526510304</v>
      </c>
      <c r="AD147" s="79">
        <f t="shared" ca="1" si="55"/>
        <v>-171048.34526510304</v>
      </c>
      <c r="AE147" s="45"/>
      <c r="AF147" s="45"/>
    </row>
    <row r="148" spans="1:32" hidden="1">
      <c r="A148" s="173" t="s">
        <v>171</v>
      </c>
      <c r="B148" s="173">
        <v>1202</v>
      </c>
      <c r="C148" s="67" t="s">
        <v>123</v>
      </c>
      <c r="D148" s="67" t="s">
        <v>125</v>
      </c>
      <c r="E148" s="67"/>
      <c r="F148" s="66"/>
      <c r="G148" s="66"/>
      <c r="H148" s="67">
        <v>52.080000000000005</v>
      </c>
      <c r="I148" s="68">
        <v>54.28</v>
      </c>
      <c r="J148" s="69">
        <v>3750</v>
      </c>
      <c r="K148" s="70">
        <v>0</v>
      </c>
      <c r="L148" s="71">
        <v>390</v>
      </c>
      <c r="M148" s="71">
        <v>110</v>
      </c>
      <c r="N148" s="72">
        <f t="shared" si="47"/>
        <v>3612.5</v>
      </c>
      <c r="O148" s="73">
        <f t="shared" si="48"/>
        <v>4250</v>
      </c>
      <c r="P148" s="121">
        <f t="shared" si="49"/>
        <v>59.763824884792619</v>
      </c>
      <c r="Q148" s="74">
        <f t="shared" si="50"/>
        <v>0.15</v>
      </c>
      <c r="R148" s="75">
        <f t="shared" si="51"/>
        <v>637.5</v>
      </c>
      <c r="S148" s="74">
        <v>0.8</v>
      </c>
      <c r="T148" s="75">
        <f t="shared" si="52"/>
        <v>3400</v>
      </c>
      <c r="U148" s="76">
        <f t="shared" si="53"/>
        <v>4.9999999999999961E-2</v>
      </c>
      <c r="V148" s="69">
        <f t="shared" si="54"/>
        <v>212.49999999999983</v>
      </c>
      <c r="W148" s="77">
        <f ca="1">V148*VLOOKUP(TODAY(),'UF HOY'!$A$2:$B$36,2,0)</f>
        <v>8443462.2499999944</v>
      </c>
      <c r="X148" s="78">
        <f>Datos!$E$9</f>
        <v>4</v>
      </c>
      <c r="Y148" s="79">
        <f ca="1">IF((W148-1000000-Datos!$N$9)/X148&gt;0,(W148-1000000-Datos!$N$9)/X148,0)</f>
        <v>1835865.5624999986</v>
      </c>
      <c r="Z148" s="78">
        <f>Datos!$G$9</f>
        <v>4</v>
      </c>
      <c r="AA148" s="79">
        <f ca="1">IF((W148-1000000-Datos!$N$9)/Z148&gt;0,(W148-1000000-Datos!$N$9)/Z148,0)</f>
        <v>1835865.5624999986</v>
      </c>
      <c r="AB148" s="79">
        <f>IF(L148&gt;0,VLOOKUP(D148,Datos!$H$25:$J$28,3,0),VLOOKUP(D148,Datos!$H$25:$J$28,2,0))</f>
        <v>480000</v>
      </c>
      <c r="AC148" s="79">
        <f ca="1">(S148*PMT(Datos!$D$15,Datos!$D$13,-O148,,)*VLOOKUP(TODAY(),'UF HOY'!$A$2:$B$36,2,0)/12)</f>
        <v>651048.34526510304</v>
      </c>
      <c r="AD148" s="79">
        <f t="shared" ca="1" si="55"/>
        <v>-171048.34526510304</v>
      </c>
      <c r="AE148" s="45"/>
      <c r="AF148" s="45"/>
    </row>
    <row r="150" spans="1:32">
      <c r="L150" s="123" t="s">
        <v>225</v>
      </c>
    </row>
    <row r="151" spans="1:32">
      <c r="L151" s="123" t="s">
        <v>226</v>
      </c>
    </row>
  </sheetData>
  <autoFilter ref="A1:AD148" xr:uid="{00000000-0009-0000-0000-000004000000}">
    <filterColumn colId="0">
      <filters>
        <filter val="Disponible"/>
      </filters>
    </filterColumn>
    <sortState xmlns:xlrd2="http://schemas.microsoft.com/office/spreadsheetml/2017/richdata2" ref="A3:AD148">
      <sortCondition ref="N1:N148"/>
    </sortState>
  </autoFilter>
  <conditionalFormatting sqref="A1:AD148">
    <cfRule type="expression" dxfId="0" priority="1">
      <formula>ROW()=CELL("fila")</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04281-2F9B-4696-AFE7-F5DFBD3B1E87}">
  <sheetPr codeName="Hoja3">
    <tabColor theme="4" tint="0.59999389629810485"/>
  </sheetPr>
  <dimension ref="A1:AI154"/>
  <sheetViews>
    <sheetView showGridLines="0" zoomScale="70" zoomScaleNormal="70" workbookViewId="0">
      <selection activeCell="C5" sqref="C5"/>
    </sheetView>
  </sheetViews>
  <sheetFormatPr baseColWidth="10" defaultRowHeight="15.5"/>
  <cols>
    <col min="1" max="1" width="2.08203125" customWidth="1"/>
    <col min="2" max="2" width="23.58203125" bestFit="1" customWidth="1"/>
    <col min="3" max="3" width="19.08203125" bestFit="1" customWidth="1"/>
    <col min="4" max="4" width="16.25" customWidth="1"/>
    <col min="5" max="5" width="9" bestFit="1" customWidth="1"/>
    <col min="6" max="7" width="13" bestFit="1" customWidth="1"/>
    <col min="18" max="18" width="16" customWidth="1"/>
    <col min="20" max="20" width="11.83203125" bestFit="1" customWidth="1"/>
  </cols>
  <sheetData>
    <row r="1" spans="1:35">
      <c r="A1" s="18"/>
      <c r="B1" s="523" t="s">
        <v>98</v>
      </c>
      <c r="C1" s="524"/>
      <c r="D1" s="524"/>
      <c r="E1" s="525"/>
      <c r="F1" s="27"/>
      <c r="G1" s="27"/>
      <c r="H1" s="27"/>
      <c r="I1" s="28" t="s">
        <v>24</v>
      </c>
      <c r="J1" s="39"/>
      <c r="K1" s="28">
        <f>'Escenario de Inversion'!D20</f>
        <v>30</v>
      </c>
      <c r="L1" s="27"/>
      <c r="M1" s="27"/>
      <c r="N1" s="18"/>
      <c r="O1" s="9"/>
      <c r="P1" s="18"/>
      <c r="Q1" s="18"/>
      <c r="R1" s="18"/>
      <c r="S1" s="18"/>
      <c r="T1" s="18"/>
      <c r="U1" s="18"/>
      <c r="V1" s="4"/>
      <c r="W1" s="4"/>
      <c r="X1" s="4"/>
      <c r="Y1" s="4"/>
      <c r="Z1" s="4"/>
      <c r="AA1" s="4"/>
      <c r="AB1" s="4"/>
      <c r="AC1" s="4"/>
      <c r="AD1" s="4"/>
      <c r="AE1" s="4"/>
      <c r="AF1" s="4"/>
      <c r="AG1" s="4"/>
      <c r="AH1" s="4"/>
      <c r="AI1" s="4"/>
    </row>
    <row r="2" spans="1:35" ht="16" thickBot="1">
      <c r="A2" s="18"/>
      <c r="B2" s="526"/>
      <c r="C2" s="527"/>
      <c r="D2" s="527"/>
      <c r="E2" s="528"/>
      <c r="F2" s="29"/>
      <c r="G2" s="29"/>
      <c r="H2" s="29"/>
      <c r="I2" s="29"/>
      <c r="J2" s="40"/>
      <c r="K2" s="40"/>
      <c r="L2" s="29"/>
      <c r="M2" s="29"/>
      <c r="N2" s="19"/>
      <c r="O2" s="19"/>
      <c r="P2" s="19"/>
      <c r="Q2" s="19"/>
      <c r="R2" s="19"/>
      <c r="S2" s="19"/>
      <c r="T2" s="19"/>
      <c r="U2" s="19"/>
      <c r="V2" s="4"/>
      <c r="W2" s="4"/>
      <c r="X2" s="4"/>
      <c r="Y2" s="4"/>
      <c r="Z2" s="4"/>
      <c r="AA2" s="4"/>
      <c r="AB2" s="4"/>
      <c r="AC2" s="4"/>
      <c r="AD2" s="4"/>
      <c r="AE2" s="4"/>
      <c r="AF2" s="4"/>
      <c r="AG2" s="4"/>
      <c r="AH2" s="4"/>
      <c r="AI2" s="4"/>
    </row>
    <row r="3" spans="1:35" ht="29">
      <c r="A3" s="18"/>
      <c r="B3" s="90" t="s">
        <v>32</v>
      </c>
      <c r="C3" s="90" t="s">
        <v>5</v>
      </c>
      <c r="D3" s="90" t="s">
        <v>33</v>
      </c>
      <c r="E3" s="90" t="s">
        <v>99</v>
      </c>
      <c r="F3" s="91" t="s">
        <v>34</v>
      </c>
      <c r="G3" s="91" t="s">
        <v>100</v>
      </c>
      <c r="H3" s="91" t="s">
        <v>35</v>
      </c>
      <c r="I3" s="92" t="s">
        <v>36</v>
      </c>
      <c r="J3" s="92" t="s">
        <v>25</v>
      </c>
      <c r="K3" s="91" t="s">
        <v>51</v>
      </c>
      <c r="L3" s="91" t="s">
        <v>37</v>
      </c>
      <c r="M3" s="91" t="s">
        <v>38</v>
      </c>
      <c r="N3" s="91" t="s">
        <v>52</v>
      </c>
      <c r="O3" s="91" t="s">
        <v>49</v>
      </c>
      <c r="P3" s="91" t="s">
        <v>14</v>
      </c>
      <c r="Q3" s="93" t="s">
        <v>39</v>
      </c>
      <c r="R3" s="94" t="s">
        <v>40</v>
      </c>
      <c r="S3" s="91" t="s">
        <v>41</v>
      </c>
      <c r="T3" s="94" t="s">
        <v>42</v>
      </c>
      <c r="U3" s="94" t="s">
        <v>43</v>
      </c>
      <c r="V3" s="4"/>
      <c r="W3" s="4"/>
      <c r="X3" s="4"/>
      <c r="Y3" s="4"/>
      <c r="Z3" s="4"/>
      <c r="AA3" s="4"/>
      <c r="AB3" s="4"/>
      <c r="AC3" s="4"/>
      <c r="AD3" s="4"/>
      <c r="AE3" s="4"/>
      <c r="AF3" s="4"/>
      <c r="AG3" s="4"/>
      <c r="AH3" s="4"/>
      <c r="AI3" s="4"/>
    </row>
    <row r="4" spans="1:35">
      <c r="A4" s="18"/>
      <c r="B4" s="10" t="s">
        <v>290</v>
      </c>
      <c r="C4" s="11">
        <f>'Escenario de Inversion'!D12</f>
        <v>0</v>
      </c>
      <c r="D4" s="11" t="str">
        <f>IFERROR(VLOOKUP(C4,'Volcan - Villarrica'!$B$2:$AY$434,3,0),"0")</f>
        <v>0</v>
      </c>
      <c r="E4" s="11" t="str">
        <f>IFERROR(VLOOKUP(C4,'Volcan - Villarrica'!$B$2:$AY$434,2,0),"0")</f>
        <v>0</v>
      </c>
      <c r="F4" s="11" t="str">
        <f>IFERROR(VLOOKUP(C4,'Volcan - Villarrica'!$B$2:$AY$435,4,0),"0")</f>
        <v>0</v>
      </c>
      <c r="G4" s="11" t="str">
        <f>IFERROR(VLOOKUP(C4,'Volcan - Villarrica'!$B$2:$AY$434,8,0),"0")</f>
        <v>0</v>
      </c>
      <c r="H4" s="12" t="str">
        <f>IFERROR(VLOOKUP(C4,'Volcan - Villarrica'!$B$2:$AY$434,9,0),"0")</f>
        <v>0</v>
      </c>
      <c r="I4" s="13" t="str">
        <f>IFERROR(VLOOKUP(C4,'Volcan - Villarrica'!$B$2:$AY$434,10,0),"0")</f>
        <v>0</v>
      </c>
      <c r="J4" s="26" t="str">
        <f>IFERROR(VLOOKUP(C4,'Volcan - Villarrica'!$B$2:$AY$434,11,0),"0")</f>
        <v>0</v>
      </c>
      <c r="K4" s="26" t="str">
        <f>+IFERROR(VLOOKUP(C4,'Volcan - Villarrica'!$B$2:$AY$434,12,0),"0")</f>
        <v>0</v>
      </c>
      <c r="L4" s="12" t="str">
        <f>+IFERROR(VLOOKUP(C4,'Volcan - Villarrica'!$B$2:$AY$434,13,0),"0")</f>
        <v>0</v>
      </c>
      <c r="M4" s="12" t="str">
        <f>IFERROR(VLOOKUP(C4,'Volcan - Villarrica'!$B$2:$AY$434,14,0),"0")</f>
        <v>0</v>
      </c>
      <c r="N4" s="12">
        <f t="shared" ref="N4" si="0">M4*O4</f>
        <v>0</v>
      </c>
      <c r="O4" s="14">
        <f t="shared" ref="O4" si="1">100%-P4-Q4</f>
        <v>1</v>
      </c>
      <c r="P4" s="14" t="str">
        <f>IFERROR(VLOOKUP(C4,'Volcan - Villarrica'!$B$2:$AY$434,16,0),"0")</f>
        <v>0</v>
      </c>
      <c r="Q4" s="14" t="str">
        <f>IFERROR(VLOOKUP(C4,'Volcan - Villarrica'!$B$2:$AY$434,20,0),"0")</f>
        <v>0</v>
      </c>
      <c r="R4" s="15">
        <f ca="1">M4*Q4*VLOOKUP(TODAY(),'UF HOY'!$A$2:$B$36,2,0)</f>
        <v>0</v>
      </c>
      <c r="S4" s="16" t="str">
        <f>IFERROR(VLOOKUP(C4,'Volcan - Villarrica'!$B$2:$AY$434,23,0),"0")</f>
        <v>0</v>
      </c>
      <c r="T4" s="17" t="e">
        <f t="shared" ref="T4" ca="1" si="2">R4/S4</f>
        <v>#DIV/0!</v>
      </c>
      <c r="U4" s="17" t="str">
        <f>IFERROR(VLOOKUP(C4,'Volcan - Villarrica'!$B$2:$AY$434,27,0),"0")</f>
        <v>0</v>
      </c>
      <c r="V4" s="30"/>
      <c r="W4" s="30"/>
      <c r="X4" s="4"/>
      <c r="Y4" s="4"/>
      <c r="Z4" s="4"/>
      <c r="AA4" s="4"/>
      <c r="AB4" s="4"/>
      <c r="AC4" s="4"/>
      <c r="AD4" s="4"/>
      <c r="AE4" s="4"/>
      <c r="AF4" s="4"/>
      <c r="AG4" s="4"/>
      <c r="AH4" s="4"/>
      <c r="AI4" s="4"/>
    </row>
    <row r="5" spans="1:35" s="8" customFormat="1">
      <c r="B5" s="10"/>
      <c r="C5" s="11"/>
      <c r="D5" s="11"/>
      <c r="E5" s="11"/>
      <c r="F5" s="11"/>
      <c r="G5" s="11"/>
      <c r="H5" s="12"/>
      <c r="I5" s="13"/>
      <c r="J5" s="26"/>
      <c r="K5" s="26"/>
      <c r="L5" s="12"/>
      <c r="M5" s="12"/>
      <c r="N5" s="12"/>
      <c r="O5" s="14"/>
      <c r="P5" s="14"/>
      <c r="Q5" s="14"/>
      <c r="R5" s="15"/>
      <c r="S5" s="16"/>
      <c r="T5" s="17"/>
      <c r="U5" s="17"/>
      <c r="V5" s="37"/>
      <c r="W5" s="37"/>
    </row>
    <row r="6" spans="1:35" s="8" customFormat="1">
      <c r="B6" s="10"/>
      <c r="C6" s="11"/>
      <c r="D6" s="11"/>
      <c r="E6" s="11"/>
      <c r="F6" s="11"/>
      <c r="G6" s="11"/>
      <c r="H6" s="12"/>
      <c r="I6" s="13"/>
      <c r="J6" s="26"/>
      <c r="K6" s="26"/>
      <c r="L6" s="12"/>
      <c r="M6" s="12"/>
      <c r="N6" s="12"/>
      <c r="O6" s="14"/>
      <c r="P6" s="14"/>
      <c r="Q6" s="14"/>
      <c r="R6" s="15"/>
      <c r="S6" s="16"/>
      <c r="T6" s="17"/>
      <c r="U6" s="17"/>
      <c r="V6" s="37"/>
      <c r="W6" s="37"/>
    </row>
    <row r="7" spans="1:35" s="8" customFormat="1">
      <c r="B7" s="95"/>
      <c r="C7" s="96"/>
      <c r="D7" s="11"/>
      <c r="E7" s="11"/>
      <c r="F7" s="11"/>
      <c r="G7" s="11"/>
      <c r="H7" s="12"/>
      <c r="I7" s="13"/>
      <c r="J7" s="26"/>
      <c r="K7" s="26"/>
      <c r="L7" s="12"/>
      <c r="M7" s="12"/>
      <c r="N7" s="12"/>
      <c r="O7" s="14"/>
      <c r="P7" s="14"/>
      <c r="Q7" s="14"/>
      <c r="R7" s="15"/>
      <c r="S7" s="16"/>
      <c r="T7" s="17"/>
      <c r="U7" s="17"/>
      <c r="V7" s="37"/>
      <c r="W7" s="37"/>
    </row>
    <row r="8" spans="1:35">
      <c r="A8" s="18"/>
      <c r="B8" s="95"/>
      <c r="C8" s="96"/>
      <c r="D8" s="11"/>
      <c r="E8" s="11"/>
      <c r="F8" s="11"/>
      <c r="G8" s="11"/>
      <c r="H8" s="12"/>
      <c r="I8" s="13"/>
      <c r="J8" s="26"/>
      <c r="K8" s="26"/>
      <c r="L8" s="12"/>
      <c r="M8" s="12"/>
      <c r="N8" s="12"/>
      <c r="O8" s="14"/>
      <c r="P8" s="14"/>
      <c r="Q8" s="14"/>
      <c r="R8" s="15"/>
      <c r="S8" s="16"/>
      <c r="T8" s="17"/>
      <c r="U8" s="17"/>
      <c r="V8" s="4"/>
      <c r="W8" s="4"/>
      <c r="X8" s="4"/>
      <c r="Y8" s="4"/>
      <c r="Z8" s="4"/>
      <c r="AA8" s="4"/>
      <c r="AB8" s="4"/>
      <c r="AC8" s="4"/>
      <c r="AD8" s="4"/>
      <c r="AE8" s="4"/>
      <c r="AF8" s="4"/>
      <c r="AG8" s="4"/>
      <c r="AH8" s="4"/>
      <c r="AI8" s="4"/>
    </row>
    <row r="9" spans="1:35">
      <c r="A9" s="18"/>
      <c r="B9" s="29"/>
      <c r="C9" s="97"/>
      <c r="D9" s="29"/>
      <c r="E9" s="29"/>
      <c r="F9" s="98"/>
      <c r="G9" s="98"/>
      <c r="H9" s="27"/>
      <c r="I9" s="29"/>
      <c r="J9" s="27"/>
      <c r="K9" s="29"/>
      <c r="L9" s="29"/>
      <c r="M9" s="99"/>
      <c r="N9" s="29"/>
      <c r="O9" s="29"/>
      <c r="P9" s="29"/>
      <c r="Q9" s="29"/>
      <c r="R9" s="100"/>
      <c r="S9" s="29"/>
      <c r="T9" s="100"/>
      <c r="U9" s="29"/>
      <c r="V9" s="4"/>
      <c r="W9" s="4"/>
      <c r="X9" s="4"/>
      <c r="Y9" s="4"/>
      <c r="Z9" s="4"/>
      <c r="AA9" s="4"/>
      <c r="AB9" s="4"/>
      <c r="AC9" s="4"/>
      <c r="AD9" s="4"/>
      <c r="AE9" s="4"/>
      <c r="AF9" s="4"/>
      <c r="AG9" s="4"/>
      <c r="AH9" s="4"/>
      <c r="AI9" s="4"/>
    </row>
    <row r="10" spans="1:35" ht="28.5">
      <c r="A10" s="18"/>
      <c r="B10" s="529" t="s">
        <v>50</v>
      </c>
      <c r="C10" s="530"/>
      <c r="D10" s="530"/>
      <c r="E10" s="530"/>
      <c r="F10" s="530"/>
      <c r="G10" s="530"/>
      <c r="H10" s="530"/>
      <c r="I10" s="530"/>
      <c r="J10" s="530"/>
      <c r="K10" s="530"/>
      <c r="L10" s="530"/>
      <c r="M10" s="530"/>
      <c r="N10" s="530"/>
      <c r="O10" s="530"/>
      <c r="P10" s="530"/>
      <c r="Q10" s="530"/>
      <c r="R10" s="530"/>
      <c r="S10" s="530"/>
      <c r="T10" s="530"/>
      <c r="U10" s="531"/>
      <c r="V10" s="4"/>
      <c r="W10" s="4"/>
      <c r="X10" s="4"/>
      <c r="Y10" s="4"/>
      <c r="Z10" s="4"/>
      <c r="AA10" s="4"/>
      <c r="AB10" s="4"/>
      <c r="AC10" s="4"/>
      <c r="AD10" s="4"/>
      <c r="AE10" s="4"/>
      <c r="AF10" s="4"/>
      <c r="AG10" s="4"/>
      <c r="AH10" s="4"/>
      <c r="AI10" s="4"/>
    </row>
    <row r="11" spans="1:35" ht="29">
      <c r="A11" s="18"/>
      <c r="B11" s="90" t="s">
        <v>50</v>
      </c>
      <c r="C11" s="90" t="s">
        <v>5</v>
      </c>
      <c r="D11" s="90" t="s">
        <v>33</v>
      </c>
      <c r="E11" s="90" t="s">
        <v>46</v>
      </c>
      <c r="F11" s="91" t="s">
        <v>47</v>
      </c>
      <c r="G11" s="91" t="s">
        <v>109</v>
      </c>
      <c r="H11" s="91" t="s">
        <v>35</v>
      </c>
      <c r="I11" s="92" t="s">
        <v>36</v>
      </c>
      <c r="J11" s="92" t="s">
        <v>25</v>
      </c>
      <c r="K11" s="91" t="s">
        <v>26</v>
      </c>
      <c r="L11" s="91" t="s">
        <v>37</v>
      </c>
      <c r="M11" s="91" t="s">
        <v>38</v>
      </c>
      <c r="N11" s="91" t="s">
        <v>48</v>
      </c>
      <c r="O11" s="91" t="s">
        <v>49</v>
      </c>
      <c r="P11" s="91" t="s">
        <v>45</v>
      </c>
      <c r="Q11" s="93" t="s">
        <v>39</v>
      </c>
      <c r="R11" s="94" t="s">
        <v>40</v>
      </c>
      <c r="S11" s="91" t="s">
        <v>41</v>
      </c>
      <c r="T11" s="94" t="s">
        <v>42</v>
      </c>
      <c r="U11" s="94" t="s">
        <v>43</v>
      </c>
      <c r="V11" s="31"/>
      <c r="W11" s="31"/>
      <c r="X11" s="4"/>
      <c r="Y11" s="4"/>
      <c r="Z11" s="4"/>
      <c r="AA11" s="4"/>
      <c r="AB11" s="4"/>
      <c r="AC11" s="4"/>
      <c r="AD11" s="4"/>
      <c r="AE11" s="4"/>
      <c r="AF11" s="4"/>
      <c r="AG11" s="4"/>
      <c r="AH11" s="4"/>
      <c r="AI11" s="4"/>
    </row>
    <row r="12" spans="1:35" s="8" customFormat="1">
      <c r="B12" s="95" t="s">
        <v>134</v>
      </c>
      <c r="C12" s="96">
        <v>1205</v>
      </c>
      <c r="D12" s="11" t="str">
        <f>IFERROR(VLOOKUP(C12,'Don Claudio - La Cisterna'!$B$2:$BB$454,3,0),"0")</f>
        <v>0</v>
      </c>
      <c r="E12" s="11" t="str">
        <f>IFERROR(VLOOKUP(C12,'Don Claudio - La Cisterna'!$B$2:$BB$454,2,0),"0")</f>
        <v>0</v>
      </c>
      <c r="F12" s="11" t="str">
        <f>IFERROR(VLOOKUP(C12,'Don Claudio - La Cisterna'!$B$2:$BB$455,4,0),"0")</f>
        <v>0</v>
      </c>
      <c r="G12" s="11" t="str">
        <f>IFERROR(VLOOKUP(C12,'Don Claudio - La Cisterna'!$B$2:$BB$454,8,0),"0")</f>
        <v>0</v>
      </c>
      <c r="H12" s="12" t="str">
        <f>IFERROR(VLOOKUP(C12,'Don Claudio - La Cisterna'!$B$2:$BB$454,9,0),"0")</f>
        <v>0</v>
      </c>
      <c r="I12" s="13" t="str">
        <f>IFERROR(VLOOKUP(C12,'Don Claudio - La Cisterna'!$B$2:$BB$454,10,0),"0")</f>
        <v>0</v>
      </c>
      <c r="J12" s="26" t="str">
        <f>IFERROR(VLOOKUP(C12,'Don Claudio - La Cisterna'!$B$2:$BB$454,11,0),"0")</f>
        <v>0</v>
      </c>
      <c r="K12" s="26" t="str">
        <f>+IFERROR(VLOOKUP(C12,'Don Claudio - La Cisterna'!$B$2:$BB$454,12,0),"0")</f>
        <v>0</v>
      </c>
      <c r="L12" s="12" t="str">
        <f>+IFERROR(VLOOKUP(C12,'Don Claudio - La Cisterna'!$B$2:$BB$454,13,0),"0")</f>
        <v>0</v>
      </c>
      <c r="M12" s="12" t="str">
        <f>IFERROR(VLOOKUP(C12,'Don Claudio - La Cisterna'!$B$2:$BB$454,14,0),"0")</f>
        <v>0</v>
      </c>
      <c r="N12" s="12">
        <f t="shared" ref="N12:N17" si="3">M12*O12</f>
        <v>0</v>
      </c>
      <c r="O12" s="14">
        <f t="shared" ref="O12:O17" si="4">100%-P12-Q12</f>
        <v>1</v>
      </c>
      <c r="P12" s="14" t="str">
        <f>IFERROR(VLOOKUP(C12,'Don Claudio - La Cisterna'!$B$2:$BB$454,16,0),"0")</f>
        <v>0</v>
      </c>
      <c r="Q12" s="14" t="str">
        <f>IFERROR(VLOOKUP(C12,'Don Claudio - La Cisterna'!$B$2:$BB$454,20,0),"0")</f>
        <v>0</v>
      </c>
      <c r="R12" s="15">
        <f ca="1">M12*Q12*VLOOKUP(TODAY(),'UF HOY'!$A$2:$B$36,2,0)</f>
        <v>0</v>
      </c>
      <c r="S12" s="16" t="str">
        <f>IFERROR(VLOOKUP(C12,'Don Claudio - La Cisterna'!$B$2:$BB$454,23,0),"0")</f>
        <v>0</v>
      </c>
      <c r="T12" s="17" t="e">
        <f t="shared" ref="T12" ca="1" si="5">R12/S12</f>
        <v>#DIV/0!</v>
      </c>
      <c r="U12" s="17" t="str">
        <f>IFERROR(VLOOKUP(C12,'Don Claudio - La Cisterna'!$B$2:$BB$454,27,0),"0")</f>
        <v>0</v>
      </c>
      <c r="V12" s="37"/>
      <c r="W12" s="37"/>
    </row>
    <row r="13" spans="1:35">
      <c r="A13" s="18"/>
      <c r="B13" s="10" t="s">
        <v>184</v>
      </c>
      <c r="C13" s="11">
        <v>1203</v>
      </c>
      <c r="D13" s="11" t="str">
        <f>IFERROR(VLOOKUP(C13,'Carvajal - La Cisterna (Ext)'!$B$2:$AY$440,3,0),"0")</f>
        <v>0</v>
      </c>
      <c r="E13" s="11" t="str">
        <f>IFERROR(VLOOKUP(C13,'Carvajal - La Cisterna (Ext)'!$B$2:$AY$440,2,0),"0")</f>
        <v>0</v>
      </c>
      <c r="F13" s="11" t="str">
        <f>IFERROR(VLOOKUP(C13,'Carvajal - La Cisterna (Ext)'!$B$2:$AY$441,4,0),"0")</f>
        <v>0</v>
      </c>
      <c r="G13" s="11" t="str">
        <f>IFERROR(VLOOKUP(C13,'Carvajal - La Cisterna (Ext)'!$B$2:$AY$440,8,0),"0")</f>
        <v>0</v>
      </c>
      <c r="H13" s="12" t="str">
        <f>IFERROR(VLOOKUP(C13,'Carvajal - La Cisterna (Ext)'!$B$2:$AY$440,9,0),"0")</f>
        <v>0</v>
      </c>
      <c r="I13" s="13" t="str">
        <f>IFERROR(VLOOKUP(C13,'Carvajal - La Cisterna (Ext)'!$B$2:$AY$440,10,0),"0")</f>
        <v>0</v>
      </c>
      <c r="J13" s="26" t="str">
        <f>IFERROR(VLOOKUP(C13,'Carvajal - La Cisterna (Ext)'!$B$2:$AY$440,11,0),"0")</f>
        <v>0</v>
      </c>
      <c r="K13" s="26" t="str">
        <f>+IFERROR(VLOOKUP(C13,'Carvajal - La Cisterna (Ext)'!$B$2:$AY$440,12,0),"0")</f>
        <v>0</v>
      </c>
      <c r="L13" s="12" t="str">
        <f>+IFERROR(VLOOKUP(C13,'Carvajal - La Cisterna (Ext)'!$B$2:$AY$440,13,0),"0")</f>
        <v>0</v>
      </c>
      <c r="M13" s="12" t="str">
        <f>IFERROR(VLOOKUP(C13,'Carvajal - La Cisterna (Ext)'!$B$2:$AY$440,14,0),"0")</f>
        <v>0</v>
      </c>
      <c r="N13" s="12">
        <f t="shared" si="3"/>
        <v>0</v>
      </c>
      <c r="O13" s="14">
        <f t="shared" si="4"/>
        <v>1</v>
      </c>
      <c r="P13" s="14" t="str">
        <f>IFERROR(VLOOKUP(C13,'Carvajal - La Cisterna (Ext)'!$B$2:$AY$440,16,0),"0")</f>
        <v>0</v>
      </c>
      <c r="Q13" s="14" t="str">
        <f>IFERROR(VLOOKUP(C13,'Carvajal - La Cisterna (Ext)'!$B$2:$AY$440,20,0),"0")</f>
        <v>0</v>
      </c>
      <c r="R13" s="15">
        <f ca="1">M13*Q13*VLOOKUP(TODAY(),'UF HOY'!$A$2:$B$36,2,0)</f>
        <v>0</v>
      </c>
      <c r="S13" s="16" t="str">
        <f>IFERROR(VLOOKUP(C13,'Carvajal - La Cisterna (Ext)'!$B$2:$AY$440,23,0),"0")</f>
        <v>0</v>
      </c>
      <c r="T13" s="17" t="e">
        <f t="shared" ref="T13:T14" ca="1" si="6">R13/S13</f>
        <v>#DIV/0!</v>
      </c>
      <c r="U13" s="17" t="str">
        <f>IFERROR(VLOOKUP(C13,'Carvajal - La Cisterna (Ext)'!$B$2:$AY$440,27,0),"0")</f>
        <v>0</v>
      </c>
      <c r="V13" s="30"/>
      <c r="W13" s="30"/>
      <c r="X13" s="4"/>
      <c r="Y13" s="4"/>
      <c r="Z13" s="4"/>
      <c r="AA13" s="4"/>
      <c r="AB13" s="4"/>
      <c r="AC13" s="4"/>
      <c r="AD13" s="4"/>
      <c r="AE13" s="4"/>
      <c r="AF13" s="4"/>
      <c r="AG13" s="4"/>
      <c r="AH13" s="4"/>
      <c r="AI13" s="4"/>
    </row>
    <row r="14" spans="1:35" s="8" customFormat="1">
      <c r="B14" s="95" t="s">
        <v>139</v>
      </c>
      <c r="C14" s="96">
        <v>1205</v>
      </c>
      <c r="D14" s="11" t="str">
        <f>IFERROR(VLOOKUP(C14,'Don Claudio - La Cisterna (Ext)'!$B$2:$BB$454,3,0),"0")</f>
        <v>0</v>
      </c>
      <c r="E14" s="11" t="str">
        <f>IFERROR(VLOOKUP(C14,'Don Claudio - La Cisterna (Ext)'!$B$2:$BB$454,2,0),"0")</f>
        <v>0</v>
      </c>
      <c r="F14" s="11" t="str">
        <f>IFERROR(VLOOKUP(C14,'Don Claudio - La Cisterna (Ext)'!$B$2:$BB$455,4,0),"0")</f>
        <v>0</v>
      </c>
      <c r="G14" s="11" t="str">
        <f>IFERROR(VLOOKUP(C14,'Don Claudio - La Cisterna (Ext)'!$B$2:$BB$454,8,0),"0")</f>
        <v>0</v>
      </c>
      <c r="H14" s="12" t="str">
        <f>IFERROR(VLOOKUP(C14,'Don Claudio - La Cisterna (Ext)'!$B$2:$BB$454,9,0),"0")</f>
        <v>0</v>
      </c>
      <c r="I14" s="13" t="str">
        <f>IFERROR(VLOOKUP(C14,'Don Claudio - La Cisterna (Ext)'!$B$2:$BB$454,10,0),"0")</f>
        <v>0</v>
      </c>
      <c r="J14" s="26" t="str">
        <f>IFERROR(VLOOKUP(C14,'Don Claudio - La Cisterna (Ext)'!$B$2:$BB$454,11,0),"0")</f>
        <v>0</v>
      </c>
      <c r="K14" s="26" t="str">
        <f>+IFERROR(VLOOKUP(C14,'Don Claudio - La Cisterna (Ext)'!$B$2:$BB$454,12,0),"0")</f>
        <v>0</v>
      </c>
      <c r="L14" s="12" t="str">
        <f>+IFERROR(VLOOKUP(C14,'Don Claudio - La Cisterna (Ext)'!$B$2:$BB$454,13,0),"0")</f>
        <v>0</v>
      </c>
      <c r="M14" s="12" t="str">
        <f>IFERROR(VLOOKUP(C14,'Don Claudio - La Cisterna (Ext)'!$B$2:$BB$454,14,0),"0")</f>
        <v>0</v>
      </c>
      <c r="N14" s="12">
        <f t="shared" si="3"/>
        <v>0</v>
      </c>
      <c r="O14" s="14">
        <f t="shared" si="4"/>
        <v>1</v>
      </c>
      <c r="P14" s="14" t="str">
        <f>IFERROR(VLOOKUP(C14,'Don Claudio - La Cisterna (Ext)'!$B$2:$BB$454,16,0),"0")</f>
        <v>0</v>
      </c>
      <c r="Q14" s="14" t="str">
        <f>IFERROR(VLOOKUP(C14,'Don Claudio - La Cisterna (Ext)'!$B$2:$BB$454,20,0),"0")</f>
        <v>0</v>
      </c>
      <c r="R14" s="15">
        <f ca="1">M14*Q14*VLOOKUP(TODAY(),'UF HOY'!$A$2:$B$36,2,0)</f>
        <v>0</v>
      </c>
      <c r="S14" s="16" t="str">
        <f>IFERROR(VLOOKUP(C14,'Don Claudio - La Cisterna (Ext)'!$B$2:$BB$454,23,0),"0")</f>
        <v>0</v>
      </c>
      <c r="T14" s="17" t="e">
        <f t="shared" ca="1" si="6"/>
        <v>#DIV/0!</v>
      </c>
      <c r="U14" s="17" t="str">
        <f>IFERROR(VLOOKUP(C14,'Don Claudio - La Cisterna (Ext)'!$B$2:$BB$454,27,0),"0")</f>
        <v>0</v>
      </c>
      <c r="V14" s="37"/>
      <c r="W14" s="37"/>
    </row>
    <row r="15" spans="1:35">
      <c r="A15" s="18"/>
      <c r="B15" s="95" t="s">
        <v>175</v>
      </c>
      <c r="C15" s="96">
        <v>1205</v>
      </c>
      <c r="D15" s="11" t="str">
        <f>IFERROR(VLOOKUP(C15,'Don Diego - Temuco'!$B$2:$BB$148,3,0),"0")</f>
        <v>2D 1B</v>
      </c>
      <c r="E15" s="11" t="str">
        <f>IFERROR(VLOOKUP(C15,'Don Diego - Temuco'!$B$2:$BB$148,2,0),"0")</f>
        <v>O</v>
      </c>
      <c r="F15" s="11">
        <f>IFERROR(VLOOKUP(C15,'Don Diego - Temuco'!$B$2:$BB$148,4,0),"0")</f>
        <v>0</v>
      </c>
      <c r="G15" s="11">
        <f>IFERROR(VLOOKUP(C15,'Don Diego - Temuco'!$B$2:$BB$148,8,0),"0")</f>
        <v>52.489999999999995</v>
      </c>
      <c r="H15" s="12">
        <f>IFERROR(VLOOKUP(C15,'Don Diego - Temuco'!$B$2:$BB$148,9,0),"0")</f>
        <v>3590</v>
      </c>
      <c r="I15" s="13">
        <f>IFERROR(VLOOKUP(C15,'Don Diego - Temuco'!$B$2:$BB$148,10,0),"0")</f>
        <v>0</v>
      </c>
      <c r="J15" s="26">
        <f>IFERROR(VLOOKUP(C15,'Don Diego - Temuco'!$B$2:$BB$148,11,0),"0")</f>
        <v>0</v>
      </c>
      <c r="K15" s="26">
        <f>+IFERROR(VLOOKUP(C15,'Don Diego - Temuco'!$B$2:$BB$148,12,0),"0")</f>
        <v>0</v>
      </c>
      <c r="L15" s="12">
        <f>+IFERROR(VLOOKUP(C15,'Don Diego - Temuco'!$B$2:$BB$148,13,0),"0")</f>
        <v>3051.5</v>
      </c>
      <c r="M15" s="12">
        <f>IFERROR(VLOOKUP(C15,'Don Diego - Temuco'!$B$2:$BB$148,14,0),"0")</f>
        <v>3590</v>
      </c>
      <c r="N15" s="12">
        <f t="shared" si="3"/>
        <v>2872</v>
      </c>
      <c r="O15" s="14">
        <f t="shared" si="4"/>
        <v>0.8</v>
      </c>
      <c r="P15" s="14">
        <f>IFERROR(VLOOKUP(C15,'Don Diego - Temuco'!$B$2:$BB$148,16,0),"0")</f>
        <v>0.15</v>
      </c>
      <c r="Q15" s="14">
        <f>IFERROR(VLOOKUP(C15,'Don Diego - Temuco'!$B$2:$BB$148,20,0),"0")</f>
        <v>4.9999999999999961E-2</v>
      </c>
      <c r="R15" s="15">
        <f ca="1">M15*Q15*VLOOKUP(TODAY(),'UF HOY'!$A$2:$B$36,2,0)</f>
        <v>7132242.2299999949</v>
      </c>
      <c r="S15" s="16">
        <f>IFERROR(VLOOKUP(C15,'Don Diego - Temuco'!$B$2:$BB$148,23,0),"0")</f>
        <v>4</v>
      </c>
      <c r="T15" s="17">
        <f t="shared" ref="T15:T16" ca="1" si="7">R15/S15</f>
        <v>1783060.5574999987</v>
      </c>
      <c r="U15" s="17">
        <f>IFERROR(VLOOKUP(C15,'Don Diego - Temuco'!$B$2:$BB$148,27,0),"0")</f>
        <v>390000</v>
      </c>
      <c r="V15" s="30"/>
      <c r="W15" s="30"/>
      <c r="X15" s="4"/>
      <c r="Y15" s="4"/>
      <c r="Z15" s="4"/>
      <c r="AA15" s="4"/>
      <c r="AB15" s="4"/>
      <c r="AC15" s="4"/>
      <c r="AD15" s="4"/>
      <c r="AE15" s="4"/>
      <c r="AF15" s="4"/>
      <c r="AG15" s="4"/>
      <c r="AH15" s="4"/>
      <c r="AI15" s="4"/>
    </row>
    <row r="16" spans="1:35">
      <c r="A16" s="18"/>
      <c r="B16" s="10" t="s">
        <v>128</v>
      </c>
      <c r="C16" s="11">
        <v>1203</v>
      </c>
      <c r="D16" s="11" t="str">
        <f>IFERROR(VLOOKUP(C16,'Carvajal - La Cisterna'!$B$2:$AY$444,3,0),"0")</f>
        <v>0</v>
      </c>
      <c r="E16" s="11" t="str">
        <f>IFERROR(VLOOKUP(C16,'Carvajal - La Cisterna'!$B$2:$AY$444,2,0),"0")</f>
        <v>0</v>
      </c>
      <c r="F16" s="11" t="str">
        <f>IFERROR(VLOOKUP(C16,'Carvajal - La Cisterna'!$B$2:$AY$445,4,0),"0")</f>
        <v>0</v>
      </c>
      <c r="G16" s="11" t="str">
        <f>IFERROR(VLOOKUP(C16,'Carvajal - La Cisterna'!$B$2:$AY$444,8,0),"0")</f>
        <v>0</v>
      </c>
      <c r="H16" s="12" t="str">
        <f>IFERROR(VLOOKUP(C16,'Carvajal - La Cisterna'!$B$2:$AY$444,9,0),"0")</f>
        <v>0</v>
      </c>
      <c r="I16" s="13" t="str">
        <f>IFERROR(VLOOKUP(C16,'Carvajal - La Cisterna'!$B$2:$AY$444,10,0),"0")</f>
        <v>0</v>
      </c>
      <c r="J16" s="26" t="str">
        <f>IFERROR(VLOOKUP(C16,'Carvajal - La Cisterna'!$B$2:$AY$444,11,0),"0")</f>
        <v>0</v>
      </c>
      <c r="K16" s="26" t="str">
        <f>+IFERROR(VLOOKUP(C16,'Carvajal - La Cisterna'!$B$2:$AY$444,12,0),"0")</f>
        <v>0</v>
      </c>
      <c r="L16" s="12" t="str">
        <f>+IFERROR(VLOOKUP(C16,'Carvajal - La Cisterna'!$B$2:$AY$444,13,0),"0")</f>
        <v>0</v>
      </c>
      <c r="M16" s="12" t="str">
        <f>IFERROR(VLOOKUP(C16,'Carvajal - La Cisterna'!$B$2:$AY$444,14,0),"0")</f>
        <v>0</v>
      </c>
      <c r="N16" s="12">
        <f t="shared" si="3"/>
        <v>0</v>
      </c>
      <c r="O16" s="14">
        <f t="shared" si="4"/>
        <v>1</v>
      </c>
      <c r="P16" s="14" t="str">
        <f>IFERROR(VLOOKUP(C16,'Carvajal - La Cisterna'!$B$2:$AY$444,16,0),"0")</f>
        <v>0</v>
      </c>
      <c r="Q16" s="14" t="str">
        <f>IFERROR(VLOOKUP(C16,'Carvajal - La Cisterna'!$B$2:$AY$444,20,0),"0")</f>
        <v>0</v>
      </c>
      <c r="R16" s="15">
        <f ca="1">M16*Q16*VLOOKUP(TODAY(),'UF HOY'!$A$2:$B$36,2,0)</f>
        <v>0</v>
      </c>
      <c r="S16" s="16" t="str">
        <f>IFERROR(VLOOKUP(C16,'Carvajal - La Cisterna'!$B$2:$AY$444,23,0),"0")</f>
        <v>0</v>
      </c>
      <c r="T16" s="17" t="e">
        <f t="shared" ca="1" si="7"/>
        <v>#DIV/0!</v>
      </c>
      <c r="U16" s="17" t="str">
        <f>IFERROR(VLOOKUP(C16,'Carvajal - La Cisterna'!$B$2:$AY$444,27,0),"0")</f>
        <v>0</v>
      </c>
      <c r="V16" s="30"/>
      <c r="W16" s="30"/>
      <c r="X16" s="4"/>
      <c r="Y16" s="4"/>
      <c r="Z16" s="4"/>
      <c r="AA16" s="4"/>
      <c r="AB16" s="4"/>
      <c r="AC16" s="4"/>
      <c r="AD16" s="4"/>
      <c r="AE16" s="4"/>
      <c r="AF16" s="4"/>
      <c r="AG16" s="4"/>
      <c r="AH16" s="4"/>
      <c r="AI16" s="4"/>
    </row>
    <row r="17" spans="1:35">
      <c r="A17" s="18"/>
      <c r="B17" s="10" t="s">
        <v>197</v>
      </c>
      <c r="C17" s="11">
        <v>203</v>
      </c>
      <c r="D17" s="11" t="str">
        <f>IFERROR(VLOOKUP(C17,'San Nicolás - San Miguel'!$B$2:$AY$409,3,0),"0")</f>
        <v>0</v>
      </c>
      <c r="E17" s="11" t="str">
        <f>IFERROR(VLOOKUP(C17,'San Nicolás - San Miguel'!$B$2:$AY$409,2,0),"0")</f>
        <v>0</v>
      </c>
      <c r="F17" s="11" t="str">
        <f>IFERROR(VLOOKUP(C17,'San Nicolás - San Miguel'!$B$2:$AY$410,4,0),"0")</f>
        <v>0</v>
      </c>
      <c r="G17" s="11" t="str">
        <f>IFERROR(VLOOKUP(C17,'San Nicolás - San Miguel'!$B$2:$AY$409,8,0),"0")</f>
        <v>0</v>
      </c>
      <c r="H17" s="12" t="str">
        <f>IFERROR(VLOOKUP(C17,'San Nicolás - San Miguel'!$B$2:$AY$409,9,0),"0")</f>
        <v>0</v>
      </c>
      <c r="I17" s="13" t="str">
        <f>IFERROR(VLOOKUP(C17,'San Nicolás - San Miguel'!$B$2:$AY$409,10,0),"0")</f>
        <v>0</v>
      </c>
      <c r="J17" s="26" t="str">
        <f>IFERROR(VLOOKUP(C17,'San Nicolás - San Miguel'!$B$2:$AY$409,11,0),"0")</f>
        <v>0</v>
      </c>
      <c r="K17" s="26" t="str">
        <f>+IFERROR(VLOOKUP(C17,'San Nicolás - San Miguel'!$B$2:$AY$409,12,0),"0")</f>
        <v>0</v>
      </c>
      <c r="L17" s="12" t="str">
        <f>+IFERROR(VLOOKUP(C17,'San Nicolás - San Miguel'!$B$2:$AY$409,13,0),"0")</f>
        <v>0</v>
      </c>
      <c r="M17" s="12" t="str">
        <f>IFERROR(VLOOKUP(C17,'San Nicolás - San Miguel'!$B$2:$AY$409,14,0),"0")</f>
        <v>0</v>
      </c>
      <c r="N17" s="12">
        <f t="shared" si="3"/>
        <v>0</v>
      </c>
      <c r="O17" s="14">
        <f t="shared" si="4"/>
        <v>1</v>
      </c>
      <c r="P17" s="14" t="str">
        <f>IFERROR(VLOOKUP(C17,'San Nicolás - San Miguel'!$B$2:$AY$409,16,0),"0")</f>
        <v>0</v>
      </c>
      <c r="Q17" s="14" t="str">
        <f>IFERROR(VLOOKUP(C17,'San Nicolás - San Miguel'!$B$2:$AY$409,20,0),"0")</f>
        <v>0</v>
      </c>
      <c r="R17" s="15">
        <f ca="1">M17*Q17*VLOOKUP(TODAY(),'UF HOY'!$A$2:$B$36,2,0)</f>
        <v>0</v>
      </c>
      <c r="S17" s="16" t="str">
        <f>IFERROR(VLOOKUP(C17,'San Nicolás - San Miguel'!$B$2:$AY$409,23,0),"0")</f>
        <v>0</v>
      </c>
      <c r="T17" s="17" t="e">
        <f t="shared" ref="T17:T18" ca="1" si="8">R17/S17</f>
        <v>#DIV/0!</v>
      </c>
      <c r="U17" s="17" t="str">
        <f>IFERROR(VLOOKUP(C17,'San Nicolás - San Miguel'!$B$2:$AY$409,27,0),"0")</f>
        <v>0</v>
      </c>
      <c r="V17" s="30"/>
      <c r="W17" s="30"/>
      <c r="X17" s="4"/>
      <c r="Y17" s="4"/>
      <c r="Z17" s="4"/>
      <c r="AA17" s="4"/>
      <c r="AB17" s="4"/>
      <c r="AC17" s="4"/>
      <c r="AD17" s="4"/>
      <c r="AE17" s="4"/>
      <c r="AF17" s="4"/>
      <c r="AG17" s="4"/>
      <c r="AH17" s="4"/>
      <c r="AI17" s="4"/>
    </row>
    <row r="18" spans="1:35">
      <c r="A18" s="18"/>
      <c r="B18" s="10" t="s">
        <v>247</v>
      </c>
      <c r="C18" s="11">
        <v>101</v>
      </c>
      <c r="D18" s="11" t="str">
        <f>IFERROR(VLOOKUP(C18,'Biaut - La Cisterna'!$B$2:$AY$434,3,0),"0")</f>
        <v>1D1B</v>
      </c>
      <c r="E18" s="11" t="str">
        <f>IFERROR(VLOOKUP(C18,'Biaut - La Cisterna'!$B$2:$AY$434,2,0),"0")</f>
        <v>S</v>
      </c>
      <c r="F18" s="11">
        <f>IFERROR(VLOOKUP(C18,'Biaut - La Cisterna'!$B$2:$AY$435,4,0),"0")</f>
        <v>0</v>
      </c>
      <c r="G18" s="11">
        <f>IFERROR(VLOOKUP(C18,'Biaut - La Cisterna'!$B$2:$AY$434,8,0),"0")</f>
        <v>40.130000000000003</v>
      </c>
      <c r="H18" s="12">
        <f>IFERROR(VLOOKUP(C18,'Biaut - La Cisterna'!$B$2:$AY$434,9,0),"0")</f>
        <v>2990</v>
      </c>
      <c r="I18" s="13">
        <f>IFERROR(VLOOKUP(C18,'Biaut - La Cisterna'!$B$2:$AY$434,10,0),"0")</f>
        <v>0</v>
      </c>
      <c r="J18" s="26">
        <f>IFERROR(VLOOKUP(C18,'Biaut - La Cisterna'!$B$2:$AY$434,11,0),"0")</f>
        <v>0</v>
      </c>
      <c r="K18" s="26">
        <f>+IFERROR(VLOOKUP(C18,'Biaut - La Cisterna'!$B$2:$AY$434,12,0),"0")</f>
        <v>0</v>
      </c>
      <c r="L18" s="12">
        <f>+IFERROR(VLOOKUP(C18,'Biaut - La Cisterna'!$B$2:$AY$434,13,0),"0")</f>
        <v>2541.5</v>
      </c>
      <c r="M18" s="12">
        <f>IFERROR(VLOOKUP(C18,'Biaut - La Cisterna'!$B$2:$AY$434,14,0),"0")</f>
        <v>2990</v>
      </c>
      <c r="N18" s="12">
        <f t="shared" ref="N18" si="9">M18*O18</f>
        <v>2392</v>
      </c>
      <c r="O18" s="14">
        <f t="shared" ref="O18" si="10">100%-P18-Q18</f>
        <v>0.8</v>
      </c>
      <c r="P18" s="14">
        <f>IFERROR(VLOOKUP(C18,'Biaut - La Cisterna'!$B$2:$AY$434,16,0),"0")</f>
        <v>0.15</v>
      </c>
      <c r="Q18" s="14">
        <f>IFERROR(VLOOKUP(C18,'Biaut - La Cisterna'!$B$2:$AY$434,20,0),"0")</f>
        <v>4.9999999999999961E-2</v>
      </c>
      <c r="R18" s="15">
        <f ca="1">M18*Q18*VLOOKUP(TODAY(),'UF HOY'!$A$2:$B$36,2,0)</f>
        <v>5940224.0299999956</v>
      </c>
      <c r="S18" s="16">
        <f>IFERROR(VLOOKUP(C18,'Biaut - La Cisterna'!$B$2:$AY$434,23,0),"0")</f>
        <v>18</v>
      </c>
      <c r="T18" s="17">
        <f t="shared" ca="1" si="8"/>
        <v>330012.44611111085</v>
      </c>
      <c r="U18" s="17">
        <f>IFERROR(VLOOKUP(C18,'Biaut - La Cisterna'!$B$2:$AY$434,27,0),"0")</f>
        <v>380000</v>
      </c>
      <c r="V18" s="30"/>
      <c r="W18" s="30"/>
      <c r="X18" s="4"/>
      <c r="Y18" s="4"/>
      <c r="Z18" s="4"/>
      <c r="AA18" s="4"/>
      <c r="AB18" s="4"/>
      <c r="AC18" s="4"/>
      <c r="AD18" s="4"/>
      <c r="AE18" s="4"/>
      <c r="AF18" s="4"/>
      <c r="AG18" s="4"/>
      <c r="AH18" s="4"/>
      <c r="AI18" s="4"/>
    </row>
    <row r="19" spans="1:35">
      <c r="A19" s="18"/>
      <c r="B19" s="10" t="s">
        <v>290</v>
      </c>
      <c r="C19" s="11">
        <v>102</v>
      </c>
      <c r="D19" s="11" t="str">
        <f>IFERROR(VLOOKUP(C19,'Volcan - Villarrica'!$B$2:$AY$434,3,0),"0")</f>
        <v>2D2B</v>
      </c>
      <c r="E19" s="11" t="str">
        <f>IFERROR(VLOOKUP(C19,'Volcan - Villarrica'!$B$2:$AY$434,2,0),"0")</f>
        <v>NO</v>
      </c>
      <c r="F19" s="11">
        <f>IFERROR(VLOOKUP(C19,'Volcan - Villarrica'!$B$2:$AY$435,4,0),"0")</f>
        <v>0</v>
      </c>
      <c r="G19" s="11">
        <f>IFERROR(VLOOKUP(C19,'Volcan - Villarrica'!$B$2:$AY$434,8,0),"0")</f>
        <v>76.12</v>
      </c>
      <c r="H19" s="12">
        <f>IFERROR(VLOOKUP(C19,'Volcan - Villarrica'!$B$2:$AY$434,9,0),"0")</f>
        <v>5890</v>
      </c>
      <c r="I19" s="13">
        <f>IFERROR(VLOOKUP(C19,'Volcan - Villarrica'!$B$2:$AY$434,10,0),"0")</f>
        <v>0</v>
      </c>
      <c r="J19" s="26">
        <f>IFERROR(VLOOKUP(C19,'Volcan - Villarrica'!$B$2:$AY$434,11,0),"0")</f>
        <v>380</v>
      </c>
      <c r="K19" s="26">
        <f>+IFERROR(VLOOKUP(C19,'Volcan - Villarrica'!$B$2:$AY$434,12,0),"0")</f>
        <v>0</v>
      </c>
      <c r="L19" s="12">
        <f>+IFERROR(VLOOKUP(C19,'Volcan - Villarrica'!$B$2:$AY$434,13,0),"0")</f>
        <v>5643</v>
      </c>
      <c r="M19" s="12">
        <f>IFERROR(VLOOKUP(C19,'Volcan - Villarrica'!$B$2:$AY$434,14,0),"0")</f>
        <v>6270</v>
      </c>
      <c r="N19" s="12">
        <f t="shared" ref="N19" si="11">M19*O19</f>
        <v>5016</v>
      </c>
      <c r="O19" s="14">
        <f t="shared" ref="O19" si="12">100%-P19-Q19</f>
        <v>0.8</v>
      </c>
      <c r="P19" s="14">
        <f>IFERROR(VLOOKUP(C19,'Volcan - Villarrica'!$B$2:$AY$434,16,0),"0")</f>
        <v>0.1</v>
      </c>
      <c r="Q19" s="14">
        <f>IFERROR(VLOOKUP(C19,'Volcan - Villarrica'!$B$2:$AY$434,20,0),"0")</f>
        <v>9.999999999999995E-2</v>
      </c>
      <c r="R19" s="15">
        <f ca="1">M19*Q19*VLOOKUP(TODAY(),'UF HOY'!$A$2:$B$36,2,0)</f>
        <v>24913180.379999988</v>
      </c>
      <c r="S19" s="16">
        <f>IFERROR(VLOOKUP(C19,'Volcan - Villarrica'!$B$2:$AY$434,23,0),"0")</f>
        <v>28</v>
      </c>
      <c r="T19" s="17">
        <f t="shared" ref="T19" ca="1" si="13">R19/S19</f>
        <v>889756.44214285666</v>
      </c>
      <c r="U19" s="17">
        <f>IFERROR(VLOOKUP(C19,'Volcan - Villarrica'!$B$2:$AY$434,27,0),"0")</f>
        <v>640000</v>
      </c>
      <c r="V19" s="30"/>
      <c r="W19" s="30"/>
      <c r="X19" s="4"/>
      <c r="Y19" s="4"/>
      <c r="Z19" s="4"/>
      <c r="AA19" s="4"/>
      <c r="AB19" s="4"/>
      <c r="AC19" s="4"/>
      <c r="AD19" s="4"/>
      <c r="AE19" s="4"/>
      <c r="AF19" s="4"/>
      <c r="AG19" s="4"/>
      <c r="AH19" s="4"/>
      <c r="AI19" s="4"/>
    </row>
    <row r="20" spans="1:35">
      <c r="A20" s="18"/>
      <c r="B20" s="433"/>
      <c r="C20" s="434"/>
      <c r="D20" s="434"/>
      <c r="E20" s="434"/>
      <c r="F20" s="434"/>
      <c r="G20" s="434"/>
      <c r="H20" s="435"/>
      <c r="I20" s="436"/>
      <c r="J20" s="437"/>
      <c r="K20" s="437"/>
      <c r="L20" s="435"/>
      <c r="M20" s="435"/>
      <c r="N20" s="435"/>
      <c r="O20" s="438"/>
      <c r="P20" s="438"/>
      <c r="Q20" s="438"/>
      <c r="R20" s="439"/>
      <c r="S20" s="440"/>
      <c r="T20" s="37"/>
      <c r="U20" s="37"/>
      <c r="V20" s="30"/>
      <c r="W20" s="30"/>
      <c r="X20" s="4"/>
      <c r="Y20" s="4"/>
      <c r="Z20" s="4"/>
      <c r="AA20" s="4"/>
      <c r="AB20" s="4"/>
      <c r="AC20" s="4"/>
      <c r="AD20" s="4"/>
      <c r="AE20" s="4"/>
      <c r="AF20" s="4"/>
      <c r="AG20" s="4"/>
      <c r="AH20" s="4"/>
      <c r="AI20" s="4"/>
    </row>
    <row r="21" spans="1:35">
      <c r="A21" s="18"/>
      <c r="B21" s="32" t="s">
        <v>59</v>
      </c>
      <c r="C21" s="33">
        <f>COUNT(C4:C8)*VLOOKUP(B4,Datos!C2:N10,12,0)</f>
        <v>250000</v>
      </c>
      <c r="D21" s="34"/>
      <c r="E21" s="18"/>
      <c r="F21" s="18"/>
      <c r="G21" s="18"/>
      <c r="H21" s="18"/>
      <c r="I21" s="18"/>
      <c r="J21" s="18"/>
      <c r="K21" s="18"/>
      <c r="L21" s="18"/>
      <c r="M21" s="18"/>
      <c r="N21" s="18"/>
      <c r="O21" s="9"/>
      <c r="P21" s="18"/>
      <c r="Q21" s="18"/>
      <c r="R21" s="18"/>
      <c r="S21" s="18"/>
      <c r="T21" s="18"/>
      <c r="U21" s="18"/>
      <c r="V21" s="4"/>
      <c r="W21" s="4"/>
      <c r="X21" s="4"/>
      <c r="Y21" s="4"/>
      <c r="Z21" s="4"/>
      <c r="AA21" s="4"/>
      <c r="AB21" s="4"/>
      <c r="AC21" s="4"/>
      <c r="AD21" s="4"/>
      <c r="AE21" s="4"/>
      <c r="AF21" s="4"/>
      <c r="AG21" s="4"/>
      <c r="AH21" s="4"/>
      <c r="AI21" s="4"/>
    </row>
    <row r="22" spans="1:35">
      <c r="A22" s="18"/>
      <c r="B22" s="32" t="s">
        <v>55</v>
      </c>
      <c r="C22" s="33">
        <f ca="1">'Escenario de Inversion'!D18</f>
        <v>-250000</v>
      </c>
      <c r="D22" s="21"/>
      <c r="E22" s="21"/>
      <c r="F22" s="18"/>
      <c r="G22" s="18"/>
      <c r="H22" s="18"/>
      <c r="I22" s="18"/>
      <c r="J22" s="18"/>
      <c r="K22" s="18"/>
      <c r="L22" s="18"/>
      <c r="M22" s="18"/>
      <c r="N22" s="18"/>
      <c r="O22" s="9"/>
      <c r="P22" s="18"/>
      <c r="Q22" s="18"/>
      <c r="R22" s="18"/>
      <c r="S22" s="18"/>
      <c r="T22" s="18"/>
      <c r="U22" s="18"/>
      <c r="V22" s="4"/>
      <c r="W22" s="4"/>
      <c r="X22" s="4"/>
      <c r="Y22" s="4"/>
      <c r="Z22" s="4"/>
      <c r="AA22" s="4"/>
      <c r="AB22" s="4"/>
      <c r="AC22" s="4"/>
      <c r="AD22" s="4"/>
      <c r="AE22" s="4"/>
      <c r="AF22" s="4"/>
      <c r="AG22" s="4"/>
      <c r="AH22" s="4"/>
      <c r="AI22" s="4"/>
    </row>
    <row r="23" spans="1:35">
      <c r="A23" s="18"/>
      <c r="B23" s="34"/>
      <c r="C23" s="34"/>
      <c r="D23" s="34"/>
      <c r="E23" s="18"/>
      <c r="F23" s="18"/>
      <c r="G23" s="18"/>
      <c r="H23" s="18"/>
      <c r="I23" s="18"/>
      <c r="J23" s="18"/>
      <c r="K23" s="18"/>
      <c r="L23" s="18"/>
      <c r="M23" s="18"/>
      <c r="N23" s="18"/>
      <c r="O23" s="9"/>
      <c r="P23" s="18"/>
      <c r="Q23" s="18"/>
      <c r="R23" s="18"/>
      <c r="S23" s="18"/>
      <c r="T23" s="18"/>
      <c r="U23" s="18"/>
      <c r="V23" s="4"/>
      <c r="W23" s="4"/>
      <c r="X23" s="4"/>
      <c r="Y23" s="4"/>
      <c r="Z23" s="4"/>
      <c r="AA23" s="4"/>
      <c r="AB23" s="4"/>
      <c r="AC23" s="4"/>
      <c r="AD23" s="4"/>
      <c r="AE23" s="4"/>
      <c r="AF23" s="4"/>
      <c r="AG23" s="4"/>
      <c r="AH23" s="4"/>
      <c r="AI23" s="4"/>
    </row>
    <row r="24" spans="1:35">
      <c r="A24" s="18"/>
      <c r="B24" s="34"/>
      <c r="C24" s="34"/>
      <c r="D24" s="34"/>
      <c r="E24" s="18"/>
      <c r="F24" s="18"/>
      <c r="G24" s="18"/>
      <c r="H24" s="18"/>
      <c r="I24" s="18"/>
      <c r="J24" s="18"/>
      <c r="K24" s="18"/>
      <c r="L24" s="18"/>
      <c r="M24" s="18"/>
      <c r="N24" s="18"/>
      <c r="O24" s="9"/>
      <c r="P24" s="18"/>
      <c r="Q24" s="18"/>
      <c r="R24" s="18"/>
      <c r="S24" s="18"/>
      <c r="T24" s="18"/>
      <c r="U24" s="18"/>
      <c r="V24" s="4"/>
      <c r="W24" s="4"/>
      <c r="X24" s="4"/>
      <c r="Y24" s="4"/>
      <c r="Z24" s="4"/>
      <c r="AA24" s="4"/>
      <c r="AB24" s="4"/>
      <c r="AC24" s="4"/>
      <c r="AD24" s="4"/>
      <c r="AE24" s="4"/>
      <c r="AF24" s="4"/>
      <c r="AG24" s="4"/>
      <c r="AH24" s="4"/>
      <c r="AI24" s="4"/>
    </row>
    <row r="25" spans="1:35">
      <c r="A25" s="18"/>
      <c r="B25" s="532" t="str">
        <f>VLOOKUP(B4,Datos!C2:K10,9,0)</f>
        <v>Opción 1: 28 Cuotas (Sólo TOKU)</v>
      </c>
      <c r="C25" s="532"/>
      <c r="D25" s="532"/>
      <c r="E25" s="18"/>
      <c r="F25" s="18"/>
      <c r="G25" s="18"/>
      <c r="H25" s="18"/>
      <c r="I25" s="18"/>
      <c r="J25" s="18"/>
      <c r="K25" s="18"/>
      <c r="L25" s="18"/>
      <c r="M25" s="18"/>
      <c r="N25" s="18"/>
      <c r="O25" s="9"/>
      <c r="P25" s="18"/>
      <c r="Q25" s="18"/>
      <c r="R25" s="18"/>
      <c r="S25" s="18"/>
      <c r="T25" s="18"/>
      <c r="U25" s="18"/>
      <c r="V25" s="4"/>
      <c r="W25" s="4"/>
      <c r="X25" s="4"/>
      <c r="Y25" s="4"/>
      <c r="Z25" s="4"/>
      <c r="AA25" s="4"/>
      <c r="AB25" s="4"/>
      <c r="AC25" s="4"/>
      <c r="AD25" s="4"/>
      <c r="AE25" s="4"/>
      <c r="AF25" s="4"/>
      <c r="AG25" s="4"/>
      <c r="AH25" s="4"/>
      <c r="AI25" s="4"/>
    </row>
    <row r="26" spans="1:35">
      <c r="A26" s="18"/>
      <c r="B26" s="32" t="s">
        <v>56</v>
      </c>
      <c r="C26" s="32" t="s">
        <v>57</v>
      </c>
      <c r="D26" s="32" t="s">
        <v>44</v>
      </c>
      <c r="E26" s="18"/>
      <c r="F26" s="18"/>
      <c r="G26" s="43"/>
      <c r="H26" s="18"/>
      <c r="I26" s="18"/>
      <c r="J26" s="18"/>
      <c r="K26" s="18"/>
      <c r="L26" s="18"/>
      <c r="M26" s="18"/>
      <c r="N26" s="18"/>
      <c r="O26" s="9"/>
      <c r="P26" s="18"/>
      <c r="Q26" s="18"/>
      <c r="R26" s="18"/>
      <c r="S26" s="18"/>
      <c r="T26" s="18"/>
      <c r="U26" s="18"/>
      <c r="V26" s="4"/>
      <c r="W26" s="4"/>
      <c r="X26" s="4"/>
      <c r="Y26" s="4"/>
      <c r="Z26" s="4"/>
      <c r="AA26" s="4"/>
      <c r="AB26" s="4"/>
      <c r="AC26" s="4"/>
      <c r="AD26" s="4"/>
      <c r="AE26" s="4"/>
      <c r="AF26" s="4"/>
      <c r="AG26" s="4"/>
      <c r="AH26" s="4"/>
      <c r="AI26" s="4"/>
    </row>
    <row r="27" spans="1:35">
      <c r="A27" s="18"/>
      <c r="B27" s="34" t="str">
        <f>VLOOKUP(B4,Datos!C2:H10,6,0)</f>
        <v>28 Cuotas TOKU</v>
      </c>
      <c r="C27" s="33">
        <f ca="1">VLOOKUP(B4,Datos!C2:O10,13,0)</f>
        <v>0</v>
      </c>
      <c r="D27" s="33">
        <f ca="1">VLOOKUP(B4,Datos!C2:P10,14,0)</f>
        <v>0</v>
      </c>
      <c r="E27" s="18"/>
      <c r="F27" s="43"/>
      <c r="G27" s="35"/>
      <c r="H27" s="43"/>
      <c r="I27" s="18"/>
      <c r="J27" s="18"/>
      <c r="K27" s="18"/>
      <c r="L27" s="18"/>
      <c r="M27" s="18"/>
      <c r="N27" s="18"/>
      <c r="O27" s="9"/>
      <c r="P27" s="18"/>
      <c r="Q27" s="18"/>
      <c r="R27" s="18"/>
      <c r="S27" s="18"/>
      <c r="T27" s="18"/>
      <c r="U27" s="18"/>
      <c r="V27" s="4"/>
      <c r="W27" s="4"/>
      <c r="X27" s="4"/>
      <c r="Y27" s="4"/>
      <c r="Z27" s="4"/>
      <c r="AA27" s="4"/>
      <c r="AB27" s="4"/>
      <c r="AC27" s="4"/>
      <c r="AD27" s="4"/>
      <c r="AE27" s="4"/>
      <c r="AF27" s="4"/>
      <c r="AG27" s="4"/>
      <c r="AH27" s="4"/>
      <c r="AI27" s="4"/>
    </row>
    <row r="28" spans="1:35">
      <c r="A28" s="18"/>
      <c r="B28" s="34"/>
      <c r="C28" s="33"/>
      <c r="D28" s="33"/>
      <c r="E28" s="18"/>
      <c r="F28" s="43"/>
      <c r="G28" s="43"/>
      <c r="H28" s="43"/>
      <c r="I28" s="18"/>
      <c r="J28" s="18"/>
      <c r="K28" s="18"/>
      <c r="L28" s="18"/>
      <c r="M28" s="18"/>
      <c r="N28" s="18"/>
      <c r="O28" s="9"/>
      <c r="P28" s="18"/>
      <c r="Q28" s="18"/>
      <c r="R28" s="18"/>
      <c r="S28" s="18"/>
      <c r="T28" s="18"/>
      <c r="U28" s="18"/>
      <c r="V28" s="4"/>
      <c r="W28" s="4"/>
      <c r="X28" s="4"/>
      <c r="Y28" s="4"/>
      <c r="Z28" s="4"/>
      <c r="AA28" s="4"/>
      <c r="AB28" s="4"/>
      <c r="AC28" s="4"/>
      <c r="AD28" s="4"/>
      <c r="AE28" s="4"/>
      <c r="AF28" s="4"/>
      <c r="AG28" s="4"/>
      <c r="AH28" s="4"/>
      <c r="AI28" s="4"/>
    </row>
    <row r="29" spans="1:35">
      <c r="A29" s="18"/>
      <c r="B29" s="34"/>
      <c r="C29" s="33"/>
      <c r="D29" s="33"/>
      <c r="E29" s="18"/>
      <c r="F29" s="18"/>
      <c r="G29" s="18"/>
      <c r="H29" s="18"/>
      <c r="I29" s="18"/>
      <c r="J29" s="18"/>
      <c r="K29" s="18"/>
      <c r="L29" s="18"/>
      <c r="M29" s="18"/>
      <c r="N29" s="18"/>
      <c r="O29" s="9"/>
      <c r="P29" s="18"/>
      <c r="Q29" s="18"/>
      <c r="R29" s="18"/>
      <c r="S29" s="18"/>
      <c r="T29" s="18"/>
      <c r="U29" s="18"/>
      <c r="V29" s="4"/>
      <c r="W29" s="4"/>
      <c r="X29" s="4"/>
      <c r="Y29" s="4"/>
      <c r="Z29" s="4"/>
      <c r="AA29" s="4"/>
      <c r="AB29" s="4"/>
      <c r="AC29" s="4"/>
      <c r="AD29" s="4"/>
      <c r="AE29" s="4"/>
      <c r="AF29" s="4"/>
      <c r="AG29" s="4"/>
      <c r="AH29" s="4"/>
      <c r="AI29" s="4"/>
    </row>
    <row r="30" spans="1:35">
      <c r="A30" s="18"/>
      <c r="B30" s="532" t="str">
        <f>VLOOKUP(B4,Datos!C2:L10,10,0)</f>
        <v>Opción 2: 46 Cuotas (TOKU + TC)</v>
      </c>
      <c r="C30" s="532"/>
      <c r="D30" s="532"/>
      <c r="E30" s="18"/>
      <c r="F30" s="18"/>
      <c r="G30" s="18"/>
      <c r="H30" s="18"/>
      <c r="I30" s="18"/>
      <c r="J30" s="18"/>
      <c r="K30" s="18"/>
      <c r="L30" s="18"/>
      <c r="M30" s="18"/>
      <c r="N30" s="18"/>
      <c r="O30" s="9"/>
      <c r="P30" s="18"/>
      <c r="Q30" s="18"/>
      <c r="R30" s="18"/>
      <c r="S30" s="18"/>
      <c r="T30" s="18"/>
      <c r="U30" s="18"/>
      <c r="V30" s="4"/>
      <c r="W30" s="4"/>
      <c r="X30" s="4"/>
      <c r="Y30" s="4"/>
      <c r="Z30" s="4"/>
      <c r="AA30" s="4"/>
      <c r="AB30" s="4"/>
      <c r="AC30" s="4"/>
      <c r="AD30" s="4"/>
      <c r="AE30" s="4"/>
      <c r="AF30" s="4"/>
      <c r="AG30" s="4"/>
      <c r="AH30" s="4"/>
      <c r="AI30" s="4"/>
    </row>
    <row r="31" spans="1:35" ht="21">
      <c r="A31" s="18"/>
      <c r="B31" s="32" t="s">
        <v>56</v>
      </c>
      <c r="C31" s="36" t="s">
        <v>57</v>
      </c>
      <c r="D31" s="36" t="s">
        <v>44</v>
      </c>
      <c r="E31" s="18"/>
      <c r="F31" s="18"/>
      <c r="G31" s="18"/>
      <c r="H31" s="18"/>
      <c r="I31" s="18"/>
      <c r="J31" s="38"/>
      <c r="K31" s="18"/>
      <c r="L31" s="18"/>
      <c r="M31" s="18"/>
      <c r="N31" s="18"/>
      <c r="O31" s="9"/>
      <c r="P31" s="18"/>
      <c r="Q31" s="18"/>
      <c r="R31" s="18"/>
      <c r="S31" s="18"/>
      <c r="T31" s="18"/>
      <c r="U31" s="18"/>
      <c r="V31" s="4"/>
      <c r="W31" s="4"/>
      <c r="X31" s="4"/>
      <c r="Y31" s="4"/>
      <c r="Z31" s="4"/>
      <c r="AA31" s="4"/>
      <c r="AB31" s="4"/>
      <c r="AC31" s="4"/>
      <c r="AD31" s="4"/>
      <c r="AE31" s="4"/>
      <c r="AF31" s="4"/>
      <c r="AG31" s="4"/>
      <c r="AH31" s="4"/>
      <c r="AI31" s="4"/>
    </row>
    <row r="32" spans="1:35">
      <c r="A32" s="18"/>
      <c r="B32" s="34" t="str">
        <f>VLOOKUP($B$4,Datos!C2:I10,7,0)</f>
        <v>28 Cuotas</v>
      </c>
      <c r="C32" s="33">
        <f ca="1">VLOOKUP(B4,Datos!C2:Q10,15,0)</f>
        <v>0</v>
      </c>
      <c r="D32" s="33">
        <f ca="1">VLOOKUP(B4,Datos!C2:R10,16,0)</f>
        <v>0</v>
      </c>
      <c r="E32" s="18"/>
      <c r="F32" s="58"/>
      <c r="G32" s="35"/>
      <c r="H32" s="18"/>
      <c r="I32" s="18"/>
      <c r="J32" s="18"/>
      <c r="K32" s="18"/>
      <c r="L32" s="18"/>
      <c r="M32" s="18"/>
      <c r="N32" s="18"/>
      <c r="O32" s="9"/>
      <c r="P32" s="18"/>
      <c r="Q32" s="18"/>
      <c r="R32" s="18"/>
      <c r="S32" s="18"/>
      <c r="T32" s="18"/>
      <c r="U32" s="18"/>
      <c r="V32" s="4"/>
      <c r="W32" s="4"/>
      <c r="X32" s="4"/>
      <c r="Y32" s="4"/>
      <c r="Z32" s="4"/>
      <c r="AA32" s="4"/>
      <c r="AB32" s="4"/>
      <c r="AC32" s="4"/>
      <c r="AD32" s="4"/>
      <c r="AE32" s="4"/>
      <c r="AF32" s="4"/>
      <c r="AG32" s="4"/>
      <c r="AH32" s="4"/>
      <c r="AI32" s="4"/>
    </row>
    <row r="33" spans="1:35">
      <c r="A33" s="18"/>
      <c r="B33" s="34" t="str">
        <f>VLOOKUP($B$4,Datos!C2:J10,8,0)</f>
        <v>18 Cuotas TC</v>
      </c>
      <c r="C33" s="33">
        <f ca="1">VLOOKUP(B4,Datos!C2:S10,17,0)</f>
        <v>0</v>
      </c>
      <c r="D33" s="33">
        <f ca="1">VLOOKUP(B4,Datos!C2:T10,18,0)</f>
        <v>0</v>
      </c>
      <c r="E33" s="18"/>
      <c r="G33" s="59"/>
      <c r="H33" s="18"/>
      <c r="I33" s="18"/>
      <c r="J33" s="18"/>
      <c r="K33" s="18"/>
      <c r="L33" s="18"/>
      <c r="M33" s="18"/>
      <c r="N33" s="18"/>
      <c r="O33" s="9"/>
      <c r="P33" s="18"/>
      <c r="Q33" s="18"/>
      <c r="R33" s="18"/>
      <c r="S33" s="18"/>
      <c r="T33" s="18"/>
      <c r="U33" s="18"/>
      <c r="V33" s="4"/>
      <c r="W33" s="4"/>
      <c r="X33" s="4"/>
      <c r="Y33" s="4"/>
      <c r="Z33" s="4"/>
      <c r="AA33" s="4"/>
      <c r="AB33" s="4"/>
      <c r="AC33" s="4"/>
      <c r="AD33" s="4"/>
      <c r="AE33" s="4"/>
      <c r="AF33" s="4"/>
      <c r="AG33" s="4"/>
      <c r="AH33" s="4"/>
      <c r="AI33" s="4"/>
    </row>
    <row r="34" spans="1:35">
      <c r="B34" s="4"/>
      <c r="C34" s="4"/>
      <c r="D34" s="42">
        <f ca="1">D32+D33</f>
        <v>0</v>
      </c>
      <c r="E34" s="4"/>
      <c r="F34" s="4"/>
      <c r="G34" s="4"/>
      <c r="H34" s="4"/>
      <c r="I34" s="4"/>
      <c r="J34" s="4"/>
      <c r="K34" s="4"/>
      <c r="L34" s="4"/>
      <c r="M34" s="4"/>
      <c r="N34" s="4"/>
      <c r="O34" s="4"/>
      <c r="P34" s="4"/>
      <c r="Q34" s="4"/>
      <c r="R34" s="4"/>
      <c r="S34" s="4"/>
      <c r="T34" s="4"/>
      <c r="U34" s="4"/>
      <c r="V34" s="4"/>
      <c r="W34" s="4"/>
      <c r="X34" s="4"/>
      <c r="Y34" s="4"/>
      <c r="Z34" s="4"/>
      <c r="AA34" s="4"/>
      <c r="AB34" s="4"/>
    </row>
    <row r="35" spans="1:35">
      <c r="B35" s="4"/>
      <c r="C35" s="4"/>
      <c r="D35" s="4"/>
      <c r="E35" s="4"/>
      <c r="F35" s="4"/>
      <c r="G35" s="4"/>
      <c r="H35" s="4"/>
      <c r="I35" s="4"/>
      <c r="J35" s="4"/>
      <c r="K35" s="4"/>
      <c r="L35" s="4"/>
      <c r="M35" s="4"/>
      <c r="N35" s="4"/>
      <c r="O35" s="4"/>
      <c r="P35" s="4"/>
      <c r="Q35" s="4"/>
      <c r="R35" s="4"/>
      <c r="S35" s="4"/>
      <c r="T35" s="4"/>
      <c r="U35" s="4"/>
      <c r="V35" s="4"/>
      <c r="W35" s="4"/>
      <c r="X35" s="4"/>
      <c r="Y35" s="4"/>
      <c r="Z35" s="4"/>
      <c r="AA35" s="4"/>
      <c r="AB35" s="4"/>
    </row>
    <row r="36" spans="1:35">
      <c r="B36" s="4"/>
      <c r="C36" s="4"/>
      <c r="D36" s="4"/>
      <c r="E36" s="4"/>
      <c r="F36" s="4"/>
      <c r="G36" s="4"/>
      <c r="H36" s="4"/>
      <c r="I36" s="4"/>
      <c r="J36" s="4"/>
      <c r="K36" s="4"/>
      <c r="L36" s="4"/>
      <c r="M36" s="4"/>
      <c r="N36" s="4"/>
      <c r="O36" s="4"/>
      <c r="P36" s="4"/>
      <c r="Q36" s="4"/>
      <c r="R36" s="4"/>
      <c r="S36" s="4"/>
      <c r="T36" s="4"/>
      <c r="U36" s="4"/>
      <c r="V36" s="4"/>
      <c r="W36" s="4"/>
      <c r="X36" s="4"/>
      <c r="Y36" s="4"/>
      <c r="Z36" s="4"/>
      <c r="AA36" s="4"/>
      <c r="AB36" s="4"/>
    </row>
    <row r="37" spans="1:35">
      <c r="B37" s="4"/>
      <c r="C37" s="4"/>
      <c r="D37" s="4"/>
      <c r="E37" s="4"/>
      <c r="F37" s="4"/>
      <c r="G37" s="4"/>
      <c r="H37" s="4"/>
      <c r="I37" s="4"/>
      <c r="J37" s="4"/>
      <c r="K37" s="4"/>
      <c r="L37" s="4"/>
      <c r="M37" s="4"/>
      <c r="N37" s="4"/>
      <c r="O37" s="4"/>
      <c r="P37" s="4"/>
      <c r="Q37" s="4"/>
      <c r="R37" s="4"/>
      <c r="S37" s="4"/>
      <c r="T37" s="4"/>
      <c r="U37" s="4"/>
      <c r="V37" s="4"/>
      <c r="W37" s="4"/>
      <c r="X37" s="4"/>
      <c r="Y37" s="4"/>
      <c r="Z37" s="4"/>
      <c r="AA37" s="4"/>
      <c r="AB37" s="4"/>
    </row>
    <row r="38" spans="1:35">
      <c r="B38" s="4"/>
      <c r="C38" s="4"/>
      <c r="D38" s="4"/>
      <c r="E38" s="4"/>
      <c r="F38" s="4"/>
      <c r="G38" s="4"/>
      <c r="H38" s="4"/>
      <c r="I38" s="4"/>
      <c r="J38" s="4"/>
      <c r="K38" s="4"/>
      <c r="L38" s="4"/>
      <c r="M38" s="4"/>
      <c r="N38" s="4"/>
      <c r="O38" s="4"/>
      <c r="P38" s="4"/>
      <c r="Q38" s="4"/>
      <c r="R38" s="4"/>
      <c r="S38" s="4"/>
      <c r="T38" s="4"/>
      <c r="U38" s="4"/>
      <c r="V38" s="4"/>
      <c r="W38" s="4"/>
      <c r="X38" s="4"/>
      <c r="Y38" s="4"/>
      <c r="Z38" s="4"/>
      <c r="AA38" s="4"/>
      <c r="AB38" s="4"/>
    </row>
    <row r="39" spans="1:35">
      <c r="B39" s="4"/>
      <c r="C39" s="4"/>
      <c r="D39" s="4"/>
      <c r="E39" s="4"/>
      <c r="F39" s="4"/>
      <c r="G39" s="4"/>
      <c r="H39" s="4"/>
      <c r="I39" s="4"/>
      <c r="J39" s="4"/>
      <c r="K39" s="4"/>
      <c r="L39" s="4"/>
      <c r="M39" s="4"/>
      <c r="N39" s="4"/>
      <c r="O39" s="4"/>
      <c r="P39" s="4"/>
      <c r="Q39" s="4"/>
      <c r="R39" s="4"/>
      <c r="S39" s="4"/>
      <c r="T39" s="4"/>
      <c r="U39" s="4"/>
      <c r="V39" s="4"/>
      <c r="W39" s="4"/>
      <c r="X39" s="4"/>
      <c r="Y39" s="4"/>
      <c r="Z39" s="4"/>
      <c r="AA39" s="4"/>
      <c r="AB39" s="4"/>
    </row>
    <row r="40" spans="1:35">
      <c r="B40" s="4"/>
      <c r="C40" s="4"/>
      <c r="D40" s="4"/>
      <c r="E40" s="4"/>
      <c r="F40" s="4"/>
      <c r="G40" s="4"/>
      <c r="H40" s="4"/>
      <c r="I40" s="4"/>
      <c r="J40" s="4"/>
      <c r="K40" s="4"/>
      <c r="L40" s="4"/>
      <c r="M40" s="4"/>
      <c r="N40" s="4"/>
      <c r="O40" s="4"/>
      <c r="P40" s="4"/>
      <c r="Q40" s="4"/>
      <c r="R40" s="4"/>
      <c r="S40" s="4"/>
      <c r="T40" s="4"/>
      <c r="U40" s="4"/>
      <c r="V40" s="4"/>
      <c r="W40" s="4"/>
      <c r="X40" s="4"/>
      <c r="Y40" s="4"/>
      <c r="Z40" s="4"/>
      <c r="AA40" s="4"/>
      <c r="AB40" s="4"/>
    </row>
    <row r="41" spans="1:35">
      <c r="B41" s="4"/>
      <c r="C41" s="4"/>
      <c r="D41" s="4"/>
      <c r="E41" s="4"/>
      <c r="F41" s="4"/>
      <c r="G41" s="4"/>
      <c r="H41" s="4"/>
      <c r="I41" s="4"/>
      <c r="J41" s="4"/>
      <c r="K41" s="4"/>
      <c r="L41" s="4"/>
      <c r="M41" s="4"/>
      <c r="N41" s="4"/>
      <c r="O41" s="4"/>
      <c r="P41" s="4"/>
      <c r="Q41" s="4"/>
      <c r="R41" s="4"/>
      <c r="S41" s="4"/>
      <c r="T41" s="4"/>
      <c r="U41" s="4"/>
      <c r="V41" s="4"/>
      <c r="W41" s="4"/>
      <c r="X41" s="4"/>
      <c r="Y41" s="4"/>
      <c r="Z41" s="4"/>
      <c r="AA41" s="4"/>
      <c r="AB41" s="4"/>
    </row>
    <row r="42" spans="1:35">
      <c r="B42" s="4"/>
      <c r="C42" s="4"/>
      <c r="D42" s="4"/>
      <c r="E42" s="4"/>
      <c r="F42" s="4"/>
      <c r="G42" s="4"/>
      <c r="H42" s="4"/>
      <c r="I42" s="4"/>
      <c r="J42" s="4"/>
      <c r="K42" s="4"/>
      <c r="L42" s="4"/>
      <c r="M42" s="4"/>
      <c r="N42" s="4"/>
      <c r="O42" s="4"/>
      <c r="P42" s="4"/>
      <c r="Q42" s="4"/>
      <c r="R42" s="4"/>
      <c r="S42" s="4"/>
      <c r="T42" s="4"/>
      <c r="U42" s="4"/>
      <c r="V42" s="4"/>
      <c r="W42" s="4"/>
      <c r="X42" s="4"/>
      <c r="Y42" s="4"/>
      <c r="Z42" s="4"/>
      <c r="AA42" s="4"/>
      <c r="AB42" s="4"/>
    </row>
    <row r="43" spans="1:35">
      <c r="B43" s="4"/>
      <c r="C43" s="4"/>
      <c r="D43" s="4"/>
      <c r="E43" s="4"/>
      <c r="F43" s="4"/>
      <c r="G43" s="4"/>
      <c r="H43" s="4"/>
      <c r="I43" s="4"/>
      <c r="J43" s="4"/>
      <c r="K43" s="4"/>
      <c r="L43" s="4"/>
      <c r="M43" s="4"/>
      <c r="N43" s="4"/>
      <c r="O43" s="4"/>
      <c r="P43" s="4"/>
      <c r="Q43" s="4"/>
      <c r="R43" s="4"/>
      <c r="S43" s="4"/>
      <c r="T43" s="4"/>
      <c r="U43" s="4"/>
      <c r="V43" s="4"/>
      <c r="W43" s="4"/>
      <c r="X43" s="4"/>
      <c r="Y43" s="4"/>
      <c r="Z43" s="4"/>
      <c r="AA43" s="4"/>
      <c r="AB43" s="4"/>
    </row>
    <row r="44" spans="1:35">
      <c r="B44" s="4"/>
      <c r="C44" s="4"/>
      <c r="D44" s="4"/>
      <c r="E44" s="4"/>
      <c r="F44" s="4"/>
      <c r="G44" s="4"/>
      <c r="H44" s="4"/>
      <c r="I44" s="4"/>
      <c r="J44" s="4"/>
      <c r="K44" s="4"/>
      <c r="L44" s="4"/>
      <c r="M44" s="4"/>
      <c r="N44" s="4"/>
      <c r="O44" s="4"/>
      <c r="P44" s="4"/>
      <c r="Q44" s="4"/>
      <c r="R44" s="4"/>
      <c r="S44" s="4"/>
      <c r="T44" s="4"/>
      <c r="U44" s="4"/>
      <c r="V44" s="4"/>
      <c r="W44" s="4"/>
      <c r="X44" s="4"/>
      <c r="Y44" s="4"/>
      <c r="Z44" s="4"/>
      <c r="AA44" s="4"/>
      <c r="AB44" s="4"/>
    </row>
    <row r="45" spans="1:35">
      <c r="B45" s="4"/>
      <c r="C45" s="4"/>
      <c r="D45" s="4"/>
      <c r="E45" s="4"/>
      <c r="F45" s="4"/>
      <c r="G45" s="4"/>
      <c r="H45" s="4"/>
      <c r="I45" s="4"/>
      <c r="J45" s="4"/>
      <c r="K45" s="4"/>
      <c r="L45" s="4"/>
      <c r="M45" s="4"/>
      <c r="N45" s="4"/>
      <c r="O45" s="4"/>
      <c r="P45" s="4"/>
      <c r="Q45" s="4"/>
      <c r="R45" s="4"/>
      <c r="S45" s="4"/>
      <c r="T45" s="4"/>
      <c r="U45" s="4"/>
      <c r="V45" s="4"/>
      <c r="W45" s="4"/>
      <c r="X45" s="4"/>
      <c r="Y45" s="4"/>
      <c r="Z45" s="4"/>
      <c r="AA45" s="4"/>
      <c r="AB45" s="4"/>
    </row>
    <row r="46" spans="1:35">
      <c r="B46" s="4"/>
      <c r="C46" s="4"/>
      <c r="D46" s="4"/>
      <c r="E46" s="4"/>
      <c r="F46" s="4"/>
      <c r="G46" s="4"/>
      <c r="H46" s="4"/>
      <c r="I46" s="4"/>
      <c r="J46" s="4"/>
      <c r="K46" s="4"/>
      <c r="L46" s="4"/>
      <c r="M46" s="4"/>
      <c r="N46" s="4"/>
      <c r="O46" s="4"/>
      <c r="P46" s="4"/>
      <c r="Q46" s="4"/>
      <c r="R46" s="4"/>
      <c r="S46" s="4"/>
      <c r="T46" s="4"/>
      <c r="U46" s="4"/>
      <c r="V46" s="4"/>
      <c r="W46" s="4"/>
      <c r="X46" s="4"/>
      <c r="Y46" s="4"/>
      <c r="Z46" s="4"/>
      <c r="AA46" s="4"/>
      <c r="AB46" s="4"/>
    </row>
    <row r="47" spans="1:35">
      <c r="B47" s="4"/>
      <c r="C47" s="4"/>
      <c r="D47" s="4"/>
      <c r="E47" s="4"/>
      <c r="F47" s="4"/>
      <c r="G47" s="4"/>
      <c r="H47" s="4"/>
      <c r="I47" s="4"/>
      <c r="J47" s="4"/>
      <c r="K47" s="4"/>
      <c r="L47" s="4"/>
      <c r="M47" s="4"/>
      <c r="N47" s="4"/>
      <c r="O47" s="4"/>
      <c r="P47" s="4"/>
      <c r="Q47" s="4"/>
      <c r="R47" s="4"/>
      <c r="S47" s="4"/>
      <c r="T47" s="4"/>
      <c r="U47" s="4"/>
      <c r="V47" s="4"/>
      <c r="W47" s="4"/>
      <c r="X47" s="4"/>
      <c r="Y47" s="4"/>
      <c r="Z47" s="4"/>
      <c r="AA47" s="4"/>
      <c r="AB47" s="4"/>
    </row>
    <row r="48" spans="1:35">
      <c r="B48" s="4"/>
      <c r="C48" s="4"/>
      <c r="D48" s="4"/>
      <c r="E48" s="4"/>
      <c r="F48" s="4"/>
      <c r="G48" s="4"/>
      <c r="H48" s="4"/>
      <c r="I48" s="4"/>
      <c r="J48" s="4"/>
      <c r="K48" s="4"/>
      <c r="L48" s="4"/>
      <c r="M48" s="4"/>
      <c r="N48" s="4"/>
      <c r="O48" s="4"/>
      <c r="P48" s="4"/>
      <c r="Q48" s="4"/>
      <c r="R48" s="4"/>
      <c r="S48" s="4"/>
      <c r="T48" s="4"/>
      <c r="U48" s="4"/>
      <c r="V48" s="4"/>
      <c r="W48" s="4"/>
      <c r="X48" s="4"/>
      <c r="Y48" s="4"/>
      <c r="Z48" s="4"/>
      <c r="AA48" s="4"/>
      <c r="AB48" s="4"/>
    </row>
    <row r="49" spans="2:28">
      <c r="B49" s="4"/>
      <c r="C49" s="4"/>
      <c r="D49" s="4"/>
      <c r="E49" s="4"/>
      <c r="F49" s="4"/>
      <c r="G49" s="4"/>
      <c r="H49" s="4"/>
      <c r="I49" s="4"/>
      <c r="J49" s="4"/>
      <c r="K49" s="4"/>
      <c r="L49" s="4"/>
      <c r="M49" s="4"/>
      <c r="N49" s="4"/>
      <c r="O49" s="4"/>
      <c r="P49" s="4"/>
      <c r="Q49" s="4"/>
      <c r="R49" s="4"/>
      <c r="S49" s="4"/>
      <c r="T49" s="4"/>
      <c r="U49" s="4"/>
      <c r="V49" s="4"/>
      <c r="W49" s="4"/>
      <c r="X49" s="4"/>
      <c r="Y49" s="4"/>
      <c r="Z49" s="4"/>
      <c r="AA49" s="4"/>
      <c r="AB49" s="4"/>
    </row>
    <row r="50" spans="2:28">
      <c r="B50" s="4"/>
      <c r="C50" s="4"/>
      <c r="D50" s="4"/>
      <c r="E50" s="4"/>
      <c r="F50" s="4"/>
      <c r="G50" s="4"/>
      <c r="H50" s="4"/>
      <c r="I50" s="4"/>
      <c r="J50" s="4"/>
      <c r="K50" s="4"/>
      <c r="L50" s="4"/>
      <c r="M50" s="4"/>
      <c r="N50" s="4"/>
      <c r="O50" s="4"/>
      <c r="P50" s="4"/>
      <c r="Q50" s="4"/>
      <c r="R50" s="4"/>
      <c r="S50" s="4"/>
      <c r="T50" s="4"/>
      <c r="U50" s="4"/>
      <c r="V50" s="4"/>
      <c r="W50" s="4"/>
      <c r="X50" s="4"/>
      <c r="Y50" s="4"/>
      <c r="Z50" s="4"/>
      <c r="AA50" s="4"/>
      <c r="AB50" s="4"/>
    </row>
    <row r="51" spans="2:28">
      <c r="B51" s="4"/>
      <c r="C51" s="4"/>
      <c r="D51" s="4"/>
      <c r="E51" s="4"/>
      <c r="F51" s="4"/>
      <c r="G51" s="4"/>
      <c r="H51" s="4"/>
      <c r="I51" s="4"/>
      <c r="J51" s="4"/>
      <c r="K51" s="4"/>
      <c r="L51" s="4"/>
      <c r="M51" s="4"/>
      <c r="N51" s="4"/>
      <c r="O51" s="4"/>
      <c r="P51" s="4"/>
      <c r="Q51" s="4"/>
      <c r="R51" s="4"/>
      <c r="S51" s="4"/>
      <c r="T51" s="4"/>
      <c r="U51" s="4"/>
      <c r="V51" s="4"/>
      <c r="W51" s="4"/>
      <c r="X51" s="4"/>
      <c r="Y51" s="4"/>
      <c r="Z51" s="4"/>
      <c r="AA51" s="4"/>
      <c r="AB51" s="4"/>
    </row>
    <row r="52" spans="2:28">
      <c r="B52" s="4"/>
      <c r="C52" s="4"/>
      <c r="D52" s="4"/>
      <c r="E52" s="4"/>
      <c r="F52" s="4"/>
      <c r="G52" s="4"/>
      <c r="H52" s="4"/>
      <c r="I52" s="4"/>
      <c r="J52" s="4"/>
      <c r="K52" s="4"/>
      <c r="L52" s="4"/>
      <c r="M52" s="4"/>
      <c r="N52" s="4"/>
      <c r="O52" s="4"/>
      <c r="P52" s="4"/>
      <c r="Q52" s="4"/>
      <c r="R52" s="4"/>
      <c r="S52" s="4"/>
      <c r="T52" s="4"/>
      <c r="U52" s="4"/>
      <c r="V52" s="4"/>
      <c r="W52" s="4"/>
      <c r="X52" s="4"/>
      <c r="Y52" s="4"/>
      <c r="Z52" s="4"/>
      <c r="AA52" s="4"/>
      <c r="AB52" s="4"/>
    </row>
    <row r="53" spans="2:28">
      <c r="B53" s="4"/>
      <c r="C53" s="4"/>
      <c r="D53" s="4"/>
      <c r="E53" s="4"/>
      <c r="F53" s="4"/>
      <c r="G53" s="4"/>
      <c r="H53" s="4"/>
      <c r="I53" s="4"/>
      <c r="J53" s="4"/>
      <c r="K53" s="4"/>
      <c r="L53" s="4"/>
      <c r="M53" s="4"/>
      <c r="N53" s="4"/>
      <c r="O53" s="4"/>
      <c r="P53" s="4"/>
      <c r="Q53" s="4"/>
      <c r="R53" s="4"/>
      <c r="S53" s="4"/>
      <c r="T53" s="4"/>
      <c r="U53" s="4"/>
      <c r="V53" s="4"/>
      <c r="W53" s="4"/>
      <c r="X53" s="4"/>
      <c r="Y53" s="4"/>
      <c r="Z53" s="4"/>
      <c r="AA53" s="4"/>
      <c r="AB53" s="4"/>
    </row>
    <row r="54" spans="2:28">
      <c r="B54" s="4"/>
      <c r="C54" s="4"/>
      <c r="D54" s="4"/>
      <c r="E54" s="4"/>
      <c r="F54" s="4"/>
      <c r="G54" s="4"/>
      <c r="H54" s="4"/>
      <c r="I54" s="4"/>
      <c r="J54" s="4"/>
      <c r="K54" s="4"/>
      <c r="L54" s="4"/>
      <c r="M54" s="4"/>
      <c r="N54" s="4"/>
      <c r="O54" s="4"/>
      <c r="P54" s="4"/>
      <c r="Q54" s="4"/>
      <c r="R54" s="4"/>
      <c r="S54" s="4"/>
      <c r="T54" s="4"/>
      <c r="U54" s="4"/>
      <c r="V54" s="4"/>
      <c r="W54" s="4"/>
      <c r="X54" s="4"/>
      <c r="Y54" s="4"/>
      <c r="Z54" s="4"/>
      <c r="AA54" s="4"/>
      <c r="AB54" s="4"/>
    </row>
    <row r="55" spans="2:28">
      <c r="B55" s="4"/>
      <c r="C55" s="4"/>
      <c r="D55" s="4"/>
      <c r="E55" s="4"/>
      <c r="F55" s="4"/>
      <c r="G55" s="4"/>
      <c r="H55" s="4"/>
      <c r="I55" s="4"/>
      <c r="J55" s="4"/>
      <c r="K55" s="4"/>
      <c r="L55" s="4"/>
      <c r="M55" s="4"/>
      <c r="N55" s="4"/>
      <c r="O55" s="4"/>
      <c r="P55" s="4"/>
      <c r="Q55" s="4"/>
      <c r="R55" s="4"/>
      <c r="S55" s="4"/>
      <c r="T55" s="4"/>
      <c r="U55" s="4"/>
      <c r="V55" s="4"/>
      <c r="W55" s="4"/>
      <c r="X55" s="4"/>
      <c r="Y55" s="4"/>
      <c r="Z55" s="4"/>
      <c r="AA55" s="4"/>
      <c r="AB55" s="4"/>
    </row>
    <row r="56" spans="2:28">
      <c r="B56" s="4"/>
      <c r="C56" s="4"/>
      <c r="D56" s="4"/>
      <c r="E56" s="4"/>
      <c r="F56" s="4"/>
      <c r="G56" s="4"/>
      <c r="H56" s="4"/>
      <c r="I56" s="4"/>
      <c r="J56" s="4"/>
      <c r="K56" s="4"/>
      <c r="L56" s="4"/>
      <c r="M56" s="4"/>
      <c r="N56" s="4"/>
      <c r="O56" s="4"/>
      <c r="P56" s="4"/>
      <c r="Q56" s="4"/>
      <c r="R56" s="4"/>
      <c r="S56" s="4"/>
      <c r="T56" s="4"/>
      <c r="U56" s="4"/>
      <c r="V56" s="4"/>
      <c r="W56" s="4"/>
      <c r="X56" s="4"/>
      <c r="Y56" s="4"/>
      <c r="Z56" s="4"/>
      <c r="AA56" s="4"/>
      <c r="AB56" s="4"/>
    </row>
    <row r="57" spans="2:28">
      <c r="B57" s="4"/>
      <c r="C57" s="4"/>
      <c r="D57" s="4"/>
      <c r="E57" s="4"/>
      <c r="F57" s="4"/>
      <c r="G57" s="4"/>
      <c r="H57" s="4"/>
      <c r="I57" s="4"/>
      <c r="J57" s="4"/>
      <c r="K57" s="4"/>
      <c r="L57" s="4"/>
      <c r="M57" s="4"/>
      <c r="N57" s="4"/>
      <c r="O57" s="4"/>
      <c r="P57" s="4"/>
      <c r="Q57" s="4"/>
      <c r="R57" s="4"/>
      <c r="S57" s="4"/>
      <c r="T57" s="4"/>
      <c r="U57" s="4"/>
      <c r="V57" s="4"/>
      <c r="W57" s="4"/>
      <c r="X57" s="4"/>
      <c r="Y57" s="4"/>
      <c r="Z57" s="4"/>
      <c r="AA57" s="4"/>
      <c r="AB57" s="4"/>
    </row>
    <row r="58" spans="2:28">
      <c r="B58" s="4"/>
      <c r="C58" s="4"/>
      <c r="D58" s="4"/>
      <c r="E58" s="4"/>
      <c r="F58" s="4"/>
      <c r="G58" s="4"/>
      <c r="H58" s="4"/>
      <c r="I58" s="4"/>
      <c r="J58" s="4"/>
      <c r="K58" s="4"/>
      <c r="L58" s="4"/>
      <c r="M58" s="4"/>
      <c r="N58" s="4"/>
      <c r="O58" s="4"/>
      <c r="P58" s="4"/>
      <c r="Q58" s="4"/>
      <c r="R58" s="4"/>
      <c r="S58" s="4"/>
      <c r="T58" s="4"/>
      <c r="U58" s="4"/>
      <c r="V58" s="4"/>
      <c r="W58" s="4"/>
      <c r="X58" s="4"/>
      <c r="Y58" s="4"/>
      <c r="Z58" s="4"/>
      <c r="AA58" s="4"/>
      <c r="AB58" s="4"/>
    </row>
    <row r="59" spans="2:28">
      <c r="B59" s="4"/>
      <c r="C59" s="4"/>
      <c r="D59" s="4"/>
      <c r="E59" s="4"/>
      <c r="F59" s="4"/>
      <c r="G59" s="4"/>
      <c r="H59" s="4"/>
      <c r="I59" s="4"/>
      <c r="J59" s="4"/>
      <c r="K59" s="4"/>
      <c r="L59" s="4"/>
      <c r="M59" s="4"/>
      <c r="N59" s="4"/>
      <c r="O59" s="4"/>
      <c r="P59" s="4"/>
      <c r="Q59" s="4"/>
      <c r="R59" s="4"/>
      <c r="S59" s="4"/>
      <c r="T59" s="4"/>
      <c r="U59" s="4"/>
      <c r="V59" s="4"/>
      <c r="W59" s="4"/>
      <c r="X59" s="4"/>
      <c r="Y59" s="4"/>
      <c r="Z59" s="4"/>
      <c r="AA59" s="4"/>
      <c r="AB59" s="4"/>
    </row>
    <row r="60" spans="2:28">
      <c r="B60" s="4"/>
      <c r="C60" s="4"/>
      <c r="D60" s="4"/>
      <c r="E60" s="4"/>
      <c r="F60" s="4"/>
      <c r="G60" s="4"/>
      <c r="H60" s="4"/>
      <c r="I60" s="4"/>
      <c r="J60" s="4"/>
      <c r="K60" s="4"/>
      <c r="L60" s="4"/>
      <c r="M60" s="4"/>
      <c r="N60" s="4"/>
      <c r="O60" s="4"/>
      <c r="P60" s="4"/>
      <c r="Q60" s="4"/>
      <c r="R60" s="4"/>
      <c r="S60" s="4"/>
      <c r="T60" s="4"/>
      <c r="U60" s="4"/>
      <c r="V60" s="4"/>
      <c r="W60" s="4"/>
      <c r="X60" s="4"/>
      <c r="Y60" s="4"/>
      <c r="Z60" s="4"/>
      <c r="AA60" s="4"/>
      <c r="AB60" s="4"/>
    </row>
    <row r="61" spans="2:28">
      <c r="B61" s="4"/>
      <c r="C61" s="4"/>
      <c r="D61" s="4"/>
      <c r="E61" s="4"/>
      <c r="F61" s="4"/>
      <c r="G61" s="4"/>
      <c r="H61" s="4"/>
      <c r="I61" s="4"/>
      <c r="J61" s="4"/>
      <c r="K61" s="4"/>
      <c r="L61" s="4"/>
      <c r="M61" s="4"/>
      <c r="N61" s="4"/>
      <c r="O61" s="4"/>
      <c r="P61" s="4"/>
      <c r="Q61" s="4"/>
      <c r="R61" s="4"/>
      <c r="S61" s="4"/>
      <c r="T61" s="4"/>
      <c r="U61" s="4"/>
      <c r="V61" s="4"/>
      <c r="W61" s="4"/>
      <c r="X61" s="4"/>
      <c r="Y61" s="4"/>
      <c r="Z61" s="4"/>
      <c r="AA61" s="4"/>
      <c r="AB61" s="4"/>
    </row>
    <row r="62" spans="2:28">
      <c r="B62" s="4"/>
      <c r="C62" s="4"/>
      <c r="D62" s="4"/>
      <c r="E62" s="4"/>
      <c r="F62" s="4"/>
      <c r="G62" s="4"/>
      <c r="H62" s="4"/>
      <c r="I62" s="4"/>
      <c r="J62" s="4"/>
      <c r="K62" s="4"/>
      <c r="L62" s="4"/>
      <c r="M62" s="4"/>
      <c r="N62" s="4"/>
      <c r="O62" s="4"/>
      <c r="P62" s="4"/>
      <c r="Q62" s="4"/>
      <c r="R62" s="4"/>
      <c r="S62" s="4"/>
      <c r="T62" s="4"/>
      <c r="U62" s="4"/>
      <c r="V62" s="4"/>
      <c r="W62" s="4"/>
      <c r="X62" s="4"/>
      <c r="Y62" s="4"/>
      <c r="Z62" s="4"/>
      <c r="AA62" s="4"/>
      <c r="AB62" s="4"/>
    </row>
    <row r="63" spans="2:28">
      <c r="B63" s="4"/>
      <c r="C63" s="4"/>
      <c r="D63" s="4"/>
      <c r="E63" s="4"/>
      <c r="F63" s="4"/>
      <c r="G63" s="4"/>
      <c r="H63" s="4"/>
      <c r="I63" s="4"/>
      <c r="J63" s="4"/>
      <c r="K63" s="4"/>
      <c r="L63" s="4"/>
      <c r="M63" s="4"/>
      <c r="N63" s="4"/>
      <c r="O63" s="4"/>
      <c r="P63" s="4"/>
      <c r="Q63" s="4"/>
      <c r="R63" s="4"/>
      <c r="S63" s="4"/>
      <c r="T63" s="4"/>
      <c r="U63" s="4"/>
      <c r="V63" s="4"/>
      <c r="W63" s="4"/>
      <c r="X63" s="4"/>
      <c r="Y63" s="4"/>
      <c r="Z63" s="4"/>
      <c r="AA63" s="4"/>
      <c r="AB63" s="4"/>
    </row>
    <row r="64" spans="2:28">
      <c r="B64" s="4"/>
      <c r="C64" s="4"/>
      <c r="D64" s="4"/>
      <c r="E64" s="4"/>
      <c r="F64" s="4"/>
      <c r="G64" s="4"/>
      <c r="H64" s="4"/>
      <c r="I64" s="4"/>
      <c r="J64" s="4"/>
      <c r="K64" s="4"/>
      <c r="L64" s="4"/>
      <c r="M64" s="4"/>
      <c r="N64" s="4"/>
      <c r="O64" s="4"/>
      <c r="P64" s="4"/>
      <c r="Q64" s="4"/>
      <c r="R64" s="4"/>
      <c r="S64" s="4"/>
      <c r="T64" s="4"/>
      <c r="U64" s="4"/>
      <c r="V64" s="4"/>
      <c r="W64" s="4"/>
      <c r="X64" s="4"/>
      <c r="Y64" s="4"/>
      <c r="Z64" s="4"/>
      <c r="AA64" s="4"/>
      <c r="AB64" s="4"/>
    </row>
    <row r="65" spans="2:28">
      <c r="B65" s="4"/>
      <c r="C65" s="4"/>
      <c r="D65" s="4"/>
      <c r="E65" s="4"/>
      <c r="F65" s="4"/>
      <c r="G65" s="4"/>
      <c r="H65" s="4"/>
      <c r="I65" s="4"/>
      <c r="J65" s="4"/>
      <c r="K65" s="4"/>
      <c r="L65" s="4"/>
      <c r="M65" s="4"/>
      <c r="N65" s="4"/>
      <c r="O65" s="4"/>
      <c r="P65" s="4"/>
      <c r="Q65" s="4"/>
      <c r="R65" s="4"/>
      <c r="S65" s="4"/>
      <c r="T65" s="4"/>
      <c r="U65" s="4"/>
      <c r="V65" s="4"/>
      <c r="W65" s="4"/>
      <c r="X65" s="4"/>
      <c r="Y65" s="4"/>
      <c r="Z65" s="4"/>
      <c r="AA65" s="4"/>
      <c r="AB65" s="4"/>
    </row>
    <row r="66" spans="2:28">
      <c r="B66" s="4"/>
      <c r="C66" s="4"/>
      <c r="D66" s="4"/>
      <c r="E66" s="4"/>
      <c r="F66" s="4"/>
      <c r="G66" s="4"/>
      <c r="H66" s="4"/>
      <c r="I66" s="4"/>
      <c r="J66" s="4"/>
      <c r="K66" s="4"/>
      <c r="L66" s="4"/>
      <c r="M66" s="4"/>
      <c r="N66" s="4"/>
      <c r="O66" s="4"/>
      <c r="P66" s="4"/>
      <c r="Q66" s="4"/>
      <c r="R66" s="4"/>
      <c r="S66" s="4"/>
      <c r="T66" s="4"/>
      <c r="U66" s="4"/>
      <c r="V66" s="4"/>
      <c r="W66" s="4"/>
      <c r="X66" s="4"/>
      <c r="Y66" s="4"/>
      <c r="Z66" s="4"/>
      <c r="AA66" s="4"/>
      <c r="AB66" s="4"/>
    </row>
    <row r="67" spans="2:28">
      <c r="B67" s="4"/>
      <c r="C67" s="4"/>
      <c r="D67" s="4"/>
      <c r="E67" s="4"/>
      <c r="F67" s="4"/>
      <c r="G67" s="4"/>
      <c r="H67" s="4"/>
      <c r="I67" s="4"/>
      <c r="J67" s="4"/>
      <c r="K67" s="4"/>
      <c r="L67" s="4"/>
      <c r="M67" s="4"/>
      <c r="N67" s="4"/>
      <c r="O67" s="4"/>
      <c r="P67" s="4"/>
      <c r="Q67" s="4"/>
      <c r="R67" s="4"/>
      <c r="S67" s="4"/>
      <c r="T67" s="4"/>
      <c r="U67" s="4"/>
      <c r="V67" s="4"/>
      <c r="W67" s="4"/>
      <c r="X67" s="4"/>
      <c r="Y67" s="4"/>
      <c r="Z67" s="4"/>
      <c r="AA67" s="4"/>
      <c r="AB67" s="4"/>
    </row>
    <row r="68" spans="2:28">
      <c r="B68" s="4"/>
      <c r="C68" s="4"/>
      <c r="D68" s="4"/>
      <c r="E68" s="4"/>
      <c r="F68" s="4"/>
      <c r="G68" s="4"/>
      <c r="H68" s="4"/>
      <c r="I68" s="4"/>
      <c r="J68" s="4"/>
      <c r="K68" s="4"/>
      <c r="L68" s="4"/>
      <c r="M68" s="4"/>
      <c r="N68" s="4"/>
      <c r="O68" s="4"/>
      <c r="P68" s="4"/>
      <c r="Q68" s="4"/>
      <c r="R68" s="4"/>
      <c r="S68" s="4"/>
      <c r="T68" s="4"/>
      <c r="U68" s="4"/>
      <c r="V68" s="4"/>
      <c r="W68" s="4"/>
      <c r="X68" s="4"/>
      <c r="Y68" s="4"/>
      <c r="Z68" s="4"/>
      <c r="AA68" s="4"/>
      <c r="AB68" s="4"/>
    </row>
    <row r="69" spans="2:28">
      <c r="B69" s="4"/>
      <c r="C69" s="4"/>
      <c r="D69" s="4"/>
      <c r="E69" s="4"/>
      <c r="F69" s="4"/>
      <c r="G69" s="4"/>
      <c r="H69" s="4"/>
      <c r="I69" s="4"/>
      <c r="J69" s="4"/>
      <c r="K69" s="4"/>
      <c r="L69" s="4"/>
      <c r="M69" s="4"/>
      <c r="N69" s="4"/>
      <c r="O69" s="4"/>
      <c r="P69" s="4"/>
      <c r="Q69" s="4"/>
      <c r="R69" s="4"/>
      <c r="S69" s="4"/>
      <c r="T69" s="4"/>
      <c r="U69" s="4"/>
      <c r="V69" s="4"/>
      <c r="W69" s="4"/>
      <c r="X69" s="4"/>
      <c r="Y69" s="4"/>
      <c r="Z69" s="4"/>
      <c r="AA69" s="4"/>
      <c r="AB69" s="4"/>
    </row>
    <row r="70" spans="2:28">
      <c r="B70" s="4"/>
      <c r="C70" s="4"/>
      <c r="D70" s="4"/>
      <c r="E70" s="4"/>
      <c r="F70" s="4"/>
      <c r="G70" s="4"/>
      <c r="H70" s="4"/>
      <c r="I70" s="4"/>
      <c r="J70" s="4"/>
      <c r="K70" s="4"/>
      <c r="L70" s="4"/>
      <c r="M70" s="4"/>
      <c r="N70" s="4"/>
      <c r="O70" s="4"/>
      <c r="P70" s="4"/>
      <c r="Q70" s="4"/>
      <c r="R70" s="4"/>
      <c r="S70" s="4"/>
      <c r="T70" s="4"/>
      <c r="U70" s="4"/>
      <c r="V70" s="4"/>
      <c r="W70" s="4"/>
      <c r="X70" s="4"/>
      <c r="Y70" s="4"/>
      <c r="Z70" s="4"/>
      <c r="AA70" s="4"/>
      <c r="AB70" s="4"/>
    </row>
    <row r="71" spans="2:28">
      <c r="B71" s="4"/>
      <c r="C71" s="4"/>
      <c r="D71" s="4"/>
      <c r="E71" s="4"/>
      <c r="F71" s="4"/>
      <c r="G71" s="4"/>
      <c r="H71" s="4"/>
      <c r="I71" s="4"/>
      <c r="J71" s="4"/>
      <c r="K71" s="4"/>
      <c r="L71" s="4"/>
      <c r="M71" s="4"/>
      <c r="N71" s="4"/>
      <c r="O71" s="4"/>
      <c r="P71" s="4"/>
      <c r="Q71" s="4"/>
      <c r="R71" s="4"/>
      <c r="S71" s="4"/>
      <c r="T71" s="4"/>
      <c r="U71" s="4"/>
      <c r="V71" s="4"/>
      <c r="W71" s="4"/>
      <c r="X71" s="4"/>
      <c r="Y71" s="4"/>
      <c r="Z71" s="4"/>
      <c r="AA71" s="4"/>
      <c r="AB71" s="4"/>
    </row>
    <row r="72" spans="2:28">
      <c r="B72" s="4"/>
      <c r="C72" s="4"/>
      <c r="D72" s="4"/>
      <c r="E72" s="4"/>
      <c r="F72" s="4"/>
      <c r="G72" s="4"/>
      <c r="H72" s="4"/>
      <c r="I72" s="4"/>
      <c r="J72" s="4"/>
      <c r="K72" s="4"/>
      <c r="L72" s="4"/>
      <c r="M72" s="4"/>
      <c r="N72" s="4"/>
      <c r="O72" s="4"/>
      <c r="P72" s="4"/>
      <c r="Q72" s="4"/>
      <c r="R72" s="4"/>
      <c r="S72" s="4"/>
      <c r="T72" s="4"/>
      <c r="U72" s="4"/>
      <c r="V72" s="4"/>
      <c r="W72" s="4"/>
      <c r="X72" s="4"/>
      <c r="Y72" s="4"/>
      <c r="Z72" s="4"/>
      <c r="AA72" s="4"/>
      <c r="AB72" s="4"/>
    </row>
    <row r="73" spans="2:28">
      <c r="B73" s="4"/>
      <c r="C73" s="4"/>
      <c r="D73" s="4"/>
      <c r="E73" s="4"/>
      <c r="F73" s="4"/>
      <c r="G73" s="4"/>
      <c r="H73" s="4"/>
      <c r="I73" s="4"/>
      <c r="J73" s="4"/>
      <c r="K73" s="4"/>
      <c r="L73" s="4"/>
      <c r="M73" s="4"/>
      <c r="N73" s="4"/>
      <c r="O73" s="4"/>
      <c r="P73" s="4"/>
      <c r="Q73" s="4"/>
      <c r="R73" s="4"/>
      <c r="S73" s="4"/>
      <c r="T73" s="4"/>
      <c r="U73" s="4"/>
      <c r="V73" s="4"/>
      <c r="W73" s="4"/>
      <c r="X73" s="4"/>
      <c r="Y73" s="4"/>
      <c r="Z73" s="4"/>
      <c r="AA73" s="4"/>
      <c r="AB73" s="4"/>
    </row>
    <row r="74" spans="2:28">
      <c r="B74" s="4"/>
      <c r="C74" s="4"/>
      <c r="D74" s="4"/>
      <c r="E74" s="4"/>
      <c r="F74" s="4"/>
      <c r="G74" s="4"/>
      <c r="H74" s="4"/>
      <c r="I74" s="4"/>
      <c r="J74" s="4"/>
      <c r="K74" s="4"/>
      <c r="L74" s="4"/>
      <c r="M74" s="4"/>
      <c r="N74" s="4"/>
      <c r="O74" s="4"/>
      <c r="P74" s="4"/>
      <c r="Q74" s="4"/>
      <c r="R74" s="4"/>
      <c r="S74" s="4"/>
      <c r="T74" s="4"/>
      <c r="U74" s="4"/>
      <c r="V74" s="4"/>
      <c r="W74" s="4"/>
      <c r="X74" s="4"/>
      <c r="Y74" s="4"/>
      <c r="Z74" s="4"/>
      <c r="AA74" s="4"/>
      <c r="AB74" s="4"/>
    </row>
    <row r="75" spans="2:28">
      <c r="B75" s="4"/>
      <c r="C75" s="4"/>
      <c r="D75" s="4"/>
      <c r="E75" s="4"/>
      <c r="F75" s="4"/>
      <c r="G75" s="4"/>
      <c r="H75" s="4"/>
      <c r="I75" s="4"/>
      <c r="J75" s="4"/>
      <c r="K75" s="4"/>
      <c r="L75" s="4"/>
      <c r="M75" s="4"/>
      <c r="N75" s="4"/>
      <c r="O75" s="4"/>
      <c r="P75" s="4"/>
      <c r="Q75" s="4"/>
      <c r="R75" s="4"/>
      <c r="S75" s="4"/>
      <c r="T75" s="4"/>
      <c r="U75" s="4"/>
      <c r="V75" s="4"/>
      <c r="W75" s="4"/>
      <c r="X75" s="4"/>
      <c r="Y75" s="4"/>
      <c r="Z75" s="4"/>
      <c r="AA75" s="4"/>
      <c r="AB75" s="4"/>
    </row>
    <row r="76" spans="2:28">
      <c r="B76" s="4"/>
      <c r="C76" s="4"/>
      <c r="D76" s="4"/>
      <c r="E76" s="4"/>
      <c r="F76" s="4"/>
      <c r="G76" s="4"/>
      <c r="H76" s="4"/>
      <c r="I76" s="4"/>
      <c r="J76" s="4"/>
      <c r="K76" s="4"/>
      <c r="L76" s="4"/>
      <c r="M76" s="4"/>
      <c r="N76" s="4"/>
      <c r="O76" s="4"/>
      <c r="P76" s="4"/>
      <c r="Q76" s="4"/>
      <c r="R76" s="4"/>
      <c r="S76" s="4"/>
      <c r="T76" s="4"/>
      <c r="U76" s="4"/>
      <c r="V76" s="4"/>
      <c r="W76" s="4"/>
      <c r="X76" s="4"/>
      <c r="Y76" s="4"/>
      <c r="Z76" s="4"/>
      <c r="AA76" s="4"/>
      <c r="AB76" s="4"/>
    </row>
    <row r="77" spans="2:28">
      <c r="B77" s="4"/>
      <c r="C77" s="4"/>
      <c r="D77" s="4"/>
      <c r="E77" s="4"/>
      <c r="F77" s="4"/>
      <c r="G77" s="4"/>
      <c r="H77" s="4"/>
      <c r="I77" s="4"/>
      <c r="J77" s="4"/>
      <c r="K77" s="4"/>
      <c r="L77" s="4"/>
      <c r="M77" s="4"/>
      <c r="N77" s="4"/>
      <c r="O77" s="4"/>
      <c r="P77" s="4"/>
      <c r="Q77" s="4"/>
      <c r="R77" s="4"/>
      <c r="S77" s="4"/>
      <c r="T77" s="4"/>
      <c r="U77" s="4"/>
      <c r="V77" s="4"/>
      <c r="W77" s="4"/>
      <c r="X77" s="4"/>
      <c r="Y77" s="4"/>
      <c r="Z77" s="4"/>
      <c r="AA77" s="4"/>
      <c r="AB77" s="4"/>
    </row>
    <row r="78" spans="2:28">
      <c r="B78" s="4"/>
      <c r="C78" s="4"/>
      <c r="D78" s="4"/>
      <c r="E78" s="4"/>
      <c r="F78" s="4"/>
      <c r="G78" s="4"/>
      <c r="H78" s="4"/>
      <c r="I78" s="4"/>
      <c r="J78" s="4"/>
      <c r="K78" s="4"/>
      <c r="L78" s="4"/>
      <c r="M78" s="4"/>
      <c r="N78" s="4"/>
      <c r="O78" s="4"/>
      <c r="P78" s="4"/>
      <c r="Q78" s="4"/>
      <c r="R78" s="4"/>
      <c r="S78" s="4"/>
      <c r="T78" s="4"/>
      <c r="U78" s="4"/>
      <c r="V78" s="4"/>
      <c r="W78" s="4"/>
      <c r="X78" s="4"/>
      <c r="Y78" s="4"/>
      <c r="Z78" s="4"/>
      <c r="AA78" s="4"/>
      <c r="AB78" s="4"/>
    </row>
    <row r="79" spans="2:28">
      <c r="B79" s="4"/>
      <c r="C79" s="4"/>
      <c r="D79" s="4"/>
      <c r="E79" s="4"/>
      <c r="F79" s="4"/>
      <c r="G79" s="4"/>
      <c r="H79" s="4"/>
      <c r="I79" s="4"/>
      <c r="J79" s="4"/>
      <c r="K79" s="4"/>
      <c r="L79" s="4"/>
      <c r="M79" s="4"/>
      <c r="N79" s="4"/>
      <c r="O79" s="4"/>
      <c r="P79" s="4"/>
      <c r="Q79" s="4"/>
      <c r="R79" s="4"/>
      <c r="S79" s="4"/>
      <c r="T79" s="4"/>
      <c r="U79" s="4"/>
      <c r="V79" s="4"/>
      <c r="W79" s="4"/>
      <c r="X79" s="4"/>
      <c r="Y79" s="4"/>
      <c r="Z79" s="4"/>
      <c r="AA79" s="4"/>
      <c r="AB79" s="4"/>
    </row>
    <row r="80" spans="2:28">
      <c r="B80" s="4"/>
      <c r="C80" s="4"/>
      <c r="D80" s="4"/>
      <c r="E80" s="4"/>
      <c r="F80" s="4"/>
      <c r="G80" s="4"/>
      <c r="H80" s="4"/>
      <c r="I80" s="4"/>
      <c r="J80" s="4"/>
      <c r="K80" s="4"/>
      <c r="L80" s="4"/>
      <c r="M80" s="4"/>
      <c r="N80" s="4"/>
      <c r="O80" s="4"/>
      <c r="P80" s="4"/>
      <c r="Q80" s="4"/>
      <c r="R80" s="4"/>
      <c r="S80" s="4"/>
      <c r="T80" s="4"/>
      <c r="U80" s="4"/>
      <c r="V80" s="4"/>
      <c r="W80" s="4"/>
      <c r="X80" s="4"/>
      <c r="Y80" s="4"/>
      <c r="Z80" s="4"/>
      <c r="AA80" s="4"/>
      <c r="AB80" s="4"/>
    </row>
    <row r="81" spans="2:28">
      <c r="B81" s="4"/>
      <c r="C81" s="4"/>
      <c r="D81" s="4"/>
      <c r="E81" s="4"/>
      <c r="F81" s="4"/>
      <c r="G81" s="4"/>
      <c r="H81" s="4"/>
      <c r="I81" s="4"/>
      <c r="J81" s="4"/>
      <c r="K81" s="4"/>
      <c r="L81" s="4"/>
      <c r="M81" s="4"/>
      <c r="N81" s="4"/>
      <c r="O81" s="4"/>
      <c r="P81" s="4"/>
      <c r="Q81" s="4"/>
      <c r="R81" s="4"/>
      <c r="S81" s="4"/>
      <c r="T81" s="4"/>
      <c r="U81" s="4"/>
      <c r="V81" s="4"/>
      <c r="W81" s="4"/>
      <c r="X81" s="4"/>
      <c r="Y81" s="4"/>
      <c r="Z81" s="4"/>
      <c r="AA81" s="4"/>
      <c r="AB81" s="4"/>
    </row>
    <row r="82" spans="2:28">
      <c r="B82" s="4"/>
      <c r="C82" s="4"/>
      <c r="D82" s="4"/>
      <c r="E82" s="4"/>
      <c r="F82" s="4"/>
      <c r="G82" s="4"/>
      <c r="H82" s="4"/>
      <c r="I82" s="4"/>
      <c r="J82" s="4"/>
      <c r="K82" s="4"/>
      <c r="L82" s="4"/>
      <c r="M82" s="4"/>
      <c r="N82" s="4"/>
      <c r="O82" s="4"/>
      <c r="P82" s="4"/>
      <c r="Q82" s="4"/>
      <c r="R82" s="4"/>
      <c r="S82" s="4"/>
      <c r="T82" s="4"/>
      <c r="U82" s="4"/>
      <c r="V82" s="4"/>
      <c r="W82" s="4"/>
      <c r="X82" s="4"/>
      <c r="Y82" s="4"/>
      <c r="Z82" s="4"/>
      <c r="AA82" s="4"/>
      <c r="AB82" s="4"/>
    </row>
    <row r="83" spans="2:28">
      <c r="B83" s="4"/>
      <c r="C83" s="4"/>
      <c r="D83" s="4"/>
      <c r="E83" s="4"/>
      <c r="F83" s="4"/>
      <c r="G83" s="4"/>
      <c r="H83" s="4"/>
      <c r="I83" s="4"/>
      <c r="J83" s="4"/>
      <c r="K83" s="4"/>
      <c r="L83" s="4"/>
      <c r="M83" s="4"/>
      <c r="N83" s="4"/>
      <c r="O83" s="4"/>
      <c r="P83" s="4"/>
      <c r="Q83" s="4"/>
      <c r="R83" s="4"/>
      <c r="S83" s="4"/>
      <c r="T83" s="4"/>
      <c r="U83" s="4"/>
      <c r="V83" s="4"/>
      <c r="W83" s="4"/>
      <c r="X83" s="4"/>
      <c r="Y83" s="4"/>
      <c r="Z83" s="4"/>
      <c r="AA83" s="4"/>
      <c r="AB83" s="4"/>
    </row>
    <row r="84" spans="2:28">
      <c r="B84" s="4"/>
      <c r="C84" s="4"/>
      <c r="D84" s="4"/>
      <c r="E84" s="4"/>
      <c r="F84" s="4"/>
      <c r="G84" s="4"/>
      <c r="H84" s="4"/>
      <c r="I84" s="4"/>
      <c r="J84" s="4"/>
      <c r="K84" s="4"/>
      <c r="L84" s="4"/>
      <c r="M84" s="4"/>
      <c r="N84" s="4"/>
      <c r="O84" s="4"/>
      <c r="P84" s="4"/>
      <c r="Q84" s="4"/>
      <c r="R84" s="4"/>
      <c r="S84" s="4"/>
      <c r="T84" s="4"/>
      <c r="U84" s="4"/>
      <c r="V84" s="4"/>
      <c r="W84" s="4"/>
      <c r="X84" s="4"/>
      <c r="Y84" s="4"/>
      <c r="Z84" s="4"/>
      <c r="AA84" s="4"/>
      <c r="AB84" s="4"/>
    </row>
    <row r="85" spans="2:28">
      <c r="B85" s="4"/>
      <c r="C85" s="4"/>
      <c r="D85" s="4"/>
      <c r="E85" s="4"/>
      <c r="F85" s="4"/>
      <c r="G85" s="4"/>
      <c r="H85" s="4"/>
      <c r="I85" s="4"/>
      <c r="J85" s="4"/>
      <c r="K85" s="4"/>
      <c r="L85" s="4"/>
      <c r="M85" s="4"/>
      <c r="N85" s="4"/>
      <c r="O85" s="4"/>
      <c r="P85" s="4"/>
      <c r="Q85" s="4"/>
      <c r="R85" s="4"/>
      <c r="S85" s="4"/>
      <c r="T85" s="4"/>
      <c r="U85" s="4"/>
      <c r="V85" s="4"/>
      <c r="W85" s="4"/>
      <c r="X85" s="4"/>
      <c r="Y85" s="4"/>
      <c r="Z85" s="4"/>
      <c r="AA85" s="4"/>
      <c r="AB85" s="4"/>
    </row>
    <row r="86" spans="2:28">
      <c r="B86" s="4"/>
      <c r="C86" s="4"/>
      <c r="D86" s="4"/>
      <c r="E86" s="4"/>
      <c r="F86" s="4"/>
      <c r="G86" s="4"/>
      <c r="H86" s="4"/>
      <c r="I86" s="4"/>
      <c r="J86" s="4"/>
      <c r="K86" s="4"/>
      <c r="L86" s="4"/>
      <c r="M86" s="4"/>
      <c r="N86" s="4"/>
      <c r="O86" s="4"/>
      <c r="P86" s="4"/>
      <c r="Q86" s="4"/>
      <c r="R86" s="4"/>
      <c r="S86" s="4"/>
      <c r="T86" s="4"/>
      <c r="U86" s="4"/>
      <c r="V86" s="4"/>
      <c r="W86" s="4"/>
      <c r="X86" s="4"/>
      <c r="Y86" s="4"/>
      <c r="Z86" s="4"/>
      <c r="AA86" s="4"/>
      <c r="AB86" s="4"/>
    </row>
    <row r="87" spans="2:28">
      <c r="B87" s="4"/>
      <c r="C87" s="4"/>
      <c r="D87" s="4"/>
      <c r="E87" s="4"/>
      <c r="F87" s="4"/>
      <c r="G87" s="4"/>
      <c r="H87" s="4"/>
      <c r="I87" s="4"/>
      <c r="J87" s="4"/>
      <c r="K87" s="4"/>
      <c r="L87" s="4"/>
      <c r="M87" s="4"/>
      <c r="N87" s="4"/>
      <c r="O87" s="4"/>
      <c r="P87" s="4"/>
      <c r="Q87" s="4"/>
      <c r="R87" s="4"/>
      <c r="S87" s="4"/>
      <c r="T87" s="4"/>
      <c r="U87" s="4"/>
      <c r="V87" s="4"/>
      <c r="W87" s="4"/>
      <c r="X87" s="4"/>
      <c r="Y87" s="4"/>
      <c r="Z87" s="4"/>
      <c r="AA87" s="4"/>
      <c r="AB87" s="4"/>
    </row>
    <row r="88" spans="2:28">
      <c r="B88" s="4"/>
      <c r="C88" s="4"/>
      <c r="D88" s="4"/>
      <c r="E88" s="4"/>
      <c r="F88" s="4"/>
      <c r="G88" s="4"/>
      <c r="H88" s="4"/>
      <c r="I88" s="4"/>
      <c r="J88" s="4"/>
      <c r="K88" s="4"/>
      <c r="L88" s="4"/>
      <c r="M88" s="4"/>
      <c r="N88" s="4"/>
      <c r="O88" s="4"/>
      <c r="P88" s="4"/>
      <c r="Q88" s="4"/>
      <c r="R88" s="4"/>
      <c r="S88" s="4"/>
      <c r="T88" s="4"/>
      <c r="U88" s="4"/>
      <c r="V88" s="4"/>
      <c r="W88" s="4"/>
      <c r="X88" s="4"/>
      <c r="Y88" s="4"/>
      <c r="Z88" s="4"/>
      <c r="AA88" s="4"/>
      <c r="AB88" s="4"/>
    </row>
    <row r="89" spans="2:28">
      <c r="B89" s="4"/>
      <c r="C89" s="4"/>
      <c r="D89" s="4"/>
      <c r="E89" s="4"/>
      <c r="F89" s="4"/>
      <c r="G89" s="4"/>
      <c r="H89" s="4"/>
      <c r="I89" s="4"/>
      <c r="J89" s="4"/>
      <c r="K89" s="4"/>
      <c r="L89" s="4"/>
      <c r="M89" s="4"/>
      <c r="N89" s="4"/>
      <c r="O89" s="4"/>
      <c r="P89" s="4"/>
      <c r="Q89" s="4"/>
      <c r="R89" s="4"/>
      <c r="S89" s="4"/>
      <c r="T89" s="4"/>
      <c r="U89" s="4"/>
      <c r="V89" s="4"/>
      <c r="W89" s="4"/>
      <c r="X89" s="4"/>
      <c r="Y89" s="4"/>
      <c r="Z89" s="4"/>
      <c r="AA89" s="4"/>
      <c r="AB89" s="4"/>
    </row>
    <row r="90" spans="2:28">
      <c r="B90" s="4"/>
      <c r="C90" s="4"/>
      <c r="D90" s="4"/>
      <c r="E90" s="4"/>
      <c r="F90" s="4"/>
      <c r="G90" s="4"/>
      <c r="H90" s="4"/>
      <c r="I90" s="4"/>
      <c r="J90" s="4"/>
      <c r="K90" s="4"/>
      <c r="L90" s="4"/>
      <c r="M90" s="4"/>
      <c r="N90" s="4"/>
      <c r="O90" s="4"/>
      <c r="P90" s="4"/>
      <c r="Q90" s="4"/>
      <c r="R90" s="4"/>
      <c r="S90" s="4"/>
      <c r="T90" s="4"/>
      <c r="U90" s="4"/>
      <c r="V90" s="4"/>
      <c r="W90" s="4"/>
      <c r="X90" s="4"/>
      <c r="Y90" s="4"/>
      <c r="Z90" s="4"/>
      <c r="AA90" s="4"/>
      <c r="AB90" s="4"/>
    </row>
    <row r="91" spans="2:28">
      <c r="B91" s="4"/>
      <c r="C91" s="4"/>
      <c r="D91" s="4"/>
      <c r="E91" s="4"/>
      <c r="F91" s="4"/>
      <c r="G91" s="4"/>
      <c r="H91" s="4"/>
      <c r="I91" s="4"/>
      <c r="J91" s="4"/>
      <c r="K91" s="4"/>
      <c r="L91" s="4"/>
      <c r="M91" s="4"/>
      <c r="N91" s="4"/>
      <c r="O91" s="4"/>
      <c r="P91" s="4"/>
      <c r="Q91" s="4"/>
      <c r="R91" s="4"/>
      <c r="S91" s="4"/>
      <c r="T91" s="4"/>
      <c r="U91" s="4"/>
      <c r="V91" s="4"/>
      <c r="W91" s="4"/>
      <c r="X91" s="4"/>
      <c r="Y91" s="4"/>
      <c r="Z91" s="4"/>
      <c r="AA91" s="4"/>
      <c r="AB91" s="4"/>
    </row>
    <row r="92" spans="2:28">
      <c r="B92" s="4"/>
      <c r="C92" s="4"/>
      <c r="D92" s="4"/>
      <c r="E92" s="4"/>
      <c r="F92" s="4"/>
      <c r="G92" s="4"/>
      <c r="H92" s="4"/>
      <c r="I92" s="4"/>
      <c r="J92" s="4"/>
      <c r="K92" s="4"/>
      <c r="L92" s="4"/>
      <c r="M92" s="4"/>
      <c r="N92" s="4"/>
      <c r="O92" s="4"/>
      <c r="P92" s="4"/>
      <c r="Q92" s="4"/>
      <c r="R92" s="4"/>
      <c r="S92" s="4"/>
      <c r="T92" s="4"/>
      <c r="U92" s="4"/>
      <c r="V92" s="4"/>
      <c r="W92" s="4"/>
      <c r="X92" s="4"/>
      <c r="Y92" s="4"/>
      <c r="Z92" s="4"/>
      <c r="AA92" s="4"/>
      <c r="AB92" s="4"/>
    </row>
    <row r="93" spans="2:28">
      <c r="B93" s="4"/>
      <c r="C93" s="4"/>
      <c r="D93" s="4"/>
      <c r="E93" s="4"/>
      <c r="F93" s="4"/>
      <c r="G93" s="4"/>
      <c r="H93" s="4"/>
      <c r="I93" s="4"/>
      <c r="J93" s="4"/>
      <c r="K93" s="4"/>
      <c r="L93" s="4"/>
      <c r="M93" s="4"/>
      <c r="N93" s="4"/>
      <c r="O93" s="4"/>
      <c r="P93" s="4"/>
      <c r="Q93" s="4"/>
      <c r="R93" s="4"/>
      <c r="S93" s="4"/>
      <c r="T93" s="4"/>
      <c r="U93" s="4"/>
      <c r="V93" s="4"/>
      <c r="W93" s="4"/>
      <c r="X93" s="4"/>
      <c r="Y93" s="4"/>
      <c r="Z93" s="4"/>
      <c r="AA93" s="4"/>
      <c r="AB93" s="4"/>
    </row>
    <row r="94" spans="2:28">
      <c r="B94" s="4"/>
      <c r="C94" s="4"/>
      <c r="D94" s="4"/>
      <c r="E94" s="4"/>
      <c r="F94" s="4"/>
      <c r="G94" s="4"/>
      <c r="H94" s="4"/>
      <c r="I94" s="4"/>
      <c r="J94" s="4"/>
      <c r="K94" s="4"/>
      <c r="L94" s="4"/>
      <c r="M94" s="4"/>
      <c r="N94" s="4"/>
      <c r="O94" s="4"/>
      <c r="P94" s="4"/>
      <c r="Q94" s="4"/>
      <c r="R94" s="4"/>
      <c r="S94" s="4"/>
      <c r="T94" s="4"/>
      <c r="U94" s="4"/>
      <c r="V94" s="4"/>
      <c r="W94" s="4"/>
      <c r="X94" s="4"/>
      <c r="Y94" s="4"/>
      <c r="Z94" s="4"/>
      <c r="AA94" s="4"/>
      <c r="AB94" s="4"/>
    </row>
    <row r="95" spans="2:28">
      <c r="B95" s="4"/>
      <c r="C95" s="4"/>
      <c r="D95" s="4"/>
      <c r="E95" s="4"/>
      <c r="F95" s="4"/>
      <c r="G95" s="4"/>
      <c r="H95" s="4"/>
      <c r="I95" s="4"/>
      <c r="J95" s="4"/>
      <c r="K95" s="4"/>
      <c r="L95" s="4"/>
      <c r="M95" s="4"/>
      <c r="N95" s="4"/>
      <c r="O95" s="4"/>
      <c r="P95" s="4"/>
      <c r="Q95" s="4"/>
      <c r="R95" s="4"/>
      <c r="S95" s="4"/>
      <c r="T95" s="4"/>
      <c r="U95" s="4"/>
      <c r="V95" s="4"/>
      <c r="W95" s="4"/>
      <c r="X95" s="4"/>
      <c r="Y95" s="4"/>
      <c r="Z95" s="4"/>
      <c r="AA95" s="4"/>
      <c r="AB95" s="4"/>
    </row>
    <row r="96" spans="2:28">
      <c r="B96" s="4"/>
      <c r="C96" s="4"/>
      <c r="D96" s="4"/>
      <c r="E96" s="4"/>
      <c r="F96" s="4"/>
      <c r="G96" s="4"/>
      <c r="H96" s="4"/>
      <c r="I96" s="4"/>
      <c r="J96" s="4"/>
      <c r="K96" s="4"/>
      <c r="L96" s="4"/>
      <c r="M96" s="4"/>
      <c r="N96" s="4"/>
      <c r="O96" s="4"/>
      <c r="P96" s="4"/>
      <c r="Q96" s="4"/>
      <c r="R96" s="4"/>
      <c r="S96" s="4"/>
      <c r="T96" s="4"/>
      <c r="U96" s="4"/>
      <c r="V96" s="4"/>
      <c r="W96" s="4"/>
      <c r="X96" s="4"/>
      <c r="Y96" s="4"/>
      <c r="Z96" s="4"/>
      <c r="AA96" s="4"/>
      <c r="AB96" s="4"/>
    </row>
    <row r="97" spans="2:28">
      <c r="B97" s="4"/>
      <c r="C97" s="4"/>
      <c r="D97" s="4"/>
      <c r="E97" s="4"/>
      <c r="F97" s="4"/>
      <c r="G97" s="4"/>
      <c r="H97" s="4"/>
      <c r="I97" s="4"/>
      <c r="J97" s="4"/>
      <c r="K97" s="4"/>
      <c r="L97" s="4"/>
      <c r="M97" s="4"/>
      <c r="N97" s="4"/>
      <c r="O97" s="4"/>
      <c r="P97" s="4"/>
      <c r="Q97" s="4"/>
      <c r="R97" s="4"/>
      <c r="S97" s="4"/>
      <c r="T97" s="4"/>
      <c r="U97" s="4"/>
      <c r="V97" s="4"/>
      <c r="W97" s="4"/>
      <c r="X97" s="4"/>
      <c r="Y97" s="4"/>
      <c r="Z97" s="4"/>
      <c r="AA97" s="4"/>
      <c r="AB97" s="4"/>
    </row>
    <row r="98" spans="2:28">
      <c r="B98" s="4"/>
      <c r="C98" s="4"/>
      <c r="D98" s="4"/>
      <c r="E98" s="4"/>
      <c r="F98" s="4"/>
      <c r="G98" s="4"/>
      <c r="H98" s="4"/>
      <c r="I98" s="4"/>
      <c r="J98" s="4"/>
      <c r="K98" s="4"/>
      <c r="L98" s="4"/>
      <c r="M98" s="4"/>
      <c r="N98" s="4"/>
      <c r="O98" s="4"/>
      <c r="P98" s="4"/>
      <c r="Q98" s="4"/>
      <c r="R98" s="4"/>
      <c r="S98" s="4"/>
      <c r="T98" s="4"/>
      <c r="U98" s="4"/>
      <c r="V98" s="4"/>
      <c r="W98" s="4"/>
      <c r="X98" s="4"/>
      <c r="Y98" s="4"/>
      <c r="Z98" s="4"/>
      <c r="AA98" s="4"/>
      <c r="AB98" s="4"/>
    </row>
    <row r="99" spans="2:28">
      <c r="B99" s="4"/>
      <c r="C99" s="4"/>
      <c r="D99" s="4"/>
      <c r="E99" s="4"/>
      <c r="F99" s="4"/>
      <c r="G99" s="4"/>
      <c r="H99" s="4"/>
      <c r="I99" s="4"/>
      <c r="J99" s="4"/>
      <c r="K99" s="4"/>
      <c r="L99" s="4"/>
      <c r="M99" s="4"/>
      <c r="N99" s="4"/>
      <c r="O99" s="4"/>
      <c r="P99" s="4"/>
      <c r="Q99" s="4"/>
      <c r="R99" s="4"/>
      <c r="S99" s="4"/>
      <c r="T99" s="4"/>
      <c r="U99" s="4"/>
      <c r="V99" s="4"/>
      <c r="W99" s="4"/>
      <c r="X99" s="4"/>
      <c r="Y99" s="4"/>
      <c r="Z99" s="4"/>
      <c r="AA99" s="4"/>
      <c r="AB99" s="4"/>
    </row>
    <row r="100" spans="2:28">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row>
    <row r="101" spans="2:28">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row>
    <row r="102" spans="2:28">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row>
    <row r="103" spans="2:28">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row>
    <row r="104" spans="2:28">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row>
    <row r="105" spans="2:28">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row>
    <row r="106" spans="2:28">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row>
    <row r="107" spans="2:28">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row>
    <row r="108" spans="2:28">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row>
    <row r="109" spans="2:28">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row>
    <row r="110" spans="2:28">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row>
    <row r="111" spans="2:28">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row>
    <row r="112" spans="2:28">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row>
    <row r="113" spans="2:28">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row>
    <row r="114" spans="2:28">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row>
    <row r="115" spans="2:28">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row>
    <row r="116" spans="2:28">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row>
    <row r="117" spans="2:28">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row>
    <row r="118" spans="2:28">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row>
    <row r="119" spans="2:28">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row>
    <row r="120" spans="2:28">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row>
    <row r="121" spans="2:28">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row>
    <row r="122" spans="2:28">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row>
    <row r="123" spans="2:28">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row>
    <row r="124" spans="2:28">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row>
    <row r="125" spans="2:28">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row>
    <row r="126" spans="2:28">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row>
    <row r="127" spans="2:28">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row>
    <row r="128" spans="2:28">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row>
    <row r="129" spans="2:28">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row>
    <row r="130" spans="2:28">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row>
    <row r="131" spans="2:28">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row>
    <row r="132" spans="2:28">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row>
    <row r="133" spans="2:28">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row>
    <row r="134" spans="2:28">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row>
    <row r="135" spans="2:28">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row>
    <row r="136" spans="2:28">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row>
    <row r="137" spans="2:28">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row>
    <row r="138" spans="2:28">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row>
    <row r="139" spans="2:28">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row>
    <row r="140" spans="2:28">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row>
    <row r="141" spans="2:28">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row>
    <row r="142" spans="2:28">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row>
    <row r="143" spans="2:28">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row>
    <row r="144" spans="2:28">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row>
    <row r="145" spans="2:28">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row>
    <row r="146" spans="2:28">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row>
    <row r="147" spans="2:28">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row>
    <row r="148" spans="2:28">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row>
    <row r="149" spans="2:28">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row>
    <row r="150" spans="2:28">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row>
    <row r="151" spans="2:28">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row>
    <row r="152" spans="2:28">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row>
    <row r="153" spans="2:28">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row>
    <row r="154" spans="2:28">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row>
  </sheetData>
  <mergeCells count="4">
    <mergeCell ref="B1:E2"/>
    <mergeCell ref="B10:U10"/>
    <mergeCell ref="B25:D25"/>
    <mergeCell ref="B30:D30"/>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6"/>
  <dimension ref="A1:B33"/>
  <sheetViews>
    <sheetView zoomScale="90" zoomScaleNormal="90" workbookViewId="0">
      <selection activeCell="A2" sqref="A2:B33"/>
    </sheetView>
  </sheetViews>
  <sheetFormatPr baseColWidth="10" defaultColWidth="11" defaultRowHeight="15.5"/>
  <cols>
    <col min="1" max="1" width="16" style="1" customWidth="1"/>
    <col min="2" max="16384" width="11" style="1"/>
  </cols>
  <sheetData>
    <row r="1" spans="1:2" ht="16" thickBot="1">
      <c r="A1" s="1" t="s">
        <v>15</v>
      </c>
    </row>
    <row r="2" spans="1:2" ht="16" thickBot="1">
      <c r="A2" s="3">
        <v>46062</v>
      </c>
      <c r="B2" s="2">
        <v>39682.99</v>
      </c>
    </row>
    <row r="3" spans="1:2" ht="16" thickBot="1">
      <c r="A3" s="3">
        <v>46063</v>
      </c>
      <c r="B3" s="2">
        <v>39688.65</v>
      </c>
    </row>
    <row r="4" spans="1:2" ht="16" thickBot="1">
      <c r="A4" s="3">
        <v>46064</v>
      </c>
      <c r="B4" s="2">
        <v>39694.31</v>
      </c>
    </row>
    <row r="5" spans="1:2" ht="16" thickBot="1">
      <c r="A5" s="3">
        <v>46065</v>
      </c>
      <c r="B5" s="2">
        <v>39699.97</v>
      </c>
    </row>
    <row r="6" spans="1:2" ht="16" thickBot="1">
      <c r="A6" s="3">
        <v>46066</v>
      </c>
      <c r="B6" s="2">
        <v>39705.629999999997</v>
      </c>
    </row>
    <row r="7" spans="1:2" ht="16" thickBot="1">
      <c r="A7" s="3">
        <v>46067</v>
      </c>
      <c r="B7" s="2">
        <v>39711.29</v>
      </c>
    </row>
    <row r="8" spans="1:2" ht="16" thickBot="1">
      <c r="A8" s="3">
        <v>46068</v>
      </c>
      <c r="B8" s="2">
        <v>39716.949999999997</v>
      </c>
    </row>
    <row r="9" spans="1:2" ht="16" thickBot="1">
      <c r="A9" s="3">
        <v>46069</v>
      </c>
      <c r="B9" s="2">
        <v>39722.61</v>
      </c>
    </row>
    <row r="10" spans="1:2" ht="16" thickBot="1">
      <c r="A10" s="3">
        <v>46070</v>
      </c>
      <c r="B10" s="2">
        <v>39728.28</v>
      </c>
    </row>
    <row r="11" spans="1:2" ht="16" thickBot="1">
      <c r="A11" s="3">
        <v>46071</v>
      </c>
      <c r="B11" s="2">
        <v>39733.94</v>
      </c>
    </row>
    <row r="12" spans="1:2" ht="16" thickBot="1">
      <c r="A12" s="3">
        <v>46072</v>
      </c>
      <c r="B12" s="2">
        <v>39739.61</v>
      </c>
    </row>
    <row r="13" spans="1:2" ht="16" thickBot="1">
      <c r="A13" s="3">
        <v>46073</v>
      </c>
      <c r="B13" s="2">
        <v>39745.269999999997</v>
      </c>
    </row>
    <row r="14" spans="1:2" ht="16" thickBot="1">
      <c r="A14" s="3">
        <v>46074</v>
      </c>
      <c r="B14" s="2">
        <v>39750.94</v>
      </c>
    </row>
    <row r="15" spans="1:2" ht="16" thickBot="1">
      <c r="A15" s="3">
        <v>46075</v>
      </c>
      <c r="B15" s="2">
        <v>39756.61</v>
      </c>
    </row>
    <row r="16" spans="1:2" ht="16" thickBot="1">
      <c r="A16" s="3">
        <v>46076</v>
      </c>
      <c r="B16" s="2">
        <v>39762.28</v>
      </c>
    </row>
    <row r="17" spans="1:2" ht="16" thickBot="1">
      <c r="A17" s="3">
        <v>46077</v>
      </c>
      <c r="B17" s="2">
        <v>39767.949999999997</v>
      </c>
    </row>
    <row r="18" spans="1:2" ht="16" thickBot="1">
      <c r="A18" s="3">
        <v>46078</v>
      </c>
      <c r="B18" s="2">
        <v>39773.620000000003</v>
      </c>
    </row>
    <row r="19" spans="1:2" ht="16" thickBot="1">
      <c r="A19" s="3">
        <v>46079</v>
      </c>
      <c r="B19" s="2">
        <v>39779.29</v>
      </c>
    </row>
    <row r="20" spans="1:2" ht="16" thickBot="1">
      <c r="A20" s="3">
        <v>46080</v>
      </c>
      <c r="B20" s="2">
        <v>39784.959999999999</v>
      </c>
    </row>
    <row r="21" spans="1:2" ht="16" thickBot="1">
      <c r="A21" s="3">
        <v>46081</v>
      </c>
      <c r="B21" s="2">
        <v>39790.629999999997</v>
      </c>
    </row>
    <row r="22" spans="1:2" ht="16" thickBot="1">
      <c r="A22" s="3">
        <v>46082</v>
      </c>
      <c r="B22" s="2">
        <v>39796.31</v>
      </c>
    </row>
    <row r="23" spans="1:2" ht="16" thickBot="1">
      <c r="A23" s="3">
        <v>46083</v>
      </c>
      <c r="B23" s="2">
        <v>39801.980000000003</v>
      </c>
    </row>
    <row r="24" spans="1:2" ht="16" thickBot="1">
      <c r="A24" s="3">
        <v>46084</v>
      </c>
      <c r="B24" s="2">
        <v>39807.65</v>
      </c>
    </row>
    <row r="25" spans="1:2" ht="16" thickBot="1">
      <c r="A25" s="3">
        <v>46085</v>
      </c>
      <c r="B25" s="2">
        <v>39813.33</v>
      </c>
    </row>
    <row r="26" spans="1:2" ht="16" thickBot="1">
      <c r="A26" s="3">
        <v>46086</v>
      </c>
      <c r="B26" s="2">
        <v>39819.01</v>
      </c>
    </row>
    <row r="27" spans="1:2" ht="16" thickBot="1">
      <c r="A27" s="3">
        <v>46087</v>
      </c>
      <c r="B27" s="2">
        <v>39824.68</v>
      </c>
    </row>
    <row r="28" spans="1:2" ht="16" thickBot="1">
      <c r="A28" s="3">
        <v>46088</v>
      </c>
      <c r="B28" s="2">
        <v>39830.36</v>
      </c>
    </row>
    <row r="29" spans="1:2" ht="16" thickBot="1">
      <c r="A29" s="3">
        <v>46089</v>
      </c>
      <c r="B29" s="2">
        <v>39836.04</v>
      </c>
    </row>
    <row r="30" spans="1:2" ht="16" thickBot="1">
      <c r="A30" s="3">
        <v>46090</v>
      </c>
      <c r="B30" s="2">
        <v>39841.72</v>
      </c>
    </row>
    <row r="31" spans="1:2" ht="16" thickBot="1">
      <c r="A31" s="3">
        <v>46091</v>
      </c>
      <c r="B31" s="2">
        <v>39841.72</v>
      </c>
    </row>
    <row r="32" spans="1:2" ht="16" thickBot="1">
      <c r="A32" s="3">
        <v>46092</v>
      </c>
      <c r="B32" s="2">
        <v>39841.72</v>
      </c>
    </row>
    <row r="33" spans="1:2" ht="16" thickBot="1">
      <c r="A33" s="3">
        <v>46093</v>
      </c>
      <c r="B33" s="2">
        <v>39841.72</v>
      </c>
    </row>
  </sheetData>
  <pageMargins left="0.7" right="0.7" top="0.75" bottom="0.75" header="0.3" footer="0.3"/>
  <pageSetup orientation="portrait"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Escenario de Inversion</vt:lpstr>
      <vt:lpstr>Datos</vt:lpstr>
      <vt:lpstr>Políticas</vt:lpstr>
      <vt:lpstr>Promos</vt:lpstr>
      <vt:lpstr>Volcan - Villarrica</vt:lpstr>
      <vt:lpstr>Biaut - La Cisterna</vt:lpstr>
      <vt:lpstr>San Nicolás - San Miguel</vt:lpstr>
      <vt:lpstr>Hoja1</vt:lpstr>
      <vt:lpstr>Secundarios</vt:lpstr>
      <vt:lpstr>Carvajal - La Cisterna</vt:lpstr>
      <vt:lpstr>Carvajal - La Cisterna (Ext)</vt:lpstr>
      <vt:lpstr>Don Claudio - La Cisterna</vt:lpstr>
      <vt:lpstr>Don Claudio - La Cisterna (Ext)</vt:lpstr>
      <vt:lpstr>Don Diego - Temuco</vt:lpstr>
      <vt:lpstr>SIMULACION</vt:lpstr>
      <vt:lpstr>UF HOY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Microsoft Office</dc:creator>
  <cp:lastModifiedBy>Raimundo Cobo</cp:lastModifiedBy>
  <cp:lastPrinted>2026-02-18T19:49:01Z</cp:lastPrinted>
  <dcterms:created xsi:type="dcterms:W3CDTF">2018-09-25T13:47:13Z</dcterms:created>
  <dcterms:modified xsi:type="dcterms:W3CDTF">2026-02-18T19:49:14Z</dcterms:modified>
</cp:coreProperties>
</file>