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cd1bc46ac77ef7ec/Escritorio/"/>
    </mc:Choice>
  </mc:AlternateContent>
  <xr:revisionPtr revIDLastSave="0" documentId="8_{AB593550-812A-41F8-B9DD-BA4B0EFB895A}" xr6:coauthVersionLast="47" xr6:coauthVersionMax="47" xr10:uidLastSave="{00000000-0000-0000-0000-000000000000}"/>
  <bookViews>
    <workbookView xWindow="760" yWindow="760" windowWidth="14400" windowHeight="8170" tabRatio="815" xr2:uid="{00000000-000D-0000-FFFF-FFFF00000000}"/>
  </bookViews>
  <sheets>
    <sheet name="Escenario de Inversion" sheetId="65" r:id="rId1"/>
    <sheet name="Políticas" sheetId="87" r:id="rId2"/>
    <sheet name="Promos" sheetId="101" r:id="rId3"/>
    <sheet name="Atelier - Ñuñoa" sheetId="103" r:id="rId4"/>
    <sheet name="Mercado Serrano - Stgo" sheetId="102" r:id="rId5"/>
    <sheet name="Datos" sheetId="71" state="hidden" r:id="rId6"/>
    <sheet name="Plaza Lira - Stgo Centro" sheetId="100" r:id="rId7"/>
    <sheet name="Seminario 2 - Ñuñoa" sheetId="98" r:id="rId8"/>
    <sheet name="San Francisco - Stgo Centro" sheetId="96" r:id="rId9"/>
    <sheet name="Hoja1" sheetId="56" state="hidden" r:id="rId10"/>
    <sheet name="SIMULACIÓN" sheetId="34" r:id="rId11"/>
    <sheet name="UF HOY" sheetId="22" state="hidden" r:id="rId12"/>
  </sheets>
  <definedNames>
    <definedName name="_xlnm._FilterDatabase" localSheetId="3" hidden="1">'Atelier - Ñuñoa'!$A$1:$AE$344</definedName>
    <definedName name="_xlnm._FilterDatabase" localSheetId="4" hidden="1">'Mercado Serrano - Stgo'!$A$1:$AE$66</definedName>
    <definedName name="_xlnm._FilterDatabase" localSheetId="6" hidden="1">'Plaza Lira - Stgo Centro'!$A$1:$AE$49</definedName>
    <definedName name="_xlnm._FilterDatabase" localSheetId="8" hidden="1">'San Francisco - Stgo Centro'!$A$1:$AE$121</definedName>
    <definedName name="_xlnm._FilterDatabase" localSheetId="7" hidden="1">'Seminario 2 - Ñuñoa'!$A$1:$AE$171</definedName>
    <definedName name="_xleta.IF"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U4" i="34" l="1"/>
  <c r="S4" i="34"/>
  <c r="Q4" i="34"/>
  <c r="P4" i="34"/>
  <c r="O4" i="34" s="1"/>
  <c r="M4" i="34"/>
  <c r="R4" i="34" s="1"/>
  <c r="T4" i="34" s="1"/>
  <c r="L4" i="34"/>
  <c r="K4" i="34"/>
  <c r="J4" i="34"/>
  <c r="I4" i="34"/>
  <c r="H4" i="34"/>
  <c r="G4" i="34"/>
  <c r="F4" i="34"/>
  <c r="E4" i="34"/>
  <c r="D4" i="34"/>
  <c r="AB15" i="96"/>
  <c r="Z15" i="96"/>
  <c r="X15" i="96"/>
  <c r="R15" i="96"/>
  <c r="O15" i="96"/>
  <c r="T15" i="96" s="1"/>
  <c r="I15" i="96"/>
  <c r="H15" i="96"/>
  <c r="AB14" i="96"/>
  <c r="Z14" i="96"/>
  <c r="X14" i="96"/>
  <c r="R14" i="96"/>
  <c r="O14" i="96"/>
  <c r="I14" i="96"/>
  <c r="H14" i="96"/>
  <c r="AB19" i="98"/>
  <c r="Z19" i="98"/>
  <c r="X19" i="98"/>
  <c r="R19" i="98"/>
  <c r="O19" i="98"/>
  <c r="N19" i="98"/>
  <c r="I19" i="98"/>
  <c r="H19" i="98"/>
  <c r="AB18" i="98"/>
  <c r="Z18" i="98"/>
  <c r="X18" i="98"/>
  <c r="R18" i="98"/>
  <c r="O18" i="98"/>
  <c r="I18" i="98"/>
  <c r="H18" i="98"/>
  <c r="AB17" i="98"/>
  <c r="Z17" i="98"/>
  <c r="X17" i="98"/>
  <c r="R17" i="98"/>
  <c r="O17" i="98"/>
  <c r="T17" i="98" s="1"/>
  <c r="I17" i="98"/>
  <c r="H17" i="98"/>
  <c r="N4" i="34" l="1"/>
  <c r="N15" i="96"/>
  <c r="P15" i="96" s="1"/>
  <c r="N14" i="96"/>
  <c r="P14" i="96" s="1"/>
  <c r="AC14" i="96"/>
  <c r="AE14" i="96" s="1"/>
  <c r="T14" i="96"/>
  <c r="AC15" i="96"/>
  <c r="AE15" i="96" s="1"/>
  <c r="N17" i="98"/>
  <c r="N18" i="98"/>
  <c r="P18" i="98" s="1"/>
  <c r="P17" i="98"/>
  <c r="Q17" i="98"/>
  <c r="U17" i="98" s="1"/>
  <c r="V17" i="98" s="1"/>
  <c r="W17" i="98" s="1"/>
  <c r="AA17" i="98" s="1"/>
  <c r="P19" i="98"/>
  <c r="AC17" i="98"/>
  <c r="AD17" i="98" s="1"/>
  <c r="Q19" i="98"/>
  <c r="U19" i="98" s="1"/>
  <c r="V19" i="98" s="1"/>
  <c r="W19" i="98" s="1"/>
  <c r="AA19" i="98" s="1"/>
  <c r="T19" i="98"/>
  <c r="Q18" i="98"/>
  <c r="U18" i="98" s="1"/>
  <c r="V18" i="98" s="1"/>
  <c r="W18" i="98" s="1"/>
  <c r="AC18" i="98"/>
  <c r="AE18" i="98" s="1"/>
  <c r="T18" i="98"/>
  <c r="AC19" i="98"/>
  <c r="AE19" i="98" s="1"/>
  <c r="AB13" i="96"/>
  <c r="Z13" i="96"/>
  <c r="X13" i="96"/>
  <c r="R13" i="96"/>
  <c r="O13" i="96"/>
  <c r="I13" i="96"/>
  <c r="H13" i="96"/>
  <c r="AB12" i="96"/>
  <c r="Z12" i="96"/>
  <c r="X12" i="96"/>
  <c r="R12" i="96"/>
  <c r="O12" i="96"/>
  <c r="AC12" i="96" s="1"/>
  <c r="AE12" i="96" s="1"/>
  <c r="I12" i="96"/>
  <c r="H12" i="96"/>
  <c r="O4" i="100"/>
  <c r="AC4" i="100" s="1"/>
  <c r="AE4" i="100" s="1"/>
  <c r="R4" i="100"/>
  <c r="O5" i="100"/>
  <c r="AC5" i="100" s="1"/>
  <c r="AE5" i="100" s="1"/>
  <c r="R5" i="100"/>
  <c r="O6" i="100"/>
  <c r="AC6" i="100" s="1"/>
  <c r="AE6" i="100" s="1"/>
  <c r="R6" i="100"/>
  <c r="O7" i="100"/>
  <c r="AC7" i="100" s="1"/>
  <c r="AE7" i="100" s="1"/>
  <c r="R7" i="100"/>
  <c r="O8" i="100"/>
  <c r="AC8" i="100" s="1"/>
  <c r="AE8" i="100" s="1"/>
  <c r="R8" i="100"/>
  <c r="O9" i="100"/>
  <c r="AC9" i="100" s="1"/>
  <c r="AE9" i="100" s="1"/>
  <c r="R9" i="100"/>
  <c r="O10" i="100"/>
  <c r="AC10" i="100" s="1"/>
  <c r="AE10" i="100" s="1"/>
  <c r="R10" i="100"/>
  <c r="O11" i="100"/>
  <c r="R11" i="100"/>
  <c r="O12" i="100"/>
  <c r="AC12" i="100" s="1"/>
  <c r="AE12" i="100" s="1"/>
  <c r="R12" i="100"/>
  <c r="O13" i="100"/>
  <c r="AC13" i="100" s="1"/>
  <c r="AE13" i="100" s="1"/>
  <c r="R13" i="100"/>
  <c r="O14" i="100"/>
  <c r="AC14" i="100" s="1"/>
  <c r="AE14" i="100" s="1"/>
  <c r="R14" i="100"/>
  <c r="O15" i="100"/>
  <c r="AC15" i="100" s="1"/>
  <c r="AE15" i="100" s="1"/>
  <c r="R15" i="100"/>
  <c r="O16" i="100"/>
  <c r="AC16" i="100" s="1"/>
  <c r="AE16" i="100" s="1"/>
  <c r="R16" i="100"/>
  <c r="O17" i="100"/>
  <c r="AC17" i="100" s="1"/>
  <c r="AE17" i="100" s="1"/>
  <c r="R17" i="100"/>
  <c r="O18" i="100"/>
  <c r="AC18" i="100" s="1"/>
  <c r="AE18" i="100" s="1"/>
  <c r="R18" i="100"/>
  <c r="O19" i="100"/>
  <c r="AC19" i="100" s="1"/>
  <c r="AE19" i="100" s="1"/>
  <c r="R19" i="100"/>
  <c r="O20" i="100"/>
  <c r="AC20" i="100" s="1"/>
  <c r="AE20" i="100" s="1"/>
  <c r="R20" i="100"/>
  <c r="O21" i="100"/>
  <c r="AC21" i="100" s="1"/>
  <c r="AE21" i="100" s="1"/>
  <c r="R21" i="100"/>
  <c r="O22" i="100"/>
  <c r="AC22" i="100" s="1"/>
  <c r="AE22" i="100" s="1"/>
  <c r="R22" i="100"/>
  <c r="O23" i="100"/>
  <c r="R23" i="100"/>
  <c r="O24" i="100"/>
  <c r="AC24" i="100" s="1"/>
  <c r="AE24" i="100" s="1"/>
  <c r="R24" i="100"/>
  <c r="O25" i="100"/>
  <c r="AC25" i="100" s="1"/>
  <c r="AE25" i="100" s="1"/>
  <c r="R25" i="100"/>
  <c r="O26" i="100"/>
  <c r="R26" i="100"/>
  <c r="O27" i="100"/>
  <c r="AC27" i="100" s="1"/>
  <c r="AE27" i="100" s="1"/>
  <c r="R27" i="100"/>
  <c r="O28" i="100"/>
  <c r="AC28" i="100" s="1"/>
  <c r="AE28" i="100" s="1"/>
  <c r="R28" i="100"/>
  <c r="O29" i="100"/>
  <c r="AC29" i="100" s="1"/>
  <c r="AE29" i="100" s="1"/>
  <c r="R29" i="100"/>
  <c r="O30" i="100"/>
  <c r="R30" i="100"/>
  <c r="O31" i="100"/>
  <c r="R31" i="100"/>
  <c r="O32" i="100"/>
  <c r="AC32" i="100" s="1"/>
  <c r="AE32" i="100" s="1"/>
  <c r="R32" i="100"/>
  <c r="O33" i="100"/>
  <c r="AC33" i="100" s="1"/>
  <c r="AE33" i="100" s="1"/>
  <c r="R33" i="100"/>
  <c r="O34" i="100"/>
  <c r="AC34" i="100" s="1"/>
  <c r="AE34" i="100" s="1"/>
  <c r="R34" i="100"/>
  <c r="O35" i="100"/>
  <c r="R35" i="100"/>
  <c r="O36" i="100"/>
  <c r="AC36" i="100" s="1"/>
  <c r="AE36" i="100" s="1"/>
  <c r="R36" i="100"/>
  <c r="O37" i="100"/>
  <c r="AC37" i="100" s="1"/>
  <c r="AE37" i="100" s="1"/>
  <c r="R37" i="100"/>
  <c r="O38" i="100"/>
  <c r="AC38" i="100" s="1"/>
  <c r="AE38" i="100" s="1"/>
  <c r="R38" i="100"/>
  <c r="O39" i="100"/>
  <c r="AC39" i="100" s="1"/>
  <c r="AE39" i="100" s="1"/>
  <c r="R39" i="100"/>
  <c r="O40" i="100"/>
  <c r="AC40" i="100" s="1"/>
  <c r="AE40" i="100" s="1"/>
  <c r="R40" i="100"/>
  <c r="O41" i="100"/>
  <c r="AC41" i="100" s="1"/>
  <c r="AE41" i="100" s="1"/>
  <c r="R41" i="100"/>
  <c r="O42" i="100"/>
  <c r="AC42" i="100" s="1"/>
  <c r="AE42" i="100" s="1"/>
  <c r="R42" i="100"/>
  <c r="O43" i="100"/>
  <c r="R43" i="100"/>
  <c r="O44" i="100"/>
  <c r="AC44" i="100" s="1"/>
  <c r="AE44" i="100" s="1"/>
  <c r="R44" i="100"/>
  <c r="O45" i="100"/>
  <c r="AC45" i="100" s="1"/>
  <c r="AE45" i="100" s="1"/>
  <c r="R45" i="100"/>
  <c r="O46" i="100"/>
  <c r="AC46" i="100" s="1"/>
  <c r="AE46" i="100" s="1"/>
  <c r="R46" i="100"/>
  <c r="O47" i="100"/>
  <c r="R47" i="100"/>
  <c r="O48" i="100"/>
  <c r="AC48" i="100" s="1"/>
  <c r="AE48" i="100" s="1"/>
  <c r="R48" i="100"/>
  <c r="O49" i="100"/>
  <c r="AC49" i="100" s="1"/>
  <c r="AE49" i="100" s="1"/>
  <c r="R49" i="100"/>
  <c r="AB35" i="100" a="1"/>
  <c r="AB35" i="100" s="1"/>
  <c r="Z35" i="100"/>
  <c r="X35" i="100"/>
  <c r="I35" i="100"/>
  <c r="H35" i="100"/>
  <c r="AB34" i="100" a="1"/>
  <c r="AB34" i="100" s="1"/>
  <c r="Z34" i="100"/>
  <c r="X34" i="100"/>
  <c r="I34" i="100"/>
  <c r="H34" i="100"/>
  <c r="AB33" i="100" a="1"/>
  <c r="AB33" i="100" s="1"/>
  <c r="Z33" i="100"/>
  <c r="X33" i="100"/>
  <c r="I33" i="100"/>
  <c r="H33" i="100"/>
  <c r="AB32" i="100" a="1"/>
  <c r="AB32" i="100" s="1"/>
  <c r="Z32" i="100"/>
  <c r="X32" i="100"/>
  <c r="I32" i="100"/>
  <c r="H32" i="100"/>
  <c r="AB31" i="100" a="1"/>
  <c r="AB31" i="100" s="1"/>
  <c r="Z31" i="100"/>
  <c r="X31" i="100"/>
  <c r="I31" i="100"/>
  <c r="H31" i="100"/>
  <c r="AO3" i="65"/>
  <c r="Z18" i="65"/>
  <c r="Z9" i="65"/>
  <c r="K18" i="65"/>
  <c r="K3" i="65"/>
  <c r="O3" i="96"/>
  <c r="AC3" i="96" s="1"/>
  <c r="AE3" i="96" s="1"/>
  <c r="R3" i="96"/>
  <c r="O4" i="96"/>
  <c r="AC4" i="96" s="1"/>
  <c r="AE4" i="96" s="1"/>
  <c r="R4" i="96"/>
  <c r="O5" i="96"/>
  <c r="AC5" i="96" s="1"/>
  <c r="AE5" i="96" s="1"/>
  <c r="R5" i="96"/>
  <c r="O6" i="96"/>
  <c r="AC6" i="96" s="1"/>
  <c r="AE6" i="96" s="1"/>
  <c r="R6" i="96"/>
  <c r="O7" i="96"/>
  <c r="AC7" i="96" s="1"/>
  <c r="AE7" i="96" s="1"/>
  <c r="R7" i="96"/>
  <c r="O8" i="96"/>
  <c r="AC8" i="96" s="1"/>
  <c r="AE8" i="96" s="1"/>
  <c r="R8" i="96"/>
  <c r="O9" i="96"/>
  <c r="AC9" i="96" s="1"/>
  <c r="AE9" i="96" s="1"/>
  <c r="R9" i="96"/>
  <c r="O10" i="96"/>
  <c r="AC10" i="96" s="1"/>
  <c r="AE10" i="96" s="1"/>
  <c r="R10" i="96"/>
  <c r="O11" i="96"/>
  <c r="AC11" i="96" s="1"/>
  <c r="AE11" i="96" s="1"/>
  <c r="R11" i="96"/>
  <c r="O16" i="96"/>
  <c r="AC16" i="96" s="1"/>
  <c r="AE16" i="96" s="1"/>
  <c r="R16" i="96"/>
  <c r="O17" i="96"/>
  <c r="AC17" i="96" s="1"/>
  <c r="AE17" i="96" s="1"/>
  <c r="R17" i="96"/>
  <c r="O18" i="96"/>
  <c r="AC18" i="96" s="1"/>
  <c r="AE18" i="96" s="1"/>
  <c r="R18" i="96"/>
  <c r="O19" i="96"/>
  <c r="AC19" i="96" s="1"/>
  <c r="AE19" i="96" s="1"/>
  <c r="R19" i="96"/>
  <c r="O20" i="96"/>
  <c r="AC20" i="96" s="1"/>
  <c r="AE20" i="96" s="1"/>
  <c r="R20" i="96"/>
  <c r="O21" i="96"/>
  <c r="AC21" i="96" s="1"/>
  <c r="AE21" i="96" s="1"/>
  <c r="R21" i="96"/>
  <c r="O22" i="96"/>
  <c r="AC22" i="96" s="1"/>
  <c r="AE22" i="96" s="1"/>
  <c r="R22" i="96"/>
  <c r="O23" i="96"/>
  <c r="AC23" i="96" s="1"/>
  <c r="AE23" i="96" s="1"/>
  <c r="R23" i="96"/>
  <c r="O24" i="96"/>
  <c r="AC24" i="96" s="1"/>
  <c r="AE24" i="96" s="1"/>
  <c r="R24" i="96"/>
  <c r="O25" i="96"/>
  <c r="AC25" i="96" s="1"/>
  <c r="AE25" i="96" s="1"/>
  <c r="R25" i="96"/>
  <c r="O26" i="96"/>
  <c r="AC26" i="96" s="1"/>
  <c r="AE26" i="96" s="1"/>
  <c r="R26" i="96"/>
  <c r="O27" i="96"/>
  <c r="AC27" i="96" s="1"/>
  <c r="AE27" i="96" s="1"/>
  <c r="R27" i="96"/>
  <c r="O28" i="96"/>
  <c r="AC28" i="96" s="1"/>
  <c r="AE28" i="96" s="1"/>
  <c r="R28" i="96"/>
  <c r="O29" i="96"/>
  <c r="AC29" i="96" s="1"/>
  <c r="AE29" i="96" s="1"/>
  <c r="R29" i="96"/>
  <c r="O30" i="96"/>
  <c r="AC30" i="96" s="1"/>
  <c r="AE30" i="96" s="1"/>
  <c r="R30" i="96"/>
  <c r="O31" i="96"/>
  <c r="AC31" i="96" s="1"/>
  <c r="AE31" i="96" s="1"/>
  <c r="R31" i="96"/>
  <c r="O32" i="96"/>
  <c r="AC32" i="96" s="1"/>
  <c r="AE32" i="96" s="1"/>
  <c r="R32" i="96"/>
  <c r="O33" i="96"/>
  <c r="AC33" i="96" s="1"/>
  <c r="AE33" i="96" s="1"/>
  <c r="R33" i="96"/>
  <c r="O34" i="96"/>
  <c r="AC34" i="96" s="1"/>
  <c r="AE34" i="96" s="1"/>
  <c r="R34" i="96"/>
  <c r="O35" i="96"/>
  <c r="AC35" i="96" s="1"/>
  <c r="AE35" i="96" s="1"/>
  <c r="R35" i="96"/>
  <c r="O36" i="96"/>
  <c r="AC36" i="96" s="1"/>
  <c r="AE36" i="96" s="1"/>
  <c r="R36" i="96"/>
  <c r="O37" i="96"/>
  <c r="AC37" i="96" s="1"/>
  <c r="AE37" i="96" s="1"/>
  <c r="R37" i="96"/>
  <c r="O38" i="96"/>
  <c r="AC38" i="96" s="1"/>
  <c r="AE38" i="96" s="1"/>
  <c r="R38" i="96"/>
  <c r="O39" i="96"/>
  <c r="AC39" i="96" s="1"/>
  <c r="AE39" i="96" s="1"/>
  <c r="R39" i="96"/>
  <c r="O40" i="96"/>
  <c r="AC40" i="96" s="1"/>
  <c r="AE40" i="96" s="1"/>
  <c r="R40" i="96"/>
  <c r="O41" i="96"/>
  <c r="AC41" i="96" s="1"/>
  <c r="AE41" i="96" s="1"/>
  <c r="R41" i="96"/>
  <c r="O42" i="96"/>
  <c r="AC42" i="96" s="1"/>
  <c r="AE42" i="96" s="1"/>
  <c r="R42" i="96"/>
  <c r="O43" i="96"/>
  <c r="AC43" i="96" s="1"/>
  <c r="AE43" i="96" s="1"/>
  <c r="R43" i="96"/>
  <c r="O44" i="96"/>
  <c r="AC44" i="96" s="1"/>
  <c r="AE44" i="96" s="1"/>
  <c r="R44" i="96"/>
  <c r="O45" i="96"/>
  <c r="AC45" i="96" s="1"/>
  <c r="AE45" i="96" s="1"/>
  <c r="R45" i="96"/>
  <c r="O46" i="96"/>
  <c r="AC46" i="96" s="1"/>
  <c r="AE46" i="96" s="1"/>
  <c r="R46" i="96"/>
  <c r="O47" i="96"/>
  <c r="AC47" i="96" s="1"/>
  <c r="AE47" i="96" s="1"/>
  <c r="R47" i="96"/>
  <c r="O48" i="96"/>
  <c r="AC48" i="96" s="1"/>
  <c r="AE48" i="96" s="1"/>
  <c r="R48" i="96"/>
  <c r="O49" i="96"/>
  <c r="AC49" i="96" s="1"/>
  <c r="AE49" i="96" s="1"/>
  <c r="R49" i="96"/>
  <c r="O50" i="96"/>
  <c r="AC50" i="96" s="1"/>
  <c r="AE50" i="96" s="1"/>
  <c r="R50" i="96"/>
  <c r="O51" i="96"/>
  <c r="AC51" i="96" s="1"/>
  <c r="AE51" i="96" s="1"/>
  <c r="R51" i="96"/>
  <c r="O52" i="96"/>
  <c r="AC52" i="96" s="1"/>
  <c r="AE52" i="96" s="1"/>
  <c r="R52" i="96"/>
  <c r="O53" i="96"/>
  <c r="AC53" i="96" s="1"/>
  <c r="AE53" i="96" s="1"/>
  <c r="R53" i="96"/>
  <c r="O54" i="96"/>
  <c r="AC54" i="96" s="1"/>
  <c r="AE54" i="96" s="1"/>
  <c r="R54" i="96"/>
  <c r="O55" i="96"/>
  <c r="AC55" i="96" s="1"/>
  <c r="AE55" i="96" s="1"/>
  <c r="R55" i="96"/>
  <c r="O56" i="96"/>
  <c r="AC56" i="96" s="1"/>
  <c r="AE56" i="96" s="1"/>
  <c r="R56" i="96"/>
  <c r="O57" i="96"/>
  <c r="AC57" i="96" s="1"/>
  <c r="AE57" i="96" s="1"/>
  <c r="R57" i="96"/>
  <c r="O58" i="96"/>
  <c r="AC58" i="96" s="1"/>
  <c r="AE58" i="96" s="1"/>
  <c r="R58" i="96"/>
  <c r="O59" i="96"/>
  <c r="AC59" i="96" s="1"/>
  <c r="AE59" i="96" s="1"/>
  <c r="R59" i="96"/>
  <c r="O60" i="96"/>
  <c r="AC60" i="96" s="1"/>
  <c r="AE60" i="96" s="1"/>
  <c r="R60" i="96"/>
  <c r="O61" i="96"/>
  <c r="AC61" i="96" s="1"/>
  <c r="AE61" i="96" s="1"/>
  <c r="R61" i="96"/>
  <c r="O62" i="96"/>
  <c r="AC62" i="96" s="1"/>
  <c r="AE62" i="96" s="1"/>
  <c r="R62" i="96"/>
  <c r="O63" i="96"/>
  <c r="AC63" i="96" s="1"/>
  <c r="AE63" i="96" s="1"/>
  <c r="R63" i="96"/>
  <c r="O64" i="96"/>
  <c r="AC64" i="96" s="1"/>
  <c r="AE64" i="96" s="1"/>
  <c r="R64" i="96"/>
  <c r="O65" i="96"/>
  <c r="AC65" i="96" s="1"/>
  <c r="AE65" i="96" s="1"/>
  <c r="R65" i="96"/>
  <c r="O66" i="96"/>
  <c r="AC66" i="96" s="1"/>
  <c r="AE66" i="96" s="1"/>
  <c r="R66" i="96"/>
  <c r="O67" i="96"/>
  <c r="AC67" i="96" s="1"/>
  <c r="AE67" i="96" s="1"/>
  <c r="R67" i="96"/>
  <c r="O68" i="96"/>
  <c r="AC68" i="96" s="1"/>
  <c r="AE68" i="96" s="1"/>
  <c r="R68" i="96"/>
  <c r="O69" i="96"/>
  <c r="AC69" i="96" s="1"/>
  <c r="AE69" i="96" s="1"/>
  <c r="R69" i="96"/>
  <c r="O70" i="96"/>
  <c r="AC70" i="96" s="1"/>
  <c r="AE70" i="96" s="1"/>
  <c r="R70" i="96"/>
  <c r="O71" i="96"/>
  <c r="AC71" i="96" s="1"/>
  <c r="AE71" i="96" s="1"/>
  <c r="R71" i="96"/>
  <c r="O72" i="96"/>
  <c r="AC72" i="96" s="1"/>
  <c r="AE72" i="96" s="1"/>
  <c r="R72" i="96"/>
  <c r="O73" i="96"/>
  <c r="AC73" i="96" s="1"/>
  <c r="AE73" i="96" s="1"/>
  <c r="R73" i="96"/>
  <c r="O74" i="96"/>
  <c r="AC74" i="96" s="1"/>
  <c r="AE74" i="96" s="1"/>
  <c r="R74" i="96"/>
  <c r="O75" i="96"/>
  <c r="AC75" i="96" s="1"/>
  <c r="AE75" i="96" s="1"/>
  <c r="R75" i="96"/>
  <c r="O76" i="96"/>
  <c r="AC76" i="96" s="1"/>
  <c r="AE76" i="96" s="1"/>
  <c r="R76" i="96"/>
  <c r="O77" i="96"/>
  <c r="AC77" i="96" s="1"/>
  <c r="AE77" i="96" s="1"/>
  <c r="R77" i="96"/>
  <c r="O78" i="96"/>
  <c r="AC78" i="96" s="1"/>
  <c r="AE78" i="96" s="1"/>
  <c r="R78" i="96"/>
  <c r="O79" i="96"/>
  <c r="AC79" i="96" s="1"/>
  <c r="AE79" i="96" s="1"/>
  <c r="R79" i="96"/>
  <c r="O80" i="96"/>
  <c r="AC80" i="96" s="1"/>
  <c r="AE80" i="96" s="1"/>
  <c r="R80" i="96"/>
  <c r="O81" i="96"/>
  <c r="AC81" i="96" s="1"/>
  <c r="AE81" i="96" s="1"/>
  <c r="R81" i="96"/>
  <c r="O82" i="96"/>
  <c r="AC82" i="96" s="1"/>
  <c r="AE82" i="96" s="1"/>
  <c r="R82" i="96"/>
  <c r="O83" i="96"/>
  <c r="AC83" i="96" s="1"/>
  <c r="AE83" i="96" s="1"/>
  <c r="R83" i="96"/>
  <c r="O84" i="96"/>
  <c r="AC84" i="96" s="1"/>
  <c r="AE84" i="96" s="1"/>
  <c r="R84" i="96"/>
  <c r="O85" i="96"/>
  <c r="AC85" i="96" s="1"/>
  <c r="AE85" i="96" s="1"/>
  <c r="R85" i="96"/>
  <c r="O86" i="96"/>
  <c r="AC86" i="96" s="1"/>
  <c r="AE86" i="96" s="1"/>
  <c r="R86" i="96"/>
  <c r="O87" i="96"/>
  <c r="AC87" i="96" s="1"/>
  <c r="AE87" i="96" s="1"/>
  <c r="R87" i="96"/>
  <c r="O88" i="96"/>
  <c r="AC88" i="96" s="1"/>
  <c r="AE88" i="96" s="1"/>
  <c r="R88" i="96"/>
  <c r="O89" i="96"/>
  <c r="AC89" i="96" s="1"/>
  <c r="AE89" i="96" s="1"/>
  <c r="R89" i="96"/>
  <c r="O90" i="96"/>
  <c r="AC90" i="96" s="1"/>
  <c r="AE90" i="96" s="1"/>
  <c r="R90" i="96"/>
  <c r="O91" i="96"/>
  <c r="AC91" i="96" s="1"/>
  <c r="AE91" i="96" s="1"/>
  <c r="R91" i="96"/>
  <c r="O92" i="96"/>
  <c r="AC92" i="96" s="1"/>
  <c r="AE92" i="96" s="1"/>
  <c r="R92" i="96"/>
  <c r="O93" i="96"/>
  <c r="AC93" i="96" s="1"/>
  <c r="AE93" i="96" s="1"/>
  <c r="R93" i="96"/>
  <c r="O94" i="96"/>
  <c r="AC94" i="96" s="1"/>
  <c r="AE94" i="96" s="1"/>
  <c r="R94" i="96"/>
  <c r="O95" i="96"/>
  <c r="AC95" i="96" s="1"/>
  <c r="AE95" i="96" s="1"/>
  <c r="R95" i="96"/>
  <c r="O96" i="96"/>
  <c r="AC96" i="96" s="1"/>
  <c r="AE96" i="96" s="1"/>
  <c r="R96" i="96"/>
  <c r="O97" i="96"/>
  <c r="AC97" i="96" s="1"/>
  <c r="AE97" i="96" s="1"/>
  <c r="R97" i="96"/>
  <c r="O98" i="96"/>
  <c r="AC98" i="96" s="1"/>
  <c r="AE98" i="96" s="1"/>
  <c r="R98" i="96"/>
  <c r="O99" i="96"/>
  <c r="AC99" i="96" s="1"/>
  <c r="AE99" i="96" s="1"/>
  <c r="R99" i="96"/>
  <c r="O100" i="96"/>
  <c r="AC100" i="96" s="1"/>
  <c r="AE100" i="96" s="1"/>
  <c r="R100" i="96"/>
  <c r="O101" i="96"/>
  <c r="AC101" i="96" s="1"/>
  <c r="AE101" i="96" s="1"/>
  <c r="R101" i="96"/>
  <c r="O102" i="96"/>
  <c r="AC102" i="96" s="1"/>
  <c r="AE102" i="96" s="1"/>
  <c r="R102" i="96"/>
  <c r="O103" i="96"/>
  <c r="AC103" i="96" s="1"/>
  <c r="AE103" i="96" s="1"/>
  <c r="R103" i="96"/>
  <c r="O104" i="96"/>
  <c r="AC104" i="96" s="1"/>
  <c r="AE104" i="96" s="1"/>
  <c r="R104" i="96"/>
  <c r="O105" i="96"/>
  <c r="AC105" i="96" s="1"/>
  <c r="AE105" i="96" s="1"/>
  <c r="R105" i="96"/>
  <c r="O106" i="96"/>
  <c r="AC106" i="96" s="1"/>
  <c r="AE106" i="96" s="1"/>
  <c r="R106" i="96"/>
  <c r="O107" i="96"/>
  <c r="AC107" i="96" s="1"/>
  <c r="AE107" i="96" s="1"/>
  <c r="R107" i="96"/>
  <c r="O108" i="96"/>
  <c r="AC108" i="96" s="1"/>
  <c r="AE108" i="96" s="1"/>
  <c r="R108" i="96"/>
  <c r="O109" i="96"/>
  <c r="AC109" i="96" s="1"/>
  <c r="AE109" i="96" s="1"/>
  <c r="R109" i="96"/>
  <c r="O110" i="96"/>
  <c r="AC110" i="96" s="1"/>
  <c r="AE110" i="96" s="1"/>
  <c r="R110" i="96"/>
  <c r="O111" i="96"/>
  <c r="AC111" i="96" s="1"/>
  <c r="AE111" i="96" s="1"/>
  <c r="R111" i="96"/>
  <c r="O112" i="96"/>
  <c r="AC112" i="96" s="1"/>
  <c r="AE112" i="96" s="1"/>
  <c r="R112" i="96"/>
  <c r="O113" i="96"/>
  <c r="AC113" i="96" s="1"/>
  <c r="AE113" i="96" s="1"/>
  <c r="R113" i="96"/>
  <c r="O114" i="96"/>
  <c r="AC114" i="96" s="1"/>
  <c r="AE114" i="96" s="1"/>
  <c r="R114" i="96"/>
  <c r="O115" i="96"/>
  <c r="AC115" i="96" s="1"/>
  <c r="AE115" i="96" s="1"/>
  <c r="R115" i="96"/>
  <c r="O116" i="96"/>
  <c r="AC116" i="96" s="1"/>
  <c r="AE116" i="96" s="1"/>
  <c r="R116" i="96"/>
  <c r="O117" i="96"/>
  <c r="AC117" i="96" s="1"/>
  <c r="AE117" i="96" s="1"/>
  <c r="R117" i="96"/>
  <c r="O118" i="96"/>
  <c r="AC118" i="96" s="1"/>
  <c r="AE118" i="96" s="1"/>
  <c r="R118" i="96"/>
  <c r="O119" i="96"/>
  <c r="AC119" i="96" s="1"/>
  <c r="AE119" i="96" s="1"/>
  <c r="R119" i="96"/>
  <c r="O120" i="96"/>
  <c r="AC120" i="96" s="1"/>
  <c r="AE120" i="96" s="1"/>
  <c r="R120" i="96"/>
  <c r="O121" i="96"/>
  <c r="AC121" i="96" s="1"/>
  <c r="AE121" i="96" s="1"/>
  <c r="R121" i="96"/>
  <c r="F22" i="65"/>
  <c r="AB16" i="98"/>
  <c r="Z16" i="98"/>
  <c r="X16" i="98"/>
  <c r="R16" i="98"/>
  <c r="O16" i="98"/>
  <c r="AC16" i="98" s="1"/>
  <c r="AE16" i="98" s="1"/>
  <c r="I16" i="98"/>
  <c r="H16" i="98"/>
  <c r="AB15" i="98"/>
  <c r="Z15" i="98"/>
  <c r="X15" i="98"/>
  <c r="R15" i="98"/>
  <c r="O15" i="98"/>
  <c r="AC15" i="98" s="1"/>
  <c r="AE15" i="98" s="1"/>
  <c r="I15" i="98"/>
  <c r="H15" i="98"/>
  <c r="AB14" i="98"/>
  <c r="Z14" i="98"/>
  <c r="X14" i="98"/>
  <c r="R14" i="98"/>
  <c r="O14" i="98"/>
  <c r="AC14" i="98" s="1"/>
  <c r="AE14" i="98" s="1"/>
  <c r="I14" i="98"/>
  <c r="H14" i="98"/>
  <c r="AB13" i="98"/>
  <c r="Z13" i="98"/>
  <c r="X13" i="98"/>
  <c r="R13" i="98"/>
  <c r="O13" i="98"/>
  <c r="AC13" i="98" s="1"/>
  <c r="AE13" i="98" s="1"/>
  <c r="I13" i="98"/>
  <c r="H13" i="98"/>
  <c r="AB12" i="98"/>
  <c r="Z12" i="98"/>
  <c r="X12" i="98"/>
  <c r="R12" i="98"/>
  <c r="O12" i="98"/>
  <c r="AC12" i="98" s="1"/>
  <c r="AE12" i="98" s="1"/>
  <c r="I12" i="98"/>
  <c r="H12" i="98"/>
  <c r="AB11" i="98"/>
  <c r="Z11" i="98"/>
  <c r="X11" i="98"/>
  <c r="R11" i="98"/>
  <c r="O11" i="98"/>
  <c r="I11" i="98"/>
  <c r="H11" i="98"/>
  <c r="AB10" i="98"/>
  <c r="Z10" i="98"/>
  <c r="X10" i="98"/>
  <c r="R10" i="98"/>
  <c r="O10" i="98"/>
  <c r="AC10" i="98" s="1"/>
  <c r="AE10" i="98" s="1"/>
  <c r="I10" i="98"/>
  <c r="H10" i="98"/>
  <c r="AB9" i="98"/>
  <c r="Z9" i="98"/>
  <c r="X9" i="98"/>
  <c r="R9" i="98"/>
  <c r="O9" i="98"/>
  <c r="AC9" i="98" s="1"/>
  <c r="AE9" i="98" s="1"/>
  <c r="I9" i="98"/>
  <c r="H9" i="98"/>
  <c r="AB8" i="98"/>
  <c r="Z8" i="98"/>
  <c r="X8" i="98"/>
  <c r="R8" i="98"/>
  <c r="O8" i="98"/>
  <c r="AC8" i="98" s="1"/>
  <c r="AE8" i="98" s="1"/>
  <c r="I8" i="98"/>
  <c r="H8" i="98"/>
  <c r="AB7" i="98"/>
  <c r="Z7" i="98"/>
  <c r="X7" i="98"/>
  <c r="R7" i="98"/>
  <c r="O7" i="98"/>
  <c r="AC7" i="98" s="1"/>
  <c r="AE7" i="98" s="1"/>
  <c r="I7" i="98"/>
  <c r="H7" i="98"/>
  <c r="AB6" i="98"/>
  <c r="Z6" i="98"/>
  <c r="X6" i="98"/>
  <c r="R6" i="98"/>
  <c r="O6" i="98"/>
  <c r="I6" i="98"/>
  <c r="H6" i="98"/>
  <c r="AB34" i="98"/>
  <c r="Z34" i="98"/>
  <c r="X34" i="98"/>
  <c r="R34" i="98"/>
  <c r="O34" i="98"/>
  <c r="I34" i="98"/>
  <c r="H34" i="98"/>
  <c r="AB33" i="98"/>
  <c r="Z33" i="98"/>
  <c r="X33" i="98"/>
  <c r="R33" i="98"/>
  <c r="O33" i="98"/>
  <c r="I33" i="98"/>
  <c r="H33" i="98"/>
  <c r="AB32" i="98"/>
  <c r="Z32" i="98"/>
  <c r="X32" i="98"/>
  <c r="R32" i="98"/>
  <c r="O32" i="98"/>
  <c r="I32" i="98"/>
  <c r="H32" i="98"/>
  <c r="AB31" i="98"/>
  <c r="Z31" i="98"/>
  <c r="X31" i="98"/>
  <c r="R31" i="98"/>
  <c r="O31" i="98"/>
  <c r="AC31" i="98" s="1"/>
  <c r="AE31" i="98" s="1"/>
  <c r="I31" i="98"/>
  <c r="H31" i="98"/>
  <c r="AB30" i="98"/>
  <c r="Z30" i="98"/>
  <c r="X30" i="98"/>
  <c r="R30" i="98"/>
  <c r="O30" i="98"/>
  <c r="AC30" i="98" s="1"/>
  <c r="AE30" i="98" s="1"/>
  <c r="I30" i="98"/>
  <c r="H30" i="98"/>
  <c r="AB29" i="98"/>
  <c r="Z29" i="98"/>
  <c r="X29" i="98"/>
  <c r="R29" i="98"/>
  <c r="O29" i="98"/>
  <c r="AC29" i="98" s="1"/>
  <c r="AE29" i="98" s="1"/>
  <c r="I29" i="98"/>
  <c r="H29" i="98"/>
  <c r="AB28" i="98"/>
  <c r="Z28" i="98"/>
  <c r="X28" i="98"/>
  <c r="R28" i="98"/>
  <c r="O28" i="98"/>
  <c r="AC28" i="98" s="1"/>
  <c r="AE28" i="98" s="1"/>
  <c r="I28" i="98"/>
  <c r="H28" i="98"/>
  <c r="AB27" i="98"/>
  <c r="Z27" i="98"/>
  <c r="X27" i="98"/>
  <c r="R27" i="98"/>
  <c r="O27" i="98"/>
  <c r="I27" i="98"/>
  <c r="H27" i="98"/>
  <c r="AB26" i="98"/>
  <c r="Z26" i="98"/>
  <c r="X26" i="98"/>
  <c r="R26" i="98"/>
  <c r="O26" i="98"/>
  <c r="AC26" i="98" s="1"/>
  <c r="AE26" i="98" s="1"/>
  <c r="I26" i="98"/>
  <c r="H26" i="98"/>
  <c r="AB25" i="98"/>
  <c r="Z25" i="98"/>
  <c r="X25" i="98"/>
  <c r="R25" i="98"/>
  <c r="O25" i="98"/>
  <c r="I25" i="98"/>
  <c r="H25" i="98"/>
  <c r="AB24" i="98"/>
  <c r="Z24" i="98"/>
  <c r="X24" i="98"/>
  <c r="R24" i="98"/>
  <c r="O24" i="98"/>
  <c r="AC24" i="98" s="1"/>
  <c r="AE24" i="98" s="1"/>
  <c r="I24" i="98"/>
  <c r="H24" i="98"/>
  <c r="AB23" i="98"/>
  <c r="Z23" i="98"/>
  <c r="X23" i="98"/>
  <c r="R23" i="98"/>
  <c r="O23" i="98"/>
  <c r="AC23" i="98" s="1"/>
  <c r="AE23" i="98" s="1"/>
  <c r="I23" i="98"/>
  <c r="H23" i="98"/>
  <c r="AB22" i="98"/>
  <c r="Z22" i="98"/>
  <c r="X22" i="98"/>
  <c r="R22" i="98"/>
  <c r="O22" i="98"/>
  <c r="AC22" i="98" s="1"/>
  <c r="AE22" i="98" s="1"/>
  <c r="I22" i="98"/>
  <c r="H22" i="98"/>
  <c r="AB60" i="98"/>
  <c r="Z60" i="98"/>
  <c r="X60" i="98"/>
  <c r="R60" i="98"/>
  <c r="O60" i="98"/>
  <c r="I60" i="98"/>
  <c r="H60" i="98"/>
  <c r="AB59" i="98"/>
  <c r="Z59" i="98"/>
  <c r="X59" i="98"/>
  <c r="R59" i="98"/>
  <c r="O59" i="98"/>
  <c r="AC59" i="98" s="1"/>
  <c r="AE59" i="98" s="1"/>
  <c r="I59" i="98"/>
  <c r="H59" i="98"/>
  <c r="AB58" i="98"/>
  <c r="Z58" i="98"/>
  <c r="X58" i="98"/>
  <c r="R58" i="98"/>
  <c r="O58" i="98"/>
  <c r="I58" i="98"/>
  <c r="H58" i="98"/>
  <c r="AB57" i="98"/>
  <c r="Z57" i="98"/>
  <c r="X57" i="98"/>
  <c r="R57" i="98"/>
  <c r="O57" i="98"/>
  <c r="AC57" i="98" s="1"/>
  <c r="AE57" i="98" s="1"/>
  <c r="I57" i="98"/>
  <c r="H57" i="98"/>
  <c r="AB56" i="98"/>
  <c r="Z56" i="98"/>
  <c r="X56" i="98"/>
  <c r="R56" i="98"/>
  <c r="O56" i="98"/>
  <c r="N56" i="98" s="1"/>
  <c r="I56" i="98"/>
  <c r="H56" i="98"/>
  <c r="AB55" i="98"/>
  <c r="Z55" i="98"/>
  <c r="X55" i="98"/>
  <c r="R55" i="98"/>
  <c r="O55" i="98"/>
  <c r="AC55" i="98" s="1"/>
  <c r="AE55" i="98" s="1"/>
  <c r="I55" i="98"/>
  <c r="H55" i="98"/>
  <c r="AB54" i="98"/>
  <c r="Z54" i="98"/>
  <c r="X54" i="98"/>
  <c r="R54" i="98"/>
  <c r="O54" i="98"/>
  <c r="AC54" i="98" s="1"/>
  <c r="AE54" i="98" s="1"/>
  <c r="I54" i="98"/>
  <c r="H54" i="98"/>
  <c r="AB53" i="98"/>
  <c r="Z53" i="98"/>
  <c r="X53" i="98"/>
  <c r="R53" i="98"/>
  <c r="O53" i="98"/>
  <c r="AC53" i="98" s="1"/>
  <c r="AE53" i="98" s="1"/>
  <c r="I53" i="98"/>
  <c r="H53" i="98"/>
  <c r="AB52" i="98"/>
  <c r="Z52" i="98"/>
  <c r="X52" i="98"/>
  <c r="R52" i="98"/>
  <c r="O52" i="98"/>
  <c r="AC52" i="98" s="1"/>
  <c r="AE52" i="98" s="1"/>
  <c r="I52" i="98"/>
  <c r="H52" i="98"/>
  <c r="AB51" i="98"/>
  <c r="Z51" i="98"/>
  <c r="X51" i="98"/>
  <c r="R51" i="98"/>
  <c r="O51" i="98"/>
  <c r="AC51" i="98" s="1"/>
  <c r="AE51" i="98" s="1"/>
  <c r="I51" i="98"/>
  <c r="H51" i="98"/>
  <c r="AB50" i="98"/>
  <c r="Z50" i="98"/>
  <c r="X50" i="98"/>
  <c r="R50" i="98"/>
  <c r="O50" i="98"/>
  <c r="AC50" i="98" s="1"/>
  <c r="AE50" i="98" s="1"/>
  <c r="I50" i="98"/>
  <c r="H50" i="98"/>
  <c r="AB49" i="98"/>
  <c r="Z49" i="98"/>
  <c r="X49" i="98"/>
  <c r="R49" i="98"/>
  <c r="O49" i="98"/>
  <c r="I49" i="98"/>
  <c r="H49" i="98"/>
  <c r="AB48" i="98"/>
  <c r="Z48" i="98"/>
  <c r="X48" i="98"/>
  <c r="R48" i="98"/>
  <c r="O48" i="98"/>
  <c r="I48" i="98"/>
  <c r="H48" i="98"/>
  <c r="AB47" i="98"/>
  <c r="Z47" i="98"/>
  <c r="X47" i="98"/>
  <c r="R47" i="98"/>
  <c r="O47" i="98"/>
  <c r="AC47" i="98" s="1"/>
  <c r="AE47" i="98" s="1"/>
  <c r="I47" i="98"/>
  <c r="H47" i="98"/>
  <c r="AB46" i="98"/>
  <c r="Z46" i="98"/>
  <c r="X46" i="98"/>
  <c r="R46" i="98"/>
  <c r="O46" i="98"/>
  <c r="I46" i="98"/>
  <c r="H46" i="98"/>
  <c r="AB45" i="98"/>
  <c r="Z45" i="98"/>
  <c r="X45" i="98"/>
  <c r="R45" i="98"/>
  <c r="O45" i="98"/>
  <c r="AC45" i="98" s="1"/>
  <c r="AE45" i="98" s="1"/>
  <c r="I45" i="98"/>
  <c r="H45" i="98"/>
  <c r="AB44" i="98"/>
  <c r="Z44" i="98"/>
  <c r="X44" i="98"/>
  <c r="R44" i="98"/>
  <c r="O44" i="98"/>
  <c r="I44" i="98"/>
  <c r="H44" i="98"/>
  <c r="AB43" i="98"/>
  <c r="Z43" i="98"/>
  <c r="X43" i="98"/>
  <c r="R43" i="98"/>
  <c r="O43" i="98"/>
  <c r="I43" i="98"/>
  <c r="H43" i="98"/>
  <c r="AB42" i="98"/>
  <c r="Z42" i="98"/>
  <c r="X42" i="98"/>
  <c r="R42" i="98"/>
  <c r="O42" i="98"/>
  <c r="AC42" i="98" s="1"/>
  <c r="AE42" i="98" s="1"/>
  <c r="I42" i="98"/>
  <c r="H42" i="98"/>
  <c r="AB41" i="98"/>
  <c r="Z41" i="98"/>
  <c r="X41" i="98"/>
  <c r="R41" i="98"/>
  <c r="O41" i="98"/>
  <c r="I41" i="98"/>
  <c r="H41" i="98"/>
  <c r="AB40" i="98"/>
  <c r="Z40" i="98"/>
  <c r="X40" i="98"/>
  <c r="R40" i="98"/>
  <c r="O40" i="98"/>
  <c r="AC40" i="98" s="1"/>
  <c r="AE40" i="98" s="1"/>
  <c r="I40" i="98"/>
  <c r="H40" i="98"/>
  <c r="AB39" i="98"/>
  <c r="Z39" i="98"/>
  <c r="X39" i="98"/>
  <c r="R39" i="98"/>
  <c r="O39" i="98"/>
  <c r="AC39" i="98" s="1"/>
  <c r="AE39" i="98" s="1"/>
  <c r="I39" i="98"/>
  <c r="H39" i="98"/>
  <c r="AB38" i="98"/>
  <c r="Z38" i="98"/>
  <c r="X38" i="98"/>
  <c r="R38" i="98"/>
  <c r="O38" i="98"/>
  <c r="AC38" i="98" s="1"/>
  <c r="AE38" i="98" s="1"/>
  <c r="I38" i="98"/>
  <c r="H38" i="98"/>
  <c r="AB37" i="98"/>
  <c r="Z37" i="98"/>
  <c r="X37" i="98"/>
  <c r="R37" i="98"/>
  <c r="O37" i="98"/>
  <c r="AC37" i="98" s="1"/>
  <c r="AE37" i="98" s="1"/>
  <c r="I37" i="98"/>
  <c r="H37" i="98"/>
  <c r="AB36" i="98"/>
  <c r="Z36" i="98"/>
  <c r="X36" i="98"/>
  <c r="R36" i="98"/>
  <c r="O36" i="98"/>
  <c r="I36" i="98"/>
  <c r="H36" i="98"/>
  <c r="AB85" i="98"/>
  <c r="Z85" i="98"/>
  <c r="X85" i="98"/>
  <c r="R85" i="98"/>
  <c r="O85" i="98"/>
  <c r="I85" i="98"/>
  <c r="H85" i="98"/>
  <c r="AB84" i="98"/>
  <c r="Z84" i="98"/>
  <c r="X84" i="98"/>
  <c r="R84" i="98"/>
  <c r="O84" i="98"/>
  <c r="AC84" i="98" s="1"/>
  <c r="AE84" i="98" s="1"/>
  <c r="I84" i="98"/>
  <c r="H84" i="98"/>
  <c r="AB83" i="98"/>
  <c r="Z83" i="98"/>
  <c r="X83" i="98"/>
  <c r="R83" i="98"/>
  <c r="O83" i="98"/>
  <c r="AC83" i="98" s="1"/>
  <c r="AE83" i="98" s="1"/>
  <c r="I83" i="98"/>
  <c r="H83" i="98"/>
  <c r="AB82" i="98"/>
  <c r="Z82" i="98"/>
  <c r="X82" i="98"/>
  <c r="R82" i="98"/>
  <c r="O82" i="98"/>
  <c r="AC82" i="98" s="1"/>
  <c r="AE82" i="98" s="1"/>
  <c r="I82" i="98"/>
  <c r="H82" i="98"/>
  <c r="AB81" i="98"/>
  <c r="Z81" i="98"/>
  <c r="X81" i="98"/>
  <c r="R81" i="98"/>
  <c r="O81" i="98"/>
  <c r="AC81" i="98" s="1"/>
  <c r="AE81" i="98" s="1"/>
  <c r="I81" i="98"/>
  <c r="H81" i="98"/>
  <c r="AB80" i="98"/>
  <c r="Z80" i="98"/>
  <c r="X80" i="98"/>
  <c r="R80" i="98"/>
  <c r="O80" i="98"/>
  <c r="I80" i="98"/>
  <c r="H80" i="98"/>
  <c r="AB79" i="98"/>
  <c r="Z79" i="98"/>
  <c r="X79" i="98"/>
  <c r="R79" i="98"/>
  <c r="O79" i="98"/>
  <c r="AC79" i="98" s="1"/>
  <c r="AE79" i="98" s="1"/>
  <c r="I79" i="98"/>
  <c r="H79" i="98"/>
  <c r="AB78" i="98"/>
  <c r="Z78" i="98"/>
  <c r="X78" i="98"/>
  <c r="R78" i="98"/>
  <c r="O78" i="98"/>
  <c r="I78" i="98"/>
  <c r="H78" i="98"/>
  <c r="AB77" i="98"/>
  <c r="Z77" i="98"/>
  <c r="X77" i="98"/>
  <c r="R77" i="98"/>
  <c r="O77" i="98"/>
  <c r="AC77" i="98" s="1"/>
  <c r="AE77" i="98" s="1"/>
  <c r="I77" i="98"/>
  <c r="H77" i="98"/>
  <c r="AB76" i="98"/>
  <c r="Z76" i="98"/>
  <c r="X76" i="98"/>
  <c r="R76" i="98"/>
  <c r="O76" i="98"/>
  <c r="AC76" i="98" s="1"/>
  <c r="AE76" i="98" s="1"/>
  <c r="I76" i="98"/>
  <c r="H76" i="98"/>
  <c r="AB75" i="98"/>
  <c r="Z75" i="98"/>
  <c r="X75" i="98"/>
  <c r="R75" i="98"/>
  <c r="O75" i="98"/>
  <c r="AC75" i="98" s="1"/>
  <c r="AE75" i="98" s="1"/>
  <c r="I75" i="98"/>
  <c r="H75" i="98"/>
  <c r="AB74" i="98"/>
  <c r="Z74" i="98"/>
  <c r="X74" i="98"/>
  <c r="R74" i="98"/>
  <c r="O74" i="98"/>
  <c r="AC74" i="98" s="1"/>
  <c r="AE74" i="98" s="1"/>
  <c r="I74" i="98"/>
  <c r="H74" i="98"/>
  <c r="AB73" i="98"/>
  <c r="Z73" i="98"/>
  <c r="X73" i="98"/>
  <c r="R73" i="98"/>
  <c r="O73" i="98"/>
  <c r="I73" i="98"/>
  <c r="H73" i="98"/>
  <c r="AB72" i="98"/>
  <c r="Z72" i="98"/>
  <c r="X72" i="98"/>
  <c r="R72" i="98"/>
  <c r="O72" i="98"/>
  <c r="AC72" i="98" s="1"/>
  <c r="AE72" i="98" s="1"/>
  <c r="I72" i="98"/>
  <c r="H72" i="98"/>
  <c r="AB71" i="98"/>
  <c r="Z71" i="98"/>
  <c r="X71" i="98"/>
  <c r="R71" i="98"/>
  <c r="O71" i="98"/>
  <c r="I71" i="98"/>
  <c r="H71" i="98"/>
  <c r="AB70" i="98"/>
  <c r="Z70" i="98"/>
  <c r="X70" i="98"/>
  <c r="R70" i="98"/>
  <c r="O70" i="98"/>
  <c r="AC70" i="98" s="1"/>
  <c r="AE70" i="98" s="1"/>
  <c r="I70" i="98"/>
  <c r="H70" i="98"/>
  <c r="AB69" i="98"/>
  <c r="Z69" i="98"/>
  <c r="X69" i="98"/>
  <c r="R69" i="98"/>
  <c r="O69" i="98"/>
  <c r="AC69" i="98" s="1"/>
  <c r="AE69" i="98" s="1"/>
  <c r="I69" i="98"/>
  <c r="H69" i="98"/>
  <c r="AB68" i="98"/>
  <c r="Z68" i="98"/>
  <c r="X68" i="98"/>
  <c r="R68" i="98"/>
  <c r="O68" i="98"/>
  <c r="AC68" i="98" s="1"/>
  <c r="AE68" i="98" s="1"/>
  <c r="I68" i="98"/>
  <c r="H68" i="98"/>
  <c r="AB67" i="98"/>
  <c r="Z67" i="98"/>
  <c r="X67" i="98"/>
  <c r="R67" i="98"/>
  <c r="O67" i="98"/>
  <c r="AC67" i="98" s="1"/>
  <c r="AE67" i="98" s="1"/>
  <c r="I67" i="98"/>
  <c r="H67" i="98"/>
  <c r="AB66" i="98"/>
  <c r="Z66" i="98"/>
  <c r="X66" i="98"/>
  <c r="R66" i="98"/>
  <c r="O66" i="98"/>
  <c r="AC66" i="98" s="1"/>
  <c r="AE66" i="98" s="1"/>
  <c r="I66" i="98"/>
  <c r="H66" i="98"/>
  <c r="AB65" i="98"/>
  <c r="Z65" i="98"/>
  <c r="X65" i="98"/>
  <c r="R65" i="98"/>
  <c r="O65" i="98"/>
  <c r="AC65" i="98" s="1"/>
  <c r="AE65" i="98" s="1"/>
  <c r="I65" i="98"/>
  <c r="H65" i="98"/>
  <c r="AB64" i="98"/>
  <c r="Z64" i="98"/>
  <c r="X64" i="98"/>
  <c r="R64" i="98"/>
  <c r="O64" i="98"/>
  <c r="AC64" i="98" s="1"/>
  <c r="AE64" i="98" s="1"/>
  <c r="I64" i="98"/>
  <c r="H64" i="98"/>
  <c r="AB63" i="98"/>
  <c r="Z63" i="98"/>
  <c r="X63" i="98"/>
  <c r="R63" i="98"/>
  <c r="O63" i="98"/>
  <c r="AC63" i="98" s="1"/>
  <c r="AE63" i="98" s="1"/>
  <c r="I63" i="98"/>
  <c r="H63" i="98"/>
  <c r="AB62" i="98"/>
  <c r="Z62" i="98"/>
  <c r="X62" i="98"/>
  <c r="R62" i="98"/>
  <c r="O62" i="98"/>
  <c r="AC62" i="98" s="1"/>
  <c r="AE62" i="98" s="1"/>
  <c r="I62" i="98"/>
  <c r="H62" i="98"/>
  <c r="AB61" i="98"/>
  <c r="Z61" i="98"/>
  <c r="X61" i="98"/>
  <c r="R61" i="98"/>
  <c r="O61" i="98"/>
  <c r="I61" i="98"/>
  <c r="H61" i="98"/>
  <c r="R3" i="98"/>
  <c r="R4" i="98"/>
  <c r="R5" i="98"/>
  <c r="R20" i="98"/>
  <c r="R21" i="98"/>
  <c r="R35" i="98"/>
  <c r="R86" i="98"/>
  <c r="R87" i="98"/>
  <c r="R88" i="98"/>
  <c r="R89" i="98"/>
  <c r="R90" i="98"/>
  <c r="R91" i="98"/>
  <c r="R92" i="98"/>
  <c r="R93" i="98"/>
  <c r="R94" i="98"/>
  <c r="R95" i="98"/>
  <c r="R96" i="98"/>
  <c r="R97" i="98"/>
  <c r="R98" i="98"/>
  <c r="R99" i="98"/>
  <c r="R100" i="98"/>
  <c r="R101" i="98"/>
  <c r="R102" i="98"/>
  <c r="R103" i="98"/>
  <c r="R104" i="98"/>
  <c r="R105" i="98"/>
  <c r="R106" i="98"/>
  <c r="R107" i="98"/>
  <c r="R108" i="98"/>
  <c r="R109" i="98"/>
  <c r="R110" i="98"/>
  <c r="R111" i="98"/>
  <c r="R112" i="98"/>
  <c r="R113" i="98"/>
  <c r="R114" i="98"/>
  <c r="R115" i="98"/>
  <c r="R116" i="98"/>
  <c r="R117" i="98"/>
  <c r="R118" i="98"/>
  <c r="R119" i="98"/>
  <c r="R120" i="98"/>
  <c r="R121" i="98"/>
  <c r="R122" i="98"/>
  <c r="R123" i="98"/>
  <c r="R124" i="98"/>
  <c r="R125" i="98"/>
  <c r="R126" i="98"/>
  <c r="R127" i="98"/>
  <c r="R128" i="98"/>
  <c r="R129" i="98"/>
  <c r="R130" i="98"/>
  <c r="R131" i="98"/>
  <c r="R132" i="98"/>
  <c r="R133" i="98"/>
  <c r="R134" i="98"/>
  <c r="R135" i="98"/>
  <c r="R136" i="98"/>
  <c r="R137" i="98"/>
  <c r="R138" i="98"/>
  <c r="R139" i="98"/>
  <c r="R140" i="98"/>
  <c r="R141" i="98"/>
  <c r="R142" i="98"/>
  <c r="R143" i="98"/>
  <c r="R144" i="98"/>
  <c r="R145" i="98"/>
  <c r="R146" i="98"/>
  <c r="R147" i="98"/>
  <c r="R148" i="98"/>
  <c r="R149" i="98"/>
  <c r="R150" i="98"/>
  <c r="R151" i="98"/>
  <c r="R152" i="98"/>
  <c r="R153" i="98"/>
  <c r="R154" i="98"/>
  <c r="R155" i="98"/>
  <c r="R156" i="98"/>
  <c r="R157" i="98"/>
  <c r="R158" i="98"/>
  <c r="R159" i="98"/>
  <c r="R160" i="98"/>
  <c r="R161" i="98"/>
  <c r="R162" i="98"/>
  <c r="R163" i="98"/>
  <c r="R164" i="98"/>
  <c r="R165" i="98"/>
  <c r="R166" i="98"/>
  <c r="R167" i="98"/>
  <c r="R168" i="98"/>
  <c r="R169" i="98"/>
  <c r="R170" i="98"/>
  <c r="R171" i="98"/>
  <c r="R2" i="98"/>
  <c r="AB13" i="102"/>
  <c r="Z13" i="102"/>
  <c r="X13" i="102"/>
  <c r="R13" i="102"/>
  <c r="O13" i="102"/>
  <c r="AC13" i="102" s="1"/>
  <c r="AE13" i="102" s="1"/>
  <c r="I13" i="102"/>
  <c r="H13" i="102"/>
  <c r="AB12" i="102"/>
  <c r="Z12" i="102"/>
  <c r="X12" i="102"/>
  <c r="R12" i="102"/>
  <c r="O12" i="102"/>
  <c r="I12" i="102"/>
  <c r="H12" i="102"/>
  <c r="AB11" i="102"/>
  <c r="Z11" i="102"/>
  <c r="X11" i="102"/>
  <c r="R11" i="102"/>
  <c r="O11" i="102"/>
  <c r="I11" i="102"/>
  <c r="H11" i="102"/>
  <c r="AB10" i="102"/>
  <c r="Z10" i="102"/>
  <c r="X10" i="102"/>
  <c r="R10" i="102"/>
  <c r="O10" i="102"/>
  <c r="AC10" i="102" s="1"/>
  <c r="AE10" i="102" s="1"/>
  <c r="I10" i="102"/>
  <c r="H10" i="102"/>
  <c r="O3" i="102"/>
  <c r="AC3" i="102" s="1"/>
  <c r="AE3" i="102" s="1"/>
  <c r="R3" i="102"/>
  <c r="O4" i="102"/>
  <c r="AC4" i="102" s="1"/>
  <c r="AE4" i="102" s="1"/>
  <c r="R4" i="102"/>
  <c r="O5" i="102"/>
  <c r="AC5" i="102" s="1"/>
  <c r="AE5" i="102" s="1"/>
  <c r="R5" i="102"/>
  <c r="O6" i="102"/>
  <c r="AC6" i="102" s="1"/>
  <c r="AE6" i="102" s="1"/>
  <c r="R6" i="102"/>
  <c r="O7" i="102"/>
  <c r="AC7" i="102" s="1"/>
  <c r="AE7" i="102" s="1"/>
  <c r="R7" i="102"/>
  <c r="O8" i="102"/>
  <c r="AC8" i="102" s="1"/>
  <c r="AE8" i="102" s="1"/>
  <c r="R8" i="102"/>
  <c r="O9" i="102"/>
  <c r="AC9" i="102" s="1"/>
  <c r="AE9" i="102" s="1"/>
  <c r="R9" i="102"/>
  <c r="O14" i="102"/>
  <c r="AC14" i="102" s="1"/>
  <c r="AE14" i="102" s="1"/>
  <c r="R14" i="102"/>
  <c r="O15" i="102"/>
  <c r="AC15" i="102" s="1"/>
  <c r="AE15" i="102" s="1"/>
  <c r="R15" i="102"/>
  <c r="O16" i="102"/>
  <c r="AC16" i="102" s="1"/>
  <c r="AE16" i="102" s="1"/>
  <c r="R16" i="102"/>
  <c r="O17" i="102"/>
  <c r="AC17" i="102" s="1"/>
  <c r="AE17" i="102" s="1"/>
  <c r="R17" i="102"/>
  <c r="O18" i="102"/>
  <c r="AC18" i="102" s="1"/>
  <c r="AE18" i="102" s="1"/>
  <c r="R18" i="102"/>
  <c r="O19" i="102"/>
  <c r="AC19" i="102" s="1"/>
  <c r="AE19" i="102" s="1"/>
  <c r="R19" i="102"/>
  <c r="O20" i="102"/>
  <c r="AC20" i="102" s="1"/>
  <c r="AE20" i="102" s="1"/>
  <c r="R20" i="102"/>
  <c r="O21" i="102"/>
  <c r="AC21" i="102" s="1"/>
  <c r="AE21" i="102" s="1"/>
  <c r="R21" i="102"/>
  <c r="O22" i="102"/>
  <c r="AC22" i="102" s="1"/>
  <c r="AE22" i="102" s="1"/>
  <c r="R22" i="102"/>
  <c r="O23" i="102"/>
  <c r="AC23" i="102" s="1"/>
  <c r="AE23" i="102" s="1"/>
  <c r="R23" i="102"/>
  <c r="O24" i="102"/>
  <c r="AC24" i="102" s="1"/>
  <c r="AE24" i="102" s="1"/>
  <c r="R24" i="102"/>
  <c r="O25" i="102"/>
  <c r="AC25" i="102" s="1"/>
  <c r="AE25" i="102" s="1"/>
  <c r="R25" i="102"/>
  <c r="O26" i="102"/>
  <c r="AC26" i="102" s="1"/>
  <c r="AE26" i="102" s="1"/>
  <c r="R26" i="102"/>
  <c r="O27" i="102"/>
  <c r="AC27" i="102" s="1"/>
  <c r="AE27" i="102" s="1"/>
  <c r="R27" i="102"/>
  <c r="O28" i="102"/>
  <c r="AC28" i="102" s="1"/>
  <c r="AE28" i="102" s="1"/>
  <c r="R28" i="102"/>
  <c r="O29" i="102"/>
  <c r="AC29" i="102" s="1"/>
  <c r="AE29" i="102" s="1"/>
  <c r="R29" i="102"/>
  <c r="O30" i="102"/>
  <c r="AC30" i="102" s="1"/>
  <c r="AE30" i="102" s="1"/>
  <c r="R30" i="102"/>
  <c r="O31" i="102"/>
  <c r="AC31" i="102" s="1"/>
  <c r="AE31" i="102" s="1"/>
  <c r="R31" i="102"/>
  <c r="O32" i="102"/>
  <c r="AC32" i="102" s="1"/>
  <c r="AE32" i="102" s="1"/>
  <c r="R32" i="102"/>
  <c r="O33" i="102"/>
  <c r="AC33" i="102" s="1"/>
  <c r="AE33" i="102" s="1"/>
  <c r="R33" i="102"/>
  <c r="O34" i="102"/>
  <c r="AC34" i="102" s="1"/>
  <c r="AE34" i="102" s="1"/>
  <c r="R34" i="102"/>
  <c r="O35" i="102"/>
  <c r="AC35" i="102" s="1"/>
  <c r="AE35" i="102" s="1"/>
  <c r="R35" i="102"/>
  <c r="O36" i="102"/>
  <c r="AC36" i="102" s="1"/>
  <c r="AE36" i="102" s="1"/>
  <c r="R36" i="102"/>
  <c r="O37" i="102"/>
  <c r="AC37" i="102" s="1"/>
  <c r="AE37" i="102" s="1"/>
  <c r="R37" i="102"/>
  <c r="O38" i="102"/>
  <c r="AC38" i="102" s="1"/>
  <c r="AE38" i="102" s="1"/>
  <c r="R38" i="102"/>
  <c r="O39" i="102"/>
  <c r="AC39" i="102" s="1"/>
  <c r="AE39" i="102" s="1"/>
  <c r="R39" i="102"/>
  <c r="O40" i="102"/>
  <c r="AC40" i="102" s="1"/>
  <c r="AE40" i="102" s="1"/>
  <c r="R40" i="102"/>
  <c r="O41" i="102"/>
  <c r="AC41" i="102" s="1"/>
  <c r="AE41" i="102" s="1"/>
  <c r="R41" i="102"/>
  <c r="O42" i="102"/>
  <c r="AC42" i="102" s="1"/>
  <c r="AE42" i="102" s="1"/>
  <c r="R42" i="102"/>
  <c r="O43" i="102"/>
  <c r="AC43" i="102" s="1"/>
  <c r="AE43" i="102" s="1"/>
  <c r="R43" i="102"/>
  <c r="O44" i="102"/>
  <c r="AC44" i="102" s="1"/>
  <c r="AE44" i="102" s="1"/>
  <c r="R44" i="102"/>
  <c r="O45" i="102"/>
  <c r="AC45" i="102" s="1"/>
  <c r="AE45" i="102" s="1"/>
  <c r="R45" i="102"/>
  <c r="O46" i="102"/>
  <c r="AC46" i="102" s="1"/>
  <c r="AE46" i="102" s="1"/>
  <c r="R46" i="102"/>
  <c r="O47" i="102"/>
  <c r="AC47" i="102" s="1"/>
  <c r="AE47" i="102" s="1"/>
  <c r="R47" i="102"/>
  <c r="O48" i="102"/>
  <c r="AC48" i="102" s="1"/>
  <c r="AE48" i="102" s="1"/>
  <c r="R48" i="102"/>
  <c r="O49" i="102"/>
  <c r="AC49" i="102" s="1"/>
  <c r="AE49" i="102" s="1"/>
  <c r="R49" i="102"/>
  <c r="O50" i="102"/>
  <c r="AC50" i="102" s="1"/>
  <c r="AE50" i="102" s="1"/>
  <c r="R50" i="102"/>
  <c r="O51" i="102"/>
  <c r="AC51" i="102" s="1"/>
  <c r="AE51" i="102" s="1"/>
  <c r="R51" i="102"/>
  <c r="O52" i="102"/>
  <c r="AC52" i="102" s="1"/>
  <c r="AE52" i="102" s="1"/>
  <c r="R52" i="102"/>
  <c r="O53" i="102"/>
  <c r="AC53" i="102" s="1"/>
  <c r="AE53" i="102" s="1"/>
  <c r="R53" i="102"/>
  <c r="O54" i="102"/>
  <c r="AC54" i="102" s="1"/>
  <c r="AE54" i="102" s="1"/>
  <c r="R54" i="102"/>
  <c r="O55" i="102"/>
  <c r="AC55" i="102" s="1"/>
  <c r="AE55" i="102" s="1"/>
  <c r="R55" i="102"/>
  <c r="O56" i="102"/>
  <c r="AC56" i="102" s="1"/>
  <c r="AE56" i="102" s="1"/>
  <c r="R56" i="102"/>
  <c r="O57" i="102"/>
  <c r="AC57" i="102" s="1"/>
  <c r="AE57" i="102" s="1"/>
  <c r="R57" i="102"/>
  <c r="O58" i="102"/>
  <c r="AC58" i="102" s="1"/>
  <c r="AE58" i="102" s="1"/>
  <c r="R58" i="102"/>
  <c r="O59" i="102"/>
  <c r="AC59" i="102" s="1"/>
  <c r="AE59" i="102" s="1"/>
  <c r="R59" i="102"/>
  <c r="O60" i="102"/>
  <c r="AC60" i="102" s="1"/>
  <c r="AE60" i="102" s="1"/>
  <c r="R60" i="102"/>
  <c r="O61" i="102"/>
  <c r="AC61" i="102" s="1"/>
  <c r="AE61" i="102" s="1"/>
  <c r="R61" i="102"/>
  <c r="O62" i="102"/>
  <c r="AC62" i="102" s="1"/>
  <c r="AE62" i="102" s="1"/>
  <c r="R62" i="102"/>
  <c r="O63" i="102"/>
  <c r="AC63" i="102" s="1"/>
  <c r="AE63" i="102" s="1"/>
  <c r="R63" i="102"/>
  <c r="O64" i="102"/>
  <c r="AC64" i="102" s="1"/>
  <c r="AE64" i="102" s="1"/>
  <c r="R64" i="102"/>
  <c r="O65" i="102"/>
  <c r="AC65" i="102" s="1"/>
  <c r="AE65" i="102" s="1"/>
  <c r="R65" i="102"/>
  <c r="O66" i="102"/>
  <c r="AC66" i="102" s="1"/>
  <c r="AE66" i="102" s="1"/>
  <c r="R66" i="102"/>
  <c r="AV59" i="65" a="1"/>
  <c r="AV59" i="65" s="1"/>
  <c r="AB3" i="102"/>
  <c r="AB4" i="102"/>
  <c r="AB5" i="102"/>
  <c r="AB6" i="102"/>
  <c r="AB7" i="102"/>
  <c r="AB8" i="102"/>
  <c r="AB9" i="102"/>
  <c r="AB14" i="102"/>
  <c r="AB15" i="102"/>
  <c r="AB16" i="102"/>
  <c r="AB17" i="102"/>
  <c r="AB18" i="102"/>
  <c r="AB19" i="102"/>
  <c r="AB20" i="102"/>
  <c r="AB21" i="102"/>
  <c r="AB22" i="102"/>
  <c r="AB23" i="102"/>
  <c r="AB24" i="102"/>
  <c r="AB25" i="102"/>
  <c r="AB26" i="102"/>
  <c r="AB27" i="102"/>
  <c r="AB28" i="102"/>
  <c r="AB29" i="102"/>
  <c r="AB30" i="102"/>
  <c r="AB31" i="102"/>
  <c r="AB32" i="102"/>
  <c r="AB33" i="102"/>
  <c r="AB34" i="102"/>
  <c r="AB35" i="102"/>
  <c r="AB36" i="102"/>
  <c r="AB37" i="102"/>
  <c r="AB38" i="102"/>
  <c r="AB39" i="102"/>
  <c r="AB40" i="102"/>
  <c r="AB41" i="102"/>
  <c r="AB42" i="102"/>
  <c r="AB43" i="102"/>
  <c r="AB44" i="102"/>
  <c r="AB45" i="102"/>
  <c r="AB46" i="102"/>
  <c r="AB47" i="102"/>
  <c r="AB48" i="102"/>
  <c r="AB49" i="102"/>
  <c r="AB50" i="102"/>
  <c r="AB51" i="102"/>
  <c r="AB52" i="102"/>
  <c r="AB53" i="102"/>
  <c r="AB54" i="102"/>
  <c r="AB55" i="102"/>
  <c r="AB56" i="102"/>
  <c r="AB57" i="102"/>
  <c r="AB58" i="102"/>
  <c r="AB59" i="102"/>
  <c r="AB60" i="102"/>
  <c r="AB61" i="102"/>
  <c r="AB62" i="102"/>
  <c r="AB63" i="102"/>
  <c r="AB64" i="102"/>
  <c r="AB65" i="102"/>
  <c r="AB66" i="102"/>
  <c r="AB2" i="102"/>
  <c r="AB3" i="96"/>
  <c r="AB4" i="96"/>
  <c r="AB5" i="96"/>
  <c r="AB6" i="96"/>
  <c r="AB7" i="96"/>
  <c r="AB8" i="96"/>
  <c r="AB9" i="96"/>
  <c r="AB10" i="96"/>
  <c r="AB11" i="96"/>
  <c r="AB16" i="96"/>
  <c r="AB17" i="96"/>
  <c r="AB18" i="96"/>
  <c r="AB19" i="96"/>
  <c r="AB20" i="96"/>
  <c r="AB21" i="96"/>
  <c r="AB22" i="96"/>
  <c r="AB23" i="96"/>
  <c r="AB24" i="96"/>
  <c r="AB25" i="96"/>
  <c r="AB26" i="96"/>
  <c r="AB27" i="96"/>
  <c r="AB28" i="96"/>
  <c r="AB29" i="96"/>
  <c r="AB30" i="96"/>
  <c r="AB31" i="96"/>
  <c r="AB32" i="96"/>
  <c r="AB33" i="96"/>
  <c r="AB34" i="96"/>
  <c r="AB35" i="96"/>
  <c r="AB36" i="96"/>
  <c r="AB37" i="96"/>
  <c r="AB38" i="96"/>
  <c r="AB39" i="96"/>
  <c r="AB40" i="96"/>
  <c r="AB41" i="96"/>
  <c r="AB42" i="96"/>
  <c r="AB43" i="96"/>
  <c r="AB44" i="96"/>
  <c r="AB45" i="96"/>
  <c r="AB46" i="96"/>
  <c r="AB47" i="96"/>
  <c r="AB48" i="96"/>
  <c r="AB49" i="96"/>
  <c r="AB50" i="96"/>
  <c r="AB51" i="96"/>
  <c r="AB52" i="96"/>
  <c r="AB53" i="96"/>
  <c r="AB54" i="96"/>
  <c r="AB55" i="96"/>
  <c r="AB56" i="96"/>
  <c r="AB57" i="96"/>
  <c r="AB58" i="96"/>
  <c r="AB59" i="96"/>
  <c r="AB60" i="96"/>
  <c r="AB61" i="96"/>
  <c r="AB62" i="96"/>
  <c r="AB63" i="96"/>
  <c r="AB64" i="96"/>
  <c r="AB65" i="96"/>
  <c r="AB66" i="96"/>
  <c r="AB67" i="96"/>
  <c r="AB68" i="96"/>
  <c r="AB69" i="96"/>
  <c r="AB70" i="96"/>
  <c r="AB71" i="96"/>
  <c r="AB72" i="96"/>
  <c r="AB73" i="96"/>
  <c r="AB74" i="96"/>
  <c r="AB75" i="96"/>
  <c r="AB76" i="96"/>
  <c r="AB77" i="96"/>
  <c r="AB78" i="96"/>
  <c r="AB79" i="96"/>
  <c r="AB80" i="96"/>
  <c r="AB81" i="96"/>
  <c r="AB82" i="96"/>
  <c r="AB83" i="96"/>
  <c r="AB84" i="96"/>
  <c r="AB85" i="96"/>
  <c r="AB86" i="96"/>
  <c r="AB87" i="96"/>
  <c r="AB88" i="96"/>
  <c r="AB89" i="96"/>
  <c r="AB90" i="96"/>
  <c r="AB91" i="96"/>
  <c r="AB92" i="96"/>
  <c r="AB93" i="96"/>
  <c r="AB94" i="96"/>
  <c r="AB95" i="96"/>
  <c r="AB96" i="96"/>
  <c r="AB97" i="96"/>
  <c r="AB98" i="96"/>
  <c r="AB99" i="96"/>
  <c r="AB100" i="96"/>
  <c r="AB101" i="96"/>
  <c r="AB102" i="96"/>
  <c r="AB103" i="96"/>
  <c r="AB104" i="96"/>
  <c r="AB105" i="96"/>
  <c r="AB106" i="96"/>
  <c r="AB107" i="96"/>
  <c r="AB108" i="96"/>
  <c r="AB109" i="96"/>
  <c r="AB110" i="96"/>
  <c r="AB111" i="96"/>
  <c r="AB112" i="96"/>
  <c r="AB113" i="96"/>
  <c r="AB114" i="96"/>
  <c r="AB115" i="96"/>
  <c r="AB116" i="96"/>
  <c r="AB117" i="96"/>
  <c r="AB118" i="96"/>
  <c r="AB119" i="96"/>
  <c r="AB120" i="96"/>
  <c r="AB121" i="96"/>
  <c r="AB2" i="96"/>
  <c r="AB3" i="103" a="1"/>
  <c r="AB3" i="103" s="1"/>
  <c r="AB4" i="103" a="1"/>
  <c r="AB4" i="103" s="1"/>
  <c r="AB5" i="103" a="1"/>
  <c r="AB5" i="103" s="1"/>
  <c r="AB6" i="103" a="1"/>
  <c r="AB6" i="103" s="1"/>
  <c r="AB7" i="103" a="1"/>
  <c r="AB7" i="103" s="1"/>
  <c r="AB8" i="103" a="1"/>
  <c r="AB8" i="103" s="1"/>
  <c r="AB9" i="103" a="1"/>
  <c r="AB9" i="103" s="1"/>
  <c r="AB10" i="103" a="1"/>
  <c r="AB10" i="103" s="1"/>
  <c r="AB11" i="103" a="1"/>
  <c r="AB11" i="103" s="1"/>
  <c r="AB12" i="103" a="1"/>
  <c r="AB12" i="103" s="1"/>
  <c r="AB13" i="103" a="1"/>
  <c r="AB13" i="103" s="1"/>
  <c r="AB14" i="103" a="1"/>
  <c r="AB14" i="103" s="1"/>
  <c r="AB15" i="103" a="1"/>
  <c r="AB15" i="103" s="1"/>
  <c r="AB16" i="103" a="1"/>
  <c r="AB16" i="103" s="1"/>
  <c r="AB17" i="103" a="1"/>
  <c r="AB17" i="103" s="1"/>
  <c r="AB18" i="103" a="1"/>
  <c r="AB18" i="103" s="1"/>
  <c r="AB19" i="103" a="1"/>
  <c r="AB19" i="103" s="1"/>
  <c r="AB20" i="103" a="1"/>
  <c r="AB20" i="103" s="1"/>
  <c r="AB21" i="103" a="1"/>
  <c r="AB21" i="103" s="1"/>
  <c r="AB22" i="103" a="1"/>
  <c r="AB22" i="103" s="1"/>
  <c r="AB23" i="103" a="1"/>
  <c r="AB23" i="103" s="1"/>
  <c r="AB24" i="103" a="1"/>
  <c r="AB24" i="103" s="1"/>
  <c r="AB25" i="103" a="1"/>
  <c r="AB25" i="103" s="1"/>
  <c r="AB26" i="103" a="1"/>
  <c r="AB26" i="103" s="1"/>
  <c r="AB27" i="103" a="1"/>
  <c r="AB27" i="103" s="1"/>
  <c r="AB28" i="103" a="1"/>
  <c r="AB28" i="103" s="1"/>
  <c r="AB29" i="103" a="1"/>
  <c r="AB29" i="103" s="1"/>
  <c r="U19" i="34" s="1"/>
  <c r="AB30" i="103" a="1"/>
  <c r="AB30" i="103" s="1"/>
  <c r="AB31" i="103" a="1"/>
  <c r="AB31" i="103" s="1"/>
  <c r="AB32" i="103" a="1"/>
  <c r="AB32" i="103" s="1"/>
  <c r="AB33" i="103" a="1"/>
  <c r="AB33" i="103" s="1"/>
  <c r="AB34" i="103" a="1"/>
  <c r="AB34" i="103" s="1"/>
  <c r="AB35" i="103" a="1"/>
  <c r="AB35" i="103" s="1"/>
  <c r="AB36" i="103" a="1"/>
  <c r="AB36" i="103" s="1"/>
  <c r="AB37" i="103" a="1"/>
  <c r="AB37" i="103" s="1"/>
  <c r="AB38" i="103" a="1"/>
  <c r="AB38" i="103" s="1"/>
  <c r="AB39" i="103" a="1"/>
  <c r="AB39" i="103" s="1"/>
  <c r="AB40" i="103" a="1"/>
  <c r="AB40" i="103" s="1"/>
  <c r="AB41" i="103" a="1"/>
  <c r="AB41" i="103" s="1"/>
  <c r="AB42" i="103" a="1"/>
  <c r="AB42" i="103" s="1"/>
  <c r="AB43" i="103" a="1"/>
  <c r="AB43" i="103" s="1"/>
  <c r="AB44" i="103" a="1"/>
  <c r="AB44" i="103" s="1"/>
  <c r="AB45" i="103" a="1"/>
  <c r="AB45" i="103" s="1"/>
  <c r="AB46" i="103" a="1"/>
  <c r="AB46" i="103" s="1"/>
  <c r="AB47" i="103" a="1"/>
  <c r="AB47" i="103" s="1"/>
  <c r="AB48" i="103" a="1"/>
  <c r="AB48" i="103" s="1"/>
  <c r="AB49" i="103" a="1"/>
  <c r="AB49" i="103" s="1"/>
  <c r="AB50" i="103" a="1"/>
  <c r="AB50" i="103" s="1"/>
  <c r="AB51" i="103" a="1"/>
  <c r="AB51" i="103" s="1"/>
  <c r="AB52" i="103" a="1"/>
  <c r="AB52" i="103" s="1"/>
  <c r="AB53" i="103" a="1"/>
  <c r="AB53" i="103" s="1"/>
  <c r="AB54" i="103" a="1"/>
  <c r="AB54" i="103" s="1"/>
  <c r="AB55" i="103" a="1"/>
  <c r="AB55" i="103" s="1"/>
  <c r="AB56" i="103" a="1"/>
  <c r="AB56" i="103" s="1"/>
  <c r="AB57" i="103" a="1"/>
  <c r="AB57" i="103" s="1"/>
  <c r="AB58" i="103" a="1"/>
  <c r="AB58" i="103" s="1"/>
  <c r="AB59" i="103" a="1"/>
  <c r="AB59" i="103" s="1"/>
  <c r="AB60" i="103" a="1"/>
  <c r="AB60" i="103" s="1"/>
  <c r="AB61" i="103" a="1"/>
  <c r="AB61" i="103" s="1"/>
  <c r="AB62" i="103" a="1"/>
  <c r="AB62" i="103" s="1"/>
  <c r="AB63" i="103" a="1"/>
  <c r="AB63" i="103" s="1"/>
  <c r="AB64" i="103" a="1"/>
  <c r="AB64" i="103" s="1"/>
  <c r="AB65" i="103" a="1"/>
  <c r="AB65" i="103" s="1"/>
  <c r="AB66" i="103" a="1"/>
  <c r="AB66" i="103" s="1"/>
  <c r="AB67" i="103" a="1"/>
  <c r="AB67" i="103" s="1"/>
  <c r="AB68" i="103" a="1"/>
  <c r="AB68" i="103" s="1"/>
  <c r="AB69" i="103" a="1"/>
  <c r="AB69" i="103" s="1"/>
  <c r="AB70" i="103" a="1"/>
  <c r="AB70" i="103" s="1"/>
  <c r="AB71" i="103" a="1"/>
  <c r="AB71" i="103" s="1"/>
  <c r="AB72" i="103" a="1"/>
  <c r="AB72" i="103" s="1"/>
  <c r="AB73" i="103" a="1"/>
  <c r="AB73" i="103" s="1"/>
  <c r="AB74" i="103" a="1"/>
  <c r="AB74" i="103" s="1"/>
  <c r="AB75" i="103" a="1"/>
  <c r="AB75" i="103" s="1"/>
  <c r="AB76" i="103" a="1"/>
  <c r="AB76" i="103" s="1"/>
  <c r="AB77" i="103" a="1"/>
  <c r="AB77" i="103" s="1"/>
  <c r="AB78" i="103" a="1"/>
  <c r="AB78" i="103" s="1"/>
  <c r="AB79" i="103" a="1"/>
  <c r="AB79" i="103" s="1"/>
  <c r="AB80" i="103" a="1"/>
  <c r="AB80" i="103" s="1"/>
  <c r="AB81" i="103" a="1"/>
  <c r="AB81" i="103" s="1"/>
  <c r="AB82" i="103" a="1"/>
  <c r="AB82" i="103" s="1"/>
  <c r="AB83" i="103" a="1"/>
  <c r="AB83" i="103" s="1"/>
  <c r="AB84" i="103" a="1"/>
  <c r="AB84" i="103" s="1"/>
  <c r="AB85" i="103" a="1"/>
  <c r="AB85" i="103" s="1"/>
  <c r="AB86" i="103" a="1"/>
  <c r="AB86" i="103" s="1"/>
  <c r="AB87" i="103" a="1"/>
  <c r="AB87" i="103" s="1"/>
  <c r="AB88" i="103" a="1"/>
  <c r="AB88" i="103" s="1"/>
  <c r="AB89" i="103" a="1"/>
  <c r="AB89" i="103" s="1"/>
  <c r="AB90" i="103" a="1"/>
  <c r="AB90" i="103" s="1"/>
  <c r="AB91" i="103" a="1"/>
  <c r="AB91" i="103" s="1"/>
  <c r="AB92" i="103" a="1"/>
  <c r="AB92" i="103" s="1"/>
  <c r="AB93" i="103" a="1"/>
  <c r="AB93" i="103" s="1"/>
  <c r="AB94" i="103" a="1"/>
  <c r="AB94" i="103" s="1"/>
  <c r="AB95" i="103" a="1"/>
  <c r="AB95" i="103" s="1"/>
  <c r="AB96" i="103" a="1"/>
  <c r="AB96" i="103" s="1"/>
  <c r="AB97" i="103" a="1"/>
  <c r="AB97" i="103" s="1"/>
  <c r="AB98" i="103" a="1"/>
  <c r="AB98" i="103" s="1"/>
  <c r="AB99" i="103" a="1"/>
  <c r="AB99" i="103" s="1"/>
  <c r="AB100" i="103" a="1"/>
  <c r="AB100" i="103" s="1"/>
  <c r="AB101" i="103" a="1"/>
  <c r="AB101" i="103" s="1"/>
  <c r="AB102" i="103" a="1"/>
  <c r="AB102" i="103" s="1"/>
  <c r="AB103" i="103" a="1"/>
  <c r="AB103" i="103" s="1"/>
  <c r="AB104" i="103" a="1"/>
  <c r="AB104" i="103" s="1"/>
  <c r="AB105" i="103" a="1"/>
  <c r="AB105" i="103" s="1"/>
  <c r="AB106" i="103" a="1"/>
  <c r="AB106" i="103" s="1"/>
  <c r="AB107" i="103" a="1"/>
  <c r="AB107" i="103" s="1"/>
  <c r="AB108" i="103" a="1"/>
  <c r="AB108" i="103" s="1"/>
  <c r="AB109" i="103" a="1"/>
  <c r="AB109" i="103" s="1"/>
  <c r="AB110" i="103" a="1"/>
  <c r="AB110" i="103" s="1"/>
  <c r="AB111" i="103" a="1"/>
  <c r="AB111" i="103" s="1"/>
  <c r="AB112" i="103" a="1"/>
  <c r="AB112" i="103" s="1"/>
  <c r="AB113" i="103" a="1"/>
  <c r="AB113" i="103" s="1"/>
  <c r="AB114" i="103" a="1"/>
  <c r="AB114" i="103" s="1"/>
  <c r="AB115" i="103" a="1"/>
  <c r="AB115" i="103" s="1"/>
  <c r="AB116" i="103" a="1"/>
  <c r="AB116" i="103" s="1"/>
  <c r="AB117" i="103" a="1"/>
  <c r="AB117" i="103" s="1"/>
  <c r="AB118" i="103" a="1"/>
  <c r="AB118" i="103" s="1"/>
  <c r="AB119" i="103" a="1"/>
  <c r="AB119" i="103" s="1"/>
  <c r="AB120" i="103" a="1"/>
  <c r="AB120" i="103" s="1"/>
  <c r="AB121" i="103" a="1"/>
  <c r="AB121" i="103" s="1"/>
  <c r="AB122" i="103" a="1"/>
  <c r="AB122" i="103" s="1"/>
  <c r="AB123" i="103" a="1"/>
  <c r="AB123" i="103" s="1"/>
  <c r="AB124" i="103" a="1"/>
  <c r="AB124" i="103" s="1"/>
  <c r="AB125" i="103" a="1"/>
  <c r="AB125" i="103" s="1"/>
  <c r="AB126" i="103" a="1"/>
  <c r="AB126" i="103" s="1"/>
  <c r="AB127" i="103" a="1"/>
  <c r="AB127" i="103" s="1"/>
  <c r="AB128" i="103" a="1"/>
  <c r="AB128" i="103" s="1"/>
  <c r="AB129" i="103" a="1"/>
  <c r="AB129" i="103" s="1"/>
  <c r="AB130" i="103" a="1"/>
  <c r="AB130" i="103" s="1"/>
  <c r="AB131" i="103" a="1"/>
  <c r="AB131" i="103" s="1"/>
  <c r="AB132" i="103" a="1"/>
  <c r="AB132" i="103" s="1"/>
  <c r="AB133" i="103" a="1"/>
  <c r="AB133" i="103" s="1"/>
  <c r="AB134" i="103" a="1"/>
  <c r="AB134" i="103" s="1"/>
  <c r="AB135" i="103" a="1"/>
  <c r="AB135" i="103" s="1"/>
  <c r="AB136" i="103" a="1"/>
  <c r="AB136" i="103" s="1"/>
  <c r="AB137" i="103" a="1"/>
  <c r="AB137" i="103" s="1"/>
  <c r="AB138" i="103" a="1"/>
  <c r="AB138" i="103" s="1"/>
  <c r="AB139" i="103" a="1"/>
  <c r="AB139" i="103" s="1"/>
  <c r="AB140" i="103" a="1"/>
  <c r="AB140" i="103" s="1"/>
  <c r="AB141" i="103" a="1"/>
  <c r="AB141" i="103" s="1"/>
  <c r="AB142" i="103" a="1"/>
  <c r="AB142" i="103" s="1"/>
  <c r="AB143" i="103" a="1"/>
  <c r="AB143" i="103" s="1"/>
  <c r="AB144" i="103" a="1"/>
  <c r="AB144" i="103" s="1"/>
  <c r="AB145" i="103" a="1"/>
  <c r="AB145" i="103" s="1"/>
  <c r="AB146" i="103" a="1"/>
  <c r="AB146" i="103" s="1"/>
  <c r="AB147" i="103" a="1"/>
  <c r="AB147" i="103" s="1"/>
  <c r="AB148" i="103" a="1"/>
  <c r="AB148" i="103" s="1"/>
  <c r="AB149" i="103" a="1"/>
  <c r="AB149" i="103" s="1"/>
  <c r="AB150" i="103" a="1"/>
  <c r="AB150" i="103" s="1"/>
  <c r="AB151" i="103" a="1"/>
  <c r="AB151" i="103" s="1"/>
  <c r="AB152" i="103" a="1"/>
  <c r="AB152" i="103" s="1"/>
  <c r="AB153" i="103" a="1"/>
  <c r="AB153" i="103" s="1"/>
  <c r="AB154" i="103" a="1"/>
  <c r="AB154" i="103" s="1"/>
  <c r="AB155" i="103" a="1"/>
  <c r="AB155" i="103" s="1"/>
  <c r="AB156" i="103" a="1"/>
  <c r="AB156" i="103" s="1"/>
  <c r="AB157" i="103" a="1"/>
  <c r="AB157" i="103" s="1"/>
  <c r="AB158" i="103" a="1"/>
  <c r="AB158" i="103" s="1"/>
  <c r="AB159" i="103" a="1"/>
  <c r="AB159" i="103" s="1"/>
  <c r="AB160" i="103" a="1"/>
  <c r="AB160" i="103" s="1"/>
  <c r="AB161" i="103" a="1"/>
  <c r="AB161" i="103" s="1"/>
  <c r="AB162" i="103" a="1"/>
  <c r="AB162" i="103" s="1"/>
  <c r="AB163" i="103" a="1"/>
  <c r="AB163" i="103" s="1"/>
  <c r="AB164" i="103" a="1"/>
  <c r="AB164" i="103" s="1"/>
  <c r="AB165" i="103" a="1"/>
  <c r="AB165" i="103" s="1"/>
  <c r="AB166" i="103" a="1"/>
  <c r="AB166" i="103" s="1"/>
  <c r="AB167" i="103" a="1"/>
  <c r="AB167" i="103" s="1"/>
  <c r="AB168" i="103" a="1"/>
  <c r="AB168" i="103" s="1"/>
  <c r="AB169" i="103" a="1"/>
  <c r="AB169" i="103" s="1"/>
  <c r="AB170" i="103" a="1"/>
  <c r="AB170" i="103" s="1"/>
  <c r="AB171" i="103" a="1"/>
  <c r="AB171" i="103" s="1"/>
  <c r="AB172" i="103" a="1"/>
  <c r="AB172" i="103" s="1"/>
  <c r="AB173" i="103" a="1"/>
  <c r="AB173" i="103" s="1"/>
  <c r="AB174" i="103" a="1"/>
  <c r="AB174" i="103" s="1"/>
  <c r="AB175" i="103" a="1"/>
  <c r="AB175" i="103" s="1"/>
  <c r="AB176" i="103" a="1"/>
  <c r="AB176" i="103" s="1"/>
  <c r="AB177" i="103" a="1"/>
  <c r="AB177" i="103" s="1"/>
  <c r="AB178" i="103" a="1"/>
  <c r="AB178" i="103" s="1"/>
  <c r="AB179" i="103" a="1"/>
  <c r="AB179" i="103" s="1"/>
  <c r="AB180" i="103" a="1"/>
  <c r="AB180" i="103" s="1"/>
  <c r="AB181" i="103" a="1"/>
  <c r="AB181" i="103" s="1"/>
  <c r="AB182" i="103" a="1"/>
  <c r="AB182" i="103" s="1"/>
  <c r="AB183" i="103" a="1"/>
  <c r="AB183" i="103" s="1"/>
  <c r="AB184" i="103" a="1"/>
  <c r="AB184" i="103" s="1"/>
  <c r="AB185" i="103" a="1"/>
  <c r="AB185" i="103" s="1"/>
  <c r="AB186" i="103" a="1"/>
  <c r="AB186" i="103" s="1"/>
  <c r="AB187" i="103" a="1"/>
  <c r="AB187" i="103" s="1"/>
  <c r="AB188" i="103" a="1"/>
  <c r="AB188" i="103" s="1"/>
  <c r="AB189" i="103" a="1"/>
  <c r="AB189" i="103" s="1"/>
  <c r="AB190" i="103" a="1"/>
  <c r="AB190" i="103" s="1"/>
  <c r="AB191" i="103" a="1"/>
  <c r="AB191" i="103" s="1"/>
  <c r="AB192" i="103" a="1"/>
  <c r="AB192" i="103" s="1"/>
  <c r="AB193" i="103" a="1"/>
  <c r="AB193" i="103" s="1"/>
  <c r="AB194" i="103" a="1"/>
  <c r="AB194" i="103" s="1"/>
  <c r="AB195" i="103" a="1"/>
  <c r="AB195" i="103" s="1"/>
  <c r="AB196" i="103" a="1"/>
  <c r="AB196" i="103" s="1"/>
  <c r="AB197" i="103" a="1"/>
  <c r="AB197" i="103" s="1"/>
  <c r="AB198" i="103" a="1"/>
  <c r="AB198" i="103" s="1"/>
  <c r="AB199" i="103" a="1"/>
  <c r="AB199" i="103" s="1"/>
  <c r="AB200" i="103" a="1"/>
  <c r="AB200" i="103" s="1"/>
  <c r="AB201" i="103" a="1"/>
  <c r="AB201" i="103" s="1"/>
  <c r="AB202" i="103" a="1"/>
  <c r="AB202" i="103" s="1"/>
  <c r="AB203" i="103" a="1"/>
  <c r="AB203" i="103" s="1"/>
  <c r="AB204" i="103" a="1"/>
  <c r="AB204" i="103" s="1"/>
  <c r="AB205" i="103" a="1"/>
  <c r="AB205" i="103" s="1"/>
  <c r="AB206" i="103" a="1"/>
  <c r="AB206" i="103" s="1"/>
  <c r="AB207" i="103" a="1"/>
  <c r="AB207" i="103" s="1"/>
  <c r="AB208" i="103" a="1"/>
  <c r="AB208" i="103" s="1"/>
  <c r="AB209" i="103" a="1"/>
  <c r="AB209" i="103" s="1"/>
  <c r="AB210" i="103" a="1"/>
  <c r="AB210" i="103" s="1"/>
  <c r="AB211" i="103" a="1"/>
  <c r="AB211" i="103" s="1"/>
  <c r="AB212" i="103" a="1"/>
  <c r="AB212" i="103" s="1"/>
  <c r="AB213" i="103" a="1"/>
  <c r="AB213" i="103" s="1"/>
  <c r="AB214" i="103" a="1"/>
  <c r="AB214" i="103" s="1"/>
  <c r="AB215" i="103" a="1"/>
  <c r="AB215" i="103" s="1"/>
  <c r="AB216" i="103" a="1"/>
  <c r="AB216" i="103" s="1"/>
  <c r="AB217" i="103" a="1"/>
  <c r="AB217" i="103" s="1"/>
  <c r="AB218" i="103" a="1"/>
  <c r="AB218" i="103" s="1"/>
  <c r="AB219" i="103" a="1"/>
  <c r="AB219" i="103" s="1"/>
  <c r="AB220" i="103" a="1"/>
  <c r="AB220" i="103" s="1"/>
  <c r="AB221" i="103" a="1"/>
  <c r="AB221" i="103" s="1"/>
  <c r="AB222" i="103" a="1"/>
  <c r="AB222" i="103" s="1"/>
  <c r="AB223" i="103" a="1"/>
  <c r="AB223" i="103" s="1"/>
  <c r="AB224" i="103" a="1"/>
  <c r="AB224" i="103" s="1"/>
  <c r="AB225" i="103" a="1"/>
  <c r="AB225" i="103" s="1"/>
  <c r="AB226" i="103" a="1"/>
  <c r="AB226" i="103" s="1"/>
  <c r="AB227" i="103" a="1"/>
  <c r="AB227" i="103" s="1"/>
  <c r="AB228" i="103" a="1"/>
  <c r="AB228" i="103" s="1"/>
  <c r="AB229" i="103" a="1"/>
  <c r="AB229" i="103" s="1"/>
  <c r="AB230" i="103" a="1"/>
  <c r="AB230" i="103" s="1"/>
  <c r="AB231" i="103" a="1"/>
  <c r="AB231" i="103" s="1"/>
  <c r="AB232" i="103" a="1"/>
  <c r="AB232" i="103" s="1"/>
  <c r="AB233" i="103" a="1"/>
  <c r="AB233" i="103" s="1"/>
  <c r="AB234" i="103" a="1"/>
  <c r="AB234" i="103" s="1"/>
  <c r="AB235" i="103" a="1"/>
  <c r="AB235" i="103" s="1"/>
  <c r="AB236" i="103" a="1"/>
  <c r="AB236" i="103" s="1"/>
  <c r="AB237" i="103" a="1"/>
  <c r="AB237" i="103" s="1"/>
  <c r="AB238" i="103" a="1"/>
  <c r="AB238" i="103" s="1"/>
  <c r="AB239" i="103" a="1"/>
  <c r="AB239" i="103" s="1"/>
  <c r="AB240" i="103" a="1"/>
  <c r="AB240" i="103" s="1"/>
  <c r="AB241" i="103" a="1"/>
  <c r="AB241" i="103" s="1"/>
  <c r="AB242" i="103" a="1"/>
  <c r="AB242" i="103" s="1"/>
  <c r="AB243" i="103" a="1"/>
  <c r="AB243" i="103" s="1"/>
  <c r="AB244" i="103" a="1"/>
  <c r="AB244" i="103" s="1"/>
  <c r="AB245" i="103" a="1"/>
  <c r="AB245" i="103" s="1"/>
  <c r="AB246" i="103" a="1"/>
  <c r="AB246" i="103" s="1"/>
  <c r="AB247" i="103" a="1"/>
  <c r="AB247" i="103" s="1"/>
  <c r="AB248" i="103" a="1"/>
  <c r="AB248" i="103" s="1"/>
  <c r="AB249" i="103" a="1"/>
  <c r="AB249" i="103" s="1"/>
  <c r="AB250" i="103" a="1"/>
  <c r="AB250" i="103" s="1"/>
  <c r="AB251" i="103" a="1"/>
  <c r="AB251" i="103" s="1"/>
  <c r="AB252" i="103" a="1"/>
  <c r="AB252" i="103" s="1"/>
  <c r="AB253" i="103" a="1"/>
  <c r="AB253" i="103" s="1"/>
  <c r="AB254" i="103" a="1"/>
  <c r="AB254" i="103" s="1"/>
  <c r="AB255" i="103" a="1"/>
  <c r="AB255" i="103" s="1"/>
  <c r="AB256" i="103" a="1"/>
  <c r="AB256" i="103" s="1"/>
  <c r="AB257" i="103" a="1"/>
  <c r="AB257" i="103" s="1"/>
  <c r="AB258" i="103" a="1"/>
  <c r="AB258" i="103" s="1"/>
  <c r="AB259" i="103" a="1"/>
  <c r="AB259" i="103" s="1"/>
  <c r="AB260" i="103" a="1"/>
  <c r="AB260" i="103" s="1"/>
  <c r="AB261" i="103" a="1"/>
  <c r="AB261" i="103" s="1"/>
  <c r="AB262" i="103" a="1"/>
  <c r="AB262" i="103" s="1"/>
  <c r="AB263" i="103" a="1"/>
  <c r="AB263" i="103" s="1"/>
  <c r="AB264" i="103" a="1"/>
  <c r="AB264" i="103" s="1"/>
  <c r="AB265" i="103" a="1"/>
  <c r="AB265" i="103" s="1"/>
  <c r="AB266" i="103" a="1"/>
  <c r="AB266" i="103" s="1"/>
  <c r="AB267" i="103" a="1"/>
  <c r="AB267" i="103" s="1"/>
  <c r="AB268" i="103" a="1"/>
  <c r="AB268" i="103" s="1"/>
  <c r="AB269" i="103" a="1"/>
  <c r="AB269" i="103" s="1"/>
  <c r="AB270" i="103" a="1"/>
  <c r="AB270" i="103" s="1"/>
  <c r="AB271" i="103" a="1"/>
  <c r="AB271" i="103" s="1"/>
  <c r="AB272" i="103" a="1"/>
  <c r="AB272" i="103" s="1"/>
  <c r="AB273" i="103" a="1"/>
  <c r="AB273" i="103" s="1"/>
  <c r="AB274" i="103" a="1"/>
  <c r="AB274" i="103" s="1"/>
  <c r="AB275" i="103" a="1"/>
  <c r="AB275" i="103" s="1"/>
  <c r="AB276" i="103" a="1"/>
  <c r="AB276" i="103" s="1"/>
  <c r="AB277" i="103" a="1"/>
  <c r="AB277" i="103" s="1"/>
  <c r="AB278" i="103" a="1"/>
  <c r="AB278" i="103" s="1"/>
  <c r="AB279" i="103" a="1"/>
  <c r="AB279" i="103" s="1"/>
  <c r="AB280" i="103" a="1"/>
  <c r="AB280" i="103" s="1"/>
  <c r="AB281" i="103" a="1"/>
  <c r="AB281" i="103" s="1"/>
  <c r="AB282" i="103" a="1"/>
  <c r="AB282" i="103" s="1"/>
  <c r="AB283" i="103" a="1"/>
  <c r="AB283" i="103" s="1"/>
  <c r="AB284" i="103" a="1"/>
  <c r="AB284" i="103" s="1"/>
  <c r="AB285" i="103" a="1"/>
  <c r="AB285" i="103" s="1"/>
  <c r="AB286" i="103" a="1"/>
  <c r="AB286" i="103" s="1"/>
  <c r="AB287" i="103" a="1"/>
  <c r="AB287" i="103" s="1"/>
  <c r="AB288" i="103" a="1"/>
  <c r="AB288" i="103" s="1"/>
  <c r="AB289" i="103" a="1"/>
  <c r="AB289" i="103" s="1"/>
  <c r="AB290" i="103" a="1"/>
  <c r="AB290" i="103" s="1"/>
  <c r="AB291" i="103" a="1"/>
  <c r="AB291" i="103" s="1"/>
  <c r="AB292" i="103" a="1"/>
  <c r="AB292" i="103" s="1"/>
  <c r="AB293" i="103" a="1"/>
  <c r="AB293" i="103" s="1"/>
  <c r="AB294" i="103" a="1"/>
  <c r="AB294" i="103" s="1"/>
  <c r="AB295" i="103" a="1"/>
  <c r="AB295" i="103" s="1"/>
  <c r="AB296" i="103" a="1"/>
  <c r="AB296" i="103" s="1"/>
  <c r="AB297" i="103" a="1"/>
  <c r="AB297" i="103" s="1"/>
  <c r="AB298" i="103" a="1"/>
  <c r="AB298" i="103" s="1"/>
  <c r="AB299" i="103" a="1"/>
  <c r="AB299" i="103" s="1"/>
  <c r="AB300" i="103" a="1"/>
  <c r="AB300" i="103" s="1"/>
  <c r="AB301" i="103" a="1"/>
  <c r="AB301" i="103" s="1"/>
  <c r="AB302" i="103" a="1"/>
  <c r="AB302" i="103" s="1"/>
  <c r="AB303" i="103" a="1"/>
  <c r="AB303" i="103" s="1"/>
  <c r="AB304" i="103" a="1"/>
  <c r="AB304" i="103" s="1"/>
  <c r="AB305" i="103" a="1"/>
  <c r="AB305" i="103" s="1"/>
  <c r="AB306" i="103" a="1"/>
  <c r="AB306" i="103" s="1"/>
  <c r="AB307" i="103" a="1"/>
  <c r="AB307" i="103" s="1"/>
  <c r="AB308" i="103" a="1"/>
  <c r="AB308" i="103" s="1"/>
  <c r="AB309" i="103" a="1"/>
  <c r="AB309" i="103" s="1"/>
  <c r="AB310" i="103" a="1"/>
  <c r="AB310" i="103" s="1"/>
  <c r="AB311" i="103" a="1"/>
  <c r="AB311" i="103" s="1"/>
  <c r="AB312" i="103" a="1"/>
  <c r="AB312" i="103" s="1"/>
  <c r="AB313" i="103" a="1"/>
  <c r="AB313" i="103" s="1"/>
  <c r="AB314" i="103" a="1"/>
  <c r="AB314" i="103" s="1"/>
  <c r="AB315" i="103" a="1"/>
  <c r="AB315" i="103" s="1"/>
  <c r="AB316" i="103" a="1"/>
  <c r="AB316" i="103" s="1"/>
  <c r="AB317" i="103" a="1"/>
  <c r="AB317" i="103" s="1"/>
  <c r="AB318" i="103" a="1"/>
  <c r="AB318" i="103" s="1"/>
  <c r="AB319" i="103" a="1"/>
  <c r="AB319" i="103" s="1"/>
  <c r="AB320" i="103" a="1"/>
  <c r="AB320" i="103" s="1"/>
  <c r="AB321" i="103" a="1"/>
  <c r="AB321" i="103" s="1"/>
  <c r="AB322" i="103" a="1"/>
  <c r="AB322" i="103" s="1"/>
  <c r="AB323" i="103" a="1"/>
  <c r="AB323" i="103" s="1"/>
  <c r="AB324" i="103" a="1"/>
  <c r="AB324" i="103" s="1"/>
  <c r="AB325" i="103" a="1"/>
  <c r="AB325" i="103" s="1"/>
  <c r="AB326" i="103" a="1"/>
  <c r="AB326" i="103" s="1"/>
  <c r="AB327" i="103" a="1"/>
  <c r="AB327" i="103" s="1"/>
  <c r="AB328" i="103" a="1"/>
  <c r="AB328" i="103" s="1"/>
  <c r="AB329" i="103" a="1"/>
  <c r="AB329" i="103" s="1"/>
  <c r="AB330" i="103" a="1"/>
  <c r="AB330" i="103" s="1"/>
  <c r="AB331" i="103" a="1"/>
  <c r="AB331" i="103" s="1"/>
  <c r="AB332" i="103" a="1"/>
  <c r="AB332" i="103" s="1"/>
  <c r="AB333" i="103" a="1"/>
  <c r="AB333" i="103" s="1"/>
  <c r="AB334" i="103" a="1"/>
  <c r="AB334" i="103" s="1"/>
  <c r="AB335" i="103" a="1"/>
  <c r="AB335" i="103" s="1"/>
  <c r="AB336" i="103" a="1"/>
  <c r="AB336" i="103" s="1"/>
  <c r="AB337" i="103" a="1"/>
  <c r="AB337" i="103" s="1"/>
  <c r="AB338" i="103" a="1"/>
  <c r="AB338" i="103" s="1"/>
  <c r="AB339" i="103" a="1"/>
  <c r="AB339" i="103" s="1"/>
  <c r="AB340" i="103" a="1"/>
  <c r="AB340" i="103" s="1"/>
  <c r="AB341" i="103" a="1"/>
  <c r="AB341" i="103" s="1"/>
  <c r="AB342" i="103" a="1"/>
  <c r="AB342" i="103" s="1"/>
  <c r="AB343" i="103" a="1"/>
  <c r="AB343" i="103" s="1"/>
  <c r="AB344" i="103" a="1"/>
  <c r="AB344" i="103" s="1"/>
  <c r="AB2" i="103" a="1"/>
  <c r="AB2" i="103" s="1"/>
  <c r="S19" i="34"/>
  <c r="K19" i="34"/>
  <c r="J19" i="34"/>
  <c r="I19" i="34"/>
  <c r="H19" i="34"/>
  <c r="F19" i="34"/>
  <c r="E19" i="34"/>
  <c r="D19" i="34"/>
  <c r="H39" i="71"/>
  <c r="H38" i="71"/>
  <c r="Z344" i="103"/>
  <c r="X344" i="103"/>
  <c r="Z343" i="103"/>
  <c r="X343" i="103"/>
  <c r="Z342" i="103"/>
  <c r="X342" i="103"/>
  <c r="Z341" i="103"/>
  <c r="X341" i="103"/>
  <c r="Z340" i="103"/>
  <c r="X340" i="103"/>
  <c r="Z339" i="103"/>
  <c r="X339" i="103"/>
  <c r="Z338" i="103"/>
  <c r="X338" i="103"/>
  <c r="Z337" i="103"/>
  <c r="X337" i="103"/>
  <c r="Z336" i="103"/>
  <c r="X336" i="103"/>
  <c r="Z335" i="103"/>
  <c r="X335" i="103"/>
  <c r="Z334" i="103"/>
  <c r="X334" i="103"/>
  <c r="Z333" i="103"/>
  <c r="X333" i="103"/>
  <c r="Z332" i="103"/>
  <c r="X332" i="103"/>
  <c r="Z331" i="103"/>
  <c r="X331" i="103"/>
  <c r="Z330" i="103"/>
  <c r="X330" i="103"/>
  <c r="Z329" i="103"/>
  <c r="X329" i="103"/>
  <c r="Z328" i="103"/>
  <c r="X328" i="103"/>
  <c r="Z327" i="103"/>
  <c r="X327" i="103"/>
  <c r="Z326" i="103"/>
  <c r="X326" i="103"/>
  <c r="Z325" i="103"/>
  <c r="X325" i="103"/>
  <c r="Z324" i="103"/>
  <c r="X324" i="103"/>
  <c r="Z323" i="103"/>
  <c r="X323" i="103"/>
  <c r="Z322" i="103"/>
  <c r="X322" i="103"/>
  <c r="Z321" i="103"/>
  <c r="X321" i="103"/>
  <c r="Z320" i="103"/>
  <c r="X320" i="103"/>
  <c r="Z319" i="103"/>
  <c r="X319" i="103"/>
  <c r="Z318" i="103"/>
  <c r="X318" i="103"/>
  <c r="Z317" i="103"/>
  <c r="X317" i="103"/>
  <c r="Z316" i="103"/>
  <c r="X316" i="103"/>
  <c r="Z315" i="103"/>
  <c r="X315" i="103"/>
  <c r="Z314" i="103"/>
  <c r="X314" i="103"/>
  <c r="Z313" i="103"/>
  <c r="X313" i="103"/>
  <c r="Z312" i="103"/>
  <c r="X312" i="103"/>
  <c r="Z311" i="103"/>
  <c r="X311" i="103"/>
  <c r="Z310" i="103"/>
  <c r="X310" i="103"/>
  <c r="Z309" i="103"/>
  <c r="X309" i="103"/>
  <c r="Z308" i="103"/>
  <c r="X308" i="103"/>
  <c r="Z307" i="103"/>
  <c r="X307" i="103"/>
  <c r="Z306" i="103"/>
  <c r="X306" i="103"/>
  <c r="Z305" i="103"/>
  <c r="X305" i="103"/>
  <c r="Z304" i="103"/>
  <c r="X304" i="103"/>
  <c r="Z303" i="103"/>
  <c r="X303" i="103"/>
  <c r="Z302" i="103"/>
  <c r="X302" i="103"/>
  <c r="Z301" i="103"/>
  <c r="X301" i="103"/>
  <c r="Z300" i="103"/>
  <c r="X300" i="103"/>
  <c r="Z299" i="103"/>
  <c r="X299" i="103"/>
  <c r="Z298" i="103"/>
  <c r="X298" i="103"/>
  <c r="Z297" i="103"/>
  <c r="X297" i="103"/>
  <c r="Z296" i="103"/>
  <c r="X296" i="103"/>
  <c r="Z295" i="103"/>
  <c r="X295" i="103"/>
  <c r="Z294" i="103"/>
  <c r="X294" i="103"/>
  <c r="Z293" i="103"/>
  <c r="X293" i="103"/>
  <c r="Z292" i="103"/>
  <c r="X292" i="103"/>
  <c r="Z291" i="103"/>
  <c r="X291" i="103"/>
  <c r="Z290" i="103"/>
  <c r="X290" i="103"/>
  <c r="Z289" i="103"/>
  <c r="X289" i="103"/>
  <c r="Z288" i="103"/>
  <c r="X288" i="103"/>
  <c r="Z287" i="103"/>
  <c r="X287" i="103"/>
  <c r="Z286" i="103"/>
  <c r="X286" i="103"/>
  <c r="Z285" i="103"/>
  <c r="X285" i="103"/>
  <c r="Z284" i="103"/>
  <c r="X284" i="103"/>
  <c r="Z283" i="103"/>
  <c r="X283" i="103"/>
  <c r="Z282" i="103"/>
  <c r="X282" i="103"/>
  <c r="Z281" i="103"/>
  <c r="X281" i="103"/>
  <c r="Z280" i="103"/>
  <c r="X280" i="103"/>
  <c r="Z279" i="103"/>
  <c r="X279" i="103"/>
  <c r="Z278" i="103"/>
  <c r="X278" i="103"/>
  <c r="Z277" i="103"/>
  <c r="X277" i="103"/>
  <c r="Z276" i="103"/>
  <c r="X276" i="103"/>
  <c r="Z275" i="103"/>
  <c r="X275" i="103"/>
  <c r="Z274" i="103"/>
  <c r="X274" i="103"/>
  <c r="Z273" i="103"/>
  <c r="X273" i="103"/>
  <c r="Z272" i="103"/>
  <c r="X272" i="103"/>
  <c r="Z271" i="103"/>
  <c r="X271" i="103"/>
  <c r="Z270" i="103"/>
  <c r="X270" i="103"/>
  <c r="Z269" i="103"/>
  <c r="X269" i="103"/>
  <c r="Z268" i="103"/>
  <c r="X268" i="103"/>
  <c r="Z267" i="103"/>
  <c r="X267" i="103"/>
  <c r="Z266" i="103"/>
  <c r="X266" i="103"/>
  <c r="Z265" i="103"/>
  <c r="X265" i="103"/>
  <c r="Z264" i="103"/>
  <c r="X264" i="103"/>
  <c r="Z263" i="103"/>
  <c r="X263" i="103"/>
  <c r="Z262" i="103"/>
  <c r="X262" i="103"/>
  <c r="Z261" i="103"/>
  <c r="X261" i="103"/>
  <c r="Z260" i="103"/>
  <c r="X260" i="103"/>
  <c r="Z259" i="103"/>
  <c r="X259" i="103"/>
  <c r="Z258" i="103"/>
  <c r="X258" i="103"/>
  <c r="Z257" i="103"/>
  <c r="X257" i="103"/>
  <c r="Z256" i="103"/>
  <c r="X256" i="103"/>
  <c r="Z255" i="103"/>
  <c r="X255" i="103"/>
  <c r="Z254" i="103"/>
  <c r="X254" i="103"/>
  <c r="Z253" i="103"/>
  <c r="X253" i="103"/>
  <c r="Z252" i="103"/>
  <c r="X252" i="103"/>
  <c r="Z251" i="103"/>
  <c r="X251" i="103"/>
  <c r="Z250" i="103"/>
  <c r="X250" i="103"/>
  <c r="Z249" i="103"/>
  <c r="X249" i="103"/>
  <c r="Z248" i="103"/>
  <c r="X248" i="103"/>
  <c r="Z247" i="103"/>
  <c r="X247" i="103"/>
  <c r="Z246" i="103"/>
  <c r="X246" i="103"/>
  <c r="Z245" i="103"/>
  <c r="X245" i="103"/>
  <c r="Z244" i="103"/>
  <c r="X244" i="103"/>
  <c r="Z243" i="103"/>
  <c r="X243" i="103"/>
  <c r="Z242" i="103"/>
  <c r="X242" i="103"/>
  <c r="Z241" i="103"/>
  <c r="X241" i="103"/>
  <c r="Z240" i="103"/>
  <c r="X240" i="103"/>
  <c r="Z239" i="103"/>
  <c r="X239" i="103"/>
  <c r="Z238" i="103"/>
  <c r="X238" i="103"/>
  <c r="Z237" i="103"/>
  <c r="X237" i="103"/>
  <c r="Z236" i="103"/>
  <c r="X236" i="103"/>
  <c r="Z235" i="103"/>
  <c r="X235" i="103"/>
  <c r="Z234" i="103"/>
  <c r="X234" i="103"/>
  <c r="Z233" i="103"/>
  <c r="X233" i="103"/>
  <c r="Z232" i="103"/>
  <c r="X232" i="103"/>
  <c r="Z231" i="103"/>
  <c r="X231" i="103"/>
  <c r="Z230" i="103"/>
  <c r="X230" i="103"/>
  <c r="Z229" i="103"/>
  <c r="X229" i="103"/>
  <c r="Z228" i="103"/>
  <c r="X228" i="103"/>
  <c r="Z227" i="103"/>
  <c r="X227" i="103"/>
  <c r="Z226" i="103"/>
  <c r="X226" i="103"/>
  <c r="Z225" i="103"/>
  <c r="X225" i="103"/>
  <c r="Z224" i="103"/>
  <c r="X224" i="103"/>
  <c r="Z223" i="103"/>
  <c r="X223" i="103"/>
  <c r="Z222" i="103"/>
  <c r="X222" i="103"/>
  <c r="Z221" i="103"/>
  <c r="X221" i="103"/>
  <c r="Z220" i="103"/>
  <c r="X220" i="103"/>
  <c r="Z219" i="103"/>
  <c r="X219" i="103"/>
  <c r="Z218" i="103"/>
  <c r="X218" i="103"/>
  <c r="Z217" i="103"/>
  <c r="X217" i="103"/>
  <c r="Z216" i="103"/>
  <c r="X216" i="103"/>
  <c r="Z215" i="103"/>
  <c r="X215" i="103"/>
  <c r="Z214" i="103"/>
  <c r="X214" i="103"/>
  <c r="Z213" i="103"/>
  <c r="X213" i="103"/>
  <c r="Z212" i="103"/>
  <c r="X212" i="103"/>
  <c r="Z211" i="103"/>
  <c r="X211" i="103"/>
  <c r="Z210" i="103"/>
  <c r="X210" i="103"/>
  <c r="Z209" i="103"/>
  <c r="X209" i="103"/>
  <c r="Z208" i="103"/>
  <c r="X208" i="103"/>
  <c r="Z207" i="103"/>
  <c r="X207" i="103"/>
  <c r="Z206" i="103"/>
  <c r="X206" i="103"/>
  <c r="Z205" i="103"/>
  <c r="X205" i="103"/>
  <c r="Z204" i="103"/>
  <c r="X204" i="103"/>
  <c r="Z203" i="103"/>
  <c r="X203" i="103"/>
  <c r="Z202" i="103"/>
  <c r="X202" i="103"/>
  <c r="Z201" i="103"/>
  <c r="X201" i="103"/>
  <c r="Z200" i="103"/>
  <c r="X200" i="103"/>
  <c r="Z199" i="103"/>
  <c r="X199" i="103"/>
  <c r="Z198" i="103"/>
  <c r="X198" i="103"/>
  <c r="Z197" i="103"/>
  <c r="X197" i="103"/>
  <c r="Z196" i="103"/>
  <c r="X196" i="103"/>
  <c r="Z195" i="103"/>
  <c r="X195" i="103"/>
  <c r="Z194" i="103"/>
  <c r="X194" i="103"/>
  <c r="Z193" i="103"/>
  <c r="X193" i="103"/>
  <c r="Z192" i="103"/>
  <c r="X192" i="103"/>
  <c r="Z191" i="103"/>
  <c r="X191" i="103"/>
  <c r="Z190" i="103"/>
  <c r="X190" i="103"/>
  <c r="Z189" i="103"/>
  <c r="X189" i="103"/>
  <c r="Z188" i="103"/>
  <c r="X188" i="103"/>
  <c r="Z187" i="103"/>
  <c r="X187" i="103"/>
  <c r="Z186" i="103"/>
  <c r="X186" i="103"/>
  <c r="Z185" i="103"/>
  <c r="X185" i="103"/>
  <c r="Z184" i="103"/>
  <c r="X184" i="103"/>
  <c r="Z183" i="103"/>
  <c r="X183" i="103"/>
  <c r="Z182" i="103"/>
  <c r="X182" i="103"/>
  <c r="Z181" i="103"/>
  <c r="X181" i="103"/>
  <c r="Z180" i="103"/>
  <c r="X180" i="103"/>
  <c r="Z179" i="103"/>
  <c r="X179" i="103"/>
  <c r="Z178" i="103"/>
  <c r="X178" i="103"/>
  <c r="Z177" i="103"/>
  <c r="X177" i="103"/>
  <c r="Z176" i="103"/>
  <c r="X176" i="103"/>
  <c r="Z175" i="103"/>
  <c r="X175" i="103"/>
  <c r="Z174" i="103"/>
  <c r="X174" i="103"/>
  <c r="Z173" i="103"/>
  <c r="X173" i="103"/>
  <c r="Z172" i="103"/>
  <c r="X172" i="103"/>
  <c r="Z171" i="103"/>
  <c r="X171" i="103"/>
  <c r="Z170" i="103"/>
  <c r="X170" i="103"/>
  <c r="Z169" i="103"/>
  <c r="X169" i="103"/>
  <c r="Z168" i="103"/>
  <c r="X168" i="103"/>
  <c r="Z167" i="103"/>
  <c r="X167" i="103"/>
  <c r="Z166" i="103"/>
  <c r="X166" i="103"/>
  <c r="Z165" i="103"/>
  <c r="X165" i="103"/>
  <c r="Z164" i="103"/>
  <c r="X164" i="103"/>
  <c r="Z163" i="103"/>
  <c r="X163" i="103"/>
  <c r="Z162" i="103"/>
  <c r="X162" i="103"/>
  <c r="Z161" i="103"/>
  <c r="X161" i="103"/>
  <c r="Z160" i="103"/>
  <c r="X160" i="103"/>
  <c r="Z159" i="103"/>
  <c r="X159" i="103"/>
  <c r="Z158" i="103"/>
  <c r="X158" i="103"/>
  <c r="Z157" i="103"/>
  <c r="X157" i="103"/>
  <c r="Z156" i="103"/>
  <c r="X156" i="103"/>
  <c r="Z155" i="103"/>
  <c r="X155" i="103"/>
  <c r="Z154" i="103"/>
  <c r="X154" i="103"/>
  <c r="Z153" i="103"/>
  <c r="X153" i="103"/>
  <c r="Z152" i="103"/>
  <c r="X152" i="103"/>
  <c r="Z151" i="103"/>
  <c r="X151" i="103"/>
  <c r="Z150" i="103"/>
  <c r="X150" i="103"/>
  <c r="Z149" i="103"/>
  <c r="X149" i="103"/>
  <c r="Z148" i="103"/>
  <c r="X148" i="103"/>
  <c r="Z147" i="103"/>
  <c r="X147" i="103"/>
  <c r="Z146" i="103"/>
  <c r="X146" i="103"/>
  <c r="Z145" i="103"/>
  <c r="X145" i="103"/>
  <c r="Z144" i="103"/>
  <c r="X144" i="103"/>
  <c r="Z143" i="103"/>
  <c r="X143" i="103"/>
  <c r="Z142" i="103"/>
  <c r="X142" i="103"/>
  <c r="Z141" i="103"/>
  <c r="X141" i="103"/>
  <c r="Z140" i="103"/>
  <c r="X140" i="103"/>
  <c r="Z139" i="103"/>
  <c r="X139" i="103"/>
  <c r="Z138" i="103"/>
  <c r="X138" i="103"/>
  <c r="Z137" i="103"/>
  <c r="X137" i="103"/>
  <c r="Z136" i="103"/>
  <c r="X136" i="103"/>
  <c r="Z135" i="103"/>
  <c r="X135" i="103"/>
  <c r="Z134" i="103"/>
  <c r="X134" i="103"/>
  <c r="Z133" i="103"/>
  <c r="X133" i="103"/>
  <c r="Z132" i="103"/>
  <c r="X132" i="103"/>
  <c r="Z131" i="103"/>
  <c r="X131" i="103"/>
  <c r="Z130" i="103"/>
  <c r="X130" i="103"/>
  <c r="Z129" i="103"/>
  <c r="X129" i="103"/>
  <c r="Z128" i="103"/>
  <c r="X128" i="103"/>
  <c r="Z127" i="103"/>
  <c r="X127" i="103"/>
  <c r="Z126" i="103"/>
  <c r="X126" i="103"/>
  <c r="Z125" i="103"/>
  <c r="X125" i="103"/>
  <c r="Z124" i="103"/>
  <c r="X124" i="103"/>
  <c r="Z123" i="103"/>
  <c r="X123" i="103"/>
  <c r="Z122" i="103"/>
  <c r="X122" i="103"/>
  <c r="Z121" i="103"/>
  <c r="X121" i="103"/>
  <c r="Z120" i="103"/>
  <c r="X120" i="103"/>
  <c r="Z119" i="103"/>
  <c r="X119" i="103"/>
  <c r="Z118" i="103"/>
  <c r="X118" i="103"/>
  <c r="Z117" i="103"/>
  <c r="X117" i="103"/>
  <c r="Z116" i="103"/>
  <c r="X116" i="103"/>
  <c r="Z115" i="103"/>
  <c r="X115" i="103"/>
  <c r="Z114" i="103"/>
  <c r="X114" i="103"/>
  <c r="Z113" i="103"/>
  <c r="X113" i="103"/>
  <c r="Z112" i="103"/>
  <c r="X112" i="103"/>
  <c r="Z111" i="103"/>
  <c r="X111" i="103"/>
  <c r="Z110" i="103"/>
  <c r="X110" i="103"/>
  <c r="Z109" i="103"/>
  <c r="X109" i="103"/>
  <c r="Z108" i="103"/>
  <c r="X108" i="103"/>
  <c r="Z107" i="103"/>
  <c r="X107" i="103"/>
  <c r="Z106" i="103"/>
  <c r="X106" i="103"/>
  <c r="Z105" i="103"/>
  <c r="X105" i="103"/>
  <c r="Z104" i="103"/>
  <c r="X104" i="103"/>
  <c r="Z103" i="103"/>
  <c r="X103" i="103"/>
  <c r="Z102" i="103"/>
  <c r="X102" i="103"/>
  <c r="Z101" i="103"/>
  <c r="X101" i="103"/>
  <c r="Z100" i="103"/>
  <c r="X100" i="103"/>
  <c r="Z99" i="103"/>
  <c r="X99" i="103"/>
  <c r="Z98" i="103"/>
  <c r="X98" i="103"/>
  <c r="Z97" i="103"/>
  <c r="X97" i="103"/>
  <c r="Z96" i="103"/>
  <c r="X96" i="103"/>
  <c r="Z95" i="103"/>
  <c r="X95" i="103"/>
  <c r="Z94" i="103"/>
  <c r="X94" i="103"/>
  <c r="Z93" i="103"/>
  <c r="X93" i="103"/>
  <c r="Z92" i="103"/>
  <c r="X92" i="103"/>
  <c r="Z91" i="103"/>
  <c r="X91" i="103"/>
  <c r="Z90" i="103"/>
  <c r="X90" i="103"/>
  <c r="Z89" i="103"/>
  <c r="X89" i="103"/>
  <c r="Z88" i="103"/>
  <c r="X88" i="103"/>
  <c r="Z87" i="103"/>
  <c r="X87" i="103"/>
  <c r="Z86" i="103"/>
  <c r="X86" i="103"/>
  <c r="Z85" i="103"/>
  <c r="X85" i="103"/>
  <c r="Z84" i="103"/>
  <c r="X84" i="103"/>
  <c r="Z83" i="103"/>
  <c r="X83" i="103"/>
  <c r="Z82" i="103"/>
  <c r="X82" i="103"/>
  <c r="Z81" i="103"/>
  <c r="X81" i="103"/>
  <c r="Z80" i="103"/>
  <c r="X80" i="103"/>
  <c r="Z79" i="103"/>
  <c r="X79" i="103"/>
  <c r="Z78" i="103"/>
  <c r="X78" i="103"/>
  <c r="Z77" i="103"/>
  <c r="X77" i="103"/>
  <c r="Z76" i="103"/>
  <c r="X76" i="103"/>
  <c r="Z75" i="103"/>
  <c r="X75" i="103"/>
  <c r="Z74" i="103"/>
  <c r="X74" i="103"/>
  <c r="Z73" i="103"/>
  <c r="X73" i="103"/>
  <c r="Z72" i="103"/>
  <c r="X72" i="103"/>
  <c r="Z71" i="103"/>
  <c r="X71" i="103"/>
  <c r="Z70" i="103"/>
  <c r="X70" i="103"/>
  <c r="Z69" i="103"/>
  <c r="X69" i="103"/>
  <c r="Z68" i="103"/>
  <c r="X68" i="103"/>
  <c r="Z67" i="103"/>
  <c r="X67" i="103"/>
  <c r="Z66" i="103"/>
  <c r="X66" i="103"/>
  <c r="Z65" i="103"/>
  <c r="X65" i="103"/>
  <c r="Z64" i="103"/>
  <c r="X64" i="103"/>
  <c r="Z63" i="103"/>
  <c r="X63" i="103"/>
  <c r="Z62" i="103"/>
  <c r="X62" i="103"/>
  <c r="Z61" i="103"/>
  <c r="X61" i="103"/>
  <c r="Z60" i="103"/>
  <c r="X60" i="103"/>
  <c r="Z59" i="103"/>
  <c r="X59" i="103"/>
  <c r="Z58" i="103"/>
  <c r="X58" i="103"/>
  <c r="Z57" i="103"/>
  <c r="X57" i="103"/>
  <c r="Z56" i="103"/>
  <c r="X56" i="103"/>
  <c r="Z55" i="103"/>
  <c r="X55" i="103"/>
  <c r="Z54" i="103"/>
  <c r="X54" i="103"/>
  <c r="Z53" i="103"/>
  <c r="X53" i="103"/>
  <c r="Z52" i="103"/>
  <c r="X52" i="103"/>
  <c r="Z51" i="103"/>
  <c r="X51" i="103"/>
  <c r="Z50" i="103"/>
  <c r="X50" i="103"/>
  <c r="Z49" i="103"/>
  <c r="X49" i="103"/>
  <c r="Z48" i="103"/>
  <c r="X48" i="103"/>
  <c r="Z47" i="103"/>
  <c r="X47" i="103"/>
  <c r="Z46" i="103"/>
  <c r="X46" i="103"/>
  <c r="Z45" i="103"/>
  <c r="X45" i="103"/>
  <c r="Z44" i="103"/>
  <c r="X44" i="103"/>
  <c r="Z43" i="103"/>
  <c r="X43" i="103"/>
  <c r="Z42" i="103"/>
  <c r="X42" i="103"/>
  <c r="Z41" i="103"/>
  <c r="X41" i="103"/>
  <c r="Z40" i="103"/>
  <c r="X40" i="103"/>
  <c r="Z39" i="103"/>
  <c r="X39" i="103"/>
  <c r="Z38" i="103"/>
  <c r="X38" i="103"/>
  <c r="Z37" i="103"/>
  <c r="X37" i="103"/>
  <c r="Z36" i="103"/>
  <c r="X36" i="103"/>
  <c r="Z35" i="103"/>
  <c r="X35" i="103"/>
  <c r="Z34" i="103"/>
  <c r="X34" i="103"/>
  <c r="Z33" i="103"/>
  <c r="X33" i="103"/>
  <c r="Z32" i="103"/>
  <c r="X32" i="103"/>
  <c r="Z31" i="103"/>
  <c r="X31" i="103"/>
  <c r="Z30" i="103"/>
  <c r="X30" i="103"/>
  <c r="Z29" i="103"/>
  <c r="X29" i="103"/>
  <c r="Z28" i="103"/>
  <c r="X28" i="103"/>
  <c r="Z27" i="103"/>
  <c r="X27" i="103"/>
  <c r="Z26" i="103"/>
  <c r="X26" i="103"/>
  <c r="Z25" i="103"/>
  <c r="X25" i="103"/>
  <c r="Z24" i="103"/>
  <c r="X24" i="103"/>
  <c r="Z23" i="103"/>
  <c r="X23" i="103"/>
  <c r="Z22" i="103"/>
  <c r="X22" i="103"/>
  <c r="Z21" i="103"/>
  <c r="X21" i="103"/>
  <c r="Z20" i="103"/>
  <c r="X20" i="103"/>
  <c r="Z19" i="103"/>
  <c r="X19" i="103"/>
  <c r="Z18" i="103"/>
  <c r="X18" i="103"/>
  <c r="Z17" i="103"/>
  <c r="X17" i="103"/>
  <c r="Z16" i="103"/>
  <c r="X16" i="103"/>
  <c r="Z15" i="103"/>
  <c r="X15" i="103"/>
  <c r="Z14" i="103"/>
  <c r="X14" i="103"/>
  <c r="Z13" i="103"/>
  <c r="X13" i="103"/>
  <c r="Z12" i="103"/>
  <c r="X12" i="103"/>
  <c r="Z11" i="103"/>
  <c r="X11" i="103"/>
  <c r="Z10" i="103"/>
  <c r="X10" i="103"/>
  <c r="Z9" i="103"/>
  <c r="X9" i="103"/>
  <c r="Z8" i="103"/>
  <c r="X8" i="103"/>
  <c r="Z7" i="103"/>
  <c r="X7" i="103"/>
  <c r="Z6" i="103"/>
  <c r="X6" i="103"/>
  <c r="Z5" i="103"/>
  <c r="X5" i="103"/>
  <c r="Z4" i="103"/>
  <c r="X4" i="103"/>
  <c r="Z3" i="103"/>
  <c r="X3" i="103"/>
  <c r="Z2" i="103"/>
  <c r="X2" i="103"/>
  <c r="R5" i="71"/>
  <c r="P5" i="71"/>
  <c r="O5" i="71"/>
  <c r="L5" i="71"/>
  <c r="Q5" i="71" s="1"/>
  <c r="R344" i="103"/>
  <c r="O344" i="103"/>
  <c r="AC344" i="103" s="1"/>
  <c r="AE344" i="103" s="1"/>
  <c r="I344" i="103"/>
  <c r="H344" i="103"/>
  <c r="R343" i="103"/>
  <c r="O343" i="103"/>
  <c r="I343" i="103"/>
  <c r="H343" i="103"/>
  <c r="R342" i="103"/>
  <c r="O342" i="103"/>
  <c r="AC342" i="103" s="1"/>
  <c r="AE342" i="103" s="1"/>
  <c r="I342" i="103"/>
  <c r="H342" i="103"/>
  <c r="R341" i="103"/>
  <c r="O341" i="103"/>
  <c r="I341" i="103"/>
  <c r="H341" i="103"/>
  <c r="R340" i="103"/>
  <c r="O340" i="103"/>
  <c r="AC340" i="103" s="1"/>
  <c r="AE340" i="103" s="1"/>
  <c r="I340" i="103"/>
  <c r="H340" i="103"/>
  <c r="R339" i="103"/>
  <c r="O339" i="103"/>
  <c r="AC339" i="103" s="1"/>
  <c r="AE339" i="103" s="1"/>
  <c r="I339" i="103"/>
  <c r="H339" i="103"/>
  <c r="R338" i="103"/>
  <c r="O338" i="103"/>
  <c r="AC338" i="103" s="1"/>
  <c r="AE338" i="103" s="1"/>
  <c r="I338" i="103"/>
  <c r="H338" i="103"/>
  <c r="R337" i="103"/>
  <c r="O337" i="103"/>
  <c r="I337" i="103"/>
  <c r="H337" i="103"/>
  <c r="R336" i="103"/>
  <c r="O336" i="103"/>
  <c r="AC336" i="103" s="1"/>
  <c r="AE336" i="103" s="1"/>
  <c r="I336" i="103"/>
  <c r="H336" i="103"/>
  <c r="R335" i="103"/>
  <c r="O335" i="103"/>
  <c r="AC335" i="103" s="1"/>
  <c r="AE335" i="103" s="1"/>
  <c r="I335" i="103"/>
  <c r="H335" i="103"/>
  <c r="R334" i="103"/>
  <c r="O334" i="103"/>
  <c r="AC334" i="103" s="1"/>
  <c r="AE334" i="103" s="1"/>
  <c r="I334" i="103"/>
  <c r="H334" i="103"/>
  <c r="R333" i="103"/>
  <c r="O333" i="103"/>
  <c r="AC333" i="103" s="1"/>
  <c r="AE333" i="103" s="1"/>
  <c r="I333" i="103"/>
  <c r="H333" i="103"/>
  <c r="R332" i="103"/>
  <c r="O332" i="103"/>
  <c r="AC332" i="103" s="1"/>
  <c r="AE332" i="103" s="1"/>
  <c r="I332" i="103"/>
  <c r="H332" i="103"/>
  <c r="R331" i="103"/>
  <c r="O331" i="103"/>
  <c r="AC331" i="103" s="1"/>
  <c r="AE331" i="103" s="1"/>
  <c r="I331" i="103"/>
  <c r="H331" i="103"/>
  <c r="R330" i="103"/>
  <c r="O330" i="103"/>
  <c r="AC330" i="103" s="1"/>
  <c r="AE330" i="103" s="1"/>
  <c r="I330" i="103"/>
  <c r="H330" i="103"/>
  <c r="R329" i="103"/>
  <c r="O329" i="103"/>
  <c r="I329" i="103"/>
  <c r="H329" i="103"/>
  <c r="R328" i="103"/>
  <c r="O328" i="103"/>
  <c r="AC328" i="103" s="1"/>
  <c r="AE328" i="103" s="1"/>
  <c r="I328" i="103"/>
  <c r="H328" i="103"/>
  <c r="R327" i="103"/>
  <c r="O327" i="103"/>
  <c r="AC327" i="103" s="1"/>
  <c r="AE327" i="103" s="1"/>
  <c r="I327" i="103"/>
  <c r="H327" i="103"/>
  <c r="R326" i="103"/>
  <c r="O326" i="103"/>
  <c r="AC326" i="103" s="1"/>
  <c r="AE326" i="103" s="1"/>
  <c r="I326" i="103"/>
  <c r="H326" i="103"/>
  <c r="R325" i="103"/>
  <c r="O325" i="103"/>
  <c r="AC325" i="103" s="1"/>
  <c r="AE325" i="103" s="1"/>
  <c r="I325" i="103"/>
  <c r="H325" i="103"/>
  <c r="R324" i="103"/>
  <c r="O324" i="103"/>
  <c r="AC324" i="103" s="1"/>
  <c r="AE324" i="103" s="1"/>
  <c r="I324" i="103"/>
  <c r="H324" i="103"/>
  <c r="R323" i="103"/>
  <c r="O323" i="103"/>
  <c r="I323" i="103"/>
  <c r="H323" i="103"/>
  <c r="R322" i="103"/>
  <c r="O322" i="103"/>
  <c r="AC322" i="103" s="1"/>
  <c r="AE322" i="103" s="1"/>
  <c r="I322" i="103"/>
  <c r="H322" i="103"/>
  <c r="R321" i="103"/>
  <c r="O321" i="103"/>
  <c r="AC321" i="103" s="1"/>
  <c r="AE321" i="103" s="1"/>
  <c r="I321" i="103"/>
  <c r="H321" i="103"/>
  <c r="R320" i="103"/>
  <c r="O320" i="103"/>
  <c r="I320" i="103"/>
  <c r="H320" i="103"/>
  <c r="R319" i="103"/>
  <c r="O319" i="103"/>
  <c r="AC319" i="103" s="1"/>
  <c r="AE319" i="103" s="1"/>
  <c r="I319" i="103"/>
  <c r="H319" i="103"/>
  <c r="R318" i="103"/>
  <c r="O318" i="103"/>
  <c r="AC318" i="103" s="1"/>
  <c r="AE318" i="103" s="1"/>
  <c r="I318" i="103"/>
  <c r="H318" i="103"/>
  <c r="R317" i="103"/>
  <c r="O317" i="103"/>
  <c r="I317" i="103"/>
  <c r="H317" i="103"/>
  <c r="R316" i="103"/>
  <c r="O316" i="103"/>
  <c r="AC316" i="103" s="1"/>
  <c r="AE316" i="103" s="1"/>
  <c r="I316" i="103"/>
  <c r="H316" i="103"/>
  <c r="R315" i="103"/>
  <c r="O315" i="103"/>
  <c r="AC315" i="103" s="1"/>
  <c r="AE315" i="103" s="1"/>
  <c r="I315" i="103"/>
  <c r="H315" i="103"/>
  <c r="R314" i="103"/>
  <c r="O314" i="103"/>
  <c r="I314" i="103"/>
  <c r="H314" i="103"/>
  <c r="R313" i="103"/>
  <c r="O313" i="103"/>
  <c r="AC313" i="103" s="1"/>
  <c r="AE313" i="103" s="1"/>
  <c r="I313" i="103"/>
  <c r="H313" i="103"/>
  <c r="R312" i="103"/>
  <c r="O312" i="103"/>
  <c r="AC312" i="103" s="1"/>
  <c r="AE312" i="103" s="1"/>
  <c r="I312" i="103"/>
  <c r="H312" i="103"/>
  <c r="R311" i="103"/>
  <c r="O311" i="103"/>
  <c r="AC311" i="103" s="1"/>
  <c r="AE311" i="103" s="1"/>
  <c r="I311" i="103"/>
  <c r="H311" i="103"/>
  <c r="R310" i="103"/>
  <c r="O310" i="103"/>
  <c r="AC310" i="103" s="1"/>
  <c r="AE310" i="103" s="1"/>
  <c r="I310" i="103"/>
  <c r="H310" i="103"/>
  <c r="R309" i="103"/>
  <c r="O309" i="103"/>
  <c r="AC309" i="103" s="1"/>
  <c r="AE309" i="103" s="1"/>
  <c r="I309" i="103"/>
  <c r="H309" i="103"/>
  <c r="R308" i="103"/>
  <c r="O308" i="103"/>
  <c r="AC308" i="103" s="1"/>
  <c r="AE308" i="103" s="1"/>
  <c r="I308" i="103"/>
  <c r="H308" i="103"/>
  <c r="R307" i="103"/>
  <c r="O307" i="103"/>
  <c r="AC307" i="103" s="1"/>
  <c r="AE307" i="103" s="1"/>
  <c r="I307" i="103"/>
  <c r="H307" i="103"/>
  <c r="R306" i="103"/>
  <c r="O306" i="103"/>
  <c r="AC306" i="103" s="1"/>
  <c r="AE306" i="103" s="1"/>
  <c r="I306" i="103"/>
  <c r="H306" i="103"/>
  <c r="R305" i="103"/>
  <c r="O305" i="103"/>
  <c r="AC305" i="103" s="1"/>
  <c r="AE305" i="103" s="1"/>
  <c r="I305" i="103"/>
  <c r="H305" i="103"/>
  <c r="R304" i="103"/>
  <c r="O304" i="103"/>
  <c r="AC304" i="103" s="1"/>
  <c r="AE304" i="103" s="1"/>
  <c r="I304" i="103"/>
  <c r="H304" i="103"/>
  <c r="R303" i="103"/>
  <c r="O303" i="103"/>
  <c r="AC303" i="103" s="1"/>
  <c r="AE303" i="103" s="1"/>
  <c r="I303" i="103"/>
  <c r="H303" i="103"/>
  <c r="R302" i="103"/>
  <c r="O302" i="103"/>
  <c r="AC302" i="103" s="1"/>
  <c r="AE302" i="103" s="1"/>
  <c r="I302" i="103"/>
  <c r="H302" i="103"/>
  <c r="R301" i="103"/>
  <c r="O301" i="103"/>
  <c r="AC301" i="103" s="1"/>
  <c r="AE301" i="103" s="1"/>
  <c r="I301" i="103"/>
  <c r="H301" i="103"/>
  <c r="R300" i="103"/>
  <c r="O300" i="103"/>
  <c r="AC300" i="103" s="1"/>
  <c r="AE300" i="103" s="1"/>
  <c r="I300" i="103"/>
  <c r="H300" i="103"/>
  <c r="R299" i="103"/>
  <c r="O299" i="103"/>
  <c r="AC299" i="103" s="1"/>
  <c r="AE299" i="103" s="1"/>
  <c r="I299" i="103"/>
  <c r="H299" i="103"/>
  <c r="R298" i="103"/>
  <c r="O298" i="103"/>
  <c r="AC298" i="103" s="1"/>
  <c r="AE298" i="103" s="1"/>
  <c r="I298" i="103"/>
  <c r="H298" i="103"/>
  <c r="R297" i="103"/>
  <c r="O297" i="103"/>
  <c r="AC297" i="103" s="1"/>
  <c r="AE297" i="103" s="1"/>
  <c r="I297" i="103"/>
  <c r="H297" i="103"/>
  <c r="R296" i="103"/>
  <c r="O296" i="103"/>
  <c r="AC296" i="103" s="1"/>
  <c r="AE296" i="103" s="1"/>
  <c r="I296" i="103"/>
  <c r="H296" i="103"/>
  <c r="R295" i="103"/>
  <c r="O295" i="103"/>
  <c r="AC295" i="103" s="1"/>
  <c r="AE295" i="103" s="1"/>
  <c r="I295" i="103"/>
  <c r="H295" i="103"/>
  <c r="R294" i="103"/>
  <c r="O294" i="103"/>
  <c r="AC294" i="103" s="1"/>
  <c r="AE294" i="103" s="1"/>
  <c r="I294" i="103"/>
  <c r="H294" i="103"/>
  <c r="R293" i="103"/>
  <c r="O293" i="103"/>
  <c r="AC293" i="103" s="1"/>
  <c r="AE293" i="103" s="1"/>
  <c r="I293" i="103"/>
  <c r="H293" i="103"/>
  <c r="R292" i="103"/>
  <c r="O292" i="103"/>
  <c r="AC292" i="103" s="1"/>
  <c r="AE292" i="103" s="1"/>
  <c r="I292" i="103"/>
  <c r="H292" i="103"/>
  <c r="R291" i="103"/>
  <c r="O291" i="103"/>
  <c r="AC291" i="103" s="1"/>
  <c r="AE291" i="103" s="1"/>
  <c r="I291" i="103"/>
  <c r="H291" i="103"/>
  <c r="R290" i="103"/>
  <c r="O290" i="103"/>
  <c r="AC290" i="103" s="1"/>
  <c r="AE290" i="103" s="1"/>
  <c r="I290" i="103"/>
  <c r="H290" i="103"/>
  <c r="R289" i="103"/>
  <c r="O289" i="103"/>
  <c r="AC289" i="103" s="1"/>
  <c r="AE289" i="103" s="1"/>
  <c r="I289" i="103"/>
  <c r="H289" i="103"/>
  <c r="R288" i="103"/>
  <c r="O288" i="103"/>
  <c r="I288" i="103"/>
  <c r="H288" i="103"/>
  <c r="R287" i="103"/>
  <c r="O287" i="103"/>
  <c r="AC287" i="103" s="1"/>
  <c r="AE287" i="103" s="1"/>
  <c r="I287" i="103"/>
  <c r="H287" i="103"/>
  <c r="R286" i="103"/>
  <c r="O286" i="103"/>
  <c r="AC286" i="103" s="1"/>
  <c r="AE286" i="103" s="1"/>
  <c r="I286" i="103"/>
  <c r="H286" i="103"/>
  <c r="R285" i="103"/>
  <c r="O285" i="103"/>
  <c r="AC285" i="103" s="1"/>
  <c r="AE285" i="103" s="1"/>
  <c r="I285" i="103"/>
  <c r="H285" i="103"/>
  <c r="R284" i="103"/>
  <c r="O284" i="103"/>
  <c r="AC284" i="103" s="1"/>
  <c r="AE284" i="103" s="1"/>
  <c r="I284" i="103"/>
  <c r="H284" i="103"/>
  <c r="R283" i="103"/>
  <c r="O283" i="103"/>
  <c r="I283" i="103"/>
  <c r="H283" i="103"/>
  <c r="R282" i="103"/>
  <c r="O282" i="103"/>
  <c r="AC282" i="103" s="1"/>
  <c r="AE282" i="103" s="1"/>
  <c r="I282" i="103"/>
  <c r="H282" i="103"/>
  <c r="R281" i="103"/>
  <c r="O281" i="103"/>
  <c r="AC281" i="103" s="1"/>
  <c r="AE281" i="103" s="1"/>
  <c r="I281" i="103"/>
  <c r="H281" i="103"/>
  <c r="R280" i="103"/>
  <c r="O280" i="103"/>
  <c r="AC280" i="103" s="1"/>
  <c r="AE280" i="103" s="1"/>
  <c r="I280" i="103"/>
  <c r="H280" i="103"/>
  <c r="R279" i="103"/>
  <c r="O279" i="103"/>
  <c r="AC279" i="103" s="1"/>
  <c r="AE279" i="103" s="1"/>
  <c r="I279" i="103"/>
  <c r="H279" i="103"/>
  <c r="R278" i="103"/>
  <c r="O278" i="103"/>
  <c r="I278" i="103"/>
  <c r="H278" i="103"/>
  <c r="R277" i="103"/>
  <c r="O277" i="103"/>
  <c r="AC277" i="103" s="1"/>
  <c r="AE277" i="103" s="1"/>
  <c r="I277" i="103"/>
  <c r="H277" i="103"/>
  <c r="R276" i="103"/>
  <c r="O276" i="103"/>
  <c r="AC276" i="103" s="1"/>
  <c r="AE276" i="103" s="1"/>
  <c r="I276" i="103"/>
  <c r="H276" i="103"/>
  <c r="R275" i="103"/>
  <c r="O275" i="103"/>
  <c r="AC275" i="103" s="1"/>
  <c r="AE275" i="103" s="1"/>
  <c r="I275" i="103"/>
  <c r="H275" i="103"/>
  <c r="R274" i="103"/>
  <c r="O274" i="103"/>
  <c r="AC274" i="103" s="1"/>
  <c r="AE274" i="103" s="1"/>
  <c r="I274" i="103"/>
  <c r="H274" i="103"/>
  <c r="R273" i="103"/>
  <c r="O273" i="103"/>
  <c r="I273" i="103"/>
  <c r="H273" i="103"/>
  <c r="R272" i="103"/>
  <c r="O272" i="103"/>
  <c r="I272" i="103"/>
  <c r="H272" i="103"/>
  <c r="R271" i="103"/>
  <c r="O271" i="103"/>
  <c r="AC271" i="103" s="1"/>
  <c r="AE271" i="103" s="1"/>
  <c r="I271" i="103"/>
  <c r="H271" i="103"/>
  <c r="R270" i="103"/>
  <c r="O270" i="103"/>
  <c r="AC270" i="103" s="1"/>
  <c r="AE270" i="103" s="1"/>
  <c r="I270" i="103"/>
  <c r="H270" i="103"/>
  <c r="R269" i="103"/>
  <c r="O269" i="103"/>
  <c r="AC269" i="103" s="1"/>
  <c r="AE269" i="103" s="1"/>
  <c r="I269" i="103"/>
  <c r="H269" i="103"/>
  <c r="R268" i="103"/>
  <c r="O268" i="103"/>
  <c r="AC268" i="103" s="1"/>
  <c r="AE268" i="103" s="1"/>
  <c r="I268" i="103"/>
  <c r="H268" i="103"/>
  <c r="R267" i="103"/>
  <c r="O267" i="103"/>
  <c r="AC267" i="103" s="1"/>
  <c r="AE267" i="103" s="1"/>
  <c r="I267" i="103"/>
  <c r="H267" i="103"/>
  <c r="R266" i="103"/>
  <c r="O266" i="103"/>
  <c r="I266" i="103"/>
  <c r="H266" i="103"/>
  <c r="R265" i="103"/>
  <c r="O265" i="103"/>
  <c r="AC265" i="103" s="1"/>
  <c r="AE265" i="103" s="1"/>
  <c r="I265" i="103"/>
  <c r="H265" i="103"/>
  <c r="R264" i="103"/>
  <c r="O264" i="103"/>
  <c r="AC264" i="103" s="1"/>
  <c r="AE264" i="103" s="1"/>
  <c r="I264" i="103"/>
  <c r="H264" i="103"/>
  <c r="R263" i="103"/>
  <c r="O263" i="103"/>
  <c r="AC263" i="103" s="1"/>
  <c r="AE263" i="103" s="1"/>
  <c r="I263" i="103"/>
  <c r="H263" i="103"/>
  <c r="R262" i="103"/>
  <c r="O262" i="103"/>
  <c r="AC262" i="103" s="1"/>
  <c r="AE262" i="103" s="1"/>
  <c r="I262" i="103"/>
  <c r="H262" i="103"/>
  <c r="R261" i="103"/>
  <c r="O261" i="103"/>
  <c r="AC261" i="103" s="1"/>
  <c r="AE261" i="103" s="1"/>
  <c r="I261" i="103"/>
  <c r="H261" i="103"/>
  <c r="R260" i="103"/>
  <c r="O260" i="103"/>
  <c r="AC260" i="103" s="1"/>
  <c r="AE260" i="103" s="1"/>
  <c r="I260" i="103"/>
  <c r="H260" i="103"/>
  <c r="R259" i="103"/>
  <c r="O259" i="103"/>
  <c r="AC259" i="103" s="1"/>
  <c r="AE259" i="103" s="1"/>
  <c r="I259" i="103"/>
  <c r="H259" i="103"/>
  <c r="R258" i="103"/>
  <c r="O258" i="103"/>
  <c r="AC258" i="103" s="1"/>
  <c r="AE258" i="103" s="1"/>
  <c r="I258" i="103"/>
  <c r="H258" i="103"/>
  <c r="R257" i="103"/>
  <c r="O257" i="103"/>
  <c r="I257" i="103"/>
  <c r="H257" i="103"/>
  <c r="R256" i="103"/>
  <c r="O256" i="103"/>
  <c r="AC256" i="103" s="1"/>
  <c r="AE256" i="103" s="1"/>
  <c r="I256" i="103"/>
  <c r="H256" i="103"/>
  <c r="R255" i="103"/>
  <c r="O255" i="103"/>
  <c r="AC255" i="103" s="1"/>
  <c r="AE255" i="103" s="1"/>
  <c r="I255" i="103"/>
  <c r="H255" i="103"/>
  <c r="R254" i="103"/>
  <c r="O254" i="103"/>
  <c r="AC254" i="103" s="1"/>
  <c r="AE254" i="103" s="1"/>
  <c r="I254" i="103"/>
  <c r="H254" i="103"/>
  <c r="R253" i="103"/>
  <c r="O253" i="103"/>
  <c r="AC253" i="103" s="1"/>
  <c r="AE253" i="103" s="1"/>
  <c r="I253" i="103"/>
  <c r="H253" i="103"/>
  <c r="R252" i="103"/>
  <c r="O252" i="103"/>
  <c r="I252" i="103"/>
  <c r="H252" i="103"/>
  <c r="R251" i="103"/>
  <c r="O251" i="103"/>
  <c r="AC251" i="103" s="1"/>
  <c r="AE251" i="103" s="1"/>
  <c r="I251" i="103"/>
  <c r="H251" i="103"/>
  <c r="R250" i="103"/>
  <c r="O250" i="103"/>
  <c r="AC250" i="103" s="1"/>
  <c r="AE250" i="103" s="1"/>
  <c r="I250" i="103"/>
  <c r="H250" i="103"/>
  <c r="R249" i="103"/>
  <c r="O249" i="103"/>
  <c r="AC249" i="103" s="1"/>
  <c r="AE249" i="103" s="1"/>
  <c r="I249" i="103"/>
  <c r="H249" i="103"/>
  <c r="R248" i="103"/>
  <c r="O248" i="103"/>
  <c r="AC248" i="103" s="1"/>
  <c r="AE248" i="103" s="1"/>
  <c r="I248" i="103"/>
  <c r="H248" i="103"/>
  <c r="R247" i="103"/>
  <c r="O247" i="103"/>
  <c r="AC247" i="103" s="1"/>
  <c r="AE247" i="103" s="1"/>
  <c r="I247" i="103"/>
  <c r="H247" i="103"/>
  <c r="R246" i="103"/>
  <c r="O246" i="103"/>
  <c r="I246" i="103"/>
  <c r="H246" i="103"/>
  <c r="R245" i="103"/>
  <c r="O245" i="103"/>
  <c r="AC245" i="103" s="1"/>
  <c r="AE245" i="103" s="1"/>
  <c r="I245" i="103"/>
  <c r="H245" i="103"/>
  <c r="R244" i="103"/>
  <c r="O244" i="103"/>
  <c r="AC244" i="103" s="1"/>
  <c r="AE244" i="103" s="1"/>
  <c r="I244" i="103"/>
  <c r="H244" i="103"/>
  <c r="R243" i="103"/>
  <c r="O243" i="103"/>
  <c r="AC243" i="103" s="1"/>
  <c r="AE243" i="103" s="1"/>
  <c r="I243" i="103"/>
  <c r="H243" i="103"/>
  <c r="R242" i="103"/>
  <c r="O242" i="103"/>
  <c r="AC242" i="103" s="1"/>
  <c r="AE242" i="103" s="1"/>
  <c r="I242" i="103"/>
  <c r="H242" i="103"/>
  <c r="R241" i="103"/>
  <c r="O241" i="103"/>
  <c r="AC241" i="103" s="1"/>
  <c r="AE241" i="103" s="1"/>
  <c r="I241" i="103"/>
  <c r="H241" i="103"/>
  <c r="R240" i="103"/>
  <c r="O240" i="103"/>
  <c r="AC240" i="103" s="1"/>
  <c r="AE240" i="103" s="1"/>
  <c r="I240" i="103"/>
  <c r="H240" i="103"/>
  <c r="R239" i="103"/>
  <c r="O239" i="103"/>
  <c r="AC239" i="103" s="1"/>
  <c r="AE239" i="103" s="1"/>
  <c r="I239" i="103"/>
  <c r="H239" i="103"/>
  <c r="R238" i="103"/>
  <c r="O238" i="103"/>
  <c r="AC238" i="103" s="1"/>
  <c r="AE238" i="103" s="1"/>
  <c r="I238" i="103"/>
  <c r="H238" i="103"/>
  <c r="R237" i="103"/>
  <c r="O237" i="103"/>
  <c r="AC237" i="103" s="1"/>
  <c r="AE237" i="103" s="1"/>
  <c r="I237" i="103"/>
  <c r="H237" i="103"/>
  <c r="R236" i="103"/>
  <c r="O236" i="103"/>
  <c r="AC236" i="103" s="1"/>
  <c r="AE236" i="103" s="1"/>
  <c r="I236" i="103"/>
  <c r="H236" i="103"/>
  <c r="R235" i="103"/>
  <c r="O235" i="103"/>
  <c r="I235" i="103"/>
  <c r="H235" i="103"/>
  <c r="R234" i="103"/>
  <c r="O234" i="103"/>
  <c r="AC234" i="103" s="1"/>
  <c r="AE234" i="103" s="1"/>
  <c r="I234" i="103"/>
  <c r="H234" i="103"/>
  <c r="R233" i="103"/>
  <c r="O233" i="103"/>
  <c r="AC233" i="103" s="1"/>
  <c r="AE233" i="103" s="1"/>
  <c r="I233" i="103"/>
  <c r="H233" i="103"/>
  <c r="R232" i="103"/>
  <c r="O232" i="103"/>
  <c r="AC232" i="103" s="1"/>
  <c r="AE232" i="103" s="1"/>
  <c r="I232" i="103"/>
  <c r="H232" i="103"/>
  <c r="R231" i="103"/>
  <c r="O231" i="103"/>
  <c r="AC231" i="103" s="1"/>
  <c r="AE231" i="103" s="1"/>
  <c r="I231" i="103"/>
  <c r="H231" i="103"/>
  <c r="R230" i="103"/>
  <c r="O230" i="103"/>
  <c r="AC230" i="103" s="1"/>
  <c r="AE230" i="103" s="1"/>
  <c r="I230" i="103"/>
  <c r="H230" i="103"/>
  <c r="R229" i="103"/>
  <c r="O229" i="103"/>
  <c r="AC229" i="103" s="1"/>
  <c r="AE229" i="103" s="1"/>
  <c r="I229" i="103"/>
  <c r="H229" i="103"/>
  <c r="R228" i="103"/>
  <c r="O228" i="103"/>
  <c r="AC228" i="103" s="1"/>
  <c r="AE228" i="103" s="1"/>
  <c r="I228" i="103"/>
  <c r="H228" i="103"/>
  <c r="R227" i="103"/>
  <c r="O227" i="103"/>
  <c r="AC227" i="103" s="1"/>
  <c r="AE227" i="103" s="1"/>
  <c r="I227" i="103"/>
  <c r="H227" i="103"/>
  <c r="R226" i="103"/>
  <c r="O226" i="103"/>
  <c r="AC226" i="103" s="1"/>
  <c r="AE226" i="103" s="1"/>
  <c r="I226" i="103"/>
  <c r="H226" i="103"/>
  <c r="R225" i="103"/>
  <c r="O225" i="103"/>
  <c r="AC225" i="103" s="1"/>
  <c r="AE225" i="103" s="1"/>
  <c r="I225" i="103"/>
  <c r="H225" i="103"/>
  <c r="R224" i="103"/>
  <c r="O224" i="103"/>
  <c r="AC224" i="103" s="1"/>
  <c r="AE224" i="103" s="1"/>
  <c r="I224" i="103"/>
  <c r="H224" i="103"/>
  <c r="R223" i="103"/>
  <c r="O223" i="103"/>
  <c r="I223" i="103"/>
  <c r="H223" i="103"/>
  <c r="R222" i="103"/>
  <c r="O222" i="103"/>
  <c r="AC222" i="103" s="1"/>
  <c r="AE222" i="103" s="1"/>
  <c r="I222" i="103"/>
  <c r="H222" i="103"/>
  <c r="R221" i="103"/>
  <c r="O221" i="103"/>
  <c r="AC221" i="103" s="1"/>
  <c r="AE221" i="103" s="1"/>
  <c r="I221" i="103"/>
  <c r="H221" i="103"/>
  <c r="R220" i="103"/>
  <c r="O220" i="103"/>
  <c r="AC220" i="103" s="1"/>
  <c r="AE220" i="103" s="1"/>
  <c r="I220" i="103"/>
  <c r="H220" i="103"/>
  <c r="R219" i="103"/>
  <c r="O219" i="103"/>
  <c r="AC219" i="103" s="1"/>
  <c r="AE219" i="103" s="1"/>
  <c r="I219" i="103"/>
  <c r="H219" i="103"/>
  <c r="R218" i="103"/>
  <c r="O218" i="103"/>
  <c r="AC218" i="103" s="1"/>
  <c r="AE218" i="103" s="1"/>
  <c r="I218" i="103"/>
  <c r="H218" i="103"/>
  <c r="R217" i="103"/>
  <c r="O217" i="103"/>
  <c r="AC217" i="103" s="1"/>
  <c r="AE217" i="103" s="1"/>
  <c r="I217" i="103"/>
  <c r="H217" i="103"/>
  <c r="R216" i="103"/>
  <c r="O216" i="103"/>
  <c r="AC216" i="103" s="1"/>
  <c r="AE216" i="103" s="1"/>
  <c r="I216" i="103"/>
  <c r="H216" i="103"/>
  <c r="R215" i="103"/>
  <c r="O215" i="103"/>
  <c r="AC215" i="103" s="1"/>
  <c r="AE215" i="103" s="1"/>
  <c r="I215" i="103"/>
  <c r="H215" i="103"/>
  <c r="R214" i="103"/>
  <c r="O214" i="103"/>
  <c r="AC214" i="103" s="1"/>
  <c r="AE214" i="103" s="1"/>
  <c r="I214" i="103"/>
  <c r="H214" i="103"/>
  <c r="R213" i="103"/>
  <c r="O213" i="103"/>
  <c r="AC213" i="103" s="1"/>
  <c r="AE213" i="103" s="1"/>
  <c r="I213" i="103"/>
  <c r="H213" i="103"/>
  <c r="R212" i="103"/>
  <c r="O212" i="103"/>
  <c r="AC212" i="103" s="1"/>
  <c r="AE212" i="103" s="1"/>
  <c r="I212" i="103"/>
  <c r="H212" i="103"/>
  <c r="R211" i="103"/>
  <c r="O211" i="103"/>
  <c r="AC211" i="103" s="1"/>
  <c r="AE211" i="103" s="1"/>
  <c r="I211" i="103"/>
  <c r="H211" i="103"/>
  <c r="R210" i="103"/>
  <c r="O210" i="103"/>
  <c r="I210" i="103"/>
  <c r="H210" i="103"/>
  <c r="R209" i="103"/>
  <c r="O209" i="103"/>
  <c r="AC209" i="103" s="1"/>
  <c r="AE209" i="103" s="1"/>
  <c r="I209" i="103"/>
  <c r="H209" i="103"/>
  <c r="R208" i="103"/>
  <c r="O208" i="103"/>
  <c r="AC208" i="103" s="1"/>
  <c r="AE208" i="103" s="1"/>
  <c r="I208" i="103"/>
  <c r="H208" i="103"/>
  <c r="R207" i="103"/>
  <c r="O207" i="103"/>
  <c r="I207" i="103"/>
  <c r="H207" i="103"/>
  <c r="R206" i="103"/>
  <c r="O206" i="103"/>
  <c r="AC206" i="103" s="1"/>
  <c r="AE206" i="103" s="1"/>
  <c r="I206" i="103"/>
  <c r="H206" i="103"/>
  <c r="R205" i="103"/>
  <c r="O205" i="103"/>
  <c r="AC205" i="103" s="1"/>
  <c r="AE205" i="103" s="1"/>
  <c r="I205" i="103"/>
  <c r="H205" i="103"/>
  <c r="R204" i="103"/>
  <c r="O204" i="103"/>
  <c r="I204" i="103"/>
  <c r="H204" i="103"/>
  <c r="R203" i="103"/>
  <c r="O203" i="103"/>
  <c r="AC203" i="103" s="1"/>
  <c r="AE203" i="103" s="1"/>
  <c r="I203" i="103"/>
  <c r="H203" i="103"/>
  <c r="R202" i="103"/>
  <c r="O202" i="103"/>
  <c r="AC202" i="103" s="1"/>
  <c r="AE202" i="103" s="1"/>
  <c r="I202" i="103"/>
  <c r="H202" i="103"/>
  <c r="R201" i="103"/>
  <c r="O201" i="103"/>
  <c r="AC201" i="103" s="1"/>
  <c r="AE201" i="103" s="1"/>
  <c r="I201" i="103"/>
  <c r="H201" i="103"/>
  <c r="R200" i="103"/>
  <c r="O200" i="103"/>
  <c r="AC200" i="103" s="1"/>
  <c r="AE200" i="103" s="1"/>
  <c r="I200" i="103"/>
  <c r="H200" i="103"/>
  <c r="R199" i="103"/>
  <c r="O199" i="103"/>
  <c r="I199" i="103"/>
  <c r="H199" i="103"/>
  <c r="R198" i="103"/>
  <c r="O198" i="103"/>
  <c r="I198" i="103"/>
  <c r="H198" i="103"/>
  <c r="R197" i="103"/>
  <c r="O197" i="103"/>
  <c r="AC197" i="103" s="1"/>
  <c r="AE197" i="103" s="1"/>
  <c r="I197" i="103"/>
  <c r="H197" i="103"/>
  <c r="R196" i="103"/>
  <c r="O196" i="103"/>
  <c r="AC196" i="103" s="1"/>
  <c r="AE196" i="103" s="1"/>
  <c r="I196" i="103"/>
  <c r="H196" i="103"/>
  <c r="R195" i="103"/>
  <c r="O195" i="103"/>
  <c r="AC195" i="103" s="1"/>
  <c r="AE195" i="103" s="1"/>
  <c r="I195" i="103"/>
  <c r="H195" i="103"/>
  <c r="R194" i="103"/>
  <c r="O194" i="103"/>
  <c r="AC194" i="103" s="1"/>
  <c r="AE194" i="103" s="1"/>
  <c r="I194" i="103"/>
  <c r="H194" i="103"/>
  <c r="R193" i="103"/>
  <c r="O193" i="103"/>
  <c r="AC193" i="103" s="1"/>
  <c r="AE193" i="103" s="1"/>
  <c r="I193" i="103"/>
  <c r="H193" i="103"/>
  <c r="R192" i="103"/>
  <c r="O192" i="103"/>
  <c r="AC192" i="103" s="1"/>
  <c r="AE192" i="103" s="1"/>
  <c r="I192" i="103"/>
  <c r="H192" i="103"/>
  <c r="R191" i="103"/>
  <c r="O191" i="103"/>
  <c r="AC191" i="103" s="1"/>
  <c r="AE191" i="103" s="1"/>
  <c r="I191" i="103"/>
  <c r="H191" i="103"/>
  <c r="R190" i="103"/>
  <c r="O190" i="103"/>
  <c r="I190" i="103"/>
  <c r="H190" i="103"/>
  <c r="R189" i="103"/>
  <c r="O189" i="103"/>
  <c r="I189" i="103"/>
  <c r="H189" i="103"/>
  <c r="R188" i="103"/>
  <c r="O188" i="103"/>
  <c r="AC188" i="103" s="1"/>
  <c r="AE188" i="103" s="1"/>
  <c r="I188" i="103"/>
  <c r="H188" i="103"/>
  <c r="R187" i="103"/>
  <c r="O187" i="103"/>
  <c r="AC187" i="103" s="1"/>
  <c r="AE187" i="103" s="1"/>
  <c r="I187" i="103"/>
  <c r="H187" i="103"/>
  <c r="R186" i="103"/>
  <c r="O186" i="103"/>
  <c r="AC186" i="103" s="1"/>
  <c r="AE186" i="103" s="1"/>
  <c r="I186" i="103"/>
  <c r="H186" i="103"/>
  <c r="R185" i="103"/>
  <c r="O185" i="103"/>
  <c r="AC185" i="103" s="1"/>
  <c r="AE185" i="103" s="1"/>
  <c r="I185" i="103"/>
  <c r="H185" i="103"/>
  <c r="R184" i="103"/>
  <c r="O184" i="103"/>
  <c r="AC184" i="103" s="1"/>
  <c r="AE184" i="103" s="1"/>
  <c r="I184" i="103"/>
  <c r="H184" i="103"/>
  <c r="R183" i="103"/>
  <c r="O183" i="103"/>
  <c r="AC183" i="103" s="1"/>
  <c r="AE183" i="103" s="1"/>
  <c r="I183" i="103"/>
  <c r="H183" i="103"/>
  <c r="R182" i="103"/>
  <c r="O182" i="103"/>
  <c r="I182" i="103"/>
  <c r="H182" i="103"/>
  <c r="R181" i="103"/>
  <c r="O181" i="103"/>
  <c r="AC181" i="103" s="1"/>
  <c r="AE181" i="103" s="1"/>
  <c r="I181" i="103"/>
  <c r="H181" i="103"/>
  <c r="R180" i="103"/>
  <c r="O180" i="103"/>
  <c r="AC180" i="103" s="1"/>
  <c r="AE180" i="103" s="1"/>
  <c r="I180" i="103"/>
  <c r="H180" i="103"/>
  <c r="R179" i="103"/>
  <c r="O179" i="103"/>
  <c r="AC179" i="103" s="1"/>
  <c r="AE179" i="103" s="1"/>
  <c r="I179" i="103"/>
  <c r="H179" i="103"/>
  <c r="R178" i="103"/>
  <c r="O178" i="103"/>
  <c r="AC178" i="103" s="1"/>
  <c r="AE178" i="103" s="1"/>
  <c r="I178" i="103"/>
  <c r="H178" i="103"/>
  <c r="R177" i="103"/>
  <c r="O177" i="103"/>
  <c r="AC177" i="103" s="1"/>
  <c r="AE177" i="103" s="1"/>
  <c r="I177" i="103"/>
  <c r="H177" i="103"/>
  <c r="R176" i="103"/>
  <c r="O176" i="103"/>
  <c r="AC176" i="103" s="1"/>
  <c r="AE176" i="103" s="1"/>
  <c r="I176" i="103"/>
  <c r="H176" i="103"/>
  <c r="R175" i="103"/>
  <c r="O175" i="103"/>
  <c r="AC175" i="103" s="1"/>
  <c r="AE175" i="103" s="1"/>
  <c r="I175" i="103"/>
  <c r="H175" i="103"/>
  <c r="R174" i="103"/>
  <c r="O174" i="103"/>
  <c r="AC174" i="103" s="1"/>
  <c r="AE174" i="103" s="1"/>
  <c r="I174" i="103"/>
  <c r="H174" i="103"/>
  <c r="R173" i="103"/>
  <c r="O173" i="103"/>
  <c r="AC173" i="103" s="1"/>
  <c r="AE173" i="103" s="1"/>
  <c r="I173" i="103"/>
  <c r="H173" i="103"/>
  <c r="R172" i="103"/>
  <c r="O172" i="103"/>
  <c r="AC172" i="103" s="1"/>
  <c r="AE172" i="103" s="1"/>
  <c r="I172" i="103"/>
  <c r="H172" i="103"/>
  <c r="R171" i="103"/>
  <c r="O171" i="103"/>
  <c r="I171" i="103"/>
  <c r="H171" i="103"/>
  <c r="R170" i="103"/>
  <c r="O170" i="103"/>
  <c r="I170" i="103"/>
  <c r="H170" i="103"/>
  <c r="R169" i="103"/>
  <c r="O169" i="103"/>
  <c r="AC169" i="103" s="1"/>
  <c r="AE169" i="103" s="1"/>
  <c r="I169" i="103"/>
  <c r="H169" i="103"/>
  <c r="R168" i="103"/>
  <c r="O168" i="103"/>
  <c r="AC168" i="103" s="1"/>
  <c r="AE168" i="103" s="1"/>
  <c r="I168" i="103"/>
  <c r="H168" i="103"/>
  <c r="R167" i="103"/>
  <c r="O167" i="103"/>
  <c r="AC167" i="103" s="1"/>
  <c r="AE167" i="103" s="1"/>
  <c r="I167" i="103"/>
  <c r="H167" i="103"/>
  <c r="R166" i="103"/>
  <c r="O166" i="103"/>
  <c r="AC166" i="103" s="1"/>
  <c r="AE166" i="103" s="1"/>
  <c r="I166" i="103"/>
  <c r="H166" i="103"/>
  <c r="R165" i="103"/>
  <c r="O165" i="103"/>
  <c r="AC165" i="103" s="1"/>
  <c r="AE165" i="103" s="1"/>
  <c r="I165" i="103"/>
  <c r="H165" i="103"/>
  <c r="R164" i="103"/>
  <c r="O164" i="103"/>
  <c r="AC164" i="103" s="1"/>
  <c r="AE164" i="103" s="1"/>
  <c r="I164" i="103"/>
  <c r="H164" i="103"/>
  <c r="R163" i="103"/>
  <c r="O163" i="103"/>
  <c r="I163" i="103"/>
  <c r="H163" i="103"/>
  <c r="R162" i="103"/>
  <c r="O162" i="103"/>
  <c r="I162" i="103"/>
  <c r="H162" i="103"/>
  <c r="R161" i="103"/>
  <c r="O161" i="103"/>
  <c r="AC161" i="103" s="1"/>
  <c r="AE161" i="103" s="1"/>
  <c r="I161" i="103"/>
  <c r="H161" i="103"/>
  <c r="R160" i="103"/>
  <c r="O160" i="103"/>
  <c r="AC160" i="103" s="1"/>
  <c r="AE160" i="103" s="1"/>
  <c r="I160" i="103"/>
  <c r="H160" i="103"/>
  <c r="R159" i="103"/>
  <c r="O159" i="103"/>
  <c r="AC159" i="103" s="1"/>
  <c r="AE159" i="103" s="1"/>
  <c r="I159" i="103"/>
  <c r="H159" i="103"/>
  <c r="R158" i="103"/>
  <c r="O158" i="103"/>
  <c r="AC158" i="103" s="1"/>
  <c r="AE158" i="103" s="1"/>
  <c r="I158" i="103"/>
  <c r="H158" i="103"/>
  <c r="R157" i="103"/>
  <c r="O157" i="103"/>
  <c r="AC157" i="103" s="1"/>
  <c r="AE157" i="103" s="1"/>
  <c r="I157" i="103"/>
  <c r="H157" i="103"/>
  <c r="R156" i="103"/>
  <c r="O156" i="103"/>
  <c r="AC156" i="103" s="1"/>
  <c r="AE156" i="103" s="1"/>
  <c r="I156" i="103"/>
  <c r="H156" i="103"/>
  <c r="R155" i="103"/>
  <c r="O155" i="103"/>
  <c r="AC155" i="103" s="1"/>
  <c r="AE155" i="103" s="1"/>
  <c r="I155" i="103"/>
  <c r="H155" i="103"/>
  <c r="R154" i="103"/>
  <c r="O154" i="103"/>
  <c r="AC154" i="103" s="1"/>
  <c r="AE154" i="103" s="1"/>
  <c r="I154" i="103"/>
  <c r="H154" i="103"/>
  <c r="R153" i="103"/>
  <c r="O153" i="103"/>
  <c r="I153" i="103"/>
  <c r="H153" i="103"/>
  <c r="R152" i="103"/>
  <c r="O152" i="103"/>
  <c r="AC152" i="103" s="1"/>
  <c r="AE152" i="103" s="1"/>
  <c r="I152" i="103"/>
  <c r="H152" i="103"/>
  <c r="R151" i="103"/>
  <c r="O151" i="103"/>
  <c r="AC151" i="103" s="1"/>
  <c r="AE151" i="103" s="1"/>
  <c r="I151" i="103"/>
  <c r="H151" i="103"/>
  <c r="R150" i="103"/>
  <c r="O150" i="103"/>
  <c r="AC150" i="103" s="1"/>
  <c r="AE150" i="103" s="1"/>
  <c r="I150" i="103"/>
  <c r="H150" i="103"/>
  <c r="R149" i="103"/>
  <c r="O149" i="103"/>
  <c r="AC149" i="103" s="1"/>
  <c r="AE149" i="103" s="1"/>
  <c r="I149" i="103"/>
  <c r="H149" i="103"/>
  <c r="R148" i="103"/>
  <c r="O148" i="103"/>
  <c r="AC148" i="103" s="1"/>
  <c r="AE148" i="103" s="1"/>
  <c r="I148" i="103"/>
  <c r="H148" i="103"/>
  <c r="R147" i="103"/>
  <c r="O147" i="103"/>
  <c r="AC147" i="103" s="1"/>
  <c r="AE147" i="103" s="1"/>
  <c r="I147" i="103"/>
  <c r="H147" i="103"/>
  <c r="R146" i="103"/>
  <c r="O146" i="103"/>
  <c r="AC146" i="103" s="1"/>
  <c r="AE146" i="103" s="1"/>
  <c r="I146" i="103"/>
  <c r="H146" i="103"/>
  <c r="R145" i="103"/>
  <c r="O145" i="103"/>
  <c r="AC145" i="103" s="1"/>
  <c r="AE145" i="103" s="1"/>
  <c r="I145" i="103"/>
  <c r="H145" i="103"/>
  <c r="R144" i="103"/>
  <c r="O144" i="103"/>
  <c r="I144" i="103"/>
  <c r="H144" i="103"/>
  <c r="R143" i="103"/>
  <c r="O143" i="103"/>
  <c r="AC143" i="103" s="1"/>
  <c r="AE143" i="103" s="1"/>
  <c r="I143" i="103"/>
  <c r="H143" i="103"/>
  <c r="R142" i="103"/>
  <c r="O142" i="103"/>
  <c r="AC142" i="103" s="1"/>
  <c r="AE142" i="103" s="1"/>
  <c r="I142" i="103"/>
  <c r="H142" i="103"/>
  <c r="R141" i="103"/>
  <c r="O141" i="103"/>
  <c r="I141" i="103"/>
  <c r="H141" i="103"/>
  <c r="R140" i="103"/>
  <c r="O140" i="103"/>
  <c r="AC140" i="103" s="1"/>
  <c r="AE140" i="103" s="1"/>
  <c r="I140" i="103"/>
  <c r="H140" i="103"/>
  <c r="R139" i="103"/>
  <c r="O139" i="103"/>
  <c r="AC139" i="103" s="1"/>
  <c r="AE139" i="103" s="1"/>
  <c r="I139" i="103"/>
  <c r="H139" i="103"/>
  <c r="R138" i="103"/>
  <c r="O138" i="103"/>
  <c r="AC138" i="103" s="1"/>
  <c r="AE138" i="103" s="1"/>
  <c r="I138" i="103"/>
  <c r="H138" i="103"/>
  <c r="R137" i="103"/>
  <c r="O137" i="103"/>
  <c r="I137" i="103"/>
  <c r="H137" i="103"/>
  <c r="R136" i="103"/>
  <c r="O136" i="103"/>
  <c r="AC136" i="103" s="1"/>
  <c r="AE136" i="103" s="1"/>
  <c r="I136" i="103"/>
  <c r="H136" i="103"/>
  <c r="R135" i="103"/>
  <c r="O135" i="103"/>
  <c r="I135" i="103"/>
  <c r="H135" i="103"/>
  <c r="R134" i="103"/>
  <c r="O134" i="103"/>
  <c r="AC134" i="103" s="1"/>
  <c r="AE134" i="103" s="1"/>
  <c r="I134" i="103"/>
  <c r="H134" i="103"/>
  <c r="R133" i="103"/>
  <c r="O133" i="103"/>
  <c r="AC133" i="103" s="1"/>
  <c r="AE133" i="103" s="1"/>
  <c r="I133" i="103"/>
  <c r="H133" i="103"/>
  <c r="R132" i="103"/>
  <c r="O132" i="103"/>
  <c r="AC132" i="103" s="1"/>
  <c r="AE132" i="103" s="1"/>
  <c r="I132" i="103"/>
  <c r="H132" i="103"/>
  <c r="R131" i="103"/>
  <c r="O131" i="103"/>
  <c r="AC131" i="103" s="1"/>
  <c r="AE131" i="103" s="1"/>
  <c r="I131" i="103"/>
  <c r="H131" i="103"/>
  <c r="R130" i="103"/>
  <c r="O130" i="103"/>
  <c r="AC130" i="103" s="1"/>
  <c r="AE130" i="103" s="1"/>
  <c r="I130" i="103"/>
  <c r="H130" i="103"/>
  <c r="R129" i="103"/>
  <c r="O129" i="103"/>
  <c r="I129" i="103"/>
  <c r="H129" i="103"/>
  <c r="R128" i="103"/>
  <c r="O128" i="103"/>
  <c r="I128" i="103"/>
  <c r="H128" i="103"/>
  <c r="R127" i="103"/>
  <c r="O127" i="103"/>
  <c r="I127" i="103"/>
  <c r="H127" i="103"/>
  <c r="R126" i="103"/>
  <c r="O126" i="103"/>
  <c r="I126" i="103"/>
  <c r="H126" i="103"/>
  <c r="R125" i="103"/>
  <c r="O125" i="103"/>
  <c r="AC125" i="103" s="1"/>
  <c r="AE125" i="103" s="1"/>
  <c r="I125" i="103"/>
  <c r="H125" i="103"/>
  <c r="R124" i="103"/>
  <c r="O124" i="103"/>
  <c r="AC124" i="103" s="1"/>
  <c r="AE124" i="103" s="1"/>
  <c r="I124" i="103"/>
  <c r="H124" i="103"/>
  <c r="R123" i="103"/>
  <c r="O123" i="103"/>
  <c r="AC123" i="103" s="1"/>
  <c r="AE123" i="103" s="1"/>
  <c r="I123" i="103"/>
  <c r="H123" i="103"/>
  <c r="R122" i="103"/>
  <c r="O122" i="103"/>
  <c r="AC122" i="103" s="1"/>
  <c r="AE122" i="103" s="1"/>
  <c r="I122" i="103"/>
  <c r="H122" i="103"/>
  <c r="R121" i="103"/>
  <c r="O121" i="103"/>
  <c r="I121" i="103"/>
  <c r="H121" i="103"/>
  <c r="R120" i="103"/>
  <c r="O120" i="103"/>
  <c r="AC120" i="103" s="1"/>
  <c r="AE120" i="103" s="1"/>
  <c r="I120" i="103"/>
  <c r="H120" i="103"/>
  <c r="R119" i="103"/>
  <c r="O119" i="103"/>
  <c r="AC119" i="103" s="1"/>
  <c r="AE119" i="103" s="1"/>
  <c r="I119" i="103"/>
  <c r="H119" i="103"/>
  <c r="R118" i="103"/>
  <c r="O118" i="103"/>
  <c r="AC118" i="103" s="1"/>
  <c r="AE118" i="103" s="1"/>
  <c r="I118" i="103"/>
  <c r="H118" i="103"/>
  <c r="R117" i="103"/>
  <c r="O117" i="103"/>
  <c r="AC117" i="103" s="1"/>
  <c r="AE117" i="103" s="1"/>
  <c r="I117" i="103"/>
  <c r="H117" i="103"/>
  <c r="R116" i="103"/>
  <c r="O116" i="103"/>
  <c r="AC116" i="103" s="1"/>
  <c r="AE116" i="103" s="1"/>
  <c r="I116" i="103"/>
  <c r="H116" i="103"/>
  <c r="R115" i="103"/>
  <c r="O115" i="103"/>
  <c r="AC115" i="103" s="1"/>
  <c r="AE115" i="103" s="1"/>
  <c r="I115" i="103"/>
  <c r="H115" i="103"/>
  <c r="R114" i="103"/>
  <c r="O114" i="103"/>
  <c r="AC114" i="103" s="1"/>
  <c r="AE114" i="103" s="1"/>
  <c r="I114" i="103"/>
  <c r="H114" i="103"/>
  <c r="R113" i="103"/>
  <c r="O113" i="103"/>
  <c r="I113" i="103"/>
  <c r="H113" i="103"/>
  <c r="R112" i="103"/>
  <c r="O112" i="103"/>
  <c r="AC112" i="103" s="1"/>
  <c r="AE112" i="103" s="1"/>
  <c r="I112" i="103"/>
  <c r="H112" i="103"/>
  <c r="R111" i="103"/>
  <c r="O111" i="103"/>
  <c r="AC111" i="103" s="1"/>
  <c r="AE111" i="103" s="1"/>
  <c r="I111" i="103"/>
  <c r="H111" i="103"/>
  <c r="R110" i="103"/>
  <c r="O110" i="103"/>
  <c r="AC110" i="103" s="1"/>
  <c r="AE110" i="103" s="1"/>
  <c r="I110" i="103"/>
  <c r="H110" i="103"/>
  <c r="R109" i="103"/>
  <c r="O109" i="103"/>
  <c r="AC109" i="103" s="1"/>
  <c r="AE109" i="103" s="1"/>
  <c r="I109" i="103"/>
  <c r="H109" i="103"/>
  <c r="R108" i="103"/>
  <c r="O108" i="103"/>
  <c r="AC108" i="103" s="1"/>
  <c r="AE108" i="103" s="1"/>
  <c r="I108" i="103"/>
  <c r="H108" i="103"/>
  <c r="R107" i="103"/>
  <c r="O107" i="103"/>
  <c r="I107" i="103"/>
  <c r="H107" i="103"/>
  <c r="R106" i="103"/>
  <c r="O106" i="103"/>
  <c r="AC106" i="103" s="1"/>
  <c r="AE106" i="103" s="1"/>
  <c r="I106" i="103"/>
  <c r="H106" i="103"/>
  <c r="R105" i="103"/>
  <c r="O105" i="103"/>
  <c r="AC105" i="103" s="1"/>
  <c r="AE105" i="103" s="1"/>
  <c r="I105" i="103"/>
  <c r="H105" i="103"/>
  <c r="R104" i="103"/>
  <c r="O104" i="103"/>
  <c r="AC104" i="103" s="1"/>
  <c r="AE104" i="103" s="1"/>
  <c r="I104" i="103"/>
  <c r="H104" i="103"/>
  <c r="R103" i="103"/>
  <c r="O103" i="103"/>
  <c r="AC103" i="103" s="1"/>
  <c r="AE103" i="103" s="1"/>
  <c r="I103" i="103"/>
  <c r="H103" i="103"/>
  <c r="R102" i="103"/>
  <c r="O102" i="103"/>
  <c r="AC102" i="103" s="1"/>
  <c r="AE102" i="103" s="1"/>
  <c r="I102" i="103"/>
  <c r="H102" i="103"/>
  <c r="R101" i="103"/>
  <c r="O101" i="103"/>
  <c r="AC101" i="103" s="1"/>
  <c r="AE101" i="103" s="1"/>
  <c r="I101" i="103"/>
  <c r="H101" i="103"/>
  <c r="R100" i="103"/>
  <c r="O100" i="103"/>
  <c r="AC100" i="103" s="1"/>
  <c r="AE100" i="103" s="1"/>
  <c r="I100" i="103"/>
  <c r="H100" i="103"/>
  <c r="R99" i="103"/>
  <c r="O99" i="103"/>
  <c r="AC99" i="103" s="1"/>
  <c r="AE99" i="103" s="1"/>
  <c r="I99" i="103"/>
  <c r="H99" i="103"/>
  <c r="R98" i="103"/>
  <c r="O98" i="103"/>
  <c r="AC98" i="103" s="1"/>
  <c r="AE98" i="103" s="1"/>
  <c r="I98" i="103"/>
  <c r="H98" i="103"/>
  <c r="R97" i="103"/>
  <c r="O97" i="103"/>
  <c r="AC97" i="103" s="1"/>
  <c r="AE97" i="103" s="1"/>
  <c r="I97" i="103"/>
  <c r="H97" i="103"/>
  <c r="R96" i="103"/>
  <c r="O96" i="103"/>
  <c r="AC96" i="103" s="1"/>
  <c r="AE96" i="103" s="1"/>
  <c r="I96" i="103"/>
  <c r="H96" i="103"/>
  <c r="R95" i="103"/>
  <c r="O95" i="103"/>
  <c r="AC95" i="103" s="1"/>
  <c r="AE95" i="103" s="1"/>
  <c r="I95" i="103"/>
  <c r="H95" i="103"/>
  <c r="R94" i="103"/>
  <c r="O94" i="103"/>
  <c r="AC94" i="103" s="1"/>
  <c r="AE94" i="103" s="1"/>
  <c r="I94" i="103"/>
  <c r="H94" i="103"/>
  <c r="R93" i="103"/>
  <c r="O93" i="103"/>
  <c r="AC93" i="103" s="1"/>
  <c r="AE93" i="103" s="1"/>
  <c r="I93" i="103"/>
  <c r="H93" i="103"/>
  <c r="R92" i="103"/>
  <c r="O92" i="103"/>
  <c r="AC92" i="103" s="1"/>
  <c r="AE92" i="103" s="1"/>
  <c r="I92" i="103"/>
  <c r="H92" i="103"/>
  <c r="R91" i="103"/>
  <c r="O91" i="103"/>
  <c r="AC91" i="103" s="1"/>
  <c r="AE91" i="103" s="1"/>
  <c r="I91" i="103"/>
  <c r="H91" i="103"/>
  <c r="R90" i="103"/>
  <c r="O90" i="103"/>
  <c r="I90" i="103"/>
  <c r="H90" i="103"/>
  <c r="R89" i="103"/>
  <c r="O89" i="103"/>
  <c r="I89" i="103"/>
  <c r="H89" i="103"/>
  <c r="R88" i="103"/>
  <c r="O88" i="103"/>
  <c r="AC88" i="103" s="1"/>
  <c r="AE88" i="103" s="1"/>
  <c r="I88" i="103"/>
  <c r="H88" i="103"/>
  <c r="R87" i="103"/>
  <c r="O87" i="103"/>
  <c r="I87" i="103"/>
  <c r="H87" i="103"/>
  <c r="R86" i="103"/>
  <c r="O86" i="103"/>
  <c r="AC86" i="103" s="1"/>
  <c r="AE86" i="103" s="1"/>
  <c r="I86" i="103"/>
  <c r="H86" i="103"/>
  <c r="R85" i="103"/>
  <c r="O85" i="103"/>
  <c r="AC85" i="103" s="1"/>
  <c r="AE85" i="103" s="1"/>
  <c r="I85" i="103"/>
  <c r="H85" i="103"/>
  <c r="R84" i="103"/>
  <c r="O84" i="103"/>
  <c r="AC84" i="103" s="1"/>
  <c r="AE84" i="103" s="1"/>
  <c r="I84" i="103"/>
  <c r="H84" i="103"/>
  <c r="R83" i="103"/>
  <c r="O83" i="103"/>
  <c r="AC83" i="103" s="1"/>
  <c r="AE83" i="103" s="1"/>
  <c r="I83" i="103"/>
  <c r="H83" i="103"/>
  <c r="R82" i="103"/>
  <c r="O82" i="103"/>
  <c r="AC82" i="103" s="1"/>
  <c r="AE82" i="103" s="1"/>
  <c r="I82" i="103"/>
  <c r="H82" i="103"/>
  <c r="R81" i="103"/>
  <c r="O81" i="103"/>
  <c r="AC81" i="103" s="1"/>
  <c r="AE81" i="103" s="1"/>
  <c r="I81" i="103"/>
  <c r="H81" i="103"/>
  <c r="R80" i="103"/>
  <c r="O80" i="103"/>
  <c r="AC80" i="103" s="1"/>
  <c r="AE80" i="103" s="1"/>
  <c r="I80" i="103"/>
  <c r="H80" i="103"/>
  <c r="R79" i="103"/>
  <c r="O79" i="103"/>
  <c r="AC79" i="103" s="1"/>
  <c r="AE79" i="103" s="1"/>
  <c r="I79" i="103"/>
  <c r="H79" i="103"/>
  <c r="R78" i="103"/>
  <c r="O78" i="103"/>
  <c r="AC78" i="103" s="1"/>
  <c r="AE78" i="103" s="1"/>
  <c r="I78" i="103"/>
  <c r="H78" i="103"/>
  <c r="R77" i="103"/>
  <c r="O77" i="103"/>
  <c r="AC77" i="103" s="1"/>
  <c r="AE77" i="103" s="1"/>
  <c r="I77" i="103"/>
  <c r="H77" i="103"/>
  <c r="R76" i="103"/>
  <c r="O76" i="103"/>
  <c r="AC76" i="103" s="1"/>
  <c r="AE76" i="103" s="1"/>
  <c r="I76" i="103"/>
  <c r="H76" i="103"/>
  <c r="R75" i="103"/>
  <c r="O75" i="103"/>
  <c r="I75" i="103"/>
  <c r="H75" i="103"/>
  <c r="R74" i="103"/>
  <c r="O74" i="103"/>
  <c r="AC74" i="103" s="1"/>
  <c r="AE74" i="103" s="1"/>
  <c r="I74" i="103"/>
  <c r="H74" i="103"/>
  <c r="R73" i="103"/>
  <c r="O73" i="103"/>
  <c r="AC73" i="103" s="1"/>
  <c r="AE73" i="103" s="1"/>
  <c r="I73" i="103"/>
  <c r="H73" i="103"/>
  <c r="R72" i="103"/>
  <c r="O72" i="103"/>
  <c r="I72" i="103"/>
  <c r="H72" i="103"/>
  <c r="R71" i="103"/>
  <c r="O71" i="103"/>
  <c r="AC71" i="103" s="1"/>
  <c r="AE71" i="103" s="1"/>
  <c r="I71" i="103"/>
  <c r="H71" i="103"/>
  <c r="R70" i="103"/>
  <c r="O70" i="103"/>
  <c r="AC70" i="103" s="1"/>
  <c r="AE70" i="103" s="1"/>
  <c r="I70" i="103"/>
  <c r="H70" i="103"/>
  <c r="R69" i="103"/>
  <c r="O69" i="103"/>
  <c r="AC69" i="103" s="1"/>
  <c r="AE69" i="103" s="1"/>
  <c r="I69" i="103"/>
  <c r="H69" i="103"/>
  <c r="R68" i="103"/>
  <c r="O68" i="103"/>
  <c r="AC68" i="103" s="1"/>
  <c r="AE68" i="103" s="1"/>
  <c r="I68" i="103"/>
  <c r="H68" i="103"/>
  <c r="R67" i="103"/>
  <c r="O67" i="103"/>
  <c r="AC67" i="103" s="1"/>
  <c r="AE67" i="103" s="1"/>
  <c r="I67" i="103"/>
  <c r="H67" i="103"/>
  <c r="R66" i="103"/>
  <c r="O66" i="103"/>
  <c r="I66" i="103"/>
  <c r="H66" i="103"/>
  <c r="R65" i="103"/>
  <c r="O65" i="103"/>
  <c r="AC65" i="103" s="1"/>
  <c r="AE65" i="103" s="1"/>
  <c r="I65" i="103"/>
  <c r="H65" i="103"/>
  <c r="R64" i="103"/>
  <c r="O64" i="103"/>
  <c r="I64" i="103"/>
  <c r="H64" i="103"/>
  <c r="R63" i="103"/>
  <c r="O63" i="103"/>
  <c r="AC63" i="103" s="1"/>
  <c r="AE63" i="103" s="1"/>
  <c r="I63" i="103"/>
  <c r="H63" i="103"/>
  <c r="R62" i="103"/>
  <c r="O62" i="103"/>
  <c r="AC62" i="103" s="1"/>
  <c r="AE62" i="103" s="1"/>
  <c r="I62" i="103"/>
  <c r="H62" i="103"/>
  <c r="R61" i="103"/>
  <c r="O61" i="103"/>
  <c r="AC61" i="103" s="1"/>
  <c r="AE61" i="103" s="1"/>
  <c r="I61" i="103"/>
  <c r="H61" i="103"/>
  <c r="R60" i="103"/>
  <c r="O60" i="103"/>
  <c r="AC60" i="103" s="1"/>
  <c r="AE60" i="103" s="1"/>
  <c r="I60" i="103"/>
  <c r="H60" i="103"/>
  <c r="R59" i="103"/>
  <c r="O59" i="103"/>
  <c r="AC59" i="103" s="1"/>
  <c r="AE59" i="103" s="1"/>
  <c r="I59" i="103"/>
  <c r="H59" i="103"/>
  <c r="R58" i="103"/>
  <c r="O58" i="103"/>
  <c r="AC58" i="103" s="1"/>
  <c r="AE58" i="103" s="1"/>
  <c r="I58" i="103"/>
  <c r="H58" i="103"/>
  <c r="R57" i="103"/>
  <c r="O57" i="103"/>
  <c r="AC57" i="103" s="1"/>
  <c r="AE57" i="103" s="1"/>
  <c r="I57" i="103"/>
  <c r="H57" i="103"/>
  <c r="R56" i="103"/>
  <c r="O56" i="103"/>
  <c r="AC56" i="103" s="1"/>
  <c r="AE56" i="103" s="1"/>
  <c r="I56" i="103"/>
  <c r="H56" i="103"/>
  <c r="R55" i="103"/>
  <c r="O55" i="103"/>
  <c r="AC55" i="103" s="1"/>
  <c r="AE55" i="103" s="1"/>
  <c r="I55" i="103"/>
  <c r="H55" i="103"/>
  <c r="R54" i="103"/>
  <c r="O54" i="103"/>
  <c r="AC54" i="103" s="1"/>
  <c r="AE54" i="103" s="1"/>
  <c r="I54" i="103"/>
  <c r="H54" i="103"/>
  <c r="R53" i="103"/>
  <c r="O53" i="103"/>
  <c r="AC53" i="103" s="1"/>
  <c r="AE53" i="103" s="1"/>
  <c r="I53" i="103"/>
  <c r="H53" i="103"/>
  <c r="R52" i="103"/>
  <c r="O52" i="103"/>
  <c r="AC52" i="103" s="1"/>
  <c r="AE52" i="103" s="1"/>
  <c r="I52" i="103"/>
  <c r="H52" i="103"/>
  <c r="R51" i="103"/>
  <c r="O51" i="103"/>
  <c r="AC51" i="103" s="1"/>
  <c r="AE51" i="103" s="1"/>
  <c r="I51" i="103"/>
  <c r="H51" i="103"/>
  <c r="R50" i="103"/>
  <c r="O50" i="103"/>
  <c r="AC50" i="103" s="1"/>
  <c r="AE50" i="103" s="1"/>
  <c r="I50" i="103"/>
  <c r="H50" i="103"/>
  <c r="R49" i="103"/>
  <c r="O49" i="103"/>
  <c r="AC49" i="103" s="1"/>
  <c r="AE49" i="103" s="1"/>
  <c r="I49" i="103"/>
  <c r="H49" i="103"/>
  <c r="R48" i="103"/>
  <c r="O48" i="103"/>
  <c r="AC48" i="103" s="1"/>
  <c r="AE48" i="103" s="1"/>
  <c r="I48" i="103"/>
  <c r="H48" i="103"/>
  <c r="R47" i="103"/>
  <c r="O47" i="103"/>
  <c r="AC47" i="103" s="1"/>
  <c r="AE47" i="103" s="1"/>
  <c r="I47" i="103"/>
  <c r="H47" i="103"/>
  <c r="R46" i="103"/>
  <c r="O46" i="103"/>
  <c r="AC46" i="103" s="1"/>
  <c r="AE46" i="103" s="1"/>
  <c r="I46" i="103"/>
  <c r="H46" i="103"/>
  <c r="R45" i="103"/>
  <c r="O45" i="103"/>
  <c r="AC45" i="103" s="1"/>
  <c r="AE45" i="103" s="1"/>
  <c r="I45" i="103"/>
  <c r="H45" i="103"/>
  <c r="R44" i="103"/>
  <c r="O44" i="103"/>
  <c r="I44" i="103"/>
  <c r="H44" i="103"/>
  <c r="R43" i="103"/>
  <c r="O43" i="103"/>
  <c r="AC43" i="103" s="1"/>
  <c r="AE43" i="103" s="1"/>
  <c r="I43" i="103"/>
  <c r="H43" i="103"/>
  <c r="R42" i="103"/>
  <c r="O42" i="103"/>
  <c r="AC42" i="103" s="1"/>
  <c r="AE42" i="103" s="1"/>
  <c r="I42" i="103"/>
  <c r="H42" i="103"/>
  <c r="R41" i="103"/>
  <c r="O41" i="103"/>
  <c r="AC41" i="103" s="1"/>
  <c r="AE41" i="103" s="1"/>
  <c r="I41" i="103"/>
  <c r="H41" i="103"/>
  <c r="R40" i="103"/>
  <c r="O40" i="103"/>
  <c r="AC40" i="103" s="1"/>
  <c r="AE40" i="103" s="1"/>
  <c r="I40" i="103"/>
  <c r="H40" i="103"/>
  <c r="R39" i="103"/>
  <c r="O39" i="103"/>
  <c r="AC39" i="103" s="1"/>
  <c r="AE39" i="103" s="1"/>
  <c r="I39" i="103"/>
  <c r="H39" i="103"/>
  <c r="R38" i="103"/>
  <c r="O38" i="103"/>
  <c r="AC38" i="103" s="1"/>
  <c r="AE38" i="103" s="1"/>
  <c r="I38" i="103"/>
  <c r="H38" i="103"/>
  <c r="R37" i="103"/>
  <c r="O37" i="103"/>
  <c r="AC37" i="103" s="1"/>
  <c r="AE37" i="103" s="1"/>
  <c r="I37" i="103"/>
  <c r="H37" i="103"/>
  <c r="R36" i="103"/>
  <c r="O36" i="103"/>
  <c r="AC36" i="103" s="1"/>
  <c r="AE36" i="103" s="1"/>
  <c r="I36" i="103"/>
  <c r="H36" i="103"/>
  <c r="R35" i="103"/>
  <c r="O35" i="103"/>
  <c r="AC35" i="103" s="1"/>
  <c r="AE35" i="103" s="1"/>
  <c r="I35" i="103"/>
  <c r="H35" i="103"/>
  <c r="R34" i="103"/>
  <c r="O34" i="103"/>
  <c r="AC34" i="103" s="1"/>
  <c r="AE34" i="103" s="1"/>
  <c r="I34" i="103"/>
  <c r="H34" i="103"/>
  <c r="R33" i="103"/>
  <c r="O33" i="103"/>
  <c r="AC33" i="103" s="1"/>
  <c r="AE33" i="103" s="1"/>
  <c r="I33" i="103"/>
  <c r="H33" i="103"/>
  <c r="R32" i="103"/>
  <c r="O32" i="103"/>
  <c r="AC32" i="103" s="1"/>
  <c r="AE32" i="103" s="1"/>
  <c r="I32" i="103"/>
  <c r="H32" i="103"/>
  <c r="R31" i="103"/>
  <c r="O31" i="103"/>
  <c r="AC31" i="103" s="1"/>
  <c r="AE31" i="103" s="1"/>
  <c r="I31" i="103"/>
  <c r="H31" i="103"/>
  <c r="R30" i="103"/>
  <c r="O30" i="103"/>
  <c r="AC30" i="103" s="1"/>
  <c r="AE30" i="103" s="1"/>
  <c r="I30" i="103"/>
  <c r="H30" i="103"/>
  <c r="R29" i="103"/>
  <c r="O29" i="103"/>
  <c r="I29" i="103"/>
  <c r="G19" i="34" s="1"/>
  <c r="H29" i="103"/>
  <c r="R28" i="103"/>
  <c r="O28" i="103"/>
  <c r="AC28" i="103" s="1"/>
  <c r="AE28" i="103" s="1"/>
  <c r="I28" i="103"/>
  <c r="H28" i="103"/>
  <c r="R27" i="103"/>
  <c r="O27" i="103"/>
  <c r="AC27" i="103" s="1"/>
  <c r="AE27" i="103" s="1"/>
  <c r="I27" i="103"/>
  <c r="H27" i="103"/>
  <c r="R26" i="103"/>
  <c r="O26" i="103"/>
  <c r="AC26" i="103" s="1"/>
  <c r="AE26" i="103" s="1"/>
  <c r="I26" i="103"/>
  <c r="H26" i="103"/>
  <c r="R25" i="103"/>
  <c r="O25" i="103"/>
  <c r="AC25" i="103" s="1"/>
  <c r="AE25" i="103" s="1"/>
  <c r="I25" i="103"/>
  <c r="H25" i="103"/>
  <c r="R24" i="103"/>
  <c r="O24" i="103"/>
  <c r="AC24" i="103" s="1"/>
  <c r="AE24" i="103" s="1"/>
  <c r="I24" i="103"/>
  <c r="H24" i="103"/>
  <c r="R23" i="103"/>
  <c r="O23" i="103"/>
  <c r="AC23" i="103" s="1"/>
  <c r="AE23" i="103" s="1"/>
  <c r="I23" i="103"/>
  <c r="H23" i="103"/>
  <c r="R22" i="103"/>
  <c r="O22" i="103"/>
  <c r="AC22" i="103" s="1"/>
  <c r="AE22" i="103" s="1"/>
  <c r="I22" i="103"/>
  <c r="H22" i="103"/>
  <c r="R21" i="103"/>
  <c r="O21" i="103"/>
  <c r="AC21" i="103" s="1"/>
  <c r="AE21" i="103" s="1"/>
  <c r="I21" i="103"/>
  <c r="H21" i="103"/>
  <c r="R20" i="103"/>
  <c r="O20" i="103"/>
  <c r="I20" i="103"/>
  <c r="H20" i="103"/>
  <c r="R19" i="103"/>
  <c r="O19" i="103"/>
  <c r="I19" i="103"/>
  <c r="H19" i="103"/>
  <c r="R18" i="103"/>
  <c r="O18" i="103"/>
  <c r="AC18" i="103" s="1"/>
  <c r="AE18" i="103" s="1"/>
  <c r="I18" i="103"/>
  <c r="H18" i="103"/>
  <c r="R17" i="103"/>
  <c r="O17" i="103"/>
  <c r="AC17" i="103" s="1"/>
  <c r="AE17" i="103" s="1"/>
  <c r="I17" i="103"/>
  <c r="H17" i="103"/>
  <c r="R16" i="103"/>
  <c r="O16" i="103"/>
  <c r="AC16" i="103" s="1"/>
  <c r="AE16" i="103" s="1"/>
  <c r="I16" i="103"/>
  <c r="H16" i="103"/>
  <c r="R15" i="103"/>
  <c r="O15" i="103"/>
  <c r="AC15" i="103" s="1"/>
  <c r="AE15" i="103" s="1"/>
  <c r="I15" i="103"/>
  <c r="H15" i="103"/>
  <c r="R14" i="103"/>
  <c r="O14" i="103"/>
  <c r="AC14" i="103" s="1"/>
  <c r="AE14" i="103" s="1"/>
  <c r="I14" i="103"/>
  <c r="H14" i="103"/>
  <c r="R13" i="103"/>
  <c r="O13" i="103"/>
  <c r="AC13" i="103" s="1"/>
  <c r="AE13" i="103" s="1"/>
  <c r="I13" i="103"/>
  <c r="H13" i="103"/>
  <c r="R12" i="103"/>
  <c r="O12" i="103"/>
  <c r="AC12" i="103" s="1"/>
  <c r="AE12" i="103" s="1"/>
  <c r="I12" i="103"/>
  <c r="H12" i="103"/>
  <c r="R11" i="103"/>
  <c r="O11" i="103"/>
  <c r="AC11" i="103" s="1"/>
  <c r="AE11" i="103" s="1"/>
  <c r="I11" i="103"/>
  <c r="H11" i="103"/>
  <c r="R10" i="103"/>
  <c r="O10" i="103"/>
  <c r="AC10" i="103" s="1"/>
  <c r="AE10" i="103" s="1"/>
  <c r="I10" i="103"/>
  <c r="H10" i="103"/>
  <c r="R9" i="103"/>
  <c r="O9" i="103"/>
  <c r="AC9" i="103" s="1"/>
  <c r="AE9" i="103" s="1"/>
  <c r="I9" i="103"/>
  <c r="H9" i="103"/>
  <c r="R8" i="103"/>
  <c r="O8" i="103"/>
  <c r="AC8" i="103" s="1"/>
  <c r="AE8" i="103" s="1"/>
  <c r="I8" i="103"/>
  <c r="H8" i="103"/>
  <c r="R7" i="103"/>
  <c r="O7" i="103"/>
  <c r="I7" i="103"/>
  <c r="H7" i="103"/>
  <c r="R6" i="103"/>
  <c r="O6" i="103"/>
  <c r="AC6" i="103" s="1"/>
  <c r="AE6" i="103" s="1"/>
  <c r="I6" i="103"/>
  <c r="H6" i="103"/>
  <c r="R5" i="103"/>
  <c r="O5" i="103"/>
  <c r="AC5" i="103" s="1"/>
  <c r="AE5" i="103" s="1"/>
  <c r="I5" i="103"/>
  <c r="H5" i="103"/>
  <c r="R4" i="103"/>
  <c r="O4" i="103"/>
  <c r="AC4" i="103" s="1"/>
  <c r="AE4" i="103" s="1"/>
  <c r="I4" i="103"/>
  <c r="H4" i="103"/>
  <c r="R3" i="103"/>
  <c r="O3" i="103"/>
  <c r="AC3" i="103" s="1"/>
  <c r="AE3" i="103" s="1"/>
  <c r="I3" i="103"/>
  <c r="H3" i="103"/>
  <c r="R2" i="103"/>
  <c r="O2" i="103"/>
  <c r="AC2" i="103" s="1"/>
  <c r="AE2" i="103" s="1"/>
  <c r="I2" i="103"/>
  <c r="H2" i="103"/>
  <c r="AB4" i="98"/>
  <c r="Z4" i="98"/>
  <c r="X4" i="98"/>
  <c r="O4" i="98"/>
  <c r="AC4" i="98" s="1"/>
  <c r="AE4" i="98" s="1"/>
  <c r="I4" i="98"/>
  <c r="H4" i="98"/>
  <c r="T33" i="100" l="1"/>
  <c r="Q14" i="96"/>
  <c r="U14" i="96" s="1"/>
  <c r="V14" i="96" s="1"/>
  <c r="W14" i="96" s="1"/>
  <c r="AA14" i="96" s="1"/>
  <c r="Q15" i="96"/>
  <c r="U15" i="96" s="1"/>
  <c r="V15" i="96" s="1"/>
  <c r="W15" i="96" s="1"/>
  <c r="AA15" i="96" s="1"/>
  <c r="AD14" i="96"/>
  <c r="AD15" i="96"/>
  <c r="N13" i="96"/>
  <c r="Q13" i="96" s="1"/>
  <c r="U13" i="96" s="1"/>
  <c r="V13" i="96" s="1"/>
  <c r="W13" i="96" s="1"/>
  <c r="AA13" i="96" s="1"/>
  <c r="N28" i="100"/>
  <c r="N4" i="100"/>
  <c r="N43" i="100"/>
  <c r="AC43" i="100"/>
  <c r="AE43" i="100" s="1"/>
  <c r="N35" i="100"/>
  <c r="Q35" i="100" s="1"/>
  <c r="U35" i="100" s="1"/>
  <c r="V35" i="100" s="1"/>
  <c r="W35" i="100" s="1"/>
  <c r="AC35" i="100"/>
  <c r="AE35" i="100" s="1"/>
  <c r="N11" i="100"/>
  <c r="AC11" i="100"/>
  <c r="AE11" i="100" s="1"/>
  <c r="N26" i="100"/>
  <c r="AC26" i="100"/>
  <c r="AE26" i="100" s="1"/>
  <c r="N30" i="100"/>
  <c r="AC30" i="100"/>
  <c r="AE30" i="100" s="1"/>
  <c r="N40" i="100"/>
  <c r="Q40" i="100" s="1"/>
  <c r="N47" i="100"/>
  <c r="Q47" i="100" s="1"/>
  <c r="AC47" i="100"/>
  <c r="AE47" i="100" s="1"/>
  <c r="T31" i="100"/>
  <c r="AC31" i="100"/>
  <c r="AE31" i="100" s="1"/>
  <c r="N23" i="100"/>
  <c r="AC23" i="100"/>
  <c r="AE23" i="100" s="1"/>
  <c r="Y17" i="98"/>
  <c r="Y19" i="98"/>
  <c r="AE17" i="98"/>
  <c r="N22" i="98"/>
  <c r="Q22" i="98" s="1"/>
  <c r="U22" i="98" s="1"/>
  <c r="V22" i="98" s="1"/>
  <c r="W22" i="98" s="1"/>
  <c r="AA22" i="98" s="1"/>
  <c r="AD19" i="98"/>
  <c r="Y18" i="98"/>
  <c r="AA18" i="98"/>
  <c r="AD18" i="98"/>
  <c r="T13" i="96"/>
  <c r="AC13" i="96"/>
  <c r="AE13" i="96" s="1"/>
  <c r="T78" i="98"/>
  <c r="AC78" i="98"/>
  <c r="AE78" i="98" s="1"/>
  <c r="T71" i="98"/>
  <c r="AC71" i="98"/>
  <c r="AE71" i="98" s="1"/>
  <c r="T11" i="98"/>
  <c r="AC11" i="98"/>
  <c r="AE11" i="98" s="1"/>
  <c r="T6" i="98"/>
  <c r="AC6" i="98"/>
  <c r="AE6" i="98" s="1"/>
  <c r="T61" i="98"/>
  <c r="AC61" i="98"/>
  <c r="AE61" i="98" s="1"/>
  <c r="T73" i="98"/>
  <c r="AC73" i="98"/>
  <c r="AE73" i="98" s="1"/>
  <c r="T85" i="98"/>
  <c r="AC85" i="98"/>
  <c r="AE85" i="98" s="1"/>
  <c r="T80" i="98"/>
  <c r="AC80" i="98"/>
  <c r="AE80" i="98" s="1"/>
  <c r="N25" i="98"/>
  <c r="P25" i="98" s="1"/>
  <c r="AC25" i="98"/>
  <c r="AE25" i="98" s="1"/>
  <c r="N49" i="98"/>
  <c r="P49" i="98" s="1"/>
  <c r="AC49" i="98"/>
  <c r="AE49" i="98" s="1"/>
  <c r="T32" i="98"/>
  <c r="AC32" i="98"/>
  <c r="AE32" i="98" s="1"/>
  <c r="N44" i="98"/>
  <c r="P44" i="98" s="1"/>
  <c r="AC44" i="98"/>
  <c r="AE44" i="98" s="1"/>
  <c r="T27" i="98"/>
  <c r="AC27" i="98"/>
  <c r="AE27" i="98" s="1"/>
  <c r="T56" i="98"/>
  <c r="AC56" i="98"/>
  <c r="AE56" i="98" s="1"/>
  <c r="T34" i="98"/>
  <c r="AC34" i="98"/>
  <c r="AE34" i="98" s="1"/>
  <c r="T46" i="98"/>
  <c r="AC46" i="98"/>
  <c r="AE46" i="98" s="1"/>
  <c r="T41" i="98"/>
  <c r="AC41" i="98"/>
  <c r="AE41" i="98" s="1"/>
  <c r="T58" i="98"/>
  <c r="AC58" i="98"/>
  <c r="AE58" i="98" s="1"/>
  <c r="T36" i="98"/>
  <c r="AC36" i="98"/>
  <c r="AE36" i="98" s="1"/>
  <c r="T48" i="98"/>
  <c r="AC48" i="98"/>
  <c r="AE48" i="98" s="1"/>
  <c r="T43" i="98"/>
  <c r="AC43" i="98"/>
  <c r="AE43" i="98" s="1"/>
  <c r="T60" i="98"/>
  <c r="AC60" i="98"/>
  <c r="AE60" i="98" s="1"/>
  <c r="N33" i="98"/>
  <c r="Q33" i="98" s="1"/>
  <c r="U33" i="98" s="1"/>
  <c r="V33" i="98" s="1"/>
  <c r="W33" i="98" s="1"/>
  <c r="AA33" i="98" s="1"/>
  <c r="AC33" i="98"/>
  <c r="AE33" i="98" s="1"/>
  <c r="N7" i="98"/>
  <c r="P7" i="98" s="1"/>
  <c r="N12" i="98"/>
  <c r="Q12" i="98" s="1"/>
  <c r="U12" i="98" s="1"/>
  <c r="V12" i="98" s="1"/>
  <c r="W12" i="98" s="1"/>
  <c r="AA12" i="98" s="1"/>
  <c r="N23" i="98"/>
  <c r="Q23" i="98" s="1"/>
  <c r="U23" i="98" s="1"/>
  <c r="V23" i="98" s="1"/>
  <c r="W23" i="98" s="1"/>
  <c r="AA23" i="98" s="1"/>
  <c r="N30" i="98"/>
  <c r="Q30" i="98" s="1"/>
  <c r="U30" i="98" s="1"/>
  <c r="V30" i="98" s="1"/>
  <c r="W30" i="98" s="1"/>
  <c r="AA30" i="98" s="1"/>
  <c r="T11" i="102"/>
  <c r="AC11" i="102"/>
  <c r="AE11" i="102" s="1"/>
  <c r="N12" i="102"/>
  <c r="AC12" i="102"/>
  <c r="AE12" i="102" s="1"/>
  <c r="T129" i="103"/>
  <c r="AC129" i="103"/>
  <c r="AE129" i="103" s="1"/>
  <c r="T162" i="103"/>
  <c r="AC162" i="103"/>
  <c r="AE162" i="103" s="1"/>
  <c r="T189" i="103"/>
  <c r="AC189" i="103"/>
  <c r="AE189" i="103" s="1"/>
  <c r="T246" i="103"/>
  <c r="AC246" i="103"/>
  <c r="AE246" i="103" s="1"/>
  <c r="T7" i="103"/>
  <c r="AC7" i="103"/>
  <c r="AE7" i="103" s="1"/>
  <c r="T64" i="103"/>
  <c r="AC64" i="103"/>
  <c r="AE64" i="103" s="1"/>
  <c r="T121" i="103"/>
  <c r="AC121" i="103"/>
  <c r="AE121" i="103" s="1"/>
  <c r="T163" i="103"/>
  <c r="AC163" i="103"/>
  <c r="AE163" i="103" s="1"/>
  <c r="T190" i="103"/>
  <c r="AC190" i="103"/>
  <c r="AE190" i="103" s="1"/>
  <c r="T199" i="103"/>
  <c r="AC199" i="103"/>
  <c r="AE199" i="103" s="1"/>
  <c r="T235" i="103"/>
  <c r="AC235" i="103"/>
  <c r="AE235" i="103" s="1"/>
  <c r="T337" i="103"/>
  <c r="AC337" i="103"/>
  <c r="AE337" i="103" s="1"/>
  <c r="T343" i="103"/>
  <c r="AC343" i="103"/>
  <c r="AE343" i="103" s="1"/>
  <c r="T66" i="103"/>
  <c r="AC66" i="103"/>
  <c r="AE66" i="103" s="1"/>
  <c r="T72" i="103"/>
  <c r="AC72" i="103"/>
  <c r="AE72" i="103" s="1"/>
  <c r="T75" i="103"/>
  <c r="AC75" i="103"/>
  <c r="AE75" i="103" s="1"/>
  <c r="T87" i="103"/>
  <c r="AC87" i="103"/>
  <c r="AE87" i="103" s="1"/>
  <c r="T90" i="103"/>
  <c r="AC90" i="103"/>
  <c r="AE90" i="103" s="1"/>
  <c r="T126" i="103"/>
  <c r="AC126" i="103"/>
  <c r="AE126" i="103" s="1"/>
  <c r="T135" i="103"/>
  <c r="AC135" i="103"/>
  <c r="AE135" i="103" s="1"/>
  <c r="T141" i="103"/>
  <c r="AC141" i="103"/>
  <c r="AE141" i="103" s="1"/>
  <c r="T144" i="103"/>
  <c r="AC144" i="103"/>
  <c r="AE144" i="103" s="1"/>
  <c r="T153" i="103"/>
  <c r="AC153" i="103"/>
  <c r="AE153" i="103" s="1"/>
  <c r="T171" i="103"/>
  <c r="AC171" i="103"/>
  <c r="AE171" i="103" s="1"/>
  <c r="T29" i="103"/>
  <c r="AC29" i="103"/>
  <c r="AE29" i="103" s="1"/>
  <c r="T44" i="103"/>
  <c r="AC44" i="103"/>
  <c r="AE44" i="103" s="1"/>
  <c r="T89" i="103"/>
  <c r="AC89" i="103"/>
  <c r="AE89" i="103" s="1"/>
  <c r="T107" i="103"/>
  <c r="AC107" i="103"/>
  <c r="AE107" i="103" s="1"/>
  <c r="T113" i="103"/>
  <c r="AC113" i="103"/>
  <c r="AE113" i="103" s="1"/>
  <c r="T198" i="103"/>
  <c r="AC198" i="103"/>
  <c r="AE198" i="103" s="1"/>
  <c r="T204" i="103"/>
  <c r="AC204" i="103"/>
  <c r="AE204" i="103" s="1"/>
  <c r="T207" i="103"/>
  <c r="AC207" i="103"/>
  <c r="AE207" i="103" s="1"/>
  <c r="T210" i="103"/>
  <c r="AC210" i="103"/>
  <c r="AE210" i="103" s="1"/>
  <c r="T252" i="103"/>
  <c r="AC252" i="103"/>
  <c r="AE252" i="103" s="1"/>
  <c r="T273" i="103"/>
  <c r="AC273" i="103"/>
  <c r="AE273" i="103" s="1"/>
  <c r="T288" i="103"/>
  <c r="AC288" i="103"/>
  <c r="AE288" i="103" s="1"/>
  <c r="T19" i="103"/>
  <c r="AC19" i="103"/>
  <c r="AE19" i="103" s="1"/>
  <c r="T127" i="103"/>
  <c r="AC127" i="103"/>
  <c r="AE127" i="103" s="1"/>
  <c r="T223" i="103"/>
  <c r="AC223" i="103"/>
  <c r="AE223" i="103" s="1"/>
  <c r="T283" i="103"/>
  <c r="AC283" i="103"/>
  <c r="AE283" i="103" s="1"/>
  <c r="T20" i="103"/>
  <c r="AC20" i="103"/>
  <c r="AE20" i="103" s="1"/>
  <c r="T128" i="103"/>
  <c r="AC128" i="103"/>
  <c r="AE128" i="103" s="1"/>
  <c r="T137" i="103"/>
  <c r="AC137" i="103"/>
  <c r="AE137" i="103" s="1"/>
  <c r="T170" i="103"/>
  <c r="AC170" i="103"/>
  <c r="AE170" i="103" s="1"/>
  <c r="T182" i="103"/>
  <c r="AC182" i="103"/>
  <c r="AE182" i="103" s="1"/>
  <c r="T257" i="103"/>
  <c r="AC257" i="103"/>
  <c r="AE257" i="103" s="1"/>
  <c r="T266" i="103"/>
  <c r="AC266" i="103"/>
  <c r="AE266" i="103" s="1"/>
  <c r="T272" i="103"/>
  <c r="AC272" i="103"/>
  <c r="AE272" i="103" s="1"/>
  <c r="T278" i="103"/>
  <c r="AC278" i="103"/>
  <c r="AE278" i="103" s="1"/>
  <c r="T314" i="103"/>
  <c r="AC314" i="103"/>
  <c r="AE314" i="103" s="1"/>
  <c r="T317" i="103"/>
  <c r="AC317" i="103"/>
  <c r="AE317" i="103" s="1"/>
  <c r="T320" i="103"/>
  <c r="AC320" i="103"/>
  <c r="AE320" i="103" s="1"/>
  <c r="T323" i="103"/>
  <c r="AC323" i="103"/>
  <c r="AE323" i="103" s="1"/>
  <c r="T329" i="103"/>
  <c r="AC329" i="103"/>
  <c r="AE329" i="103" s="1"/>
  <c r="T341" i="103"/>
  <c r="AC341" i="103"/>
  <c r="AE341" i="103" s="1"/>
  <c r="N12" i="96"/>
  <c r="P12" i="96" s="1"/>
  <c r="T12" i="96"/>
  <c r="N14" i="100"/>
  <c r="Q14" i="100" s="1"/>
  <c r="N12" i="100"/>
  <c r="Q12" i="100" s="1"/>
  <c r="N44" i="100"/>
  <c r="Q44" i="100" s="1"/>
  <c r="N38" i="100"/>
  <c r="Q38" i="100" s="1"/>
  <c r="N33" i="100"/>
  <c r="Q33" i="100" s="1"/>
  <c r="U33" i="100" s="1"/>
  <c r="V33" i="100" s="1"/>
  <c r="W33" i="100" s="1"/>
  <c r="N16" i="100"/>
  <c r="Q16" i="100" s="1"/>
  <c r="N9" i="100"/>
  <c r="Q9" i="100" s="1"/>
  <c r="N20" i="100"/>
  <c r="Q20" i="100" s="1"/>
  <c r="N46" i="100"/>
  <c r="Q46" i="100" s="1"/>
  <c r="N24" i="100"/>
  <c r="Q24" i="100" s="1"/>
  <c r="N19" i="100"/>
  <c r="Q19" i="100" s="1"/>
  <c r="N7" i="100"/>
  <c r="Q7" i="100" s="1"/>
  <c r="N45" i="100"/>
  <c r="N34" i="100"/>
  <c r="N32" i="100"/>
  <c r="Q32" i="100" s="1"/>
  <c r="N21" i="100"/>
  <c r="Q21" i="100" s="1"/>
  <c r="N15" i="100"/>
  <c r="N48" i="100"/>
  <c r="Q11" i="100"/>
  <c r="N36" i="100"/>
  <c r="Q23" i="100"/>
  <c r="N10" i="100"/>
  <c r="N27" i="100"/>
  <c r="P35" i="100"/>
  <c r="N18" i="100"/>
  <c r="Q18" i="100" s="1"/>
  <c r="N5" i="100"/>
  <c r="N42" i="100"/>
  <c r="N29" i="100"/>
  <c r="N25" i="100"/>
  <c r="N8" i="100"/>
  <c r="Q49" i="100"/>
  <c r="Q45" i="100"/>
  <c r="Q37" i="100"/>
  <c r="P33" i="100"/>
  <c r="Q28" i="100"/>
  <c r="N49" i="100"/>
  <c r="N41" i="100"/>
  <c r="N37" i="100"/>
  <c r="N6" i="100"/>
  <c r="Q6" i="100" s="1"/>
  <c r="Q43" i="100"/>
  <c r="N39" i="100"/>
  <c r="Q26" i="100"/>
  <c r="N22" i="100"/>
  <c r="Q4" i="100"/>
  <c r="Q30" i="100"/>
  <c r="N17" i="100"/>
  <c r="N13" i="100"/>
  <c r="N31" i="100"/>
  <c r="T32" i="100"/>
  <c r="T35" i="100"/>
  <c r="U32" i="100"/>
  <c r="V32" i="100" s="1"/>
  <c r="W32" i="100" s="1"/>
  <c r="T34" i="100"/>
  <c r="N14" i="98"/>
  <c r="P14" i="98" s="1"/>
  <c r="N6" i="98"/>
  <c r="P6" i="98" s="1"/>
  <c r="N59" i="98"/>
  <c r="P59" i="98" s="1"/>
  <c r="N27" i="98"/>
  <c r="Q27" i="98" s="1"/>
  <c r="U27" i="98" s="1"/>
  <c r="V27" i="98" s="1"/>
  <c r="W27" i="98" s="1"/>
  <c r="AA27" i="98" s="1"/>
  <c r="N9" i="98"/>
  <c r="Q9" i="98" s="1"/>
  <c r="U9" i="98" s="1"/>
  <c r="V9" i="98" s="1"/>
  <c r="W9" i="98" s="1"/>
  <c r="AA9" i="98" s="1"/>
  <c r="N113" i="96"/>
  <c r="Q113" i="96" s="1"/>
  <c r="N101" i="96"/>
  <c r="Q101" i="96" s="1"/>
  <c r="N89" i="96"/>
  <c r="Q89" i="96" s="1"/>
  <c r="N83" i="96"/>
  <c r="Q83" i="96" s="1"/>
  <c r="N41" i="96"/>
  <c r="Q41" i="96" s="1"/>
  <c r="N29" i="96"/>
  <c r="Q29" i="96" s="1"/>
  <c r="N17" i="96"/>
  <c r="Q17" i="96" s="1"/>
  <c r="N14" i="102"/>
  <c r="N47" i="102"/>
  <c r="N7" i="102"/>
  <c r="T10" i="102"/>
  <c r="N51" i="102"/>
  <c r="Q51" i="102" s="1"/>
  <c r="N39" i="102"/>
  <c r="Q39" i="102" s="1"/>
  <c r="N76" i="96"/>
  <c r="Q76" i="96" s="1"/>
  <c r="N52" i="96"/>
  <c r="Q52" i="96" s="1"/>
  <c r="N43" i="96"/>
  <c r="Q43" i="96" s="1"/>
  <c r="N78" i="96"/>
  <c r="Q78" i="96" s="1"/>
  <c r="N107" i="96"/>
  <c r="Q107" i="96" s="1"/>
  <c r="N59" i="96"/>
  <c r="Q59" i="96" s="1"/>
  <c r="N47" i="96"/>
  <c r="Q47" i="96" s="1"/>
  <c r="N92" i="96"/>
  <c r="Q92" i="96" s="1"/>
  <c r="N40" i="96"/>
  <c r="Q40" i="96" s="1"/>
  <c r="N28" i="96"/>
  <c r="Q28" i="96" s="1"/>
  <c r="N16" i="96"/>
  <c r="Q16" i="96" s="1"/>
  <c r="N79" i="96"/>
  <c r="Q79" i="96" s="1"/>
  <c r="N31" i="96"/>
  <c r="Q31" i="96" s="1"/>
  <c r="N19" i="96"/>
  <c r="N48" i="96"/>
  <c r="Q48" i="96" s="1"/>
  <c r="N95" i="96"/>
  <c r="Q95" i="96" s="1"/>
  <c r="N77" i="96"/>
  <c r="Q77" i="96" s="1"/>
  <c r="N65" i="96"/>
  <c r="Q65" i="96" s="1"/>
  <c r="N30" i="96"/>
  <c r="Q30" i="96" s="1"/>
  <c r="N4" i="96"/>
  <c r="N39" i="96"/>
  <c r="N115" i="96"/>
  <c r="N103" i="96"/>
  <c r="Q103" i="96" s="1"/>
  <c r="N91" i="96"/>
  <c r="Q91" i="96" s="1"/>
  <c r="N67" i="96"/>
  <c r="Q67" i="96" s="1"/>
  <c r="N55" i="96"/>
  <c r="Q55" i="96" s="1"/>
  <c r="N100" i="96"/>
  <c r="Q100" i="96" s="1"/>
  <c r="N88" i="96"/>
  <c r="Q88" i="96" s="1"/>
  <c r="N64" i="96"/>
  <c r="N35" i="96"/>
  <c r="N7" i="96"/>
  <c r="N94" i="96"/>
  <c r="N70" i="96"/>
  <c r="N60" i="96"/>
  <c r="N119" i="96"/>
  <c r="Q119" i="96" s="1"/>
  <c r="N99" i="96"/>
  <c r="Q99" i="96" s="1"/>
  <c r="N84" i="96"/>
  <c r="N112" i="96"/>
  <c r="N96" i="96"/>
  <c r="N87" i="96"/>
  <c r="N106" i="96"/>
  <c r="N37" i="96"/>
  <c r="Q37" i="96" s="1"/>
  <c r="N46" i="96"/>
  <c r="Q46" i="96" s="1"/>
  <c r="N22" i="96"/>
  <c r="N36" i="96"/>
  <c r="N120" i="96"/>
  <c r="N85" i="96"/>
  <c r="N80" i="96"/>
  <c r="N49" i="96"/>
  <c r="N20" i="96"/>
  <c r="N116" i="96"/>
  <c r="N72" i="96"/>
  <c r="N32" i="96"/>
  <c r="N8" i="96"/>
  <c r="N51" i="96"/>
  <c r="Q51" i="96" s="1"/>
  <c r="N118" i="96"/>
  <c r="Q118" i="96" s="1"/>
  <c r="N108" i="96"/>
  <c r="N53" i="96"/>
  <c r="N44" i="96"/>
  <c r="N97" i="96"/>
  <c r="Q97" i="96" s="1"/>
  <c r="N68" i="96"/>
  <c r="N58" i="96"/>
  <c r="Q58" i="96" s="1"/>
  <c r="N24" i="96"/>
  <c r="N3" i="96"/>
  <c r="Q3" i="96" s="1"/>
  <c r="N109" i="96"/>
  <c r="N61" i="96"/>
  <c r="N9" i="96"/>
  <c r="N121" i="96"/>
  <c r="N73" i="96"/>
  <c r="N25" i="96"/>
  <c r="N102" i="96"/>
  <c r="N98" i="96"/>
  <c r="N54" i="96"/>
  <c r="N50" i="96"/>
  <c r="N6" i="96"/>
  <c r="N86" i="96"/>
  <c r="N38" i="96"/>
  <c r="N27" i="96"/>
  <c r="N104" i="96"/>
  <c r="N56" i="96"/>
  <c r="N90" i="96"/>
  <c r="N75" i="96"/>
  <c r="N71" i="96"/>
  <c r="N23" i="96"/>
  <c r="N74" i="96"/>
  <c r="N26" i="96"/>
  <c r="N42" i="96"/>
  <c r="N82" i="96"/>
  <c r="N34" i="96"/>
  <c r="N111" i="96"/>
  <c r="N63" i="96"/>
  <c r="N11" i="96"/>
  <c r="N114" i="96"/>
  <c r="N110" i="96"/>
  <c r="N66" i="96"/>
  <c r="N62" i="96"/>
  <c r="N18" i="96"/>
  <c r="N10" i="96"/>
  <c r="N5" i="96"/>
  <c r="N117" i="96"/>
  <c r="N105" i="96"/>
  <c r="N93" i="96"/>
  <c r="N81" i="96"/>
  <c r="Q81" i="96" s="1"/>
  <c r="N69" i="96"/>
  <c r="N57" i="96"/>
  <c r="N45" i="96"/>
  <c r="N33" i="96"/>
  <c r="N21" i="96"/>
  <c r="N41" i="98"/>
  <c r="P41" i="98" s="1"/>
  <c r="AD29" i="98"/>
  <c r="N13" i="98"/>
  <c r="Q13" i="98" s="1"/>
  <c r="U13" i="98" s="1"/>
  <c r="V13" i="98" s="1"/>
  <c r="W13" i="98" s="1"/>
  <c r="AA13" i="98" s="1"/>
  <c r="N31" i="98"/>
  <c r="Q31" i="98" s="1"/>
  <c r="U31" i="98" s="1"/>
  <c r="V31" i="98" s="1"/>
  <c r="W31" i="98" s="1"/>
  <c r="AA31" i="98" s="1"/>
  <c r="N10" i="98"/>
  <c r="Q10" i="98" s="1"/>
  <c r="U10" i="98" s="1"/>
  <c r="V10" i="98" s="1"/>
  <c r="W10" i="98" s="1"/>
  <c r="AA10" i="98" s="1"/>
  <c r="N42" i="98"/>
  <c r="Q42" i="98" s="1"/>
  <c r="U42" i="98" s="1"/>
  <c r="V42" i="98" s="1"/>
  <c r="W42" i="98" s="1"/>
  <c r="AA42" i="98" s="1"/>
  <c r="N15" i="98"/>
  <c r="P15" i="98" s="1"/>
  <c r="T44" i="98"/>
  <c r="N34" i="98"/>
  <c r="P34" i="98" s="1"/>
  <c r="N8" i="98"/>
  <c r="Q8" i="98" s="1"/>
  <c r="U8" i="98" s="1"/>
  <c r="V8" i="98" s="1"/>
  <c r="W8" i="98" s="1"/>
  <c r="AA8" i="98" s="1"/>
  <c r="AD9" i="98"/>
  <c r="AD13" i="98"/>
  <c r="T15" i="98"/>
  <c r="AD12" i="98"/>
  <c r="T10" i="98"/>
  <c r="N16" i="98"/>
  <c r="P16" i="98" s="1"/>
  <c r="T13" i="98"/>
  <c r="T57" i="98"/>
  <c r="T24" i="98"/>
  <c r="N29" i="98"/>
  <c r="Q29" i="98" s="1"/>
  <c r="U29" i="98" s="1"/>
  <c r="V29" i="98" s="1"/>
  <c r="W29" i="98" s="1"/>
  <c r="AA29" i="98" s="1"/>
  <c r="T29" i="98"/>
  <c r="AD10" i="98"/>
  <c r="T16" i="98"/>
  <c r="P56" i="98"/>
  <c r="AD8" i="98"/>
  <c r="N69" i="98"/>
  <c r="P69" i="98" s="1"/>
  <c r="T8" i="98"/>
  <c r="N11" i="98"/>
  <c r="Q11" i="98" s="1"/>
  <c r="U11" i="98" s="1"/>
  <c r="V11" i="98" s="1"/>
  <c r="W11" i="98" s="1"/>
  <c r="AA11" i="98" s="1"/>
  <c r="AD15" i="98"/>
  <c r="AD50" i="98"/>
  <c r="T50" i="98"/>
  <c r="T51" i="98"/>
  <c r="T83" i="98"/>
  <c r="N83" i="98"/>
  <c r="Q83" i="98" s="1"/>
  <c r="U83" i="98" s="1"/>
  <c r="V83" i="98" s="1"/>
  <c r="W83" i="98" s="1"/>
  <c r="AA83" i="98" s="1"/>
  <c r="T53" i="98"/>
  <c r="T7" i="98"/>
  <c r="T9" i="98"/>
  <c r="N37" i="98"/>
  <c r="P37" i="98" s="1"/>
  <c r="N45" i="98"/>
  <c r="P45" i="98" s="1"/>
  <c r="T12" i="98"/>
  <c r="T70" i="98"/>
  <c r="AD24" i="98"/>
  <c r="N43" i="98"/>
  <c r="P43" i="98" s="1"/>
  <c r="N54" i="98"/>
  <c r="P54" i="98" s="1"/>
  <c r="N24" i="98"/>
  <c r="P24" i="98" s="1"/>
  <c r="N32" i="98"/>
  <c r="Q32" i="98" s="1"/>
  <c r="U32" i="98" s="1"/>
  <c r="V32" i="98" s="1"/>
  <c r="W32" i="98" s="1"/>
  <c r="AA32" i="98" s="1"/>
  <c r="T14" i="98"/>
  <c r="N72" i="98"/>
  <c r="P72" i="98" s="1"/>
  <c r="N50" i="98"/>
  <c r="P50" i="98" s="1"/>
  <c r="P22" i="98"/>
  <c r="N64" i="98"/>
  <c r="Q64" i="98" s="1"/>
  <c r="U64" i="98" s="1"/>
  <c r="V64" i="98" s="1"/>
  <c r="W64" i="98" s="1"/>
  <c r="AA64" i="98" s="1"/>
  <c r="N71" i="98"/>
  <c r="Q71" i="98" s="1"/>
  <c r="U71" i="98" s="1"/>
  <c r="V71" i="98" s="1"/>
  <c r="W71" i="98" s="1"/>
  <c r="AA71" i="98" s="1"/>
  <c r="N52" i="98"/>
  <c r="P52" i="98" s="1"/>
  <c r="T22" i="98"/>
  <c r="T31" i="98"/>
  <c r="AD31" i="98"/>
  <c r="N39" i="98"/>
  <c r="P39" i="98" s="1"/>
  <c r="T33" i="98"/>
  <c r="T28" i="98"/>
  <c r="N66" i="98"/>
  <c r="Q66" i="98" s="1"/>
  <c r="U66" i="98" s="1"/>
  <c r="V66" i="98" s="1"/>
  <c r="W66" i="98" s="1"/>
  <c r="N26" i="98"/>
  <c r="T26" i="98"/>
  <c r="T66" i="98"/>
  <c r="T39" i="98"/>
  <c r="T63" i="98"/>
  <c r="T75" i="98"/>
  <c r="N28" i="98"/>
  <c r="P28" i="98" s="1"/>
  <c r="T82" i="98"/>
  <c r="N38" i="98"/>
  <c r="P38" i="98" s="1"/>
  <c r="N55" i="98"/>
  <c r="P55" i="98" s="1"/>
  <c r="T23" i="98"/>
  <c r="Q25" i="98"/>
  <c r="U25" i="98" s="1"/>
  <c r="V25" i="98" s="1"/>
  <c r="W25" i="98" s="1"/>
  <c r="AA25" i="98" s="1"/>
  <c r="N76" i="98"/>
  <c r="Q76" i="98" s="1"/>
  <c r="U76" i="98" s="1"/>
  <c r="V76" i="98" s="1"/>
  <c r="W76" i="98" s="1"/>
  <c r="AA76" i="98" s="1"/>
  <c r="N79" i="98"/>
  <c r="T45" i="98"/>
  <c r="T55" i="98"/>
  <c r="T30" i="98"/>
  <c r="N4" i="98"/>
  <c r="P4" i="98" s="1"/>
  <c r="T25" i="98"/>
  <c r="T38" i="98"/>
  <c r="N51" i="98"/>
  <c r="P51" i="98" s="1"/>
  <c r="N67" i="98"/>
  <c r="P67" i="98" s="1"/>
  <c r="N78" i="98"/>
  <c r="Q78" i="98" s="1"/>
  <c r="U78" i="98" s="1"/>
  <c r="V78" i="98" s="1"/>
  <c r="W78" i="98" s="1"/>
  <c r="N47" i="98"/>
  <c r="P47" i="98" s="1"/>
  <c r="N53" i="98"/>
  <c r="N57" i="98"/>
  <c r="Q57" i="98" s="1"/>
  <c r="U57" i="98" s="1"/>
  <c r="V57" i="98" s="1"/>
  <c r="W57" i="98" s="1"/>
  <c r="AA57" i="98" s="1"/>
  <c r="AD67" i="98"/>
  <c r="AD63" i="98"/>
  <c r="AD66" i="98"/>
  <c r="AD39" i="98"/>
  <c r="N40" i="98"/>
  <c r="P40" i="98" s="1"/>
  <c r="T40" i="98"/>
  <c r="N74" i="98"/>
  <c r="P74" i="98" s="1"/>
  <c r="N62" i="98"/>
  <c r="P62" i="98" s="1"/>
  <c r="AD47" i="98"/>
  <c r="AD57" i="98"/>
  <c r="AD38" i="98"/>
  <c r="AD68" i="98"/>
  <c r="T52" i="98"/>
  <c r="N68" i="98"/>
  <c r="P68" i="98" s="1"/>
  <c r="T77" i="98"/>
  <c r="N46" i="98"/>
  <c r="T47" i="98"/>
  <c r="N58" i="98"/>
  <c r="T59" i="98"/>
  <c r="T68" i="98"/>
  <c r="T42" i="98"/>
  <c r="Q44" i="98"/>
  <c r="U44" i="98" s="1"/>
  <c r="V44" i="98" s="1"/>
  <c r="W44" i="98" s="1"/>
  <c r="AA44" i="98" s="1"/>
  <c r="T54" i="98"/>
  <c r="Q56" i="98"/>
  <c r="U56" i="98" s="1"/>
  <c r="V56" i="98" s="1"/>
  <c r="W56" i="98" s="1"/>
  <c r="AA56" i="98" s="1"/>
  <c r="N63" i="98"/>
  <c r="P63" i="98" s="1"/>
  <c r="N36" i="98"/>
  <c r="P36" i="98" s="1"/>
  <c r="T37" i="98"/>
  <c r="N48" i="98"/>
  <c r="P48" i="98" s="1"/>
  <c r="T49" i="98"/>
  <c r="N60" i="98"/>
  <c r="P60" i="98" s="1"/>
  <c r="N70" i="98"/>
  <c r="P70" i="98" s="1"/>
  <c r="N75" i="98"/>
  <c r="P75" i="98" s="1"/>
  <c r="N80" i="98"/>
  <c r="P80" i="98" s="1"/>
  <c r="AD77" i="98"/>
  <c r="AD72" i="98"/>
  <c r="T81" i="98"/>
  <c r="AD70" i="98"/>
  <c r="T84" i="98"/>
  <c r="T62" i="98"/>
  <c r="N65" i="98"/>
  <c r="P65" i="98" s="1"/>
  <c r="T79" i="98"/>
  <c r="N81" i="98"/>
  <c r="P81" i="98" s="1"/>
  <c r="N84" i="98"/>
  <c r="P84" i="98" s="1"/>
  <c r="T65" i="98"/>
  <c r="T67" i="98"/>
  <c r="T72" i="98"/>
  <c r="AD82" i="98"/>
  <c r="T69" i="98"/>
  <c r="T74" i="98"/>
  <c r="N77" i="98"/>
  <c r="N82" i="98"/>
  <c r="N61" i="98"/>
  <c r="P61" i="98" s="1"/>
  <c r="N73" i="98"/>
  <c r="P73" i="98" s="1"/>
  <c r="N85" i="98"/>
  <c r="P85" i="98" s="1"/>
  <c r="T64" i="98"/>
  <c r="T76" i="98"/>
  <c r="N11" i="102"/>
  <c r="Q11" i="102" s="1"/>
  <c r="U11" i="102" s="1"/>
  <c r="V11" i="102" s="1"/>
  <c r="W11" i="102" s="1"/>
  <c r="N65" i="102"/>
  <c r="Q65" i="102" s="1"/>
  <c r="N53" i="102"/>
  <c r="Q53" i="102" s="1"/>
  <c r="N29" i="102"/>
  <c r="Q29" i="102" s="1"/>
  <c r="N17" i="102"/>
  <c r="Q17" i="102" s="1"/>
  <c r="N4" i="102"/>
  <c r="Q4" i="102" s="1"/>
  <c r="N60" i="102"/>
  <c r="Q60" i="102" s="1"/>
  <c r="N54" i="102"/>
  <c r="Q54" i="102" s="1"/>
  <c r="N24" i="102"/>
  <c r="Q24" i="102" s="1"/>
  <c r="N18" i="102"/>
  <c r="Q18" i="102" s="1"/>
  <c r="N10" i="102"/>
  <c r="P10" i="102" s="1"/>
  <c r="N62" i="102"/>
  <c r="Q62" i="102" s="1"/>
  <c r="N50" i="102"/>
  <c r="Q50" i="102" s="1"/>
  <c r="N38" i="102"/>
  <c r="Q38" i="102" s="1"/>
  <c r="N26" i="102"/>
  <c r="Q26" i="102" s="1"/>
  <c r="N49" i="102"/>
  <c r="Q49" i="102" s="1"/>
  <c r="N37" i="102"/>
  <c r="Q37" i="102" s="1"/>
  <c r="N31" i="102"/>
  <c r="Q31" i="102" s="1"/>
  <c r="N34" i="102"/>
  <c r="Q34" i="102" s="1"/>
  <c r="N22" i="102"/>
  <c r="Q22" i="102" s="1"/>
  <c r="P12" i="102"/>
  <c r="T13" i="102"/>
  <c r="N56" i="102"/>
  <c r="Q56" i="102" s="1"/>
  <c r="N27" i="102"/>
  <c r="Q27" i="102" s="1"/>
  <c r="N6" i="102"/>
  <c r="Q6" i="102" s="1"/>
  <c r="AD10" i="102"/>
  <c r="N44" i="102"/>
  <c r="Q44" i="102" s="1"/>
  <c r="N15" i="102"/>
  <c r="Q15" i="102" s="1"/>
  <c r="N61" i="102"/>
  <c r="Q61" i="102" s="1"/>
  <c r="N55" i="102"/>
  <c r="N32" i="102"/>
  <c r="Q32" i="102" s="1"/>
  <c r="Q12" i="102"/>
  <c r="U12" i="102" s="1"/>
  <c r="V12" i="102" s="1"/>
  <c r="W12" i="102" s="1"/>
  <c r="N66" i="102"/>
  <c r="Q66" i="102" s="1"/>
  <c r="N43" i="102"/>
  <c r="Q43" i="102" s="1"/>
  <c r="N20" i="102"/>
  <c r="Q20" i="102" s="1"/>
  <c r="T12" i="102"/>
  <c r="N48" i="102"/>
  <c r="Q48" i="102" s="1"/>
  <c r="N42" i="102"/>
  <c r="N25" i="102"/>
  <c r="Q25" i="102" s="1"/>
  <c r="N19" i="102"/>
  <c r="N59" i="102"/>
  <c r="Q59" i="102" s="1"/>
  <c r="N41" i="102"/>
  <c r="Q41" i="102" s="1"/>
  <c r="N36" i="102"/>
  <c r="Q36" i="102" s="1"/>
  <c r="N30" i="102"/>
  <c r="Q30" i="102" s="1"/>
  <c r="N9" i="102"/>
  <c r="Q9" i="102" s="1"/>
  <c r="N3" i="102"/>
  <c r="Q3" i="102" s="1"/>
  <c r="N13" i="102"/>
  <c r="P13" i="102" s="1"/>
  <c r="N58" i="102"/>
  <c r="Q58" i="102" s="1"/>
  <c r="N35" i="102"/>
  <c r="N8" i="102"/>
  <c r="N63" i="102"/>
  <c r="Q63" i="102" s="1"/>
  <c r="N46" i="102"/>
  <c r="Q46" i="102" s="1"/>
  <c r="N23" i="102"/>
  <c r="Q23" i="102" s="1"/>
  <c r="Q47" i="102"/>
  <c r="Q7" i="102"/>
  <c r="N45" i="102"/>
  <c r="Q45" i="102" s="1"/>
  <c r="N33" i="102"/>
  <c r="N40" i="102"/>
  <c r="N16" i="102"/>
  <c r="N57" i="102"/>
  <c r="N21" i="102"/>
  <c r="N5" i="102"/>
  <c r="Q5" i="102" s="1"/>
  <c r="N64" i="102"/>
  <c r="N52" i="102"/>
  <c r="N28" i="102"/>
  <c r="Q28" i="102" s="1"/>
  <c r="Q14" i="102"/>
  <c r="N284" i="103"/>
  <c r="Q284" i="103" s="1"/>
  <c r="U284" i="103" s="1"/>
  <c r="V284" i="103" s="1"/>
  <c r="W284" i="103" s="1"/>
  <c r="AA284" i="103" s="1"/>
  <c r="N214" i="103"/>
  <c r="Q214" i="103" s="1"/>
  <c r="U214" i="103" s="1"/>
  <c r="V214" i="103" s="1"/>
  <c r="W214" i="103" s="1"/>
  <c r="AA214" i="103" s="1"/>
  <c r="N137" i="103"/>
  <c r="P137" i="103" s="1"/>
  <c r="N173" i="103"/>
  <c r="P173" i="103" s="1"/>
  <c r="N191" i="103"/>
  <c r="Q191" i="103" s="1"/>
  <c r="U191" i="103" s="1"/>
  <c r="V191" i="103" s="1"/>
  <c r="W191" i="103" s="1"/>
  <c r="AA191" i="103" s="1"/>
  <c r="N9" i="103"/>
  <c r="P9" i="103" s="1"/>
  <c r="N24" i="103"/>
  <c r="P24" i="103" s="1"/>
  <c r="N81" i="103"/>
  <c r="Q81" i="103" s="1"/>
  <c r="U81" i="103" s="1"/>
  <c r="V81" i="103" s="1"/>
  <c r="W81" i="103" s="1"/>
  <c r="AA81" i="103" s="1"/>
  <c r="N123" i="103"/>
  <c r="Q123" i="103" s="1"/>
  <c r="U123" i="103" s="1"/>
  <c r="V123" i="103" s="1"/>
  <c r="W123" i="103" s="1"/>
  <c r="Y123" i="103" s="1"/>
  <c r="N132" i="103"/>
  <c r="Q132" i="103" s="1"/>
  <c r="U132" i="103" s="1"/>
  <c r="V132" i="103" s="1"/>
  <c r="W132" i="103" s="1"/>
  <c r="Y132" i="103" s="1"/>
  <c r="N43" i="103"/>
  <c r="P43" i="103" s="1"/>
  <c r="N240" i="103"/>
  <c r="P240" i="103" s="1"/>
  <c r="N100" i="103"/>
  <c r="P100" i="103" s="1"/>
  <c r="N65" i="103"/>
  <c r="Q65" i="103" s="1"/>
  <c r="U65" i="103" s="1"/>
  <c r="V65" i="103" s="1"/>
  <c r="W65" i="103" s="1"/>
  <c r="Y65" i="103" s="1"/>
  <c r="N71" i="103"/>
  <c r="P71" i="103" s="1"/>
  <c r="N124" i="103"/>
  <c r="P124" i="103" s="1"/>
  <c r="N77" i="103"/>
  <c r="P77" i="103" s="1"/>
  <c r="N17" i="103"/>
  <c r="Q17" i="103" s="1"/>
  <c r="U17" i="103" s="1"/>
  <c r="V17" i="103" s="1"/>
  <c r="W17" i="103" s="1"/>
  <c r="N295" i="103"/>
  <c r="Q295" i="103" s="1"/>
  <c r="U295" i="103" s="1"/>
  <c r="V295" i="103" s="1"/>
  <c r="W295" i="103" s="1"/>
  <c r="N25" i="103"/>
  <c r="Q25" i="103" s="1"/>
  <c r="U25" i="103" s="1"/>
  <c r="V25" i="103" s="1"/>
  <c r="W25" i="103" s="1"/>
  <c r="N166" i="103"/>
  <c r="P166" i="103" s="1"/>
  <c r="N35" i="103"/>
  <c r="P35" i="103" s="1"/>
  <c r="T292" i="103"/>
  <c r="T103" i="103"/>
  <c r="N112" i="103"/>
  <c r="P112" i="103" s="1"/>
  <c r="T183" i="103"/>
  <c r="T22" i="103"/>
  <c r="N28" i="103"/>
  <c r="P28" i="103" s="1"/>
  <c r="N83" i="103"/>
  <c r="P83" i="103" s="1"/>
  <c r="N201" i="103"/>
  <c r="P201" i="103" s="1"/>
  <c r="N207" i="103"/>
  <c r="P207" i="103" s="1"/>
  <c r="N210" i="103"/>
  <c r="Q210" i="103" s="1"/>
  <c r="U210" i="103" s="1"/>
  <c r="V210" i="103" s="1"/>
  <c r="W210" i="103" s="1"/>
  <c r="AA210" i="103" s="1"/>
  <c r="N234" i="103"/>
  <c r="P234" i="103" s="1"/>
  <c r="N323" i="103"/>
  <c r="P323" i="103" s="1"/>
  <c r="N329" i="103"/>
  <c r="P329" i="103" s="1"/>
  <c r="T40" i="103"/>
  <c r="N134" i="103"/>
  <c r="P134" i="103" s="1"/>
  <c r="N64" i="103"/>
  <c r="P64" i="103" s="1"/>
  <c r="T99" i="103"/>
  <c r="N76" i="103"/>
  <c r="P76" i="103" s="1"/>
  <c r="N170" i="103"/>
  <c r="Q170" i="103" s="1"/>
  <c r="U170" i="103" s="1"/>
  <c r="V170" i="103" s="1"/>
  <c r="W170" i="103" s="1"/>
  <c r="Y170" i="103" s="1"/>
  <c r="N309" i="103"/>
  <c r="P309" i="103" s="1"/>
  <c r="N280" i="103"/>
  <c r="P280" i="103" s="1"/>
  <c r="N292" i="103"/>
  <c r="Q292" i="103" s="1"/>
  <c r="U292" i="103" s="1"/>
  <c r="V292" i="103" s="1"/>
  <c r="W292" i="103" s="1"/>
  <c r="AA292" i="103" s="1"/>
  <c r="N36" i="103"/>
  <c r="P36" i="103" s="1"/>
  <c r="N121" i="103"/>
  <c r="P121" i="103" s="1"/>
  <c r="N175" i="103"/>
  <c r="Q175" i="103" s="1"/>
  <c r="U175" i="103" s="1"/>
  <c r="V175" i="103" s="1"/>
  <c r="W175" i="103" s="1"/>
  <c r="Y175" i="103" s="1"/>
  <c r="N302" i="103"/>
  <c r="P302" i="103" s="1"/>
  <c r="N314" i="103"/>
  <c r="P314" i="103" s="1"/>
  <c r="N4" i="103"/>
  <c r="P4" i="103" s="1"/>
  <c r="N41" i="103"/>
  <c r="Q41" i="103" s="1"/>
  <c r="U41" i="103" s="1"/>
  <c r="V41" i="103" s="1"/>
  <c r="W41" i="103" s="1"/>
  <c r="Y41" i="103" s="1"/>
  <c r="N87" i="103"/>
  <c r="P87" i="103" s="1"/>
  <c r="N110" i="103"/>
  <c r="P110" i="103" s="1"/>
  <c r="T147" i="103"/>
  <c r="N153" i="103"/>
  <c r="Q153" i="103" s="1"/>
  <c r="U153" i="103" s="1"/>
  <c r="V153" i="103" s="1"/>
  <c r="W153" i="103" s="1"/>
  <c r="N162" i="103"/>
  <c r="Q162" i="103" s="1"/>
  <c r="U162" i="103" s="1"/>
  <c r="V162" i="103" s="1"/>
  <c r="W162" i="103" s="1"/>
  <c r="N273" i="103"/>
  <c r="P273" i="103" s="1"/>
  <c r="N290" i="103"/>
  <c r="P290" i="103" s="1"/>
  <c r="N304" i="103"/>
  <c r="Q304" i="103" s="1"/>
  <c r="U304" i="103" s="1"/>
  <c r="V304" i="103" s="1"/>
  <c r="W304" i="103" s="1"/>
  <c r="N327" i="103"/>
  <c r="Q327" i="103" s="1"/>
  <c r="U327" i="103" s="1"/>
  <c r="V327" i="103" s="1"/>
  <c r="W327" i="103" s="1"/>
  <c r="T32" i="103"/>
  <c r="N16" i="103"/>
  <c r="Q16" i="103" s="1"/>
  <c r="U16" i="103" s="1"/>
  <c r="V16" i="103" s="1"/>
  <c r="W16" i="103" s="1"/>
  <c r="Y16" i="103" s="1"/>
  <c r="N142" i="103"/>
  <c r="P142" i="103" s="1"/>
  <c r="N293" i="103"/>
  <c r="P293" i="103" s="1"/>
  <c r="T295" i="103"/>
  <c r="N316" i="103"/>
  <c r="Q316" i="103" s="1"/>
  <c r="U316" i="103" s="1"/>
  <c r="V316" i="103" s="1"/>
  <c r="W316" i="103" s="1"/>
  <c r="Y316" i="103" s="1"/>
  <c r="N145" i="103"/>
  <c r="Q145" i="103" s="1"/>
  <c r="U145" i="103" s="1"/>
  <c r="V145" i="103" s="1"/>
  <c r="W145" i="103" s="1"/>
  <c r="N198" i="103"/>
  <c r="P198" i="103" s="1"/>
  <c r="N218" i="103"/>
  <c r="P218" i="103" s="1"/>
  <c r="T316" i="103"/>
  <c r="T25" i="103"/>
  <c r="T62" i="103"/>
  <c r="T97" i="103"/>
  <c r="T120" i="103"/>
  <c r="N21" i="103"/>
  <c r="P21" i="103" s="1"/>
  <c r="N31" i="103"/>
  <c r="Q31" i="103" s="1"/>
  <c r="U31" i="103" s="1"/>
  <c r="V31" i="103" s="1"/>
  <c r="W31" i="103" s="1"/>
  <c r="N60" i="103"/>
  <c r="P60" i="103" s="1"/>
  <c r="T123" i="103"/>
  <c r="N190" i="103"/>
  <c r="P190" i="103" s="1"/>
  <c r="N219" i="103"/>
  <c r="P219" i="103" s="1"/>
  <c r="N254" i="103"/>
  <c r="Q254" i="103" s="1"/>
  <c r="U254" i="103" s="1"/>
  <c r="V254" i="103" s="1"/>
  <c r="W254" i="103" s="1"/>
  <c r="Y254" i="103" s="1"/>
  <c r="N283" i="103"/>
  <c r="Q283" i="103" s="1"/>
  <c r="U283" i="103" s="1"/>
  <c r="V283" i="103" s="1"/>
  <c r="W283" i="103" s="1"/>
  <c r="N320" i="103"/>
  <c r="P320" i="103" s="1"/>
  <c r="N12" i="103"/>
  <c r="P12" i="103" s="1"/>
  <c r="N149" i="103"/>
  <c r="P149" i="103" s="1"/>
  <c r="N167" i="103"/>
  <c r="P167" i="103" s="1"/>
  <c r="T216" i="103"/>
  <c r="N231" i="103"/>
  <c r="Q231" i="103" s="1"/>
  <c r="U231" i="103" s="1"/>
  <c r="V231" i="103" s="1"/>
  <c r="W231" i="103" s="1"/>
  <c r="AA231" i="103" s="1"/>
  <c r="N263" i="103"/>
  <c r="P263" i="103" s="1"/>
  <c r="T277" i="103"/>
  <c r="N294" i="103"/>
  <c r="N335" i="103"/>
  <c r="P335" i="103" s="1"/>
  <c r="N341" i="103"/>
  <c r="Q341" i="103" s="1"/>
  <c r="U341" i="103" s="1"/>
  <c r="V341" i="103" s="1"/>
  <c r="W341" i="103" s="1"/>
  <c r="Y341" i="103" s="1"/>
  <c r="N305" i="103"/>
  <c r="P305" i="103" s="1"/>
  <c r="T328" i="103"/>
  <c r="N328" i="103"/>
  <c r="P328" i="103" s="1"/>
  <c r="N79" i="103"/>
  <c r="P79" i="103" s="1"/>
  <c r="T102" i="103"/>
  <c r="N6" i="103"/>
  <c r="P6" i="103" s="1"/>
  <c r="T6" i="103"/>
  <c r="T85" i="103"/>
  <c r="N108" i="103"/>
  <c r="P108" i="103" s="1"/>
  <c r="T111" i="103"/>
  <c r="T150" i="103"/>
  <c r="N156" i="103"/>
  <c r="Q156" i="103" s="1"/>
  <c r="U156" i="103" s="1"/>
  <c r="V156" i="103" s="1"/>
  <c r="W156" i="103" s="1"/>
  <c r="T185" i="103"/>
  <c r="T214" i="103"/>
  <c r="T234" i="103"/>
  <c r="N11" i="103"/>
  <c r="P11" i="103" s="1"/>
  <c r="T196" i="103"/>
  <c r="N196" i="103"/>
  <c r="P196" i="103" s="1"/>
  <c r="N251" i="103"/>
  <c r="P251" i="103" s="1"/>
  <c r="N322" i="103"/>
  <c r="P322" i="103" s="1"/>
  <c r="T322" i="103"/>
  <c r="T3" i="103"/>
  <c r="T211" i="103"/>
  <c r="N228" i="103"/>
  <c r="T300" i="103"/>
  <c r="N239" i="103"/>
  <c r="P239" i="103" s="1"/>
  <c r="N274" i="103"/>
  <c r="P274" i="103" s="1"/>
  <c r="T228" i="103"/>
  <c r="N68" i="103"/>
  <c r="Q68" i="103" s="1"/>
  <c r="U68" i="103" s="1"/>
  <c r="V68" i="103" s="1"/>
  <c r="W68" i="103" s="1"/>
  <c r="T142" i="103"/>
  <c r="T54" i="103"/>
  <c r="N54" i="103"/>
  <c r="P54" i="103" s="1"/>
  <c r="N57" i="103"/>
  <c r="P57" i="103" s="1"/>
  <c r="N74" i="103"/>
  <c r="T145" i="103"/>
  <c r="T165" i="103"/>
  <c r="N255" i="103"/>
  <c r="P255" i="103" s="1"/>
  <c r="N258" i="103"/>
  <c r="P258" i="103" s="1"/>
  <c r="T258" i="103"/>
  <c r="N14" i="103"/>
  <c r="P14" i="103" s="1"/>
  <c r="N53" i="103"/>
  <c r="T208" i="103"/>
  <c r="T222" i="103"/>
  <c r="N212" i="103"/>
  <c r="T335" i="103"/>
  <c r="N30" i="103"/>
  <c r="P30" i="103" s="1"/>
  <c r="N38" i="103"/>
  <c r="P38" i="103" s="1"/>
  <c r="N49" i="103"/>
  <c r="P49" i="103" s="1"/>
  <c r="T132" i="103"/>
  <c r="N310" i="103"/>
  <c r="P310" i="103" s="1"/>
  <c r="N330" i="103"/>
  <c r="N338" i="103"/>
  <c r="P338" i="103" s="1"/>
  <c r="T344" i="103"/>
  <c r="N96" i="103"/>
  <c r="P96" i="103" s="1"/>
  <c r="N23" i="103"/>
  <c r="P23" i="103" s="1"/>
  <c r="N308" i="103"/>
  <c r="P308" i="103" s="1"/>
  <c r="N225" i="103"/>
  <c r="Q225" i="103" s="1"/>
  <c r="U225" i="103" s="1"/>
  <c r="V225" i="103" s="1"/>
  <c r="W225" i="103" s="1"/>
  <c r="N242" i="103"/>
  <c r="T86" i="103"/>
  <c r="N86" i="103"/>
  <c r="P86" i="103" s="1"/>
  <c r="T115" i="103"/>
  <c r="T118" i="103"/>
  <c r="N140" i="103"/>
  <c r="P140" i="103" s="1"/>
  <c r="T140" i="103"/>
  <c r="T154" i="103"/>
  <c r="N154" i="103"/>
  <c r="P154" i="103" s="1"/>
  <c r="T186" i="103"/>
  <c r="N186" i="103"/>
  <c r="Q186" i="103" s="1"/>
  <c r="U186" i="103" s="1"/>
  <c r="V186" i="103" s="1"/>
  <c r="W186" i="103" s="1"/>
  <c r="AA186" i="103" s="1"/>
  <c r="T338" i="103"/>
  <c r="T52" i="103"/>
  <c r="N55" i="103"/>
  <c r="P55" i="103" s="1"/>
  <c r="T304" i="103"/>
  <c r="T313" i="103"/>
  <c r="T30" i="103"/>
  <c r="N33" i="103"/>
  <c r="P33" i="103" s="1"/>
  <c r="N78" i="103"/>
  <c r="Q78" i="103" s="1"/>
  <c r="U78" i="103" s="1"/>
  <c r="V78" i="103" s="1"/>
  <c r="W78" i="103" s="1"/>
  <c r="T78" i="103"/>
  <c r="N259" i="103"/>
  <c r="Q259" i="103" s="1"/>
  <c r="U259" i="103" s="1"/>
  <c r="V259" i="103" s="1"/>
  <c r="W259" i="103" s="1"/>
  <c r="N268" i="103"/>
  <c r="P268" i="103" s="1"/>
  <c r="T268" i="103"/>
  <c r="N271" i="103"/>
  <c r="P271" i="103" s="1"/>
  <c r="N291" i="103"/>
  <c r="P291" i="103" s="1"/>
  <c r="N135" i="103"/>
  <c r="P135" i="103" s="1"/>
  <c r="T143" i="103"/>
  <c r="T180" i="103"/>
  <c r="AD180" i="103"/>
  <c r="T217" i="103"/>
  <c r="T286" i="103"/>
  <c r="T15" i="103"/>
  <c r="N18" i="103"/>
  <c r="P18" i="103" s="1"/>
  <c r="T18" i="103"/>
  <c r="N61" i="103"/>
  <c r="P61" i="103" s="1"/>
  <c r="T122" i="103"/>
  <c r="N174" i="103"/>
  <c r="Q174" i="103" s="1"/>
  <c r="U174" i="103" s="1"/>
  <c r="V174" i="103" s="1"/>
  <c r="W174" i="103" s="1"/>
  <c r="Y174" i="103" s="1"/>
  <c r="N180" i="103"/>
  <c r="N183" i="103"/>
  <c r="P183" i="103" s="1"/>
  <c r="N203" i="103"/>
  <c r="P203" i="103" s="1"/>
  <c r="N226" i="103"/>
  <c r="Q226" i="103" s="1"/>
  <c r="U226" i="103" s="1"/>
  <c r="V226" i="103" s="1"/>
  <c r="W226" i="103" s="1"/>
  <c r="AA226" i="103" s="1"/>
  <c r="T229" i="103"/>
  <c r="AD229" i="103"/>
  <c r="T240" i="103"/>
  <c r="N275" i="103"/>
  <c r="P275" i="103" s="1"/>
  <c r="M19" i="34"/>
  <c r="T10" i="103"/>
  <c r="T42" i="103"/>
  <c r="N42" i="103"/>
  <c r="P42" i="103" s="1"/>
  <c r="T95" i="103"/>
  <c r="N144" i="103"/>
  <c r="Q144" i="103" s="1"/>
  <c r="U144" i="103" s="1"/>
  <c r="V144" i="103" s="1"/>
  <c r="W144" i="103" s="1"/>
  <c r="AA144" i="103" s="1"/>
  <c r="T181" i="103"/>
  <c r="N189" i="103"/>
  <c r="Q189" i="103" s="1"/>
  <c r="U189" i="103" s="1"/>
  <c r="V189" i="103" s="1"/>
  <c r="W189" i="103" s="1"/>
  <c r="AA189" i="103" s="1"/>
  <c r="T195" i="103"/>
  <c r="N264" i="103"/>
  <c r="P264" i="103" s="1"/>
  <c r="T267" i="103"/>
  <c r="N337" i="103"/>
  <c r="P337" i="103" s="1"/>
  <c r="N111" i="103"/>
  <c r="P111" i="103" s="1"/>
  <c r="N155" i="103"/>
  <c r="P155" i="103" s="1"/>
  <c r="T215" i="103"/>
  <c r="N281" i="103"/>
  <c r="P281" i="103" s="1"/>
  <c r="N2" i="103"/>
  <c r="P2" i="103" s="1"/>
  <c r="N45" i="103"/>
  <c r="P45" i="103" s="1"/>
  <c r="N48" i="103"/>
  <c r="P48" i="103" s="1"/>
  <c r="T84" i="103"/>
  <c r="N98" i="103"/>
  <c r="P98" i="103" s="1"/>
  <c r="N117" i="103"/>
  <c r="P117" i="103" s="1"/>
  <c r="N120" i="103"/>
  <c r="Q120" i="103" s="1"/>
  <c r="U120" i="103" s="1"/>
  <c r="V120" i="103" s="1"/>
  <c r="W120" i="103" s="1"/>
  <c r="AA120" i="103" s="1"/>
  <c r="T131" i="103"/>
  <c r="N131" i="103"/>
  <c r="P131" i="103" s="1"/>
  <c r="N136" i="103"/>
  <c r="P136" i="103" s="1"/>
  <c r="T244" i="103"/>
  <c r="N244" i="103"/>
  <c r="P244" i="103" s="1"/>
  <c r="N253" i="103"/>
  <c r="Q253" i="103" s="1"/>
  <c r="U253" i="103" s="1"/>
  <c r="V253" i="103" s="1"/>
  <c r="W253" i="103" s="1"/>
  <c r="AA253" i="103" s="1"/>
  <c r="T303" i="103"/>
  <c r="T167" i="103"/>
  <c r="T213" i="103"/>
  <c r="N213" i="103"/>
  <c r="Q213" i="103" s="1"/>
  <c r="U213" i="103" s="1"/>
  <c r="V213" i="103" s="1"/>
  <c r="W213" i="103" s="1"/>
  <c r="N256" i="103"/>
  <c r="P256" i="103" s="1"/>
  <c r="T326" i="103"/>
  <c r="N326" i="103"/>
  <c r="P326" i="103" s="1"/>
  <c r="N143" i="103"/>
  <c r="Q143" i="103" s="1"/>
  <c r="U143" i="103" s="1"/>
  <c r="V143" i="103" s="1"/>
  <c r="W143" i="103" s="1"/>
  <c r="AA143" i="103" s="1"/>
  <c r="N148" i="103"/>
  <c r="P148" i="103" s="1"/>
  <c r="N184" i="103"/>
  <c r="Q184" i="103" s="1"/>
  <c r="U184" i="103" s="1"/>
  <c r="V184" i="103" s="1"/>
  <c r="W184" i="103" s="1"/>
  <c r="N192" i="103"/>
  <c r="Q192" i="103" s="1"/>
  <c r="U192" i="103" s="1"/>
  <c r="V192" i="103" s="1"/>
  <c r="W192" i="103" s="1"/>
  <c r="AA192" i="103" s="1"/>
  <c r="N229" i="103"/>
  <c r="Q229" i="103" s="1"/>
  <c r="U229" i="103" s="1"/>
  <c r="V229" i="103" s="1"/>
  <c r="W229" i="103" s="1"/>
  <c r="N279" i="103"/>
  <c r="P279" i="103" s="1"/>
  <c r="N282" i="103"/>
  <c r="P282" i="103" s="1"/>
  <c r="N303" i="103"/>
  <c r="N47" i="103"/>
  <c r="P47" i="103" s="1"/>
  <c r="N69" i="103"/>
  <c r="P69" i="103" s="1"/>
  <c r="N85" i="103"/>
  <c r="Q85" i="103" s="1"/>
  <c r="U85" i="103" s="1"/>
  <c r="V85" i="103" s="1"/>
  <c r="W85" i="103" s="1"/>
  <c r="Y85" i="103" s="1"/>
  <c r="N168" i="103"/>
  <c r="P168" i="103" s="1"/>
  <c r="N176" i="103"/>
  <c r="N179" i="103"/>
  <c r="P179" i="103" s="1"/>
  <c r="N182" i="103"/>
  <c r="P182" i="103" s="1"/>
  <c r="N238" i="103"/>
  <c r="P238" i="103" s="1"/>
  <c r="N298" i="103"/>
  <c r="N339" i="103"/>
  <c r="P339" i="103" s="1"/>
  <c r="N80" i="103"/>
  <c r="Q80" i="103" s="1"/>
  <c r="U80" i="103" s="1"/>
  <c r="V80" i="103" s="1"/>
  <c r="W80" i="103" s="1"/>
  <c r="N126" i="103"/>
  <c r="P126" i="103" s="1"/>
  <c r="T298" i="103"/>
  <c r="N331" i="103"/>
  <c r="P331" i="103" s="1"/>
  <c r="N91" i="103"/>
  <c r="P91" i="103" s="1"/>
  <c r="N94" i="103"/>
  <c r="P94" i="103" s="1"/>
  <c r="N97" i="103"/>
  <c r="N102" i="103"/>
  <c r="P102" i="103" s="1"/>
  <c r="N147" i="103"/>
  <c r="N185" i="103"/>
  <c r="N216" i="103"/>
  <c r="Q216" i="103" s="1"/>
  <c r="U216" i="103" s="1"/>
  <c r="V216" i="103" s="1"/>
  <c r="W216" i="103" s="1"/>
  <c r="N247" i="103"/>
  <c r="P247" i="103" s="1"/>
  <c r="T280" i="103"/>
  <c r="N318" i="103"/>
  <c r="P318" i="103" s="1"/>
  <c r="AD334" i="103"/>
  <c r="AD183" i="103"/>
  <c r="M5" i="71"/>
  <c r="AD276" i="103"/>
  <c r="T332" i="103"/>
  <c r="N332" i="103"/>
  <c r="P332" i="103" s="1"/>
  <c r="N67" i="103"/>
  <c r="P67" i="103" s="1"/>
  <c r="T193" i="103"/>
  <c r="N193" i="103"/>
  <c r="Q193" i="103" s="1"/>
  <c r="U193" i="103" s="1"/>
  <c r="V193" i="103" s="1"/>
  <c r="W193" i="103" s="1"/>
  <c r="T220" i="103"/>
  <c r="N237" i="103"/>
  <c r="Q237" i="103" s="1"/>
  <c r="U237" i="103" s="1"/>
  <c r="V237" i="103" s="1"/>
  <c r="W237" i="103" s="1"/>
  <c r="AA237" i="103" s="1"/>
  <c r="T237" i="103"/>
  <c r="AD249" i="103"/>
  <c r="T249" i="103"/>
  <c r="T297" i="103"/>
  <c r="N307" i="103"/>
  <c r="P307" i="103" s="1"/>
  <c r="T307" i="103"/>
  <c r="T50" i="103"/>
  <c r="T119" i="103"/>
  <c r="T159" i="103"/>
  <c r="T169" i="103"/>
  <c r="T13" i="103"/>
  <c r="T38" i="103"/>
  <c r="N50" i="103"/>
  <c r="P50" i="103" s="1"/>
  <c r="T156" i="103"/>
  <c r="N169" i="103"/>
  <c r="Q169" i="103" s="1"/>
  <c r="U169" i="103" s="1"/>
  <c r="V169" i="103" s="1"/>
  <c r="W169" i="103" s="1"/>
  <c r="AA169" i="103" s="1"/>
  <c r="T201" i="103"/>
  <c r="N267" i="103"/>
  <c r="Q267" i="103" s="1"/>
  <c r="U267" i="103" s="1"/>
  <c r="V267" i="103" s="1"/>
  <c r="W267" i="103" s="1"/>
  <c r="Y267" i="103" s="1"/>
  <c r="N178" i="103"/>
  <c r="P178" i="103" s="1"/>
  <c r="N13" i="103"/>
  <c r="P13" i="103" s="1"/>
  <c r="T77" i="103"/>
  <c r="N101" i="103"/>
  <c r="P101" i="103" s="1"/>
  <c r="T101" i="103"/>
  <c r="T231" i="103"/>
  <c r="T155" i="103"/>
  <c r="AD168" i="103"/>
  <c r="T168" i="103"/>
  <c r="T301" i="103"/>
  <c r="N73" i="103"/>
  <c r="P73" i="103" s="1"/>
  <c r="T61" i="103"/>
  <c r="T73" i="103"/>
  <c r="T109" i="103"/>
  <c r="N88" i="103"/>
  <c r="P88" i="103" s="1"/>
  <c r="N109" i="103"/>
  <c r="Q109" i="103" s="1"/>
  <c r="U109" i="103" s="1"/>
  <c r="V109" i="103" s="1"/>
  <c r="W109" i="103" s="1"/>
  <c r="AA109" i="103" s="1"/>
  <c r="N160" i="103"/>
  <c r="P160" i="103" s="1"/>
  <c r="T174" i="103"/>
  <c r="N289" i="103"/>
  <c r="T289" i="103"/>
  <c r="T5" i="103"/>
  <c r="T226" i="103"/>
  <c r="T255" i="103"/>
  <c r="T331" i="103"/>
  <c r="T340" i="103"/>
  <c r="T17" i="103"/>
  <c r="N66" i="103"/>
  <c r="P66" i="103" s="1"/>
  <c r="N84" i="103"/>
  <c r="N139" i="103"/>
  <c r="T192" i="103"/>
  <c r="N215" i="103"/>
  <c r="P215" i="103" s="1"/>
  <c r="N119" i="103"/>
  <c r="Q119" i="103" s="1"/>
  <c r="U119" i="103" s="1"/>
  <c r="V119" i="103" s="1"/>
  <c r="W119" i="103" s="1"/>
  <c r="T225" i="103"/>
  <c r="T232" i="103"/>
  <c r="AD232" i="103"/>
  <c r="N297" i="103"/>
  <c r="Q297" i="103" s="1"/>
  <c r="U297" i="103" s="1"/>
  <c r="V297" i="103" s="1"/>
  <c r="W297" i="103" s="1"/>
  <c r="Y297" i="103" s="1"/>
  <c r="N115" i="103"/>
  <c r="P115" i="103" s="1"/>
  <c r="N138" i="103"/>
  <c r="P138" i="103" s="1"/>
  <c r="N151" i="103"/>
  <c r="P151" i="103" s="1"/>
  <c r="N177" i="103"/>
  <c r="Q177" i="103" s="1"/>
  <c r="U177" i="103" s="1"/>
  <c r="V177" i="103" s="1"/>
  <c r="W177" i="103" s="1"/>
  <c r="N220" i="103"/>
  <c r="P220" i="103" s="1"/>
  <c r="N249" i="103"/>
  <c r="Q249" i="103" s="1"/>
  <c r="U249" i="103" s="1"/>
  <c r="V249" i="103" s="1"/>
  <c r="W249" i="103" s="1"/>
  <c r="AA249" i="103" s="1"/>
  <c r="N325" i="103"/>
  <c r="Q325" i="103" s="1"/>
  <c r="U325" i="103" s="1"/>
  <c r="V325" i="103" s="1"/>
  <c r="W325" i="103" s="1"/>
  <c r="N340" i="103"/>
  <c r="Q340" i="103" s="1"/>
  <c r="U340" i="103" s="1"/>
  <c r="V340" i="103" s="1"/>
  <c r="W340" i="103" s="1"/>
  <c r="T80" i="103"/>
  <c r="T138" i="103"/>
  <c r="N163" i="103"/>
  <c r="P163" i="103" s="1"/>
  <c r="T173" i="103"/>
  <c r="T177" i="103"/>
  <c r="T191" i="103"/>
  <c r="N209" i="103"/>
  <c r="P209" i="103" s="1"/>
  <c r="N301" i="103"/>
  <c r="P301" i="103" s="1"/>
  <c r="T310" i="103"/>
  <c r="N319" i="103"/>
  <c r="P319" i="103" s="1"/>
  <c r="T325" i="103"/>
  <c r="N250" i="103"/>
  <c r="P250" i="103" s="1"/>
  <c r="N311" i="103"/>
  <c r="P311" i="103" s="1"/>
  <c r="N105" i="103"/>
  <c r="P105" i="103" s="1"/>
  <c r="N37" i="103"/>
  <c r="P37" i="103" s="1"/>
  <c r="T37" i="103"/>
  <c r="T49" i="103"/>
  <c r="N118" i="103"/>
  <c r="P118" i="103" s="1"/>
  <c r="N150" i="103"/>
  <c r="Q150" i="103" s="1"/>
  <c r="U150" i="103" s="1"/>
  <c r="V150" i="103" s="1"/>
  <c r="W150" i="103" s="1"/>
  <c r="N195" i="103"/>
  <c r="P195" i="103" s="1"/>
  <c r="N204" i="103"/>
  <c r="P204" i="103" s="1"/>
  <c r="T219" i="103"/>
  <c r="N248" i="103"/>
  <c r="P248" i="103" s="1"/>
  <c r="T254" i="103"/>
  <c r="N262" i="103"/>
  <c r="P262" i="103" s="1"/>
  <c r="N313" i="103"/>
  <c r="Q313" i="103" s="1"/>
  <c r="U313" i="103" s="1"/>
  <c r="V313" i="103" s="1"/>
  <c r="W313" i="103" s="1"/>
  <c r="AA313" i="103" s="1"/>
  <c r="T319" i="103"/>
  <c r="N334" i="103"/>
  <c r="P334" i="103" s="1"/>
  <c r="AD336" i="103"/>
  <c r="N343" i="103"/>
  <c r="Q343" i="103" s="1"/>
  <c r="U343" i="103" s="1"/>
  <c r="V343" i="103" s="1"/>
  <c r="W343" i="103" s="1"/>
  <c r="N232" i="103"/>
  <c r="T8" i="103"/>
  <c r="N19" i="103"/>
  <c r="P19" i="103" s="1"/>
  <c r="N40" i="103"/>
  <c r="P40" i="103" s="1"/>
  <c r="N56" i="103"/>
  <c r="Q56" i="103" s="1"/>
  <c r="U56" i="103" s="1"/>
  <c r="V56" i="103" s="1"/>
  <c r="W56" i="103" s="1"/>
  <c r="AA56" i="103" s="1"/>
  <c r="T91" i="103"/>
  <c r="N129" i="103"/>
  <c r="P129" i="103" s="1"/>
  <c r="N141" i="103"/>
  <c r="Q141" i="103" s="1"/>
  <c r="U141" i="103" s="1"/>
  <c r="V141" i="103" s="1"/>
  <c r="W141" i="103" s="1"/>
  <c r="N171" i="103"/>
  <c r="N181" i="103"/>
  <c r="P181" i="103" s="1"/>
  <c r="N208" i="103"/>
  <c r="P208" i="103" s="1"/>
  <c r="N223" i="103"/>
  <c r="P223" i="103" s="1"/>
  <c r="N235" i="103"/>
  <c r="P235" i="103" s="1"/>
  <c r="T248" i="103"/>
  <c r="T282" i="103"/>
  <c r="N287" i="103"/>
  <c r="P287" i="103" s="1"/>
  <c r="T334" i="103"/>
  <c r="N344" i="103"/>
  <c r="P344" i="103" s="1"/>
  <c r="N321" i="103"/>
  <c r="N260" i="103"/>
  <c r="Q260" i="103" s="1"/>
  <c r="U260" i="103" s="1"/>
  <c r="V260" i="103" s="1"/>
  <c r="W260" i="103" s="1"/>
  <c r="N7" i="103"/>
  <c r="N29" i="103"/>
  <c r="T56" i="103"/>
  <c r="N89" i="103"/>
  <c r="P89" i="103" s="1"/>
  <c r="N90" i="103"/>
  <c r="P90" i="103" s="1"/>
  <c r="N107" i="103"/>
  <c r="P107" i="103" s="1"/>
  <c r="N199" i="103"/>
  <c r="Q199" i="103" s="1"/>
  <c r="U199" i="103" s="1"/>
  <c r="V199" i="103" s="1"/>
  <c r="W199" i="103" s="1"/>
  <c r="N211" i="103"/>
  <c r="P211" i="103" s="1"/>
  <c r="N246" i="103"/>
  <c r="Q246" i="103" s="1"/>
  <c r="U246" i="103" s="1"/>
  <c r="V246" i="103" s="1"/>
  <c r="W246" i="103" s="1"/>
  <c r="AA246" i="103" s="1"/>
  <c r="N252" i="103"/>
  <c r="N272" i="103"/>
  <c r="P272" i="103" s="1"/>
  <c r="N317" i="103"/>
  <c r="P317" i="103" s="1"/>
  <c r="N5" i="103"/>
  <c r="P5" i="103" s="1"/>
  <c r="N125" i="103"/>
  <c r="P125" i="103" s="1"/>
  <c r="N159" i="103"/>
  <c r="Q159" i="103" s="1"/>
  <c r="U159" i="103" s="1"/>
  <c r="V159" i="103" s="1"/>
  <c r="W159" i="103" s="1"/>
  <c r="AD133" i="103"/>
  <c r="N26" i="103"/>
  <c r="P26" i="103" s="1"/>
  <c r="T98" i="103"/>
  <c r="N127" i="103"/>
  <c r="P127" i="103" s="1"/>
  <c r="N128" i="103"/>
  <c r="P128" i="103" s="1"/>
  <c r="N165" i="103"/>
  <c r="P165" i="103" s="1"/>
  <c r="N217" i="103"/>
  <c r="N222" i="103"/>
  <c r="P222" i="103" s="1"/>
  <c r="N286" i="103"/>
  <c r="P286" i="103" s="1"/>
  <c r="N312" i="103"/>
  <c r="P312" i="103" s="1"/>
  <c r="N103" i="103"/>
  <c r="P103" i="103" s="1"/>
  <c r="N106" i="103"/>
  <c r="P106" i="103" s="1"/>
  <c r="N233" i="103"/>
  <c r="N342" i="103"/>
  <c r="P342" i="103" s="1"/>
  <c r="AD82" i="103"/>
  <c r="AD2" i="103"/>
  <c r="AD92" i="103"/>
  <c r="AD147" i="103"/>
  <c r="AD4" i="103"/>
  <c r="AD151" i="103"/>
  <c r="AD166" i="103"/>
  <c r="AD37" i="103"/>
  <c r="AD49" i="103"/>
  <c r="AD245" i="103"/>
  <c r="AD258" i="103"/>
  <c r="AD303" i="103"/>
  <c r="AD200" i="103"/>
  <c r="AD134" i="103"/>
  <c r="AD319" i="103"/>
  <c r="AD31" i="103"/>
  <c r="AD43" i="103"/>
  <c r="AD58" i="103"/>
  <c r="AD120" i="103"/>
  <c r="AD125" i="103"/>
  <c r="AD292" i="103"/>
  <c r="AD280" i="103"/>
  <c r="AD213" i="103"/>
  <c r="AD100" i="103"/>
  <c r="AD262" i="103"/>
  <c r="AD298" i="103"/>
  <c r="AD26" i="103"/>
  <c r="AD56" i="103"/>
  <c r="AD138" i="103"/>
  <c r="AD73" i="103"/>
  <c r="AD233" i="103"/>
  <c r="AD310" i="103"/>
  <c r="AD218" i="103"/>
  <c r="AD219" i="103"/>
  <c r="AD325" i="103"/>
  <c r="AD295" i="103"/>
  <c r="AD124" i="103"/>
  <c r="AD32" i="103"/>
  <c r="AD184" i="103"/>
  <c r="AD25" i="103"/>
  <c r="AD62" i="103"/>
  <c r="AD70" i="103"/>
  <c r="AD97" i="103"/>
  <c r="AD106" i="103"/>
  <c r="AD110" i="103"/>
  <c r="AD161" i="103"/>
  <c r="AD242" i="103"/>
  <c r="AD28" i="103"/>
  <c r="AD112" i="103"/>
  <c r="AD104" i="103"/>
  <c r="T53" i="103"/>
  <c r="T175" i="103"/>
  <c r="T2" i="103"/>
  <c r="T134" i="103"/>
  <c r="T57" i="103"/>
  <c r="N58" i="103"/>
  <c r="P58" i="103" s="1"/>
  <c r="T58" i="103"/>
  <c r="T67" i="103"/>
  <c r="T81" i="103"/>
  <c r="N92" i="103"/>
  <c r="P92" i="103" s="1"/>
  <c r="T149" i="103"/>
  <c r="T270" i="103"/>
  <c r="N270" i="103"/>
  <c r="P270" i="103" s="1"/>
  <c r="N63" i="103"/>
  <c r="P63" i="103" s="1"/>
  <c r="T63" i="103"/>
  <c r="T176" i="103"/>
  <c r="T41" i="103"/>
  <c r="T76" i="103"/>
  <c r="T114" i="103"/>
  <c r="N114" i="103"/>
  <c r="AD248" i="103"/>
  <c r="T330" i="103"/>
  <c r="T55" i="103"/>
  <c r="T65" i="103"/>
  <c r="T45" i="103"/>
  <c r="T47" i="103"/>
  <c r="T79" i="103"/>
  <c r="T279" i="103"/>
  <c r="T33" i="103"/>
  <c r="T48" i="103"/>
  <c r="T152" i="103"/>
  <c r="N152" i="103"/>
  <c r="P152" i="103" s="1"/>
  <c r="T161" i="103"/>
  <c r="N161" i="103"/>
  <c r="T233" i="103"/>
  <c r="AD8" i="103"/>
  <c r="T16" i="103"/>
  <c r="T26" i="103"/>
  <c r="N70" i="103"/>
  <c r="P70" i="103" s="1"/>
  <c r="T70" i="103"/>
  <c r="T93" i="103"/>
  <c r="N93" i="103"/>
  <c r="P93" i="103" s="1"/>
  <c r="N99" i="103"/>
  <c r="P99" i="103" s="1"/>
  <c r="T124" i="103"/>
  <c r="T164" i="103"/>
  <c r="N164" i="103"/>
  <c r="P164" i="103" s="1"/>
  <c r="T188" i="103"/>
  <c r="T206" i="103"/>
  <c r="N206" i="103"/>
  <c r="P206" i="103" s="1"/>
  <c r="T108" i="103"/>
  <c r="T187" i="103"/>
  <c r="N187" i="103"/>
  <c r="P187" i="103" s="1"/>
  <c r="T221" i="103"/>
  <c r="N221" i="103"/>
  <c r="P221" i="103" s="1"/>
  <c r="T11" i="103"/>
  <c r="AD191" i="103"/>
  <c r="T14" i="103"/>
  <c r="T23" i="103"/>
  <c r="T59" i="103"/>
  <c r="N59" i="103"/>
  <c r="P59" i="103" s="1"/>
  <c r="T36" i="103"/>
  <c r="T136" i="103"/>
  <c r="T69" i="103"/>
  <c r="T88" i="103"/>
  <c r="T116" i="103"/>
  <c r="N116" i="103"/>
  <c r="P116" i="103" s="1"/>
  <c r="T160" i="103"/>
  <c r="T178" i="103"/>
  <c r="T230" i="103"/>
  <c r="N230" i="103"/>
  <c r="N269" i="103"/>
  <c r="P269" i="103" s="1"/>
  <c r="T269" i="103"/>
  <c r="N51" i="103"/>
  <c r="P51" i="103" s="1"/>
  <c r="T51" i="103"/>
  <c r="N104" i="103"/>
  <c r="P104" i="103" s="1"/>
  <c r="T104" i="103"/>
  <c r="T172" i="103"/>
  <c r="T333" i="103"/>
  <c r="N333" i="103"/>
  <c r="P333" i="103" s="1"/>
  <c r="T112" i="103"/>
  <c r="T9" i="103"/>
  <c r="N20" i="103"/>
  <c r="P20" i="103" s="1"/>
  <c r="N200" i="103"/>
  <c r="P200" i="103" s="1"/>
  <c r="T200" i="103"/>
  <c r="T290" i="103"/>
  <c r="T43" i="103"/>
  <c r="T158" i="103"/>
  <c r="N46" i="103"/>
  <c r="P46" i="103" s="1"/>
  <c r="T46" i="103"/>
  <c r="N265" i="103"/>
  <c r="P265" i="103" s="1"/>
  <c r="T265" i="103"/>
  <c r="T21" i="103"/>
  <c r="T28" i="103"/>
  <c r="N82" i="103"/>
  <c r="T82" i="103"/>
  <c r="T35" i="103"/>
  <c r="T4" i="103"/>
  <c r="T60" i="103"/>
  <c r="N62" i="103"/>
  <c r="N8" i="103"/>
  <c r="N52" i="103"/>
  <c r="N72" i="103"/>
  <c r="P72" i="103" s="1"/>
  <c r="T92" i="103"/>
  <c r="T96" i="103"/>
  <c r="T100" i="103"/>
  <c r="N158" i="103"/>
  <c r="P158" i="103" s="1"/>
  <c r="N172" i="103"/>
  <c r="P172" i="103" s="1"/>
  <c r="N188" i="103"/>
  <c r="P188" i="103" s="1"/>
  <c r="AD254" i="103"/>
  <c r="N243" i="103"/>
  <c r="P243" i="103" s="1"/>
  <c r="N34" i="103"/>
  <c r="P34" i="103" s="1"/>
  <c r="N39" i="103"/>
  <c r="P39" i="103" s="1"/>
  <c r="N22" i="103"/>
  <c r="P22" i="103" s="1"/>
  <c r="N27" i="103"/>
  <c r="P27" i="103" s="1"/>
  <c r="N146" i="103"/>
  <c r="P146" i="103" s="1"/>
  <c r="T227" i="103"/>
  <c r="N227" i="103"/>
  <c r="P227" i="103" s="1"/>
  <c r="T241" i="103"/>
  <c r="N241" i="103"/>
  <c r="P241" i="103" s="1"/>
  <c r="T284" i="103"/>
  <c r="T71" i="103"/>
  <c r="T110" i="103"/>
  <c r="T202" i="103"/>
  <c r="N202" i="103"/>
  <c r="P202" i="103" s="1"/>
  <c r="T203" i="103"/>
  <c r="T251" i="103"/>
  <c r="T236" i="103"/>
  <c r="N236" i="103"/>
  <c r="P236" i="103" s="1"/>
  <c r="N44" i="103"/>
  <c r="P44" i="103" s="1"/>
  <c r="T83" i="103"/>
  <c r="T106" i="103"/>
  <c r="N122" i="103"/>
  <c r="P122" i="103" s="1"/>
  <c r="T139" i="103"/>
  <c r="T205" i="103"/>
  <c r="N205" i="103"/>
  <c r="T262" i="103"/>
  <c r="T263" i="103"/>
  <c r="AD318" i="103"/>
  <c r="T264" i="103"/>
  <c r="T179" i="103"/>
  <c r="N245" i="103"/>
  <c r="P245" i="103" s="1"/>
  <c r="T245" i="103"/>
  <c r="N261" i="103"/>
  <c r="P261" i="103" s="1"/>
  <c r="T261" i="103"/>
  <c r="T285" i="103"/>
  <c r="N285" i="103"/>
  <c r="P285" i="103" s="1"/>
  <c r="T306" i="103"/>
  <c r="N306" i="103"/>
  <c r="P306" i="103" s="1"/>
  <c r="T315" i="103"/>
  <c r="N315" i="103"/>
  <c r="P315" i="103" s="1"/>
  <c r="N10" i="103"/>
  <c r="P10" i="103" s="1"/>
  <c r="N15" i="103"/>
  <c r="P15" i="103" s="1"/>
  <c r="N3" i="103"/>
  <c r="P3" i="103" s="1"/>
  <c r="T24" i="103"/>
  <c r="T39" i="103"/>
  <c r="T12" i="103"/>
  <c r="T27" i="103"/>
  <c r="T31" i="103"/>
  <c r="N32" i="103"/>
  <c r="T34" i="103"/>
  <c r="T68" i="103"/>
  <c r="T74" i="103"/>
  <c r="N75" i="103"/>
  <c r="P75" i="103" s="1"/>
  <c r="T94" i="103"/>
  <c r="N95" i="103"/>
  <c r="P95" i="103" s="1"/>
  <c r="T146" i="103"/>
  <c r="T151" i="103"/>
  <c r="T157" i="103"/>
  <c r="N157" i="103"/>
  <c r="P157" i="103" s="1"/>
  <c r="T218" i="103"/>
  <c r="T243" i="103"/>
  <c r="T294" i="103"/>
  <c r="T212" i="103"/>
  <c r="T271" i="103"/>
  <c r="T125" i="103"/>
  <c r="T130" i="103"/>
  <c r="N130" i="103"/>
  <c r="P130" i="103" s="1"/>
  <c r="T184" i="103"/>
  <c r="AD216" i="103"/>
  <c r="T224" i="103"/>
  <c r="N224" i="103"/>
  <c r="T274" i="103"/>
  <c r="T275" i="103"/>
  <c r="N277" i="103"/>
  <c r="P277" i="103" s="1"/>
  <c r="N278" i="103"/>
  <c r="P278" i="103" s="1"/>
  <c r="T309" i="103"/>
  <c r="T197" i="103"/>
  <c r="N197" i="103"/>
  <c r="P197" i="103" s="1"/>
  <c r="T312" i="103"/>
  <c r="N113" i="103"/>
  <c r="T105" i="103"/>
  <c r="T117" i="103"/>
  <c r="T133" i="103"/>
  <c r="N133" i="103"/>
  <c r="T148" i="103"/>
  <c r="N194" i="103"/>
  <c r="P194" i="103" s="1"/>
  <c r="T194" i="103"/>
  <c r="T239" i="103"/>
  <c r="T166" i="103"/>
  <c r="AD177" i="103"/>
  <c r="T238" i="103"/>
  <c r="N288" i="103"/>
  <c r="T287" i="103"/>
  <c r="N300" i="103"/>
  <c r="T296" i="103"/>
  <c r="N296" i="103"/>
  <c r="P296" i="103" s="1"/>
  <c r="T299" i="103"/>
  <c r="N299" i="103"/>
  <c r="P299" i="103" s="1"/>
  <c r="T339" i="103"/>
  <c r="T209" i="103"/>
  <c r="T253" i="103"/>
  <c r="T256" i="103"/>
  <c r="T276" i="103"/>
  <c r="N276" i="103"/>
  <c r="P276" i="103" s="1"/>
  <c r="T291" i="103"/>
  <c r="T324" i="103"/>
  <c r="N324" i="103"/>
  <c r="T250" i="103"/>
  <c r="T260" i="103"/>
  <c r="T281" i="103"/>
  <c r="N257" i="103"/>
  <c r="T305" i="103"/>
  <c r="T247" i="103"/>
  <c r="N266" i="103"/>
  <c r="P266" i="103" s="1"/>
  <c r="T242" i="103"/>
  <c r="T259" i="103"/>
  <c r="T302" i="103"/>
  <c r="T311" i="103"/>
  <c r="T318" i="103"/>
  <c r="T336" i="103"/>
  <c r="N336" i="103"/>
  <c r="T308" i="103"/>
  <c r="T327" i="103"/>
  <c r="T293" i="103"/>
  <c r="T342" i="103"/>
  <c r="T321" i="103"/>
  <c r="T4" i="98"/>
  <c r="Y14" i="96" l="1"/>
  <c r="Y15" i="96"/>
  <c r="P13" i="96"/>
  <c r="Q49" i="98"/>
  <c r="U49" i="98" s="1"/>
  <c r="V49" i="98" s="1"/>
  <c r="W49" i="98" s="1"/>
  <c r="AA49" i="98" s="1"/>
  <c r="Q14" i="98"/>
  <c r="U14" i="98" s="1"/>
  <c r="V14" i="98" s="1"/>
  <c r="W14" i="98" s="1"/>
  <c r="AA14" i="98" s="1"/>
  <c r="P30" i="98"/>
  <c r="P9" i="98"/>
  <c r="Q34" i="98"/>
  <c r="U34" i="98" s="1"/>
  <c r="V34" i="98" s="1"/>
  <c r="W34" i="98" s="1"/>
  <c r="AA34" i="98" s="1"/>
  <c r="Q137" i="103"/>
  <c r="U137" i="103" s="1"/>
  <c r="V137" i="103" s="1"/>
  <c r="W137" i="103" s="1"/>
  <c r="Y137" i="103" s="1"/>
  <c r="Q240" i="103"/>
  <c r="U240" i="103" s="1"/>
  <c r="V240" i="103" s="1"/>
  <c r="W240" i="103" s="1"/>
  <c r="AA240" i="103" s="1"/>
  <c r="Q12" i="96"/>
  <c r="U12" i="96" s="1"/>
  <c r="V12" i="96" s="1"/>
  <c r="W12" i="96" s="1"/>
  <c r="Y12" i="96" s="1"/>
  <c r="P10" i="98"/>
  <c r="Q7" i="98"/>
  <c r="U7" i="98" s="1"/>
  <c r="V7" i="98" s="1"/>
  <c r="W7" i="98" s="1"/>
  <c r="AA7" i="98" s="1"/>
  <c r="P12" i="98"/>
  <c r="P33" i="98"/>
  <c r="P23" i="98"/>
  <c r="Q41" i="98"/>
  <c r="U41" i="98" s="1"/>
  <c r="V41" i="98" s="1"/>
  <c r="W41" i="98" s="1"/>
  <c r="AA41" i="98" s="1"/>
  <c r="Q6" i="98"/>
  <c r="U6" i="98" s="1"/>
  <c r="V6" i="98" s="1"/>
  <c r="W6" i="98" s="1"/>
  <c r="AA6" i="98" s="1"/>
  <c r="Q59" i="98"/>
  <c r="U59" i="98" s="1"/>
  <c r="V59" i="98" s="1"/>
  <c r="W59" i="98" s="1"/>
  <c r="AA59" i="98" s="1"/>
  <c r="P27" i="98"/>
  <c r="AD89" i="103"/>
  <c r="Y13" i="96"/>
  <c r="AD13" i="96"/>
  <c r="AD12" i="96"/>
  <c r="P32" i="100"/>
  <c r="Q34" i="100"/>
  <c r="U34" i="100" s="1"/>
  <c r="V34" i="100" s="1"/>
  <c r="W34" i="100" s="1"/>
  <c r="AA34" i="100" s="1"/>
  <c r="P34" i="100"/>
  <c r="Q48" i="100"/>
  <c r="Q27" i="100"/>
  <c r="Q5" i="100"/>
  <c r="Q15" i="100"/>
  <c r="P31" i="100"/>
  <c r="Q31" i="100"/>
  <c r="U31" i="100" s="1"/>
  <c r="V31" i="100" s="1"/>
  <c r="W31" i="100" s="1"/>
  <c r="AA31" i="100" s="1"/>
  <c r="Q10" i="100"/>
  <c r="Q17" i="100"/>
  <c r="Q42" i="100"/>
  <c r="Q13" i="100"/>
  <c r="Q22" i="100"/>
  <c r="Q41" i="100"/>
  <c r="Q29" i="100"/>
  <c r="Q36" i="100"/>
  <c r="Q39" i="100"/>
  <c r="Q25" i="100"/>
  <c r="Q8" i="100"/>
  <c r="AD35" i="100"/>
  <c r="AD32" i="100"/>
  <c r="AD33" i="100"/>
  <c r="AD31" i="100"/>
  <c r="Y33" i="100"/>
  <c r="AA33" i="100"/>
  <c r="Y35" i="100"/>
  <c r="AA35" i="100"/>
  <c r="AD34" i="100"/>
  <c r="AA32" i="100"/>
  <c r="Y32" i="100"/>
  <c r="Q45" i="98"/>
  <c r="U45" i="98" s="1"/>
  <c r="V45" i="98" s="1"/>
  <c r="W45" i="98" s="1"/>
  <c r="AA45" i="98" s="1"/>
  <c r="Q10" i="102"/>
  <c r="U10" i="102" s="1"/>
  <c r="V10" i="102" s="1"/>
  <c r="W10" i="102" s="1"/>
  <c r="AA10" i="102" s="1"/>
  <c r="P11" i="102"/>
  <c r="Q115" i="96"/>
  <c r="Q49" i="96"/>
  <c r="Q102" i="96"/>
  <c r="Q10" i="96"/>
  <c r="Q53" i="96"/>
  <c r="Q39" i="96"/>
  <c r="Q7" i="96"/>
  <c r="Q33" i="96"/>
  <c r="Q4" i="96"/>
  <c r="Q64" i="96"/>
  <c r="Q19" i="96"/>
  <c r="Q68" i="96"/>
  <c r="Q24" i="96"/>
  <c r="Q35" i="96"/>
  <c r="Q108" i="96"/>
  <c r="Q66" i="96"/>
  <c r="Q120" i="96"/>
  <c r="Q110" i="96"/>
  <c r="Q71" i="96"/>
  <c r="Q87" i="96"/>
  <c r="Q36" i="96"/>
  <c r="Q26" i="96"/>
  <c r="Q85" i="96"/>
  <c r="Q112" i="96"/>
  <c r="Q94" i="96"/>
  <c r="Q44" i="96"/>
  <c r="Q80" i="96"/>
  <c r="Q57" i="96"/>
  <c r="Q72" i="96"/>
  <c r="Q106" i="96"/>
  <c r="Q32" i="96"/>
  <c r="Q8" i="96"/>
  <c r="Q22" i="96"/>
  <c r="Q23" i="96"/>
  <c r="Q117" i="96"/>
  <c r="Q60" i="96"/>
  <c r="Q70" i="96"/>
  <c r="Q116" i="96"/>
  <c r="Q84" i="96"/>
  <c r="Q20" i="96"/>
  <c r="Q96" i="96"/>
  <c r="Q63" i="96"/>
  <c r="Q74" i="96"/>
  <c r="Q50" i="96"/>
  <c r="Q111" i="96"/>
  <c r="Q42" i="96"/>
  <c r="Q62" i="96"/>
  <c r="Q114" i="96"/>
  <c r="Q104" i="96"/>
  <c r="Q6" i="96"/>
  <c r="Q21" i="96"/>
  <c r="Q45" i="96"/>
  <c r="Q27" i="96"/>
  <c r="Q54" i="96"/>
  <c r="Q61" i="96"/>
  <c r="Q56" i="96"/>
  <c r="Q18" i="96"/>
  <c r="Q69" i="96"/>
  <c r="Q121" i="96"/>
  <c r="Q86" i="96"/>
  <c r="Q34" i="96"/>
  <c r="Q75" i="96"/>
  <c r="Q98" i="96"/>
  <c r="Q9" i="96"/>
  <c r="Q105" i="96"/>
  <c r="Q38" i="96"/>
  <c r="Q5" i="96"/>
  <c r="Q109" i="96"/>
  <c r="Q11" i="96"/>
  <c r="Q82" i="96"/>
  <c r="Q93" i="96"/>
  <c r="Q90" i="96"/>
  <c r="Q25" i="96"/>
  <c r="Q73" i="96"/>
  <c r="Q50" i="98"/>
  <c r="U50" i="98" s="1"/>
  <c r="V50" i="98" s="1"/>
  <c r="W50" i="98" s="1"/>
  <c r="AA50" i="98" s="1"/>
  <c r="P42" i="98"/>
  <c r="P31" i="98"/>
  <c r="Q15" i="98"/>
  <c r="U15" i="98" s="1"/>
  <c r="V15" i="98" s="1"/>
  <c r="W15" i="98" s="1"/>
  <c r="AA15" i="98" s="1"/>
  <c r="Q62" i="98"/>
  <c r="U62" i="98" s="1"/>
  <c r="V62" i="98" s="1"/>
  <c r="W62" i="98" s="1"/>
  <c r="AA62" i="98" s="1"/>
  <c r="P8" i="98"/>
  <c r="AD41" i="98"/>
  <c r="P11" i="98"/>
  <c r="Y13" i="98"/>
  <c r="P57" i="98"/>
  <c r="P13" i="98"/>
  <c r="Q52" i="98"/>
  <c r="U52" i="98" s="1"/>
  <c r="V52" i="98" s="1"/>
  <c r="W52" i="98" s="1"/>
  <c r="AA52" i="98" s="1"/>
  <c r="P83" i="98"/>
  <c r="Q4" i="98"/>
  <c r="U4" i="98" s="1"/>
  <c r="V4" i="98" s="1"/>
  <c r="W4" i="98" s="1"/>
  <c r="AA4" i="98" s="1"/>
  <c r="P66" i="98"/>
  <c r="P29" i="98"/>
  <c r="Y66" i="98"/>
  <c r="AA66" i="98"/>
  <c r="Y78" i="98"/>
  <c r="AA78" i="98"/>
  <c r="Q37" i="98"/>
  <c r="U37" i="98" s="1"/>
  <c r="V37" i="98" s="1"/>
  <c r="W37" i="98" s="1"/>
  <c r="P78" i="98"/>
  <c r="Q84" i="98"/>
  <c r="U84" i="98" s="1"/>
  <c r="V84" i="98" s="1"/>
  <c r="W84" i="98" s="1"/>
  <c r="Q24" i="98"/>
  <c r="U24" i="98" s="1"/>
  <c r="V24" i="98" s="1"/>
  <c r="W24" i="98" s="1"/>
  <c r="AA24" i="98" s="1"/>
  <c r="Q69" i="98"/>
  <c r="U69" i="98" s="1"/>
  <c r="V69" i="98" s="1"/>
  <c r="W69" i="98" s="1"/>
  <c r="AA69" i="98" s="1"/>
  <c r="Q55" i="98"/>
  <c r="U55" i="98" s="1"/>
  <c r="V55" i="98" s="1"/>
  <c r="W55" i="98" s="1"/>
  <c r="AA55" i="98" s="1"/>
  <c r="P32" i="98"/>
  <c r="Q54" i="98"/>
  <c r="U54" i="98" s="1"/>
  <c r="V54" i="98" s="1"/>
  <c r="W54" i="98" s="1"/>
  <c r="Q16" i="98"/>
  <c r="U16" i="98" s="1"/>
  <c r="V16" i="98" s="1"/>
  <c r="W16" i="98" s="1"/>
  <c r="AA16" i="98" s="1"/>
  <c r="AD16" i="98"/>
  <c r="AD51" i="98"/>
  <c r="AD7" i="98"/>
  <c r="AD45" i="98"/>
  <c r="Y12" i="98"/>
  <c r="P76" i="98"/>
  <c r="Y11" i="98"/>
  <c r="Q72" i="98"/>
  <c r="U72" i="98" s="1"/>
  <c r="V72" i="98" s="1"/>
  <c r="W72" i="98" s="1"/>
  <c r="P64" i="98"/>
  <c r="AD53" i="98"/>
  <c r="Y8" i="98"/>
  <c r="AD14" i="98"/>
  <c r="Y71" i="98"/>
  <c r="AD6" i="98"/>
  <c r="P71" i="98"/>
  <c r="Q70" i="98"/>
  <c r="U70" i="98" s="1"/>
  <c r="V70" i="98" s="1"/>
  <c r="W70" i="98" s="1"/>
  <c r="Y22" i="98"/>
  <c r="AD11" i="98"/>
  <c r="Y9" i="98"/>
  <c r="Q43" i="98"/>
  <c r="U43" i="98" s="1"/>
  <c r="V43" i="98" s="1"/>
  <c r="W43" i="98" s="1"/>
  <c r="AA43" i="98" s="1"/>
  <c r="Y10" i="98"/>
  <c r="AD33" i="98"/>
  <c r="AD32" i="98"/>
  <c r="AD40" i="98"/>
  <c r="AD75" i="98"/>
  <c r="AD34" i="98"/>
  <c r="Y30" i="98"/>
  <c r="Y33" i="98"/>
  <c r="Y23" i="98"/>
  <c r="Q51" i="98"/>
  <c r="U51" i="98" s="1"/>
  <c r="V51" i="98" s="1"/>
  <c r="W51" i="98" s="1"/>
  <c r="AD30" i="98"/>
  <c r="Q63" i="98"/>
  <c r="U63" i="98" s="1"/>
  <c r="V63" i="98" s="1"/>
  <c r="W63" i="98" s="1"/>
  <c r="Q67" i="98"/>
  <c r="U67" i="98" s="1"/>
  <c r="V67" i="98" s="1"/>
  <c r="W67" i="98" s="1"/>
  <c r="AA67" i="98" s="1"/>
  <c r="Q65" i="98"/>
  <c r="U65" i="98" s="1"/>
  <c r="V65" i="98" s="1"/>
  <c r="W65" i="98" s="1"/>
  <c r="AA65" i="98" s="1"/>
  <c r="Y27" i="98"/>
  <c r="AD27" i="98"/>
  <c r="Q53" i="98"/>
  <c r="U53" i="98" s="1"/>
  <c r="V53" i="98" s="1"/>
  <c r="W53" i="98" s="1"/>
  <c r="AA53" i="98" s="1"/>
  <c r="P53" i="98"/>
  <c r="Q81" i="98"/>
  <c r="U81" i="98" s="1"/>
  <c r="V81" i="98" s="1"/>
  <c r="W81" i="98" s="1"/>
  <c r="Y25" i="98"/>
  <c r="Q47" i="98"/>
  <c r="U47" i="98" s="1"/>
  <c r="V47" i="98" s="1"/>
  <c r="W47" i="98" s="1"/>
  <c r="AA47" i="98" s="1"/>
  <c r="Q79" i="98"/>
  <c r="U79" i="98" s="1"/>
  <c r="V79" i="98" s="1"/>
  <c r="W79" i="98" s="1"/>
  <c r="P79" i="98"/>
  <c r="P26" i="98"/>
  <c r="Q26" i="98"/>
  <c r="U26" i="98" s="1"/>
  <c r="V26" i="98" s="1"/>
  <c r="W26" i="98" s="1"/>
  <c r="AA26" i="98" s="1"/>
  <c r="Q38" i="98"/>
  <c r="U38" i="98" s="1"/>
  <c r="V38" i="98" s="1"/>
  <c r="W38" i="98" s="1"/>
  <c r="AA38" i="98" s="1"/>
  <c r="Q28" i="98"/>
  <c r="U28" i="98" s="1"/>
  <c r="V28" i="98" s="1"/>
  <c r="W28" i="98" s="1"/>
  <c r="AA28" i="98" s="1"/>
  <c r="Q39" i="98"/>
  <c r="U39" i="98" s="1"/>
  <c r="V39" i="98" s="1"/>
  <c r="W39" i="98" s="1"/>
  <c r="AA39" i="98" s="1"/>
  <c r="AD28" i="98"/>
  <c r="AD26" i="98"/>
  <c r="Y29" i="98"/>
  <c r="AD22" i="98"/>
  <c r="AD25" i="98"/>
  <c r="Y32" i="98"/>
  <c r="Y31" i="98"/>
  <c r="AD23" i="98"/>
  <c r="AD37" i="98"/>
  <c r="AD56" i="98"/>
  <c r="AD54" i="98"/>
  <c r="AD60" i="98"/>
  <c r="AD48" i="98"/>
  <c r="AD52" i="98"/>
  <c r="Y44" i="98"/>
  <c r="Y42" i="98"/>
  <c r="Q48" i="98"/>
  <c r="U48" i="98" s="1"/>
  <c r="V48" i="98" s="1"/>
  <c r="W48" i="98" s="1"/>
  <c r="AA48" i="98" s="1"/>
  <c r="AD36" i="98"/>
  <c r="Q36" i="98"/>
  <c r="U36" i="98" s="1"/>
  <c r="V36" i="98" s="1"/>
  <c r="W36" i="98" s="1"/>
  <c r="AA36" i="98" s="1"/>
  <c r="AD42" i="98"/>
  <c r="Q58" i="98"/>
  <c r="U58" i="98" s="1"/>
  <c r="V58" i="98" s="1"/>
  <c r="W58" i="98" s="1"/>
  <c r="AA58" i="98" s="1"/>
  <c r="P58" i="98"/>
  <c r="AD43" i="98"/>
  <c r="Q68" i="98"/>
  <c r="U68" i="98" s="1"/>
  <c r="V68" i="98" s="1"/>
  <c r="W68" i="98" s="1"/>
  <c r="AA68" i="98" s="1"/>
  <c r="AD62" i="98"/>
  <c r="Y57" i="98"/>
  <c r="AD59" i="98"/>
  <c r="Q74" i="98"/>
  <c r="U74" i="98" s="1"/>
  <c r="V74" i="98" s="1"/>
  <c r="W74" i="98" s="1"/>
  <c r="AA74" i="98" s="1"/>
  <c r="AD44" i="98"/>
  <c r="AD76" i="98"/>
  <c r="AD46" i="98"/>
  <c r="AD73" i="98"/>
  <c r="Y56" i="98"/>
  <c r="Q75" i="98"/>
  <c r="U75" i="98" s="1"/>
  <c r="V75" i="98" s="1"/>
  <c r="W75" i="98" s="1"/>
  <c r="AA75" i="98" s="1"/>
  <c r="AD55" i="98"/>
  <c r="Q80" i="98"/>
  <c r="U80" i="98" s="1"/>
  <c r="V80" i="98" s="1"/>
  <c r="W80" i="98" s="1"/>
  <c r="AD58" i="98"/>
  <c r="AD74" i="98"/>
  <c r="AD78" i="98"/>
  <c r="AD81" i="98"/>
  <c r="AD61" i="98"/>
  <c r="Q46" i="98"/>
  <c r="U46" i="98" s="1"/>
  <c r="V46" i="98" s="1"/>
  <c r="W46" i="98" s="1"/>
  <c r="AA46" i="98" s="1"/>
  <c r="P46" i="98"/>
  <c r="AD49" i="98"/>
  <c r="Q40" i="98"/>
  <c r="U40" i="98" s="1"/>
  <c r="V40" i="98" s="1"/>
  <c r="W40" i="98" s="1"/>
  <c r="AA40" i="98" s="1"/>
  <c r="Q60" i="98"/>
  <c r="U60" i="98" s="1"/>
  <c r="V60" i="98" s="1"/>
  <c r="W60" i="98" s="1"/>
  <c r="AA60" i="98" s="1"/>
  <c r="Q82" i="98"/>
  <c r="U82" i="98" s="1"/>
  <c r="V82" i="98" s="1"/>
  <c r="W82" i="98" s="1"/>
  <c r="AA82" i="98" s="1"/>
  <c r="P82" i="98"/>
  <c r="AD64" i="98"/>
  <c r="AD65" i="98"/>
  <c r="Y64" i="98"/>
  <c r="P77" i="98"/>
  <c r="Q77" i="98"/>
  <c r="U77" i="98" s="1"/>
  <c r="V77" i="98" s="1"/>
  <c r="W77" i="98" s="1"/>
  <c r="AA77" i="98" s="1"/>
  <c r="AD80" i="98"/>
  <c r="AD69" i="98"/>
  <c r="Q61" i="98"/>
  <c r="U61" i="98" s="1"/>
  <c r="V61" i="98" s="1"/>
  <c r="W61" i="98" s="1"/>
  <c r="AA61" i="98" s="1"/>
  <c r="AD84" i="98"/>
  <c r="Q85" i="98"/>
  <c r="U85" i="98" s="1"/>
  <c r="V85" i="98" s="1"/>
  <c r="W85" i="98" s="1"/>
  <c r="AA85" i="98" s="1"/>
  <c r="AD83" i="98"/>
  <c r="Y83" i="98"/>
  <c r="Y76" i="98"/>
  <c r="AD71" i="98"/>
  <c r="AD85" i="98"/>
  <c r="Q73" i="98"/>
  <c r="U73" i="98" s="1"/>
  <c r="V73" i="98" s="1"/>
  <c r="W73" i="98" s="1"/>
  <c r="AA73" i="98" s="1"/>
  <c r="AD79" i="98"/>
  <c r="Y12" i="102"/>
  <c r="AA12" i="102"/>
  <c r="Q35" i="102"/>
  <c r="Q42" i="102"/>
  <c r="Q55" i="102"/>
  <c r="AD11" i="102"/>
  <c r="Q13" i="102"/>
  <c r="U13" i="102" s="1"/>
  <c r="V13" i="102" s="1"/>
  <c r="W13" i="102" s="1"/>
  <c r="AA11" i="102"/>
  <c r="Y11" i="102"/>
  <c r="AD13" i="102"/>
  <c r="Q8" i="102"/>
  <c r="Q52" i="102"/>
  <c r="Q40" i="102"/>
  <c r="Q19" i="102"/>
  <c r="Q33" i="102"/>
  <c r="Q64" i="102"/>
  <c r="AD12" i="102"/>
  <c r="Q16" i="102"/>
  <c r="Q21" i="102"/>
  <c r="Q57" i="102"/>
  <c r="P284" i="103"/>
  <c r="P214" i="103"/>
  <c r="Q9" i="103"/>
  <c r="U9" i="103" s="1"/>
  <c r="V9" i="103" s="1"/>
  <c r="W9" i="103" s="1"/>
  <c r="AA9" i="103" s="1"/>
  <c r="Q173" i="103"/>
  <c r="U173" i="103" s="1"/>
  <c r="V173" i="103" s="1"/>
  <c r="W173" i="103" s="1"/>
  <c r="AA173" i="103" s="1"/>
  <c r="Y214" i="103"/>
  <c r="P81" i="103"/>
  <c r="Q24" i="103"/>
  <c r="U24" i="103" s="1"/>
  <c r="V24" i="103" s="1"/>
  <c r="W24" i="103" s="1"/>
  <c r="Y24" i="103" s="1"/>
  <c r="Q206" i="103"/>
  <c r="U206" i="103" s="1"/>
  <c r="V206" i="103" s="1"/>
  <c r="W206" i="103" s="1"/>
  <c r="Y206" i="103" s="1"/>
  <c r="Y191" i="103"/>
  <c r="Q290" i="103"/>
  <c r="U290" i="103" s="1"/>
  <c r="V290" i="103" s="1"/>
  <c r="W290" i="103" s="1"/>
  <c r="Y290" i="103" s="1"/>
  <c r="P132" i="103"/>
  <c r="P191" i="103"/>
  <c r="Q167" i="103"/>
  <c r="U167" i="103" s="1"/>
  <c r="V167" i="103" s="1"/>
  <c r="W167" i="103" s="1"/>
  <c r="AA167" i="103" s="1"/>
  <c r="Q18" i="103"/>
  <c r="U18" i="103" s="1"/>
  <c r="V18" i="103" s="1"/>
  <c r="W18" i="103" s="1"/>
  <c r="Y18" i="103" s="1"/>
  <c r="P31" i="103"/>
  <c r="Q218" i="103"/>
  <c r="U218" i="103" s="1"/>
  <c r="V218" i="103" s="1"/>
  <c r="W218" i="103" s="1"/>
  <c r="Y218" i="103" s="1"/>
  <c r="Q100" i="103"/>
  <c r="U100" i="103" s="1"/>
  <c r="V100" i="103" s="1"/>
  <c r="W100" i="103" s="1"/>
  <c r="AA100" i="103" s="1"/>
  <c r="P65" i="103"/>
  <c r="P123" i="103"/>
  <c r="Q33" i="103"/>
  <c r="U33" i="103" s="1"/>
  <c r="V33" i="103" s="1"/>
  <c r="W33" i="103" s="1"/>
  <c r="AA33" i="103" s="1"/>
  <c r="Q219" i="103"/>
  <c r="U219" i="103" s="1"/>
  <c r="V219" i="103" s="1"/>
  <c r="W219" i="103" s="1"/>
  <c r="AA219" i="103" s="1"/>
  <c r="Q227" i="103"/>
  <c r="U227" i="103" s="1"/>
  <c r="V227" i="103" s="1"/>
  <c r="W227" i="103" s="1"/>
  <c r="AA227" i="103" s="1"/>
  <c r="Q43" i="103"/>
  <c r="U43" i="103" s="1"/>
  <c r="V43" i="103" s="1"/>
  <c r="W43" i="103" s="1"/>
  <c r="AA43" i="103" s="1"/>
  <c r="Q71" i="103"/>
  <c r="U71" i="103" s="1"/>
  <c r="V71" i="103" s="1"/>
  <c r="W71" i="103" s="1"/>
  <c r="AA71" i="103" s="1"/>
  <c r="P216" i="103"/>
  <c r="P316" i="103"/>
  <c r="Q54" i="103"/>
  <c r="U54" i="103" s="1"/>
  <c r="V54" i="103" s="1"/>
  <c r="W54" i="103" s="1"/>
  <c r="AA54" i="103" s="1"/>
  <c r="Q21" i="103"/>
  <c r="U21" i="103" s="1"/>
  <c r="V21" i="103" s="1"/>
  <c r="W21" i="103" s="1"/>
  <c r="Y21" i="103" s="1"/>
  <c r="AD210" i="103"/>
  <c r="P17" i="103"/>
  <c r="Q36" i="103"/>
  <c r="U36" i="103" s="1"/>
  <c r="V36" i="103" s="1"/>
  <c r="W36" i="103" s="1"/>
  <c r="AA36" i="103" s="1"/>
  <c r="Q77" i="103"/>
  <c r="U77" i="103" s="1"/>
  <c r="V77" i="103" s="1"/>
  <c r="W77" i="103" s="1"/>
  <c r="Y77" i="103" s="1"/>
  <c r="P343" i="103"/>
  <c r="P327" i="103"/>
  <c r="Q101" i="103"/>
  <c r="U101" i="103" s="1"/>
  <c r="V101" i="103" s="1"/>
  <c r="W101" i="103" s="1"/>
  <c r="Y101" i="103" s="1"/>
  <c r="Q125" i="103"/>
  <c r="U125" i="103" s="1"/>
  <c r="V125" i="103" s="1"/>
  <c r="W125" i="103" s="1"/>
  <c r="Y125" i="103" s="1"/>
  <c r="Q247" i="103"/>
  <c r="U247" i="103" s="1"/>
  <c r="V247" i="103" s="1"/>
  <c r="W247" i="103" s="1"/>
  <c r="Y247" i="103" s="1"/>
  <c r="Q309" i="103"/>
  <c r="U309" i="103" s="1"/>
  <c r="V309" i="103" s="1"/>
  <c r="W309" i="103" s="1"/>
  <c r="AA309" i="103" s="1"/>
  <c r="P292" i="103"/>
  <c r="Q124" i="103"/>
  <c r="U124" i="103" s="1"/>
  <c r="V124" i="103" s="1"/>
  <c r="W124" i="103" s="1"/>
  <c r="Y124" i="103" s="1"/>
  <c r="P295" i="103"/>
  <c r="Q58" i="103"/>
  <c r="U58" i="103" s="1"/>
  <c r="V58" i="103" s="1"/>
  <c r="W58" i="103" s="1"/>
  <c r="AA58" i="103" s="1"/>
  <c r="P41" i="103"/>
  <c r="P254" i="103"/>
  <c r="Q12" i="103"/>
  <c r="U12" i="103" s="1"/>
  <c r="V12" i="103" s="1"/>
  <c r="W12" i="103" s="1"/>
  <c r="AA12" i="103" s="1"/>
  <c r="Q268" i="103"/>
  <c r="U268" i="103" s="1"/>
  <c r="V268" i="103" s="1"/>
  <c r="W268" i="103" s="1"/>
  <c r="AA268" i="103" s="1"/>
  <c r="Q204" i="103"/>
  <c r="U204" i="103" s="1"/>
  <c r="V204" i="103" s="1"/>
  <c r="W204" i="103" s="1"/>
  <c r="AA204" i="103" s="1"/>
  <c r="P25" i="103"/>
  <c r="Q308" i="103"/>
  <c r="U308" i="103" s="1"/>
  <c r="V308" i="103" s="1"/>
  <c r="W308" i="103" s="1"/>
  <c r="Y308" i="103" s="1"/>
  <c r="Q35" i="103"/>
  <c r="U35" i="103" s="1"/>
  <c r="V35" i="103" s="1"/>
  <c r="W35" i="103" s="1"/>
  <c r="Y35" i="103" s="1"/>
  <c r="P162" i="103"/>
  <c r="Q326" i="103"/>
  <c r="U326" i="103" s="1"/>
  <c r="V326" i="103" s="1"/>
  <c r="W326" i="103" s="1"/>
  <c r="Y326" i="103" s="1"/>
  <c r="Q142" i="103"/>
  <c r="U142" i="103" s="1"/>
  <c r="V142" i="103" s="1"/>
  <c r="W142" i="103" s="1"/>
  <c r="AA142" i="103" s="1"/>
  <c r="Q263" i="103"/>
  <c r="U263" i="103" s="1"/>
  <c r="V263" i="103" s="1"/>
  <c r="W263" i="103" s="1"/>
  <c r="AA263" i="103" s="1"/>
  <c r="Q314" i="103"/>
  <c r="U314" i="103" s="1"/>
  <c r="V314" i="103" s="1"/>
  <c r="W314" i="103" s="1"/>
  <c r="Y314" i="103" s="1"/>
  <c r="Q311" i="103"/>
  <c r="U311" i="103" s="1"/>
  <c r="V311" i="103" s="1"/>
  <c r="W311" i="103" s="1"/>
  <c r="AA311" i="103" s="1"/>
  <c r="P120" i="103"/>
  <c r="P210" i="103"/>
  <c r="Q281" i="103"/>
  <c r="U281" i="103" s="1"/>
  <c r="V281" i="103" s="1"/>
  <c r="W281" i="103" s="1"/>
  <c r="Y281" i="103" s="1"/>
  <c r="Q329" i="103"/>
  <c r="U329" i="103" s="1"/>
  <c r="V329" i="103" s="1"/>
  <c r="W329" i="103" s="1"/>
  <c r="AA329" i="103" s="1"/>
  <c r="Q280" i="103"/>
  <c r="U280" i="103" s="1"/>
  <c r="V280" i="103" s="1"/>
  <c r="W280" i="103" s="1"/>
  <c r="Y280" i="103" s="1"/>
  <c r="P189" i="103"/>
  <c r="Q2" i="103"/>
  <c r="U2" i="103" s="1"/>
  <c r="V2" i="103" s="1"/>
  <c r="W2" i="103" s="1"/>
  <c r="AA2" i="103" s="1"/>
  <c r="Q323" i="103"/>
  <c r="U323" i="103" s="1"/>
  <c r="V323" i="103" s="1"/>
  <c r="W323" i="103" s="1"/>
  <c r="AA323" i="103" s="1"/>
  <c r="Q291" i="103"/>
  <c r="U291" i="103" s="1"/>
  <c r="V291" i="103" s="1"/>
  <c r="W291" i="103" s="1"/>
  <c r="Y291" i="103" s="1"/>
  <c r="Q307" i="103"/>
  <c r="U307" i="103" s="1"/>
  <c r="V307" i="103" s="1"/>
  <c r="W307" i="103" s="1"/>
  <c r="AA307" i="103" s="1"/>
  <c r="Q73" i="103"/>
  <c r="U73" i="103" s="1"/>
  <c r="V73" i="103" s="1"/>
  <c r="W73" i="103" s="1"/>
  <c r="Y73" i="103" s="1"/>
  <c r="Q70" i="103"/>
  <c r="U70" i="103" s="1"/>
  <c r="V70" i="103" s="1"/>
  <c r="W70" i="103" s="1"/>
  <c r="AA70" i="103" s="1"/>
  <c r="Q154" i="103"/>
  <c r="U154" i="103" s="1"/>
  <c r="V154" i="103" s="1"/>
  <c r="W154" i="103" s="1"/>
  <c r="AA154" i="103" s="1"/>
  <c r="Q234" i="103"/>
  <c r="U234" i="103" s="1"/>
  <c r="V234" i="103" s="1"/>
  <c r="W234" i="103" s="1"/>
  <c r="Y234" i="103" s="1"/>
  <c r="P325" i="103"/>
  <c r="P237" i="103"/>
  <c r="Q195" i="103"/>
  <c r="U195" i="103" s="1"/>
  <c r="V195" i="103" s="1"/>
  <c r="W195" i="103" s="1"/>
  <c r="AA195" i="103" s="1"/>
  <c r="Q91" i="103"/>
  <c r="U91" i="103" s="1"/>
  <c r="V91" i="103" s="1"/>
  <c r="W91" i="103" s="1"/>
  <c r="AA91" i="103" s="1"/>
  <c r="P341" i="103"/>
  <c r="P226" i="103"/>
  <c r="Q149" i="103"/>
  <c r="U149" i="103" s="1"/>
  <c r="V149" i="103" s="1"/>
  <c r="W149" i="103" s="1"/>
  <c r="Y149" i="103" s="1"/>
  <c r="Q238" i="103"/>
  <c r="U238" i="103" s="1"/>
  <c r="V238" i="103" s="1"/>
  <c r="W238" i="103" s="1"/>
  <c r="Y238" i="103" s="1"/>
  <c r="Q117" i="103"/>
  <c r="U117" i="103" s="1"/>
  <c r="V117" i="103" s="1"/>
  <c r="W117" i="103" s="1"/>
  <c r="Y117" i="103" s="1"/>
  <c r="Q76" i="103"/>
  <c r="U76" i="103" s="1"/>
  <c r="V76" i="103" s="1"/>
  <c r="W76" i="103" s="1"/>
  <c r="Y76" i="103" s="1"/>
  <c r="P175" i="103"/>
  <c r="Q293" i="103"/>
  <c r="U293" i="103" s="1"/>
  <c r="V293" i="103" s="1"/>
  <c r="W293" i="103" s="1"/>
  <c r="Y293" i="103" s="1"/>
  <c r="Q302" i="103"/>
  <c r="U302" i="103" s="1"/>
  <c r="V302" i="103" s="1"/>
  <c r="W302" i="103" s="1"/>
  <c r="Y302" i="103" s="1"/>
  <c r="P304" i="103"/>
  <c r="Q47" i="103"/>
  <c r="U47" i="103" s="1"/>
  <c r="V47" i="103" s="1"/>
  <c r="W47" i="103" s="1"/>
  <c r="AA47" i="103" s="1"/>
  <c r="Q166" i="103"/>
  <c r="U166" i="103" s="1"/>
  <c r="V166" i="103" s="1"/>
  <c r="W166" i="103" s="1"/>
  <c r="AA166" i="103" s="1"/>
  <c r="Q198" i="103"/>
  <c r="U198" i="103" s="1"/>
  <c r="V198" i="103" s="1"/>
  <c r="W198" i="103" s="1"/>
  <c r="AA198" i="103" s="1"/>
  <c r="Q332" i="103"/>
  <c r="U332" i="103" s="1"/>
  <c r="V332" i="103" s="1"/>
  <c r="W332" i="103" s="1"/>
  <c r="Y332" i="103" s="1"/>
  <c r="Q274" i="103"/>
  <c r="U274" i="103" s="1"/>
  <c r="V274" i="103" s="1"/>
  <c r="W274" i="103" s="1"/>
  <c r="AA274" i="103" s="1"/>
  <c r="Q66" i="103"/>
  <c r="U66" i="103" s="1"/>
  <c r="V66" i="103" s="1"/>
  <c r="W66" i="103" s="1"/>
  <c r="AA66" i="103" s="1"/>
  <c r="Q60" i="103"/>
  <c r="U60" i="103" s="1"/>
  <c r="V60" i="103" s="1"/>
  <c r="W60" i="103" s="1"/>
  <c r="AA60" i="103" s="1"/>
  <c r="Q112" i="103"/>
  <c r="U112" i="103" s="1"/>
  <c r="V112" i="103" s="1"/>
  <c r="W112" i="103" s="1"/>
  <c r="AA112" i="103" s="1"/>
  <c r="AD137" i="103"/>
  <c r="AD173" i="103"/>
  <c r="Q64" i="103"/>
  <c r="U64" i="103" s="1"/>
  <c r="V64" i="103" s="1"/>
  <c r="W64" i="103" s="1"/>
  <c r="Y64" i="103" s="1"/>
  <c r="Q49" i="103"/>
  <c r="U49" i="103" s="1"/>
  <c r="V49" i="103" s="1"/>
  <c r="W49" i="103" s="1"/>
  <c r="AA49" i="103" s="1"/>
  <c r="Q337" i="103"/>
  <c r="U337" i="103" s="1"/>
  <c r="V337" i="103" s="1"/>
  <c r="W337" i="103" s="1"/>
  <c r="AA337" i="103" s="1"/>
  <c r="P186" i="103"/>
  <c r="Q37" i="103"/>
  <c r="U37" i="103" s="1"/>
  <c r="V37" i="103" s="1"/>
  <c r="W37" i="103" s="1"/>
  <c r="Y37" i="103" s="1"/>
  <c r="Q182" i="103"/>
  <c r="U182" i="103" s="1"/>
  <c r="V182" i="103" s="1"/>
  <c r="W182" i="103" s="1"/>
  <c r="Y182" i="103" s="1"/>
  <c r="Q42" i="103"/>
  <c r="U42" i="103" s="1"/>
  <c r="V42" i="103" s="1"/>
  <c r="W42" i="103" s="1"/>
  <c r="AA42" i="103" s="1"/>
  <c r="Q14" i="103"/>
  <c r="U14" i="103" s="1"/>
  <c r="V14" i="103" s="1"/>
  <c r="W14" i="103" s="1"/>
  <c r="Y14" i="103" s="1"/>
  <c r="Q28" i="103"/>
  <c r="U28" i="103" s="1"/>
  <c r="V28" i="103" s="1"/>
  <c r="W28" i="103" s="1"/>
  <c r="Y28" i="103" s="1"/>
  <c r="Q207" i="103"/>
  <c r="U207" i="103" s="1"/>
  <c r="V207" i="103" s="1"/>
  <c r="W207" i="103" s="1"/>
  <c r="Y207" i="103" s="1"/>
  <c r="Q69" i="103"/>
  <c r="U69" i="103" s="1"/>
  <c r="V69" i="103" s="1"/>
  <c r="W69" i="103" s="1"/>
  <c r="Y69" i="103" s="1"/>
  <c r="Q23" i="103"/>
  <c r="U23" i="103" s="1"/>
  <c r="V23" i="103" s="1"/>
  <c r="W23" i="103" s="1"/>
  <c r="Y23" i="103" s="1"/>
  <c r="Q57" i="103"/>
  <c r="U57" i="103" s="1"/>
  <c r="V57" i="103" s="1"/>
  <c r="W57" i="103" s="1"/>
  <c r="Y57" i="103" s="1"/>
  <c r="AD65" i="103"/>
  <c r="P192" i="103"/>
  <c r="Q148" i="103"/>
  <c r="U148" i="103" s="1"/>
  <c r="V148" i="103" s="1"/>
  <c r="W148" i="103" s="1"/>
  <c r="Y148" i="103" s="1"/>
  <c r="Q264" i="103"/>
  <c r="U264" i="103" s="1"/>
  <c r="V264" i="103" s="1"/>
  <c r="W264" i="103" s="1"/>
  <c r="AA264" i="103" s="1"/>
  <c r="P174" i="103"/>
  <c r="P119" i="103"/>
  <c r="AD246" i="103"/>
  <c r="Q83" i="103"/>
  <c r="U83" i="103" s="1"/>
  <c r="V83" i="103" s="1"/>
  <c r="W83" i="103" s="1"/>
  <c r="AA83" i="103" s="1"/>
  <c r="Q121" i="103"/>
  <c r="U121" i="103" s="1"/>
  <c r="V121" i="103" s="1"/>
  <c r="W121" i="103" s="1"/>
  <c r="AA121" i="103" s="1"/>
  <c r="Q61" i="103"/>
  <c r="U61" i="103" s="1"/>
  <c r="V61" i="103" s="1"/>
  <c r="W61" i="103" s="1"/>
  <c r="AA61" i="103" s="1"/>
  <c r="Q344" i="103"/>
  <c r="U344" i="103" s="1"/>
  <c r="V344" i="103" s="1"/>
  <c r="W344" i="103" s="1"/>
  <c r="AA344" i="103" s="1"/>
  <c r="Q342" i="103"/>
  <c r="U342" i="103" s="1"/>
  <c r="V342" i="103" s="1"/>
  <c r="W342" i="103" s="1"/>
  <c r="AA342" i="103" s="1"/>
  <c r="P249" i="103"/>
  <c r="Q275" i="103"/>
  <c r="U275" i="103" s="1"/>
  <c r="V275" i="103" s="1"/>
  <c r="W275" i="103" s="1"/>
  <c r="AA275" i="103" s="1"/>
  <c r="Q127" i="103"/>
  <c r="U127" i="103" s="1"/>
  <c r="V127" i="103" s="1"/>
  <c r="W127" i="103" s="1"/>
  <c r="Y127" i="103" s="1"/>
  <c r="P260" i="103"/>
  <c r="Q110" i="103"/>
  <c r="U110" i="103" s="1"/>
  <c r="V110" i="103" s="1"/>
  <c r="W110" i="103" s="1"/>
  <c r="Y110" i="103" s="1"/>
  <c r="Q30" i="103"/>
  <c r="U30" i="103" s="1"/>
  <c r="V30" i="103" s="1"/>
  <c r="W30" i="103" s="1"/>
  <c r="AA30" i="103" s="1"/>
  <c r="P184" i="103"/>
  <c r="P170" i="103"/>
  <c r="Q86" i="103"/>
  <c r="U86" i="103" s="1"/>
  <c r="V86" i="103" s="1"/>
  <c r="W86" i="103" s="1"/>
  <c r="Y86" i="103" s="1"/>
  <c r="Q4" i="103"/>
  <c r="U4" i="103" s="1"/>
  <c r="V4" i="103" s="1"/>
  <c r="W4" i="103" s="1"/>
  <c r="AA4" i="103" s="1"/>
  <c r="Q168" i="103"/>
  <c r="U168" i="103" s="1"/>
  <c r="V168" i="103" s="1"/>
  <c r="W168" i="103" s="1"/>
  <c r="AA168" i="103" s="1"/>
  <c r="Q134" i="103"/>
  <c r="U134" i="103" s="1"/>
  <c r="V134" i="103" s="1"/>
  <c r="W134" i="103" s="1"/>
  <c r="Y134" i="103" s="1"/>
  <c r="Q201" i="103"/>
  <c r="U201" i="103" s="1"/>
  <c r="V201" i="103" s="1"/>
  <c r="W201" i="103" s="1"/>
  <c r="AA201" i="103" s="1"/>
  <c r="Q87" i="103"/>
  <c r="U87" i="103" s="1"/>
  <c r="V87" i="103" s="1"/>
  <c r="W87" i="103" s="1"/>
  <c r="AA87" i="103" s="1"/>
  <c r="Q320" i="103"/>
  <c r="U320" i="103" s="1"/>
  <c r="V320" i="103" s="1"/>
  <c r="W320" i="103" s="1"/>
  <c r="Y320" i="103" s="1"/>
  <c r="Q38" i="103"/>
  <c r="U38" i="103" s="1"/>
  <c r="V38" i="103" s="1"/>
  <c r="W38" i="103" s="1"/>
  <c r="AA38" i="103" s="1"/>
  <c r="Q50" i="103"/>
  <c r="U50" i="103" s="1"/>
  <c r="V50" i="103" s="1"/>
  <c r="W50" i="103" s="1"/>
  <c r="AA50" i="103" s="1"/>
  <c r="Q335" i="103"/>
  <c r="U335" i="103" s="1"/>
  <c r="V335" i="103" s="1"/>
  <c r="W335" i="103" s="1"/>
  <c r="AA335" i="103" s="1"/>
  <c r="Q209" i="103"/>
  <c r="U209" i="103" s="1"/>
  <c r="V209" i="103" s="1"/>
  <c r="W209" i="103" s="1"/>
  <c r="Y209" i="103" s="1"/>
  <c r="AD19" i="103"/>
  <c r="Q190" i="103"/>
  <c r="U190" i="103" s="1"/>
  <c r="V190" i="103" s="1"/>
  <c r="W190" i="103" s="1"/>
  <c r="Y190" i="103" s="1"/>
  <c r="AA170" i="103"/>
  <c r="AD234" i="103"/>
  <c r="AD343" i="103"/>
  <c r="AD228" i="103"/>
  <c r="AD199" i="103"/>
  <c r="AD322" i="103"/>
  <c r="AD186" i="103"/>
  <c r="Y144" i="103"/>
  <c r="AD162" i="103"/>
  <c r="AD121" i="103"/>
  <c r="AD170" i="103"/>
  <c r="AD7" i="103"/>
  <c r="AD198" i="103"/>
  <c r="AD141" i="103"/>
  <c r="AD304" i="103"/>
  <c r="AA123" i="103"/>
  <c r="Y169" i="103"/>
  <c r="AA283" i="103"/>
  <c r="Y283" i="103"/>
  <c r="P145" i="103"/>
  <c r="Q34" i="103"/>
  <c r="U34" i="103" s="1"/>
  <c r="V34" i="103" s="1"/>
  <c r="W34" i="103" s="1"/>
  <c r="Y34" i="103" s="1"/>
  <c r="P153" i="103"/>
  <c r="Q106" i="103"/>
  <c r="U106" i="103" s="1"/>
  <c r="V106" i="103" s="1"/>
  <c r="W106" i="103" s="1"/>
  <c r="AA106" i="103" s="1"/>
  <c r="Q136" i="103"/>
  <c r="U136" i="103" s="1"/>
  <c r="V136" i="103" s="1"/>
  <c r="W136" i="103" s="1"/>
  <c r="Y136" i="103" s="1"/>
  <c r="Q183" i="103"/>
  <c r="U183" i="103" s="1"/>
  <c r="V183" i="103" s="1"/>
  <c r="W183" i="103" s="1"/>
  <c r="AA183" i="103" s="1"/>
  <c r="Q79" i="103"/>
  <c r="U79" i="103" s="1"/>
  <c r="V79" i="103" s="1"/>
  <c r="W79" i="103" s="1"/>
  <c r="Y79" i="103" s="1"/>
  <c r="AD145" i="103"/>
  <c r="P16" i="103"/>
  <c r="Q294" i="103"/>
  <c r="U294" i="103" s="1"/>
  <c r="V294" i="103" s="1"/>
  <c r="W294" i="103" s="1"/>
  <c r="AA294" i="103" s="1"/>
  <c r="P294" i="103"/>
  <c r="Q296" i="103"/>
  <c r="U296" i="103" s="1"/>
  <c r="V296" i="103" s="1"/>
  <c r="W296" i="103" s="1"/>
  <c r="Y296" i="103" s="1"/>
  <c r="Q140" i="103"/>
  <c r="U140" i="103" s="1"/>
  <c r="V140" i="103" s="1"/>
  <c r="W140" i="103" s="1"/>
  <c r="AA140" i="103" s="1"/>
  <c r="P78" i="103"/>
  <c r="Q108" i="103"/>
  <c r="U108" i="103" s="1"/>
  <c r="V108" i="103" s="1"/>
  <c r="W108" i="103" s="1"/>
  <c r="Y108" i="103" s="1"/>
  <c r="AD257" i="103"/>
  <c r="AA174" i="103"/>
  <c r="Q107" i="103"/>
  <c r="U107" i="103" s="1"/>
  <c r="V107" i="103" s="1"/>
  <c r="W107" i="103" s="1"/>
  <c r="AA107" i="103" s="1"/>
  <c r="Q135" i="103"/>
  <c r="U135" i="103" s="1"/>
  <c r="V135" i="103" s="1"/>
  <c r="W135" i="103" s="1"/>
  <c r="AA135" i="103" s="1"/>
  <c r="P68" i="103"/>
  <c r="Q160" i="103"/>
  <c r="U160" i="103" s="1"/>
  <c r="V160" i="103" s="1"/>
  <c r="W160" i="103" s="1"/>
  <c r="AA160" i="103" s="1"/>
  <c r="Q131" i="103"/>
  <c r="U131" i="103" s="1"/>
  <c r="V131" i="103" s="1"/>
  <c r="W131" i="103" s="1"/>
  <c r="Y131" i="103" s="1"/>
  <c r="P56" i="103"/>
  <c r="Q262" i="103"/>
  <c r="U262" i="103" s="1"/>
  <c r="V262" i="103" s="1"/>
  <c r="W262" i="103" s="1"/>
  <c r="AA262" i="103" s="1"/>
  <c r="AD153" i="103"/>
  <c r="AD16" i="103"/>
  <c r="Q235" i="103"/>
  <c r="U235" i="103" s="1"/>
  <c r="V235" i="103" s="1"/>
  <c r="W235" i="103" s="1"/>
  <c r="Y235" i="103" s="1"/>
  <c r="Q194" i="103"/>
  <c r="U194" i="103" s="1"/>
  <c r="V194" i="103" s="1"/>
  <c r="W194" i="103" s="1"/>
  <c r="AA194" i="103" s="1"/>
  <c r="Q105" i="103"/>
  <c r="U105" i="103" s="1"/>
  <c r="V105" i="103" s="1"/>
  <c r="W105" i="103" s="1"/>
  <c r="Y105" i="103" s="1"/>
  <c r="Q271" i="103"/>
  <c r="U271" i="103" s="1"/>
  <c r="V271" i="103" s="1"/>
  <c r="W271" i="103" s="1"/>
  <c r="Q94" i="103"/>
  <c r="U94" i="103" s="1"/>
  <c r="V94" i="103" s="1"/>
  <c r="W94" i="103" s="1"/>
  <c r="AA94" i="103" s="1"/>
  <c r="Q178" i="103"/>
  <c r="U178" i="103" s="1"/>
  <c r="V178" i="103" s="1"/>
  <c r="W178" i="103" s="1"/>
  <c r="AA178" i="103" s="1"/>
  <c r="AD283" i="103"/>
  <c r="Q179" i="103"/>
  <c r="U179" i="103" s="1"/>
  <c r="V179" i="103" s="1"/>
  <c r="W179" i="103" s="1"/>
  <c r="Y179" i="103" s="1"/>
  <c r="Q88" i="103"/>
  <c r="U88" i="103" s="1"/>
  <c r="V88" i="103" s="1"/>
  <c r="W88" i="103" s="1"/>
  <c r="Y88" i="103" s="1"/>
  <c r="AD94" i="103"/>
  <c r="Y210" i="103"/>
  <c r="Q287" i="103"/>
  <c r="U287" i="103" s="1"/>
  <c r="V287" i="103" s="1"/>
  <c r="W287" i="103" s="1"/>
  <c r="AA287" i="103" s="1"/>
  <c r="Q90" i="103"/>
  <c r="U90" i="103" s="1"/>
  <c r="V90" i="103" s="1"/>
  <c r="W90" i="103" s="1"/>
  <c r="AA90" i="103" s="1"/>
  <c r="P231" i="103"/>
  <c r="P85" i="103"/>
  <c r="Q11" i="103"/>
  <c r="U11" i="103" s="1"/>
  <c r="V11" i="103" s="1"/>
  <c r="W11" i="103" s="1"/>
  <c r="Y11" i="103" s="1"/>
  <c r="AD144" i="103"/>
  <c r="Q222" i="103"/>
  <c r="U222" i="103" s="1"/>
  <c r="V222" i="103" s="1"/>
  <c r="W222" i="103" s="1"/>
  <c r="Y222" i="103" s="1"/>
  <c r="P229" i="103"/>
  <c r="Y249" i="103"/>
  <c r="AA65" i="103"/>
  <c r="P283" i="103"/>
  <c r="P177" i="103"/>
  <c r="Q48" i="103"/>
  <c r="U48" i="103" s="1"/>
  <c r="V48" i="103" s="1"/>
  <c r="W48" i="103" s="1"/>
  <c r="AA48" i="103" s="1"/>
  <c r="Q322" i="103"/>
  <c r="U322" i="103" s="1"/>
  <c r="V322" i="103" s="1"/>
  <c r="W322" i="103" s="1"/>
  <c r="AA322" i="103" s="1"/>
  <c r="AA132" i="103"/>
  <c r="Q273" i="103"/>
  <c r="U273" i="103" s="1"/>
  <c r="V273" i="103" s="1"/>
  <c r="W273" i="103" s="1"/>
  <c r="Y273" i="103" s="1"/>
  <c r="Q45" i="103"/>
  <c r="U45" i="103" s="1"/>
  <c r="V45" i="103" s="1"/>
  <c r="W45" i="103" s="1"/>
  <c r="AA45" i="103" s="1"/>
  <c r="P144" i="103"/>
  <c r="Q339" i="103"/>
  <c r="U339" i="103" s="1"/>
  <c r="V339" i="103" s="1"/>
  <c r="W339" i="103" s="1"/>
  <c r="Y339" i="103" s="1"/>
  <c r="Y292" i="103"/>
  <c r="AD132" i="103"/>
  <c r="Y313" i="103"/>
  <c r="AA316" i="103"/>
  <c r="Y246" i="103"/>
  <c r="AD328" i="103"/>
  <c r="Y120" i="103"/>
  <c r="Y231" i="103"/>
  <c r="AD208" i="103"/>
  <c r="AD291" i="103"/>
  <c r="AD74" i="103"/>
  <c r="AD207" i="103"/>
  <c r="AD127" i="103"/>
  <c r="AD223" i="103"/>
  <c r="AD79" i="103"/>
  <c r="Y226" i="103"/>
  <c r="AD98" i="103"/>
  <c r="AD135" i="103"/>
  <c r="AD204" i="103"/>
  <c r="AD313" i="103"/>
  <c r="AD123" i="103"/>
  <c r="AD211" i="103"/>
  <c r="AD185" i="103"/>
  <c r="AA175" i="103"/>
  <c r="AA341" i="103"/>
  <c r="Y192" i="103"/>
  <c r="AD126" i="103"/>
  <c r="AD195" i="103"/>
  <c r="Y199" i="103"/>
  <c r="AA199" i="103"/>
  <c r="Y259" i="103"/>
  <c r="AA259" i="103"/>
  <c r="AA213" i="103"/>
  <c r="Y213" i="103"/>
  <c r="Y184" i="103"/>
  <c r="AA184" i="103"/>
  <c r="AA229" i="103"/>
  <c r="Y229" i="103"/>
  <c r="Y156" i="103"/>
  <c r="AA156" i="103"/>
  <c r="AA225" i="103"/>
  <c r="Y225" i="103"/>
  <c r="Y80" i="103"/>
  <c r="AA80" i="103"/>
  <c r="Y340" i="103"/>
  <c r="AA340" i="103"/>
  <c r="Q171" i="103"/>
  <c r="U171" i="103" s="1"/>
  <c r="V171" i="103" s="1"/>
  <c r="W171" i="103" s="1"/>
  <c r="P171" i="103"/>
  <c r="P253" i="103"/>
  <c r="Q256" i="103"/>
  <c r="U256" i="103" s="1"/>
  <c r="V256" i="103" s="1"/>
  <c r="W256" i="103" s="1"/>
  <c r="P340" i="103"/>
  <c r="P109" i="103"/>
  <c r="Q203" i="103"/>
  <c r="U203" i="103" s="1"/>
  <c r="V203" i="103" s="1"/>
  <c r="W203" i="103" s="1"/>
  <c r="AA41" i="103"/>
  <c r="AA254" i="103"/>
  <c r="AD217" i="103"/>
  <c r="Q251" i="103"/>
  <c r="U251" i="103" s="1"/>
  <c r="V251" i="103" s="1"/>
  <c r="W251" i="103" s="1"/>
  <c r="AA153" i="103"/>
  <c r="Y153" i="103"/>
  <c r="Q155" i="103"/>
  <c r="U155" i="103" s="1"/>
  <c r="V155" i="103" s="1"/>
  <c r="W155" i="103" s="1"/>
  <c r="AD149" i="103"/>
  <c r="Y159" i="103"/>
  <c r="AA159" i="103"/>
  <c r="AA119" i="103"/>
  <c r="Y119" i="103"/>
  <c r="Y253" i="103"/>
  <c r="Y81" i="103"/>
  <c r="Y145" i="103"/>
  <c r="AA145" i="103"/>
  <c r="Q185" i="103"/>
  <c r="U185" i="103" s="1"/>
  <c r="V185" i="103" s="1"/>
  <c r="W185" i="103" s="1"/>
  <c r="P185" i="103"/>
  <c r="AA141" i="103"/>
  <c r="Y141" i="103"/>
  <c r="Y284" i="103"/>
  <c r="AD150" i="103"/>
  <c r="Y177" i="103"/>
  <c r="AA177" i="103"/>
  <c r="Y189" i="103"/>
  <c r="Q228" i="103"/>
  <c r="U228" i="103" s="1"/>
  <c r="V228" i="103" s="1"/>
  <c r="W228" i="103" s="1"/>
  <c r="P228" i="103"/>
  <c r="Y343" i="103"/>
  <c r="AA343" i="103"/>
  <c r="Q239" i="103"/>
  <c r="U239" i="103" s="1"/>
  <c r="V239" i="103" s="1"/>
  <c r="W239" i="103" s="1"/>
  <c r="Q258" i="103"/>
  <c r="U258" i="103" s="1"/>
  <c r="V258" i="103" s="1"/>
  <c r="W258" i="103" s="1"/>
  <c r="P259" i="103"/>
  <c r="Q97" i="103"/>
  <c r="U97" i="103" s="1"/>
  <c r="V97" i="103" s="1"/>
  <c r="W97" i="103" s="1"/>
  <c r="P97" i="103"/>
  <c r="P176" i="103"/>
  <c r="Q176" i="103"/>
  <c r="U176" i="103" s="1"/>
  <c r="V176" i="103" s="1"/>
  <c r="W176" i="103" s="1"/>
  <c r="P180" i="103"/>
  <c r="Q180" i="103"/>
  <c r="U180" i="103" s="1"/>
  <c r="V180" i="103" s="1"/>
  <c r="W180" i="103" s="1"/>
  <c r="Q5" i="103"/>
  <c r="U5" i="103" s="1"/>
  <c r="V5" i="103" s="1"/>
  <c r="W5" i="103" s="1"/>
  <c r="P80" i="103"/>
  <c r="Q72" i="103"/>
  <c r="U72" i="103" s="1"/>
  <c r="V72" i="103" s="1"/>
  <c r="W72" i="103" s="1"/>
  <c r="Y31" i="103"/>
  <c r="AA31" i="103"/>
  <c r="Q63" i="103"/>
  <c r="U63" i="103" s="1"/>
  <c r="V63" i="103" s="1"/>
  <c r="W63" i="103" s="1"/>
  <c r="Q236" i="103"/>
  <c r="U236" i="103" s="1"/>
  <c r="V236" i="103" s="1"/>
  <c r="W236" i="103" s="1"/>
  <c r="AA216" i="103"/>
  <c r="Y216" i="103"/>
  <c r="AA85" i="103"/>
  <c r="Y186" i="103"/>
  <c r="Y143" i="103"/>
  <c r="Y78" i="103"/>
  <c r="AA78" i="103"/>
  <c r="Y150" i="103"/>
  <c r="AA150" i="103"/>
  <c r="Q303" i="103"/>
  <c r="U303" i="103" s="1"/>
  <c r="V303" i="103" s="1"/>
  <c r="W303" i="103" s="1"/>
  <c r="P303" i="103"/>
  <c r="Y325" i="103"/>
  <c r="AA325" i="103"/>
  <c r="Q147" i="103"/>
  <c r="U147" i="103" s="1"/>
  <c r="V147" i="103" s="1"/>
  <c r="W147" i="103" s="1"/>
  <c r="P147" i="103"/>
  <c r="P199" i="103"/>
  <c r="P225" i="103"/>
  <c r="P156" i="103"/>
  <c r="Q279" i="103"/>
  <c r="U279" i="103" s="1"/>
  <c r="V279" i="103" s="1"/>
  <c r="W279" i="103" s="1"/>
  <c r="Y304" i="103"/>
  <c r="AA304" i="103"/>
  <c r="Y17" i="103"/>
  <c r="AA17" i="103"/>
  <c r="AA260" i="103"/>
  <c r="Y260" i="103"/>
  <c r="P139" i="103"/>
  <c r="Q139" i="103"/>
  <c r="U139" i="103" s="1"/>
  <c r="V139" i="103" s="1"/>
  <c r="W139" i="103" s="1"/>
  <c r="P242" i="103"/>
  <c r="Q242" i="103"/>
  <c r="U242" i="103" s="1"/>
  <c r="V242" i="103" s="1"/>
  <c r="W242" i="103" s="1"/>
  <c r="AD212" i="103"/>
  <c r="Y193" i="103"/>
  <c r="AA193" i="103"/>
  <c r="P330" i="103"/>
  <c r="Q330" i="103"/>
  <c r="U330" i="103" s="1"/>
  <c r="V330" i="103" s="1"/>
  <c r="W330" i="103" s="1"/>
  <c r="P212" i="103"/>
  <c r="Q212" i="103"/>
  <c r="U212" i="103" s="1"/>
  <c r="V212" i="103" s="1"/>
  <c r="W212" i="103" s="1"/>
  <c r="P114" i="103"/>
  <c r="Q114" i="103"/>
  <c r="U114" i="103" s="1"/>
  <c r="V114" i="103" s="1"/>
  <c r="W114" i="103" s="1"/>
  <c r="AD286" i="103"/>
  <c r="P161" i="103"/>
  <c r="Q161" i="103"/>
  <c r="U161" i="103" s="1"/>
  <c r="V161" i="103" s="1"/>
  <c r="W161" i="103" s="1"/>
  <c r="AD52" i="103"/>
  <c r="AD165" i="103"/>
  <c r="P82" i="103"/>
  <c r="Q82" i="103"/>
  <c r="U82" i="103" s="1"/>
  <c r="V82" i="103" s="1"/>
  <c r="W82" i="103" s="1"/>
  <c r="AD68" i="103"/>
  <c r="P53" i="103"/>
  <c r="Q53" i="103"/>
  <c r="U53" i="103" s="1"/>
  <c r="V53" i="103" s="1"/>
  <c r="W53" i="103" s="1"/>
  <c r="AD131" i="103"/>
  <c r="AD14" i="103"/>
  <c r="P74" i="103"/>
  <c r="Q74" i="103"/>
  <c r="U74" i="103" s="1"/>
  <c r="V74" i="103" s="1"/>
  <c r="W74" i="103" s="1"/>
  <c r="Q328" i="103"/>
  <c r="U328" i="103" s="1"/>
  <c r="V328" i="103" s="1"/>
  <c r="W328" i="103" s="1"/>
  <c r="Q282" i="103"/>
  <c r="U282" i="103" s="1"/>
  <c r="V282" i="103" s="1"/>
  <c r="W282" i="103" s="1"/>
  <c r="Q13" i="103"/>
  <c r="U13" i="103" s="1"/>
  <c r="V13" i="103" s="1"/>
  <c r="W13" i="103" s="1"/>
  <c r="Q310" i="103"/>
  <c r="U310" i="103" s="1"/>
  <c r="V310" i="103" s="1"/>
  <c r="W310" i="103" s="1"/>
  <c r="P143" i="103"/>
  <c r="AD85" i="103"/>
  <c r="AA16" i="103"/>
  <c r="AD179" i="103"/>
  <c r="AD44" i="103"/>
  <c r="Q338" i="103"/>
  <c r="U338" i="103" s="1"/>
  <c r="V338" i="103" s="1"/>
  <c r="W338" i="103" s="1"/>
  <c r="Y327" i="103"/>
  <c r="AA327" i="103"/>
  <c r="Q244" i="103"/>
  <c r="U244" i="103" s="1"/>
  <c r="V244" i="103" s="1"/>
  <c r="W244" i="103" s="1"/>
  <c r="Q102" i="103"/>
  <c r="U102" i="103" s="1"/>
  <c r="V102" i="103" s="1"/>
  <c r="W102" i="103" s="1"/>
  <c r="Q111" i="103"/>
  <c r="U111" i="103" s="1"/>
  <c r="V111" i="103" s="1"/>
  <c r="W111" i="103" s="1"/>
  <c r="Q196" i="103"/>
  <c r="U196" i="103" s="1"/>
  <c r="V196" i="103" s="1"/>
  <c r="W196" i="103" s="1"/>
  <c r="P213" i="103"/>
  <c r="Y68" i="103"/>
  <c r="AA68" i="103"/>
  <c r="Q181" i="103"/>
  <c r="U181" i="103" s="1"/>
  <c r="V181" i="103" s="1"/>
  <c r="W181" i="103" s="1"/>
  <c r="Q285" i="103"/>
  <c r="U285" i="103" s="1"/>
  <c r="V285" i="103" s="1"/>
  <c r="W285" i="103" s="1"/>
  <c r="Q318" i="103"/>
  <c r="U318" i="103" s="1"/>
  <c r="V318" i="103" s="1"/>
  <c r="W318" i="103" s="1"/>
  <c r="Q67" i="103"/>
  <c r="U67" i="103" s="1"/>
  <c r="V67" i="103" s="1"/>
  <c r="W67" i="103" s="1"/>
  <c r="Q55" i="103"/>
  <c r="U55" i="103" s="1"/>
  <c r="V55" i="103" s="1"/>
  <c r="W55" i="103" s="1"/>
  <c r="Q331" i="103"/>
  <c r="U331" i="103" s="1"/>
  <c r="V331" i="103" s="1"/>
  <c r="W331" i="103" s="1"/>
  <c r="AD222" i="103"/>
  <c r="P233" i="103"/>
  <c r="Q233" i="103"/>
  <c r="U233" i="103" s="1"/>
  <c r="V233" i="103" s="1"/>
  <c r="W233" i="103" s="1"/>
  <c r="P7" i="103"/>
  <c r="Q7" i="103"/>
  <c r="U7" i="103" s="1"/>
  <c r="V7" i="103" s="1"/>
  <c r="W7" i="103" s="1"/>
  <c r="P159" i="103"/>
  <c r="Q255" i="103"/>
  <c r="U255" i="103" s="1"/>
  <c r="V255" i="103" s="1"/>
  <c r="W255" i="103" s="1"/>
  <c r="Y237" i="103"/>
  <c r="P84" i="103"/>
  <c r="Q84" i="103"/>
  <c r="U84" i="103" s="1"/>
  <c r="V84" i="103" s="1"/>
  <c r="W84" i="103" s="1"/>
  <c r="Y109" i="103"/>
  <c r="AA297" i="103"/>
  <c r="Q217" i="103"/>
  <c r="U217" i="103" s="1"/>
  <c r="V217" i="103" s="1"/>
  <c r="W217" i="103" s="1"/>
  <c r="P217" i="103"/>
  <c r="Y25" i="103"/>
  <c r="AA25" i="103"/>
  <c r="Y162" i="103"/>
  <c r="AA162" i="103"/>
  <c r="Q6" i="103"/>
  <c r="U6" i="103" s="1"/>
  <c r="V6" i="103" s="1"/>
  <c r="W6" i="103" s="1"/>
  <c r="Y295" i="103"/>
  <c r="AA295" i="103"/>
  <c r="Q96" i="103"/>
  <c r="U96" i="103" s="1"/>
  <c r="V96" i="103" s="1"/>
  <c r="W96" i="103" s="1"/>
  <c r="AD252" i="103"/>
  <c r="Q98" i="103"/>
  <c r="U98" i="103" s="1"/>
  <c r="V98" i="103" s="1"/>
  <c r="W98" i="103" s="1"/>
  <c r="AD189" i="103"/>
  <c r="Q220" i="103"/>
  <c r="U220" i="103" s="1"/>
  <c r="V220" i="103" s="1"/>
  <c r="W220" i="103" s="1"/>
  <c r="Q40" i="103"/>
  <c r="U40" i="103" s="1"/>
  <c r="V40" i="103" s="1"/>
  <c r="W40" i="103" s="1"/>
  <c r="AA267" i="103"/>
  <c r="Y56" i="103"/>
  <c r="AD171" i="103"/>
  <c r="P29" i="103"/>
  <c r="L19" i="34"/>
  <c r="P298" i="103"/>
  <c r="Q298" i="103"/>
  <c r="U298" i="103" s="1"/>
  <c r="V298" i="103" s="1"/>
  <c r="W298" i="103" s="1"/>
  <c r="Q305" i="103"/>
  <c r="U305" i="103" s="1"/>
  <c r="V305" i="103" s="1"/>
  <c r="W305" i="103" s="1"/>
  <c r="Q211" i="103"/>
  <c r="U211" i="103" s="1"/>
  <c r="V211" i="103" s="1"/>
  <c r="W211" i="103" s="1"/>
  <c r="AD268" i="103"/>
  <c r="Q165" i="103"/>
  <c r="U165" i="103" s="1"/>
  <c r="V165" i="103" s="1"/>
  <c r="W165" i="103" s="1"/>
  <c r="Q126" i="103"/>
  <c r="U126" i="103" s="1"/>
  <c r="V126" i="103" s="1"/>
  <c r="W126" i="103" s="1"/>
  <c r="AD101" i="103"/>
  <c r="AD159" i="103"/>
  <c r="AD67" i="103"/>
  <c r="AD255" i="103"/>
  <c r="AD337" i="103"/>
  <c r="AD13" i="103"/>
  <c r="AD331" i="103"/>
  <c r="AD38" i="103"/>
  <c r="AD163" i="103"/>
  <c r="AD119" i="103"/>
  <c r="AD237" i="103"/>
  <c r="AD156" i="103"/>
  <c r="AD192" i="103"/>
  <c r="AD201" i="103"/>
  <c r="AD169" i="103"/>
  <c r="AD231" i="103"/>
  <c r="AD40" i="103"/>
  <c r="AD5" i="103"/>
  <c r="AD301" i="103"/>
  <c r="AD226" i="103"/>
  <c r="AD214" i="103"/>
  <c r="AD178" i="103"/>
  <c r="AD225" i="103"/>
  <c r="AD88" i="103"/>
  <c r="AD181" i="103"/>
  <c r="AD17" i="103"/>
  <c r="AD297" i="103"/>
  <c r="AD50" i="103"/>
  <c r="P297" i="103"/>
  <c r="Q215" i="103"/>
  <c r="U215" i="103" s="1"/>
  <c r="V215" i="103" s="1"/>
  <c r="W215" i="103" s="1"/>
  <c r="AD109" i="103"/>
  <c r="Q250" i="103"/>
  <c r="U250" i="103" s="1"/>
  <c r="V250" i="103" s="1"/>
  <c r="W250" i="103" s="1"/>
  <c r="Q89" i="103"/>
  <c r="U89" i="103" s="1"/>
  <c r="V89" i="103" s="1"/>
  <c r="W89" i="103" s="1"/>
  <c r="Q75" i="103"/>
  <c r="U75" i="103" s="1"/>
  <c r="V75" i="103" s="1"/>
  <c r="W75" i="103" s="1"/>
  <c r="P193" i="103"/>
  <c r="P150" i="103"/>
  <c r="Q138" i="103"/>
  <c r="U138" i="103" s="1"/>
  <c r="V138" i="103" s="1"/>
  <c r="W138" i="103" s="1"/>
  <c r="Q116" i="103"/>
  <c r="U116" i="103" s="1"/>
  <c r="V116" i="103" s="1"/>
  <c r="W116" i="103" s="1"/>
  <c r="Q93" i="103"/>
  <c r="U93" i="103" s="1"/>
  <c r="V93" i="103" s="1"/>
  <c r="W93" i="103" s="1"/>
  <c r="P141" i="103"/>
  <c r="P267" i="103"/>
  <c r="AD196" i="103"/>
  <c r="Q248" i="103"/>
  <c r="U248" i="103" s="1"/>
  <c r="V248" i="103" s="1"/>
  <c r="W248" i="103" s="1"/>
  <c r="Q129" i="103"/>
  <c r="U129" i="103" s="1"/>
  <c r="V129" i="103" s="1"/>
  <c r="W129" i="103" s="1"/>
  <c r="P313" i="103"/>
  <c r="Q243" i="103"/>
  <c r="U243" i="103" s="1"/>
  <c r="V243" i="103" s="1"/>
  <c r="W243" i="103" s="1"/>
  <c r="AD129" i="103"/>
  <c r="Q115" i="103"/>
  <c r="U115" i="103" s="1"/>
  <c r="V115" i="103" s="1"/>
  <c r="W115" i="103" s="1"/>
  <c r="Q95" i="103"/>
  <c r="U95" i="103" s="1"/>
  <c r="V95" i="103" s="1"/>
  <c r="W95" i="103" s="1"/>
  <c r="AD220" i="103"/>
  <c r="Q315" i="103"/>
  <c r="U315" i="103" s="1"/>
  <c r="V315" i="103" s="1"/>
  <c r="W315" i="103" s="1"/>
  <c r="P169" i="103"/>
  <c r="Q306" i="103"/>
  <c r="U306" i="103" s="1"/>
  <c r="V306" i="103" s="1"/>
  <c r="W306" i="103" s="1"/>
  <c r="Q26" i="103"/>
  <c r="U26" i="103" s="1"/>
  <c r="V26" i="103" s="1"/>
  <c r="W26" i="103" s="1"/>
  <c r="AD155" i="103"/>
  <c r="AD80" i="103"/>
  <c r="Q232" i="103"/>
  <c r="U232" i="103" s="1"/>
  <c r="V232" i="103" s="1"/>
  <c r="W232" i="103" s="1"/>
  <c r="P232" i="103"/>
  <c r="AD340" i="103"/>
  <c r="Q252" i="103"/>
  <c r="U252" i="103" s="1"/>
  <c r="V252" i="103" s="1"/>
  <c r="W252" i="103" s="1"/>
  <c r="P252" i="103"/>
  <c r="Q289" i="103"/>
  <c r="U289" i="103" s="1"/>
  <c r="V289" i="103" s="1"/>
  <c r="W289" i="103" s="1"/>
  <c r="P289" i="103"/>
  <c r="Q20" i="103"/>
  <c r="U20" i="103" s="1"/>
  <c r="V20" i="103" s="1"/>
  <c r="W20" i="103" s="1"/>
  <c r="Q312" i="103"/>
  <c r="U312" i="103" s="1"/>
  <c r="V312" i="103" s="1"/>
  <c r="W312" i="103" s="1"/>
  <c r="Q151" i="103"/>
  <c r="U151" i="103" s="1"/>
  <c r="V151" i="103" s="1"/>
  <c r="W151" i="103" s="1"/>
  <c r="AD142" i="103"/>
  <c r="Q321" i="103"/>
  <c r="U321" i="103" s="1"/>
  <c r="V321" i="103" s="1"/>
  <c r="W321" i="103" s="1"/>
  <c r="P321" i="103"/>
  <c r="P246" i="103"/>
  <c r="Q301" i="103"/>
  <c r="U301" i="103" s="1"/>
  <c r="V301" i="103" s="1"/>
  <c r="W301" i="103" s="1"/>
  <c r="AD307" i="103"/>
  <c r="Q269" i="103"/>
  <c r="U269" i="103" s="1"/>
  <c r="V269" i="103" s="1"/>
  <c r="W269" i="103" s="1"/>
  <c r="Q118" i="103"/>
  <c r="U118" i="103" s="1"/>
  <c r="V118" i="103" s="1"/>
  <c r="W118" i="103" s="1"/>
  <c r="Q319" i="103"/>
  <c r="U319" i="103" s="1"/>
  <c r="V319" i="103" s="1"/>
  <c r="W319" i="103" s="1"/>
  <c r="Q29" i="103"/>
  <c r="Q187" i="103"/>
  <c r="U187" i="103" s="1"/>
  <c r="V187" i="103" s="1"/>
  <c r="W187" i="103" s="1"/>
  <c r="Q223" i="103"/>
  <c r="U223" i="103" s="1"/>
  <c r="V223" i="103" s="1"/>
  <c r="W223" i="103" s="1"/>
  <c r="AD139" i="103"/>
  <c r="Q103" i="103"/>
  <c r="U103" i="103" s="1"/>
  <c r="V103" i="103" s="1"/>
  <c r="W103" i="103" s="1"/>
  <c r="Q146" i="103"/>
  <c r="U146" i="103" s="1"/>
  <c r="V146" i="103" s="1"/>
  <c r="W146" i="103" s="1"/>
  <c r="AD193" i="103"/>
  <c r="AD61" i="103"/>
  <c r="Q128" i="103"/>
  <c r="U128" i="103" s="1"/>
  <c r="V128" i="103" s="1"/>
  <c r="W128" i="103" s="1"/>
  <c r="Q208" i="103"/>
  <c r="U208" i="103" s="1"/>
  <c r="V208" i="103" s="1"/>
  <c r="W208" i="103" s="1"/>
  <c r="AD289" i="103"/>
  <c r="Q197" i="103"/>
  <c r="U197" i="103" s="1"/>
  <c r="V197" i="103" s="1"/>
  <c r="W197" i="103" s="1"/>
  <c r="AD316" i="103"/>
  <c r="Q272" i="103"/>
  <c r="U272" i="103" s="1"/>
  <c r="V272" i="103" s="1"/>
  <c r="W272" i="103" s="1"/>
  <c r="Q163" i="103"/>
  <c r="U163" i="103" s="1"/>
  <c r="V163" i="103" s="1"/>
  <c r="W163" i="103" s="1"/>
  <c r="Q22" i="103"/>
  <c r="U22" i="103" s="1"/>
  <c r="V22" i="103" s="1"/>
  <c r="W22" i="103" s="1"/>
  <c r="Q317" i="103"/>
  <c r="U317" i="103" s="1"/>
  <c r="V317" i="103" s="1"/>
  <c r="W317" i="103" s="1"/>
  <c r="Q19" i="103"/>
  <c r="U19" i="103" s="1"/>
  <c r="V19" i="103" s="1"/>
  <c r="W19" i="103" s="1"/>
  <c r="Q172" i="103"/>
  <c r="U172" i="103" s="1"/>
  <c r="V172" i="103" s="1"/>
  <c r="W172" i="103" s="1"/>
  <c r="AD174" i="103"/>
  <c r="Q286" i="103"/>
  <c r="U286" i="103" s="1"/>
  <c r="V286" i="103" s="1"/>
  <c r="W286" i="103" s="1"/>
  <c r="Q334" i="103"/>
  <c r="U334" i="103" s="1"/>
  <c r="V334" i="103" s="1"/>
  <c r="W334" i="103" s="1"/>
  <c r="AD128" i="103"/>
  <c r="AD175" i="103"/>
  <c r="AD93" i="103"/>
  <c r="AD122" i="103"/>
  <c r="AD111" i="103"/>
  <c r="AD99" i="103"/>
  <c r="AD285" i="103"/>
  <c r="AD22" i="103"/>
  <c r="AD27" i="103"/>
  <c r="AD176" i="103"/>
  <c r="AD130" i="103"/>
  <c r="AD194" i="103"/>
  <c r="AD11" i="103"/>
  <c r="AD314" i="103"/>
  <c r="AD309" i="103"/>
  <c r="AD29" i="103"/>
  <c r="AD57" i="103"/>
  <c r="AD344" i="103"/>
  <c r="AD326" i="103"/>
  <c r="AD12" i="103"/>
  <c r="AD206" i="103"/>
  <c r="AD69" i="103"/>
  <c r="AD167" i="103"/>
  <c r="AD239" i="103"/>
  <c r="AD115" i="103"/>
  <c r="AD267" i="103"/>
  <c r="AD182" i="103"/>
  <c r="AD47" i="103"/>
  <c r="AD308" i="103"/>
  <c r="AD87" i="103"/>
  <c r="AD83" i="103"/>
  <c r="AD54" i="103"/>
  <c r="AD317" i="103"/>
  <c r="AD290" i="103"/>
  <c r="AD24" i="103"/>
  <c r="AD90" i="103"/>
  <c r="AD152" i="103"/>
  <c r="AD3" i="103"/>
  <c r="AD270" i="103"/>
  <c r="AD39" i="103"/>
  <c r="AD60" i="103"/>
  <c r="AD197" i="103"/>
  <c r="AD136" i="103"/>
  <c r="AD264" i="103"/>
  <c r="AD339" i="103"/>
  <c r="AD118" i="103"/>
  <c r="AD86" i="103"/>
  <c r="AD281" i="103"/>
  <c r="AD323" i="103"/>
  <c r="AD77" i="103"/>
  <c r="AD279" i="103"/>
  <c r="Q270" i="103"/>
  <c r="U270" i="103" s="1"/>
  <c r="V270" i="103" s="1"/>
  <c r="W270" i="103" s="1"/>
  <c r="AD259" i="103"/>
  <c r="AD275" i="103"/>
  <c r="Q130" i="103"/>
  <c r="U130" i="103" s="1"/>
  <c r="V130" i="103" s="1"/>
  <c r="W130" i="103" s="1"/>
  <c r="Q3" i="103"/>
  <c r="U3" i="103" s="1"/>
  <c r="V3" i="103" s="1"/>
  <c r="W3" i="103" s="1"/>
  <c r="AD105" i="103"/>
  <c r="AD20" i="103"/>
  <c r="AD335" i="103"/>
  <c r="AD311" i="103"/>
  <c r="AD235" i="103"/>
  <c r="AD190" i="103"/>
  <c r="P113" i="103"/>
  <c r="Q113" i="103"/>
  <c r="U113" i="103" s="1"/>
  <c r="V113" i="103" s="1"/>
  <c r="W113" i="103" s="1"/>
  <c r="AD274" i="103"/>
  <c r="AD261" i="103"/>
  <c r="AD140" i="103"/>
  <c r="Q241" i="103"/>
  <c r="U241" i="103" s="1"/>
  <c r="V241" i="103" s="1"/>
  <c r="W241" i="103" s="1"/>
  <c r="AD300" i="103"/>
  <c r="Q333" i="103"/>
  <c r="U333" i="103" s="1"/>
  <c r="V333" i="103" s="1"/>
  <c r="W333" i="103" s="1"/>
  <c r="AD315" i="103"/>
  <c r="AD236" i="103"/>
  <c r="AD287" i="103"/>
  <c r="AD271" i="103"/>
  <c r="AD327" i="103"/>
  <c r="Q152" i="103"/>
  <c r="U152" i="103" s="1"/>
  <c r="V152" i="103" s="1"/>
  <c r="W152" i="103" s="1"/>
  <c r="AD330" i="103"/>
  <c r="AD116" i="103"/>
  <c r="AD256" i="103"/>
  <c r="AD45" i="103"/>
  <c r="AD146" i="103"/>
  <c r="AD154" i="103"/>
  <c r="AD30" i="103"/>
  <c r="P133" i="103"/>
  <c r="Q133" i="103"/>
  <c r="U133" i="103" s="1"/>
  <c r="V133" i="103" s="1"/>
  <c r="W133" i="103" s="1"/>
  <c r="AD260" i="103"/>
  <c r="P52" i="103"/>
  <c r="Q52" i="103"/>
  <c r="U52" i="103" s="1"/>
  <c r="V52" i="103" s="1"/>
  <c r="W52" i="103" s="1"/>
  <c r="Q59" i="103"/>
  <c r="U59" i="103" s="1"/>
  <c r="V59" i="103" s="1"/>
  <c r="W59" i="103" s="1"/>
  <c r="AD273" i="103"/>
  <c r="AD18" i="103"/>
  <c r="AD333" i="103"/>
  <c r="AD9" i="103"/>
  <c r="AD251" i="103"/>
  <c r="Q10" i="103"/>
  <c r="U10" i="103" s="1"/>
  <c r="V10" i="103" s="1"/>
  <c r="W10" i="103" s="1"/>
  <c r="AD95" i="103"/>
  <c r="AD243" i="103"/>
  <c r="AD76" i="103"/>
  <c r="AD172" i="103"/>
  <c r="AD114" i="103"/>
  <c r="AD75" i="103"/>
  <c r="AD241" i="103"/>
  <c r="AD230" i="103"/>
  <c r="AD23" i="103"/>
  <c r="AD81" i="103"/>
  <c r="AD158" i="103"/>
  <c r="AD320" i="103"/>
  <c r="Q299" i="103"/>
  <c r="U299" i="103" s="1"/>
  <c r="V299" i="103" s="1"/>
  <c r="W299" i="103" s="1"/>
  <c r="AD263" i="103"/>
  <c r="Q51" i="103"/>
  <c r="U51" i="103" s="1"/>
  <c r="V51" i="103" s="1"/>
  <c r="W51" i="103" s="1"/>
  <c r="Q276" i="103"/>
  <c r="U276" i="103" s="1"/>
  <c r="V276" i="103" s="1"/>
  <c r="W276" i="103" s="1"/>
  <c r="AD160" i="103"/>
  <c r="AD305" i="103"/>
  <c r="AD278" i="103"/>
  <c r="AD113" i="103"/>
  <c r="AD91" i="103"/>
  <c r="AD324" i="103"/>
  <c r="Q46" i="103"/>
  <c r="U46" i="103" s="1"/>
  <c r="V46" i="103" s="1"/>
  <c r="W46" i="103" s="1"/>
  <c r="AD71" i="103"/>
  <c r="AD72" i="103"/>
  <c r="AD64" i="103"/>
  <c r="AD253" i="103"/>
  <c r="AD21" i="103"/>
  <c r="P205" i="103"/>
  <c r="Q205" i="103"/>
  <c r="U205" i="103" s="1"/>
  <c r="V205" i="103" s="1"/>
  <c r="W205" i="103" s="1"/>
  <c r="P224" i="103"/>
  <c r="Q224" i="103"/>
  <c r="U224" i="103" s="1"/>
  <c r="V224" i="103" s="1"/>
  <c r="W224" i="103" s="1"/>
  <c r="Q122" i="103"/>
  <c r="U122" i="103" s="1"/>
  <c r="V122" i="103" s="1"/>
  <c r="W122" i="103" s="1"/>
  <c r="AD282" i="103"/>
  <c r="Q157" i="103"/>
  <c r="U157" i="103" s="1"/>
  <c r="V157" i="103" s="1"/>
  <c r="W157" i="103" s="1"/>
  <c r="Q92" i="103"/>
  <c r="U92" i="103" s="1"/>
  <c r="V92" i="103" s="1"/>
  <c r="W92" i="103" s="1"/>
  <c r="AD299" i="103"/>
  <c r="AD338" i="103"/>
  <c r="AD66" i="103"/>
  <c r="AD59" i="103"/>
  <c r="P324" i="103"/>
  <c r="Q324" i="103"/>
  <c r="U324" i="103" s="1"/>
  <c r="V324" i="103" s="1"/>
  <c r="W324" i="103" s="1"/>
  <c r="AD342" i="103"/>
  <c r="Q15" i="103"/>
  <c r="U15" i="103" s="1"/>
  <c r="V15" i="103" s="1"/>
  <c r="W15" i="103" s="1"/>
  <c r="Q245" i="103"/>
  <c r="U245" i="103" s="1"/>
  <c r="V245" i="103" s="1"/>
  <c r="W245" i="103" s="1"/>
  <c r="Q202" i="103"/>
  <c r="U202" i="103" s="1"/>
  <c r="V202" i="103" s="1"/>
  <c r="W202" i="103" s="1"/>
  <c r="AD312" i="103"/>
  <c r="AD10" i="103"/>
  <c r="Q104" i="103"/>
  <c r="U104" i="103" s="1"/>
  <c r="V104" i="103" s="1"/>
  <c r="W104" i="103" s="1"/>
  <c r="AD51" i="103"/>
  <c r="Q221" i="103"/>
  <c r="U221" i="103" s="1"/>
  <c r="V221" i="103" s="1"/>
  <c r="W221" i="103" s="1"/>
  <c r="Q261" i="103"/>
  <c r="U261" i="103" s="1"/>
  <c r="V261" i="103" s="1"/>
  <c r="W261" i="103" s="1"/>
  <c r="AD48" i="103"/>
  <c r="AD238" i="103"/>
  <c r="AD63" i="103"/>
  <c r="P230" i="103"/>
  <c r="Q230" i="103"/>
  <c r="U230" i="103" s="1"/>
  <c r="V230" i="103" s="1"/>
  <c r="W230" i="103" s="1"/>
  <c r="AD103" i="103"/>
  <c r="P8" i="103"/>
  <c r="Q8" i="103"/>
  <c r="U8" i="103" s="1"/>
  <c r="V8" i="103" s="1"/>
  <c r="W8" i="103" s="1"/>
  <c r="AD272" i="103"/>
  <c r="Q39" i="103"/>
  <c r="U39" i="103" s="1"/>
  <c r="V39" i="103" s="1"/>
  <c r="W39" i="103" s="1"/>
  <c r="AD209" i="103"/>
  <c r="AD269" i="103"/>
  <c r="Q164" i="103"/>
  <c r="U164" i="103" s="1"/>
  <c r="V164" i="103" s="1"/>
  <c r="W164" i="103" s="1"/>
  <c r="Q336" i="103"/>
  <c r="U336" i="103" s="1"/>
  <c r="V336" i="103" s="1"/>
  <c r="W336" i="103" s="1"/>
  <c r="P336" i="103"/>
  <c r="AD288" i="103"/>
  <c r="AD107" i="103"/>
  <c r="Q99" i="103"/>
  <c r="U99" i="103" s="1"/>
  <c r="V99" i="103" s="1"/>
  <c r="W99" i="103" s="1"/>
  <c r="Q200" i="103"/>
  <c r="U200" i="103" s="1"/>
  <c r="V200" i="103" s="1"/>
  <c r="W200" i="103" s="1"/>
  <c r="AD202" i="103"/>
  <c r="AD164" i="103"/>
  <c r="AD143" i="103"/>
  <c r="AD46" i="103"/>
  <c r="AD244" i="103"/>
  <c r="AD306" i="103"/>
  <c r="AD6" i="103"/>
  <c r="AD36" i="103"/>
  <c r="AD284" i="103"/>
  <c r="AD55" i="103"/>
  <c r="AD96" i="103"/>
  <c r="AD157" i="103"/>
  <c r="P32" i="103"/>
  <c r="Q32" i="103"/>
  <c r="U32" i="103" s="1"/>
  <c r="V32" i="103" s="1"/>
  <c r="W32" i="103" s="1"/>
  <c r="AD78" i="103"/>
  <c r="P300" i="103"/>
  <c r="Q300" i="103"/>
  <c r="U300" i="103" s="1"/>
  <c r="V300" i="103" s="1"/>
  <c r="W300" i="103" s="1"/>
  <c r="AD329" i="103"/>
  <c r="AD302" i="103"/>
  <c r="P257" i="103"/>
  <c r="Q257" i="103"/>
  <c r="U257" i="103" s="1"/>
  <c r="V257" i="103" s="1"/>
  <c r="W257" i="103" s="1"/>
  <c r="AD102" i="103"/>
  <c r="AD224" i="103"/>
  <c r="AD35" i="103"/>
  <c r="AD321" i="103"/>
  <c r="Q266" i="103"/>
  <c r="U266" i="103" s="1"/>
  <c r="V266" i="103" s="1"/>
  <c r="W266" i="103" s="1"/>
  <c r="AD148" i="103"/>
  <c r="AD227" i="103"/>
  <c r="AD15" i="103"/>
  <c r="AD34" i="103"/>
  <c r="AD187" i="103"/>
  <c r="AD296" i="103"/>
  <c r="AD42" i="103"/>
  <c r="AD203" i="103"/>
  <c r="AD293" i="103"/>
  <c r="AD266" i="103"/>
  <c r="AD277" i="103"/>
  <c r="AD117" i="103"/>
  <c r="Q27" i="103"/>
  <c r="U27" i="103" s="1"/>
  <c r="V27" i="103" s="1"/>
  <c r="W27" i="103" s="1"/>
  <c r="P62" i="103"/>
  <c r="Q62" i="103"/>
  <c r="U62" i="103" s="1"/>
  <c r="V62" i="103" s="1"/>
  <c r="W62" i="103" s="1"/>
  <c r="Q278" i="103"/>
  <c r="U278" i="103" s="1"/>
  <c r="V278" i="103" s="1"/>
  <c r="W278" i="103" s="1"/>
  <c r="Q288" i="103"/>
  <c r="U288" i="103" s="1"/>
  <c r="V288" i="103" s="1"/>
  <c r="W288" i="103" s="1"/>
  <c r="P288" i="103"/>
  <c r="AD265" i="103"/>
  <c r="Q277" i="103"/>
  <c r="U277" i="103" s="1"/>
  <c r="V277" i="103" s="1"/>
  <c r="W277" i="103" s="1"/>
  <c r="AD341" i="103"/>
  <c r="Q44" i="103"/>
  <c r="U44" i="103" s="1"/>
  <c r="V44" i="103" s="1"/>
  <c r="W44" i="103" s="1"/>
  <c r="AD332" i="103"/>
  <c r="AD221" i="103"/>
  <c r="AD294" i="103"/>
  <c r="AD205" i="103"/>
  <c r="AD41" i="103"/>
  <c r="Q265" i="103"/>
  <c r="U265" i="103" s="1"/>
  <c r="V265" i="103" s="1"/>
  <c r="W265" i="103" s="1"/>
  <c r="AD247" i="103"/>
  <c r="AD215" i="103"/>
  <c r="AD53" i="103"/>
  <c r="AD250" i="103"/>
  <c r="Q188" i="103"/>
  <c r="U188" i="103" s="1"/>
  <c r="V188" i="103" s="1"/>
  <c r="W188" i="103" s="1"/>
  <c r="AD188" i="103"/>
  <c r="Q158" i="103"/>
  <c r="U158" i="103" s="1"/>
  <c r="V158" i="103" s="1"/>
  <c r="W158" i="103" s="1"/>
  <c r="AD240" i="103"/>
  <c r="AD108" i="103"/>
  <c r="AD84" i="103"/>
  <c r="AD33" i="103"/>
  <c r="AD4" i="98"/>
  <c r="Z170" i="98"/>
  <c r="X170" i="98"/>
  <c r="O170" i="98"/>
  <c r="AC170" i="98" s="1"/>
  <c r="AE170" i="98" s="1"/>
  <c r="I170" i="98"/>
  <c r="H170" i="98"/>
  <c r="Z51" i="102"/>
  <c r="X51" i="102"/>
  <c r="I51" i="102"/>
  <c r="H51" i="102"/>
  <c r="P51" i="102" s="1"/>
  <c r="Z50" i="102"/>
  <c r="X50" i="102"/>
  <c r="I50" i="102"/>
  <c r="H50" i="102"/>
  <c r="P50" i="102" s="1"/>
  <c r="Z49" i="102"/>
  <c r="X49" i="102"/>
  <c r="T49" i="102"/>
  <c r="I49" i="102"/>
  <c r="H49" i="102"/>
  <c r="P49" i="102" s="1"/>
  <c r="Z48" i="102"/>
  <c r="X48" i="102"/>
  <c r="I48" i="102"/>
  <c r="H48" i="102"/>
  <c r="P48" i="102" s="1"/>
  <c r="Z47" i="102"/>
  <c r="X47" i="102"/>
  <c r="T47" i="102"/>
  <c r="I47" i="102"/>
  <c r="H47" i="102"/>
  <c r="P47" i="102" s="1"/>
  <c r="Z46" i="102"/>
  <c r="X46" i="102"/>
  <c r="I46" i="102"/>
  <c r="H46" i="102"/>
  <c r="P46" i="102" s="1"/>
  <c r="AB3" i="100" a="1"/>
  <c r="AB3" i="100" s="1"/>
  <c r="AB4" i="100" a="1"/>
  <c r="AB4" i="100" s="1"/>
  <c r="AB5" i="100" a="1"/>
  <c r="AB5" i="100" s="1"/>
  <c r="AB6" i="100" a="1"/>
  <c r="AB6" i="100" s="1"/>
  <c r="AB7" i="100" a="1"/>
  <c r="AB7" i="100" s="1"/>
  <c r="AB8" i="100" a="1"/>
  <c r="AB8" i="100" s="1"/>
  <c r="AB9" i="100" a="1"/>
  <c r="AB9" i="100" s="1"/>
  <c r="AB10" i="100" a="1"/>
  <c r="AB10" i="100" s="1"/>
  <c r="AB11" i="100" a="1"/>
  <c r="AB11" i="100" s="1"/>
  <c r="AB12" i="100" a="1"/>
  <c r="AB12" i="100" s="1"/>
  <c r="AB13" i="100" a="1"/>
  <c r="AB13" i="100" s="1"/>
  <c r="AB14" i="100" a="1"/>
  <c r="AB14" i="100" s="1"/>
  <c r="AB15" i="100" a="1"/>
  <c r="AB15" i="100" s="1"/>
  <c r="AB16" i="100" a="1"/>
  <c r="AB16" i="100" s="1"/>
  <c r="AB17" i="100" a="1"/>
  <c r="AB17" i="100" s="1"/>
  <c r="AB18" i="100" a="1"/>
  <c r="AB18" i="100" s="1"/>
  <c r="AB19" i="100" a="1"/>
  <c r="AB19" i="100" s="1"/>
  <c r="AB20" i="100" a="1"/>
  <c r="AB20" i="100" s="1"/>
  <c r="AB21" i="100" a="1"/>
  <c r="AB21" i="100" s="1"/>
  <c r="AB22" i="100" a="1"/>
  <c r="AB22" i="100" s="1"/>
  <c r="AB23" i="100" a="1"/>
  <c r="AB23" i="100" s="1"/>
  <c r="AB24" i="100" a="1"/>
  <c r="AB24" i="100" s="1"/>
  <c r="AB25" i="100" a="1"/>
  <c r="AB25" i="100" s="1"/>
  <c r="AB26" i="100" a="1"/>
  <c r="AB26" i="100" s="1"/>
  <c r="AB27" i="100" a="1"/>
  <c r="AB27" i="100" s="1"/>
  <c r="AB28" i="100" a="1"/>
  <c r="AB28" i="100" s="1"/>
  <c r="AB29" i="100" a="1"/>
  <c r="AB29" i="100" s="1"/>
  <c r="AB30" i="100" a="1"/>
  <c r="AB30" i="100" s="1"/>
  <c r="AB36" i="100" a="1"/>
  <c r="AB36" i="100" s="1"/>
  <c r="AB37" i="100" a="1"/>
  <c r="AB37" i="100" s="1"/>
  <c r="AB38" i="100" a="1"/>
  <c r="AB38" i="100" s="1"/>
  <c r="AB39" i="100" a="1"/>
  <c r="AB39" i="100" s="1"/>
  <c r="AB40" i="100" a="1"/>
  <c r="AB40" i="100" s="1"/>
  <c r="AB41" i="100" a="1"/>
  <c r="AB41" i="100" s="1"/>
  <c r="AB42" i="100" a="1"/>
  <c r="AB42" i="100" s="1"/>
  <c r="AB43" i="100" a="1"/>
  <c r="AB43" i="100" s="1"/>
  <c r="AB44" i="100" a="1"/>
  <c r="AB44" i="100" s="1"/>
  <c r="AB45" i="100" a="1"/>
  <c r="AB45" i="100" s="1"/>
  <c r="AB46" i="100" a="1"/>
  <c r="AB46" i="100" s="1"/>
  <c r="AB47" i="100" a="1"/>
  <c r="AB47" i="100" s="1"/>
  <c r="AB48" i="100" a="1"/>
  <c r="AB48" i="100" s="1"/>
  <c r="AB49" i="100" a="1"/>
  <c r="AB49" i="100" s="1"/>
  <c r="AB2" i="100" a="1"/>
  <c r="AB2" i="100" s="1"/>
  <c r="Y240" i="103" l="1"/>
  <c r="Y49" i="98"/>
  <c r="Y14" i="98"/>
  <c r="Y34" i="98"/>
  <c r="AA137" i="103"/>
  <c r="AA12" i="96"/>
  <c r="Y41" i="98"/>
  <c r="Y7" i="98"/>
  <c r="Y59" i="98"/>
  <c r="Y6" i="98"/>
  <c r="Y34" i="100"/>
  <c r="Y31" i="100"/>
  <c r="Y45" i="98"/>
  <c r="Y10" i="102"/>
  <c r="Y55" i="98"/>
  <c r="Y62" i="98"/>
  <c r="Y50" i="98"/>
  <c r="Y15" i="98"/>
  <c r="Y52" i="98"/>
  <c r="Y4" i="98"/>
  <c r="Y84" i="98"/>
  <c r="AA84" i="98"/>
  <c r="Y70" i="98"/>
  <c r="AA70" i="98"/>
  <c r="Y80" i="98"/>
  <c r="AA80" i="98"/>
  <c r="Y63" i="98"/>
  <c r="AA63" i="98"/>
  <c r="Y37" i="98"/>
  <c r="AA37" i="98"/>
  <c r="Y79" i="98"/>
  <c r="AA79" i="98"/>
  <c r="Y51" i="98"/>
  <c r="AA51" i="98"/>
  <c r="Y72" i="98"/>
  <c r="AA72" i="98"/>
  <c r="Y81" i="98"/>
  <c r="AA81" i="98"/>
  <c r="Y54" i="98"/>
  <c r="AA54" i="98"/>
  <c r="Y69" i="98"/>
  <c r="Y47" i="98"/>
  <c r="Y16" i="98"/>
  <c r="Y24" i="98"/>
  <c r="Y43" i="98"/>
  <c r="Y39" i="98"/>
  <c r="Y65" i="98"/>
  <c r="Y53" i="98"/>
  <c r="Y28" i="98"/>
  <c r="Y38" i="98"/>
  <c r="Y67" i="98"/>
  <c r="Y26" i="98"/>
  <c r="Y58" i="98"/>
  <c r="Y75" i="98"/>
  <c r="Y36" i="98"/>
  <c r="Y60" i="98"/>
  <c r="Y40" i="98"/>
  <c r="Y46" i="98"/>
  <c r="Y74" i="98"/>
  <c r="Y48" i="98"/>
  <c r="Y68" i="98"/>
  <c r="Y85" i="98"/>
  <c r="Y77" i="98"/>
  <c r="Y61" i="98"/>
  <c r="Y73" i="98"/>
  <c r="Y82" i="98"/>
  <c r="AA13" i="102"/>
  <c r="Y13" i="102"/>
  <c r="Y9" i="103"/>
  <c r="Y173" i="103"/>
  <c r="AA24" i="103"/>
  <c r="AA206" i="103"/>
  <c r="Y167" i="103"/>
  <c r="AA290" i="103"/>
  <c r="Y100" i="103"/>
  <c r="AA18" i="103"/>
  <c r="AA218" i="103"/>
  <c r="Y43" i="103"/>
  <c r="Y33" i="103"/>
  <c r="Y71" i="103"/>
  <c r="Y219" i="103"/>
  <c r="Y227" i="103"/>
  <c r="Y204" i="103"/>
  <c r="AA21" i="103"/>
  <c r="Y54" i="103"/>
  <c r="Y36" i="103"/>
  <c r="Y58" i="103"/>
  <c r="Y329" i="103"/>
  <c r="AA247" i="103"/>
  <c r="Y12" i="103"/>
  <c r="AA35" i="103"/>
  <c r="AA77" i="103"/>
  <c r="Y268" i="103"/>
  <c r="Y309" i="103"/>
  <c r="AA101" i="103"/>
  <c r="AA125" i="103"/>
  <c r="Y91" i="103"/>
  <c r="AA124" i="103"/>
  <c r="AA281" i="103"/>
  <c r="AA280" i="103"/>
  <c r="AA291" i="103"/>
  <c r="Y263" i="103"/>
  <c r="AA326" i="103"/>
  <c r="Y142" i="103"/>
  <c r="AA314" i="103"/>
  <c r="AA308" i="103"/>
  <c r="Y311" i="103"/>
  <c r="AA73" i="103"/>
  <c r="Y42" i="103"/>
  <c r="Y307" i="103"/>
  <c r="AA105" i="103"/>
  <c r="Y121" i="103"/>
  <c r="Y337" i="103"/>
  <c r="Y70" i="103"/>
  <c r="Y2" i="103"/>
  <c r="Y154" i="103"/>
  <c r="AA293" i="103"/>
  <c r="AA234" i="103"/>
  <c r="Y4" i="103"/>
  <c r="Y323" i="103"/>
  <c r="AA64" i="103"/>
  <c r="Y195" i="103"/>
  <c r="Y47" i="103"/>
  <c r="AA332" i="103"/>
  <c r="AA134" i="103"/>
  <c r="Y49" i="103"/>
  <c r="AA76" i="103"/>
  <c r="AA117" i="103"/>
  <c r="Y274" i="103"/>
  <c r="Y66" i="103"/>
  <c r="Y198" i="103"/>
  <c r="AA149" i="103"/>
  <c r="Y344" i="103"/>
  <c r="AA302" i="103"/>
  <c r="AA238" i="103"/>
  <c r="Y60" i="103"/>
  <c r="Y112" i="103"/>
  <c r="AA23" i="103"/>
  <c r="Y275" i="103"/>
  <c r="Y166" i="103"/>
  <c r="AA127" i="103"/>
  <c r="AA37" i="103"/>
  <c r="AA320" i="103"/>
  <c r="Y38" i="103"/>
  <c r="Y264" i="103"/>
  <c r="Y201" i="103"/>
  <c r="AA182" i="103"/>
  <c r="Y160" i="103"/>
  <c r="Y335" i="103"/>
  <c r="Y342" i="103"/>
  <c r="AA148" i="103"/>
  <c r="Y287" i="103"/>
  <c r="AA190" i="103"/>
  <c r="AA14" i="103"/>
  <c r="AA69" i="103"/>
  <c r="AA28" i="103"/>
  <c r="Y83" i="103"/>
  <c r="Y30" i="103"/>
  <c r="Y168" i="103"/>
  <c r="Y87" i="103"/>
  <c r="AA131" i="103"/>
  <c r="AA110" i="103"/>
  <c r="AA57" i="103"/>
  <c r="AA207" i="103"/>
  <c r="Y61" i="103"/>
  <c r="Y50" i="103"/>
  <c r="AA86" i="103"/>
  <c r="AA209" i="103"/>
  <c r="AA88" i="103"/>
  <c r="AA235" i="103"/>
  <c r="Y194" i="103"/>
  <c r="Y90" i="103"/>
  <c r="AA108" i="103"/>
  <c r="Y262" i="103"/>
  <c r="Y106" i="103"/>
  <c r="AA34" i="103"/>
  <c r="Y140" i="103"/>
  <c r="AA222" i="103"/>
  <c r="AA296" i="103"/>
  <c r="AA179" i="103"/>
  <c r="AA339" i="103"/>
  <c r="Y322" i="103"/>
  <c r="AA273" i="103"/>
  <c r="Y94" i="103"/>
  <c r="AA11" i="103"/>
  <c r="AA271" i="103"/>
  <c r="Y271" i="103"/>
  <c r="AA79" i="103"/>
  <c r="Y48" i="103"/>
  <c r="Y294" i="103"/>
  <c r="Y45" i="103"/>
  <c r="Y107" i="103"/>
  <c r="Y178" i="103"/>
  <c r="Y135" i="103"/>
  <c r="Y183" i="103"/>
  <c r="AA136" i="103"/>
  <c r="AA205" i="103"/>
  <c r="Y205" i="103"/>
  <c r="AA272" i="103"/>
  <c r="Y272" i="103"/>
  <c r="Y44" i="103"/>
  <c r="AA44" i="103"/>
  <c r="AA239" i="103"/>
  <c r="Y239" i="103"/>
  <c r="Y315" i="103"/>
  <c r="AA315" i="103"/>
  <c r="Y116" i="103"/>
  <c r="AA116" i="103"/>
  <c r="AA5" i="103"/>
  <c r="Y5" i="103"/>
  <c r="Y208" i="103"/>
  <c r="AA208" i="103"/>
  <c r="AA95" i="103"/>
  <c r="Y95" i="103"/>
  <c r="Y111" i="103"/>
  <c r="AA111" i="103"/>
  <c r="Y282" i="103"/>
  <c r="AA282" i="103"/>
  <c r="Y92" i="103"/>
  <c r="AA92" i="103"/>
  <c r="Y3" i="103"/>
  <c r="AA3" i="103"/>
  <c r="Y128" i="103"/>
  <c r="AA128" i="103"/>
  <c r="Y252" i="103"/>
  <c r="AA252" i="103"/>
  <c r="Y115" i="103"/>
  <c r="AA115" i="103"/>
  <c r="Y98" i="103"/>
  <c r="AA98" i="103"/>
  <c r="AA318" i="103"/>
  <c r="Y318" i="103"/>
  <c r="AA102" i="103"/>
  <c r="Y102" i="103"/>
  <c r="AA328" i="103"/>
  <c r="Y328" i="103"/>
  <c r="AA212" i="103"/>
  <c r="Y212" i="103"/>
  <c r="Y242" i="103"/>
  <c r="AA242" i="103"/>
  <c r="AA236" i="103"/>
  <c r="Y236" i="103"/>
  <c r="Y256" i="103"/>
  <c r="AA256" i="103"/>
  <c r="Y221" i="103"/>
  <c r="AA221" i="103"/>
  <c r="Y211" i="103"/>
  <c r="AA211" i="103"/>
  <c r="AA82" i="103"/>
  <c r="Y82" i="103"/>
  <c r="Y203" i="103"/>
  <c r="AA203" i="103"/>
  <c r="AA8" i="103"/>
  <c r="Y8" i="103"/>
  <c r="AA93" i="103"/>
  <c r="Y93" i="103"/>
  <c r="Y303" i="103"/>
  <c r="AA303" i="103"/>
  <c r="AA118" i="103"/>
  <c r="Y118" i="103"/>
  <c r="Y55" i="103"/>
  <c r="AA55" i="103"/>
  <c r="AA113" i="103"/>
  <c r="Y113" i="103"/>
  <c r="AA334" i="103"/>
  <c r="Y334" i="103"/>
  <c r="AA269" i="103"/>
  <c r="Y269" i="103"/>
  <c r="Y138" i="103"/>
  <c r="AA138" i="103"/>
  <c r="Y67" i="103"/>
  <c r="AA67" i="103"/>
  <c r="Y180" i="103"/>
  <c r="AA180" i="103"/>
  <c r="AA202" i="103"/>
  <c r="Y202" i="103"/>
  <c r="Y276" i="103"/>
  <c r="AA276" i="103"/>
  <c r="AA286" i="103"/>
  <c r="Y286" i="103"/>
  <c r="Y265" i="103"/>
  <c r="AA265" i="103"/>
  <c r="AA288" i="103"/>
  <c r="Y288" i="103"/>
  <c r="Y32" i="103"/>
  <c r="AA32" i="103"/>
  <c r="AA336" i="103"/>
  <c r="Y336" i="103"/>
  <c r="Y230" i="103"/>
  <c r="AA230" i="103"/>
  <c r="AA245" i="103"/>
  <c r="Y245" i="103"/>
  <c r="AA157" i="103"/>
  <c r="Y157" i="103"/>
  <c r="Y51" i="103"/>
  <c r="AA51" i="103"/>
  <c r="AA130" i="103"/>
  <c r="Y130" i="103"/>
  <c r="Y301" i="103"/>
  <c r="AA301" i="103"/>
  <c r="AA285" i="103"/>
  <c r="Y285" i="103"/>
  <c r="Y244" i="103"/>
  <c r="AA244" i="103"/>
  <c r="AA74" i="103"/>
  <c r="Y74" i="103"/>
  <c r="Y176" i="103"/>
  <c r="AA176" i="103"/>
  <c r="AA99" i="103"/>
  <c r="Y99" i="103"/>
  <c r="AA312" i="103"/>
  <c r="Y312" i="103"/>
  <c r="Y6" i="103"/>
  <c r="AA6" i="103"/>
  <c r="AA20" i="103"/>
  <c r="Y20" i="103"/>
  <c r="Y161" i="103"/>
  <c r="AA161" i="103"/>
  <c r="AA251" i="103"/>
  <c r="Y251" i="103"/>
  <c r="Y319" i="103"/>
  <c r="AA319" i="103"/>
  <c r="AA331" i="103"/>
  <c r="Y331" i="103"/>
  <c r="Y300" i="103"/>
  <c r="AA300" i="103"/>
  <c r="AA84" i="103"/>
  <c r="Y84" i="103"/>
  <c r="Y243" i="103"/>
  <c r="AA243" i="103"/>
  <c r="Y96" i="103"/>
  <c r="AA96" i="103"/>
  <c r="Y330" i="103"/>
  <c r="AA330" i="103"/>
  <c r="AA232" i="103"/>
  <c r="Y232" i="103"/>
  <c r="Y299" i="103"/>
  <c r="AA299" i="103"/>
  <c r="AA317" i="103"/>
  <c r="Y317" i="103"/>
  <c r="AA129" i="103"/>
  <c r="Y129" i="103"/>
  <c r="Y97" i="103"/>
  <c r="AA97" i="103"/>
  <c r="Y228" i="103"/>
  <c r="AA228" i="103"/>
  <c r="Y185" i="103"/>
  <c r="AA185" i="103"/>
  <c r="AA52" i="103"/>
  <c r="Y52" i="103"/>
  <c r="Y306" i="103"/>
  <c r="AA306" i="103"/>
  <c r="Y310" i="103"/>
  <c r="AA310" i="103"/>
  <c r="Y258" i="103"/>
  <c r="AA258" i="103"/>
  <c r="AA188" i="103"/>
  <c r="Y188" i="103"/>
  <c r="U29" i="103"/>
  <c r="P19" i="34"/>
  <c r="AA72" i="103"/>
  <c r="Y72" i="103"/>
  <c r="Y266" i="103"/>
  <c r="AA266" i="103"/>
  <c r="AA104" i="103"/>
  <c r="Y104" i="103"/>
  <c r="Y152" i="103"/>
  <c r="AA152" i="103"/>
  <c r="AA298" i="103"/>
  <c r="Y298" i="103"/>
  <c r="Y277" i="103"/>
  <c r="AA277" i="103"/>
  <c r="Y289" i="103"/>
  <c r="AA289" i="103"/>
  <c r="AA13" i="103"/>
  <c r="Y13" i="103"/>
  <c r="Y278" i="103"/>
  <c r="AA278" i="103"/>
  <c r="Y15" i="103"/>
  <c r="AA15" i="103"/>
  <c r="Y46" i="103"/>
  <c r="AA46" i="103"/>
  <c r="Y75" i="103"/>
  <c r="AA75" i="103"/>
  <c r="AA255" i="103"/>
  <c r="Y255" i="103"/>
  <c r="Y53" i="103"/>
  <c r="AA53" i="103"/>
  <c r="AA62" i="103"/>
  <c r="Y62" i="103"/>
  <c r="AA333" i="103"/>
  <c r="Y333" i="103"/>
  <c r="Y146" i="103"/>
  <c r="AA146" i="103"/>
  <c r="AA89" i="103"/>
  <c r="Y89" i="103"/>
  <c r="Y139" i="103"/>
  <c r="AA139" i="103"/>
  <c r="AA257" i="103"/>
  <c r="Y257" i="103"/>
  <c r="AA324" i="103"/>
  <c r="Y324" i="103"/>
  <c r="Y122" i="103"/>
  <c r="AA122" i="103"/>
  <c r="Y103" i="103"/>
  <c r="AA103" i="103"/>
  <c r="AA321" i="103"/>
  <c r="Y321" i="103"/>
  <c r="AA250" i="103"/>
  <c r="Y250" i="103"/>
  <c r="Y7" i="103"/>
  <c r="AA7" i="103"/>
  <c r="AA338" i="103"/>
  <c r="Y338" i="103"/>
  <c r="Y114" i="103"/>
  <c r="AA114" i="103"/>
  <c r="AA27" i="103"/>
  <c r="Y27" i="103"/>
  <c r="AA224" i="103"/>
  <c r="Y224" i="103"/>
  <c r="AA241" i="103"/>
  <c r="Y241" i="103"/>
  <c r="Y270" i="103"/>
  <c r="AA270" i="103"/>
  <c r="AA22" i="103"/>
  <c r="Y22" i="103"/>
  <c r="AA248" i="103"/>
  <c r="Y248" i="103"/>
  <c r="AA165" i="103"/>
  <c r="Y165" i="103"/>
  <c r="Y217" i="103"/>
  <c r="AA217" i="103"/>
  <c r="AA279" i="103"/>
  <c r="Y279" i="103"/>
  <c r="Y147" i="103"/>
  <c r="AA147" i="103"/>
  <c r="Y63" i="103"/>
  <c r="AA63" i="103"/>
  <c r="AA155" i="103"/>
  <c r="Y155" i="103"/>
  <c r="Y187" i="103"/>
  <c r="AA187" i="103"/>
  <c r="Y305" i="103"/>
  <c r="AA305" i="103"/>
  <c r="Y171" i="103"/>
  <c r="AA171" i="103"/>
  <c r="AA10" i="103"/>
  <c r="Y10" i="103"/>
  <c r="Y197" i="103"/>
  <c r="AA197" i="103"/>
  <c r="AA133" i="103"/>
  <c r="Y133" i="103"/>
  <c r="AA196" i="103"/>
  <c r="Y196" i="103"/>
  <c r="Y164" i="103"/>
  <c r="AA164" i="103"/>
  <c r="Y172" i="103"/>
  <c r="AA172" i="103"/>
  <c r="Y40" i="103"/>
  <c r="AA40" i="103"/>
  <c r="Y181" i="103"/>
  <c r="AA181" i="103"/>
  <c r="AA19" i="103"/>
  <c r="Y19" i="103"/>
  <c r="AA126" i="103"/>
  <c r="Y126" i="103"/>
  <c r="Y158" i="103"/>
  <c r="AA158" i="103"/>
  <c r="Y200" i="103"/>
  <c r="AA200" i="103"/>
  <c r="AA39" i="103"/>
  <c r="Y39" i="103"/>
  <c r="Y261" i="103"/>
  <c r="AA261" i="103"/>
  <c r="Y59" i="103"/>
  <c r="AA59" i="103"/>
  <c r="Y163" i="103"/>
  <c r="AA163" i="103"/>
  <c r="Y223" i="103"/>
  <c r="AA223" i="103"/>
  <c r="Y151" i="103"/>
  <c r="AA151" i="103"/>
  <c r="Y26" i="103"/>
  <c r="AA26" i="103"/>
  <c r="AA215" i="103"/>
  <c r="Y215" i="103"/>
  <c r="AA220" i="103"/>
  <c r="Y220" i="103"/>
  <c r="AA233" i="103"/>
  <c r="Y233" i="103"/>
  <c r="U50" i="102"/>
  <c r="V50" i="102" s="1"/>
  <c r="W50" i="102" s="1"/>
  <c r="U49" i="102"/>
  <c r="V49" i="102" s="1"/>
  <c r="W49" i="102" s="1"/>
  <c r="Y49" i="102" s="1"/>
  <c r="T170" i="98"/>
  <c r="N170" i="98"/>
  <c r="P170" i="98" s="1"/>
  <c r="U46" i="102"/>
  <c r="V46" i="102" s="1"/>
  <c r="W46" i="102" s="1"/>
  <c r="T46" i="102"/>
  <c r="AD49" i="102"/>
  <c r="T48" i="102"/>
  <c r="T51" i="102"/>
  <c r="AD46" i="102"/>
  <c r="T50" i="102"/>
  <c r="Q170" i="98" l="1"/>
  <c r="U170" i="98" s="1"/>
  <c r="V170" i="98" s="1"/>
  <c r="W170" i="98" s="1"/>
  <c r="AA170" i="98" s="1"/>
  <c r="V29" i="103"/>
  <c r="W29" i="103" s="1"/>
  <c r="Q19" i="34"/>
  <c r="R19" i="34" s="1"/>
  <c r="T19" i="34" s="1"/>
  <c r="U51" i="102"/>
  <c r="V51" i="102" s="1"/>
  <c r="W51" i="102" s="1"/>
  <c r="AA51" i="102" s="1"/>
  <c r="U47" i="102"/>
  <c r="V47" i="102" s="1"/>
  <c r="W47" i="102" s="1"/>
  <c r="Y47" i="102" s="1"/>
  <c r="U48" i="102"/>
  <c r="V48" i="102" s="1"/>
  <c r="W48" i="102" s="1"/>
  <c r="Y48" i="102" s="1"/>
  <c r="AA49" i="102"/>
  <c r="AD48" i="102"/>
  <c r="AD47" i="102"/>
  <c r="Y50" i="102"/>
  <c r="AA50" i="102"/>
  <c r="AD50" i="102"/>
  <c r="AA46" i="102"/>
  <c r="Y46" i="102"/>
  <c r="AD51" i="102"/>
  <c r="O2" i="102"/>
  <c r="AC2" i="102" s="1"/>
  <c r="AE2" i="102" s="1"/>
  <c r="O19" i="34" l="1"/>
  <c r="N19" i="34" s="1"/>
  <c r="AA29" i="103"/>
  <c r="Y29" i="103"/>
  <c r="Y51" i="102"/>
  <c r="AA47" i="102"/>
  <c r="AA48" i="102"/>
  <c r="Y170" i="98"/>
  <c r="O3" i="98"/>
  <c r="AC3" i="98" s="1"/>
  <c r="AE3" i="98" s="1"/>
  <c r="O5" i="98"/>
  <c r="AC5" i="98" s="1"/>
  <c r="AE5" i="98" s="1"/>
  <c r="O20" i="98"/>
  <c r="AC20" i="98" s="1"/>
  <c r="AE20" i="98" s="1"/>
  <c r="O21" i="98"/>
  <c r="AC21" i="98" s="1"/>
  <c r="AE21" i="98" s="1"/>
  <c r="O35" i="98"/>
  <c r="AC35" i="98" s="1"/>
  <c r="AE35" i="98" s="1"/>
  <c r="O86" i="98"/>
  <c r="AC86" i="98" s="1"/>
  <c r="AE86" i="98" s="1"/>
  <c r="O87" i="98"/>
  <c r="AC87" i="98" s="1"/>
  <c r="AE87" i="98" s="1"/>
  <c r="O88" i="98"/>
  <c r="AC88" i="98" s="1"/>
  <c r="AE88" i="98" s="1"/>
  <c r="O89" i="98"/>
  <c r="AC89" i="98" s="1"/>
  <c r="AE89" i="98" s="1"/>
  <c r="O90" i="98"/>
  <c r="AC90" i="98" s="1"/>
  <c r="AE90" i="98" s="1"/>
  <c r="O91" i="98"/>
  <c r="AC91" i="98" s="1"/>
  <c r="AE91" i="98" s="1"/>
  <c r="O92" i="98"/>
  <c r="AC92" i="98" s="1"/>
  <c r="AE92" i="98" s="1"/>
  <c r="O93" i="98"/>
  <c r="AC93" i="98" s="1"/>
  <c r="AE93" i="98" s="1"/>
  <c r="O94" i="98"/>
  <c r="AC94" i="98" s="1"/>
  <c r="AE94" i="98" s="1"/>
  <c r="O95" i="98"/>
  <c r="AC95" i="98" s="1"/>
  <c r="AE95" i="98" s="1"/>
  <c r="O96" i="98"/>
  <c r="AC96" i="98" s="1"/>
  <c r="AE96" i="98" s="1"/>
  <c r="O97" i="98"/>
  <c r="AC97" i="98" s="1"/>
  <c r="AE97" i="98" s="1"/>
  <c r="O98" i="98"/>
  <c r="AC98" i="98" s="1"/>
  <c r="AE98" i="98" s="1"/>
  <c r="O99" i="98"/>
  <c r="AC99" i="98" s="1"/>
  <c r="AE99" i="98" s="1"/>
  <c r="O100" i="98"/>
  <c r="AC100" i="98" s="1"/>
  <c r="AE100" i="98" s="1"/>
  <c r="O101" i="98"/>
  <c r="AC101" i="98" s="1"/>
  <c r="AE101" i="98" s="1"/>
  <c r="O102" i="98"/>
  <c r="AC102" i="98" s="1"/>
  <c r="AE102" i="98" s="1"/>
  <c r="O103" i="98"/>
  <c r="AC103" i="98" s="1"/>
  <c r="AE103" i="98" s="1"/>
  <c r="O104" i="98"/>
  <c r="AC104" i="98" s="1"/>
  <c r="AE104" i="98" s="1"/>
  <c r="O105" i="98"/>
  <c r="AC105" i="98" s="1"/>
  <c r="AE105" i="98" s="1"/>
  <c r="O106" i="98"/>
  <c r="AC106" i="98" s="1"/>
  <c r="AE106" i="98" s="1"/>
  <c r="O107" i="98"/>
  <c r="AC107" i="98" s="1"/>
  <c r="AE107" i="98" s="1"/>
  <c r="O108" i="98"/>
  <c r="AC108" i="98" s="1"/>
  <c r="AE108" i="98" s="1"/>
  <c r="O109" i="98"/>
  <c r="AC109" i="98" s="1"/>
  <c r="AE109" i="98" s="1"/>
  <c r="O110" i="98"/>
  <c r="AC110" i="98" s="1"/>
  <c r="AE110" i="98" s="1"/>
  <c r="O111" i="98"/>
  <c r="AC111" i="98" s="1"/>
  <c r="AE111" i="98" s="1"/>
  <c r="O112" i="98"/>
  <c r="AC112" i="98" s="1"/>
  <c r="AE112" i="98" s="1"/>
  <c r="O113" i="98"/>
  <c r="AC113" i="98" s="1"/>
  <c r="AE113" i="98" s="1"/>
  <c r="O114" i="98"/>
  <c r="AC114" i="98" s="1"/>
  <c r="AE114" i="98" s="1"/>
  <c r="O115" i="98"/>
  <c r="AC115" i="98" s="1"/>
  <c r="AE115" i="98" s="1"/>
  <c r="O116" i="98"/>
  <c r="AC116" i="98" s="1"/>
  <c r="AE116" i="98" s="1"/>
  <c r="O117" i="98"/>
  <c r="AC117" i="98" s="1"/>
  <c r="AE117" i="98" s="1"/>
  <c r="O118" i="98"/>
  <c r="AC118" i="98" s="1"/>
  <c r="AE118" i="98" s="1"/>
  <c r="O119" i="98"/>
  <c r="AC119" i="98" s="1"/>
  <c r="AE119" i="98" s="1"/>
  <c r="O120" i="98"/>
  <c r="AC120" i="98" s="1"/>
  <c r="AE120" i="98" s="1"/>
  <c r="O121" i="98"/>
  <c r="AC121" i="98" s="1"/>
  <c r="AE121" i="98" s="1"/>
  <c r="O122" i="98"/>
  <c r="AC122" i="98" s="1"/>
  <c r="AE122" i="98" s="1"/>
  <c r="O123" i="98"/>
  <c r="AC123" i="98" s="1"/>
  <c r="AE123" i="98" s="1"/>
  <c r="O124" i="98"/>
  <c r="AC124" i="98" s="1"/>
  <c r="AE124" i="98" s="1"/>
  <c r="O125" i="98"/>
  <c r="AC125" i="98" s="1"/>
  <c r="AE125" i="98" s="1"/>
  <c r="O126" i="98"/>
  <c r="AC126" i="98" s="1"/>
  <c r="AE126" i="98" s="1"/>
  <c r="O127" i="98"/>
  <c r="AC127" i="98" s="1"/>
  <c r="AE127" i="98" s="1"/>
  <c r="O128" i="98"/>
  <c r="AC128" i="98" s="1"/>
  <c r="AE128" i="98" s="1"/>
  <c r="O129" i="98"/>
  <c r="AC129" i="98" s="1"/>
  <c r="AE129" i="98" s="1"/>
  <c r="O130" i="98"/>
  <c r="AC130" i="98" s="1"/>
  <c r="AE130" i="98" s="1"/>
  <c r="O131" i="98"/>
  <c r="AC131" i="98" s="1"/>
  <c r="AE131" i="98" s="1"/>
  <c r="O132" i="98"/>
  <c r="AC132" i="98" s="1"/>
  <c r="AE132" i="98" s="1"/>
  <c r="O133" i="98"/>
  <c r="AC133" i="98" s="1"/>
  <c r="AE133" i="98" s="1"/>
  <c r="O134" i="98"/>
  <c r="AC134" i="98" s="1"/>
  <c r="AE134" i="98" s="1"/>
  <c r="O135" i="98"/>
  <c r="AC135" i="98" s="1"/>
  <c r="AE135" i="98" s="1"/>
  <c r="O136" i="98"/>
  <c r="AC136" i="98" s="1"/>
  <c r="AE136" i="98" s="1"/>
  <c r="O137" i="98"/>
  <c r="AC137" i="98" s="1"/>
  <c r="AE137" i="98" s="1"/>
  <c r="O138" i="98"/>
  <c r="AC138" i="98" s="1"/>
  <c r="AE138" i="98" s="1"/>
  <c r="O139" i="98"/>
  <c r="AC139" i="98" s="1"/>
  <c r="AE139" i="98" s="1"/>
  <c r="O140" i="98"/>
  <c r="AC140" i="98" s="1"/>
  <c r="AE140" i="98" s="1"/>
  <c r="O141" i="98"/>
  <c r="AC141" i="98" s="1"/>
  <c r="AE141" i="98" s="1"/>
  <c r="O142" i="98"/>
  <c r="AC142" i="98" s="1"/>
  <c r="AE142" i="98" s="1"/>
  <c r="O143" i="98"/>
  <c r="AC143" i="98" s="1"/>
  <c r="AE143" i="98" s="1"/>
  <c r="O144" i="98"/>
  <c r="AC144" i="98" s="1"/>
  <c r="AE144" i="98" s="1"/>
  <c r="O145" i="98"/>
  <c r="AC145" i="98" s="1"/>
  <c r="AE145" i="98" s="1"/>
  <c r="O146" i="98"/>
  <c r="AC146" i="98" s="1"/>
  <c r="AE146" i="98" s="1"/>
  <c r="O147" i="98"/>
  <c r="AC147" i="98" s="1"/>
  <c r="AE147" i="98" s="1"/>
  <c r="O148" i="98"/>
  <c r="AC148" i="98" s="1"/>
  <c r="AE148" i="98" s="1"/>
  <c r="O149" i="98"/>
  <c r="AC149" i="98" s="1"/>
  <c r="AE149" i="98" s="1"/>
  <c r="O150" i="98"/>
  <c r="AC150" i="98" s="1"/>
  <c r="AE150" i="98" s="1"/>
  <c r="O151" i="98"/>
  <c r="AC151" i="98" s="1"/>
  <c r="AE151" i="98" s="1"/>
  <c r="O152" i="98"/>
  <c r="AC152" i="98" s="1"/>
  <c r="AE152" i="98" s="1"/>
  <c r="O153" i="98"/>
  <c r="AC153" i="98" s="1"/>
  <c r="AE153" i="98" s="1"/>
  <c r="O154" i="98"/>
  <c r="AC154" i="98" s="1"/>
  <c r="AE154" i="98" s="1"/>
  <c r="O155" i="98"/>
  <c r="AC155" i="98" s="1"/>
  <c r="AE155" i="98" s="1"/>
  <c r="O156" i="98"/>
  <c r="AC156" i="98" s="1"/>
  <c r="AE156" i="98" s="1"/>
  <c r="O157" i="98"/>
  <c r="AC157" i="98" s="1"/>
  <c r="AE157" i="98" s="1"/>
  <c r="O158" i="98"/>
  <c r="AC158" i="98" s="1"/>
  <c r="AE158" i="98" s="1"/>
  <c r="O159" i="98"/>
  <c r="AC159" i="98" s="1"/>
  <c r="AE159" i="98" s="1"/>
  <c r="O160" i="98"/>
  <c r="AC160" i="98" s="1"/>
  <c r="AE160" i="98" s="1"/>
  <c r="O161" i="98"/>
  <c r="AC161" i="98" s="1"/>
  <c r="AE161" i="98" s="1"/>
  <c r="O162" i="98"/>
  <c r="AC162" i="98" s="1"/>
  <c r="AE162" i="98" s="1"/>
  <c r="O163" i="98"/>
  <c r="AC163" i="98" s="1"/>
  <c r="AE163" i="98" s="1"/>
  <c r="O164" i="98"/>
  <c r="AC164" i="98" s="1"/>
  <c r="AE164" i="98" s="1"/>
  <c r="O165" i="98"/>
  <c r="AC165" i="98" s="1"/>
  <c r="AE165" i="98" s="1"/>
  <c r="O166" i="98"/>
  <c r="AC166" i="98" s="1"/>
  <c r="AE166" i="98" s="1"/>
  <c r="O167" i="98"/>
  <c r="AC167" i="98" s="1"/>
  <c r="AE167" i="98" s="1"/>
  <c r="O168" i="98"/>
  <c r="AC168" i="98" s="1"/>
  <c r="AE168" i="98" s="1"/>
  <c r="O169" i="98"/>
  <c r="AC169" i="98" s="1"/>
  <c r="AE169" i="98" s="1"/>
  <c r="O171" i="98"/>
  <c r="AC171" i="98" s="1"/>
  <c r="AE171" i="98" s="1"/>
  <c r="AB86" i="98"/>
  <c r="Z86" i="98"/>
  <c r="X86" i="98"/>
  <c r="I86" i="98"/>
  <c r="H86" i="98"/>
  <c r="Z17" i="100"/>
  <c r="X17" i="100"/>
  <c r="I17" i="100"/>
  <c r="H17" i="100"/>
  <c r="P17" i="100" s="1"/>
  <c r="Z16" i="100"/>
  <c r="X16" i="100"/>
  <c r="I16" i="100"/>
  <c r="H16" i="100"/>
  <c r="P16" i="100" s="1"/>
  <c r="Z15" i="100"/>
  <c r="X15" i="100"/>
  <c r="T15" i="100"/>
  <c r="I15" i="100"/>
  <c r="H15" i="100"/>
  <c r="P15" i="100" s="1"/>
  <c r="Z14" i="100"/>
  <c r="X14" i="100"/>
  <c r="I14" i="100"/>
  <c r="H14" i="100"/>
  <c r="P14" i="100" s="1"/>
  <c r="Z13" i="100"/>
  <c r="X13" i="100"/>
  <c r="I13" i="100"/>
  <c r="H13" i="100"/>
  <c r="P13" i="100" s="1"/>
  <c r="Z12" i="100"/>
  <c r="X12" i="100"/>
  <c r="I12" i="100"/>
  <c r="H12" i="100"/>
  <c r="P12" i="100" s="1"/>
  <c r="Z11" i="100"/>
  <c r="X11" i="100"/>
  <c r="I11" i="100"/>
  <c r="H11" i="100"/>
  <c r="P11" i="100" s="1"/>
  <c r="Z10" i="100"/>
  <c r="X10" i="100"/>
  <c r="I10" i="100"/>
  <c r="H10" i="100"/>
  <c r="P10" i="100" s="1"/>
  <c r="Z9" i="100"/>
  <c r="X9" i="100"/>
  <c r="I9" i="100"/>
  <c r="H9" i="100"/>
  <c r="P9" i="100" s="1"/>
  <c r="T17" i="100" l="1"/>
  <c r="T10" i="100"/>
  <c r="N93" i="98"/>
  <c r="Q93" i="98" s="1"/>
  <c r="N89" i="98"/>
  <c r="Q89" i="98" s="1"/>
  <c r="N3" i="98"/>
  <c r="Q3" i="98" s="1"/>
  <c r="N144" i="98"/>
  <c r="Q144" i="98" s="1"/>
  <c r="N161" i="98"/>
  <c r="Q161" i="98" s="1"/>
  <c r="N149" i="98"/>
  <c r="Q149" i="98" s="1"/>
  <c r="N137" i="98"/>
  <c r="Q137" i="98" s="1"/>
  <c r="N125" i="98"/>
  <c r="Q125" i="98" s="1"/>
  <c r="N113" i="98"/>
  <c r="Q113" i="98" s="1"/>
  <c r="N101" i="98"/>
  <c r="Q101" i="98" s="1"/>
  <c r="N90" i="98"/>
  <c r="Q90" i="98" s="1"/>
  <c r="N165" i="98"/>
  <c r="Q165" i="98" s="1"/>
  <c r="N117" i="98"/>
  <c r="Q117" i="98" s="1"/>
  <c r="N169" i="98"/>
  <c r="Q169" i="98" s="1"/>
  <c r="N96" i="98"/>
  <c r="Q96" i="98" s="1"/>
  <c r="N141" i="98"/>
  <c r="Q141" i="98" s="1"/>
  <c r="N114" i="98"/>
  <c r="Q114" i="98" s="1"/>
  <c r="N21" i="98"/>
  <c r="Q21" i="98" s="1"/>
  <c r="N102" i="98"/>
  <c r="Q102" i="98" s="1"/>
  <c r="N168" i="98"/>
  <c r="Q168" i="98" s="1"/>
  <c r="N140" i="98"/>
  <c r="Q140" i="98" s="1"/>
  <c r="N129" i="98"/>
  <c r="Q129" i="98" s="1"/>
  <c r="N162" i="98"/>
  <c r="Q162" i="98" s="1"/>
  <c r="N167" i="98"/>
  <c r="Q167" i="98" s="1"/>
  <c r="N128" i="98"/>
  <c r="Q128" i="98" s="1"/>
  <c r="N138" i="98"/>
  <c r="Q138" i="98" s="1"/>
  <c r="N166" i="98"/>
  <c r="Q166" i="98" s="1"/>
  <c r="N160" i="98"/>
  <c r="Q160" i="98" s="1"/>
  <c r="N143" i="98"/>
  <c r="Q143" i="98" s="1"/>
  <c r="N132" i="98"/>
  <c r="Q132" i="98" s="1"/>
  <c r="N121" i="98"/>
  <c r="Q121" i="98" s="1"/>
  <c r="N99" i="98"/>
  <c r="Q99" i="98" s="1"/>
  <c r="N153" i="98"/>
  <c r="Q153" i="98" s="1"/>
  <c r="N120" i="98"/>
  <c r="Q120" i="98" s="1"/>
  <c r="N119" i="98"/>
  <c r="Q119" i="98" s="1"/>
  <c r="N108" i="98"/>
  <c r="Q108" i="98" s="1"/>
  <c r="N124" i="98"/>
  <c r="Q124" i="98" s="1"/>
  <c r="N20" i="98"/>
  <c r="Q20" i="98" s="1"/>
  <c r="N156" i="98"/>
  <c r="Q156" i="98" s="1"/>
  <c r="N150" i="98"/>
  <c r="Q150" i="98" s="1"/>
  <c r="N100" i="98"/>
  <c r="Q100" i="98" s="1"/>
  <c r="N95" i="98"/>
  <c r="Q95" i="98" s="1"/>
  <c r="N148" i="98"/>
  <c r="Q148" i="98" s="1"/>
  <c r="N158" i="98"/>
  <c r="Q158" i="98" s="1"/>
  <c r="N155" i="98"/>
  <c r="Q155" i="98" s="1"/>
  <c r="N151" i="98"/>
  <c r="Q151" i="98" s="1"/>
  <c r="N136" i="98"/>
  <c r="Q136" i="98" s="1"/>
  <c r="N105" i="98"/>
  <c r="Q105" i="98" s="1"/>
  <c r="N112" i="98"/>
  <c r="Q112" i="98" s="1"/>
  <c r="N154" i="98"/>
  <c r="Q154" i="98" s="1"/>
  <c r="N146" i="98"/>
  <c r="Q146" i="98" s="1"/>
  <c r="N139" i="98"/>
  <c r="Q139" i="98" s="1"/>
  <c r="N88" i="98"/>
  <c r="Q88" i="98" s="1"/>
  <c r="N157" i="98"/>
  <c r="Q157" i="98" s="1"/>
  <c r="N127" i="98"/>
  <c r="Q127" i="98" s="1"/>
  <c r="N115" i="98"/>
  <c r="Q115" i="98" s="1"/>
  <c r="N92" i="98"/>
  <c r="Q92" i="98" s="1"/>
  <c r="N131" i="98"/>
  <c r="Q131" i="98" s="1"/>
  <c r="N111" i="98"/>
  <c r="Q111" i="98" s="1"/>
  <c r="N107" i="98"/>
  <c r="Q107" i="98" s="1"/>
  <c r="N164" i="98"/>
  <c r="Q164" i="98" s="1"/>
  <c r="N142" i="98"/>
  <c r="Q142" i="98" s="1"/>
  <c r="N134" i="98"/>
  <c r="Q134" i="98" s="1"/>
  <c r="N118" i="98"/>
  <c r="Q118" i="98" s="1"/>
  <c r="N5" i="98"/>
  <c r="Q5" i="98" s="1"/>
  <c r="N145" i="98"/>
  <c r="Q145" i="98" s="1"/>
  <c r="N130" i="98"/>
  <c r="Q130" i="98" s="1"/>
  <c r="N126" i="98"/>
  <c r="Q126" i="98" s="1"/>
  <c r="N86" i="98"/>
  <c r="Q86" i="98" s="1"/>
  <c r="N171" i="98"/>
  <c r="Q171" i="98" s="1"/>
  <c r="N163" i="98"/>
  <c r="Q163" i="98" s="1"/>
  <c r="N152" i="98"/>
  <c r="Q152" i="98" s="1"/>
  <c r="N98" i="98"/>
  <c r="Q98" i="98" s="1"/>
  <c r="N133" i="98"/>
  <c r="Q133" i="98" s="1"/>
  <c r="N109" i="98"/>
  <c r="Q109" i="98" s="1"/>
  <c r="N35" i="98"/>
  <c r="Q35" i="98" s="1"/>
  <c r="N123" i="98"/>
  <c r="Q123" i="98" s="1"/>
  <c r="N104" i="98"/>
  <c r="Q104" i="98" s="1"/>
  <c r="N94" i="98"/>
  <c r="Q94" i="98" s="1"/>
  <c r="N91" i="98"/>
  <c r="Q91" i="98" s="1"/>
  <c r="N110" i="98"/>
  <c r="Q110" i="98" s="1"/>
  <c r="N97" i="98"/>
  <c r="Q97" i="98" s="1"/>
  <c r="N159" i="98"/>
  <c r="Q159" i="98" s="1"/>
  <c r="N147" i="98"/>
  <c r="Q147" i="98" s="1"/>
  <c r="N135" i="98"/>
  <c r="Q135" i="98" s="1"/>
  <c r="N116" i="98"/>
  <c r="Q116" i="98" s="1"/>
  <c r="N106" i="98"/>
  <c r="Q106" i="98" s="1"/>
  <c r="N103" i="98"/>
  <c r="Q103" i="98" s="1"/>
  <c r="N87" i="98"/>
  <c r="Q87" i="98" s="1"/>
  <c r="N122" i="98"/>
  <c r="Q122" i="98" s="1"/>
  <c r="T86" i="98"/>
  <c r="U14" i="100"/>
  <c r="V14" i="100" s="1"/>
  <c r="W14" i="100" s="1"/>
  <c r="U17" i="100"/>
  <c r="V17" i="100" s="1"/>
  <c r="W17" i="100" s="1"/>
  <c r="U15" i="100"/>
  <c r="V15" i="100" s="1"/>
  <c r="W15" i="100" s="1"/>
  <c r="U10" i="100"/>
  <c r="V10" i="100" s="1"/>
  <c r="W10" i="100" s="1"/>
  <c r="AD12" i="100"/>
  <c r="AD10" i="100"/>
  <c r="T12" i="100"/>
  <c r="U9" i="100"/>
  <c r="V9" i="100" s="1"/>
  <c r="W9" i="100" s="1"/>
  <c r="T14" i="100"/>
  <c r="U16" i="100"/>
  <c r="V16" i="100" s="1"/>
  <c r="W16" i="100" s="1"/>
  <c r="T9" i="100"/>
  <c r="U11" i="100"/>
  <c r="V11" i="100" s="1"/>
  <c r="W11" i="100" s="1"/>
  <c r="T16" i="100"/>
  <c r="T11" i="100"/>
  <c r="U13" i="100"/>
  <c r="V13" i="100" s="1"/>
  <c r="W13" i="100" s="1"/>
  <c r="T13" i="100"/>
  <c r="AD17" i="100"/>
  <c r="P86" i="98" l="1"/>
  <c r="U12" i="100"/>
  <c r="V12" i="100" s="1"/>
  <c r="W12" i="100" s="1"/>
  <c r="AA12" i="100" s="1"/>
  <c r="U86" i="98"/>
  <c r="V86" i="98" s="1"/>
  <c r="W86" i="98" s="1"/>
  <c r="AA86" i="98" s="1"/>
  <c r="AD86" i="98"/>
  <c r="AA15" i="100"/>
  <c r="Y15" i="100"/>
  <c r="AD15" i="100"/>
  <c r="AD16" i="100"/>
  <c r="Y16" i="100"/>
  <c r="AA16" i="100"/>
  <c r="AA14" i="100"/>
  <c r="Y14" i="100"/>
  <c r="Y11" i="100"/>
  <c r="AA11" i="100"/>
  <c r="AA17" i="100"/>
  <c r="Y17" i="100"/>
  <c r="AA9" i="100"/>
  <c r="Y9" i="100"/>
  <c r="AA13" i="100"/>
  <c r="Y13" i="100"/>
  <c r="AD13" i="100"/>
  <c r="AD14" i="100"/>
  <c r="AD11" i="100"/>
  <c r="AA10" i="100"/>
  <c r="Y10" i="100"/>
  <c r="AD9" i="100"/>
  <c r="Y12" i="100" l="1"/>
  <c r="Y86" i="98"/>
  <c r="O3" i="100" l="1"/>
  <c r="AC3" i="100" s="1"/>
  <c r="AE3" i="100" s="1"/>
  <c r="R3" i="100"/>
  <c r="AD4" i="100"/>
  <c r="T5" i="100"/>
  <c r="T7" i="100"/>
  <c r="T8" i="100"/>
  <c r="T20" i="100"/>
  <c r="T21" i="100"/>
  <c r="T23" i="100"/>
  <c r="T25" i="100"/>
  <c r="T26" i="100"/>
  <c r="T29" i="100"/>
  <c r="AD36" i="100"/>
  <c r="T40" i="100"/>
  <c r="T44" i="100"/>
  <c r="T45" i="100"/>
  <c r="T49" i="100"/>
  <c r="N3" i="65"/>
  <c r="M3" i="65"/>
  <c r="AB18" i="65"/>
  <c r="AA18" i="65"/>
  <c r="AC9" i="65"/>
  <c r="AB9" i="65"/>
  <c r="L3" i="65"/>
  <c r="R2" i="100"/>
  <c r="H47" i="100"/>
  <c r="P47" i="100" s="1"/>
  <c r="H48" i="100"/>
  <c r="P48" i="100" s="1"/>
  <c r="O2" i="100"/>
  <c r="AC2" i="100" s="1"/>
  <c r="AE2" i="100" s="1"/>
  <c r="H2" i="100"/>
  <c r="H5" i="100"/>
  <c r="P5" i="100" s="1"/>
  <c r="H3" i="100"/>
  <c r="H18" i="100"/>
  <c r="P18" i="100" s="1"/>
  <c r="H6" i="100"/>
  <c r="P6" i="100" s="1"/>
  <c r="H7" i="100"/>
  <c r="P7" i="100" s="1"/>
  <c r="H19" i="100"/>
  <c r="P19" i="100" s="1"/>
  <c r="H26" i="100"/>
  <c r="P26" i="100" s="1"/>
  <c r="H8" i="100"/>
  <c r="P8" i="100" s="1"/>
  <c r="H27" i="100"/>
  <c r="P27" i="100" s="1"/>
  <c r="H41" i="100"/>
  <c r="P41" i="100" s="1"/>
  <c r="H21" i="100"/>
  <c r="P21" i="100" s="1"/>
  <c r="H28" i="100"/>
  <c r="P28" i="100" s="1"/>
  <c r="H23" i="100"/>
  <c r="P23" i="100" s="1"/>
  <c r="H20" i="100"/>
  <c r="P20" i="100" s="1"/>
  <c r="H22" i="100"/>
  <c r="P22" i="100" s="1"/>
  <c r="H43" i="100"/>
  <c r="P43" i="100" s="1"/>
  <c r="H45" i="100"/>
  <c r="P45" i="100" s="1"/>
  <c r="H39" i="100"/>
  <c r="P39" i="100" s="1"/>
  <c r="H29" i="100"/>
  <c r="P29" i="100" s="1"/>
  <c r="H37" i="100"/>
  <c r="P37" i="100" s="1"/>
  <c r="H44" i="100"/>
  <c r="P44" i="100" s="1"/>
  <c r="H46" i="100"/>
  <c r="P46" i="100" s="1"/>
  <c r="H25" i="100"/>
  <c r="P25" i="100" s="1"/>
  <c r="H40" i="100"/>
  <c r="P40" i="100" s="1"/>
  <c r="H30" i="100"/>
  <c r="P30" i="100" s="1"/>
  <c r="H38" i="100"/>
  <c r="P38" i="100" s="1"/>
  <c r="H36" i="100"/>
  <c r="P36" i="100" s="1"/>
  <c r="H42" i="100"/>
  <c r="P42" i="100" s="1"/>
  <c r="H24" i="100"/>
  <c r="P24" i="100" s="1"/>
  <c r="H4" i="100"/>
  <c r="P4" i="100" s="1"/>
  <c r="AB89" i="98"/>
  <c r="Z89" i="98"/>
  <c r="X89" i="98"/>
  <c r="T89" i="98"/>
  <c r="I89" i="98"/>
  <c r="H89" i="98"/>
  <c r="P89" i="98" s="1"/>
  <c r="AB88" i="98"/>
  <c r="Z88" i="98"/>
  <c r="X88" i="98"/>
  <c r="T88" i="98"/>
  <c r="I88" i="98"/>
  <c r="H88" i="98"/>
  <c r="P88" i="98" s="1"/>
  <c r="AB87" i="98"/>
  <c r="Z87" i="98"/>
  <c r="X87" i="98"/>
  <c r="I87" i="98"/>
  <c r="H87" i="98"/>
  <c r="P87" i="98" s="1"/>
  <c r="AB35" i="98"/>
  <c r="Z35" i="98"/>
  <c r="X35" i="98"/>
  <c r="T35" i="98"/>
  <c r="I35" i="98"/>
  <c r="H35" i="98"/>
  <c r="P35" i="98" s="1"/>
  <c r="AB21" i="98"/>
  <c r="Z21" i="98"/>
  <c r="X21" i="98"/>
  <c r="I21" i="98"/>
  <c r="H21" i="98"/>
  <c r="P21" i="98" s="1"/>
  <c r="T20" i="98"/>
  <c r="T90" i="98"/>
  <c r="T91" i="98"/>
  <c r="T92" i="98"/>
  <c r="T94" i="98"/>
  <c r="T97" i="98"/>
  <c r="T100" i="98"/>
  <c r="T101" i="98"/>
  <c r="T103" i="98"/>
  <c r="T104" i="98"/>
  <c r="T105" i="98"/>
  <c r="T110" i="98"/>
  <c r="T116" i="98"/>
  <c r="T122" i="98"/>
  <c r="T124" i="98"/>
  <c r="T125" i="98"/>
  <c r="T128" i="98"/>
  <c r="T129" i="98"/>
  <c r="T130" i="98"/>
  <c r="T137" i="98"/>
  <c r="T138" i="98"/>
  <c r="T141" i="98"/>
  <c r="T143" i="98"/>
  <c r="T146" i="98"/>
  <c r="T150" i="98"/>
  <c r="T155" i="98"/>
  <c r="T159" i="98"/>
  <c r="T164" i="98"/>
  <c r="T165" i="98"/>
  <c r="T167" i="98"/>
  <c r="Z3" i="100"/>
  <c r="X3" i="100"/>
  <c r="I3" i="100"/>
  <c r="H27" i="56"/>
  <c r="H26" i="56"/>
  <c r="H25" i="56"/>
  <c r="H24" i="56"/>
  <c r="H6" i="56"/>
  <c r="H5" i="56"/>
  <c r="K18" i="34"/>
  <c r="J18" i="34"/>
  <c r="I18" i="34"/>
  <c r="H18" i="34"/>
  <c r="F18" i="34"/>
  <c r="E18" i="34"/>
  <c r="D18" i="34"/>
  <c r="Z17" i="102"/>
  <c r="Z18" i="102"/>
  <c r="Z19" i="102"/>
  <c r="Z20" i="102"/>
  <c r="Z21" i="102"/>
  <c r="Z22" i="102"/>
  <c r="Z23" i="102"/>
  <c r="Z2" i="102"/>
  <c r="Z24" i="102"/>
  <c r="Z25" i="102"/>
  <c r="Z26" i="102"/>
  <c r="Z27" i="102"/>
  <c r="Z28" i="102"/>
  <c r="Z3" i="102"/>
  <c r="Z29" i="102"/>
  <c r="Z30" i="102"/>
  <c r="Z31" i="102"/>
  <c r="Z32" i="102"/>
  <c r="Z33" i="102"/>
  <c r="Z34" i="102"/>
  <c r="Z35" i="102"/>
  <c r="Z36" i="102"/>
  <c r="Z4" i="102"/>
  <c r="Z37" i="102"/>
  <c r="Z38" i="102"/>
  <c r="Z39" i="102"/>
  <c r="Z5" i="102"/>
  <c r="Z40" i="102"/>
  <c r="Z41" i="102"/>
  <c r="Z42" i="102"/>
  <c r="Z43" i="102"/>
  <c r="Z44" i="102"/>
  <c r="Z45" i="102"/>
  <c r="Z52" i="102"/>
  <c r="Z53" i="102"/>
  <c r="Z54" i="102"/>
  <c r="Z55" i="102"/>
  <c r="Z56" i="102"/>
  <c r="Z57" i="102"/>
  <c r="Z6" i="102"/>
  <c r="Z58" i="102"/>
  <c r="Z59" i="102"/>
  <c r="Z60" i="102"/>
  <c r="Z61" i="102"/>
  <c r="Z62" i="102"/>
  <c r="Z15" i="102"/>
  <c r="Z8" i="102"/>
  <c r="Z7" i="102"/>
  <c r="Z63" i="102"/>
  <c r="Z64" i="102"/>
  <c r="Z16" i="102"/>
  <c r="Z65" i="102"/>
  <c r="Z66" i="102"/>
  <c r="Z14" i="102"/>
  <c r="Z9" i="102"/>
  <c r="X17" i="102"/>
  <c r="X18" i="102"/>
  <c r="X19" i="102"/>
  <c r="X20" i="102"/>
  <c r="X21" i="102"/>
  <c r="X22" i="102"/>
  <c r="X23" i="102"/>
  <c r="X2" i="102"/>
  <c r="X24" i="102"/>
  <c r="X25" i="102"/>
  <c r="X26" i="102"/>
  <c r="X27" i="102"/>
  <c r="X28" i="102"/>
  <c r="X3" i="102"/>
  <c r="X29" i="102"/>
  <c r="X30" i="102"/>
  <c r="X31" i="102"/>
  <c r="X32" i="102"/>
  <c r="X33" i="102"/>
  <c r="X34" i="102"/>
  <c r="X35" i="102"/>
  <c r="X36" i="102"/>
  <c r="X4" i="102"/>
  <c r="X37" i="102"/>
  <c r="X38" i="102"/>
  <c r="X39" i="102"/>
  <c r="X5" i="102"/>
  <c r="X40" i="102"/>
  <c r="X41" i="102"/>
  <c r="X42" i="102"/>
  <c r="X43" i="102"/>
  <c r="X44" i="102"/>
  <c r="X45" i="102"/>
  <c r="X52" i="102"/>
  <c r="X53" i="102"/>
  <c r="X54" i="102"/>
  <c r="X55" i="102"/>
  <c r="X56" i="102"/>
  <c r="X57" i="102"/>
  <c r="X6" i="102"/>
  <c r="X58" i="102"/>
  <c r="X59" i="102"/>
  <c r="X60" i="102"/>
  <c r="X61" i="102"/>
  <c r="X62" i="102"/>
  <c r="X15" i="102"/>
  <c r="X8" i="102"/>
  <c r="X7" i="102"/>
  <c r="X63" i="102"/>
  <c r="X64" i="102"/>
  <c r="X16" i="102"/>
  <c r="X65" i="102"/>
  <c r="X66" i="102"/>
  <c r="X14" i="102"/>
  <c r="X9" i="102"/>
  <c r="R8" i="71"/>
  <c r="B34" i="34" s="1"/>
  <c r="BH11" i="65" s="1"/>
  <c r="P8" i="71"/>
  <c r="O8" i="71"/>
  <c r="B29" i="34" s="1"/>
  <c r="BD11" i="65" s="1"/>
  <c r="L8" i="71"/>
  <c r="M8" i="71" s="1"/>
  <c r="Q8" i="71"/>
  <c r="T9" i="102"/>
  <c r="I9" i="102"/>
  <c r="H9" i="102"/>
  <c r="P9" i="102" s="1"/>
  <c r="I14" i="102"/>
  <c r="H14" i="102"/>
  <c r="P14" i="102" s="1"/>
  <c r="T66" i="102"/>
  <c r="I66" i="102"/>
  <c r="H66" i="102"/>
  <c r="P66" i="102" s="1"/>
  <c r="I65" i="102"/>
  <c r="H65" i="102"/>
  <c r="P65" i="102" s="1"/>
  <c r="T16" i="102"/>
  <c r="I16" i="102"/>
  <c r="H16" i="102"/>
  <c r="P16" i="102" s="1"/>
  <c r="T64" i="102"/>
  <c r="I64" i="102"/>
  <c r="H64" i="102"/>
  <c r="P64" i="102" s="1"/>
  <c r="T63" i="102"/>
  <c r="I63" i="102"/>
  <c r="H63" i="102"/>
  <c r="P63" i="102" s="1"/>
  <c r="T7" i="102"/>
  <c r="I7" i="102"/>
  <c r="H7" i="102"/>
  <c r="P7" i="102" s="1"/>
  <c r="T8" i="102"/>
  <c r="I8" i="102"/>
  <c r="H8" i="102"/>
  <c r="P8" i="102" s="1"/>
  <c r="I15" i="102"/>
  <c r="H15" i="102"/>
  <c r="P15" i="102" s="1"/>
  <c r="I62" i="102"/>
  <c r="H62" i="102"/>
  <c r="P62" i="102" s="1"/>
  <c r="I61" i="102"/>
  <c r="H61" i="102"/>
  <c r="P61" i="102" s="1"/>
  <c r="T60" i="102"/>
  <c r="I60" i="102"/>
  <c r="H60" i="102"/>
  <c r="P60" i="102" s="1"/>
  <c r="I59" i="102"/>
  <c r="H59" i="102"/>
  <c r="P59" i="102" s="1"/>
  <c r="T58" i="102"/>
  <c r="I58" i="102"/>
  <c r="H58" i="102"/>
  <c r="P58" i="102" s="1"/>
  <c r="I6" i="102"/>
  <c r="H6" i="102"/>
  <c r="P6" i="102" s="1"/>
  <c r="I57" i="102"/>
  <c r="H57" i="102"/>
  <c r="P57" i="102" s="1"/>
  <c r="T56" i="102"/>
  <c r="I56" i="102"/>
  <c r="H56" i="102"/>
  <c r="P56" i="102" s="1"/>
  <c r="T55" i="102"/>
  <c r="I55" i="102"/>
  <c r="H55" i="102"/>
  <c r="P55" i="102" s="1"/>
  <c r="T54" i="102"/>
  <c r="I54" i="102"/>
  <c r="H54" i="102"/>
  <c r="P54" i="102" s="1"/>
  <c r="I53" i="102"/>
  <c r="H53" i="102"/>
  <c r="P53" i="102" s="1"/>
  <c r="I52" i="102"/>
  <c r="H52" i="102"/>
  <c r="P52" i="102" s="1"/>
  <c r="I45" i="102"/>
  <c r="H45" i="102"/>
  <c r="P45" i="102" s="1"/>
  <c r="T44" i="102"/>
  <c r="I44" i="102"/>
  <c r="H44" i="102"/>
  <c r="P44" i="102" s="1"/>
  <c r="T43" i="102"/>
  <c r="I43" i="102"/>
  <c r="H43" i="102"/>
  <c r="P43" i="102" s="1"/>
  <c r="T42" i="102"/>
  <c r="I42" i="102"/>
  <c r="H42" i="102"/>
  <c r="P42" i="102" s="1"/>
  <c r="T41" i="102"/>
  <c r="I41" i="102"/>
  <c r="H41" i="102"/>
  <c r="P41" i="102" s="1"/>
  <c r="I40" i="102"/>
  <c r="H40" i="102"/>
  <c r="P40" i="102" s="1"/>
  <c r="T5" i="102"/>
  <c r="I5" i="102"/>
  <c r="H5" i="102"/>
  <c r="P5" i="102" s="1"/>
  <c r="I39" i="102"/>
  <c r="H39" i="102"/>
  <c r="P39" i="102" s="1"/>
  <c r="I38" i="102"/>
  <c r="H38" i="102"/>
  <c r="P38" i="102" s="1"/>
  <c r="I37" i="102"/>
  <c r="H37" i="102"/>
  <c r="P37" i="102" s="1"/>
  <c r="I4" i="102"/>
  <c r="H4" i="102"/>
  <c r="P4" i="102" s="1"/>
  <c r="I36" i="102"/>
  <c r="H36" i="102"/>
  <c r="P36" i="102" s="1"/>
  <c r="I35" i="102"/>
  <c r="H35" i="102"/>
  <c r="P35" i="102" s="1"/>
  <c r="I34" i="102"/>
  <c r="H34" i="102"/>
  <c r="P34" i="102" s="1"/>
  <c r="T33" i="102"/>
  <c r="I33" i="102"/>
  <c r="H33" i="102"/>
  <c r="P33" i="102" s="1"/>
  <c r="T32" i="102"/>
  <c r="I32" i="102"/>
  <c r="H32" i="102"/>
  <c r="P32" i="102" s="1"/>
  <c r="I31" i="102"/>
  <c r="H31" i="102"/>
  <c r="P31" i="102" s="1"/>
  <c r="T30" i="102"/>
  <c r="I30" i="102"/>
  <c r="H30" i="102"/>
  <c r="P30" i="102" s="1"/>
  <c r="T29" i="102"/>
  <c r="I29" i="102"/>
  <c r="H29" i="102"/>
  <c r="P29" i="102" s="1"/>
  <c r="I3" i="102"/>
  <c r="H3" i="102"/>
  <c r="P3" i="102" s="1"/>
  <c r="I28" i="102"/>
  <c r="H28" i="102"/>
  <c r="P28" i="102" s="1"/>
  <c r="I27" i="102"/>
  <c r="H27" i="102"/>
  <c r="P27" i="102" s="1"/>
  <c r="T26" i="102"/>
  <c r="I26" i="102"/>
  <c r="H26" i="102"/>
  <c r="P26" i="102" s="1"/>
  <c r="I25" i="102"/>
  <c r="H25" i="102"/>
  <c r="P25" i="102" s="1"/>
  <c r="T24" i="102"/>
  <c r="I24" i="102"/>
  <c r="H24" i="102"/>
  <c r="P24" i="102" s="1"/>
  <c r="R2" i="102"/>
  <c r="I2" i="102"/>
  <c r="H2" i="102"/>
  <c r="T23" i="102"/>
  <c r="I23" i="102"/>
  <c r="H23" i="102"/>
  <c r="P23" i="102" s="1"/>
  <c r="I22" i="102"/>
  <c r="H22" i="102"/>
  <c r="P22" i="102" s="1"/>
  <c r="I21" i="102"/>
  <c r="H21" i="102"/>
  <c r="P21" i="102" s="1"/>
  <c r="I20" i="102"/>
  <c r="H20" i="102"/>
  <c r="P20" i="102" s="1"/>
  <c r="I19" i="102"/>
  <c r="H19" i="102"/>
  <c r="P19" i="102" s="1"/>
  <c r="I18" i="102"/>
  <c r="H18" i="102"/>
  <c r="P18" i="102" s="1"/>
  <c r="I17" i="102"/>
  <c r="H17" i="102"/>
  <c r="P17" i="102" s="1"/>
  <c r="Z3" i="96"/>
  <c r="X3" i="96"/>
  <c r="I3" i="96"/>
  <c r="H3" i="96"/>
  <c r="P3" i="96" s="1"/>
  <c r="T4" i="96"/>
  <c r="T7" i="96"/>
  <c r="T17" i="96"/>
  <c r="T19" i="96"/>
  <c r="T23" i="96"/>
  <c r="T24" i="96"/>
  <c r="T26" i="96"/>
  <c r="T28" i="96"/>
  <c r="T36" i="96"/>
  <c r="T37" i="96"/>
  <c r="T38" i="96"/>
  <c r="T43" i="96"/>
  <c r="T44" i="96"/>
  <c r="T45" i="96"/>
  <c r="T48" i="96"/>
  <c r="T49" i="96"/>
  <c r="T51" i="96"/>
  <c r="T52" i="96"/>
  <c r="T54" i="96"/>
  <c r="T63" i="96"/>
  <c r="T64" i="96"/>
  <c r="T66" i="96"/>
  <c r="T70" i="96"/>
  <c r="T71" i="96"/>
  <c r="T76" i="96"/>
  <c r="T77" i="96"/>
  <c r="T78" i="96"/>
  <c r="T79" i="96"/>
  <c r="T80" i="96"/>
  <c r="T83" i="96"/>
  <c r="T84" i="96"/>
  <c r="T87" i="96"/>
  <c r="T88" i="96"/>
  <c r="T91" i="96"/>
  <c r="T93" i="96"/>
  <c r="T96" i="96"/>
  <c r="T98" i="96"/>
  <c r="T99" i="96"/>
  <c r="T100" i="96"/>
  <c r="T105" i="96"/>
  <c r="T112" i="96"/>
  <c r="T115" i="96"/>
  <c r="H115" i="96"/>
  <c r="P115" i="96" s="1"/>
  <c r="T116" i="96"/>
  <c r="T117" i="96"/>
  <c r="T119" i="96"/>
  <c r="T120" i="96"/>
  <c r="T121" i="96"/>
  <c r="AB92" i="98"/>
  <c r="Z92" i="98"/>
  <c r="X92" i="98"/>
  <c r="I92" i="98"/>
  <c r="H92" i="98"/>
  <c r="P92" i="98" s="1"/>
  <c r="AB91" i="98"/>
  <c r="Z91" i="98"/>
  <c r="X91" i="98"/>
  <c r="I91" i="98"/>
  <c r="H91" i="98"/>
  <c r="P91" i="98" s="1"/>
  <c r="AB2" i="98"/>
  <c r="Z4" i="96"/>
  <c r="X4" i="96"/>
  <c r="I4" i="96"/>
  <c r="H4" i="96"/>
  <c r="P4" i="96" s="1"/>
  <c r="H56" i="96"/>
  <c r="P56" i="96" s="1"/>
  <c r="H104" i="96"/>
  <c r="P104" i="96" s="1"/>
  <c r="U116" i="96"/>
  <c r="V116" i="96" s="1"/>
  <c r="W116" i="96" s="1"/>
  <c r="C25" i="34"/>
  <c r="L9" i="65" s="1"/>
  <c r="AB98" i="98"/>
  <c r="Z98" i="98"/>
  <c r="X98" i="98"/>
  <c r="I98" i="98"/>
  <c r="H98" i="98"/>
  <c r="P98" i="98" s="1"/>
  <c r="AB97" i="98"/>
  <c r="Z97" i="98"/>
  <c r="X97" i="98"/>
  <c r="I97" i="98"/>
  <c r="H97" i="98"/>
  <c r="P97" i="98" s="1"/>
  <c r="H3" i="98"/>
  <c r="P3" i="98" s="1"/>
  <c r="I3" i="98"/>
  <c r="H119" i="98"/>
  <c r="P119" i="98" s="1"/>
  <c r="I119" i="98"/>
  <c r="H5" i="98"/>
  <c r="P5" i="98" s="1"/>
  <c r="I5" i="98"/>
  <c r="H20" i="98"/>
  <c r="P20" i="98" s="1"/>
  <c r="I20" i="98"/>
  <c r="H90" i="98"/>
  <c r="P90" i="98" s="1"/>
  <c r="I90" i="98"/>
  <c r="H93" i="98"/>
  <c r="P93" i="98" s="1"/>
  <c r="I93" i="98"/>
  <c r="H94" i="98"/>
  <c r="P94" i="98" s="1"/>
  <c r="I94" i="98"/>
  <c r="H95" i="98"/>
  <c r="P95" i="98" s="1"/>
  <c r="I95" i="98"/>
  <c r="H96" i="98"/>
  <c r="P96" i="98" s="1"/>
  <c r="I96" i="98"/>
  <c r="H99" i="98"/>
  <c r="P99" i="98" s="1"/>
  <c r="I99" i="98"/>
  <c r="H100" i="98"/>
  <c r="P100" i="98" s="1"/>
  <c r="I100" i="98"/>
  <c r="H101" i="98"/>
  <c r="P101" i="98" s="1"/>
  <c r="I101" i="98"/>
  <c r="H102" i="98"/>
  <c r="P102" i="98" s="1"/>
  <c r="I102" i="98"/>
  <c r="H103" i="98"/>
  <c r="P103" i="98" s="1"/>
  <c r="I103" i="98"/>
  <c r="H104" i="98"/>
  <c r="P104" i="98" s="1"/>
  <c r="I104" i="98"/>
  <c r="H105" i="98"/>
  <c r="P105" i="98" s="1"/>
  <c r="I105" i="98"/>
  <c r="H106" i="98"/>
  <c r="P106" i="98" s="1"/>
  <c r="I106" i="98"/>
  <c r="H107" i="98"/>
  <c r="P107" i="98" s="1"/>
  <c r="I107" i="98"/>
  <c r="H108" i="98"/>
  <c r="P108" i="98" s="1"/>
  <c r="I108" i="98"/>
  <c r="H109" i="98"/>
  <c r="P109" i="98" s="1"/>
  <c r="I109" i="98"/>
  <c r="H110" i="98"/>
  <c r="P110" i="98" s="1"/>
  <c r="I110" i="98"/>
  <c r="H111" i="98"/>
  <c r="P111" i="98" s="1"/>
  <c r="I111" i="98"/>
  <c r="H112" i="98"/>
  <c r="P112" i="98" s="1"/>
  <c r="I112" i="98"/>
  <c r="H113" i="98"/>
  <c r="P113" i="98" s="1"/>
  <c r="I113" i="98"/>
  <c r="H114" i="98"/>
  <c r="P114" i="98" s="1"/>
  <c r="I114" i="98"/>
  <c r="H115" i="98"/>
  <c r="P115" i="98" s="1"/>
  <c r="I115" i="98"/>
  <c r="H116" i="98"/>
  <c r="P116" i="98" s="1"/>
  <c r="I116" i="98"/>
  <c r="H117" i="98"/>
  <c r="P117" i="98" s="1"/>
  <c r="I117" i="98"/>
  <c r="H118" i="98"/>
  <c r="P118" i="98" s="1"/>
  <c r="I118" i="98"/>
  <c r="H120" i="98"/>
  <c r="P120" i="98" s="1"/>
  <c r="I120" i="98"/>
  <c r="H121" i="98"/>
  <c r="P121" i="98" s="1"/>
  <c r="I121" i="98"/>
  <c r="H122" i="98"/>
  <c r="P122" i="98" s="1"/>
  <c r="I122" i="98"/>
  <c r="H123" i="98"/>
  <c r="P123" i="98" s="1"/>
  <c r="I123" i="98"/>
  <c r="H124" i="98"/>
  <c r="P124" i="98" s="1"/>
  <c r="I124" i="98"/>
  <c r="H125" i="98"/>
  <c r="P125" i="98" s="1"/>
  <c r="I125" i="98"/>
  <c r="H126" i="98"/>
  <c r="P126" i="98" s="1"/>
  <c r="I126" i="98"/>
  <c r="H127" i="98"/>
  <c r="P127" i="98" s="1"/>
  <c r="I127" i="98"/>
  <c r="H128" i="98"/>
  <c r="P128" i="98" s="1"/>
  <c r="I128" i="98"/>
  <c r="H129" i="98"/>
  <c r="P129" i="98" s="1"/>
  <c r="I129" i="98"/>
  <c r="H130" i="98"/>
  <c r="P130" i="98" s="1"/>
  <c r="I130" i="98"/>
  <c r="H131" i="98"/>
  <c r="P131" i="98" s="1"/>
  <c r="I131" i="98"/>
  <c r="H132" i="98"/>
  <c r="P132" i="98" s="1"/>
  <c r="I132" i="98"/>
  <c r="H133" i="98"/>
  <c r="P133" i="98" s="1"/>
  <c r="I133" i="98"/>
  <c r="H134" i="98"/>
  <c r="P134" i="98" s="1"/>
  <c r="I134" i="98"/>
  <c r="H135" i="98"/>
  <c r="P135" i="98" s="1"/>
  <c r="I135" i="98"/>
  <c r="H136" i="98"/>
  <c r="P136" i="98" s="1"/>
  <c r="I136" i="98"/>
  <c r="H137" i="98"/>
  <c r="P137" i="98" s="1"/>
  <c r="I137" i="98"/>
  <c r="H138" i="98"/>
  <c r="P138" i="98" s="1"/>
  <c r="I138" i="98"/>
  <c r="H139" i="98"/>
  <c r="P139" i="98" s="1"/>
  <c r="I139" i="98"/>
  <c r="H140" i="98"/>
  <c r="P140" i="98" s="1"/>
  <c r="I140" i="98"/>
  <c r="H141" i="98"/>
  <c r="P141" i="98" s="1"/>
  <c r="I141" i="98"/>
  <c r="H142" i="98"/>
  <c r="P142" i="98" s="1"/>
  <c r="I142" i="98"/>
  <c r="H143" i="98"/>
  <c r="P143" i="98" s="1"/>
  <c r="I143" i="98"/>
  <c r="H144" i="98"/>
  <c r="P144" i="98" s="1"/>
  <c r="I144" i="98"/>
  <c r="H145" i="98"/>
  <c r="P145" i="98" s="1"/>
  <c r="I145" i="98"/>
  <c r="H146" i="98"/>
  <c r="P146" i="98" s="1"/>
  <c r="I146" i="98"/>
  <c r="H147" i="98"/>
  <c r="P147" i="98" s="1"/>
  <c r="I147" i="98"/>
  <c r="H148" i="98"/>
  <c r="P148" i="98" s="1"/>
  <c r="I148" i="98"/>
  <c r="H149" i="98"/>
  <c r="P149" i="98" s="1"/>
  <c r="I149" i="98"/>
  <c r="H150" i="98"/>
  <c r="P150" i="98" s="1"/>
  <c r="I150" i="98"/>
  <c r="H151" i="98"/>
  <c r="P151" i="98" s="1"/>
  <c r="I151" i="98"/>
  <c r="H152" i="98"/>
  <c r="P152" i="98" s="1"/>
  <c r="I152" i="98"/>
  <c r="H153" i="98"/>
  <c r="P153" i="98" s="1"/>
  <c r="I153" i="98"/>
  <c r="H154" i="98"/>
  <c r="P154" i="98" s="1"/>
  <c r="I154" i="98"/>
  <c r="H155" i="98"/>
  <c r="P155" i="98" s="1"/>
  <c r="I155" i="98"/>
  <c r="H156" i="98"/>
  <c r="P156" i="98" s="1"/>
  <c r="I156" i="98"/>
  <c r="H157" i="98"/>
  <c r="P157" i="98" s="1"/>
  <c r="I157" i="98"/>
  <c r="H158" i="98"/>
  <c r="P158" i="98" s="1"/>
  <c r="I158" i="98"/>
  <c r="H159" i="98"/>
  <c r="P159" i="98" s="1"/>
  <c r="I159" i="98"/>
  <c r="H160" i="98"/>
  <c r="P160" i="98" s="1"/>
  <c r="I160" i="98"/>
  <c r="H161" i="98"/>
  <c r="P161" i="98" s="1"/>
  <c r="I161" i="98"/>
  <c r="H162" i="98"/>
  <c r="P162" i="98" s="1"/>
  <c r="I162" i="98"/>
  <c r="H163" i="98"/>
  <c r="P163" i="98" s="1"/>
  <c r="I163" i="98"/>
  <c r="H164" i="98"/>
  <c r="P164" i="98" s="1"/>
  <c r="I164" i="98"/>
  <c r="H165" i="98"/>
  <c r="P165" i="98" s="1"/>
  <c r="I165" i="98"/>
  <c r="H166" i="98"/>
  <c r="P166" i="98" s="1"/>
  <c r="I166" i="98"/>
  <c r="H167" i="98"/>
  <c r="P167" i="98" s="1"/>
  <c r="I167" i="98"/>
  <c r="H168" i="98"/>
  <c r="P168" i="98" s="1"/>
  <c r="I168" i="98"/>
  <c r="H169" i="98"/>
  <c r="P169" i="98" s="1"/>
  <c r="I169" i="98"/>
  <c r="H171" i="98"/>
  <c r="P171" i="98" s="1"/>
  <c r="I171" i="98"/>
  <c r="T18" i="100"/>
  <c r="Z23" i="100"/>
  <c r="X23" i="100"/>
  <c r="I23" i="100"/>
  <c r="Z6" i="100"/>
  <c r="X6" i="100"/>
  <c r="I6" i="100"/>
  <c r="AM6" i="65"/>
  <c r="Z120" i="96"/>
  <c r="X120" i="96"/>
  <c r="I120" i="96"/>
  <c r="H120" i="96"/>
  <c r="P120" i="96" s="1"/>
  <c r="Z119" i="96"/>
  <c r="X119" i="96"/>
  <c r="I119" i="96"/>
  <c r="H119" i="96"/>
  <c r="P119" i="96" s="1"/>
  <c r="Z118" i="96"/>
  <c r="X118" i="96"/>
  <c r="I118" i="96"/>
  <c r="H118" i="96"/>
  <c r="P118" i="96" s="1"/>
  <c r="Z117" i="96"/>
  <c r="X117" i="96"/>
  <c r="I117" i="96"/>
  <c r="H117" i="96"/>
  <c r="P117" i="96" s="1"/>
  <c r="Z116" i="96"/>
  <c r="X116" i="96"/>
  <c r="I116" i="96"/>
  <c r="H116" i="96"/>
  <c r="P116" i="96" s="1"/>
  <c r="AB117" i="98"/>
  <c r="AB153" i="98"/>
  <c r="AB155" i="98"/>
  <c r="C9" i="71"/>
  <c r="Z113" i="96"/>
  <c r="X113" i="96"/>
  <c r="I113" i="96"/>
  <c r="H113" i="96"/>
  <c r="P113" i="96" s="1"/>
  <c r="Z112" i="96"/>
  <c r="X112" i="96"/>
  <c r="I112" i="96"/>
  <c r="H112" i="96"/>
  <c r="P112" i="96" s="1"/>
  <c r="Z111" i="96"/>
  <c r="X111" i="96"/>
  <c r="I111" i="96"/>
  <c r="H111" i="96"/>
  <c r="P111" i="96" s="1"/>
  <c r="Z110" i="96"/>
  <c r="X110" i="96"/>
  <c r="I110" i="96"/>
  <c r="H110" i="96"/>
  <c r="P110" i="96" s="1"/>
  <c r="Z109" i="96"/>
  <c r="X109" i="96"/>
  <c r="I109" i="96"/>
  <c r="H109" i="96"/>
  <c r="P109" i="96" s="1"/>
  <c r="Z6" i="96"/>
  <c r="X6" i="96"/>
  <c r="I6" i="96"/>
  <c r="H6" i="96"/>
  <c r="P6" i="96" s="1"/>
  <c r="AE2" i="65"/>
  <c r="Z37" i="100"/>
  <c r="X37" i="100"/>
  <c r="I37" i="100"/>
  <c r="Z21" i="100"/>
  <c r="X21" i="100"/>
  <c r="I21" i="100"/>
  <c r="Z2" i="100"/>
  <c r="X2" i="100"/>
  <c r="I2" i="100"/>
  <c r="H14" i="56"/>
  <c r="H15" i="56"/>
  <c r="Z45" i="100"/>
  <c r="X45" i="100"/>
  <c r="I45" i="100"/>
  <c r="Z8" i="100"/>
  <c r="X8" i="100"/>
  <c r="I8" i="100"/>
  <c r="Z36" i="100"/>
  <c r="X36" i="100"/>
  <c r="I36" i="100"/>
  <c r="Z7" i="100"/>
  <c r="X7" i="100"/>
  <c r="I7" i="100"/>
  <c r="Z28" i="100"/>
  <c r="X28" i="100"/>
  <c r="I28" i="100"/>
  <c r="Z30" i="100"/>
  <c r="X30" i="100"/>
  <c r="I30" i="100"/>
  <c r="Z43" i="100"/>
  <c r="X43" i="100"/>
  <c r="I43" i="100"/>
  <c r="Z38" i="100"/>
  <c r="X38" i="100"/>
  <c r="I38" i="100"/>
  <c r="Z46" i="100"/>
  <c r="X46" i="100"/>
  <c r="I46" i="100"/>
  <c r="Z42" i="100"/>
  <c r="X42" i="100"/>
  <c r="I42" i="100"/>
  <c r="Z19" i="100"/>
  <c r="X19" i="100"/>
  <c r="I19" i="100"/>
  <c r="Z4" i="100"/>
  <c r="X4" i="100"/>
  <c r="I4" i="100"/>
  <c r="Z26" i="100"/>
  <c r="X26" i="100"/>
  <c r="I26" i="100"/>
  <c r="Z18" i="100"/>
  <c r="X18" i="100"/>
  <c r="I18" i="100"/>
  <c r="Z24" i="100"/>
  <c r="X24" i="100"/>
  <c r="I24" i="100"/>
  <c r="I5" i="100"/>
  <c r="I20" i="100"/>
  <c r="I25" i="100"/>
  <c r="I22" i="100"/>
  <c r="I40" i="100"/>
  <c r="I41" i="100"/>
  <c r="I29" i="100"/>
  <c r="I44" i="100"/>
  <c r="I48" i="100"/>
  <c r="I27" i="100"/>
  <c r="I39" i="100"/>
  <c r="I47" i="100"/>
  <c r="H49" i="100"/>
  <c r="P49" i="100" s="1"/>
  <c r="I49" i="100"/>
  <c r="X5" i="100"/>
  <c r="Z5" i="100"/>
  <c r="X20" i="100"/>
  <c r="Z20" i="100"/>
  <c r="X25" i="100"/>
  <c r="Z25" i="100"/>
  <c r="X22" i="100"/>
  <c r="Z22" i="100"/>
  <c r="X40" i="100"/>
  <c r="Z40" i="100"/>
  <c r="X41" i="100"/>
  <c r="Z41" i="100"/>
  <c r="X29" i="100"/>
  <c r="Z29" i="100"/>
  <c r="X44" i="100"/>
  <c r="Z44" i="100"/>
  <c r="X48" i="100"/>
  <c r="Z48" i="100"/>
  <c r="X27" i="100"/>
  <c r="Z27" i="100"/>
  <c r="X39" i="100"/>
  <c r="Z39" i="100"/>
  <c r="X47" i="100"/>
  <c r="Z47" i="100"/>
  <c r="X49" i="100"/>
  <c r="Z49" i="100"/>
  <c r="I5" i="96"/>
  <c r="I7" i="96"/>
  <c r="I8" i="96"/>
  <c r="I9" i="96"/>
  <c r="I10" i="96"/>
  <c r="I11" i="96"/>
  <c r="I16" i="96"/>
  <c r="I17" i="96"/>
  <c r="I18" i="96"/>
  <c r="I19" i="96"/>
  <c r="I20" i="96"/>
  <c r="I21" i="96"/>
  <c r="I22" i="96"/>
  <c r="I23" i="96"/>
  <c r="I24" i="96"/>
  <c r="I25" i="96"/>
  <c r="I26" i="96"/>
  <c r="I27" i="96"/>
  <c r="I28" i="96"/>
  <c r="I29" i="96"/>
  <c r="I30" i="96"/>
  <c r="I31" i="96"/>
  <c r="I32" i="96"/>
  <c r="I33" i="96"/>
  <c r="I34" i="96"/>
  <c r="I35" i="96"/>
  <c r="I36" i="96"/>
  <c r="I37" i="96"/>
  <c r="I38" i="96"/>
  <c r="I39" i="96"/>
  <c r="I40" i="96"/>
  <c r="I41" i="96"/>
  <c r="I42" i="96"/>
  <c r="I43" i="96"/>
  <c r="I44" i="96"/>
  <c r="I45" i="96"/>
  <c r="I46" i="96"/>
  <c r="I47" i="96"/>
  <c r="I48" i="96"/>
  <c r="I49" i="96"/>
  <c r="I50" i="96"/>
  <c r="I51" i="96"/>
  <c r="I52" i="96"/>
  <c r="I53" i="96"/>
  <c r="I54" i="96"/>
  <c r="I55" i="96"/>
  <c r="I56" i="96"/>
  <c r="I57" i="96"/>
  <c r="I58" i="96"/>
  <c r="I59" i="96"/>
  <c r="I60" i="96"/>
  <c r="I61" i="96"/>
  <c r="I62" i="96"/>
  <c r="I63" i="96"/>
  <c r="I64" i="96"/>
  <c r="I65" i="96"/>
  <c r="I66" i="96"/>
  <c r="I67" i="96"/>
  <c r="I68" i="96"/>
  <c r="I69" i="96"/>
  <c r="I70" i="96"/>
  <c r="I71" i="96"/>
  <c r="I72" i="96"/>
  <c r="I73" i="96"/>
  <c r="I74" i="96"/>
  <c r="I75" i="96"/>
  <c r="I76" i="96"/>
  <c r="I77" i="96"/>
  <c r="I78" i="96"/>
  <c r="I79" i="96"/>
  <c r="I80" i="96"/>
  <c r="I81" i="96"/>
  <c r="I82" i="96"/>
  <c r="I83" i="96"/>
  <c r="I84" i="96"/>
  <c r="I85" i="96"/>
  <c r="I86" i="96"/>
  <c r="I87" i="96"/>
  <c r="I88" i="96"/>
  <c r="I89" i="96"/>
  <c r="I90" i="96"/>
  <c r="I91" i="96"/>
  <c r="I92" i="96"/>
  <c r="I93" i="96"/>
  <c r="I94" i="96"/>
  <c r="I95" i="96"/>
  <c r="I96" i="96"/>
  <c r="I97" i="96"/>
  <c r="I98" i="96"/>
  <c r="I99" i="96"/>
  <c r="I100" i="96"/>
  <c r="I101" i="96"/>
  <c r="I102" i="96"/>
  <c r="I103" i="96"/>
  <c r="I104" i="96"/>
  <c r="I105" i="96"/>
  <c r="I106" i="96"/>
  <c r="I107" i="96"/>
  <c r="I108" i="96"/>
  <c r="I121" i="96"/>
  <c r="I115" i="96"/>
  <c r="I114" i="96"/>
  <c r="H5" i="96"/>
  <c r="P5" i="96" s="1"/>
  <c r="H7" i="96"/>
  <c r="P7" i="96" s="1"/>
  <c r="H8" i="96"/>
  <c r="P8" i="96" s="1"/>
  <c r="H9" i="96"/>
  <c r="P9" i="96" s="1"/>
  <c r="H10" i="96"/>
  <c r="P10" i="96" s="1"/>
  <c r="H11" i="96"/>
  <c r="P11" i="96" s="1"/>
  <c r="H16" i="96"/>
  <c r="P16" i="96" s="1"/>
  <c r="H17" i="96"/>
  <c r="P17" i="96" s="1"/>
  <c r="H18" i="96"/>
  <c r="P18" i="96" s="1"/>
  <c r="H19" i="96"/>
  <c r="P19" i="96" s="1"/>
  <c r="H20" i="96"/>
  <c r="P20" i="96" s="1"/>
  <c r="H21" i="96"/>
  <c r="P21" i="96" s="1"/>
  <c r="H22" i="96"/>
  <c r="P22" i="96" s="1"/>
  <c r="H23" i="96"/>
  <c r="P23" i="96" s="1"/>
  <c r="H24" i="96"/>
  <c r="P24" i="96" s="1"/>
  <c r="H25" i="96"/>
  <c r="P25" i="96" s="1"/>
  <c r="H26" i="96"/>
  <c r="P26" i="96" s="1"/>
  <c r="H27" i="96"/>
  <c r="P27" i="96" s="1"/>
  <c r="H28" i="96"/>
  <c r="P28" i="96" s="1"/>
  <c r="H29" i="96"/>
  <c r="P29" i="96" s="1"/>
  <c r="H30" i="96"/>
  <c r="P30" i="96" s="1"/>
  <c r="H31" i="96"/>
  <c r="P31" i="96" s="1"/>
  <c r="H32" i="96"/>
  <c r="P32" i="96" s="1"/>
  <c r="H33" i="96"/>
  <c r="P33" i="96" s="1"/>
  <c r="H34" i="96"/>
  <c r="P34" i="96" s="1"/>
  <c r="H35" i="96"/>
  <c r="P35" i="96" s="1"/>
  <c r="H36" i="96"/>
  <c r="P36" i="96" s="1"/>
  <c r="H37" i="96"/>
  <c r="P37" i="96" s="1"/>
  <c r="H38" i="96"/>
  <c r="P38" i="96" s="1"/>
  <c r="H39" i="96"/>
  <c r="P39" i="96" s="1"/>
  <c r="H40" i="96"/>
  <c r="P40" i="96" s="1"/>
  <c r="H41" i="96"/>
  <c r="P41" i="96" s="1"/>
  <c r="H42" i="96"/>
  <c r="P42" i="96" s="1"/>
  <c r="H43" i="96"/>
  <c r="P43" i="96" s="1"/>
  <c r="H44" i="96"/>
  <c r="P44" i="96" s="1"/>
  <c r="H45" i="96"/>
  <c r="P45" i="96" s="1"/>
  <c r="H46" i="96"/>
  <c r="P46" i="96" s="1"/>
  <c r="H47" i="96"/>
  <c r="P47" i="96" s="1"/>
  <c r="H48" i="96"/>
  <c r="P48" i="96" s="1"/>
  <c r="H49" i="96"/>
  <c r="P49" i="96" s="1"/>
  <c r="H50" i="96"/>
  <c r="P50" i="96" s="1"/>
  <c r="H51" i="96"/>
  <c r="P51" i="96" s="1"/>
  <c r="H52" i="96"/>
  <c r="P52" i="96" s="1"/>
  <c r="H53" i="96"/>
  <c r="P53" i="96" s="1"/>
  <c r="H54" i="96"/>
  <c r="P54" i="96" s="1"/>
  <c r="H55" i="96"/>
  <c r="P55" i="96" s="1"/>
  <c r="H57" i="96"/>
  <c r="P57" i="96" s="1"/>
  <c r="H58" i="96"/>
  <c r="P58" i="96" s="1"/>
  <c r="H59" i="96"/>
  <c r="P59" i="96" s="1"/>
  <c r="H60" i="96"/>
  <c r="P60" i="96" s="1"/>
  <c r="H61" i="96"/>
  <c r="P61" i="96" s="1"/>
  <c r="H62" i="96"/>
  <c r="P62" i="96" s="1"/>
  <c r="H63" i="96"/>
  <c r="P63" i="96" s="1"/>
  <c r="H64" i="96"/>
  <c r="P64" i="96" s="1"/>
  <c r="H65" i="96"/>
  <c r="P65" i="96" s="1"/>
  <c r="H66" i="96"/>
  <c r="P66" i="96" s="1"/>
  <c r="H67" i="96"/>
  <c r="P67" i="96" s="1"/>
  <c r="H68" i="96"/>
  <c r="P68" i="96" s="1"/>
  <c r="H69" i="96"/>
  <c r="P69" i="96" s="1"/>
  <c r="H70" i="96"/>
  <c r="P70" i="96" s="1"/>
  <c r="H71" i="96"/>
  <c r="P71" i="96" s="1"/>
  <c r="H72" i="96"/>
  <c r="P72" i="96" s="1"/>
  <c r="H73" i="96"/>
  <c r="P73" i="96" s="1"/>
  <c r="H74" i="96"/>
  <c r="P74" i="96" s="1"/>
  <c r="H75" i="96"/>
  <c r="P75" i="96" s="1"/>
  <c r="H76" i="96"/>
  <c r="P76" i="96" s="1"/>
  <c r="H77" i="96"/>
  <c r="P77" i="96" s="1"/>
  <c r="H78" i="96"/>
  <c r="P78" i="96" s="1"/>
  <c r="H79" i="96"/>
  <c r="P79" i="96" s="1"/>
  <c r="H80" i="96"/>
  <c r="P80" i="96" s="1"/>
  <c r="H81" i="96"/>
  <c r="P81" i="96" s="1"/>
  <c r="H82" i="96"/>
  <c r="P82" i="96" s="1"/>
  <c r="H83" i="96"/>
  <c r="P83" i="96" s="1"/>
  <c r="H84" i="96"/>
  <c r="P84" i="96" s="1"/>
  <c r="H85" i="96"/>
  <c r="P85" i="96" s="1"/>
  <c r="H86" i="96"/>
  <c r="P86" i="96" s="1"/>
  <c r="H87" i="96"/>
  <c r="P87" i="96" s="1"/>
  <c r="H88" i="96"/>
  <c r="P88" i="96" s="1"/>
  <c r="H89" i="96"/>
  <c r="P89" i="96" s="1"/>
  <c r="H90" i="96"/>
  <c r="P90" i="96" s="1"/>
  <c r="H91" i="96"/>
  <c r="P91" i="96" s="1"/>
  <c r="H92" i="96"/>
  <c r="P92" i="96" s="1"/>
  <c r="H93" i="96"/>
  <c r="P93" i="96" s="1"/>
  <c r="H94" i="96"/>
  <c r="P94" i="96" s="1"/>
  <c r="H95" i="96"/>
  <c r="P95" i="96" s="1"/>
  <c r="H96" i="96"/>
  <c r="P96" i="96" s="1"/>
  <c r="H97" i="96"/>
  <c r="P97" i="96" s="1"/>
  <c r="H98" i="96"/>
  <c r="P98" i="96" s="1"/>
  <c r="H99" i="96"/>
  <c r="P99" i="96" s="1"/>
  <c r="H100" i="96"/>
  <c r="P100" i="96" s="1"/>
  <c r="H101" i="96"/>
  <c r="P101" i="96" s="1"/>
  <c r="H102" i="96"/>
  <c r="P102" i="96" s="1"/>
  <c r="H103" i="96"/>
  <c r="P103" i="96" s="1"/>
  <c r="H105" i="96"/>
  <c r="P105" i="96" s="1"/>
  <c r="H106" i="96"/>
  <c r="P106" i="96" s="1"/>
  <c r="H107" i="96"/>
  <c r="P107" i="96" s="1"/>
  <c r="H108" i="96"/>
  <c r="P108" i="96" s="1"/>
  <c r="H121" i="96"/>
  <c r="P121" i="96" s="1"/>
  <c r="H114" i="96"/>
  <c r="P114" i="96" s="1"/>
  <c r="X114" i="96"/>
  <c r="Z114" i="96"/>
  <c r="X5" i="96"/>
  <c r="Z5" i="96"/>
  <c r="X7" i="96"/>
  <c r="Z7" i="96"/>
  <c r="X8" i="96"/>
  <c r="Z8" i="96"/>
  <c r="X9" i="96"/>
  <c r="Z9" i="96"/>
  <c r="X10" i="96"/>
  <c r="Z10" i="96"/>
  <c r="X11" i="96"/>
  <c r="Z11" i="96"/>
  <c r="X16" i="96"/>
  <c r="Z16" i="96"/>
  <c r="X17" i="96"/>
  <c r="Z17" i="96"/>
  <c r="X18" i="96"/>
  <c r="Z18" i="96"/>
  <c r="X19" i="96"/>
  <c r="Z19" i="96"/>
  <c r="X20" i="96"/>
  <c r="Z20" i="96"/>
  <c r="X21" i="96"/>
  <c r="Z21" i="96"/>
  <c r="X22" i="96"/>
  <c r="Z22" i="96"/>
  <c r="X23" i="96"/>
  <c r="Z23" i="96"/>
  <c r="X24" i="96"/>
  <c r="Z24" i="96"/>
  <c r="X25" i="96"/>
  <c r="Z25" i="96"/>
  <c r="X26" i="96"/>
  <c r="Z26" i="96"/>
  <c r="X27" i="96"/>
  <c r="Z27" i="96"/>
  <c r="X28" i="96"/>
  <c r="Z28" i="96"/>
  <c r="X29" i="96"/>
  <c r="Z29" i="96"/>
  <c r="X30" i="96"/>
  <c r="Z30" i="96"/>
  <c r="X31" i="96"/>
  <c r="Z31" i="96"/>
  <c r="X32" i="96"/>
  <c r="Z32" i="96"/>
  <c r="X33" i="96"/>
  <c r="Z33" i="96"/>
  <c r="X34" i="96"/>
  <c r="Z34" i="96"/>
  <c r="X35" i="96"/>
  <c r="Z35" i="96"/>
  <c r="X36" i="96"/>
  <c r="Z36" i="96"/>
  <c r="X37" i="96"/>
  <c r="Z37" i="96"/>
  <c r="X38" i="96"/>
  <c r="Z38" i="96"/>
  <c r="X39" i="96"/>
  <c r="Z39" i="96"/>
  <c r="X40" i="96"/>
  <c r="Z40" i="96"/>
  <c r="X41" i="96"/>
  <c r="Z41" i="96"/>
  <c r="X42" i="96"/>
  <c r="Z42" i="96"/>
  <c r="X43" i="96"/>
  <c r="Z43" i="96"/>
  <c r="X44" i="96"/>
  <c r="Z44" i="96"/>
  <c r="X45" i="96"/>
  <c r="Z45" i="96"/>
  <c r="X46" i="96"/>
  <c r="Z46" i="96"/>
  <c r="X47" i="96"/>
  <c r="Z47" i="96"/>
  <c r="X48" i="96"/>
  <c r="Z48" i="96"/>
  <c r="X49" i="96"/>
  <c r="Z49" i="96"/>
  <c r="X50" i="96"/>
  <c r="Z50" i="96"/>
  <c r="X51" i="96"/>
  <c r="Z51" i="96"/>
  <c r="X52" i="96"/>
  <c r="Z52" i="96"/>
  <c r="X53" i="96"/>
  <c r="Z53" i="96"/>
  <c r="X54" i="96"/>
  <c r="Z54" i="96"/>
  <c r="X55" i="96"/>
  <c r="Z55" i="96"/>
  <c r="X56" i="96"/>
  <c r="Z56" i="96"/>
  <c r="X57" i="96"/>
  <c r="Z57" i="96"/>
  <c r="X58" i="96"/>
  <c r="Z58" i="96"/>
  <c r="X59" i="96"/>
  <c r="Z59" i="96"/>
  <c r="X60" i="96"/>
  <c r="Z60" i="96"/>
  <c r="X61" i="96"/>
  <c r="Z61" i="96"/>
  <c r="X62" i="96"/>
  <c r="Z62" i="96"/>
  <c r="X63" i="96"/>
  <c r="Z63" i="96"/>
  <c r="X64" i="96"/>
  <c r="Z64" i="96"/>
  <c r="X65" i="96"/>
  <c r="Z65" i="96"/>
  <c r="X66" i="96"/>
  <c r="Z66" i="96"/>
  <c r="X67" i="96"/>
  <c r="Z67" i="96"/>
  <c r="X68" i="96"/>
  <c r="Z68" i="96"/>
  <c r="X69" i="96"/>
  <c r="Z69" i="96"/>
  <c r="X70" i="96"/>
  <c r="Z70" i="96"/>
  <c r="X71" i="96"/>
  <c r="Z71" i="96"/>
  <c r="X72" i="96"/>
  <c r="Z72" i="96"/>
  <c r="X73" i="96"/>
  <c r="Z73" i="96"/>
  <c r="X74" i="96"/>
  <c r="Z74" i="96"/>
  <c r="X75" i="96"/>
  <c r="Z75" i="96"/>
  <c r="X76" i="96"/>
  <c r="Z76" i="96"/>
  <c r="X77" i="96"/>
  <c r="Z77" i="96"/>
  <c r="X78" i="96"/>
  <c r="Z78" i="96"/>
  <c r="X79" i="96"/>
  <c r="Z79" i="96"/>
  <c r="X80" i="96"/>
  <c r="Z80" i="96"/>
  <c r="X81" i="96"/>
  <c r="Z81" i="96"/>
  <c r="X82" i="96"/>
  <c r="Z82" i="96"/>
  <c r="X83" i="96"/>
  <c r="Z83" i="96"/>
  <c r="X84" i="96"/>
  <c r="Z84" i="96"/>
  <c r="X85" i="96"/>
  <c r="Z85" i="96"/>
  <c r="X86" i="96"/>
  <c r="Z86" i="96"/>
  <c r="X87" i="96"/>
  <c r="Z87" i="96"/>
  <c r="X88" i="96"/>
  <c r="Z88" i="96"/>
  <c r="X89" i="96"/>
  <c r="Z89" i="96"/>
  <c r="X90" i="96"/>
  <c r="Z90" i="96"/>
  <c r="X91" i="96"/>
  <c r="Z91" i="96"/>
  <c r="X92" i="96"/>
  <c r="Z92" i="96"/>
  <c r="X93" i="96"/>
  <c r="Z93" i="96"/>
  <c r="X94" i="96"/>
  <c r="Z94" i="96"/>
  <c r="X95" i="96"/>
  <c r="Z95" i="96"/>
  <c r="X96" i="96"/>
  <c r="Z96" i="96"/>
  <c r="X97" i="96"/>
  <c r="Z97" i="96"/>
  <c r="X98" i="96"/>
  <c r="Z98" i="96"/>
  <c r="X99" i="96"/>
  <c r="Z99" i="96"/>
  <c r="X100" i="96"/>
  <c r="Z100" i="96"/>
  <c r="X101" i="96"/>
  <c r="Z101" i="96"/>
  <c r="X102" i="96"/>
  <c r="Z102" i="96"/>
  <c r="X103" i="96"/>
  <c r="Z103" i="96"/>
  <c r="X104" i="96"/>
  <c r="Z104" i="96"/>
  <c r="X105" i="96"/>
  <c r="Z105" i="96"/>
  <c r="X106" i="96"/>
  <c r="Z106" i="96"/>
  <c r="X107" i="96"/>
  <c r="Z107" i="96"/>
  <c r="X108" i="96"/>
  <c r="Z108" i="96"/>
  <c r="X121" i="96"/>
  <c r="Z121" i="96"/>
  <c r="X115" i="96"/>
  <c r="Z115" i="96"/>
  <c r="Z2" i="96"/>
  <c r="X2" i="96"/>
  <c r="Z3" i="98"/>
  <c r="Z119" i="98"/>
  <c r="Z5" i="98"/>
  <c r="Z20" i="98"/>
  <c r="Z90" i="98"/>
  <c r="Z93" i="98"/>
  <c r="Z94" i="98"/>
  <c r="Z95" i="98"/>
  <c r="Z96" i="98"/>
  <c r="Z99" i="98"/>
  <c r="Z100" i="98"/>
  <c r="Z101" i="98"/>
  <c r="Z102" i="98"/>
  <c r="Z103" i="98"/>
  <c r="Z104" i="98"/>
  <c r="Z105" i="98"/>
  <c r="Z106" i="98"/>
  <c r="Z107" i="98"/>
  <c r="Z108" i="98"/>
  <c r="Z109" i="98"/>
  <c r="Z110" i="98"/>
  <c r="Z111" i="98"/>
  <c r="Z112" i="98"/>
  <c r="Z113" i="98"/>
  <c r="Z114" i="98"/>
  <c r="Z115" i="98"/>
  <c r="Z116" i="98"/>
  <c r="Z117" i="98"/>
  <c r="Z118" i="98"/>
  <c r="Z120" i="98"/>
  <c r="Z121" i="98"/>
  <c r="Z122" i="98"/>
  <c r="Z123" i="98"/>
  <c r="Z124" i="98"/>
  <c r="Z125" i="98"/>
  <c r="Z126" i="98"/>
  <c r="Z127" i="98"/>
  <c r="Z128" i="98"/>
  <c r="Z129" i="98"/>
  <c r="Z130" i="98"/>
  <c r="Z131" i="98"/>
  <c r="Z132" i="98"/>
  <c r="Z133" i="98"/>
  <c r="Z134" i="98"/>
  <c r="Z135" i="98"/>
  <c r="Z136" i="98"/>
  <c r="Z137" i="98"/>
  <c r="Z138" i="98"/>
  <c r="Z139" i="98"/>
  <c r="Z140" i="98"/>
  <c r="Z141" i="98"/>
  <c r="Z142" i="98"/>
  <c r="Z143" i="98"/>
  <c r="Z144" i="98"/>
  <c r="Z145" i="98"/>
  <c r="Z146" i="98"/>
  <c r="Z147" i="98"/>
  <c r="Z148" i="98"/>
  <c r="Z149" i="98"/>
  <c r="Z150" i="98"/>
  <c r="Z151" i="98"/>
  <c r="Z152" i="98"/>
  <c r="Z153" i="98"/>
  <c r="Z154" i="98"/>
  <c r="Z155" i="98"/>
  <c r="Z156" i="98"/>
  <c r="Z157" i="98"/>
  <c r="Z158" i="98"/>
  <c r="Z159" i="98"/>
  <c r="Z160" i="98"/>
  <c r="Z161" i="98"/>
  <c r="Z162" i="98"/>
  <c r="Z163" i="98"/>
  <c r="Z164" i="98"/>
  <c r="Z165" i="98"/>
  <c r="Z166" i="98"/>
  <c r="Z167" i="98"/>
  <c r="Z168" i="98"/>
  <c r="Z169" i="98"/>
  <c r="Z171" i="98"/>
  <c r="Z2" i="98"/>
  <c r="X2" i="98"/>
  <c r="O2" i="96"/>
  <c r="H2" i="96"/>
  <c r="I2" i="96"/>
  <c r="R2" i="96"/>
  <c r="X158" i="98"/>
  <c r="X157" i="98"/>
  <c r="M15" i="34"/>
  <c r="K14" i="34"/>
  <c r="J14" i="34"/>
  <c r="I14" i="34"/>
  <c r="H14" i="34"/>
  <c r="F14" i="34"/>
  <c r="E14" i="34"/>
  <c r="D14" i="34"/>
  <c r="C50" i="71"/>
  <c r="C51" i="71"/>
  <c r="C52" i="71"/>
  <c r="C49" i="71"/>
  <c r="R3" i="71"/>
  <c r="P3" i="71"/>
  <c r="O3" i="71"/>
  <c r="L3" i="71"/>
  <c r="Q3" i="71" s="1"/>
  <c r="S14" i="34"/>
  <c r="M14" i="34"/>
  <c r="U14" i="34"/>
  <c r="G14" i="34"/>
  <c r="M3" i="71"/>
  <c r="AV49" i="65"/>
  <c r="AV47" i="65"/>
  <c r="AV38" i="65"/>
  <c r="AV36" i="65"/>
  <c r="AV27" i="65"/>
  <c r="AV25" i="65"/>
  <c r="AV16" i="65"/>
  <c r="AV14" i="65"/>
  <c r="AV5" i="65"/>
  <c r="AV3" i="65"/>
  <c r="L14" i="34"/>
  <c r="P14" i="34"/>
  <c r="AV48" i="65"/>
  <c r="AV26" i="65"/>
  <c r="AV37" i="65"/>
  <c r="AV15" i="65"/>
  <c r="Q14" i="34"/>
  <c r="S13" i="34"/>
  <c r="R2" i="71"/>
  <c r="P2" i="71"/>
  <c r="O2" i="71"/>
  <c r="L2" i="71"/>
  <c r="M2" i="71" s="1"/>
  <c r="Q2" i="71"/>
  <c r="K13" i="34"/>
  <c r="J13" i="34"/>
  <c r="I13" i="34"/>
  <c r="H13" i="34"/>
  <c r="F13" i="34"/>
  <c r="E13" i="34"/>
  <c r="D13" i="34"/>
  <c r="U13" i="34"/>
  <c r="G13" i="34"/>
  <c r="D12" i="34"/>
  <c r="M13" i="34"/>
  <c r="L13" i="34"/>
  <c r="P13" i="34"/>
  <c r="Q13" i="34"/>
  <c r="O2" i="98"/>
  <c r="AC2" i="98" s="1"/>
  <c r="AE2" i="98" s="1"/>
  <c r="H2" i="98"/>
  <c r="I2" i="98"/>
  <c r="R4" i="71"/>
  <c r="R6" i="71"/>
  <c r="R7" i="71"/>
  <c r="R9" i="71"/>
  <c r="P4" i="71"/>
  <c r="P6" i="71"/>
  <c r="P7" i="71"/>
  <c r="P9" i="71"/>
  <c r="O4" i="71"/>
  <c r="O6" i="71"/>
  <c r="O7" i="71"/>
  <c r="O9" i="71"/>
  <c r="X149" i="98"/>
  <c r="X151" i="98"/>
  <c r="X153" i="98"/>
  <c r="X155" i="98"/>
  <c r="X156" i="98"/>
  <c r="X93" i="98"/>
  <c r="X20" i="98"/>
  <c r="X90" i="98"/>
  <c r="X159" i="98"/>
  <c r="X96" i="98"/>
  <c r="X94" i="98"/>
  <c r="X95" i="98"/>
  <c r="X160" i="98"/>
  <c r="X101" i="98"/>
  <c r="X99" i="98"/>
  <c r="X100" i="98"/>
  <c r="X161" i="98"/>
  <c r="X102" i="98"/>
  <c r="X104" i="98"/>
  <c r="X103" i="98"/>
  <c r="X162" i="98"/>
  <c r="X107" i="98"/>
  <c r="X105" i="98"/>
  <c r="X106" i="98"/>
  <c r="X163" i="98"/>
  <c r="X110" i="98"/>
  <c r="X108" i="98"/>
  <c r="X109" i="98"/>
  <c r="X164" i="98"/>
  <c r="X113" i="98"/>
  <c r="X111" i="98"/>
  <c r="X112" i="98"/>
  <c r="X165" i="98"/>
  <c r="X117" i="98"/>
  <c r="X114" i="98"/>
  <c r="X115" i="98"/>
  <c r="X166" i="98"/>
  <c r="X122" i="98"/>
  <c r="X118" i="98"/>
  <c r="X120" i="98"/>
  <c r="X167" i="98"/>
  <c r="X128" i="98"/>
  <c r="X123" i="98"/>
  <c r="X126" i="98"/>
  <c r="X168" i="98"/>
  <c r="X132" i="98"/>
  <c r="X129" i="98"/>
  <c r="X131" i="98"/>
  <c r="X169" i="98"/>
  <c r="X136" i="98"/>
  <c r="X133" i="98"/>
  <c r="X5" i="98"/>
  <c r="X135" i="98"/>
  <c r="X119" i="98"/>
  <c r="X171" i="98"/>
  <c r="X139" i="98"/>
  <c r="X137" i="98"/>
  <c r="X138" i="98"/>
  <c r="X142" i="98"/>
  <c r="X140" i="98"/>
  <c r="X141" i="98"/>
  <c r="X147" i="98"/>
  <c r="X143" i="98"/>
  <c r="X146" i="98"/>
  <c r="X127" i="98"/>
  <c r="X130" i="98"/>
  <c r="X148" i="98"/>
  <c r="X121" i="98"/>
  <c r="X124" i="98"/>
  <c r="X144" i="98"/>
  <c r="X3" i="98"/>
  <c r="X154" i="98"/>
  <c r="X145" i="98"/>
  <c r="X116" i="98"/>
  <c r="X125" i="98"/>
  <c r="X134" i="98"/>
  <c r="X150" i="98"/>
  <c r="X152" i="98"/>
  <c r="S17" i="34"/>
  <c r="K17" i="34"/>
  <c r="J17" i="34"/>
  <c r="I17" i="34"/>
  <c r="H17" i="34"/>
  <c r="F17" i="34"/>
  <c r="E17" i="34"/>
  <c r="D17" i="34"/>
  <c r="U17" i="34"/>
  <c r="G17" i="34"/>
  <c r="M17" i="34"/>
  <c r="L17" i="34"/>
  <c r="P17" i="34"/>
  <c r="Q17" i="34"/>
  <c r="C38" i="71"/>
  <c r="C39" i="71"/>
  <c r="C40" i="71"/>
  <c r="AB170" i="98" s="1"/>
  <c r="AD170" i="98" s="1"/>
  <c r="C37" i="71"/>
  <c r="AB119" i="98"/>
  <c r="AB5" i="98"/>
  <c r="AB20" i="98"/>
  <c r="AB114" i="98"/>
  <c r="AB138" i="98"/>
  <c r="AB95" i="98"/>
  <c r="AB103" i="98"/>
  <c r="AB106" i="98"/>
  <c r="AB109" i="98"/>
  <c r="AB126" i="98"/>
  <c r="AB132" i="98"/>
  <c r="AB131" i="98"/>
  <c r="AB136" i="98"/>
  <c r="AB135" i="98"/>
  <c r="AB139" i="98"/>
  <c r="AB90" i="98"/>
  <c r="AB100" i="98"/>
  <c r="AB120" i="98"/>
  <c r="AB128" i="98"/>
  <c r="AB137" i="98"/>
  <c r="AB107" i="98"/>
  <c r="AB110" i="98"/>
  <c r="AB112" i="98"/>
  <c r="AB122" i="98"/>
  <c r="AB123" i="98"/>
  <c r="AB129" i="98"/>
  <c r="AB133" i="98"/>
  <c r="AB96" i="98"/>
  <c r="AB101" i="98"/>
  <c r="AB102" i="98"/>
  <c r="AB105" i="98"/>
  <c r="AB108" i="98"/>
  <c r="AB113" i="98"/>
  <c r="AB115" i="98"/>
  <c r="AB118" i="98"/>
  <c r="AB93" i="98"/>
  <c r="AB94" i="98"/>
  <c r="AB99" i="98"/>
  <c r="AB104" i="98"/>
  <c r="AB111" i="98"/>
  <c r="AB143" i="98"/>
  <c r="AB124" i="98"/>
  <c r="AB134" i="98"/>
  <c r="AB3" i="98"/>
  <c r="AB142" i="98"/>
  <c r="AB127" i="98"/>
  <c r="AB125" i="98"/>
  <c r="AB130" i="98"/>
  <c r="AB116" i="98"/>
  <c r="AB144" i="98"/>
  <c r="AB140" i="98"/>
  <c r="AB121" i="98"/>
  <c r="K16" i="34"/>
  <c r="J16" i="34"/>
  <c r="I16" i="34"/>
  <c r="H16" i="34"/>
  <c r="F16" i="34"/>
  <c r="E16" i="34"/>
  <c r="D16" i="34"/>
  <c r="L7" i="71"/>
  <c r="Q7" i="71" s="1"/>
  <c r="M7" i="71"/>
  <c r="G16" i="34"/>
  <c r="K15" i="34"/>
  <c r="J15" i="34"/>
  <c r="I15" i="34"/>
  <c r="H15" i="34"/>
  <c r="F15" i="34"/>
  <c r="E15" i="34"/>
  <c r="D15" i="34"/>
  <c r="G15" i="34"/>
  <c r="U16" i="34"/>
  <c r="S15" i="34"/>
  <c r="U15" i="34"/>
  <c r="S16" i="34"/>
  <c r="M16" i="34"/>
  <c r="L16" i="34"/>
  <c r="L15" i="34"/>
  <c r="K12" i="34"/>
  <c r="J12" i="34"/>
  <c r="I12" i="34"/>
  <c r="H12" i="34"/>
  <c r="F12" i="34"/>
  <c r="E12" i="34"/>
  <c r="G12" i="34"/>
  <c r="H13" i="56"/>
  <c r="H12" i="56"/>
  <c r="S12" i="34"/>
  <c r="U12" i="34"/>
  <c r="M12" i="34"/>
  <c r="P16" i="34"/>
  <c r="P15" i="34"/>
  <c r="P12" i="34"/>
  <c r="L12" i="34"/>
  <c r="Q16" i="34"/>
  <c r="R16" i="34"/>
  <c r="T16" i="34" s="1"/>
  <c r="Q15" i="34"/>
  <c r="Q12" i="34"/>
  <c r="H21" i="56"/>
  <c r="H20" i="56"/>
  <c r="H19" i="56"/>
  <c r="H18" i="56"/>
  <c r="O12" i="34"/>
  <c r="C26" i="71"/>
  <c r="C25" i="71"/>
  <c r="B37" i="34"/>
  <c r="M15" i="65" s="1"/>
  <c r="AC3" i="65"/>
  <c r="AB3" i="65"/>
  <c r="C2" i="71"/>
  <c r="L6" i="71"/>
  <c r="M6" i="71" s="1"/>
  <c r="Q6" i="71"/>
  <c r="B36" i="34"/>
  <c r="M14" i="65" s="1"/>
  <c r="H7" i="56"/>
  <c r="H8" i="56"/>
  <c r="L9" i="71"/>
  <c r="Q9" i="71" s="1"/>
  <c r="M9" i="71"/>
  <c r="P22" i="65"/>
  <c r="L4" i="71"/>
  <c r="Q4" i="71"/>
  <c r="M4" i="71"/>
  <c r="B31" i="34"/>
  <c r="BD13" i="65" s="1"/>
  <c r="AV4" i="65"/>
  <c r="AD34" i="65"/>
  <c r="AM39" i="65"/>
  <c r="AM50" i="65"/>
  <c r="AM28" i="65"/>
  <c r="AQ28" i="65"/>
  <c r="AQ50" i="65"/>
  <c r="AO41" i="65"/>
  <c r="AU52" i="65"/>
  <c r="AR52" i="65"/>
  <c r="AO52" i="65"/>
  <c r="AQ39" i="65"/>
  <c r="AO30" i="65"/>
  <c r="AU41" i="65"/>
  <c r="AR41" i="65"/>
  <c r="AX47" i="65"/>
  <c r="AX49" i="65"/>
  <c r="AX48" i="65"/>
  <c r="AX36" i="65"/>
  <c r="AX37" i="65"/>
  <c r="AX38" i="65"/>
  <c r="AX25" i="65"/>
  <c r="AX26" i="65"/>
  <c r="AX27" i="65"/>
  <c r="X3" i="65"/>
  <c r="C26" i="34"/>
  <c r="L10" i="65"/>
  <c r="BI4" i="65"/>
  <c r="AR30" i="65"/>
  <c r="AU30" i="65"/>
  <c r="AB156" i="98"/>
  <c r="AB160" i="98"/>
  <c r="AB171" i="98"/>
  <c r="AB147" i="98"/>
  <c r="AB150" i="98"/>
  <c r="AB148" i="98"/>
  <c r="AB159" i="98"/>
  <c r="AB163" i="98"/>
  <c r="AB166" i="98"/>
  <c r="AB146" i="98"/>
  <c r="AB149" i="98"/>
  <c r="AB164" i="98"/>
  <c r="AB162" i="98"/>
  <c r="AB168" i="98"/>
  <c r="AB158" i="98"/>
  <c r="AB165" i="98"/>
  <c r="AB161" i="98"/>
  <c r="N12" i="34"/>
  <c r="R12" i="34"/>
  <c r="T12" i="34" s="1"/>
  <c r="O13" i="34"/>
  <c r="N13" i="34"/>
  <c r="O16" i="34"/>
  <c r="R13" i="34"/>
  <c r="T13" i="34" s="1"/>
  <c r="N16" i="34"/>
  <c r="T36" i="100"/>
  <c r="T30" i="100"/>
  <c r="T133" i="98"/>
  <c r="T154" i="98"/>
  <c r="T160" i="98"/>
  <c r="T106" i="98"/>
  <c r="T107" i="98"/>
  <c r="T4" i="100"/>
  <c r="T24" i="100"/>
  <c r="AM17" i="65"/>
  <c r="AQ17" i="65"/>
  <c r="AX16" i="65"/>
  <c r="BH18" i="65" l="1"/>
  <c r="AD36" i="65"/>
  <c r="AW27" i="65" s="1"/>
  <c r="AY27" i="65" s="1"/>
  <c r="T2" i="96"/>
  <c r="AC2" i="96"/>
  <c r="AE2" i="96" s="1"/>
  <c r="AD2" i="98"/>
  <c r="AB167" i="98"/>
  <c r="AB169" i="98"/>
  <c r="AD169" i="98" s="1"/>
  <c r="AB154" i="98"/>
  <c r="AD154" i="98" s="1"/>
  <c r="AB141" i="98"/>
  <c r="AB152" i="98"/>
  <c r="AB145" i="98"/>
  <c r="AD145" i="98" s="1"/>
  <c r="AB151" i="98"/>
  <c r="AD151" i="98" s="1"/>
  <c r="AB157" i="98"/>
  <c r="AD157" i="98" s="1"/>
  <c r="AA116" i="96"/>
  <c r="U28" i="100"/>
  <c r="V28" i="100" s="1"/>
  <c r="W28" i="100" s="1"/>
  <c r="AA28" i="100" s="1"/>
  <c r="U7" i="100"/>
  <c r="V7" i="100" s="1"/>
  <c r="W7" i="100" s="1"/>
  <c r="Y7" i="100" s="1"/>
  <c r="U21" i="100"/>
  <c r="V21" i="100" s="1"/>
  <c r="W21" i="100" s="1"/>
  <c r="T46" i="100"/>
  <c r="AD29" i="100"/>
  <c r="N2" i="100"/>
  <c r="Q2" i="100" s="1"/>
  <c r="U2" i="100" s="1"/>
  <c r="V2" i="100" s="1"/>
  <c r="W2" i="100" s="1"/>
  <c r="AA2" i="100" s="1"/>
  <c r="AD48" i="100"/>
  <c r="AX15" i="65"/>
  <c r="AX14" i="65"/>
  <c r="AF18" i="65"/>
  <c r="AO8" i="65" s="1"/>
  <c r="S18" i="34"/>
  <c r="U18" i="34"/>
  <c r="L18" i="65"/>
  <c r="G18" i="34"/>
  <c r="AD9" i="65"/>
  <c r="T18" i="102"/>
  <c r="T157" i="98"/>
  <c r="T145" i="98"/>
  <c r="T87" i="98"/>
  <c r="T139" i="98"/>
  <c r="T156" i="98"/>
  <c r="T151" i="98"/>
  <c r="T119" i="98"/>
  <c r="AD40" i="100"/>
  <c r="U36" i="100"/>
  <c r="V36" i="100" s="1"/>
  <c r="W36" i="100" s="1"/>
  <c r="AA36" i="100" s="1"/>
  <c r="T27" i="100"/>
  <c r="AD23" i="100"/>
  <c r="T41" i="100"/>
  <c r="U25" i="100"/>
  <c r="V25" i="100" s="1"/>
  <c r="W25" i="100" s="1"/>
  <c r="Y25" i="100" s="1"/>
  <c r="T48" i="100"/>
  <c r="U4" i="100"/>
  <c r="V4" i="100" s="1"/>
  <c r="W4" i="100" s="1"/>
  <c r="Y4" i="100" s="1"/>
  <c r="T2" i="100"/>
  <c r="AD21" i="100"/>
  <c r="U24" i="100"/>
  <c r="V24" i="100" s="1"/>
  <c r="W24" i="100" s="1"/>
  <c r="AA24" i="100" s="1"/>
  <c r="T47" i="100"/>
  <c r="U45" i="100"/>
  <c r="V45" i="100" s="1"/>
  <c r="W45" i="100" s="1"/>
  <c r="Y45" i="100" s="1"/>
  <c r="U39" i="100"/>
  <c r="V39" i="100" s="1"/>
  <c r="W39" i="100" s="1"/>
  <c r="T162" i="98"/>
  <c r="T168" i="98"/>
  <c r="T123" i="98"/>
  <c r="U106" i="98"/>
  <c r="V106" i="98" s="1"/>
  <c r="W106" i="98" s="1"/>
  <c r="AA106" i="98" s="1"/>
  <c r="U148" i="98"/>
  <c r="V148" i="98" s="1"/>
  <c r="W148" i="98" s="1"/>
  <c r="AA148" i="98" s="1"/>
  <c r="BH14" i="65"/>
  <c r="K13" i="65"/>
  <c r="U114" i="98"/>
  <c r="V114" i="98" s="1"/>
  <c r="W114" i="98" s="1"/>
  <c r="AA114" i="98" s="1"/>
  <c r="U99" i="98"/>
  <c r="V99" i="98" s="1"/>
  <c r="W99" i="98" s="1"/>
  <c r="AA99" i="98" s="1"/>
  <c r="U21" i="98"/>
  <c r="V21" i="98" s="1"/>
  <c r="W21" i="98" s="1"/>
  <c r="AA21" i="98" s="1"/>
  <c r="U131" i="98"/>
  <c r="V131" i="98" s="1"/>
  <c r="W131" i="98" s="1"/>
  <c r="AA131" i="98" s="1"/>
  <c r="T147" i="98"/>
  <c r="T153" i="98"/>
  <c r="T144" i="98"/>
  <c r="U117" i="98"/>
  <c r="V117" i="98" s="1"/>
  <c r="W117" i="98" s="1"/>
  <c r="AA117" i="98" s="1"/>
  <c r="U128" i="98"/>
  <c r="V128" i="98" s="1"/>
  <c r="W128" i="98" s="1"/>
  <c r="AA128" i="98" s="1"/>
  <c r="T132" i="98"/>
  <c r="AD138" i="98"/>
  <c r="U132" i="98"/>
  <c r="V132" i="98" s="1"/>
  <c r="W132" i="98" s="1"/>
  <c r="AA132" i="98" s="1"/>
  <c r="U139" i="98"/>
  <c r="V139" i="98" s="1"/>
  <c r="W139" i="98" s="1"/>
  <c r="AA139" i="98" s="1"/>
  <c r="T99" i="98"/>
  <c r="T96" i="98"/>
  <c r="T120" i="98"/>
  <c r="T117" i="98"/>
  <c r="U88" i="98"/>
  <c r="V88" i="98" s="1"/>
  <c r="W88" i="98" s="1"/>
  <c r="AA88" i="98" s="1"/>
  <c r="T93" i="98"/>
  <c r="U168" i="98"/>
  <c r="V168" i="98" s="1"/>
  <c r="W168" i="98" s="1"/>
  <c r="AA168" i="98" s="1"/>
  <c r="U162" i="98"/>
  <c r="V162" i="98" s="1"/>
  <c r="W162" i="98" s="1"/>
  <c r="AA162" i="98" s="1"/>
  <c r="U156" i="98"/>
  <c r="V156" i="98" s="1"/>
  <c r="W156" i="98" s="1"/>
  <c r="AA156" i="98" s="1"/>
  <c r="U153" i="98"/>
  <c r="V153" i="98" s="1"/>
  <c r="W153" i="98" s="1"/>
  <c r="AA153" i="98" s="1"/>
  <c r="U147" i="98"/>
  <c r="V147" i="98" s="1"/>
  <c r="W147" i="98" s="1"/>
  <c r="AA147" i="98" s="1"/>
  <c r="U144" i="98"/>
  <c r="V144" i="98" s="1"/>
  <c r="W144" i="98" s="1"/>
  <c r="AA144" i="98" s="1"/>
  <c r="U141" i="98"/>
  <c r="V141" i="98" s="1"/>
  <c r="W141" i="98" s="1"/>
  <c r="AA141" i="98" s="1"/>
  <c r="U138" i="98"/>
  <c r="V138" i="98" s="1"/>
  <c r="W138" i="98" s="1"/>
  <c r="AA138" i="98" s="1"/>
  <c r="U135" i="98"/>
  <c r="V135" i="98" s="1"/>
  <c r="W135" i="98" s="1"/>
  <c r="AA135" i="98" s="1"/>
  <c r="T171" i="98"/>
  <c r="U122" i="98"/>
  <c r="V122" i="98" s="1"/>
  <c r="W122" i="98" s="1"/>
  <c r="AA122" i="98" s="1"/>
  <c r="U116" i="98"/>
  <c r="V116" i="98" s="1"/>
  <c r="W116" i="98" s="1"/>
  <c r="AA116" i="98" s="1"/>
  <c r="T134" i="98"/>
  <c r="AD146" i="98"/>
  <c r="AD88" i="98"/>
  <c r="AD155" i="98"/>
  <c r="T140" i="98"/>
  <c r="T161" i="98"/>
  <c r="U161" i="98"/>
  <c r="V161" i="98" s="1"/>
  <c r="W161" i="98" s="1"/>
  <c r="AA161" i="98" s="1"/>
  <c r="U140" i="98"/>
  <c r="V140" i="98" s="1"/>
  <c r="W140" i="98" s="1"/>
  <c r="AA140" i="98" s="1"/>
  <c r="U134" i="98"/>
  <c r="V134" i="98" s="1"/>
  <c r="W134" i="98" s="1"/>
  <c r="AA134" i="98" s="1"/>
  <c r="AD121" i="98"/>
  <c r="T112" i="98"/>
  <c r="T109" i="98"/>
  <c r="T121" i="98"/>
  <c r="U127" i="98"/>
  <c r="V127" i="98" s="1"/>
  <c r="W127" i="98" s="1"/>
  <c r="AA127" i="98" s="1"/>
  <c r="T5" i="98"/>
  <c r="U124" i="98"/>
  <c r="V124" i="98" s="1"/>
  <c r="W124" i="98" s="1"/>
  <c r="AA124" i="98" s="1"/>
  <c r="U103" i="98"/>
  <c r="V103" i="98" s="1"/>
  <c r="W103" i="98" s="1"/>
  <c r="AA103" i="98" s="1"/>
  <c r="T127" i="98"/>
  <c r="T21" i="98"/>
  <c r="AD21" i="98"/>
  <c r="U87" i="98"/>
  <c r="V87" i="98" s="1"/>
  <c r="W87" i="98" s="1"/>
  <c r="AA87" i="98" s="1"/>
  <c r="AD91" i="98"/>
  <c r="U164" i="98"/>
  <c r="V164" i="98" s="1"/>
  <c r="W164" i="98" s="1"/>
  <c r="AA164" i="98" s="1"/>
  <c r="U152" i="98"/>
  <c r="V152" i="98" s="1"/>
  <c r="W152" i="98" s="1"/>
  <c r="AA152" i="98" s="1"/>
  <c r="T2" i="98"/>
  <c r="U90" i="98"/>
  <c r="V90" i="98" s="1"/>
  <c r="W90" i="98" s="1"/>
  <c r="AA90" i="98" s="1"/>
  <c r="T113" i="98"/>
  <c r="U123" i="98"/>
  <c r="V123" i="98" s="1"/>
  <c r="W123" i="98" s="1"/>
  <c r="AA123" i="98" s="1"/>
  <c r="U120" i="98"/>
  <c r="V120" i="98" s="1"/>
  <c r="W120" i="98" s="1"/>
  <c r="AA120" i="98" s="1"/>
  <c r="U119" i="98"/>
  <c r="V119" i="98" s="1"/>
  <c r="W119" i="98" s="1"/>
  <c r="AA119" i="98" s="1"/>
  <c r="U107" i="98"/>
  <c r="V107" i="98" s="1"/>
  <c r="W107" i="98" s="1"/>
  <c r="AA107" i="98" s="1"/>
  <c r="U101" i="98"/>
  <c r="V101" i="98" s="1"/>
  <c r="W101" i="98" s="1"/>
  <c r="AA101" i="98" s="1"/>
  <c r="U20" i="98"/>
  <c r="V20" i="98" s="1"/>
  <c r="W20" i="98" s="1"/>
  <c r="AA20" i="98" s="1"/>
  <c r="U89" i="98"/>
  <c r="V89" i="98" s="1"/>
  <c r="W89" i="98" s="1"/>
  <c r="AA89" i="98" s="1"/>
  <c r="T108" i="98"/>
  <c r="T95" i="98"/>
  <c r="T149" i="98"/>
  <c r="AD125" i="98"/>
  <c r="AD153" i="98"/>
  <c r="U151" i="98"/>
  <c r="V151" i="98" s="1"/>
  <c r="W151" i="98" s="1"/>
  <c r="AA151" i="98" s="1"/>
  <c r="U165" i="98"/>
  <c r="V165" i="98" s="1"/>
  <c r="W165" i="98" s="1"/>
  <c r="AA165" i="98" s="1"/>
  <c r="T111" i="98"/>
  <c r="T148" i="98"/>
  <c r="T98" i="98"/>
  <c r="U155" i="98"/>
  <c r="V155" i="98" s="1"/>
  <c r="W155" i="98" s="1"/>
  <c r="AA155" i="98" s="1"/>
  <c r="U142" i="98"/>
  <c r="V142" i="98" s="1"/>
  <c r="W142" i="98" s="1"/>
  <c r="AA142" i="98" s="1"/>
  <c r="U136" i="98"/>
  <c r="V136" i="98" s="1"/>
  <c r="W136" i="98" s="1"/>
  <c r="AA136" i="98" s="1"/>
  <c r="AD114" i="98"/>
  <c r="T163" i="98"/>
  <c r="T131" i="98"/>
  <c r="T102" i="98"/>
  <c r="T152" i="98"/>
  <c r="T136" i="98"/>
  <c r="T142" i="98"/>
  <c r="N2" i="98"/>
  <c r="P2" i="98" s="1"/>
  <c r="U129" i="98"/>
  <c r="V129" i="98" s="1"/>
  <c r="W129" i="98" s="1"/>
  <c r="AA129" i="98" s="1"/>
  <c r="U105" i="98"/>
  <c r="V105" i="98" s="1"/>
  <c r="W105" i="98" s="1"/>
  <c r="AA105" i="98" s="1"/>
  <c r="O14" i="34"/>
  <c r="N14" i="34" s="1"/>
  <c r="U23" i="100"/>
  <c r="V23" i="100" s="1"/>
  <c r="W23" i="100" s="1"/>
  <c r="Y23" i="100" s="1"/>
  <c r="N3" i="100"/>
  <c r="P3" i="100" s="1"/>
  <c r="R14" i="34"/>
  <c r="T14" i="34" s="1"/>
  <c r="U38" i="100"/>
  <c r="V38" i="100" s="1"/>
  <c r="W38" i="100" s="1"/>
  <c r="Y38" i="100" s="1"/>
  <c r="U27" i="100"/>
  <c r="V27" i="100" s="1"/>
  <c r="W27" i="100" s="1"/>
  <c r="Y27" i="100" s="1"/>
  <c r="AD5" i="100"/>
  <c r="T43" i="100"/>
  <c r="T19" i="100"/>
  <c r="T6" i="100"/>
  <c r="T28" i="100"/>
  <c r="T42" i="100"/>
  <c r="T37" i="100"/>
  <c r="T22" i="100"/>
  <c r="T39" i="100"/>
  <c r="AD38" i="100"/>
  <c r="T38" i="100"/>
  <c r="T3" i="100"/>
  <c r="T104" i="96"/>
  <c r="T94" i="96"/>
  <c r="O17" i="34"/>
  <c r="N17" i="34" s="1"/>
  <c r="T118" i="98"/>
  <c r="AD107" i="98"/>
  <c r="T166" i="98"/>
  <c r="T158" i="98"/>
  <c r="AD115" i="98"/>
  <c r="T126" i="98"/>
  <c r="AD104" i="98"/>
  <c r="T115" i="98"/>
  <c r="AD92" i="98"/>
  <c r="AD159" i="98"/>
  <c r="T169" i="98"/>
  <c r="T3" i="98"/>
  <c r="AD160" i="98"/>
  <c r="T114" i="98"/>
  <c r="T135" i="98"/>
  <c r="R17" i="34"/>
  <c r="T17" i="34" s="1"/>
  <c r="AD109" i="98"/>
  <c r="AD120" i="98"/>
  <c r="AD108" i="98"/>
  <c r="T29" i="96"/>
  <c r="AD18" i="65"/>
  <c r="M13" i="65"/>
  <c r="K14" i="65"/>
  <c r="BH13" i="65"/>
  <c r="BG4" i="65"/>
  <c r="U28" i="96"/>
  <c r="V28" i="96" s="1"/>
  <c r="W28" i="96" s="1"/>
  <c r="AA28" i="96" s="1"/>
  <c r="AD26" i="102"/>
  <c r="AD58" i="102"/>
  <c r="U15" i="102"/>
  <c r="V15" i="102" s="1"/>
  <c r="W15" i="102" s="1"/>
  <c r="T52" i="102"/>
  <c r="AX5" i="65"/>
  <c r="U31" i="96"/>
  <c r="V31" i="96" s="1"/>
  <c r="W31" i="96" s="1"/>
  <c r="AA31" i="96" s="1"/>
  <c r="T103" i="96"/>
  <c r="T35" i="96"/>
  <c r="AD17" i="96"/>
  <c r="AD70" i="96"/>
  <c r="U17" i="96"/>
  <c r="V17" i="96" s="1"/>
  <c r="W17" i="96" s="1"/>
  <c r="AA17" i="96" s="1"/>
  <c r="T18" i="96"/>
  <c r="U30" i="96"/>
  <c r="V30" i="96" s="1"/>
  <c r="W30" i="96" s="1"/>
  <c r="U18" i="96"/>
  <c r="V18" i="96" s="1"/>
  <c r="W18" i="96" s="1"/>
  <c r="AA18" i="96" s="1"/>
  <c r="T86" i="96"/>
  <c r="AD104" i="96"/>
  <c r="T106" i="96"/>
  <c r="U97" i="96"/>
  <c r="V97" i="96" s="1"/>
  <c r="W97" i="96" s="1"/>
  <c r="U10" i="96"/>
  <c r="V10" i="96" s="1"/>
  <c r="W10" i="96" s="1"/>
  <c r="AA10" i="96" s="1"/>
  <c r="AD98" i="96"/>
  <c r="U78" i="96"/>
  <c r="V78" i="96" s="1"/>
  <c r="W78" i="96" s="1"/>
  <c r="U55" i="96"/>
  <c r="V55" i="96" s="1"/>
  <c r="W55" i="96" s="1"/>
  <c r="U43" i="96"/>
  <c r="V43" i="96" s="1"/>
  <c r="W43" i="96" s="1"/>
  <c r="AA43" i="96" s="1"/>
  <c r="U108" i="96"/>
  <c r="V108" i="96" s="1"/>
  <c r="W108" i="96" s="1"/>
  <c r="AA108" i="96" s="1"/>
  <c r="U111" i="96"/>
  <c r="V111" i="96" s="1"/>
  <c r="W111" i="96" s="1"/>
  <c r="U117" i="96"/>
  <c r="V117" i="96" s="1"/>
  <c r="W117" i="96" s="1"/>
  <c r="U110" i="96"/>
  <c r="V110" i="96" s="1"/>
  <c r="W110" i="96" s="1"/>
  <c r="AA110" i="96" s="1"/>
  <c r="T27" i="96"/>
  <c r="T111" i="96"/>
  <c r="U112" i="96"/>
  <c r="V112" i="96" s="1"/>
  <c r="W112" i="96" s="1"/>
  <c r="AA112" i="96" s="1"/>
  <c r="T110" i="96"/>
  <c r="AD112" i="96"/>
  <c r="U35" i="96"/>
  <c r="V35" i="96" s="1"/>
  <c r="W35" i="96" s="1"/>
  <c r="T67" i="96"/>
  <c r="T69" i="96"/>
  <c r="U64" i="96"/>
  <c r="V64" i="96" s="1"/>
  <c r="W64" i="96" s="1"/>
  <c r="T6" i="96"/>
  <c r="AD107" i="96"/>
  <c r="AD83" i="96"/>
  <c r="T57" i="96"/>
  <c r="T46" i="96"/>
  <c r="U74" i="96"/>
  <c r="V74" i="96" s="1"/>
  <c r="W74" i="96" s="1"/>
  <c r="U22" i="96"/>
  <c r="V22" i="96" s="1"/>
  <c r="W22" i="96" s="1"/>
  <c r="AA22" i="96" s="1"/>
  <c r="AD76" i="96"/>
  <c r="R15" i="34"/>
  <c r="T15" i="34" s="1"/>
  <c r="T55" i="96"/>
  <c r="T107" i="96"/>
  <c r="U98" i="96"/>
  <c r="V98" i="96" s="1"/>
  <c r="W98" i="96" s="1"/>
  <c r="AA98" i="96" s="1"/>
  <c r="T31" i="96"/>
  <c r="AD96" i="96"/>
  <c r="U24" i="96"/>
  <c r="V24" i="96" s="1"/>
  <c r="W24" i="96" s="1"/>
  <c r="AA24" i="96" s="1"/>
  <c r="T25" i="96"/>
  <c r="AD101" i="96"/>
  <c r="U59" i="96"/>
  <c r="V59" i="96" s="1"/>
  <c r="W59" i="96" s="1"/>
  <c r="U36" i="96"/>
  <c r="V36" i="96" s="1"/>
  <c r="W36" i="96" s="1"/>
  <c r="AA36" i="96" s="1"/>
  <c r="U46" i="96"/>
  <c r="V46" i="96" s="1"/>
  <c r="W46" i="96" s="1"/>
  <c r="AA46" i="96" s="1"/>
  <c r="AD81" i="96"/>
  <c r="U58" i="96"/>
  <c r="V58" i="96" s="1"/>
  <c r="W58" i="96" s="1"/>
  <c r="AA58" i="96" s="1"/>
  <c r="T10" i="96"/>
  <c r="T65" i="96"/>
  <c r="AD24" i="96"/>
  <c r="U77" i="96"/>
  <c r="V77" i="96" s="1"/>
  <c r="W77" i="96" s="1"/>
  <c r="U34" i="96"/>
  <c r="V34" i="96" s="1"/>
  <c r="W34" i="96" s="1"/>
  <c r="AA34" i="96" s="1"/>
  <c r="AD10" i="96"/>
  <c r="U65" i="96"/>
  <c r="V65" i="96" s="1"/>
  <c r="W65" i="96" s="1"/>
  <c r="AA65" i="96" s="1"/>
  <c r="U44" i="96"/>
  <c r="V44" i="96" s="1"/>
  <c r="W44" i="96" s="1"/>
  <c r="T56" i="96"/>
  <c r="T90" i="96"/>
  <c r="T33" i="96"/>
  <c r="T85" i="96"/>
  <c r="AD59" i="96"/>
  <c r="T30" i="96"/>
  <c r="U87" i="96"/>
  <c r="V87" i="96" s="1"/>
  <c r="W87" i="96" s="1"/>
  <c r="T42" i="96"/>
  <c r="AD20" i="96"/>
  <c r="T101" i="96"/>
  <c r="T9" i="96"/>
  <c r="T92" i="96"/>
  <c r="U86" i="96"/>
  <c r="V86" i="96" s="1"/>
  <c r="W86" i="96" s="1"/>
  <c r="AA86" i="96" s="1"/>
  <c r="U29" i="96"/>
  <c r="V29" i="96" s="1"/>
  <c r="W29" i="96" s="1"/>
  <c r="AA29" i="96" s="1"/>
  <c r="AD32" i="96"/>
  <c r="U104" i="96"/>
  <c r="V104" i="96" s="1"/>
  <c r="W104" i="96" s="1"/>
  <c r="T39" i="96"/>
  <c r="T108" i="96"/>
  <c r="AD110" i="96"/>
  <c r="T8" i="96"/>
  <c r="T61" i="96"/>
  <c r="T20" i="96"/>
  <c r="U48" i="96"/>
  <c r="V48" i="96" s="1"/>
  <c r="W48" i="96" s="1"/>
  <c r="AA48" i="96" s="1"/>
  <c r="T5" i="96"/>
  <c r="AD9" i="96"/>
  <c r="T59" i="96"/>
  <c r="U21" i="96"/>
  <c r="V21" i="96" s="1"/>
  <c r="W21" i="96" s="1"/>
  <c r="AA21" i="96" s="1"/>
  <c r="T58" i="96"/>
  <c r="O15" i="34"/>
  <c r="N15" i="34" s="1"/>
  <c r="AD84" i="96"/>
  <c r="T34" i="96"/>
  <c r="T97" i="96"/>
  <c r="T11" i="96"/>
  <c r="AD53" i="96"/>
  <c r="AD54" i="96"/>
  <c r="U61" i="96"/>
  <c r="V61" i="96" s="1"/>
  <c r="W61" i="96" s="1"/>
  <c r="AA61" i="96" s="1"/>
  <c r="T22" i="96"/>
  <c r="AD22" i="96"/>
  <c r="T60" i="96"/>
  <c r="T72" i="96"/>
  <c r="T32" i="96"/>
  <c r="AD23" i="96"/>
  <c r="T53" i="96"/>
  <c r="AA9" i="65"/>
  <c r="AQ6" i="65" s="1"/>
  <c r="T50" i="96"/>
  <c r="T81" i="96"/>
  <c r="AD63" i="96"/>
  <c r="U51" i="96"/>
  <c r="V51" i="96" s="1"/>
  <c r="W51" i="96" s="1"/>
  <c r="U32" i="96"/>
  <c r="V32" i="96" s="1"/>
  <c r="W32" i="96" s="1"/>
  <c r="U41" i="96"/>
  <c r="V41" i="96" s="1"/>
  <c r="W41" i="96" s="1"/>
  <c r="AA41" i="96" s="1"/>
  <c r="T40" i="96"/>
  <c r="AC18" i="65"/>
  <c r="AD40" i="96"/>
  <c r="AD73" i="96"/>
  <c r="T73" i="96"/>
  <c r="T16" i="96"/>
  <c r="T62" i="96"/>
  <c r="AD11" i="96"/>
  <c r="T3" i="96"/>
  <c r="AD3" i="96"/>
  <c r="T82" i="96"/>
  <c r="AD115" i="96"/>
  <c r="T89" i="96"/>
  <c r="T114" i="96"/>
  <c r="T95" i="96"/>
  <c r="AD95" i="96"/>
  <c r="T102" i="96"/>
  <c r="T113" i="96"/>
  <c r="T118" i="96"/>
  <c r="T68" i="96"/>
  <c r="N2" i="96"/>
  <c r="P2" i="96" s="1"/>
  <c r="AD80" i="96"/>
  <c r="T41" i="96"/>
  <c r="AD109" i="96"/>
  <c r="T109" i="96"/>
  <c r="AD100" i="96"/>
  <c r="T21" i="96"/>
  <c r="AD41" i="96"/>
  <c r="T47" i="96"/>
  <c r="T74" i="96"/>
  <c r="T75" i="96"/>
  <c r="AD49" i="96"/>
  <c r="AD69" i="96"/>
  <c r="T28" i="102"/>
  <c r="U66" i="102"/>
  <c r="V66" i="102" s="1"/>
  <c r="W66" i="102" s="1"/>
  <c r="Y66" i="102" s="1"/>
  <c r="U60" i="102"/>
  <c r="V60" i="102" s="1"/>
  <c r="W60" i="102" s="1"/>
  <c r="T34" i="102"/>
  <c r="U34" i="102"/>
  <c r="V34" i="102" s="1"/>
  <c r="W34" i="102" s="1"/>
  <c r="Y34" i="102" s="1"/>
  <c r="AD63" i="102"/>
  <c r="AD41" i="102"/>
  <c r="U61" i="102"/>
  <c r="V61" i="102" s="1"/>
  <c r="W61" i="102" s="1"/>
  <c r="U28" i="102"/>
  <c r="V28" i="102" s="1"/>
  <c r="W28" i="102" s="1"/>
  <c r="U54" i="102"/>
  <c r="V54" i="102" s="1"/>
  <c r="W54" i="102" s="1"/>
  <c r="T17" i="102"/>
  <c r="AD54" i="102"/>
  <c r="T20" i="102"/>
  <c r="T35" i="102"/>
  <c r="U42" i="102"/>
  <c r="V42" i="102" s="1"/>
  <c r="W42" i="102" s="1"/>
  <c r="AA42" i="102" s="1"/>
  <c r="AD18" i="102"/>
  <c r="M18" i="34"/>
  <c r="AD4" i="102"/>
  <c r="U27" i="102"/>
  <c r="V27" i="102" s="1"/>
  <c r="W27" i="102" s="1"/>
  <c r="T40" i="102"/>
  <c r="AD3" i="102"/>
  <c r="T59" i="102"/>
  <c r="AD66" i="102"/>
  <c r="U52" i="102"/>
  <c r="V52" i="102" s="1"/>
  <c r="W52" i="102" s="1"/>
  <c r="Y52" i="102" s="1"/>
  <c r="AD117" i="98"/>
  <c r="AD119" i="98"/>
  <c r="AD171" i="98"/>
  <c r="AD3" i="98"/>
  <c r="AD96" i="98"/>
  <c r="AD67" i="96"/>
  <c r="AD5" i="98"/>
  <c r="AD118" i="96"/>
  <c r="AD106" i="98"/>
  <c r="AD27" i="100"/>
  <c r="AD168" i="98"/>
  <c r="AD18" i="100"/>
  <c r="AD93" i="98"/>
  <c r="AD134" i="98"/>
  <c r="AD15" i="102"/>
  <c r="AD61" i="102"/>
  <c r="AD42" i="96"/>
  <c r="AD20" i="102"/>
  <c r="AD92" i="96"/>
  <c r="AD90" i="96"/>
  <c r="T19" i="102"/>
  <c r="AD17" i="102"/>
  <c r="AD86" i="96"/>
  <c r="U19" i="102"/>
  <c r="V19" i="102" s="1"/>
  <c r="W19" i="102" s="1"/>
  <c r="AA19" i="102" s="1"/>
  <c r="T36" i="102"/>
  <c r="T38" i="102"/>
  <c r="U38" i="102"/>
  <c r="V38" i="102" s="1"/>
  <c r="W38" i="102" s="1"/>
  <c r="AD38" i="102"/>
  <c r="U41" i="102"/>
  <c r="V41" i="102" s="1"/>
  <c r="W41" i="102" s="1"/>
  <c r="AA41" i="102" s="1"/>
  <c r="AD31" i="102"/>
  <c r="AD2" i="102"/>
  <c r="U33" i="102"/>
  <c r="V33" i="102" s="1"/>
  <c r="W33" i="102" s="1"/>
  <c r="AA33" i="102" s="1"/>
  <c r="T22" i="102"/>
  <c r="AD34" i="96"/>
  <c r="AD46" i="100"/>
  <c r="N2" i="102"/>
  <c r="AD65" i="96"/>
  <c r="AD144" i="98"/>
  <c r="AD25" i="96"/>
  <c r="AD162" i="98"/>
  <c r="AD8" i="96"/>
  <c r="U30" i="102"/>
  <c r="V30" i="102" s="1"/>
  <c r="W30" i="102" s="1"/>
  <c r="AD18" i="96"/>
  <c r="AD42" i="102"/>
  <c r="T2" i="102"/>
  <c r="AD94" i="96"/>
  <c r="AD45" i="102"/>
  <c r="T14" i="102"/>
  <c r="AD53" i="102"/>
  <c r="AD135" i="98"/>
  <c r="AD82" i="96"/>
  <c r="AD149" i="98"/>
  <c r="T21" i="102"/>
  <c r="T27" i="102"/>
  <c r="T39" i="102"/>
  <c r="T57" i="102"/>
  <c r="AD136" i="98"/>
  <c r="AD30" i="96"/>
  <c r="T53" i="102"/>
  <c r="AD65" i="102"/>
  <c r="AD3" i="100"/>
  <c r="AD21" i="102"/>
  <c r="Y116" i="96"/>
  <c r="T3" i="102"/>
  <c r="T31" i="102"/>
  <c r="T65" i="102"/>
  <c r="AD133" i="98"/>
  <c r="AD40" i="102"/>
  <c r="AD132" i="98"/>
  <c r="AD24" i="100"/>
  <c r="AD6" i="96"/>
  <c r="AD60" i="96"/>
  <c r="AD161" i="98"/>
  <c r="AD6" i="100"/>
  <c r="AD158" i="98"/>
  <c r="T61" i="102"/>
  <c r="AD42" i="100"/>
  <c r="AD106" i="96"/>
  <c r="AD30" i="100"/>
  <c r="T6" i="102"/>
  <c r="AD95" i="98"/>
  <c r="T25" i="102"/>
  <c r="AD28" i="102"/>
  <c r="AD34" i="102"/>
  <c r="T37" i="102"/>
  <c r="T45" i="102"/>
  <c r="T15" i="102"/>
  <c r="AD57" i="96"/>
  <c r="AD50" i="96"/>
  <c r="AD97" i="96"/>
  <c r="AD32" i="65"/>
  <c r="AV56" i="65"/>
  <c r="AD47" i="96"/>
  <c r="AD147" i="98"/>
  <c r="AD55" i="96"/>
  <c r="AD35" i="102"/>
  <c r="AD27" i="96"/>
  <c r="T62" i="102"/>
  <c r="AD59" i="102"/>
  <c r="T4" i="102"/>
  <c r="AD89" i="96"/>
  <c r="AD52" i="102"/>
  <c r="AD19" i="100"/>
  <c r="AD62" i="96"/>
  <c r="AD75" i="96"/>
  <c r="AD14" i="102"/>
  <c r="AD37" i="100"/>
  <c r="AD108" i="96"/>
  <c r="AD103" i="96"/>
  <c r="AD16" i="96"/>
  <c r="AD148" i="98"/>
  <c r="AD113" i="98"/>
  <c r="AD123" i="98"/>
  <c r="AD29" i="96"/>
  <c r="AD142" i="98"/>
  <c r="AD102" i="98"/>
  <c r="AD61" i="96"/>
  <c r="AD35" i="96"/>
  <c r="AD87" i="98"/>
  <c r="AD56" i="96"/>
  <c r="AD139" i="98"/>
  <c r="AD163" i="98"/>
  <c r="AD98" i="98"/>
  <c r="AD127" i="98"/>
  <c r="AD111" i="96"/>
  <c r="AD46" i="96"/>
  <c r="AD112" i="98"/>
  <c r="AD156" i="98"/>
  <c r="AD140" i="98"/>
  <c r="AW49" i="65" l="1"/>
  <c r="AY49" i="65" s="1"/>
  <c r="AW38" i="65"/>
  <c r="AY38" i="65" s="1"/>
  <c r="AW26" i="65"/>
  <c r="AY26" i="65" s="1"/>
  <c r="AW37" i="65"/>
  <c r="AY37" i="65" s="1"/>
  <c r="AW25" i="65"/>
  <c r="AY25" i="65" s="1"/>
  <c r="AW36" i="65"/>
  <c r="AY36" i="65" s="1"/>
  <c r="AW47" i="65"/>
  <c r="AY47" i="65" s="1"/>
  <c r="AW48" i="65"/>
  <c r="AY48" i="65" s="1"/>
  <c r="U44" i="100"/>
  <c r="V44" i="100" s="1"/>
  <c r="W44" i="100" s="1"/>
  <c r="Y44" i="100" s="1"/>
  <c r="U46" i="100"/>
  <c r="V46" i="100" s="1"/>
  <c r="W46" i="100" s="1"/>
  <c r="Y46" i="100" s="1"/>
  <c r="Q2" i="98"/>
  <c r="U2" i="98" s="1"/>
  <c r="V2" i="98" s="1"/>
  <c r="W2" i="98" s="1"/>
  <c r="AA2" i="98" s="1"/>
  <c r="AD152" i="98"/>
  <c r="AD141" i="98"/>
  <c r="U19" i="100"/>
  <c r="V19" i="100" s="1"/>
  <c r="W19" i="100" s="1"/>
  <c r="AA19" i="100" s="1"/>
  <c r="P2" i="100"/>
  <c r="Y136" i="98"/>
  <c r="Y116" i="98"/>
  <c r="Y162" i="98"/>
  <c r="Y114" i="98"/>
  <c r="Y152" i="98"/>
  <c r="Y147" i="98"/>
  <c r="Y128" i="98"/>
  <c r="Y127" i="98"/>
  <c r="Y21" i="98"/>
  <c r="Y122" i="98"/>
  <c r="Y90" i="98"/>
  <c r="Y117" i="98"/>
  <c r="Y148" i="98"/>
  <c r="Y107" i="98"/>
  <c r="Y153" i="98"/>
  <c r="AD20" i="100"/>
  <c r="AD7" i="100"/>
  <c r="U22" i="100"/>
  <c r="V22" i="100" s="1"/>
  <c r="W22" i="100" s="1"/>
  <c r="AA22" i="100" s="1"/>
  <c r="U40" i="100"/>
  <c r="V40" i="100" s="1"/>
  <c r="W40" i="100" s="1"/>
  <c r="AA40" i="100" s="1"/>
  <c r="Y2" i="100"/>
  <c r="Y97" i="96"/>
  <c r="AA97" i="96"/>
  <c r="Y104" i="96"/>
  <c r="AA104" i="96"/>
  <c r="Y117" i="96"/>
  <c r="AA117" i="96"/>
  <c r="Y44" i="96"/>
  <c r="AA44" i="96"/>
  <c r="Y30" i="96"/>
  <c r="AA30" i="96"/>
  <c r="Y59" i="96"/>
  <c r="AA59" i="96"/>
  <c r="Y111" i="96"/>
  <c r="AA111" i="96"/>
  <c r="Y64" i="96"/>
  <c r="AA64" i="96"/>
  <c r="Y74" i="96"/>
  <c r="AA74" i="96"/>
  <c r="Y51" i="96"/>
  <c r="AA51" i="96"/>
  <c r="Y78" i="96"/>
  <c r="AA78" i="96"/>
  <c r="Y77" i="96"/>
  <c r="AA77" i="96"/>
  <c r="Y32" i="96"/>
  <c r="AA32" i="96"/>
  <c r="Y87" i="96"/>
  <c r="AA87" i="96"/>
  <c r="Y35" i="96"/>
  <c r="AA35" i="96"/>
  <c r="Y55" i="96"/>
  <c r="AA55" i="96"/>
  <c r="AO19" i="65"/>
  <c r="AX3" i="65"/>
  <c r="AX4" i="65"/>
  <c r="C37" i="34"/>
  <c r="BI14" i="65" s="1"/>
  <c r="O3" i="65"/>
  <c r="AE18" i="65"/>
  <c r="AD20" i="98"/>
  <c r="AD101" i="98"/>
  <c r="AD45" i="100"/>
  <c r="U109" i="98"/>
  <c r="V109" i="98" s="1"/>
  <c r="W109" i="98" s="1"/>
  <c r="AA109" i="98" s="1"/>
  <c r="AD41" i="100"/>
  <c r="AD2" i="100"/>
  <c r="AD39" i="100"/>
  <c r="U8" i="100"/>
  <c r="V8" i="100" s="1"/>
  <c r="W8" i="100" s="1"/>
  <c r="AA8" i="100" s="1"/>
  <c r="U42" i="100"/>
  <c r="V42" i="100" s="1"/>
  <c r="W42" i="100" s="1"/>
  <c r="U48" i="100"/>
  <c r="V48" i="100" s="1"/>
  <c r="W48" i="100" s="1"/>
  <c r="Y48" i="100" s="1"/>
  <c r="U29" i="100"/>
  <c r="V29" i="100" s="1"/>
  <c r="W29" i="100" s="1"/>
  <c r="Y29" i="100" s="1"/>
  <c r="U18" i="100"/>
  <c r="V18" i="100" s="1"/>
  <c r="W18" i="100" s="1"/>
  <c r="AA18" i="100" s="1"/>
  <c r="U30" i="100"/>
  <c r="V30" i="100" s="1"/>
  <c r="W30" i="100" s="1"/>
  <c r="Y30" i="100" s="1"/>
  <c r="AD128" i="98"/>
  <c r="AD44" i="100"/>
  <c r="U5" i="100"/>
  <c r="V5" i="100" s="1"/>
  <c r="W5" i="100" s="1"/>
  <c r="Y5" i="100" s="1"/>
  <c r="U41" i="100"/>
  <c r="V41" i="100" s="1"/>
  <c r="W41" i="100" s="1"/>
  <c r="Y41" i="100" s="1"/>
  <c r="U47" i="100"/>
  <c r="V47" i="100" s="1"/>
  <c r="W47" i="100" s="1"/>
  <c r="Y47" i="100" s="1"/>
  <c r="U143" i="98"/>
  <c r="V143" i="98" s="1"/>
  <c r="W143" i="98" s="1"/>
  <c r="AA143" i="98" s="1"/>
  <c r="U150" i="98"/>
  <c r="V150" i="98" s="1"/>
  <c r="W150" i="98" s="1"/>
  <c r="AA150" i="98" s="1"/>
  <c r="AD116" i="98"/>
  <c r="Y144" i="98"/>
  <c r="U100" i="98"/>
  <c r="V100" i="98" s="1"/>
  <c r="W100" i="98" s="1"/>
  <c r="AA100" i="98" s="1"/>
  <c r="Y132" i="98"/>
  <c r="U121" i="98"/>
  <c r="V121" i="98" s="1"/>
  <c r="W121" i="98" s="1"/>
  <c r="AA121" i="98" s="1"/>
  <c r="U91" i="98"/>
  <c r="V91" i="98" s="1"/>
  <c r="W91" i="98" s="1"/>
  <c r="AA91" i="98" s="1"/>
  <c r="U159" i="98"/>
  <c r="V159" i="98" s="1"/>
  <c r="W159" i="98" s="1"/>
  <c r="AA159" i="98" s="1"/>
  <c r="AD137" i="98"/>
  <c r="Y156" i="98"/>
  <c r="AA27" i="100"/>
  <c r="Y88" i="98"/>
  <c r="AD143" i="98"/>
  <c r="U94" i="98"/>
  <c r="V94" i="98" s="1"/>
  <c r="W94" i="98" s="1"/>
  <c r="AA94" i="98" s="1"/>
  <c r="Y138" i="98"/>
  <c r="U166" i="98"/>
  <c r="V166" i="98" s="1"/>
  <c r="W166" i="98" s="1"/>
  <c r="AA166" i="98" s="1"/>
  <c r="U95" i="98"/>
  <c r="V95" i="98" s="1"/>
  <c r="W95" i="98" s="1"/>
  <c r="AA95" i="98" s="1"/>
  <c r="AD97" i="98"/>
  <c r="U130" i="98"/>
  <c r="V130" i="98" s="1"/>
  <c r="W130" i="98" s="1"/>
  <c r="AA130" i="98" s="1"/>
  <c r="AD150" i="98"/>
  <c r="AD165" i="98"/>
  <c r="U98" i="98"/>
  <c r="V98" i="98" s="1"/>
  <c r="W98" i="98" s="1"/>
  <c r="AA98" i="98" s="1"/>
  <c r="U126" i="98"/>
  <c r="V126" i="98" s="1"/>
  <c r="W126" i="98" s="1"/>
  <c r="AA126" i="98" s="1"/>
  <c r="U163" i="98"/>
  <c r="V163" i="98" s="1"/>
  <c r="W163" i="98" s="1"/>
  <c r="AA163" i="98" s="1"/>
  <c r="U146" i="98"/>
  <c r="V146" i="98" s="1"/>
  <c r="W146" i="98" s="1"/>
  <c r="AA146" i="98" s="1"/>
  <c r="U137" i="98"/>
  <c r="V137" i="98" s="1"/>
  <c r="W137" i="98" s="1"/>
  <c r="AA137" i="98" s="1"/>
  <c r="U157" i="98"/>
  <c r="V157" i="98" s="1"/>
  <c r="W157" i="98" s="1"/>
  <c r="AA157" i="98" s="1"/>
  <c r="U133" i="98"/>
  <c r="V133" i="98" s="1"/>
  <c r="W133" i="98" s="1"/>
  <c r="AA133" i="98" s="1"/>
  <c r="U171" i="98"/>
  <c r="V171" i="98" s="1"/>
  <c r="W171" i="98" s="1"/>
  <c r="AA171" i="98" s="1"/>
  <c r="U93" i="98"/>
  <c r="V93" i="98" s="1"/>
  <c r="W93" i="98" s="1"/>
  <c r="AA93" i="98" s="1"/>
  <c r="Y87" i="98"/>
  <c r="Y123" i="98"/>
  <c r="Y164" i="98"/>
  <c r="AD99" i="98"/>
  <c r="AD94" i="98"/>
  <c r="Y134" i="98"/>
  <c r="Y103" i="98"/>
  <c r="AD167" i="98"/>
  <c r="Y155" i="98"/>
  <c r="AD124" i="98"/>
  <c r="AD100" i="98"/>
  <c r="U115" i="98"/>
  <c r="V115" i="98" s="1"/>
  <c r="W115" i="98" s="1"/>
  <c r="AA115" i="98" s="1"/>
  <c r="Y124" i="98"/>
  <c r="U35" i="98"/>
  <c r="V35" i="98" s="1"/>
  <c r="W35" i="98" s="1"/>
  <c r="AA35" i="98" s="1"/>
  <c r="U154" i="98"/>
  <c r="V154" i="98" s="1"/>
  <c r="W154" i="98" s="1"/>
  <c r="AA154" i="98" s="1"/>
  <c r="U96" i="98"/>
  <c r="V96" i="98" s="1"/>
  <c r="W96" i="98" s="1"/>
  <c r="AA96" i="98" s="1"/>
  <c r="Y120" i="98"/>
  <c r="AD130" i="98"/>
  <c r="Y140" i="98"/>
  <c r="AD164" i="98"/>
  <c r="U112" i="98"/>
  <c r="V112" i="98" s="1"/>
  <c r="W112" i="98" s="1"/>
  <c r="AA112" i="98" s="1"/>
  <c r="AD129" i="98"/>
  <c r="U167" i="98"/>
  <c r="V167" i="98" s="1"/>
  <c r="W167" i="98" s="1"/>
  <c r="AA167" i="98" s="1"/>
  <c r="U145" i="98"/>
  <c r="V145" i="98" s="1"/>
  <c r="W145" i="98" s="1"/>
  <c r="AA145" i="98" s="1"/>
  <c r="U5" i="98"/>
  <c r="V5" i="98" s="1"/>
  <c r="W5" i="98" s="1"/>
  <c r="AA5" i="98" s="1"/>
  <c r="AD103" i="98"/>
  <c r="AD90" i="98"/>
  <c r="Y168" i="98"/>
  <c r="AD122" i="98"/>
  <c r="AD111" i="98"/>
  <c r="Y20" i="98"/>
  <c r="AD105" i="98"/>
  <c r="Y99" i="98"/>
  <c r="AD89" i="98"/>
  <c r="Y151" i="98"/>
  <c r="U111" i="98"/>
  <c r="V111" i="98" s="1"/>
  <c r="W111" i="98" s="1"/>
  <c r="AA111" i="98" s="1"/>
  <c r="U125" i="98"/>
  <c r="V125" i="98" s="1"/>
  <c r="W125" i="98" s="1"/>
  <c r="AA125" i="98" s="1"/>
  <c r="AD26" i="100"/>
  <c r="U160" i="98"/>
  <c r="V160" i="98" s="1"/>
  <c r="W160" i="98" s="1"/>
  <c r="AA160" i="98" s="1"/>
  <c r="U102" i="98"/>
  <c r="V102" i="98" s="1"/>
  <c r="W102" i="98" s="1"/>
  <c r="AA102" i="98" s="1"/>
  <c r="U97" i="98"/>
  <c r="V97" i="98" s="1"/>
  <c r="W97" i="98" s="1"/>
  <c r="AA97" i="98" s="1"/>
  <c r="AA4" i="100"/>
  <c r="Y131" i="98"/>
  <c r="U92" i="98"/>
  <c r="V92" i="98" s="1"/>
  <c r="W92" i="98" s="1"/>
  <c r="AA92" i="98" s="1"/>
  <c r="U118" i="98"/>
  <c r="V118" i="98" s="1"/>
  <c r="W118" i="98" s="1"/>
  <c r="AA118" i="98" s="1"/>
  <c r="U158" i="98"/>
  <c r="V158" i="98" s="1"/>
  <c r="W158" i="98" s="1"/>
  <c r="AA158" i="98" s="1"/>
  <c r="U108" i="98"/>
  <c r="V108" i="98" s="1"/>
  <c r="W108" i="98" s="1"/>
  <c r="AA108" i="98" s="1"/>
  <c r="AD49" i="100"/>
  <c r="Q3" i="100"/>
  <c r="U3" i="100" s="1"/>
  <c r="V3" i="100" s="1"/>
  <c r="W3" i="100" s="1"/>
  <c r="Y3" i="100" s="1"/>
  <c r="Y36" i="100"/>
  <c r="Y28" i="100"/>
  <c r="AA45" i="100"/>
  <c r="AD28" i="100"/>
  <c r="Y89" i="98"/>
  <c r="Y24" i="100"/>
  <c r="Y21" i="100"/>
  <c r="AA21" i="100"/>
  <c r="Y39" i="100"/>
  <c r="AA39" i="100"/>
  <c r="U26" i="100"/>
  <c r="V26" i="100" s="1"/>
  <c r="W26" i="100" s="1"/>
  <c r="Y26" i="100" s="1"/>
  <c r="U49" i="100"/>
  <c r="V49" i="100" s="1"/>
  <c r="W49" i="100" s="1"/>
  <c r="U20" i="100"/>
  <c r="V20" i="100" s="1"/>
  <c r="W20" i="100" s="1"/>
  <c r="AA20" i="100" s="1"/>
  <c r="AD25" i="100"/>
  <c r="AD43" i="100"/>
  <c r="AA38" i="100"/>
  <c r="AD47" i="100"/>
  <c r="AA23" i="100"/>
  <c r="U37" i="100"/>
  <c r="V37" i="100" s="1"/>
  <c r="W37" i="100" s="1"/>
  <c r="AA7" i="100"/>
  <c r="U43" i="100"/>
  <c r="V43" i="100" s="1"/>
  <c r="W43" i="100" s="1"/>
  <c r="AD22" i="100"/>
  <c r="U6" i="100"/>
  <c r="V6" i="100" s="1"/>
  <c r="W6" i="100" s="1"/>
  <c r="AD8" i="100"/>
  <c r="AA25" i="100"/>
  <c r="Y101" i="98"/>
  <c r="Y142" i="98"/>
  <c r="Y119" i="98"/>
  <c r="AD118" i="98"/>
  <c r="Y165" i="98"/>
  <c r="AD131" i="98"/>
  <c r="AD110" i="98"/>
  <c r="Y106" i="98"/>
  <c r="AD35" i="98"/>
  <c r="Y141" i="98"/>
  <c r="Y161" i="98"/>
  <c r="AD126" i="98"/>
  <c r="Y135" i="98"/>
  <c r="Y139" i="98"/>
  <c r="U110" i="98"/>
  <c r="V110" i="98" s="1"/>
  <c r="W110" i="98" s="1"/>
  <c r="AA110" i="98" s="1"/>
  <c r="U3" i="98"/>
  <c r="V3" i="98" s="1"/>
  <c r="W3" i="98" s="1"/>
  <c r="AA3" i="98" s="1"/>
  <c r="U113" i="98"/>
  <c r="V113" i="98" s="1"/>
  <c r="W113" i="98" s="1"/>
  <c r="AA113" i="98" s="1"/>
  <c r="U169" i="98"/>
  <c r="V169" i="98" s="1"/>
  <c r="W169" i="98" s="1"/>
  <c r="AA169" i="98" s="1"/>
  <c r="AD166" i="98"/>
  <c r="Y105" i="98"/>
  <c r="U149" i="98"/>
  <c r="V149" i="98" s="1"/>
  <c r="W149" i="98" s="1"/>
  <c r="AA149" i="98" s="1"/>
  <c r="Y129" i="98"/>
  <c r="U104" i="98"/>
  <c r="V104" i="98" s="1"/>
  <c r="W104" i="98" s="1"/>
  <c r="AA104" i="98" s="1"/>
  <c r="U20" i="96"/>
  <c r="V20" i="96" s="1"/>
  <c r="W20" i="96" s="1"/>
  <c r="Y28" i="96"/>
  <c r="U29" i="102"/>
  <c r="V29" i="102" s="1"/>
  <c r="W29" i="102" s="1"/>
  <c r="Y29" i="102" s="1"/>
  <c r="U88" i="96"/>
  <c r="V88" i="96" s="1"/>
  <c r="W88" i="96" s="1"/>
  <c r="U53" i="96"/>
  <c r="V53" i="96" s="1"/>
  <c r="W53" i="96" s="1"/>
  <c r="AA53" i="96" s="1"/>
  <c r="Y31" i="96"/>
  <c r="AD28" i="96"/>
  <c r="U27" i="96"/>
  <c r="V27" i="96" s="1"/>
  <c r="W27" i="96" s="1"/>
  <c r="AA27" i="96" s="1"/>
  <c r="U59" i="102"/>
  <c r="V59" i="102" s="1"/>
  <c r="W59" i="102" s="1"/>
  <c r="Y59" i="102" s="1"/>
  <c r="AD33" i="102"/>
  <c r="U56" i="102"/>
  <c r="V56" i="102" s="1"/>
  <c r="W56" i="102" s="1"/>
  <c r="Y56" i="102" s="1"/>
  <c r="U63" i="102"/>
  <c r="V63" i="102" s="1"/>
  <c r="W63" i="102" s="1"/>
  <c r="AA63" i="102" s="1"/>
  <c r="U4" i="102"/>
  <c r="V4" i="102" s="1"/>
  <c r="W4" i="102" s="1"/>
  <c r="AA4" i="102" s="1"/>
  <c r="U3" i="102"/>
  <c r="V3" i="102" s="1"/>
  <c r="W3" i="102" s="1"/>
  <c r="Y3" i="102" s="1"/>
  <c r="U62" i="102"/>
  <c r="V62" i="102" s="1"/>
  <c r="W62" i="102" s="1"/>
  <c r="AA62" i="102" s="1"/>
  <c r="AD36" i="96"/>
  <c r="U103" i="96"/>
  <c r="V103" i="96" s="1"/>
  <c r="W103" i="96" s="1"/>
  <c r="Y17" i="96"/>
  <c r="AD43" i="96"/>
  <c r="U50" i="96"/>
  <c r="V50" i="96" s="1"/>
  <c r="W50" i="96" s="1"/>
  <c r="AA50" i="96" s="1"/>
  <c r="U45" i="96"/>
  <c r="V45" i="96" s="1"/>
  <c r="W45" i="96" s="1"/>
  <c r="AA45" i="96" s="1"/>
  <c r="U25" i="96"/>
  <c r="V25" i="96" s="1"/>
  <c r="W25" i="96" s="1"/>
  <c r="AA25" i="96" s="1"/>
  <c r="U109" i="96"/>
  <c r="V109" i="96" s="1"/>
  <c r="W109" i="96" s="1"/>
  <c r="U72" i="96"/>
  <c r="V72" i="96" s="1"/>
  <c r="W72" i="96" s="1"/>
  <c r="AA72" i="96" s="1"/>
  <c r="U101" i="96"/>
  <c r="V101" i="96" s="1"/>
  <c r="W101" i="96" s="1"/>
  <c r="AD19" i="96"/>
  <c r="Y18" i="96"/>
  <c r="U107" i="96"/>
  <c r="V107" i="96" s="1"/>
  <c r="W107" i="96" s="1"/>
  <c r="AD116" i="96"/>
  <c r="AD38" i="96"/>
  <c r="AD45" i="96"/>
  <c r="U9" i="96"/>
  <c r="V9" i="96" s="1"/>
  <c r="W9" i="96" s="1"/>
  <c r="AA9" i="96" s="1"/>
  <c r="U62" i="96"/>
  <c r="V62" i="96" s="1"/>
  <c r="W62" i="96" s="1"/>
  <c r="AA62" i="96" s="1"/>
  <c r="AD79" i="96"/>
  <c r="Y108" i="96"/>
  <c r="U121" i="96"/>
  <c r="V121" i="96" s="1"/>
  <c r="W121" i="96" s="1"/>
  <c r="Y112" i="96"/>
  <c r="AD117" i="96"/>
  <c r="U54" i="96"/>
  <c r="V54" i="96" s="1"/>
  <c r="W54" i="96" s="1"/>
  <c r="AA54" i="96" s="1"/>
  <c r="AD4" i="96"/>
  <c r="Y110" i="96"/>
  <c r="U118" i="96"/>
  <c r="V118" i="96" s="1"/>
  <c r="W118" i="96" s="1"/>
  <c r="U57" i="96"/>
  <c r="V57" i="96" s="1"/>
  <c r="W57" i="96" s="1"/>
  <c r="U39" i="96"/>
  <c r="V39" i="96" s="1"/>
  <c r="W39" i="96" s="1"/>
  <c r="AD48" i="96"/>
  <c r="U96" i="96"/>
  <c r="V96" i="96" s="1"/>
  <c r="W96" i="96" s="1"/>
  <c r="U67" i="96"/>
  <c r="V67" i="96" s="1"/>
  <c r="W67" i="96" s="1"/>
  <c r="AA67" i="96" s="1"/>
  <c r="U19" i="96"/>
  <c r="V19" i="96" s="1"/>
  <c r="W19" i="96" s="1"/>
  <c r="AA19" i="96" s="1"/>
  <c r="U33" i="96"/>
  <c r="V33" i="96" s="1"/>
  <c r="W33" i="96" s="1"/>
  <c r="AA33" i="96" s="1"/>
  <c r="U6" i="96"/>
  <c r="V6" i="96" s="1"/>
  <c r="W6" i="96" s="1"/>
  <c r="AA6" i="96" s="1"/>
  <c r="AD93" i="96"/>
  <c r="U70" i="96"/>
  <c r="V70" i="96" s="1"/>
  <c r="W70" i="96" s="1"/>
  <c r="AA70" i="96" s="1"/>
  <c r="U16" i="96"/>
  <c r="V16" i="96" s="1"/>
  <c r="W16" i="96" s="1"/>
  <c r="U90" i="96"/>
  <c r="V90" i="96" s="1"/>
  <c r="W90" i="96" s="1"/>
  <c r="Y98" i="96"/>
  <c r="AD64" i="96"/>
  <c r="Y24" i="96"/>
  <c r="AD77" i="96"/>
  <c r="AD78" i="96"/>
  <c r="AD91" i="96"/>
  <c r="AD87" i="96"/>
  <c r="AD105" i="96"/>
  <c r="Y46" i="96"/>
  <c r="AD72" i="96"/>
  <c r="AD58" i="96"/>
  <c r="AD39" i="96"/>
  <c r="U95" i="96"/>
  <c r="V95" i="96" s="1"/>
  <c r="W95" i="96" s="1"/>
  <c r="AA95" i="96" s="1"/>
  <c r="U66" i="96"/>
  <c r="V66" i="96" s="1"/>
  <c r="W66" i="96" s="1"/>
  <c r="AA66" i="96" s="1"/>
  <c r="Q2" i="96"/>
  <c r="U2" i="96" s="1"/>
  <c r="V2" i="96" s="1"/>
  <c r="W2" i="96" s="1"/>
  <c r="U40" i="96"/>
  <c r="V40" i="96" s="1"/>
  <c r="W40" i="96" s="1"/>
  <c r="AA40" i="96" s="1"/>
  <c r="AD31" i="96"/>
  <c r="U114" i="96"/>
  <c r="V114" i="96" s="1"/>
  <c r="W114" i="96" s="1"/>
  <c r="U56" i="96"/>
  <c r="V56" i="96" s="1"/>
  <c r="W56" i="96" s="1"/>
  <c r="AA56" i="96" s="1"/>
  <c r="AD5" i="96"/>
  <c r="U106" i="96"/>
  <c r="V106" i="96" s="1"/>
  <c r="W106" i="96" s="1"/>
  <c r="AA106" i="96" s="1"/>
  <c r="U85" i="96"/>
  <c r="V85" i="96" s="1"/>
  <c r="W85" i="96" s="1"/>
  <c r="AA85" i="96" s="1"/>
  <c r="U93" i="96"/>
  <c r="V93" i="96" s="1"/>
  <c r="W93" i="96" s="1"/>
  <c r="AA93" i="96" s="1"/>
  <c r="U68" i="96"/>
  <c r="V68" i="96" s="1"/>
  <c r="W68" i="96" s="1"/>
  <c r="AA68" i="96" s="1"/>
  <c r="AD7" i="96"/>
  <c r="U81" i="96"/>
  <c r="V81" i="96" s="1"/>
  <c r="W81" i="96" s="1"/>
  <c r="U115" i="96"/>
  <c r="V115" i="96" s="1"/>
  <c r="W115" i="96" s="1"/>
  <c r="AD119" i="96"/>
  <c r="AD121" i="96"/>
  <c r="AD33" i="96"/>
  <c r="Y48" i="96"/>
  <c r="AD66" i="96"/>
  <c r="AD26" i="96"/>
  <c r="U100" i="96"/>
  <c r="V100" i="96" s="1"/>
  <c r="W100" i="96" s="1"/>
  <c r="U42" i="96"/>
  <c r="V42" i="96" s="1"/>
  <c r="W42" i="96" s="1"/>
  <c r="AA42" i="96" s="1"/>
  <c r="Y36" i="96"/>
  <c r="U49" i="96"/>
  <c r="V49" i="96" s="1"/>
  <c r="W49" i="96" s="1"/>
  <c r="AA49" i="96" s="1"/>
  <c r="U23" i="96"/>
  <c r="V23" i="96" s="1"/>
  <c r="W23" i="96" s="1"/>
  <c r="AA23" i="96" s="1"/>
  <c r="U76" i="96"/>
  <c r="V76" i="96" s="1"/>
  <c r="W76" i="96" s="1"/>
  <c r="U92" i="96"/>
  <c r="V92" i="96" s="1"/>
  <c r="W92" i="96" s="1"/>
  <c r="AA92" i="96" s="1"/>
  <c r="U26" i="96"/>
  <c r="V26" i="96" s="1"/>
  <c r="W26" i="96" s="1"/>
  <c r="AA26" i="96" s="1"/>
  <c r="AD85" i="96"/>
  <c r="Y65" i="96"/>
  <c r="U5" i="96"/>
  <c r="V5" i="96" s="1"/>
  <c r="W5" i="96" s="1"/>
  <c r="AD52" i="96"/>
  <c r="U4" i="96"/>
  <c r="V4" i="96" s="1"/>
  <c r="W4" i="96" s="1"/>
  <c r="AA4" i="96" s="1"/>
  <c r="U8" i="96"/>
  <c r="V8" i="96" s="1"/>
  <c r="W8" i="96" s="1"/>
  <c r="AD51" i="96"/>
  <c r="U105" i="96"/>
  <c r="V105" i="96" s="1"/>
  <c r="W105" i="96" s="1"/>
  <c r="U52" i="96"/>
  <c r="V52" i="96" s="1"/>
  <c r="W52" i="96" s="1"/>
  <c r="AA52" i="96" s="1"/>
  <c r="Y61" i="96"/>
  <c r="U84" i="96"/>
  <c r="V84" i="96" s="1"/>
  <c r="W84" i="96" s="1"/>
  <c r="AA84" i="96" s="1"/>
  <c r="U69" i="96"/>
  <c r="V69" i="96" s="1"/>
  <c r="W69" i="96" s="1"/>
  <c r="AA69" i="96" s="1"/>
  <c r="U47" i="96"/>
  <c r="V47" i="96" s="1"/>
  <c r="W47" i="96" s="1"/>
  <c r="AA47" i="96" s="1"/>
  <c r="U82" i="96"/>
  <c r="V82" i="96" s="1"/>
  <c r="W82" i="96" s="1"/>
  <c r="AA82" i="96" s="1"/>
  <c r="U79" i="96"/>
  <c r="V79" i="96" s="1"/>
  <c r="W79" i="96" s="1"/>
  <c r="AA79" i="96" s="1"/>
  <c r="U119" i="96"/>
  <c r="V119" i="96" s="1"/>
  <c r="W119" i="96" s="1"/>
  <c r="U94" i="96"/>
  <c r="V94" i="96" s="1"/>
  <c r="W94" i="96" s="1"/>
  <c r="AA94" i="96" s="1"/>
  <c r="U11" i="96"/>
  <c r="V11" i="96" s="1"/>
  <c r="W11" i="96" s="1"/>
  <c r="AA11" i="96" s="1"/>
  <c r="U83" i="96"/>
  <c r="V83" i="96" s="1"/>
  <c r="W83" i="96" s="1"/>
  <c r="AA83" i="96" s="1"/>
  <c r="Y43" i="96"/>
  <c r="U60" i="96"/>
  <c r="V60" i="96" s="1"/>
  <c r="W60" i="96" s="1"/>
  <c r="AA60" i="96" s="1"/>
  <c r="U37" i="96"/>
  <c r="V37" i="96" s="1"/>
  <c r="W37" i="96" s="1"/>
  <c r="AA37" i="96" s="1"/>
  <c r="AD44" i="96"/>
  <c r="U91" i="96"/>
  <c r="V91" i="96" s="1"/>
  <c r="W91" i="96" s="1"/>
  <c r="U7" i="96"/>
  <c r="V7" i="96" s="1"/>
  <c r="W7" i="96" s="1"/>
  <c r="AA7" i="96" s="1"/>
  <c r="U102" i="96"/>
  <c r="V102" i="96" s="1"/>
  <c r="W102" i="96" s="1"/>
  <c r="AA102" i="96" s="1"/>
  <c r="AD114" i="96"/>
  <c r="Y34" i="96"/>
  <c r="AD37" i="96"/>
  <c r="AD113" i="96"/>
  <c r="Y86" i="96"/>
  <c r="AD102" i="96"/>
  <c r="AD74" i="96"/>
  <c r="AD71" i="96"/>
  <c r="AD21" i="96"/>
  <c r="Y21" i="96"/>
  <c r="AD120" i="96"/>
  <c r="Y58" i="96"/>
  <c r="Y29" i="96"/>
  <c r="Y10" i="96"/>
  <c r="AD88" i="96"/>
  <c r="Y22" i="96"/>
  <c r="Y41" i="96"/>
  <c r="U63" i="96"/>
  <c r="V63" i="96" s="1"/>
  <c r="W63" i="96" s="1"/>
  <c r="AA63" i="96" s="1"/>
  <c r="U73" i="96"/>
  <c r="V73" i="96" s="1"/>
  <c r="W73" i="96" s="1"/>
  <c r="AA73" i="96" s="1"/>
  <c r="U99" i="96"/>
  <c r="V99" i="96" s="1"/>
  <c r="W99" i="96" s="1"/>
  <c r="AA99" i="96" s="1"/>
  <c r="AD99" i="96"/>
  <c r="U113" i="96"/>
  <c r="V113" i="96" s="1"/>
  <c r="W113" i="96" s="1"/>
  <c r="AA113" i="96" s="1"/>
  <c r="U38" i="96"/>
  <c r="V38" i="96" s="1"/>
  <c r="W38" i="96" s="1"/>
  <c r="AA38" i="96" s="1"/>
  <c r="U80" i="96"/>
  <c r="V80" i="96" s="1"/>
  <c r="W80" i="96" s="1"/>
  <c r="AA80" i="96" s="1"/>
  <c r="U89" i="96"/>
  <c r="V89" i="96" s="1"/>
  <c r="W89" i="96" s="1"/>
  <c r="AA89" i="96" s="1"/>
  <c r="U71" i="96"/>
  <c r="V71" i="96" s="1"/>
  <c r="W71" i="96" s="1"/>
  <c r="AA71" i="96" s="1"/>
  <c r="AD2" i="96"/>
  <c r="U120" i="96"/>
  <c r="V120" i="96" s="1"/>
  <c r="W120" i="96" s="1"/>
  <c r="AA120" i="96" s="1"/>
  <c r="AD68" i="96"/>
  <c r="U75" i="96"/>
  <c r="V75" i="96" s="1"/>
  <c r="W75" i="96" s="1"/>
  <c r="AA75" i="96" s="1"/>
  <c r="U3" i="96"/>
  <c r="V3" i="96" s="1"/>
  <c r="W3" i="96" s="1"/>
  <c r="AA3" i="96" s="1"/>
  <c r="AA66" i="102"/>
  <c r="U32" i="102"/>
  <c r="V32" i="102" s="1"/>
  <c r="W32" i="102" s="1"/>
  <c r="AA32" i="102" s="1"/>
  <c r="U45" i="102"/>
  <c r="V45" i="102" s="1"/>
  <c r="W45" i="102" s="1"/>
  <c r="AA45" i="102" s="1"/>
  <c r="U44" i="102"/>
  <c r="V44" i="102" s="1"/>
  <c r="W44" i="102" s="1"/>
  <c r="Y44" i="102" s="1"/>
  <c r="U24" i="102"/>
  <c r="V24" i="102" s="1"/>
  <c r="W24" i="102" s="1"/>
  <c r="Y24" i="102" s="1"/>
  <c r="AD43" i="102"/>
  <c r="AD44" i="102"/>
  <c r="AD30" i="102"/>
  <c r="U43" i="102"/>
  <c r="V43" i="102" s="1"/>
  <c r="W43" i="102" s="1"/>
  <c r="AA43" i="102" s="1"/>
  <c r="AD29" i="102"/>
  <c r="AD32" i="102"/>
  <c r="Y28" i="102"/>
  <c r="AA28" i="102"/>
  <c r="AA54" i="102"/>
  <c r="Y54" i="102"/>
  <c r="L18" i="34"/>
  <c r="U37" i="102"/>
  <c r="V37" i="102" s="1"/>
  <c r="W37" i="102" s="1"/>
  <c r="Y37" i="102" s="1"/>
  <c r="U7" i="102"/>
  <c r="V7" i="102" s="1"/>
  <c r="W7" i="102" s="1"/>
  <c r="AA7" i="102" s="1"/>
  <c r="U20" i="102"/>
  <c r="V20" i="102" s="1"/>
  <c r="W20" i="102" s="1"/>
  <c r="AA20" i="102" s="1"/>
  <c r="U9" i="102"/>
  <c r="V9" i="102" s="1"/>
  <c r="W9" i="102" s="1"/>
  <c r="Y9" i="102" s="1"/>
  <c r="U21" i="102"/>
  <c r="V21" i="102" s="1"/>
  <c r="W21" i="102" s="1"/>
  <c r="Y21" i="102" s="1"/>
  <c r="AD56" i="102"/>
  <c r="U53" i="102"/>
  <c r="V53" i="102" s="1"/>
  <c r="W53" i="102" s="1"/>
  <c r="Y53" i="102" s="1"/>
  <c r="U39" i="102"/>
  <c r="V39" i="102" s="1"/>
  <c r="W39" i="102" s="1"/>
  <c r="AA39" i="102" s="1"/>
  <c r="Y33" i="102"/>
  <c r="AD57" i="102"/>
  <c r="Y42" i="102"/>
  <c r="U26" i="102"/>
  <c r="V26" i="102" s="1"/>
  <c r="W26" i="102" s="1"/>
  <c r="Y38" i="102"/>
  <c r="AA38" i="102"/>
  <c r="Y41" i="102"/>
  <c r="U36" i="102"/>
  <c r="V36" i="102" s="1"/>
  <c r="W36" i="102" s="1"/>
  <c r="AA36" i="102" s="1"/>
  <c r="U64" i="102"/>
  <c r="V64" i="102" s="1"/>
  <c r="W64" i="102" s="1"/>
  <c r="AA64" i="102" s="1"/>
  <c r="AD36" i="102"/>
  <c r="U22" i="102"/>
  <c r="V22" i="102" s="1"/>
  <c r="W22" i="102" s="1"/>
  <c r="AD60" i="102"/>
  <c r="AD64" i="102"/>
  <c r="U35" i="102"/>
  <c r="V35" i="102" s="1"/>
  <c r="W35" i="102" s="1"/>
  <c r="Y35" i="102" s="1"/>
  <c r="U17" i="102"/>
  <c r="V17" i="102" s="1"/>
  <c r="W17" i="102" s="1"/>
  <c r="AD9" i="102"/>
  <c r="Q2" i="102"/>
  <c r="U2" i="102" s="1"/>
  <c r="V2" i="102" s="1"/>
  <c r="W2" i="102" s="1"/>
  <c r="P2" i="102"/>
  <c r="Y19" i="102"/>
  <c r="AD19" i="102"/>
  <c r="AD6" i="102"/>
  <c r="AA34" i="102"/>
  <c r="AD5" i="102"/>
  <c r="U14" i="102"/>
  <c r="V14" i="102" s="1"/>
  <c r="W14" i="102" s="1"/>
  <c r="Y14" i="102" s="1"/>
  <c r="U58" i="102"/>
  <c r="V58" i="102" s="1"/>
  <c r="W58" i="102" s="1"/>
  <c r="AD22" i="102"/>
  <c r="AA61" i="102"/>
  <c r="Y61" i="102"/>
  <c r="AD27" i="102"/>
  <c r="U23" i="102"/>
  <c r="V23" i="102" s="1"/>
  <c r="W23" i="102" s="1"/>
  <c r="Y30" i="102"/>
  <c r="AA30" i="102"/>
  <c r="U65" i="102"/>
  <c r="V65" i="102" s="1"/>
  <c r="W65" i="102" s="1"/>
  <c r="AD55" i="102"/>
  <c r="AD24" i="102"/>
  <c r="U40" i="102"/>
  <c r="V40" i="102" s="1"/>
  <c r="W40" i="102" s="1"/>
  <c r="AD37" i="102"/>
  <c r="AD39" i="102"/>
  <c r="AD62" i="102"/>
  <c r="Y15" i="102"/>
  <c r="AA15" i="102"/>
  <c r="U25" i="102"/>
  <c r="V25" i="102" s="1"/>
  <c r="W25" i="102" s="1"/>
  <c r="U31" i="102"/>
  <c r="V31" i="102" s="1"/>
  <c r="W31" i="102" s="1"/>
  <c r="AD8" i="102"/>
  <c r="U57" i="102"/>
  <c r="V57" i="102" s="1"/>
  <c r="W57" i="102" s="1"/>
  <c r="AA60" i="102"/>
  <c r="Y60" i="102"/>
  <c r="AD25" i="102"/>
  <c r="AD7" i="102"/>
  <c r="AD23" i="102"/>
  <c r="Y27" i="102"/>
  <c r="AA27" i="102"/>
  <c r="U16" i="102"/>
  <c r="V16" i="102" s="1"/>
  <c r="W16" i="102" s="1"/>
  <c r="AA52" i="102"/>
  <c r="AD16" i="102"/>
  <c r="U55" i="102"/>
  <c r="V55" i="102" s="1"/>
  <c r="W55" i="102" s="1"/>
  <c r="U8" i="102"/>
  <c r="V8" i="102" s="1"/>
  <c r="W8" i="102" s="1"/>
  <c r="AA46" i="100" l="1"/>
  <c r="AA44" i="100"/>
  <c r="Y19" i="100"/>
  <c r="U5" i="102"/>
  <c r="Y92" i="98"/>
  <c r="Y133" i="98"/>
  <c r="Y118" i="98"/>
  <c r="Y98" i="98"/>
  <c r="Y167" i="98"/>
  <c r="Y109" i="98"/>
  <c r="Y115" i="98"/>
  <c r="Y93" i="98"/>
  <c r="Y137" i="98"/>
  <c r="Y145" i="98"/>
  <c r="Y97" i="98"/>
  <c r="Y96" i="98"/>
  <c r="Y112" i="98"/>
  <c r="Y130" i="98"/>
  <c r="Y2" i="98"/>
  <c r="Y22" i="100"/>
  <c r="Y40" i="100"/>
  <c r="Y88" i="96"/>
  <c r="AA88" i="96"/>
  <c r="Y101" i="96"/>
  <c r="AA101" i="96"/>
  <c r="Y96" i="96"/>
  <c r="AA96" i="96"/>
  <c r="Y90" i="96"/>
  <c r="AA90" i="96"/>
  <c r="Y109" i="96"/>
  <c r="AA109" i="96"/>
  <c r="Y103" i="96"/>
  <c r="AA103" i="96"/>
  <c r="Y115" i="96"/>
  <c r="AA115" i="96"/>
  <c r="Y5" i="96"/>
  <c r="AA5" i="96"/>
  <c r="Y100" i="96"/>
  <c r="AA100" i="96"/>
  <c r="Y16" i="96"/>
  <c r="AA16" i="96"/>
  <c r="Y105" i="96"/>
  <c r="AA105" i="96"/>
  <c r="Y118" i="96"/>
  <c r="AA118" i="96"/>
  <c r="Y107" i="96"/>
  <c r="AA107" i="96"/>
  <c r="Y20" i="96"/>
  <c r="AA20" i="96"/>
  <c r="Y39" i="96"/>
  <c r="AA39" i="96"/>
  <c r="Y57" i="96"/>
  <c r="AA57" i="96"/>
  <c r="Y119" i="96"/>
  <c r="AA119" i="96"/>
  <c r="Y121" i="96"/>
  <c r="AA121" i="96"/>
  <c r="Y8" i="96"/>
  <c r="AA8" i="96"/>
  <c r="Y81" i="96"/>
  <c r="AA81" i="96"/>
  <c r="Y91" i="96"/>
  <c r="AA91" i="96"/>
  <c r="Y76" i="96"/>
  <c r="AA76" i="96"/>
  <c r="Y114" i="96"/>
  <c r="AA114" i="96"/>
  <c r="Y2" i="96"/>
  <c r="AA2" i="96"/>
  <c r="P18" i="34"/>
  <c r="U6" i="102"/>
  <c r="U18" i="102"/>
  <c r="AF29" i="65"/>
  <c r="S11" i="65"/>
  <c r="S15" i="65" s="1"/>
  <c r="S16" i="65" s="1"/>
  <c r="S17" i="65" s="1"/>
  <c r="S18" i="65" s="1"/>
  <c r="S19" i="65" s="1"/>
  <c r="AF25" i="65"/>
  <c r="D37" i="34"/>
  <c r="BJ14" i="65" s="1"/>
  <c r="N15" i="65"/>
  <c r="AA30" i="100"/>
  <c r="AA29" i="100"/>
  <c r="AA48" i="100"/>
  <c r="Y8" i="100"/>
  <c r="AA41" i="100"/>
  <c r="AA5" i="100"/>
  <c r="Y18" i="100"/>
  <c r="AA47" i="100"/>
  <c r="Y143" i="98"/>
  <c r="Y121" i="98"/>
  <c r="Y150" i="98"/>
  <c r="Y100" i="98"/>
  <c r="Y159" i="98"/>
  <c r="Y91" i="98"/>
  <c r="Y166" i="98"/>
  <c r="Y94" i="98"/>
  <c r="Y163" i="98"/>
  <c r="Y126" i="98"/>
  <c r="Y171" i="98"/>
  <c r="Y95" i="98"/>
  <c r="Y157" i="98"/>
  <c r="Y146" i="98"/>
  <c r="Y158" i="98"/>
  <c r="Y154" i="98"/>
  <c r="Y35" i="98"/>
  <c r="Y5" i="98"/>
  <c r="Y125" i="98"/>
  <c r="Y160" i="98"/>
  <c r="Y108" i="98"/>
  <c r="Y111" i="98"/>
  <c r="Y102" i="98"/>
  <c r="AA3" i="100"/>
  <c r="AA26" i="100"/>
  <c r="AA49" i="100"/>
  <c r="Y49" i="100"/>
  <c r="Y20" i="100"/>
  <c r="AA43" i="100"/>
  <c r="Y43" i="100"/>
  <c r="AA42" i="100"/>
  <c r="Y42" i="100"/>
  <c r="AA6" i="100"/>
  <c r="Y6" i="100"/>
  <c r="AA37" i="100"/>
  <c r="Y37" i="100"/>
  <c r="Y104" i="98"/>
  <c r="Y113" i="98"/>
  <c r="Y3" i="98"/>
  <c r="Y169" i="98"/>
  <c r="Y149" i="98"/>
  <c r="Y110" i="98"/>
  <c r="AA29" i="102"/>
  <c r="Y53" i="96"/>
  <c r="Y27" i="96"/>
  <c r="AA56" i="102"/>
  <c r="AA59" i="102"/>
  <c r="Y63" i="102"/>
  <c r="Y4" i="102"/>
  <c r="AA3" i="102"/>
  <c r="Y62" i="102"/>
  <c r="Y50" i="96"/>
  <c r="Y45" i="96"/>
  <c r="Y25" i="96"/>
  <c r="Y72" i="96"/>
  <c r="Y9" i="96"/>
  <c r="Y62" i="96"/>
  <c r="Y70" i="96"/>
  <c r="Y54" i="96"/>
  <c r="Y6" i="96"/>
  <c r="Y33" i="96"/>
  <c r="Y67" i="96"/>
  <c r="Y19" i="96"/>
  <c r="Y95" i="96"/>
  <c r="Y93" i="96"/>
  <c r="Y66" i="96"/>
  <c r="Y106" i="96"/>
  <c r="Y40" i="96"/>
  <c r="Y82" i="96"/>
  <c r="Y56" i="96"/>
  <c r="Y26" i="96"/>
  <c r="Y85" i="96"/>
  <c r="Y68" i="96"/>
  <c r="Y52" i="96"/>
  <c r="Y79" i="96"/>
  <c r="Y92" i="96"/>
  <c r="Y4" i="96"/>
  <c r="Y102" i="96"/>
  <c r="Y42" i="96"/>
  <c r="Y23" i="96"/>
  <c r="Y47" i="96"/>
  <c r="Y49" i="96"/>
  <c r="Y11" i="96"/>
  <c r="Y84" i="96"/>
  <c r="Y37" i="96"/>
  <c r="Y7" i="96"/>
  <c r="Y60" i="96"/>
  <c r="Y94" i="96"/>
  <c r="Y69" i="96"/>
  <c r="Y83" i="96"/>
  <c r="Y73" i="96"/>
  <c r="Y71" i="96"/>
  <c r="Y120" i="96"/>
  <c r="Y113" i="96"/>
  <c r="Y63" i="96"/>
  <c r="Y99" i="96"/>
  <c r="Y80" i="96"/>
  <c r="Y3" i="96"/>
  <c r="Y89" i="96"/>
  <c r="Y38" i="96"/>
  <c r="Y75" i="96"/>
  <c r="AA44" i="102"/>
  <c r="Y43" i="102"/>
  <c r="Y45" i="102"/>
  <c r="Y32" i="102"/>
  <c r="AA24" i="102"/>
  <c r="Y20" i="102"/>
  <c r="AA9" i="102"/>
  <c r="Y7" i="102"/>
  <c r="AA37" i="102"/>
  <c r="AA21" i="102"/>
  <c r="Y39" i="102"/>
  <c r="AA53" i="102"/>
  <c r="AA35" i="102"/>
  <c r="AA14" i="102"/>
  <c r="AA17" i="102"/>
  <c r="Y17" i="102"/>
  <c r="Y64" i="102"/>
  <c r="Y36" i="102"/>
  <c r="AA26" i="102"/>
  <c r="Y26" i="102"/>
  <c r="Y58" i="102"/>
  <c r="AA58" i="102"/>
  <c r="Y2" i="102"/>
  <c r="AA2" i="102"/>
  <c r="AA22" i="102"/>
  <c r="Y22" i="102"/>
  <c r="Y57" i="102"/>
  <c r="AA57" i="102"/>
  <c r="Y8" i="102"/>
  <c r="AA8" i="102"/>
  <c r="AA25" i="102"/>
  <c r="Y25" i="102"/>
  <c r="AA16" i="102"/>
  <c r="Y16" i="102"/>
  <c r="Y65" i="102"/>
  <c r="AA65" i="102"/>
  <c r="AA40" i="102"/>
  <c r="Y40" i="102"/>
  <c r="Y31" i="102"/>
  <c r="AA31" i="102"/>
  <c r="Y23" i="102"/>
  <c r="AA23" i="102"/>
  <c r="Y55" i="102"/>
  <c r="AA55" i="102"/>
  <c r="V5" i="102" l="1"/>
  <c r="W5" i="102" s="1"/>
  <c r="V18" i="102"/>
  <c r="W18" i="102" s="1"/>
  <c r="Y18" i="102" s="1"/>
  <c r="Q18" i="34"/>
  <c r="R18" i="34" s="1"/>
  <c r="T18" i="34" s="1"/>
  <c r="V6" i="102"/>
  <c r="W6" i="102" s="1"/>
  <c r="BH19" i="65"/>
  <c r="Q3" i="65"/>
  <c r="AI18" i="65"/>
  <c r="O15" i="65"/>
  <c r="Y5" i="102" l="1"/>
  <c r="AA5" i="102"/>
  <c r="AA18" i="102"/>
  <c r="O18" i="34"/>
  <c r="N18" i="34" s="1"/>
  <c r="AA6" i="102"/>
  <c r="Y6" i="102"/>
  <c r="AJ18" i="65"/>
  <c r="R3" i="65"/>
  <c r="AG18" i="65" l="1"/>
  <c r="AR8" i="65" s="1"/>
  <c r="M18" i="65"/>
  <c r="N18" i="65" s="1"/>
  <c r="AH18" i="65"/>
  <c r="P3" i="65"/>
  <c r="AK18" i="65"/>
  <c r="S3" i="65"/>
  <c r="C31" i="34"/>
  <c r="C36" i="34"/>
  <c r="AR19" i="65"/>
  <c r="AK25" i="65" l="1"/>
  <c r="AK29" i="65" s="1"/>
  <c r="S9" i="65"/>
  <c r="L11" i="65" s="1"/>
  <c r="BE13" i="65"/>
  <c r="D31" i="34"/>
  <c r="BF13" i="65" s="1"/>
  <c r="L14" i="65"/>
  <c r="Q21" i="65"/>
  <c r="N14" i="65"/>
  <c r="BI13" i="65"/>
  <c r="D36" i="34"/>
  <c r="AU8" i="65"/>
  <c r="AW4" i="65"/>
  <c r="AY4" i="65" s="1"/>
  <c r="AW5" i="65"/>
  <c r="AY5" i="65" s="1"/>
  <c r="AW3" i="65"/>
  <c r="AY3" i="65" s="1"/>
  <c r="AU19" i="65"/>
  <c r="AW16" i="65"/>
  <c r="AY16" i="65" s="1"/>
  <c r="AW15" i="65"/>
  <c r="AY15" i="65" s="1"/>
  <c r="AW14" i="65"/>
  <c r="AY14" i="65" s="1"/>
  <c r="S21" i="65" l="1"/>
  <c r="BE4" i="65"/>
  <c r="BG8" i="65" s="1"/>
  <c r="BJ13" i="65"/>
  <c r="BJ15" i="65" s="1"/>
  <c r="D38" i="34"/>
  <c r="O14" i="6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<sst xmlns="http://schemas.openxmlformats.org/spreadsheetml/2006/main" count="2972" uniqueCount="362">
  <si>
    <t>Proyecto</t>
  </si>
  <si>
    <t>Dpto</t>
  </si>
  <si>
    <t>Precio Venta</t>
  </si>
  <si>
    <t>Crédito Hip.</t>
  </si>
  <si>
    <t>Monto Crédito</t>
  </si>
  <si>
    <t>Pop Art</t>
  </si>
  <si>
    <t>Seminario</t>
  </si>
  <si>
    <t>Estado</t>
  </si>
  <si>
    <t>N° Depto.</t>
  </si>
  <si>
    <t xml:space="preserve">Orientacion </t>
  </si>
  <si>
    <t xml:space="preserve">Tipologia </t>
  </si>
  <si>
    <t>Tipo</t>
  </si>
  <si>
    <t>Sup. Util</t>
  </si>
  <si>
    <t>Sup. Terraza</t>
  </si>
  <si>
    <t>Sup. Pond.</t>
  </si>
  <si>
    <t>Sup. Total</t>
  </si>
  <si>
    <t>P.Lista</t>
  </si>
  <si>
    <t>Descuento</t>
  </si>
  <si>
    <t>Est.</t>
  </si>
  <si>
    <t>Bod.</t>
  </si>
  <si>
    <t>P.Final</t>
  </si>
  <si>
    <t>UF/m2</t>
  </si>
  <si>
    <t>P. de Escrituración</t>
  </si>
  <si>
    <t>Bono %</t>
  </si>
  <si>
    <t>Bono UF</t>
  </si>
  <si>
    <t>Crédito Hip. Máx</t>
  </si>
  <si>
    <t>Crédito Hip. UF</t>
  </si>
  <si>
    <t>PIE (%)</t>
  </si>
  <si>
    <t>PIE UF</t>
  </si>
  <si>
    <t>PIE ($)</t>
  </si>
  <si>
    <t>N° Cuotas Cheque</t>
  </si>
  <si>
    <t>Cuota Mensual $</t>
  </si>
  <si>
    <t>N° Cuotas TC</t>
  </si>
  <si>
    <t>Arriendo</t>
  </si>
  <si>
    <t>Dividendo</t>
  </si>
  <si>
    <t>Flujo</t>
  </si>
  <si>
    <t>Sur</t>
  </si>
  <si>
    <t>1D+1B</t>
  </si>
  <si>
    <t>Poniente</t>
  </si>
  <si>
    <t>2D+2B</t>
  </si>
  <si>
    <t>Oriente</t>
  </si>
  <si>
    <t>Norte</t>
  </si>
  <si>
    <t>3D+2B</t>
  </si>
  <si>
    <t>RESERVA</t>
  </si>
  <si>
    <t>PIE</t>
  </si>
  <si>
    <t>Bono</t>
  </si>
  <si>
    <t>Años Crédito</t>
  </si>
  <si>
    <t>Tasa Referencial</t>
  </si>
  <si>
    <t>Estudio</t>
  </si>
  <si>
    <t>2D+1B</t>
  </si>
  <si>
    <t>INGRESE LOS SIGUIENTES DATOS</t>
  </si>
  <si>
    <t>Escenario Express (NO MODIFICAR)</t>
  </si>
  <si>
    <t>Inmobiliaria:</t>
  </si>
  <si>
    <t>Proyecto:</t>
  </si>
  <si>
    <t>Comuna:</t>
  </si>
  <si>
    <t>Entrega Estimada:</t>
  </si>
  <si>
    <t>Depto</t>
  </si>
  <si>
    <t>N° Depto</t>
  </si>
  <si>
    <t>Tipología</t>
  </si>
  <si>
    <t>Precio Escr.</t>
  </si>
  <si>
    <t>Crédito (%)</t>
  </si>
  <si>
    <t>Bono (%)</t>
  </si>
  <si>
    <t>Nombre Cliente</t>
  </si>
  <si>
    <t>PARA 1° DEPTO</t>
  </si>
  <si>
    <t>Nombre Cliente:</t>
  </si>
  <si>
    <t>Paz</t>
  </si>
  <si>
    <t>Teresa Vial</t>
  </si>
  <si>
    <t>Precio de Escrituración:</t>
  </si>
  <si>
    <t>Monto Crédito:</t>
  </si>
  <si>
    <t>Crédito (%):</t>
  </si>
  <si>
    <t># Departamentos:</t>
  </si>
  <si>
    <t>PIE TOTAL</t>
  </si>
  <si>
    <t>ABONO</t>
  </si>
  <si>
    <t>PIE PENDIENTE</t>
  </si>
  <si>
    <t>PATRIMONIO TOTAL</t>
  </si>
  <si>
    <t>N° depto:</t>
  </si>
  <si>
    <t>Forma de Pago</t>
  </si>
  <si>
    <t>Cuota</t>
  </si>
  <si>
    <t>Total</t>
  </si>
  <si>
    <t>PARA 2° DEPTO</t>
  </si>
  <si>
    <t>* El "Monto Reserva Total" y el "Abono Inicial" se abona al pie de los deptos.</t>
  </si>
  <si>
    <t>Plazo Crédito (años):</t>
  </si>
  <si>
    <t>Flujo Total:</t>
  </si>
  <si>
    <t>PARA 3° DEPTO</t>
  </si>
  <si>
    <t>UF HOY</t>
  </si>
  <si>
    <t>PARA 4° DEPTO</t>
  </si>
  <si>
    <t>PARA 5° DEPTO</t>
  </si>
  <si>
    <t>* Valores referenciales, sujeto a evaluación bancaria y tasa de interés obtenida al momento del crédito.</t>
  </si>
  <si>
    <t>A908</t>
  </si>
  <si>
    <t>A804</t>
  </si>
  <si>
    <t>A605</t>
  </si>
  <si>
    <t>B601</t>
  </si>
  <si>
    <t>A905</t>
  </si>
  <si>
    <t>A910</t>
  </si>
  <si>
    <t>Carrion</t>
  </si>
  <si>
    <t>Arriendo sin est.</t>
  </si>
  <si>
    <t>Arriendo con est.</t>
  </si>
  <si>
    <t>PROYECTO</t>
  </si>
  <si>
    <t>COMUNA</t>
  </si>
  <si>
    <t>PLAZO</t>
  </si>
  <si>
    <t>PROY</t>
  </si>
  <si>
    <t>Plan de pagos</t>
  </si>
  <si>
    <t>Cuotas Cheque</t>
  </si>
  <si>
    <t>Cuotas TC</t>
  </si>
  <si>
    <t>Opción 1</t>
  </si>
  <si>
    <t>Opción 2</t>
  </si>
  <si>
    <t>Reserva</t>
  </si>
  <si>
    <t>18 Cuotas TC</t>
  </si>
  <si>
    <t>San Miguel</t>
  </si>
  <si>
    <t>Teresa Vial - San Miguel</t>
  </si>
  <si>
    <t>Ñuñoa</t>
  </si>
  <si>
    <t>1er Semestre 2025</t>
  </si>
  <si>
    <t>Santiago Centro</t>
  </si>
  <si>
    <t>Tradicion</t>
  </si>
  <si>
    <t>Caiquen</t>
  </si>
  <si>
    <t>Colombia</t>
  </si>
  <si>
    <t>NO MODIFICAR NADA DE ESTA HOJA</t>
  </si>
  <si>
    <t>Orientación</t>
  </si>
  <si>
    <t>Superficie Total</t>
  </si>
  <si>
    <t>Valor Lista</t>
  </si>
  <si>
    <t>Dcto</t>
  </si>
  <si>
    <t>Bod</t>
  </si>
  <si>
    <t>Precio Final</t>
  </si>
  <si>
    <t>Precio de Escrituración</t>
  </si>
  <si>
    <t>Monto a solicitar</t>
  </si>
  <si>
    <t>C. Hip.</t>
  </si>
  <si>
    <t>Pie (%)</t>
  </si>
  <si>
    <t>Pie ($)</t>
  </si>
  <si>
    <t>Cuotas</t>
  </si>
  <si>
    <t>Valor Cuota</t>
  </si>
  <si>
    <t>Arriendo aprox.</t>
  </si>
  <si>
    <t>Proyectos</t>
  </si>
  <si>
    <t>Abono Inicial</t>
  </si>
  <si>
    <t>Monto</t>
  </si>
  <si>
    <t>Fecha</t>
  </si>
  <si>
    <t>Ingresar plusvalía:</t>
  </si>
  <si>
    <t>Año 1</t>
  </si>
  <si>
    <t>Año 2</t>
  </si>
  <si>
    <t>Año 3</t>
  </si>
  <si>
    <t>Año 4</t>
  </si>
  <si>
    <t>Año 5</t>
  </si>
  <si>
    <t>GANANCIA</t>
  </si>
  <si>
    <t>MACUL</t>
  </si>
  <si>
    <t>B702</t>
  </si>
  <si>
    <t>B802</t>
  </si>
  <si>
    <t>B806</t>
  </si>
  <si>
    <t>B810</t>
  </si>
  <si>
    <t>B910</t>
  </si>
  <si>
    <t>B911</t>
  </si>
  <si>
    <t>Tasa EI</t>
  </si>
  <si>
    <t>B901</t>
  </si>
  <si>
    <t>A810</t>
  </si>
  <si>
    <t>A709</t>
  </si>
  <si>
    <t>A809</t>
  </si>
  <si>
    <t>A909</t>
  </si>
  <si>
    <t>B610</t>
  </si>
  <si>
    <t>A802</t>
  </si>
  <si>
    <t>B710</t>
  </si>
  <si>
    <t>B902</t>
  </si>
  <si>
    <t>INFO GENERAL</t>
  </si>
  <si>
    <t>Entrega Estimada</t>
  </si>
  <si>
    <t>Enviar reserva a</t>
  </si>
  <si>
    <t>Activo Más</t>
  </si>
  <si>
    <t>Rut</t>
  </si>
  <si>
    <t>76.926.589-9</t>
  </si>
  <si>
    <t>Razón Social</t>
  </si>
  <si>
    <t>Activo Más S.A</t>
  </si>
  <si>
    <t>Banco</t>
  </si>
  <si>
    <t>Banco de Chile</t>
  </si>
  <si>
    <t>Tipo de cuenta</t>
  </si>
  <si>
    <t>Corriente</t>
  </si>
  <si>
    <t>Número cuenta</t>
  </si>
  <si>
    <t>LINK WEBPAY</t>
  </si>
  <si>
    <t>https://micrositios.getnet.cl/paz</t>
  </si>
  <si>
    <t>Monto reserva</t>
  </si>
  <si>
    <t>Abono inicial</t>
  </si>
  <si>
    <t>Estacionamientos</t>
  </si>
  <si>
    <t>Bodegas</t>
  </si>
  <si>
    <t>Devoluciones</t>
  </si>
  <si>
    <t>CUENTA CORRIENTE ACTIVO MÁS</t>
  </si>
  <si>
    <t>30 días</t>
  </si>
  <si>
    <t>PROMESA</t>
  </si>
  <si>
    <t>Qué se debe firmar</t>
  </si>
  <si>
    <t>Formato</t>
  </si>
  <si>
    <t>Requisito</t>
  </si>
  <si>
    <t>Brochure</t>
  </si>
  <si>
    <t>San Francisco</t>
  </si>
  <si>
    <t>San Francisco - Stgo Centro</t>
  </si>
  <si>
    <t>A901</t>
  </si>
  <si>
    <t>B718</t>
  </si>
  <si>
    <t>B804</t>
  </si>
  <si>
    <t>A819</t>
  </si>
  <si>
    <t>B904</t>
  </si>
  <si>
    <t>B704</t>
  </si>
  <si>
    <t>A719</t>
  </si>
  <si>
    <t>B618</t>
  </si>
  <si>
    <t>A818</t>
  </si>
  <si>
    <t>B803</t>
  </si>
  <si>
    <t>A619</t>
  </si>
  <si>
    <t>B518</t>
  </si>
  <si>
    <t>A918</t>
  </si>
  <si>
    <t>A718</t>
  </si>
  <si>
    <t>B903</t>
  </si>
  <si>
    <t>B703</t>
  </si>
  <si>
    <t>A722</t>
  </si>
  <si>
    <t>A721</t>
  </si>
  <si>
    <t>A609</t>
  </si>
  <si>
    <t>B821</t>
  </si>
  <si>
    <t>A807</t>
  </si>
  <si>
    <t>A806</t>
  </si>
  <si>
    <t>A608</t>
  </si>
  <si>
    <t>B809</t>
  </si>
  <si>
    <t>B921</t>
  </si>
  <si>
    <t>A906</t>
  </si>
  <si>
    <t>A903</t>
  </si>
  <si>
    <t>B721</t>
  </si>
  <si>
    <t>A704</t>
  </si>
  <si>
    <t>A703</t>
  </si>
  <si>
    <t>B817</t>
  </si>
  <si>
    <t>B815</t>
  </si>
  <si>
    <t>B812</t>
  </si>
  <si>
    <t>B811</t>
  </si>
  <si>
    <t>A821</t>
  </si>
  <si>
    <t>A820</t>
  </si>
  <si>
    <t>B805</t>
  </si>
  <si>
    <t>B620</t>
  </si>
  <si>
    <t>A621</t>
  </si>
  <si>
    <t>A620</t>
  </si>
  <si>
    <t>B909</t>
  </si>
  <si>
    <t>B709</t>
  </si>
  <si>
    <t>B912</t>
  </si>
  <si>
    <t>A914</t>
  </si>
  <si>
    <t>B905</t>
  </si>
  <si>
    <t>B705</t>
  </si>
  <si>
    <t>B621</t>
  </si>
  <si>
    <t>B807</t>
  </si>
  <si>
    <t>B106</t>
  </si>
  <si>
    <t>b413</t>
  </si>
  <si>
    <t>Exequiel</t>
  </si>
  <si>
    <t>Macul</t>
  </si>
  <si>
    <t>Exequiel - Macul</t>
  </si>
  <si>
    <t>2do Semestre 2026</t>
  </si>
  <si>
    <t>Seminario 2 - Ñuñoa</t>
  </si>
  <si>
    <t>Seminario 2</t>
  </si>
  <si>
    <t>Cuotas TOKU</t>
  </si>
  <si>
    <t>El cliente debe inscribir su PAC (cuenta corriente) en el link TOKU el mismo día que se le envía, y en un plazo de 48 horas estará cargada la promesa para la firma.</t>
  </si>
  <si>
    <t>Una vez que que reserva debe inscribirse en InfoCheck y confirmar que ya se inscribió. Luego que el cliente manda los documentos bancarios y está inscrito el InfoCheck, solicitamos a la inmobiliaria la aprobación de avanzar con el negocio (esto demora de 1-2 días). Teniendo el visto bueno por parte de Paz, se solicita la confirmacion del plan de pago y pago del abono inicial.</t>
  </si>
  <si>
    <t>https://ipaz.infocheck.cl/B2B</t>
  </si>
  <si>
    <t>Link InfoCheck</t>
  </si>
  <si>
    <t>No se puede para Estudio / Opcional para 1D / Obligatorio para 2D</t>
  </si>
  <si>
    <t>Bono pie</t>
  </si>
  <si>
    <t>Solo para dptos. No aplica para unidades secundarias</t>
  </si>
  <si>
    <t>Cheques</t>
  </si>
  <si>
    <t>NO SE DEJA CHEQUE POR EL CONTRA ESCRITURA NI BONO PIE</t>
  </si>
  <si>
    <t>PROMESA - CARTA DE OFERTA - PEP - ANTECEDENTES - COTIZACION - ACUERDO COMERCIAL ACTIVO MÁS</t>
  </si>
  <si>
    <t>Online. Excepto el Acuerdo Comercial de Activo Más que es firma física</t>
  </si>
  <si>
    <t>B819</t>
  </si>
  <si>
    <t>IV Centenario - Las Condes</t>
  </si>
  <si>
    <t>IV Centenario</t>
  </si>
  <si>
    <t>Las Condes</t>
  </si>
  <si>
    <t>LAS CONDES</t>
  </si>
  <si>
    <t>Opcional para 1D / Obligatorio para 2D</t>
  </si>
  <si>
    <t>Fecha de cobro</t>
  </si>
  <si>
    <t>5 de cada mes</t>
  </si>
  <si>
    <t>Abono Total:</t>
  </si>
  <si>
    <t>B717</t>
  </si>
  <si>
    <t>B917</t>
  </si>
  <si>
    <t>B801</t>
  </si>
  <si>
    <t>B719</t>
  </si>
  <si>
    <t>Plaza Lira</t>
  </si>
  <si>
    <t>Plaza Lira - Stgo Centro</t>
  </si>
  <si>
    <t>1er Semestre 2028</t>
  </si>
  <si>
    <t>NO se puede para 1D / Obligatorio para 2D</t>
  </si>
  <si>
    <t>A710</t>
  </si>
  <si>
    <t>A915</t>
  </si>
  <si>
    <t>A907</t>
  </si>
  <si>
    <t>B701</t>
  </si>
  <si>
    <t>A720</t>
  </si>
  <si>
    <t>A808</t>
  </si>
  <si>
    <t>A801</t>
  </si>
  <si>
    <t>Renta mínima</t>
  </si>
  <si>
    <t>B107</t>
  </si>
  <si>
    <t>B108</t>
  </si>
  <si>
    <t>A714</t>
  </si>
  <si>
    <t>A715</t>
  </si>
  <si>
    <t>B711</t>
  </si>
  <si>
    <t>B712</t>
  </si>
  <si>
    <t>B603</t>
  </si>
  <si>
    <t>A814</t>
  </si>
  <si>
    <t>A815</t>
  </si>
  <si>
    <t>A702</t>
  </si>
  <si>
    <t>A705</t>
  </si>
  <si>
    <t>A706</t>
  </si>
  <si>
    <t>A707</t>
  </si>
  <si>
    <t>A902</t>
  </si>
  <si>
    <t>A904</t>
  </si>
  <si>
    <t>A803</t>
  </si>
  <si>
    <t>A805</t>
  </si>
  <si>
    <t>B720</t>
  </si>
  <si>
    <t>B920</t>
  </si>
  <si>
    <t>A601</t>
  </si>
  <si>
    <t>B604</t>
  </si>
  <si>
    <t>B820</t>
  </si>
  <si>
    <t>A708</t>
  </si>
  <si>
    <t>36 Cuotas TC</t>
  </si>
  <si>
    <t>SIN ABONO</t>
  </si>
  <si>
    <t>B105</t>
  </si>
  <si>
    <t>Cuotón máximo:</t>
  </si>
  <si>
    <t>2do Semestre 2028</t>
  </si>
  <si>
    <t>Bodegas desde UF 55</t>
  </si>
  <si>
    <t>Seguros</t>
  </si>
  <si>
    <t>TOTAL</t>
  </si>
  <si>
    <t>A701</t>
  </si>
  <si>
    <t>Bono Pie</t>
  </si>
  <si>
    <t>Sin abono</t>
  </si>
  <si>
    <t>Tasa Banco</t>
  </si>
  <si>
    <t>B706</t>
  </si>
  <si>
    <t>B707</t>
  </si>
  <si>
    <t>B907</t>
  </si>
  <si>
    <t>No se puede para Estudio ni 1D / Opcional para 2D</t>
  </si>
  <si>
    <t>Opcional para toda tipología</t>
  </si>
  <si>
    <t>Bodegas desde UF 80</t>
  </si>
  <si>
    <t>AG PLAZA LIRA</t>
  </si>
  <si>
    <t>Estac</t>
  </si>
  <si>
    <t>Est y Bodega</t>
  </si>
  <si>
    <t>AG SAN FCO</t>
  </si>
  <si>
    <t>SAN FCO</t>
  </si>
  <si>
    <t>Mercado Serrano - Stgo</t>
  </si>
  <si>
    <t>Mercado Serrano</t>
  </si>
  <si>
    <t>2do Semestre 2027</t>
  </si>
  <si>
    <t>AG SERRANO</t>
  </si>
  <si>
    <t>Arriendo Garantizado</t>
  </si>
  <si>
    <t>Es un beneficio otorgado por la inmobiliaria en alianza con una administradora, que asegura el pago mensual de un arriendo, incluso si la unidad no tiene arrendatario. Este monto es superior al valor de mercado y se paga de forma continua mientras el departamento esté bajo su administración.</t>
  </si>
  <si>
    <r>
      <rPr>
        <b/>
        <sz val="11"/>
        <color theme="4" tint="-0.499984740745262"/>
        <rFont val="Calibri"/>
        <family val="2"/>
        <scheme val="minor"/>
      </rPr>
      <t>Arriendo garantizado:</t>
    </r>
    <r>
      <rPr>
        <sz val="11"/>
        <color theme="4" tint="-0.499984740745262"/>
        <rFont val="Calibri"/>
        <family val="2"/>
        <scheme val="minor"/>
      </rPr>
      <t xml:space="preserve">
Es un beneficio otorgado por la inmobiliaria en alianza con una administradora, que asegura el pago mensual de un arriendo, incluso si la unidad no tiene arrendatario. Este monto es superior al valor de mercado y se paga de forma continua mientras el departamento esté bajo su administración.</t>
    </r>
  </si>
  <si>
    <t>Seminario II</t>
  </si>
  <si>
    <t>B410</t>
  </si>
  <si>
    <t>Sur-Oriente-Poniente</t>
  </si>
  <si>
    <t>B310</t>
  </si>
  <si>
    <t>A508</t>
  </si>
  <si>
    <t>B502</t>
  </si>
  <si>
    <t>Sí, por 2 años</t>
  </si>
  <si>
    <t>No</t>
  </si>
  <si>
    <t>Bloqueado</t>
  </si>
  <si>
    <t>Atelier</t>
  </si>
  <si>
    <t>Atelier - Ñuñoa</t>
  </si>
  <si>
    <t>AG ATELIER</t>
  </si>
  <si>
    <t>LANZAMIENTO</t>
  </si>
  <si>
    <t>Obligatorio para 1D</t>
  </si>
  <si>
    <t>Cuotón máximo: 4% para Mercado Serrano y San Fco. y 3% para Plaza Lira, Atelier y Seminario 2.</t>
  </si>
  <si>
    <t>A208</t>
  </si>
  <si>
    <t>A209</t>
  </si>
  <si>
    <t>A319</t>
  </si>
  <si>
    <t>A509</t>
  </si>
  <si>
    <t>B418</t>
  </si>
  <si>
    <t>Estacionamientos desde UF 200 para los de 1D</t>
  </si>
  <si>
    <t>HOLA</t>
  </si>
  <si>
    <t>B520</t>
  </si>
  <si>
    <t>B503</t>
  </si>
  <si>
    <t>* Dividendos incluyen los seguros obligatorios, equivalentes a UF 1.</t>
  </si>
  <si>
    <t>A603</t>
  </si>
  <si>
    <t>A604</t>
  </si>
  <si>
    <t>18 o 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</si>
</sst>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2" formatCode="_ &quot;$&quot;* #,##0_ ;_ &quot;$&quot;* \-#,##0_ ;_ &quot;$&quot;* &quot;-&quot;_ ;_ @_ "/>
    <numFmt numFmtId="41" formatCode="_ * #,##0_ ;_ * \-#,##0_ ;_ * &quot;-&quot;_ ;_ @_ "/>
    <numFmt numFmtId="164" formatCode="_-&quot;$&quot;* #,##0_-;\-&quot;$&quot;* #,##0_-;_-&quot;$&quot;* &quot;-&quot;_-;_-@_-"/>
    <numFmt numFmtId="165" formatCode="_-* #,##0.00_-;\-* #,##0.00_-;_-* &quot;-&quot;??_-;_-@_-"/>
    <numFmt numFmtId="166" formatCode="_-&quot;$&quot;\ * #,##0_-;\-&quot;$&quot;\ * #,##0_-;_-&quot;$&quot;\ * &quot;-&quot;_-;_-@_-"/>
    <numFmt numFmtId="167" formatCode="&quot;$&quot;#,##0"/>
    <numFmt numFmtId="168" formatCode="\U\F\ #,##0.00"/>
    <numFmt numFmtId="169" formatCode="\U\F\ #,##0"/>
    <numFmt numFmtId="170" formatCode="0.0%"/>
    <numFmt numFmtId="171" formatCode="_ * #,##0.00_ ;_ * \-#,##0.00_ ;_ * &quot;-&quot;_ ;_ @_ "/>
    <numFmt numFmtId="172" formatCode="#,##0_ ;\-#,##0\ "/>
    <numFmt numFmtId="173" formatCode="#,##0.000"/>
    <numFmt numFmtId="174" formatCode="0.0"/>
  </numFmts>
  <fonts count="9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scheme val="minor"/>
    </font>
    <font>
      <sz val="8"/>
      <color theme="1"/>
      <name val="Calibri"/>
      <family val="2"/>
      <scheme val="minor"/>
    </font>
    <font>
      <b/>
      <sz val="12"/>
      <color rgb="FF000000"/>
      <name val="Arial"/>
      <family val="2"/>
    </font>
    <font>
      <sz val="8"/>
      <color theme="1"/>
      <name val="Arial"/>
      <family val="2"/>
    </font>
    <font>
      <sz val="8"/>
      <name val="Calibri"/>
      <family val="2"/>
      <scheme val="minor"/>
    </font>
    <font>
      <b/>
      <sz val="8"/>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11"/>
      <color rgb="FF9C6500"/>
      <name val="Calibri"/>
      <family val="2"/>
      <scheme val="minor"/>
    </font>
    <font>
      <sz val="11"/>
      <color rgb="FF000000"/>
      <name val="Calibri"/>
      <family val="2"/>
    </font>
    <font>
      <b/>
      <sz val="18"/>
      <color theme="3"/>
      <name val="Calibri Light"/>
      <family val="2"/>
      <scheme val="major"/>
    </font>
    <font>
      <sz val="11"/>
      <color theme="1"/>
      <name val="Calibri"/>
      <family val="2"/>
    </font>
    <font>
      <b/>
      <sz val="22"/>
      <color theme="0"/>
      <name val="Calibri"/>
      <family val="2"/>
      <scheme val="minor"/>
    </font>
    <font>
      <sz val="12"/>
      <color theme="4" tint="-0.249977111117893"/>
      <name val="Calibri"/>
      <family val="2"/>
      <scheme val="minor"/>
    </font>
    <font>
      <b/>
      <sz val="12"/>
      <color theme="4" tint="-0.249977111117893"/>
      <name val="Calibri"/>
      <family val="2"/>
      <scheme val="minor"/>
    </font>
    <font>
      <sz val="12"/>
      <color theme="8" tint="-0.499984740745262"/>
      <name val="Calibri"/>
      <family val="2"/>
      <scheme val="minor"/>
    </font>
    <font>
      <b/>
      <sz val="12"/>
      <color theme="8" tint="-0.499984740745262"/>
      <name val="Calibri"/>
      <family val="2"/>
      <scheme val="minor"/>
    </font>
    <font>
      <b/>
      <sz val="12"/>
      <name val="Calibri"/>
      <family val="2"/>
      <scheme val="minor"/>
    </font>
    <font>
      <sz val="12"/>
      <name val="Calibri"/>
      <family val="2"/>
      <scheme val="minor"/>
    </font>
    <font>
      <sz val="12"/>
      <color theme="1"/>
      <name val="Arial"/>
      <family val="2"/>
    </font>
    <font>
      <b/>
      <sz val="12"/>
      <color theme="4" tint="-0.249977111117893"/>
      <name val="Arial"/>
      <family val="2"/>
    </font>
    <font>
      <sz val="12"/>
      <color theme="4" tint="-0.249977111117893"/>
      <name val="Arial"/>
      <family val="2"/>
    </font>
    <font>
      <b/>
      <sz val="11"/>
      <color theme="4" tint="-0.249977111117893"/>
      <name val="Arial"/>
      <family val="2"/>
    </font>
    <font>
      <i/>
      <sz val="8"/>
      <color theme="4" tint="-0.499984740745262"/>
      <name val="Arial"/>
      <family val="2"/>
    </font>
    <font>
      <sz val="12"/>
      <color theme="0"/>
      <name val="Calibri"/>
      <family val="2"/>
      <scheme val="minor"/>
    </font>
    <font>
      <sz val="12"/>
      <name val="Arial"/>
      <family val="2"/>
    </font>
    <font>
      <b/>
      <sz val="12"/>
      <color theme="1"/>
      <name val="Arial"/>
      <family val="2"/>
    </font>
    <font>
      <b/>
      <sz val="12"/>
      <color theme="0"/>
      <name val="Arial"/>
      <family val="2"/>
    </font>
    <font>
      <b/>
      <sz val="14"/>
      <color theme="0"/>
      <name val="Arial"/>
      <family val="2"/>
    </font>
    <font>
      <b/>
      <sz val="10"/>
      <color theme="4" tint="-0.249977111117893"/>
      <name val="Tahoma"/>
      <family val="2"/>
    </font>
    <font>
      <sz val="10"/>
      <color theme="4" tint="-0.249977111117893"/>
      <name val="Tahoma"/>
      <family val="2"/>
    </font>
    <font>
      <sz val="12"/>
      <color theme="8" tint="0.39997558519241921"/>
      <name val="Calibri"/>
      <family val="2"/>
      <scheme val="minor"/>
    </font>
    <font>
      <b/>
      <sz val="12"/>
      <color theme="4" tint="-0.249977111117893"/>
      <name val="Tahoma"/>
      <family val="2"/>
    </font>
    <font>
      <sz val="12"/>
      <color theme="4" tint="-0.249977111117893"/>
      <name val="Tahoma"/>
      <family val="2"/>
    </font>
    <font>
      <sz val="12"/>
      <color theme="1"/>
      <name val="Tahoma"/>
      <family val="2"/>
    </font>
    <font>
      <b/>
      <sz val="12"/>
      <color theme="4" tint="-0.499984740745262"/>
      <name val="Tahoma"/>
      <family val="2"/>
    </font>
    <font>
      <b/>
      <sz val="12"/>
      <color rgb="FF0095EB"/>
      <name val="Tahoma"/>
      <family val="2"/>
    </font>
    <font>
      <sz val="12"/>
      <color rgb="FF2D2E83"/>
      <name val="Tahoma"/>
      <family val="2"/>
    </font>
    <font>
      <sz val="12"/>
      <color rgb="FF2D2E83"/>
      <name val="Calibri"/>
      <family val="2"/>
      <scheme val="minor"/>
    </font>
    <font>
      <b/>
      <sz val="12"/>
      <color rgb="FF2D2E83"/>
      <name val="Tahoma"/>
      <family val="2"/>
    </font>
    <font>
      <i/>
      <sz val="8"/>
      <color rgb="FF2D2E83"/>
      <name val="Tahoma"/>
      <family val="2"/>
    </font>
    <font>
      <b/>
      <sz val="11"/>
      <color rgb="FF2D2E83"/>
      <name val="Tahoma"/>
      <family val="2"/>
    </font>
    <font>
      <sz val="11"/>
      <color rgb="FF2D2E83"/>
      <name val="Tahoma"/>
      <family val="2"/>
    </font>
    <font>
      <b/>
      <sz val="11"/>
      <color theme="1"/>
      <name val="Arial"/>
      <family val="2"/>
    </font>
    <font>
      <b/>
      <sz val="9"/>
      <color theme="4" tint="-0.249977111117893"/>
      <name val="Tahoma"/>
      <family val="2"/>
    </font>
    <font>
      <b/>
      <sz val="12"/>
      <color theme="0"/>
      <name val="Calibri"/>
      <family val="2"/>
      <scheme val="minor"/>
    </font>
    <font>
      <sz val="12"/>
      <color theme="4" tint="-0.499984740745262"/>
      <name val="Tahoma"/>
      <family val="2"/>
    </font>
    <font>
      <sz val="12"/>
      <color rgb="FF2D2E83"/>
      <name val="Arial"/>
      <family val="2"/>
    </font>
    <font>
      <b/>
      <sz val="12"/>
      <color theme="0"/>
      <name val="Tahoma"/>
      <family val="2"/>
    </font>
    <font>
      <b/>
      <sz val="10"/>
      <color rgb="FF2D2E83"/>
      <name val="Tahoma"/>
      <family val="2"/>
    </font>
    <font>
      <i/>
      <sz val="10"/>
      <color theme="1"/>
      <name val="Calibri"/>
      <family val="2"/>
      <scheme val="minor"/>
    </font>
    <font>
      <b/>
      <sz val="20"/>
      <color theme="1"/>
      <name val="Calibri"/>
      <family val="2"/>
      <scheme val="minor"/>
    </font>
    <font>
      <sz val="12"/>
      <color rgb="FF0095EB"/>
      <name val="Tahoma"/>
      <family val="2"/>
    </font>
    <font>
      <sz val="12"/>
      <color rgb="FF1E1E1E"/>
      <name val="Segoe UI"/>
      <family val="2"/>
    </font>
    <font>
      <sz val="12"/>
      <color rgb="FF706F6F"/>
      <name val="Arial"/>
      <family val="2"/>
    </font>
    <font>
      <sz val="12"/>
      <color theme="4" tint="-0.499984740745262"/>
      <name val="Calibri"/>
      <family val="2"/>
      <scheme val="minor"/>
    </font>
    <font>
      <b/>
      <sz val="12"/>
      <color theme="4" tint="-0.499984740745262"/>
      <name val="Calibri"/>
      <family val="2"/>
      <scheme val="minor"/>
    </font>
    <font>
      <b/>
      <sz val="16"/>
      <color rgb="FF002060"/>
      <name val="Calibri"/>
      <family val="2"/>
      <scheme val="minor"/>
    </font>
    <font>
      <sz val="11"/>
      <name val="Calibri"/>
      <family val="2"/>
      <scheme val="minor"/>
    </font>
    <font>
      <sz val="11"/>
      <name val="Calibri"/>
      <family val="2"/>
    </font>
    <font>
      <u/>
      <sz val="11"/>
      <color theme="10"/>
      <name val="Calibri"/>
      <family val="2"/>
      <scheme val="minor"/>
    </font>
    <font>
      <b/>
      <sz val="18"/>
      <color theme="0"/>
      <name val="Calibri"/>
      <family val="2"/>
      <scheme val="minor"/>
    </font>
    <font>
      <u/>
      <sz val="12"/>
      <color theme="4" tint="-0.499984740745262"/>
      <name val="Calibri"/>
      <family val="2"/>
      <scheme val="minor"/>
    </font>
    <font>
      <sz val="11"/>
      <color theme="4" tint="-0.499984740745262"/>
      <name val="Calibri"/>
      <family val="2"/>
      <scheme val="minor"/>
    </font>
    <font>
      <i/>
      <sz val="11"/>
      <color theme="8" tint="-0.499984740745262"/>
      <name val="Calibri"/>
      <family val="2"/>
      <scheme val="minor"/>
    </font>
    <font>
      <u/>
      <sz val="12"/>
      <color theme="10"/>
      <name val="Calibri"/>
      <family val="2"/>
      <scheme val="minor"/>
    </font>
    <font>
      <b/>
      <sz val="16"/>
      <color theme="4" tint="-0.499984740745262"/>
      <name val="Calibri"/>
      <family val="2"/>
      <scheme val="minor"/>
    </font>
    <font>
      <b/>
      <sz val="8"/>
      <color theme="1"/>
      <name val="Arial"/>
      <family val="2"/>
    </font>
    <font>
      <b/>
      <sz val="18"/>
      <color theme="4" tint="-0.499984740745262"/>
      <name val="Calibri"/>
      <family val="2"/>
      <scheme val="minor"/>
    </font>
    <font>
      <b/>
      <u/>
      <sz val="18"/>
      <color theme="4" tint="-0.499984740745262"/>
      <name val="Calibri"/>
      <family val="2"/>
      <scheme val="minor"/>
    </font>
    <font>
      <sz val="16"/>
      <color theme="4" tint="-0.499984740745262"/>
      <name val="Calibri"/>
      <family val="2"/>
      <scheme val="minor"/>
    </font>
    <font>
      <b/>
      <i/>
      <sz val="11"/>
      <color rgb="FF2D2E83"/>
      <name val="Calibri"/>
      <family val="2"/>
      <scheme val="minor"/>
    </font>
    <font>
      <b/>
      <sz val="11"/>
      <color theme="4" tint="-0.499984740745262"/>
      <name val="Calibri"/>
      <family val="2"/>
      <scheme val="minor"/>
    </font>
  </fonts>
  <fills count="51">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rgb="FFEDEDED"/>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0"/>
        <bgColor theme="4" tint="0.79998168889431442"/>
      </patternFill>
    </fill>
    <fill>
      <patternFill patternType="solid">
        <fgColor theme="4" tint="0.59999389629810485"/>
        <bgColor indexed="64"/>
      </patternFill>
    </fill>
    <fill>
      <patternFill patternType="solid">
        <fgColor rgb="FF0095EB"/>
        <bgColor indexed="64"/>
      </patternFill>
    </fill>
    <fill>
      <patternFill patternType="solid">
        <fgColor rgb="FFFF0000"/>
        <bgColor indexed="64"/>
      </patternFill>
    </fill>
    <fill>
      <patternFill patternType="solid">
        <fgColor rgb="FFFFFFFF"/>
        <bgColor indexed="64"/>
      </patternFill>
    </fill>
    <fill>
      <patternFill patternType="solid">
        <fgColor rgb="FFC6EFCE"/>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rgb="FF00CCFF"/>
        <bgColor indexed="64"/>
      </patternFill>
    </fill>
    <fill>
      <patternFill patternType="solid">
        <fgColor rgb="FFFFFF00"/>
        <bgColor indexed="64"/>
      </patternFill>
    </fill>
  </fills>
  <borders count="6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style="medium">
        <color rgb="FFDDDDDD"/>
      </left>
      <right style="medium">
        <color rgb="FFCCCCCC"/>
      </right>
      <top style="medium">
        <color rgb="FFDDDDDD"/>
      </top>
      <bottom style="medium">
        <color rgb="FFCCCCCC"/>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auto="1"/>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style="thin">
        <color theme="4" tint="-0.249977111117893"/>
      </right>
      <top/>
      <bottom/>
      <diagonal/>
    </border>
    <border>
      <left/>
      <right/>
      <top style="thin">
        <color theme="4" tint="-0.249977111117893"/>
      </top>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top/>
      <bottom style="thin">
        <color theme="4" tint="-0.249977111117893"/>
      </bottom>
      <diagonal/>
    </border>
    <border>
      <left style="thin">
        <color theme="4" tint="-0.249977111117893"/>
      </left>
      <right/>
      <top style="thin">
        <color theme="4" tint="-0.249977111117893"/>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theme="4" tint="-0.249977111117893"/>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theme="0" tint="-4.9989318521683403E-2"/>
      </top>
      <bottom style="thin">
        <color theme="0" tint="-4.9989318521683403E-2"/>
      </bottom>
      <diagonal/>
    </border>
    <border>
      <left style="thin">
        <color auto="1"/>
      </left>
      <right/>
      <top style="thin">
        <color auto="1"/>
      </top>
      <bottom/>
      <diagonal/>
    </border>
    <border>
      <left style="thin">
        <color indexed="64"/>
      </left>
      <right/>
      <top style="thin">
        <color theme="0" tint="-4.9989318521683403E-2"/>
      </top>
      <bottom style="thin">
        <color theme="0" tint="-4.9989318521683403E-2"/>
      </bottom>
      <diagonal/>
    </border>
    <border>
      <left/>
      <right/>
      <top style="thin">
        <color rgb="FF2D2E83"/>
      </top>
      <bottom/>
      <diagonal/>
    </border>
    <border>
      <left style="thin">
        <color rgb="FF2D2E83"/>
      </left>
      <right style="thin">
        <color rgb="FF2D2E83"/>
      </right>
      <top style="thin">
        <color rgb="FF2D2E83"/>
      </top>
      <bottom style="thin">
        <color rgb="FF2D2E83"/>
      </bottom>
      <diagonal/>
    </border>
    <border>
      <left style="medium">
        <color indexed="64"/>
      </left>
      <right style="thin">
        <color indexed="64"/>
      </right>
      <top/>
      <bottom/>
      <diagonal/>
    </border>
    <border>
      <left/>
      <right/>
      <top style="medium">
        <color indexed="64"/>
      </top>
      <bottom/>
      <diagonal/>
    </border>
    <border>
      <left/>
      <right/>
      <top/>
      <bottom style="medium">
        <color indexed="64"/>
      </bottom>
      <diagonal/>
    </border>
    <border>
      <left style="thin">
        <color rgb="FF2D2E83"/>
      </left>
      <right style="thin">
        <color rgb="FF2D2E83"/>
      </right>
      <top/>
      <bottom/>
      <diagonal/>
    </border>
    <border>
      <left style="thin">
        <color rgb="FF2D2E83"/>
      </left>
      <right/>
      <top/>
      <bottom/>
      <diagonal/>
    </border>
    <border>
      <left style="medium">
        <color rgb="FFDDDDDD"/>
      </left>
      <right style="medium">
        <color rgb="FFDDDDDD"/>
      </right>
      <top style="medium">
        <color rgb="FFDDDDDD"/>
      </top>
      <bottom style="medium">
        <color rgb="FFDDDDDD"/>
      </bottom>
      <diagonal/>
    </border>
    <border>
      <left style="thin">
        <color theme="4" tint="-0.249977111117893"/>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diagonal/>
    </border>
    <border>
      <left/>
      <right style="thin">
        <color theme="4" tint="-0.249977111117893"/>
      </right>
      <top style="thin">
        <color theme="4" tint="-0.249977111117893"/>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thick">
        <color theme="4" tint="0.59996337778862885"/>
      </left>
      <right style="thin">
        <color theme="4" tint="0.59996337778862885"/>
      </right>
      <top style="thick">
        <color theme="4" tint="0.59996337778862885"/>
      </top>
      <bottom style="thin">
        <color theme="4" tint="0.59996337778862885"/>
      </bottom>
      <diagonal/>
    </border>
    <border>
      <left style="thin">
        <color theme="4" tint="0.59996337778862885"/>
      </left>
      <right style="thin">
        <color theme="4" tint="0.59996337778862885"/>
      </right>
      <top style="thick">
        <color theme="4" tint="0.59996337778862885"/>
      </top>
      <bottom style="thin">
        <color theme="4" tint="0.59996337778862885"/>
      </bottom>
      <diagonal/>
    </border>
    <border>
      <left style="thick">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style="thick">
        <color theme="4" tint="0.59996337778862885"/>
      </right>
      <top style="thin">
        <color theme="4" tint="0.59996337778862885"/>
      </top>
      <bottom style="thin">
        <color theme="4" tint="0.59996337778862885"/>
      </bottom>
      <diagonal/>
    </border>
    <border>
      <left style="thick">
        <color theme="4" tint="0.59996337778862885"/>
      </left>
      <right style="thin">
        <color theme="4" tint="0.59996337778862885"/>
      </right>
      <top style="thin">
        <color theme="4" tint="0.59996337778862885"/>
      </top>
      <bottom style="thick">
        <color theme="4" tint="0.59996337778862885"/>
      </bottom>
      <diagonal/>
    </border>
    <border>
      <left style="thin">
        <color theme="4" tint="0.59996337778862885"/>
      </left>
      <right style="thin">
        <color theme="4" tint="0.59996337778862885"/>
      </right>
      <top style="thin">
        <color theme="4" tint="0.59996337778862885"/>
      </top>
      <bottom style="thick">
        <color theme="4" tint="0.59996337778862885"/>
      </bottom>
      <diagonal/>
    </border>
    <border>
      <left style="thin">
        <color theme="4" tint="0.59996337778862885"/>
      </left>
      <right style="thick">
        <color theme="4" tint="0.59996337778862885"/>
      </right>
      <top style="thin">
        <color theme="4" tint="0.59996337778862885"/>
      </top>
      <bottom style="thick">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ck">
        <color theme="4" tint="0.59996337778862885"/>
      </right>
      <top style="thin">
        <color theme="4" tint="0.59996337778862885"/>
      </top>
      <bottom style="thin">
        <color theme="4" tint="0.59996337778862885"/>
      </bottom>
      <diagonal/>
    </border>
  </borders>
  <cellStyleXfs count="77">
    <xf numFmtId="0" fontId="0" fillId="0" borderId="0"/>
    <xf numFmtId="164" fontId="10" fillId="0" borderId="0" applyFont="0" applyFill="0" applyBorder="0" applyAlignment="0" applyProtection="0"/>
    <xf numFmtId="9" fontId="10" fillId="0" borderId="0" applyFont="0" applyFill="0" applyBorder="0" applyAlignment="0" applyProtection="0"/>
    <xf numFmtId="0" fontId="9" fillId="0" borderId="0"/>
    <xf numFmtId="9" fontId="9" fillId="0" borderId="0" applyFont="0" applyFill="0" applyBorder="0" applyAlignment="0" applyProtection="0"/>
    <xf numFmtId="42" fontId="9" fillId="0" borderId="0" applyFont="0" applyFill="0" applyBorder="0" applyAlignment="0" applyProtection="0"/>
    <xf numFmtId="41" fontId="9" fillId="0" borderId="0" applyFont="0" applyFill="0" applyBorder="0" applyAlignment="0" applyProtection="0"/>
    <xf numFmtId="0" fontId="19" fillId="0" borderId="12" applyNumberFormat="0" applyFill="0" applyAlignment="0" applyProtection="0"/>
    <xf numFmtId="0" fontId="20" fillId="0" borderId="13" applyNumberFormat="0" applyFill="0" applyAlignment="0" applyProtection="0"/>
    <xf numFmtId="0" fontId="21" fillId="0" borderId="14" applyNumberFormat="0" applyFill="0" applyAlignment="0" applyProtection="0"/>
    <xf numFmtId="0" fontId="22" fillId="6" borderId="0" applyNumberFormat="0" applyBorder="0" applyAlignment="0" applyProtection="0"/>
    <xf numFmtId="0" fontId="23" fillId="7" borderId="0" applyNumberFormat="0" applyBorder="0" applyAlignment="0" applyProtection="0"/>
    <xf numFmtId="0" fontId="24" fillId="9" borderId="15" applyNumberFormat="0" applyAlignment="0" applyProtection="0"/>
    <xf numFmtId="0" fontId="25" fillId="10" borderId="16" applyNumberFormat="0" applyAlignment="0" applyProtection="0"/>
    <xf numFmtId="0" fontId="26" fillId="10" borderId="15" applyNumberFormat="0" applyAlignment="0" applyProtection="0"/>
    <xf numFmtId="0" fontId="27" fillId="0" borderId="17" applyNumberFormat="0" applyFill="0" applyAlignment="0" applyProtection="0"/>
    <xf numFmtId="0" fontId="28" fillId="11" borderId="18" applyNumberFormat="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11" fillId="0" borderId="20" applyNumberFormat="0" applyFill="0" applyAlignment="0" applyProtection="0"/>
    <xf numFmtId="0" fontId="31"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31"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31"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31"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31"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31"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0" borderId="0"/>
    <xf numFmtId="0" fontId="31" fillId="16" borderId="0" applyNumberFormat="0" applyBorder="0" applyAlignment="0" applyProtection="0"/>
    <xf numFmtId="0" fontId="31" fillId="20" borderId="0" applyNumberFormat="0" applyBorder="0" applyAlignment="0" applyProtection="0"/>
    <xf numFmtId="0" fontId="31" fillId="24" borderId="0" applyNumberFormat="0" applyBorder="0" applyAlignment="0" applyProtection="0"/>
    <xf numFmtId="0" fontId="31" fillId="28" borderId="0" applyNumberFormat="0" applyBorder="0" applyAlignment="0" applyProtection="0"/>
    <xf numFmtId="0" fontId="31" fillId="32" borderId="0" applyNumberFormat="0" applyBorder="0" applyAlignment="0" applyProtection="0"/>
    <xf numFmtId="0" fontId="31" fillId="36" borderId="0" applyNumberFormat="0" applyBorder="0" applyAlignment="0" applyProtection="0"/>
    <xf numFmtId="165" fontId="8" fillId="0" borderId="0" applyFont="0" applyFill="0" applyBorder="0" applyAlignment="0" applyProtection="0"/>
    <xf numFmtId="166" fontId="8" fillId="0" borderId="0" applyFont="0" applyFill="0" applyBorder="0" applyAlignment="0" applyProtection="0"/>
    <xf numFmtId="0" fontId="33" fillId="8" borderId="0" applyNumberFormat="0" applyBorder="0" applyAlignment="0" applyProtection="0"/>
    <xf numFmtId="0" fontId="32" fillId="0" borderId="0"/>
    <xf numFmtId="0" fontId="34" fillId="0" borderId="0"/>
    <xf numFmtId="0" fontId="34" fillId="0" borderId="0"/>
    <xf numFmtId="0" fontId="34" fillId="0" borderId="0"/>
    <xf numFmtId="0" fontId="8" fillId="12" borderId="19" applyNumberFormat="0" applyFont="0" applyAlignment="0" applyProtection="0"/>
    <xf numFmtId="9" fontId="8" fillId="0" borderId="0" applyFont="0" applyFill="0" applyBorder="0" applyAlignment="0" applyProtection="0"/>
    <xf numFmtId="0" fontId="35" fillId="0" borderId="0" applyNumberFormat="0" applyFill="0" applyBorder="0" applyAlignment="0" applyProtection="0"/>
    <xf numFmtId="0" fontId="18" fillId="0" borderId="0" applyNumberFormat="0" applyFill="0" applyBorder="0" applyAlignment="0" applyProtection="0"/>
    <xf numFmtId="165" fontId="8" fillId="0" borderId="0" applyFont="0" applyFill="0" applyBorder="0" applyAlignment="0" applyProtection="0"/>
    <xf numFmtId="9" fontId="10" fillId="0" borderId="0" applyFont="0" applyFill="0" applyBorder="0" applyAlignment="0" applyProtection="0"/>
    <xf numFmtId="164" fontId="10" fillId="0" borderId="0" applyFont="0" applyFill="0" applyBorder="0" applyAlignment="0" applyProtection="0"/>
    <xf numFmtId="42" fontId="7" fillId="0" borderId="0" applyFont="0" applyFill="0" applyBorder="0" applyAlignment="0" applyProtection="0"/>
    <xf numFmtId="0" fontId="7" fillId="0" borderId="0"/>
    <xf numFmtId="0" fontId="10" fillId="0" borderId="0"/>
    <xf numFmtId="0" fontId="6" fillId="0" borderId="0"/>
    <xf numFmtId="9" fontId="6" fillId="0" borderId="0" applyFont="0" applyFill="0" applyBorder="0" applyAlignment="0" applyProtection="0"/>
    <xf numFmtId="0" fontId="6" fillId="0" borderId="0"/>
    <xf numFmtId="42" fontId="6" fillId="0" borderId="0" applyFont="0" applyFill="0" applyBorder="0" applyAlignment="0" applyProtection="0"/>
    <xf numFmtId="0" fontId="5" fillId="0" borderId="0"/>
    <xf numFmtId="42" fontId="5" fillId="0" borderId="0" applyFont="0" applyFill="0" applyBorder="0" applyAlignment="0" applyProtection="0"/>
    <xf numFmtId="41" fontId="10"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42" fontId="4" fillId="0" borderId="0" applyFont="0" applyFill="0" applyBorder="0" applyAlignment="0" applyProtection="0"/>
    <xf numFmtId="0" fontId="3" fillId="0" borderId="0"/>
    <xf numFmtId="0" fontId="85" fillId="0" borderId="0" applyNumberFormat="0" applyFill="0" applyBorder="0" applyAlignment="0" applyProtection="0"/>
    <xf numFmtId="0" fontId="90" fillId="0" borderId="0" applyNumberFormat="0" applyFill="0" applyBorder="0" applyAlignment="0" applyProtection="0"/>
    <xf numFmtId="0" fontId="2" fillId="0" borderId="0"/>
  </cellStyleXfs>
  <cellXfs count="402">
    <xf numFmtId="0" fontId="0" fillId="0" borderId="0" xfId="0"/>
    <xf numFmtId="0" fontId="0" fillId="3" borderId="0" xfId="0" applyFill="1" applyAlignment="1">
      <alignment horizontal="center" vertical="center"/>
    </xf>
    <xf numFmtId="14" fontId="14" fillId="4" borderId="11" xfId="0" applyNumberFormat="1" applyFont="1" applyFill="1" applyBorder="1" applyAlignment="1">
      <alignment horizontal="center" vertical="center" wrapText="1"/>
    </xf>
    <xf numFmtId="0" fontId="0" fillId="3" borderId="0" xfId="0" applyFill="1"/>
    <xf numFmtId="0" fontId="13" fillId="0" borderId="0" xfId="0" applyFont="1"/>
    <xf numFmtId="0" fontId="10" fillId="3" borderId="0" xfId="61" applyFill="1"/>
    <xf numFmtId="9" fontId="0" fillId="3" borderId="0" xfId="57" applyFont="1" applyFill="1"/>
    <xf numFmtId="0" fontId="10" fillId="3" borderId="0" xfId="61" applyFill="1" applyAlignment="1">
      <alignment horizontal="center"/>
    </xf>
    <xf numFmtId="0" fontId="10" fillId="0" borderId="0" xfId="61"/>
    <xf numFmtId="0" fontId="0" fillId="3" borderId="1" xfId="61" applyFont="1" applyFill="1" applyBorder="1" applyAlignment="1">
      <alignment horizontal="center"/>
    </xf>
    <xf numFmtId="0" fontId="36" fillId="38" borderId="1" xfId="61" applyFont="1" applyFill="1" applyBorder="1" applyAlignment="1">
      <alignment horizontal="center"/>
    </xf>
    <xf numFmtId="169" fontId="6" fillId="0" borderId="9" xfId="62" applyNumberFormat="1" applyBorder="1" applyAlignment="1">
      <alignment horizontal="center" wrapText="1"/>
    </xf>
    <xf numFmtId="9" fontId="36" fillId="38" borderId="1" xfId="63" applyFont="1" applyFill="1" applyBorder="1" applyAlignment="1">
      <alignment horizontal="center"/>
    </xf>
    <xf numFmtId="170" fontId="36" fillId="38" borderId="1" xfId="63" applyNumberFormat="1" applyFont="1" applyFill="1" applyBorder="1" applyAlignment="1">
      <alignment horizontal="center"/>
    </xf>
    <xf numFmtId="0" fontId="10" fillId="0" borderId="1" xfId="61" applyBorder="1" applyAlignment="1">
      <alignment horizontal="center"/>
    </xf>
    <xf numFmtId="167" fontId="10" fillId="0" borderId="1" xfId="61" applyNumberFormat="1" applyBorder="1" applyAlignment="1">
      <alignment horizontal="center"/>
    </xf>
    <xf numFmtId="168" fontId="6" fillId="0" borderId="9" xfId="62" applyNumberFormat="1" applyBorder="1" applyAlignment="1">
      <alignment horizontal="center" wrapText="1"/>
    </xf>
    <xf numFmtId="0" fontId="38" fillId="3" borderId="0" xfId="0" applyFont="1" applyFill="1" applyAlignment="1">
      <alignment horizontal="center" vertical="center"/>
    </xf>
    <xf numFmtId="0" fontId="38" fillId="3" borderId="22" xfId="0" applyFont="1" applyFill="1" applyBorder="1" applyAlignment="1">
      <alignment horizontal="center" vertical="center"/>
    </xf>
    <xf numFmtId="0" fontId="36" fillId="38" borderId="0" xfId="61" applyFont="1" applyFill="1" applyAlignment="1">
      <alignment horizontal="center" vertical="center"/>
    </xf>
    <xf numFmtId="171" fontId="38" fillId="3" borderId="22" xfId="68" applyNumberFormat="1" applyFont="1" applyFill="1" applyBorder="1" applyAlignment="1">
      <alignment horizontal="center" vertical="center"/>
    </xf>
    <xf numFmtId="0" fontId="39" fillId="3" borderId="0" xfId="0" applyFont="1" applyFill="1" applyAlignment="1">
      <alignment horizontal="center" vertical="center"/>
    </xf>
    <xf numFmtId="10" fontId="38" fillId="3" borderId="0" xfId="2" applyNumberFormat="1" applyFont="1" applyFill="1" applyBorder="1" applyAlignment="1">
      <alignment horizontal="center" vertical="center"/>
    </xf>
    <xf numFmtId="10" fontId="39" fillId="3" borderId="0" xfId="2" applyNumberFormat="1" applyFont="1" applyFill="1" applyBorder="1" applyAlignment="1">
      <alignment horizontal="center" vertical="center"/>
    </xf>
    <xf numFmtId="167" fontId="4" fillId="0" borderId="1" xfId="58" applyNumberFormat="1" applyFont="1" applyBorder="1" applyAlignment="1">
      <alignment horizontal="center"/>
    </xf>
    <xf numFmtId="0" fontId="49" fillId="3" borderId="0" xfId="61" applyFont="1" applyFill="1"/>
    <xf numFmtId="164" fontId="10" fillId="3" borderId="0" xfId="1" applyFill="1"/>
    <xf numFmtId="164" fontId="10" fillId="3" borderId="0" xfId="1" applyFill="1" applyAlignment="1">
      <alignment horizontal="center" vertical="center"/>
    </xf>
    <xf numFmtId="0" fontId="43" fillId="3" borderId="0" xfId="61" applyFont="1" applyFill="1"/>
    <xf numFmtId="0" fontId="43" fillId="3" borderId="0" xfId="61" applyFont="1" applyFill="1" applyAlignment="1">
      <alignment horizontal="center"/>
    </xf>
    <xf numFmtId="2" fontId="36" fillId="38" borderId="1" xfId="61" applyNumberFormat="1" applyFont="1" applyFill="1" applyBorder="1" applyAlignment="1">
      <alignment horizontal="center"/>
    </xf>
    <xf numFmtId="3" fontId="79" fillId="42" borderId="46" xfId="0" applyNumberFormat="1" applyFont="1" applyFill="1" applyBorder="1" applyAlignment="1">
      <alignment horizontal="center" vertical="center" wrapText="1"/>
    </xf>
    <xf numFmtId="4" fontId="13" fillId="0" borderId="0" xfId="0" applyNumberFormat="1" applyFont="1"/>
    <xf numFmtId="0" fontId="17" fillId="0" borderId="0" xfId="0" applyFont="1"/>
    <xf numFmtId="9" fontId="38" fillId="3" borderId="22" xfId="2" applyFont="1" applyFill="1" applyBorder="1" applyAlignment="1">
      <alignment horizontal="center" vertical="center"/>
    </xf>
    <xf numFmtId="169" fontId="13" fillId="0" borderId="0" xfId="0" applyNumberFormat="1" applyFont="1"/>
    <xf numFmtId="0" fontId="10" fillId="3" borderId="0" xfId="61" applyFill="1" applyAlignment="1">
      <alignment horizontal="center" vertical="center"/>
    </xf>
    <xf numFmtId="0" fontId="80" fillId="3" borderId="0" xfId="0" applyFont="1" applyFill="1" applyAlignment="1">
      <alignment horizontal="center" vertical="center"/>
    </xf>
    <xf numFmtId="164" fontId="80" fillId="3" borderId="0" xfId="1" applyFont="1" applyFill="1" applyAlignment="1">
      <alignment horizontal="center" vertical="center"/>
    </xf>
    <xf numFmtId="0" fontId="80" fillId="0" borderId="0" xfId="0" applyFont="1"/>
    <xf numFmtId="164" fontId="80" fillId="0" borderId="0" xfId="1" applyFont="1"/>
    <xf numFmtId="0" fontId="13" fillId="3" borderId="0" xfId="0" applyFont="1" applyFill="1" applyAlignment="1">
      <alignment horizontal="center" vertical="center"/>
    </xf>
    <xf numFmtId="169" fontId="16" fillId="3" borderId="0" xfId="0" applyNumberFormat="1" applyFont="1" applyFill="1" applyAlignment="1">
      <alignment horizontal="center" vertical="center"/>
    </xf>
    <xf numFmtId="164" fontId="10" fillId="3" borderId="0" xfId="61" applyNumberFormat="1" applyFill="1"/>
    <xf numFmtId="9" fontId="15" fillId="39" borderId="48" xfId="0" applyNumberFormat="1" applyFont="1" applyFill="1" applyBorder="1" applyAlignment="1">
      <alignment horizontal="center" vertical="center" wrapText="1"/>
    </xf>
    <xf numFmtId="9" fontId="15" fillId="44" borderId="48" xfId="0" applyNumberFormat="1" applyFont="1" applyFill="1" applyBorder="1" applyAlignment="1">
      <alignment horizontal="center" vertical="center" wrapText="1"/>
    </xf>
    <xf numFmtId="164" fontId="15" fillId="44" borderId="48" xfId="1" applyFont="1" applyFill="1" applyBorder="1" applyAlignment="1">
      <alignment horizontal="center" vertical="center" wrapText="1"/>
    </xf>
    <xf numFmtId="10" fontId="15" fillId="44" borderId="48" xfId="2" applyNumberFormat="1" applyFont="1" applyFill="1" applyBorder="1" applyAlignment="1">
      <alignment horizontal="center" vertical="center" wrapText="1"/>
    </xf>
    <xf numFmtId="0" fontId="13" fillId="3" borderId="48" xfId="0" applyFont="1" applyFill="1" applyBorder="1" applyAlignment="1">
      <alignment horizontal="center" vertical="center"/>
    </xf>
    <xf numFmtId="169" fontId="16" fillId="3" borderId="48" xfId="0" applyNumberFormat="1" applyFont="1" applyFill="1" applyBorder="1" applyAlignment="1">
      <alignment horizontal="center" vertical="center"/>
    </xf>
    <xf numFmtId="9" fontId="15" fillId="3" borderId="48" xfId="0" applyNumberFormat="1" applyFont="1" applyFill="1" applyBorder="1" applyAlignment="1">
      <alignment horizontal="center" vertical="center" wrapText="1"/>
    </xf>
    <xf numFmtId="169" fontId="16" fillId="0" borderId="48" xfId="0" applyNumberFormat="1" applyFont="1" applyBorder="1" applyAlignment="1">
      <alignment horizontal="center" vertical="center"/>
    </xf>
    <xf numFmtId="169" fontId="16" fillId="39" borderId="48" xfId="0" applyNumberFormat="1" applyFont="1" applyFill="1" applyBorder="1" applyAlignment="1">
      <alignment horizontal="center" vertical="center"/>
    </xf>
    <xf numFmtId="10" fontId="15" fillId="3" borderId="48" xfId="0" applyNumberFormat="1" applyFont="1" applyFill="1" applyBorder="1" applyAlignment="1">
      <alignment horizontal="center" vertical="center" wrapText="1"/>
    </xf>
    <xf numFmtId="168" fontId="16" fillId="3" borderId="48" xfId="0" applyNumberFormat="1" applyFont="1" applyFill="1" applyBorder="1" applyAlignment="1">
      <alignment horizontal="center" vertical="center"/>
    </xf>
    <xf numFmtId="164" fontId="15" fillId="3" borderId="48" xfId="1" applyFont="1" applyFill="1" applyBorder="1" applyAlignment="1">
      <alignment horizontal="center" vertical="center" wrapText="1"/>
    </xf>
    <xf numFmtId="1" fontId="13" fillId="3" borderId="48" xfId="0" applyNumberFormat="1" applyFont="1" applyFill="1" applyBorder="1" applyAlignment="1">
      <alignment horizontal="center" vertical="center"/>
    </xf>
    <xf numFmtId="0" fontId="39" fillId="5" borderId="48" xfId="0" applyFont="1" applyFill="1" applyBorder="1" applyAlignment="1">
      <alignment horizontal="center" vertical="center"/>
    </xf>
    <xf numFmtId="1" fontId="38" fillId="5" borderId="48" xfId="1" applyNumberFormat="1" applyFont="1" applyFill="1" applyBorder="1" applyAlignment="1">
      <alignment horizontal="center" vertical="center"/>
    </xf>
    <xf numFmtId="10" fontId="38" fillId="5" borderId="48" xfId="2" applyNumberFormat="1" applyFont="1" applyFill="1" applyBorder="1" applyAlignment="1">
      <alignment horizontal="center" vertical="center"/>
    </xf>
    <xf numFmtId="0" fontId="83" fillId="39" borderId="9" xfId="10" applyFont="1" applyFill="1" applyBorder="1" applyAlignment="1">
      <alignment horizontal="center" vertical="center" wrapText="1"/>
    </xf>
    <xf numFmtId="0" fontId="83" fillId="39" borderId="1" xfId="10" applyFont="1" applyFill="1" applyBorder="1" applyAlignment="1">
      <alignment horizontal="center" vertical="center" wrapText="1"/>
    </xf>
    <xf numFmtId="0" fontId="83" fillId="39" borderId="1" xfId="10" applyFont="1" applyFill="1" applyBorder="1" applyAlignment="1">
      <alignment horizontal="center" vertical="center"/>
    </xf>
    <xf numFmtId="9" fontId="83" fillId="39" borderId="1" xfId="57" applyFont="1" applyFill="1" applyBorder="1" applyAlignment="1">
      <alignment horizontal="center" vertical="center" wrapText="1"/>
    </xf>
    <xf numFmtId="42" fontId="83" fillId="39" borderId="1" xfId="10" applyNumberFormat="1" applyFont="1" applyFill="1" applyBorder="1" applyAlignment="1">
      <alignment horizontal="center" vertical="center" wrapText="1"/>
    </xf>
    <xf numFmtId="0" fontId="43" fillId="3" borderId="1" xfId="61" applyFont="1" applyFill="1" applyBorder="1" applyAlignment="1">
      <alignment horizontal="center"/>
    </xf>
    <xf numFmtId="0" fontId="84" fillId="38" borderId="0" xfId="61" applyFont="1" applyFill="1" applyAlignment="1">
      <alignment horizontal="center"/>
    </xf>
    <xf numFmtId="1" fontId="43" fillId="3" borderId="0" xfId="61" applyNumberFormat="1" applyFont="1" applyFill="1" applyAlignment="1">
      <alignment horizontal="center"/>
    </xf>
    <xf numFmtId="168" fontId="43" fillId="3" borderId="0" xfId="61" applyNumberFormat="1" applyFont="1" applyFill="1" applyAlignment="1">
      <alignment horizontal="center"/>
    </xf>
    <xf numFmtId="167" fontId="43" fillId="3" borderId="0" xfId="61" applyNumberFormat="1" applyFont="1" applyFill="1" applyAlignment="1">
      <alignment horizontal="center"/>
    </xf>
    <xf numFmtId="0" fontId="10" fillId="3" borderId="0" xfId="61" applyFill="1" applyAlignment="1">
      <alignment horizontal="left" vertical="center"/>
    </xf>
    <xf numFmtId="173" fontId="13" fillId="0" borderId="0" xfId="0" applyNumberFormat="1" applyFont="1"/>
    <xf numFmtId="164" fontId="13" fillId="0" borderId="0" xfId="1" applyFont="1"/>
    <xf numFmtId="0" fontId="86" fillId="47" borderId="50" xfId="50" applyFont="1" applyFill="1" applyBorder="1" applyAlignment="1">
      <alignment horizontal="center" vertical="center"/>
    </xf>
    <xf numFmtId="0" fontId="81" fillId="48" borderId="50" xfId="50" applyFont="1" applyFill="1" applyBorder="1" applyAlignment="1">
      <alignment horizontal="center" vertical="center"/>
    </xf>
    <xf numFmtId="0" fontId="80" fillId="48" borderId="50" xfId="74" applyFont="1" applyFill="1" applyBorder="1" applyAlignment="1">
      <alignment horizontal="center" vertical="center" wrapText="1"/>
    </xf>
    <xf numFmtId="0" fontId="81" fillId="44" borderId="50" xfId="50" applyFont="1" applyFill="1" applyBorder="1" applyAlignment="1">
      <alignment horizontal="center" vertical="center"/>
    </xf>
    <xf numFmtId="0" fontId="80" fillId="48" borderId="50" xfId="50" applyFont="1" applyFill="1" applyBorder="1" applyAlignment="1">
      <alignment horizontal="center" vertical="center"/>
    </xf>
    <xf numFmtId="17" fontId="80" fillId="48" borderId="50" xfId="50" applyNumberFormat="1" applyFont="1" applyFill="1" applyBorder="1" applyAlignment="1">
      <alignment horizontal="center" vertical="center"/>
    </xf>
    <xf numFmtId="169" fontId="16" fillId="44" borderId="48" xfId="0" applyNumberFormat="1" applyFont="1" applyFill="1" applyBorder="1" applyAlignment="1">
      <alignment horizontal="center" vertical="center"/>
    </xf>
    <xf numFmtId="1" fontId="13" fillId="0" borderId="48" xfId="0" applyNumberFormat="1" applyFont="1" applyBorder="1" applyAlignment="1">
      <alignment horizontal="center" vertical="center"/>
    </xf>
    <xf numFmtId="0" fontId="13" fillId="0" borderId="48" xfId="0" applyFont="1" applyBorder="1" applyAlignment="1">
      <alignment horizontal="center" vertical="center"/>
    </xf>
    <xf numFmtId="2" fontId="13" fillId="3" borderId="48" xfId="0" applyNumberFormat="1" applyFont="1" applyFill="1" applyBorder="1" applyAlignment="1">
      <alignment horizontal="center" vertical="center"/>
    </xf>
    <xf numFmtId="3" fontId="13" fillId="0" borderId="0" xfId="0" applyNumberFormat="1" applyFont="1"/>
    <xf numFmtId="167" fontId="80" fillId="48" borderId="50" xfId="74" applyNumberFormat="1" applyFont="1" applyFill="1" applyBorder="1" applyAlignment="1">
      <alignment horizontal="center" vertical="center" wrapText="1"/>
    </xf>
    <xf numFmtId="0" fontId="81" fillId="48" borderId="48" xfId="0" applyFont="1" applyFill="1" applyBorder="1" applyAlignment="1">
      <alignment horizontal="center" vertical="center"/>
    </xf>
    <xf numFmtId="0" fontId="80" fillId="48" borderId="48" xfId="0" applyFont="1" applyFill="1" applyBorder="1" applyAlignment="1">
      <alignment horizontal="center" vertical="center"/>
    </xf>
    <xf numFmtId="17" fontId="80" fillId="48" borderId="48" xfId="0" applyNumberFormat="1" applyFont="1" applyFill="1" applyBorder="1" applyAlignment="1">
      <alignment horizontal="center" vertical="center"/>
    </xf>
    <xf numFmtId="1" fontId="80" fillId="48" borderId="48" xfId="1" applyNumberFormat="1" applyFont="1" applyFill="1" applyBorder="1" applyAlignment="1">
      <alignment horizontal="center" vertical="center"/>
    </xf>
    <xf numFmtId="164" fontId="80" fillId="48" borderId="48" xfId="1" applyFont="1" applyFill="1" applyBorder="1" applyAlignment="1">
      <alignment horizontal="center" vertical="center"/>
    </xf>
    <xf numFmtId="10" fontId="80" fillId="48" borderId="48" xfId="2" applyNumberFormat="1" applyFont="1" applyFill="1" applyBorder="1" applyAlignment="1">
      <alignment horizontal="center" vertical="center"/>
    </xf>
    <xf numFmtId="0" fontId="80" fillId="48" borderId="48" xfId="0" applyFont="1" applyFill="1" applyBorder="1" applyAlignment="1">
      <alignment horizontal="center"/>
    </xf>
    <xf numFmtId="0" fontId="92" fillId="39" borderId="48" xfId="0" applyFont="1" applyFill="1" applyBorder="1" applyAlignment="1">
      <alignment horizontal="center" vertical="center" wrapText="1"/>
    </xf>
    <xf numFmtId="164" fontId="92" fillId="39" borderId="48" xfId="1" applyFont="1" applyFill="1" applyBorder="1" applyAlignment="1">
      <alignment horizontal="center" vertical="center" wrapText="1"/>
    </xf>
    <xf numFmtId="0" fontId="13" fillId="49" borderId="48" xfId="0" applyFont="1" applyFill="1" applyBorder="1" applyAlignment="1">
      <alignment horizontal="center" vertical="center"/>
    </xf>
    <xf numFmtId="0" fontId="2" fillId="0" borderId="0" xfId="76" applyAlignment="1">
      <alignment horizontal="center"/>
    </xf>
    <xf numFmtId="9" fontId="80" fillId="48" borderId="50" xfId="2" applyFont="1" applyFill="1" applyBorder="1" applyAlignment="1">
      <alignment horizontal="center" vertical="center"/>
    </xf>
    <xf numFmtId="0" fontId="80" fillId="48" borderId="50" xfId="50" applyFont="1" applyFill="1" applyBorder="1" applyAlignment="1">
      <alignment horizontal="center" vertical="center" wrapText="1"/>
    </xf>
    <xf numFmtId="0" fontId="12" fillId="0" borderId="0" xfId="0" applyFont="1" applyAlignment="1">
      <alignment horizontal="center" vertical="center" wrapText="1"/>
    </xf>
    <xf numFmtId="0" fontId="0" fillId="0" borderId="0" xfId="0" applyAlignment="1">
      <alignment vertical="center" wrapText="1"/>
    </xf>
    <xf numFmtId="9" fontId="0" fillId="0" borderId="0" xfId="0" applyNumberFormat="1" applyAlignment="1">
      <alignment vertical="center" wrapText="1"/>
    </xf>
    <xf numFmtId="0" fontId="81" fillId="5" borderId="50" xfId="50" applyFont="1" applyFill="1" applyBorder="1" applyAlignment="1">
      <alignment horizontal="center" vertical="center"/>
    </xf>
    <xf numFmtId="9" fontId="80" fillId="5" borderId="50" xfId="2" applyFont="1" applyFill="1" applyBorder="1" applyAlignment="1">
      <alignment horizontal="center" vertical="center"/>
    </xf>
    <xf numFmtId="0" fontId="80" fillId="5" borderId="50" xfId="50" applyFont="1" applyFill="1" applyBorder="1" applyAlignment="1">
      <alignment horizontal="center" vertical="center" wrapText="1"/>
    </xf>
    <xf numFmtId="0" fontId="80" fillId="0" borderId="0" xfId="0" applyFont="1" applyAlignment="1">
      <alignment horizontal="center"/>
    </xf>
    <xf numFmtId="0" fontId="80" fillId="50" borderId="0" xfId="0" applyFont="1" applyFill="1" applyAlignment="1">
      <alignment horizontal="center"/>
    </xf>
    <xf numFmtId="164" fontId="80" fillId="50" borderId="0" xfId="1" applyFont="1" applyFill="1" applyAlignment="1">
      <alignment horizontal="center" vertical="center"/>
    </xf>
    <xf numFmtId="164" fontId="80" fillId="50" borderId="0" xfId="1" applyFont="1" applyFill="1" applyAlignment="1">
      <alignment horizontal="center"/>
    </xf>
    <xf numFmtId="168" fontId="16" fillId="39" borderId="48" xfId="0" applyNumberFormat="1" applyFont="1" applyFill="1" applyBorder="1" applyAlignment="1">
      <alignment horizontal="center" vertical="center"/>
    </xf>
    <xf numFmtId="0" fontId="80" fillId="5" borderId="0" xfId="0" applyFont="1" applyFill="1" applyAlignment="1">
      <alignment horizontal="center" vertical="center"/>
    </xf>
    <xf numFmtId="164" fontId="80" fillId="5" borderId="0" xfId="1" applyFont="1" applyFill="1" applyAlignment="1">
      <alignment horizontal="center" vertical="center"/>
    </xf>
    <xf numFmtId="0" fontId="80" fillId="5" borderId="0" xfId="0" applyFont="1" applyFill="1"/>
    <xf numFmtId="164" fontId="80" fillId="5" borderId="0" xfId="1" applyFont="1" applyFill="1"/>
    <xf numFmtId="164" fontId="15" fillId="0" borderId="48" xfId="1" applyFont="1" applyFill="1" applyBorder="1" applyAlignment="1">
      <alignment horizontal="center" vertical="center" wrapText="1"/>
    </xf>
    <xf numFmtId="0" fontId="1" fillId="0" borderId="0" xfId="76" applyFont="1" applyAlignment="1">
      <alignment horizontal="center"/>
    </xf>
    <xf numFmtId="0" fontId="86" fillId="47" borderId="51" xfId="50" applyFont="1" applyFill="1" applyBorder="1" applyAlignment="1">
      <alignment horizontal="center" vertical="center"/>
    </xf>
    <xf numFmtId="0" fontId="94" fillId="3" borderId="56" xfId="75" applyFont="1" applyFill="1" applyBorder="1" applyAlignment="1">
      <alignment horizontal="center" vertical="center" wrapText="1"/>
    </xf>
    <xf numFmtId="0" fontId="80" fillId="48" borderId="58" xfId="74" applyFont="1" applyFill="1" applyBorder="1" applyAlignment="1">
      <alignment horizontal="center" vertical="center" wrapText="1"/>
    </xf>
    <xf numFmtId="167" fontId="80" fillId="48" borderId="58" xfId="74" applyNumberFormat="1" applyFont="1" applyFill="1" applyBorder="1" applyAlignment="1">
      <alignment horizontal="center" vertical="center" wrapText="1"/>
    </xf>
    <xf numFmtId="0" fontId="88" fillId="48" borderId="58" xfId="73" applyFont="1" applyFill="1" applyBorder="1" applyAlignment="1">
      <alignment horizontal="center" vertical="center" wrapText="1"/>
    </xf>
    <xf numFmtId="0" fontId="80" fillId="48" borderId="58" xfId="50" applyFont="1" applyFill="1" applyBorder="1" applyAlignment="1">
      <alignment horizontal="center" vertical="center"/>
    </xf>
    <xf numFmtId="17" fontId="80" fillId="48" borderId="58" xfId="50" applyNumberFormat="1" applyFont="1" applyFill="1" applyBorder="1" applyAlignment="1">
      <alignment horizontal="center" vertical="center"/>
    </xf>
    <xf numFmtId="0" fontId="91" fillId="44" borderId="59" xfId="50" applyFont="1" applyFill="1" applyBorder="1" applyAlignment="1">
      <alignment horizontal="center" vertical="center"/>
    </xf>
    <xf numFmtId="0" fontId="81" fillId="44" borderId="60" xfId="50" applyFont="1" applyFill="1" applyBorder="1" applyAlignment="1">
      <alignment horizontal="center" vertical="center"/>
    </xf>
    <xf numFmtId="0" fontId="87" fillId="44" borderId="60" xfId="75" applyFont="1" applyFill="1" applyBorder="1" applyAlignment="1">
      <alignment horizontal="center" vertical="center"/>
    </xf>
    <xf numFmtId="0" fontId="60" fillId="0" borderId="0" xfId="73" applyFont="1" applyAlignment="1">
      <alignment horizontal="center" vertical="center"/>
    </xf>
    <xf numFmtId="0" fontId="88" fillId="0" borderId="0" xfId="73" applyFont="1" applyAlignment="1">
      <alignment horizontal="center"/>
    </xf>
    <xf numFmtId="0" fontId="88" fillId="0" borderId="0" xfId="73" applyFont="1" applyAlignment="1">
      <alignment horizontal="center" vertical="center"/>
    </xf>
    <xf numFmtId="0" fontId="87" fillId="44" borderId="61" xfId="75" applyFont="1" applyFill="1" applyBorder="1" applyAlignment="1">
      <alignment horizontal="center" vertical="center" wrapText="1"/>
    </xf>
    <xf numFmtId="0" fontId="95" fillId="0" borderId="0" xfId="73" applyFont="1" applyAlignment="1">
      <alignment horizontal="center"/>
    </xf>
    <xf numFmtId="164" fontId="15" fillId="49" borderId="48" xfId="1" applyFont="1" applyFill="1" applyBorder="1" applyAlignment="1">
      <alignment horizontal="center" vertical="center" wrapText="1"/>
    </xf>
    <xf numFmtId="0" fontId="49" fillId="3" borderId="30" xfId="0" applyFont="1" applyFill="1" applyBorder="1" applyProtection="1">
      <protection locked="0"/>
    </xf>
    <xf numFmtId="0" fontId="49" fillId="3" borderId="0" xfId="0" applyFont="1" applyFill="1" applyProtection="1">
      <protection locked="0"/>
    </xf>
    <xf numFmtId="0" fontId="0" fillId="3" borderId="0" xfId="0" applyFill="1" applyProtection="1">
      <protection locked="0"/>
    </xf>
    <xf numFmtId="0" fontId="0" fillId="0" borderId="0" xfId="0" applyProtection="1">
      <protection locked="0"/>
    </xf>
    <xf numFmtId="0" fontId="45" fillId="3" borderId="0" xfId="0" applyFont="1" applyFill="1" applyAlignment="1" applyProtection="1">
      <alignment horizontal="center" vertical="center"/>
      <protection locked="0"/>
    </xf>
    <xf numFmtId="0" fontId="0" fillId="3" borderId="37" xfId="0" applyFill="1" applyBorder="1" applyProtection="1">
      <protection locked="0"/>
    </xf>
    <xf numFmtId="0" fontId="0" fillId="3" borderId="32" xfId="0" applyFill="1" applyBorder="1" applyProtection="1">
      <protection locked="0"/>
    </xf>
    <xf numFmtId="0" fontId="41" fillId="3" borderId="37" xfId="0" applyFont="1" applyFill="1" applyBorder="1" applyAlignment="1" applyProtection="1">
      <alignment horizontal="center" vertical="center"/>
      <protection locked="0"/>
    </xf>
    <xf numFmtId="0" fontId="41" fillId="3" borderId="0" xfId="0" applyFont="1" applyFill="1" applyAlignment="1" applyProtection="1">
      <alignment horizontal="center" vertical="center"/>
      <protection locked="0"/>
    </xf>
    <xf numFmtId="0" fontId="44" fillId="0" borderId="0" xfId="0" applyFont="1" applyAlignment="1" applyProtection="1">
      <alignment horizontal="center" vertical="center"/>
      <protection locked="0"/>
    </xf>
    <xf numFmtId="0" fontId="65" fillId="0" borderId="0" xfId="0" applyFont="1" applyAlignment="1" applyProtection="1">
      <alignment horizontal="left" vertical="center" readingOrder="1"/>
      <protection locked="0"/>
    </xf>
    <xf numFmtId="0" fontId="0" fillId="3" borderId="0" xfId="0" applyFill="1" applyAlignment="1" applyProtection="1">
      <alignment wrapText="1"/>
      <protection locked="0"/>
    </xf>
    <xf numFmtId="0" fontId="56" fillId="0" borderId="0" xfId="0" applyFont="1" applyProtection="1">
      <protection locked="0"/>
    </xf>
    <xf numFmtId="0" fontId="12" fillId="0" borderId="0" xfId="0" applyFont="1" applyProtection="1">
      <protection locked="0"/>
    </xf>
    <xf numFmtId="0" fontId="41" fillId="3" borderId="31" xfId="0" applyFont="1" applyFill="1" applyBorder="1" applyAlignment="1" applyProtection="1">
      <alignment horizontal="center"/>
      <protection locked="0"/>
    </xf>
    <xf numFmtId="0" fontId="0" fillId="3" borderId="31" xfId="0" applyFill="1" applyBorder="1" applyAlignment="1" applyProtection="1">
      <alignment horizontal="center" vertical="center"/>
      <protection locked="0"/>
    </xf>
    <xf numFmtId="0" fontId="0" fillId="3" borderId="0" xfId="0" applyFill="1" applyAlignment="1" applyProtection="1">
      <alignment horizontal="center" vertical="center"/>
      <protection locked="0"/>
    </xf>
    <xf numFmtId="169" fontId="0" fillId="3" borderId="0" xfId="1" applyNumberFormat="1" applyFont="1" applyFill="1" applyBorder="1" applyAlignment="1" applyProtection="1">
      <alignment horizontal="center" vertical="center"/>
      <protection locked="0"/>
    </xf>
    <xf numFmtId="9" fontId="0" fillId="3" borderId="0" xfId="2" applyFont="1" applyFill="1" applyBorder="1" applyAlignment="1" applyProtection="1">
      <alignment horizontal="center"/>
      <protection locked="0"/>
    </xf>
    <xf numFmtId="164" fontId="0" fillId="3" borderId="0" xfId="1" applyFont="1" applyFill="1" applyBorder="1" applyAlignment="1" applyProtection="1">
      <alignment horizontal="center" vertical="center"/>
      <protection locked="0"/>
    </xf>
    <xf numFmtId="0" fontId="41" fillId="3" borderId="32" xfId="0" applyFont="1" applyFill="1" applyBorder="1" applyAlignment="1" applyProtection="1">
      <alignment horizontal="center"/>
      <protection locked="0"/>
    </xf>
    <xf numFmtId="14" fontId="55" fillId="0" borderId="0" xfId="0" applyNumberFormat="1" applyFont="1" applyAlignment="1" applyProtection="1">
      <alignment horizontal="center" vertical="center"/>
      <protection locked="0"/>
    </xf>
    <xf numFmtId="0" fontId="54" fillId="0" borderId="0" xfId="0" applyFont="1" applyAlignment="1" applyProtection="1">
      <alignment horizontal="center" vertical="center"/>
      <protection locked="0"/>
    </xf>
    <xf numFmtId="0" fontId="54" fillId="0" borderId="0" xfId="0" applyFont="1" applyAlignment="1" applyProtection="1">
      <alignment horizontal="center" vertical="center" wrapText="1"/>
      <protection locked="0"/>
    </xf>
    <xf numFmtId="0" fontId="44" fillId="0" borderId="0" xfId="0" applyFont="1" applyProtection="1">
      <protection locked="0"/>
    </xf>
    <xf numFmtId="0" fontId="46" fillId="3" borderId="1" xfId="0" applyFont="1" applyFill="1" applyBorder="1" applyAlignment="1" applyProtection="1">
      <alignment horizontal="center"/>
      <protection locked="0"/>
    </xf>
    <xf numFmtId="169" fontId="46" fillId="3" borderId="0" xfId="0" applyNumberFormat="1" applyFont="1" applyFill="1" applyAlignment="1" applyProtection="1">
      <alignment horizontal="center"/>
      <protection locked="0"/>
    </xf>
    <xf numFmtId="0" fontId="44" fillId="3" borderId="0" xfId="0" applyFont="1" applyFill="1" applyAlignment="1" applyProtection="1">
      <alignment horizontal="center"/>
      <protection locked="0"/>
    </xf>
    <xf numFmtId="170" fontId="62" fillId="3" borderId="0" xfId="0" applyNumberFormat="1" applyFont="1" applyFill="1" applyAlignment="1" applyProtection="1">
      <alignment horizontal="center" vertical="center"/>
      <protection locked="0"/>
    </xf>
    <xf numFmtId="164" fontId="62" fillId="0" borderId="0" xfId="1" applyFont="1" applyFill="1" applyBorder="1" applyAlignment="1" applyProtection="1">
      <alignment horizontal="center" vertical="center"/>
      <protection locked="0"/>
    </xf>
    <xf numFmtId="167" fontId="67" fillId="0" borderId="0" xfId="65" applyNumberFormat="1" applyFont="1" applyFill="1" applyBorder="1" applyAlignment="1" applyProtection="1">
      <alignment horizontal="center" vertical="center"/>
      <protection locked="0"/>
    </xf>
    <xf numFmtId="167" fontId="67" fillId="0" borderId="0" xfId="65" applyNumberFormat="1" applyFont="1" applyFill="1" applyBorder="1" applyAlignment="1" applyProtection="1">
      <alignment vertical="center"/>
      <protection locked="0"/>
    </xf>
    <xf numFmtId="0" fontId="44" fillId="3" borderId="0" xfId="0" applyFont="1" applyFill="1" applyProtection="1">
      <protection locked="0"/>
    </xf>
    <xf numFmtId="0" fontId="45" fillId="0" borderId="0" xfId="0" applyFont="1" applyAlignment="1" applyProtection="1">
      <alignment horizontal="left" vertical="center" wrapText="1"/>
      <protection locked="0"/>
    </xf>
    <xf numFmtId="172" fontId="61" fillId="0" borderId="0" xfId="0" applyNumberFormat="1" applyFont="1" applyAlignment="1" applyProtection="1">
      <alignment horizontal="left" vertical="center"/>
      <protection locked="0"/>
    </xf>
    <xf numFmtId="167" fontId="46" fillId="0" borderId="0" xfId="0" applyNumberFormat="1" applyFont="1" applyAlignment="1" applyProtection="1">
      <alignment horizontal="center" vertical="center"/>
      <protection locked="0"/>
    </xf>
    <xf numFmtId="0" fontId="51" fillId="0" borderId="0" xfId="0" applyFont="1" applyProtection="1">
      <protection locked="0"/>
    </xf>
    <xf numFmtId="3" fontId="64" fillId="0" borderId="0" xfId="0" applyNumberFormat="1" applyFont="1" applyAlignment="1" applyProtection="1">
      <alignment horizontal="left" vertical="center"/>
      <protection locked="0"/>
    </xf>
    <xf numFmtId="0" fontId="41" fillId="3" borderId="31" xfId="0" applyFont="1" applyFill="1" applyBorder="1" applyProtection="1">
      <protection locked="0"/>
    </xf>
    <xf numFmtId="0" fontId="41" fillId="3" borderId="0" xfId="0" applyFont="1" applyFill="1" applyProtection="1">
      <protection locked="0"/>
    </xf>
    <xf numFmtId="0" fontId="43" fillId="3" borderId="0" xfId="0" applyFont="1" applyFill="1" applyProtection="1">
      <protection locked="0"/>
    </xf>
    <xf numFmtId="0" fontId="55" fillId="3" borderId="0" xfId="0" applyFont="1" applyFill="1" applyAlignment="1" applyProtection="1">
      <alignment horizontal="center" vertical="center"/>
      <protection locked="0"/>
    </xf>
    <xf numFmtId="0" fontId="55" fillId="3" borderId="0" xfId="0" applyFont="1" applyFill="1" applyAlignment="1" applyProtection="1">
      <alignment horizontal="center" vertical="center" wrapText="1"/>
      <protection locked="0"/>
    </xf>
    <xf numFmtId="170" fontId="62" fillId="39" borderId="0" xfId="0" applyNumberFormat="1" applyFont="1" applyFill="1" applyAlignment="1" applyProtection="1">
      <alignment horizontal="center" vertical="center"/>
      <protection locked="0"/>
    </xf>
    <xf numFmtId="164" fontId="62" fillId="39" borderId="0" xfId="1" applyFont="1" applyFill="1" applyBorder="1" applyAlignment="1" applyProtection="1">
      <alignment horizontal="center" vertical="center"/>
      <protection locked="0"/>
    </xf>
    <xf numFmtId="0" fontId="46" fillId="0" borderId="0" xfId="0" applyFont="1" applyAlignment="1" applyProtection="1">
      <alignment horizontal="center" vertical="center"/>
      <protection locked="0"/>
    </xf>
    <xf numFmtId="41" fontId="61" fillId="0" borderId="0" xfId="0" applyNumberFormat="1" applyFont="1" applyAlignment="1" applyProtection="1">
      <alignment horizontal="left" vertical="center"/>
      <protection locked="0"/>
    </xf>
    <xf numFmtId="41" fontId="64" fillId="0" borderId="0" xfId="0" applyNumberFormat="1" applyFont="1" applyAlignment="1" applyProtection="1">
      <alignment horizontal="left" vertical="center"/>
      <protection locked="0"/>
    </xf>
    <xf numFmtId="0" fontId="0" fillId="0" borderId="0" xfId="0" applyAlignment="1" applyProtection="1">
      <alignment wrapText="1"/>
      <protection locked="0"/>
    </xf>
    <xf numFmtId="170" fontId="62" fillId="0" borderId="0" xfId="0" applyNumberFormat="1" applyFont="1" applyAlignment="1" applyProtection="1">
      <alignment horizontal="center" vertical="center"/>
      <protection locked="0"/>
    </xf>
    <xf numFmtId="167" fontId="73" fillId="0" borderId="0" xfId="65" applyNumberFormat="1" applyFont="1" applyFill="1" applyBorder="1" applyAlignment="1" applyProtection="1">
      <alignment vertical="center"/>
      <protection locked="0"/>
    </xf>
    <xf numFmtId="0" fontId="44" fillId="0" borderId="0" xfId="0" applyFont="1" applyAlignment="1" applyProtection="1">
      <alignment horizontal="left"/>
      <protection locked="0"/>
    </xf>
    <xf numFmtId="41" fontId="61" fillId="0" borderId="0" xfId="0" applyNumberFormat="1" applyFont="1" applyAlignment="1" applyProtection="1">
      <alignment horizontal="left"/>
      <protection locked="0"/>
    </xf>
    <xf numFmtId="41" fontId="64" fillId="0" borderId="0" xfId="0" applyNumberFormat="1" applyFont="1" applyAlignment="1" applyProtection="1">
      <alignment horizontal="left"/>
      <protection locked="0"/>
    </xf>
    <xf numFmtId="0" fontId="41" fillId="3" borderId="0" xfId="0" applyFont="1" applyFill="1" applyAlignment="1" applyProtection="1">
      <alignment horizontal="center"/>
      <protection locked="0"/>
    </xf>
    <xf numFmtId="0" fontId="13" fillId="3" borderId="0" xfId="0" applyFont="1" applyFill="1" applyProtection="1">
      <protection locked="0"/>
    </xf>
    <xf numFmtId="0" fontId="64" fillId="0" borderId="0" xfId="0" applyFont="1" applyProtection="1">
      <protection locked="0"/>
    </xf>
    <xf numFmtId="0" fontId="96" fillId="0" borderId="0" xfId="0" applyFont="1" applyProtection="1">
      <protection locked="0"/>
    </xf>
    <xf numFmtId="0" fontId="63" fillId="0" borderId="0" xfId="0" applyFont="1" applyProtection="1">
      <protection locked="0"/>
    </xf>
    <xf numFmtId="0" fontId="72" fillId="0" borderId="0" xfId="0" applyFont="1" applyAlignment="1" applyProtection="1">
      <alignment horizontal="center" vertical="center"/>
      <protection locked="0"/>
    </xf>
    <xf numFmtId="3" fontId="64" fillId="0" borderId="0" xfId="1" applyNumberFormat="1" applyFont="1" applyFill="1" applyAlignment="1" applyProtection="1">
      <alignment horizontal="left" vertical="center"/>
      <protection locked="0"/>
    </xf>
    <xf numFmtId="0" fontId="40" fillId="3" borderId="31" xfId="0" applyFont="1" applyFill="1" applyBorder="1" applyProtection="1">
      <protection locked="0"/>
    </xf>
    <xf numFmtId="0" fontId="61" fillId="0" borderId="0" xfId="0" applyFont="1" applyAlignment="1" applyProtection="1">
      <alignment horizontal="center" vertical="center"/>
      <protection locked="0"/>
    </xf>
    <xf numFmtId="169" fontId="77" fillId="0" borderId="0" xfId="0" applyNumberFormat="1" applyFont="1" applyAlignment="1" applyProtection="1">
      <alignment horizontal="left" vertical="center"/>
      <protection locked="0"/>
    </xf>
    <xf numFmtId="9" fontId="77" fillId="0" borderId="0" xfId="2" applyFont="1" applyFill="1" applyBorder="1" applyAlignment="1" applyProtection="1">
      <alignment horizontal="left" vertical="center"/>
      <protection locked="0"/>
    </xf>
    <xf numFmtId="0" fontId="65" fillId="0" borderId="0" xfId="0" applyFont="1" applyAlignment="1" applyProtection="1">
      <alignment vertical="top" wrapText="1"/>
      <protection locked="0"/>
    </xf>
    <xf numFmtId="0" fontId="38" fillId="0" borderId="0" xfId="0" applyFont="1" applyAlignment="1" applyProtection="1">
      <alignment horizontal="center" vertical="center"/>
      <protection locked="0"/>
    </xf>
    <xf numFmtId="169" fontId="46" fillId="0" borderId="0" xfId="1" applyNumberFormat="1" applyFont="1" applyFill="1" applyAlignment="1" applyProtection="1">
      <alignment horizontal="center" vertical="center"/>
      <protection locked="0"/>
    </xf>
    <xf numFmtId="0" fontId="49" fillId="3" borderId="41" xfId="0" applyFont="1" applyFill="1" applyBorder="1" applyProtection="1">
      <protection locked="0"/>
    </xf>
    <xf numFmtId="0" fontId="41" fillId="3" borderId="31" xfId="0" applyFont="1" applyFill="1" applyBorder="1" applyAlignment="1" applyProtection="1">
      <alignment horizontal="center" vertical="center"/>
      <protection locked="0"/>
    </xf>
    <xf numFmtId="164" fontId="0" fillId="3" borderId="0" xfId="0" applyNumberFormat="1" applyFill="1" applyAlignment="1" applyProtection="1">
      <alignment horizontal="center" vertical="center"/>
      <protection locked="0"/>
    </xf>
    <xf numFmtId="164" fontId="0" fillId="3" borderId="1" xfId="0" applyNumberFormat="1" applyFill="1" applyBorder="1" applyAlignment="1" applyProtection="1">
      <alignment horizontal="center" vertical="center"/>
      <protection locked="0"/>
    </xf>
    <xf numFmtId="0" fontId="62" fillId="0" borderId="0" xfId="0" applyFont="1" applyAlignment="1" applyProtection="1">
      <alignment horizontal="center"/>
      <protection locked="0"/>
    </xf>
    <xf numFmtId="0" fontId="48" fillId="3" borderId="0" xfId="0" applyFont="1" applyFill="1" applyProtection="1">
      <protection locked="0"/>
    </xf>
    <xf numFmtId="0" fontId="41" fillId="3" borderId="38" xfId="0" applyFont="1" applyFill="1" applyBorder="1" applyAlignment="1" applyProtection="1">
      <alignment horizontal="center" vertical="center"/>
      <protection locked="0"/>
    </xf>
    <xf numFmtId="164" fontId="0" fillId="3" borderId="36" xfId="0" applyNumberFormat="1" applyFill="1" applyBorder="1" applyAlignment="1" applyProtection="1">
      <alignment horizontal="center" vertical="center"/>
      <protection locked="0"/>
    </xf>
    <xf numFmtId="0" fontId="42" fillId="3" borderId="0" xfId="0" applyFont="1" applyFill="1" applyAlignment="1" applyProtection="1">
      <alignment vertical="center"/>
      <protection locked="0"/>
    </xf>
    <xf numFmtId="0" fontId="41" fillId="3" borderId="32" xfId="0" applyFont="1" applyFill="1" applyBorder="1" applyProtection="1">
      <protection locked="0"/>
    </xf>
    <xf numFmtId="0" fontId="0" fillId="43" borderId="0" xfId="0" applyFill="1" applyProtection="1">
      <protection locked="0"/>
    </xf>
    <xf numFmtId="0" fontId="44" fillId="43" borderId="0" xfId="0" applyFont="1" applyFill="1" applyProtection="1">
      <protection locked="0"/>
    </xf>
    <xf numFmtId="0" fontId="0" fillId="3" borderId="28" xfId="0" applyFill="1" applyBorder="1" applyProtection="1">
      <protection locked="0"/>
    </xf>
    <xf numFmtId="164" fontId="0" fillId="3" borderId="0" xfId="0" applyNumberFormat="1" applyFill="1" applyProtection="1">
      <protection locked="0"/>
    </xf>
    <xf numFmtId="164" fontId="0" fillId="3" borderId="0" xfId="1" applyFont="1" applyFill="1" applyProtection="1">
      <protection locked="0"/>
    </xf>
    <xf numFmtId="0" fontId="58" fillId="3" borderId="0" xfId="0" applyFont="1" applyFill="1" applyAlignment="1" applyProtection="1">
      <alignment horizontal="center"/>
      <protection locked="0"/>
    </xf>
    <xf numFmtId="0" fontId="44" fillId="0" borderId="45" xfId="0" applyFont="1" applyBorder="1" applyProtection="1">
      <protection locked="0"/>
    </xf>
    <xf numFmtId="0" fontId="0" fillId="3" borderId="29" xfId="0" applyFill="1" applyBorder="1" applyAlignment="1" applyProtection="1">
      <alignment horizontal="center"/>
      <protection locked="0"/>
    </xf>
    <xf numFmtId="0" fontId="0" fillId="3" borderId="22" xfId="0" applyFill="1" applyBorder="1" applyAlignment="1" applyProtection="1">
      <alignment horizontal="center"/>
      <protection locked="0"/>
    </xf>
    <xf numFmtId="0" fontId="0" fillId="3" borderId="25" xfId="0" applyFill="1" applyBorder="1" applyAlignment="1" applyProtection="1">
      <alignment horizontal="center"/>
      <protection locked="0"/>
    </xf>
    <xf numFmtId="0" fontId="0" fillId="3" borderId="33" xfId="0" applyFill="1" applyBorder="1" applyProtection="1">
      <protection locked="0"/>
    </xf>
    <xf numFmtId="0" fontId="66" fillId="0" borderId="40" xfId="61" applyFont="1" applyBorder="1" applyAlignment="1" applyProtection="1">
      <alignment horizontal="center" vertical="center"/>
      <protection locked="0"/>
    </xf>
    <xf numFmtId="0" fontId="46" fillId="0" borderId="44" xfId="0" applyFont="1" applyBorder="1" applyAlignment="1" applyProtection="1">
      <alignment horizontal="center" vertical="center"/>
      <protection locked="0"/>
    </xf>
    <xf numFmtId="0" fontId="0" fillId="3" borderId="24" xfId="0" applyFill="1" applyBorder="1" applyAlignment="1" applyProtection="1">
      <alignment horizontal="center"/>
      <protection locked="0"/>
    </xf>
    <xf numFmtId="164" fontId="12" fillId="39" borderId="1" xfId="1" applyFont="1" applyFill="1" applyBorder="1" applyAlignment="1" applyProtection="1">
      <alignment horizontal="center" vertical="center"/>
      <protection locked="0"/>
    </xf>
    <xf numFmtId="0" fontId="81" fillId="0" borderId="0" xfId="0" applyFont="1" applyAlignment="1" applyProtection="1">
      <alignment horizontal="center"/>
      <protection locked="0"/>
    </xf>
    <xf numFmtId="9" fontId="81" fillId="2" borderId="49" xfId="2" applyFont="1" applyFill="1" applyBorder="1" applyAlignment="1" applyProtection="1">
      <alignment horizontal="center"/>
      <protection locked="0"/>
    </xf>
    <xf numFmtId="0" fontId="67" fillId="0" borderId="40" xfId="61" applyFont="1" applyBorder="1" applyAlignment="1" applyProtection="1">
      <alignment horizontal="center" vertical="center"/>
      <protection locked="0"/>
    </xf>
    <xf numFmtId="164" fontId="67" fillId="0" borderId="40" xfId="1" applyFont="1" applyFill="1" applyBorder="1" applyAlignment="1" applyProtection="1">
      <alignment horizontal="center" vertical="center"/>
      <protection locked="0"/>
    </xf>
    <xf numFmtId="164" fontId="66" fillId="0" borderId="40" xfId="1" applyFont="1" applyFill="1" applyBorder="1" applyAlignment="1" applyProtection="1">
      <alignment horizontal="center" vertical="center"/>
      <protection locked="0"/>
    </xf>
    <xf numFmtId="164" fontId="67" fillId="0" borderId="40" xfId="1" applyFont="1" applyBorder="1" applyAlignment="1" applyProtection="1">
      <alignment horizontal="center" vertical="center"/>
      <protection locked="0"/>
    </xf>
    <xf numFmtId="0" fontId="12" fillId="3" borderId="0" xfId="0" applyFont="1" applyFill="1" applyProtection="1">
      <protection locked="0"/>
    </xf>
    <xf numFmtId="0" fontId="0" fillId="3" borderId="0" xfId="0" applyFill="1" applyAlignment="1" applyProtection="1">
      <alignment horizontal="center"/>
      <protection locked="0"/>
    </xf>
    <xf numFmtId="0" fontId="0" fillId="5" borderId="1" xfId="0" applyFill="1" applyBorder="1" applyAlignment="1" applyProtection="1">
      <alignment horizontal="center" vertical="center"/>
      <protection locked="0"/>
    </xf>
    <xf numFmtId="164" fontId="0" fillId="5" borderId="1" xfId="1" applyFont="1" applyFill="1" applyBorder="1" applyAlignment="1" applyProtection="1">
      <alignment horizontal="center" vertical="center"/>
      <protection locked="0"/>
    </xf>
    <xf numFmtId="0" fontId="0" fillId="39" borderId="1" xfId="0" applyFill="1" applyBorder="1" applyAlignment="1" applyProtection="1">
      <alignment horizontal="center" vertical="center"/>
      <protection locked="0"/>
    </xf>
    <xf numFmtId="164" fontId="0" fillId="39" borderId="1" xfId="1" applyFont="1" applyFill="1" applyBorder="1" applyAlignment="1" applyProtection="1">
      <alignment horizontal="center" vertical="center"/>
      <protection locked="0"/>
    </xf>
    <xf numFmtId="0" fontId="64" fillId="3" borderId="0" xfId="0" applyFont="1" applyFill="1" applyAlignment="1" applyProtection="1">
      <alignment vertical="center"/>
      <protection locked="0"/>
    </xf>
    <xf numFmtId="0" fontId="46" fillId="0" borderId="39" xfId="0" applyFont="1" applyBorder="1" applyAlignment="1" applyProtection="1">
      <alignment horizontal="center" vertical="center"/>
      <protection locked="0"/>
    </xf>
    <xf numFmtId="0" fontId="81" fillId="45" borderId="0" xfId="0" applyFont="1" applyFill="1" applyAlignment="1" applyProtection="1">
      <alignment horizontal="center"/>
      <protection locked="0"/>
    </xf>
    <xf numFmtId="164" fontId="80" fillId="45" borderId="0" xfId="1" applyFont="1" applyFill="1" applyBorder="1" applyAlignment="1" applyProtection="1">
      <alignment horizontal="center"/>
      <protection locked="0"/>
    </xf>
    <xf numFmtId="0" fontId="44" fillId="0" borderId="0" xfId="0" applyFont="1" applyAlignment="1" applyProtection="1">
      <alignment horizontal="center"/>
      <protection locked="0"/>
    </xf>
    <xf numFmtId="0" fontId="12" fillId="3" borderId="24" xfId="0" applyFont="1" applyFill="1" applyBorder="1" applyProtection="1">
      <protection locked="0"/>
    </xf>
    <xf numFmtId="0" fontId="0" fillId="0" borderId="0" xfId="0" applyAlignment="1" applyProtection="1">
      <alignment horizontal="center" vertical="center"/>
      <protection locked="0"/>
    </xf>
    <xf numFmtId="0" fontId="38" fillId="3" borderId="0" xfId="0" applyFont="1" applyFill="1" applyAlignment="1" applyProtection="1">
      <alignment horizontal="center" vertical="center"/>
      <protection locked="0"/>
    </xf>
    <xf numFmtId="0" fontId="46" fillId="3" borderId="0" xfId="0" applyFont="1" applyFill="1" applyAlignment="1" applyProtection="1">
      <alignment horizontal="center" vertical="center"/>
      <protection locked="0"/>
    </xf>
    <xf numFmtId="0" fontId="0" fillId="3" borderId="24" xfId="0" applyFill="1" applyBorder="1" applyProtection="1">
      <protection locked="0"/>
    </xf>
    <xf numFmtId="0" fontId="65" fillId="0" borderId="0" xfId="0" applyFont="1" applyProtection="1">
      <protection locked="0"/>
    </xf>
    <xf numFmtId="0" fontId="59" fillId="0" borderId="0" xfId="0" applyFont="1" applyProtection="1">
      <protection locked="0"/>
    </xf>
    <xf numFmtId="167" fontId="47" fillId="0" borderId="0" xfId="61" applyNumberFormat="1" applyFont="1" applyAlignment="1" applyProtection="1">
      <alignment horizontal="center" vertical="center"/>
      <protection locked="0"/>
    </xf>
    <xf numFmtId="169" fontId="62" fillId="0" borderId="0" xfId="0" applyNumberFormat="1" applyFont="1" applyAlignment="1" applyProtection="1">
      <alignment horizontal="center"/>
      <protection locked="0"/>
    </xf>
    <xf numFmtId="9" fontId="62" fillId="0" borderId="0" xfId="0" applyNumberFormat="1" applyFont="1" applyAlignment="1" applyProtection="1">
      <alignment horizontal="center"/>
      <protection locked="0"/>
    </xf>
    <xf numFmtId="9" fontId="62" fillId="0" borderId="0" xfId="2" applyFont="1" applyFill="1" applyBorder="1" applyAlignment="1" applyProtection="1">
      <alignment horizontal="center"/>
      <protection locked="0"/>
    </xf>
    <xf numFmtId="170" fontId="62" fillId="0" borderId="0" xfId="2" applyNumberFormat="1" applyFont="1" applyFill="1" applyBorder="1" applyAlignment="1" applyProtection="1">
      <alignment horizontal="center"/>
      <protection locked="0"/>
    </xf>
    <xf numFmtId="164" fontId="62" fillId="0" borderId="0" xfId="1" applyFont="1" applyFill="1" applyBorder="1" applyAlignment="1" applyProtection="1">
      <alignment horizontal="center"/>
      <protection locked="0"/>
    </xf>
    <xf numFmtId="0" fontId="65" fillId="0" borderId="0" xfId="0" applyFont="1" applyAlignment="1" applyProtection="1">
      <alignment vertical="center" wrapText="1"/>
      <protection locked="0"/>
    </xf>
    <xf numFmtId="0" fontId="0" fillId="3" borderId="31" xfId="0" applyFill="1" applyBorder="1" applyProtection="1">
      <protection locked="0"/>
    </xf>
    <xf numFmtId="0" fontId="48" fillId="0" borderId="0" xfId="0" applyFont="1" applyProtection="1">
      <protection locked="0"/>
    </xf>
    <xf numFmtId="0" fontId="40" fillId="3" borderId="0" xfId="0" applyFont="1" applyFill="1" applyProtection="1">
      <protection locked="0"/>
    </xf>
    <xf numFmtId="0" fontId="41" fillId="3" borderId="0" xfId="0" applyFont="1" applyFill="1" applyAlignment="1" applyProtection="1">
      <alignment horizontal="left" vertical="center"/>
      <protection locked="0"/>
    </xf>
    <xf numFmtId="167" fontId="0" fillId="3" borderId="0" xfId="0" applyNumberFormat="1" applyFill="1" applyAlignment="1" applyProtection="1">
      <alignment horizontal="left" vertical="center"/>
      <protection locked="0"/>
    </xf>
    <xf numFmtId="0" fontId="70" fillId="46" borderId="0" xfId="0" applyFont="1" applyFill="1" applyAlignment="1" applyProtection="1">
      <alignment horizontal="center"/>
      <protection locked="0"/>
    </xf>
    <xf numFmtId="167" fontId="70" fillId="46" borderId="0" xfId="1" applyNumberFormat="1" applyFont="1" applyFill="1" applyBorder="1" applyAlignment="1" applyProtection="1">
      <alignment horizontal="center"/>
      <protection locked="0"/>
    </xf>
    <xf numFmtId="0" fontId="48" fillId="43" borderId="0" xfId="0" applyFont="1" applyFill="1" applyProtection="1">
      <protection locked="0"/>
    </xf>
    <xf numFmtId="170" fontId="43" fillId="3" borderId="22" xfId="2" applyNumberFormat="1" applyFont="1" applyFill="1" applyBorder="1" applyAlignment="1" applyProtection="1">
      <alignment horizontal="center"/>
      <protection locked="0"/>
    </xf>
    <xf numFmtId="0" fontId="0" fillId="3" borderId="10" xfId="0" applyFill="1" applyBorder="1" applyAlignment="1" applyProtection="1">
      <alignment horizontal="center" vertical="center"/>
      <protection locked="0"/>
    </xf>
    <xf numFmtId="164" fontId="0" fillId="3" borderId="21" xfId="1" applyFont="1" applyFill="1"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5" fillId="3" borderId="21" xfId="0" applyFont="1" applyFill="1" applyBorder="1" applyAlignment="1" applyProtection="1">
      <alignment horizontal="left" vertical="center"/>
      <protection locked="0"/>
    </xf>
    <xf numFmtId="0" fontId="0" fillId="3" borderId="21" xfId="0" applyFill="1" applyBorder="1" applyAlignment="1" applyProtection="1">
      <alignment horizontal="left" vertical="center"/>
      <protection locked="0"/>
    </xf>
    <xf numFmtId="0" fontId="0" fillId="3" borderId="34" xfId="0" applyFill="1" applyBorder="1" applyProtection="1">
      <protection locked="0"/>
    </xf>
    <xf numFmtId="169" fontId="60" fillId="0" borderId="0" xfId="7" applyNumberFormat="1" applyFont="1" applyFill="1" applyBorder="1" applyAlignment="1" applyProtection="1">
      <alignment vertical="center"/>
      <protection locked="0"/>
    </xf>
    <xf numFmtId="0" fontId="71" fillId="0" borderId="0" xfId="0" applyFont="1" applyAlignment="1" applyProtection="1">
      <alignment horizontal="center"/>
      <protection locked="0"/>
    </xf>
    <xf numFmtId="170" fontId="0" fillId="0" borderId="0" xfId="0" applyNumberFormat="1" applyProtection="1">
      <protection locked="0"/>
    </xf>
    <xf numFmtId="164" fontId="60" fillId="3" borderId="0" xfId="1" applyFont="1" applyFill="1" applyBorder="1" applyAlignment="1" applyProtection="1">
      <alignment vertical="center"/>
      <protection locked="0"/>
    </xf>
    <xf numFmtId="170" fontId="82" fillId="0" borderId="21" xfId="2" applyNumberFormat="1" applyFont="1" applyFill="1" applyBorder="1" applyAlignment="1" applyProtection="1">
      <alignment vertical="center" wrapText="1"/>
      <protection locked="0"/>
    </xf>
    <xf numFmtId="170" fontId="82" fillId="0" borderId="34" xfId="2" applyNumberFormat="1" applyFont="1" applyFill="1" applyBorder="1" applyAlignment="1" applyProtection="1">
      <alignment vertical="center" wrapText="1"/>
      <protection locked="0"/>
    </xf>
    <xf numFmtId="0" fontId="70" fillId="3" borderId="0" xfId="0" applyFont="1" applyFill="1" applyProtection="1">
      <protection locked="0"/>
    </xf>
    <xf numFmtId="0" fontId="70" fillId="3" borderId="0" xfId="0" applyFont="1" applyFill="1" applyAlignment="1" applyProtection="1">
      <alignment horizontal="center"/>
      <protection locked="0"/>
    </xf>
    <xf numFmtId="167" fontId="64" fillId="0" borderId="0" xfId="1" applyNumberFormat="1" applyFont="1" applyFill="1" applyBorder="1" applyAlignment="1" applyProtection="1">
      <alignment vertical="center"/>
      <protection locked="0"/>
    </xf>
    <xf numFmtId="0" fontId="81" fillId="3" borderId="0" xfId="0" applyFont="1" applyFill="1" applyAlignment="1" applyProtection="1">
      <alignment horizontal="center"/>
      <protection locked="0"/>
    </xf>
    <xf numFmtId="9" fontId="81" fillId="3" borderId="0" xfId="2" applyFont="1" applyFill="1" applyBorder="1" applyAlignment="1" applyProtection="1">
      <alignment horizontal="center"/>
      <protection locked="0"/>
    </xf>
    <xf numFmtId="0" fontId="81" fillId="3" borderId="0" xfId="0" applyFont="1" applyFill="1" applyProtection="1">
      <protection locked="0"/>
    </xf>
    <xf numFmtId="1" fontId="81" fillId="3" borderId="0" xfId="2" applyNumberFormat="1" applyFont="1" applyFill="1" applyBorder="1" applyAlignment="1" applyProtection="1">
      <alignment horizontal="center"/>
      <protection locked="0"/>
    </xf>
    <xf numFmtId="164" fontId="80" fillId="3" borderId="0" xfId="1" applyFont="1" applyFill="1" applyBorder="1" applyAlignment="1" applyProtection="1">
      <alignment horizontal="center"/>
      <protection locked="0"/>
    </xf>
    <xf numFmtId="174" fontId="70" fillId="3" borderId="0" xfId="0" applyNumberFormat="1" applyFont="1" applyFill="1" applyAlignment="1" applyProtection="1">
      <alignment horizontal="center"/>
      <protection locked="0"/>
    </xf>
    <xf numFmtId="169" fontId="74" fillId="0" borderId="0" xfId="1" applyNumberFormat="1" applyFont="1" applyFill="1" applyBorder="1" applyAlignment="1" applyProtection="1">
      <alignment horizontal="center" vertical="center"/>
      <protection locked="0"/>
    </xf>
    <xf numFmtId="169" fontId="74" fillId="0" borderId="0" xfId="1" applyNumberFormat="1" applyFont="1" applyFill="1" applyBorder="1" applyAlignment="1" applyProtection="1">
      <alignment vertical="center"/>
      <protection locked="0"/>
    </xf>
    <xf numFmtId="0" fontId="61" fillId="0" borderId="0" xfId="0" applyFont="1" applyAlignment="1" applyProtection="1">
      <alignment vertical="center"/>
      <protection locked="0"/>
    </xf>
    <xf numFmtId="9" fontId="77" fillId="0" borderId="0" xfId="2" applyFont="1" applyFill="1" applyAlignment="1" applyProtection="1">
      <alignment horizontal="left" vertical="center"/>
      <protection locked="0"/>
    </xf>
    <xf numFmtId="0" fontId="0" fillId="43" borderId="0" xfId="0" applyFill="1" applyAlignment="1" applyProtection="1">
      <alignment wrapText="1"/>
      <protection locked="0"/>
    </xf>
    <xf numFmtId="0" fontId="44" fillId="43" borderId="0" xfId="0" applyFont="1" applyFill="1" applyAlignment="1" applyProtection="1">
      <alignment horizontal="center"/>
      <protection locked="0"/>
    </xf>
    <xf numFmtId="14" fontId="0" fillId="3" borderId="0" xfId="0" applyNumberFormat="1" applyFill="1" applyProtection="1">
      <protection locked="0"/>
    </xf>
    <xf numFmtId="167" fontId="70" fillId="3" borderId="0" xfId="1" applyNumberFormat="1" applyFont="1" applyFill="1" applyBorder="1" applyAlignment="1" applyProtection="1">
      <alignment horizontal="center"/>
      <protection locked="0"/>
    </xf>
    <xf numFmtId="164" fontId="54" fillId="0" borderId="0" xfId="1" applyFont="1" applyAlignment="1" applyProtection="1">
      <alignment horizontal="center" vertical="center"/>
      <protection locked="0"/>
    </xf>
    <xf numFmtId="1" fontId="54" fillId="0" borderId="0" xfId="1" applyNumberFormat="1" applyFont="1" applyAlignment="1" applyProtection="1">
      <alignment horizontal="center" vertical="center"/>
      <protection locked="0"/>
    </xf>
    <xf numFmtId="42" fontId="0" fillId="3" borderId="0" xfId="0" applyNumberFormat="1" applyFill="1" applyProtection="1">
      <protection locked="0"/>
    </xf>
    <xf numFmtId="0" fontId="78" fillId="0" borderId="0" xfId="0" applyFont="1" applyProtection="1">
      <protection locked="0"/>
    </xf>
    <xf numFmtId="0" fontId="66" fillId="0" borderId="0" xfId="0" applyFont="1" applyAlignment="1" applyProtection="1">
      <alignment horizontal="center"/>
      <protection locked="0"/>
    </xf>
    <xf numFmtId="169" fontId="67" fillId="0" borderId="0" xfId="0" applyNumberFormat="1" applyFont="1" applyAlignment="1" applyProtection="1">
      <alignment horizontal="left"/>
      <protection locked="0"/>
    </xf>
    <xf numFmtId="0" fontId="0" fillId="0" borderId="0" xfId="0" applyAlignment="1" applyProtection="1">
      <alignment horizontal="left" vertical="center"/>
      <protection locked="0"/>
    </xf>
    <xf numFmtId="0" fontId="44" fillId="0" borderId="0" xfId="0" applyFont="1" applyAlignment="1" applyProtection="1">
      <alignment horizontal="left" vertical="center"/>
      <protection locked="0"/>
    </xf>
    <xf numFmtId="0" fontId="65" fillId="0" borderId="0" xfId="0" applyFont="1" applyAlignment="1" applyProtection="1">
      <alignment horizontal="left" vertical="center"/>
      <protection locked="0"/>
    </xf>
    <xf numFmtId="0" fontId="59" fillId="0" borderId="0" xfId="0" applyFont="1" applyAlignment="1" applyProtection="1">
      <alignment horizontal="left" vertical="center"/>
      <protection locked="0"/>
    </xf>
    <xf numFmtId="170" fontId="0" fillId="3" borderId="22" xfId="2" applyNumberFormat="1" applyFont="1" applyFill="1" applyBorder="1" applyAlignment="1" applyProtection="1">
      <alignment horizontal="center"/>
    </xf>
    <xf numFmtId="9" fontId="15" fillId="0" borderId="48" xfId="0" applyNumberFormat="1" applyFont="1" applyBorder="1" applyAlignment="1">
      <alignment horizontal="center" vertical="center" wrapText="1"/>
    </xf>
    <xf numFmtId="9" fontId="15" fillId="49" borderId="48" xfId="0" applyNumberFormat="1" applyFont="1" applyFill="1" applyBorder="1" applyAlignment="1">
      <alignment horizontal="center" vertical="center" wrapText="1"/>
    </xf>
    <xf numFmtId="9" fontId="15" fillId="50" borderId="48" xfId="0" applyNumberFormat="1" applyFont="1" applyFill="1" applyBorder="1" applyAlignment="1">
      <alignment horizontal="center" vertical="center" wrapText="1"/>
    </xf>
    <xf numFmtId="0" fontId="13" fillId="50" borderId="48" xfId="0" applyFont="1" applyFill="1" applyBorder="1" applyAlignment="1">
      <alignment horizontal="center" vertical="center"/>
    </xf>
    <xf numFmtId="0" fontId="65" fillId="0" borderId="0" xfId="0" applyFont="1" applyAlignment="1" applyProtection="1">
      <alignment horizontal="left" vertical="center" wrapText="1"/>
      <protection locked="0"/>
    </xf>
    <xf numFmtId="0" fontId="45" fillId="3" borderId="0" xfId="0" applyFont="1" applyFill="1" applyAlignment="1" applyProtection="1">
      <alignment horizontal="center" vertical="center"/>
      <protection locked="0"/>
    </xf>
    <xf numFmtId="0" fontId="45" fillId="3" borderId="0" xfId="0" applyFont="1" applyFill="1" applyAlignment="1" applyProtection="1">
      <alignment horizontal="center" vertical="center" wrapText="1"/>
      <protection locked="0"/>
    </xf>
    <xf numFmtId="0" fontId="52" fillId="0" borderId="0" xfId="39" applyFont="1" applyFill="1" applyBorder="1" applyAlignment="1" applyProtection="1">
      <alignment horizontal="center" vertical="center"/>
      <protection locked="0"/>
    </xf>
    <xf numFmtId="0" fontId="65" fillId="0" borderId="0" xfId="0" applyFont="1" applyAlignment="1" applyProtection="1">
      <alignment horizontal="left" vertical="center" readingOrder="1"/>
      <protection locked="0"/>
    </xf>
    <xf numFmtId="0" fontId="64" fillId="0" borderId="0" xfId="0" applyFont="1" applyAlignment="1" applyProtection="1">
      <alignment horizontal="center" vertical="center" wrapText="1"/>
      <protection locked="0"/>
    </xf>
    <xf numFmtId="0" fontId="64" fillId="0" borderId="0" xfId="0" applyFont="1" applyAlignment="1" applyProtection="1">
      <alignment horizontal="center" vertical="center"/>
      <protection locked="0"/>
    </xf>
    <xf numFmtId="0" fontId="41" fillId="3" borderId="31" xfId="0" applyFont="1" applyFill="1" applyBorder="1" applyAlignment="1" applyProtection="1">
      <alignment horizontal="center"/>
      <protection locked="0"/>
    </xf>
    <xf numFmtId="0" fontId="41" fillId="3" borderId="23" xfId="0" applyFont="1" applyFill="1" applyBorder="1" applyAlignment="1" applyProtection="1">
      <alignment horizontal="center"/>
      <protection locked="0"/>
    </xf>
    <xf numFmtId="0" fontId="42" fillId="39" borderId="1" xfId="0" applyFont="1" applyFill="1" applyBorder="1" applyAlignment="1" applyProtection="1">
      <alignment horizontal="center" vertical="center"/>
      <protection locked="0"/>
    </xf>
    <xf numFmtId="0" fontId="42" fillId="5" borderId="2" xfId="0" applyFont="1" applyFill="1" applyBorder="1" applyAlignment="1" applyProtection="1">
      <alignment horizontal="center" vertical="center"/>
      <protection locked="0"/>
    </xf>
    <xf numFmtId="0" fontId="42" fillId="5" borderId="3" xfId="0" applyFont="1" applyFill="1" applyBorder="1" applyAlignment="1" applyProtection="1">
      <alignment horizontal="center" vertical="center"/>
      <protection locked="0"/>
    </xf>
    <xf numFmtId="0" fontId="52" fillId="0" borderId="0" xfId="39" applyFont="1" applyFill="1" applyBorder="1" applyAlignment="1" applyProtection="1">
      <alignment horizontal="center" vertical="center" wrapText="1"/>
      <protection locked="0"/>
    </xf>
    <xf numFmtId="167" fontId="73" fillId="0" borderId="0" xfId="65" applyNumberFormat="1" applyFont="1" applyFill="1" applyBorder="1" applyAlignment="1" applyProtection="1">
      <alignment horizontal="center" vertical="center"/>
      <protection locked="0"/>
    </xf>
    <xf numFmtId="0" fontId="53" fillId="0" borderId="0" xfId="39" applyFont="1" applyFill="1" applyBorder="1" applyAlignment="1" applyProtection="1">
      <alignment horizontal="center" vertical="center"/>
      <protection locked="0"/>
    </xf>
    <xf numFmtId="0" fontId="55" fillId="0" borderId="0" xfId="0" applyFont="1" applyAlignment="1" applyProtection="1">
      <alignment horizontal="center"/>
      <protection locked="0"/>
    </xf>
    <xf numFmtId="0" fontId="55" fillId="0" borderId="0" xfId="0" applyFont="1" applyAlignment="1" applyProtection="1">
      <alignment horizontal="center" wrapText="1"/>
      <protection locked="0"/>
    </xf>
    <xf numFmtId="0" fontId="61" fillId="0" borderId="0" xfId="0" applyFont="1" applyAlignment="1" applyProtection="1">
      <alignment horizontal="center" vertical="center"/>
      <protection locked="0"/>
    </xf>
    <xf numFmtId="0" fontId="53" fillId="0" borderId="0" xfId="39" applyFont="1" applyFill="1" applyBorder="1" applyAlignment="1" applyProtection="1">
      <alignment horizontal="center" vertical="center" wrapText="1"/>
      <protection locked="0"/>
    </xf>
    <xf numFmtId="0" fontId="41" fillId="3" borderId="0" xfId="0" applyFont="1" applyFill="1" applyAlignment="1" applyProtection="1">
      <alignment horizontal="center"/>
      <protection locked="0"/>
    </xf>
    <xf numFmtId="0" fontId="68" fillId="3" borderId="0" xfId="39" applyFont="1" applyFill="1" applyBorder="1" applyAlignment="1" applyProtection="1">
      <alignment horizontal="center" vertical="center" wrapText="1"/>
      <protection locked="0"/>
    </xf>
    <xf numFmtId="0" fontId="41" fillId="3" borderId="0" xfId="0" applyFont="1" applyFill="1" applyAlignment="1" applyProtection="1">
      <alignment horizontal="center" vertical="center"/>
      <protection locked="0"/>
    </xf>
    <xf numFmtId="0" fontId="41" fillId="3" borderId="32" xfId="0" applyFont="1" applyFill="1" applyBorder="1" applyAlignment="1" applyProtection="1">
      <alignment horizontal="center" vertical="center"/>
      <protection locked="0"/>
    </xf>
    <xf numFmtId="0" fontId="50" fillId="3" borderId="25" xfId="0" applyFont="1" applyFill="1" applyBorder="1" applyAlignment="1" applyProtection="1">
      <alignment horizontal="center"/>
      <protection locked="0"/>
    </xf>
    <xf numFmtId="0" fontId="50" fillId="3" borderId="27" xfId="0" applyFont="1" applyFill="1" applyBorder="1" applyAlignment="1" applyProtection="1">
      <alignment horizontal="center"/>
      <protection locked="0"/>
    </xf>
    <xf numFmtId="0" fontId="50" fillId="3" borderId="26" xfId="0" applyFont="1" applyFill="1" applyBorder="1" applyAlignment="1" applyProtection="1">
      <alignment horizontal="center"/>
      <protection locked="0"/>
    </xf>
    <xf numFmtId="0" fontId="70" fillId="37" borderId="2" xfId="0" applyFont="1" applyFill="1" applyBorder="1" applyAlignment="1" applyProtection="1">
      <alignment horizontal="center"/>
      <protection locked="0"/>
    </xf>
    <xf numFmtId="0" fontId="70" fillId="37" borderId="35" xfId="0" applyFont="1" applyFill="1" applyBorder="1" applyAlignment="1" applyProtection="1">
      <alignment horizontal="center"/>
      <protection locked="0"/>
    </xf>
    <xf numFmtId="0" fontId="70" fillId="37" borderId="3" xfId="0" applyFont="1" applyFill="1" applyBorder="1" applyAlignment="1" applyProtection="1">
      <alignment horizontal="center"/>
      <protection locked="0"/>
    </xf>
    <xf numFmtId="0" fontId="69" fillId="3" borderId="0" xfId="0" applyFont="1" applyFill="1" applyAlignment="1" applyProtection="1">
      <alignment horizontal="center" vertical="center"/>
      <protection locked="0"/>
    </xf>
    <xf numFmtId="0" fontId="54" fillId="0" borderId="0" xfId="0" applyFont="1" applyAlignment="1" applyProtection="1">
      <alignment horizontal="center"/>
      <protection locked="0"/>
    </xf>
    <xf numFmtId="0" fontId="64" fillId="0" borderId="0" xfId="0" applyFont="1" applyAlignment="1" applyProtection="1">
      <alignment horizontal="center"/>
      <protection locked="0"/>
    </xf>
    <xf numFmtId="0" fontId="57" fillId="0" borderId="0" xfId="0" applyFont="1" applyAlignment="1" applyProtection="1">
      <alignment horizontal="center" vertical="center" wrapText="1"/>
      <protection locked="0"/>
    </xf>
    <xf numFmtId="0" fontId="68" fillId="3" borderId="8" xfId="39" applyFont="1" applyFill="1" applyBorder="1" applyAlignment="1" applyProtection="1">
      <alignment horizontal="center" vertical="center"/>
      <protection locked="0"/>
    </xf>
    <xf numFmtId="0" fontId="68" fillId="3" borderId="9" xfId="39" applyFont="1" applyFill="1" applyBorder="1" applyAlignment="1" applyProtection="1">
      <alignment horizontal="center" vertical="center"/>
      <protection locked="0"/>
    </xf>
    <xf numFmtId="0" fontId="52" fillId="3" borderId="0" xfId="39" applyFont="1" applyFill="1" applyBorder="1" applyAlignment="1" applyProtection="1">
      <alignment horizontal="center" vertical="center" wrapText="1"/>
      <protection locked="0"/>
    </xf>
    <xf numFmtId="0" fontId="51" fillId="3" borderId="1" xfId="39" applyFont="1" applyFill="1" applyBorder="1" applyAlignment="1" applyProtection="1">
      <alignment horizontal="center" vertical="center"/>
      <protection locked="0"/>
    </xf>
    <xf numFmtId="0" fontId="73" fillId="40" borderId="40" xfId="61" applyFont="1" applyFill="1" applyBorder="1" applyAlignment="1" applyProtection="1">
      <alignment horizontal="center" vertical="center"/>
      <protection locked="0"/>
    </xf>
    <xf numFmtId="170" fontId="82" fillId="2" borderId="0" xfId="2" applyNumberFormat="1" applyFont="1" applyFill="1" applyBorder="1" applyAlignment="1" applyProtection="1">
      <alignment horizontal="center" vertical="center" wrapText="1"/>
      <protection locked="0"/>
    </xf>
    <xf numFmtId="170" fontId="82" fillId="2" borderId="32" xfId="2" applyNumberFormat="1" applyFont="1" applyFill="1" applyBorder="1" applyAlignment="1" applyProtection="1">
      <alignment horizontal="center" vertical="center" wrapText="1"/>
      <protection locked="0"/>
    </xf>
    <xf numFmtId="0" fontId="89" fillId="3" borderId="31" xfId="0" applyFont="1" applyFill="1" applyBorder="1" applyAlignment="1" applyProtection="1">
      <alignment horizontal="center" vertical="center" wrapText="1"/>
      <protection locked="0"/>
    </xf>
    <xf numFmtId="0" fontId="89" fillId="3" borderId="0" xfId="0" applyFont="1" applyFill="1" applyAlignment="1" applyProtection="1">
      <alignment horizontal="center" vertical="center" wrapText="1"/>
      <protection locked="0"/>
    </xf>
    <xf numFmtId="0" fontId="89" fillId="3" borderId="10" xfId="0" applyFont="1" applyFill="1" applyBorder="1" applyAlignment="1" applyProtection="1">
      <alignment horizontal="center" vertical="center" wrapText="1"/>
      <protection locked="0"/>
    </xf>
    <xf numFmtId="0" fontId="89" fillId="3" borderId="21" xfId="0" applyFont="1" applyFill="1" applyBorder="1" applyAlignment="1" applyProtection="1">
      <alignment horizontal="center" vertical="center" wrapText="1"/>
      <protection locked="0"/>
    </xf>
    <xf numFmtId="0" fontId="41" fillId="3" borderId="31" xfId="0" applyFont="1" applyFill="1" applyBorder="1" applyAlignment="1" applyProtection="1">
      <alignment horizontal="center" vertical="center"/>
      <protection locked="0"/>
    </xf>
    <xf numFmtId="164" fontId="0" fillId="3" borderId="0" xfId="1" applyFont="1" applyFill="1" applyBorder="1" applyAlignment="1" applyProtection="1">
      <alignment horizontal="center"/>
      <protection locked="0"/>
    </xf>
    <xf numFmtId="0" fontId="41" fillId="3" borderId="47" xfId="0" applyFont="1" applyFill="1" applyBorder="1" applyAlignment="1" applyProtection="1">
      <alignment horizontal="center"/>
      <protection locked="0"/>
    </xf>
    <xf numFmtId="0" fontId="0" fillId="3" borderId="25" xfId="0" applyFill="1" applyBorder="1" applyAlignment="1" applyProtection="1">
      <alignment horizontal="center"/>
      <protection locked="0"/>
    </xf>
    <xf numFmtId="0" fontId="0" fillId="3" borderId="26" xfId="0" applyFill="1" applyBorder="1" applyAlignment="1" applyProtection="1">
      <alignment horizontal="center"/>
      <protection locked="0"/>
    </xf>
    <xf numFmtId="164" fontId="0" fillId="3" borderId="29" xfId="1" applyFont="1" applyFill="1" applyBorder="1" applyAlignment="1" applyProtection="1">
      <alignment horizontal="center" vertical="center"/>
      <protection locked="0"/>
    </xf>
    <xf numFmtId="164" fontId="0" fillId="3" borderId="52" xfId="1" applyFont="1" applyFill="1" applyBorder="1" applyAlignment="1" applyProtection="1">
      <alignment horizontal="center" vertical="center"/>
      <protection locked="0"/>
    </xf>
    <xf numFmtId="164" fontId="0" fillId="3" borderId="53" xfId="1" applyFont="1" applyFill="1" applyBorder="1" applyAlignment="1" applyProtection="1">
      <alignment horizontal="center" vertical="center"/>
      <protection locked="0"/>
    </xf>
    <xf numFmtId="164" fontId="0" fillId="3" borderId="54" xfId="1" applyFont="1" applyFill="1" applyBorder="1" applyAlignment="1" applyProtection="1">
      <alignment horizontal="center" vertical="center"/>
      <protection locked="0"/>
    </xf>
    <xf numFmtId="0" fontId="41" fillId="3" borderId="23" xfId="0" applyFont="1" applyFill="1" applyBorder="1" applyAlignment="1" applyProtection="1">
      <alignment horizontal="center" vertical="center"/>
      <protection locked="0"/>
    </xf>
    <xf numFmtId="0" fontId="64" fillId="0" borderId="0" xfId="7" applyFont="1" applyFill="1" applyBorder="1" applyAlignment="1" applyProtection="1">
      <alignment horizontal="center" vertical="center"/>
      <protection locked="0"/>
    </xf>
    <xf numFmtId="167" fontId="64" fillId="0" borderId="0" xfId="1" applyNumberFormat="1" applyFont="1" applyFill="1" applyBorder="1" applyAlignment="1" applyProtection="1">
      <alignment horizontal="center" vertical="center"/>
      <protection locked="0"/>
    </xf>
    <xf numFmtId="0" fontId="60" fillId="0" borderId="0" xfId="0" applyFont="1" applyAlignment="1" applyProtection="1">
      <alignment horizontal="center" vertical="center"/>
      <protection locked="0"/>
    </xf>
    <xf numFmtId="0" fontId="91" fillId="48" borderId="57" xfId="50" applyFont="1" applyFill="1" applyBorder="1" applyAlignment="1">
      <alignment horizontal="center" vertical="center" wrapText="1"/>
    </xf>
    <xf numFmtId="0" fontId="86" fillId="47" borderId="51" xfId="50" applyFont="1" applyFill="1" applyBorder="1" applyAlignment="1">
      <alignment horizontal="center" vertical="center"/>
    </xf>
    <xf numFmtId="0" fontId="93" fillId="0" borderId="55" xfId="50" applyFont="1" applyBorder="1" applyAlignment="1">
      <alignment horizontal="center" vertical="center"/>
    </xf>
    <xf numFmtId="0" fontId="93" fillId="0" borderId="56" xfId="50" applyFont="1" applyBorder="1" applyAlignment="1">
      <alignment horizontal="center" vertical="center"/>
    </xf>
    <xf numFmtId="0" fontId="91" fillId="44" borderId="57" xfId="50" applyFont="1" applyFill="1" applyBorder="1" applyAlignment="1">
      <alignment horizontal="center" vertical="center"/>
    </xf>
    <xf numFmtId="0" fontId="80" fillId="44" borderId="62" xfId="74" applyFont="1" applyFill="1" applyBorder="1" applyAlignment="1">
      <alignment horizontal="center" vertical="center" wrapText="1"/>
    </xf>
    <xf numFmtId="0" fontId="80" fillId="44" borderId="63" xfId="74" applyFont="1" applyFill="1" applyBorder="1" applyAlignment="1">
      <alignment horizontal="center" vertical="center" wrapText="1"/>
    </xf>
    <xf numFmtId="0" fontId="80" fillId="44" borderId="64" xfId="74" applyFont="1" applyFill="1" applyBorder="1" applyAlignment="1">
      <alignment horizontal="center" vertical="center" wrapText="1"/>
    </xf>
    <xf numFmtId="0" fontId="80" fillId="48" borderId="62" xfId="74" applyFont="1" applyFill="1" applyBorder="1" applyAlignment="1">
      <alignment horizontal="center" vertical="center" wrapText="1"/>
    </xf>
    <xf numFmtId="0" fontId="80" fillId="48" borderId="63" xfId="74" applyFont="1" applyFill="1" applyBorder="1" applyAlignment="1">
      <alignment horizontal="center" vertical="center" wrapText="1"/>
    </xf>
    <xf numFmtId="0" fontId="80" fillId="48" borderId="64" xfId="74" applyFont="1" applyFill="1" applyBorder="1" applyAlignment="1">
      <alignment horizontal="center" vertical="center" wrapText="1"/>
    </xf>
    <xf numFmtId="167" fontId="81" fillId="48" borderId="62" xfId="1" applyNumberFormat="1" applyFont="1" applyFill="1" applyBorder="1" applyAlignment="1">
      <alignment horizontal="center" vertical="center" wrapText="1"/>
    </xf>
    <xf numFmtId="167" fontId="81" fillId="48" borderId="63" xfId="1" applyNumberFormat="1" applyFont="1" applyFill="1" applyBorder="1" applyAlignment="1">
      <alignment horizontal="center" vertical="center" wrapText="1"/>
    </xf>
    <xf numFmtId="167" fontId="81" fillId="48" borderId="64" xfId="1" applyNumberFormat="1" applyFont="1" applyFill="1" applyBorder="1" applyAlignment="1">
      <alignment horizontal="center" vertical="center" wrapText="1"/>
    </xf>
    <xf numFmtId="0" fontId="87" fillId="48" borderId="62" xfId="75" applyFont="1" applyFill="1" applyBorder="1" applyAlignment="1">
      <alignment horizontal="center" vertical="center" wrapText="1"/>
    </xf>
    <xf numFmtId="0" fontId="87" fillId="48" borderId="63" xfId="75" applyFont="1" applyFill="1" applyBorder="1" applyAlignment="1">
      <alignment horizontal="center" vertical="center" wrapText="1"/>
    </xf>
    <xf numFmtId="0" fontId="87" fillId="48" borderId="64" xfId="75" applyFont="1" applyFill="1" applyBorder="1" applyAlignment="1">
      <alignment horizontal="center" vertical="center" wrapText="1"/>
    </xf>
    <xf numFmtId="0" fontId="80" fillId="48" borderId="62" xfId="50" applyFont="1" applyFill="1" applyBorder="1" applyAlignment="1">
      <alignment horizontal="center" vertical="center"/>
    </xf>
    <xf numFmtId="0" fontId="80" fillId="48" borderId="63" xfId="50" applyFont="1" applyFill="1" applyBorder="1" applyAlignment="1">
      <alignment horizontal="center" vertical="center"/>
    </xf>
    <xf numFmtId="0" fontId="80" fillId="48" borderId="64" xfId="50" applyFont="1" applyFill="1" applyBorder="1" applyAlignment="1">
      <alignment horizontal="center" vertical="center"/>
    </xf>
    <xf numFmtId="0" fontId="91" fillId="44" borderId="62" xfId="74" applyFont="1" applyFill="1" applyBorder="1" applyAlignment="1">
      <alignment horizontal="center" vertical="center" wrapText="1"/>
    </xf>
    <xf numFmtId="0" fontId="91" fillId="44" borderId="63" xfId="74" applyFont="1" applyFill="1" applyBorder="1" applyAlignment="1">
      <alignment horizontal="center" vertical="center" wrapText="1"/>
    </xf>
    <xf numFmtId="0" fontId="91" fillId="44" borderId="64" xfId="74" applyFont="1" applyFill="1" applyBorder="1" applyAlignment="1">
      <alignment horizontal="center" vertical="center" wrapText="1"/>
    </xf>
    <xf numFmtId="0" fontId="88" fillId="48" borderId="62" xfId="73" applyFont="1" applyFill="1" applyBorder="1" applyAlignment="1">
      <alignment horizontal="center" vertical="center" wrapText="1"/>
    </xf>
    <xf numFmtId="0" fontId="88" fillId="48" borderId="63" xfId="73" applyFont="1" applyFill="1" applyBorder="1" applyAlignment="1">
      <alignment horizontal="center" vertical="center" wrapText="1"/>
    </xf>
    <xf numFmtId="0" fontId="88" fillId="48" borderId="64" xfId="73" applyFont="1" applyFill="1" applyBorder="1" applyAlignment="1">
      <alignment horizontal="center" vertical="center" wrapText="1"/>
    </xf>
    <xf numFmtId="0" fontId="88" fillId="0" borderId="0" xfId="76" applyFont="1" applyAlignment="1">
      <alignment horizontal="left" vertical="center" wrapText="1"/>
    </xf>
    <xf numFmtId="0" fontId="37" fillId="37" borderId="2" xfId="61" applyFont="1" applyFill="1" applyBorder="1" applyAlignment="1">
      <alignment horizontal="center" vertical="center"/>
    </xf>
    <xf numFmtId="0" fontId="37" fillId="37" borderId="35" xfId="61" applyFont="1" applyFill="1" applyBorder="1" applyAlignment="1">
      <alignment horizontal="center" vertical="center"/>
    </xf>
    <xf numFmtId="0" fontId="37" fillId="37" borderId="3" xfId="61" applyFont="1" applyFill="1" applyBorder="1" applyAlignment="1">
      <alignment horizontal="center" vertical="center"/>
    </xf>
    <xf numFmtId="0" fontId="76" fillId="41" borderId="4" xfId="61" applyFont="1" applyFill="1" applyBorder="1" applyAlignment="1">
      <alignment horizontal="center" vertical="center"/>
    </xf>
    <xf numFmtId="0" fontId="76" fillId="41" borderId="42" xfId="61" applyFont="1" applyFill="1" applyBorder="1" applyAlignment="1">
      <alignment horizontal="center" vertical="center"/>
    </xf>
    <xf numFmtId="0" fontId="76" fillId="41" borderId="5" xfId="61" applyFont="1" applyFill="1" applyBorder="1" applyAlignment="1">
      <alignment horizontal="center" vertical="center"/>
    </xf>
    <xf numFmtId="0" fontId="76" fillId="41" borderId="6" xfId="61" applyFont="1" applyFill="1" applyBorder="1" applyAlignment="1">
      <alignment horizontal="center" vertical="center"/>
    </xf>
    <xf numFmtId="0" fontId="76" fillId="41" borderId="43" xfId="61" applyFont="1" applyFill="1" applyBorder="1" applyAlignment="1">
      <alignment horizontal="center" vertical="center"/>
    </xf>
    <xf numFmtId="0" fontId="76" fillId="41" borderId="7" xfId="61" applyFont="1" applyFill="1" applyBorder="1" applyAlignment="1">
      <alignment horizontal="center" vertical="center"/>
    </xf>
    <xf numFmtId="0" fontId="0" fillId="0" borderId="0" xfId="0" applyAlignment="1">
      <alignment horizontal="center" vertical="center" wrapText="1"/>
    </xf>
  </cellXfs>
  <cellStyles count="77">
    <cellStyle name="20% - Énfasis1" xfId="21" builtinId="30" customBuiltin="1"/>
    <cellStyle name="20% - Énfasis2" xfId="24" builtinId="34" customBuiltin="1"/>
    <cellStyle name="20% - Énfasis3" xfId="27" builtinId="38" customBuiltin="1"/>
    <cellStyle name="20% - Énfasis4" xfId="30" builtinId="42" customBuiltin="1"/>
    <cellStyle name="20% - Énfasis5" xfId="33" builtinId="46" customBuiltin="1"/>
    <cellStyle name="20% - Énfasis6" xfId="36" builtinId="50" customBuiltin="1"/>
    <cellStyle name="40% - Énfasis1" xfId="22" builtinId="31" customBuiltin="1"/>
    <cellStyle name="40% - Énfasis2" xfId="25" builtinId="35" customBuiltin="1"/>
    <cellStyle name="40% - Énfasis3" xfId="28" builtinId="39" customBuiltin="1"/>
    <cellStyle name="40% - Énfasis4" xfId="31" builtinId="43" customBuiltin="1"/>
    <cellStyle name="40% - Énfasis5" xfId="34" builtinId="47" customBuiltin="1"/>
    <cellStyle name="40% - Énfasis6" xfId="37" builtinId="51" customBuiltin="1"/>
    <cellStyle name="60% - Énfasis1 2" xfId="39" xr:uid="{00000000-0005-0000-0000-00000C000000}"/>
    <cellStyle name="60% - Énfasis2 2" xfId="40" xr:uid="{00000000-0005-0000-0000-00000D000000}"/>
    <cellStyle name="60% - Énfasis3 2" xfId="41" xr:uid="{00000000-0005-0000-0000-00000E000000}"/>
    <cellStyle name="60% - Énfasis4 2" xfId="42" xr:uid="{00000000-0005-0000-0000-00000F000000}"/>
    <cellStyle name="60% - Énfasis5 2" xfId="43" xr:uid="{00000000-0005-0000-0000-000010000000}"/>
    <cellStyle name="60% - Énfasis6 2" xfId="44" xr:uid="{00000000-0005-0000-0000-000011000000}"/>
    <cellStyle name="Bueno" xfId="10" builtinId="26" customBuiltin="1"/>
    <cellStyle name="Cálculo" xfId="14" builtinId="22" customBuiltin="1"/>
    <cellStyle name="Celda de comprobación" xfId="16" builtinId="23" customBuiltin="1"/>
    <cellStyle name="Celda vinculada" xfId="15" builtinId="24" customBuiltin="1"/>
    <cellStyle name="Encabezado 1" xfId="7" builtinId="16" customBuiltin="1"/>
    <cellStyle name="Encabezado 4" xfId="55" builtinId="19" customBuiltin="1"/>
    <cellStyle name="Énfasis1" xfId="20" builtinId="29" customBuiltin="1"/>
    <cellStyle name="Énfasis2" xfId="23" builtinId="33" customBuiltin="1"/>
    <cellStyle name="Énfasis3" xfId="26" builtinId="37" customBuiltin="1"/>
    <cellStyle name="Énfasis4" xfId="29" builtinId="41" customBuiltin="1"/>
    <cellStyle name="Énfasis5" xfId="32" builtinId="45" customBuiltin="1"/>
    <cellStyle name="Énfasis6" xfId="35" builtinId="49" customBuiltin="1"/>
    <cellStyle name="Entrada" xfId="12" builtinId="20" customBuiltin="1"/>
    <cellStyle name="Hipervínculo" xfId="75" builtinId="8"/>
    <cellStyle name="Hipervínculo 2" xfId="74" xr:uid="{C005DBF5-A599-40BA-B05C-F2F537633F59}"/>
    <cellStyle name="Incorrecto" xfId="11" builtinId="27" customBuiltin="1"/>
    <cellStyle name="Millares [0]" xfId="68" builtinId="6"/>
    <cellStyle name="Millares [0] 2" xfId="6" xr:uid="{00000000-0005-0000-0000-000021000000}"/>
    <cellStyle name="Millares 2" xfId="45" xr:uid="{00000000-0005-0000-0000-000022000000}"/>
    <cellStyle name="Millares 3" xfId="56" xr:uid="{00000000-0005-0000-0000-000023000000}"/>
    <cellStyle name="Moneda [0]" xfId="1" builtinId="7"/>
    <cellStyle name="Moneda [0] 2" xfId="5" xr:uid="{00000000-0005-0000-0000-000025000000}"/>
    <cellStyle name="Moneda [0] 2 2" xfId="58" xr:uid="{00000000-0005-0000-0000-000026000000}"/>
    <cellStyle name="Moneda [0] 3" xfId="46" xr:uid="{00000000-0005-0000-0000-000027000000}"/>
    <cellStyle name="Moneda [0] 3 2" xfId="59" xr:uid="{00000000-0005-0000-0000-000028000000}"/>
    <cellStyle name="Moneda [0] 3 2 2" xfId="65" xr:uid="{00000000-0005-0000-0000-000029000000}"/>
    <cellStyle name="Moneda [0] 3 2 2 2" xfId="67" xr:uid="{BF629175-3917-4657-88CA-9BE84034DF9A}"/>
    <cellStyle name="Moneda [0] 3 2 2 3" xfId="72" xr:uid="{3A34CF16-488D-42A7-A751-445B12FD79F8}"/>
    <cellStyle name="Neutral 2" xfId="47" xr:uid="{00000000-0005-0000-0000-00002A000000}"/>
    <cellStyle name="Normal" xfId="0" builtinId="0"/>
    <cellStyle name="Normal 2" xfId="3" xr:uid="{00000000-0005-0000-0000-00002C000000}"/>
    <cellStyle name="Normal 2 2" xfId="48" xr:uid="{00000000-0005-0000-0000-00002D000000}"/>
    <cellStyle name="Normal 2 2 2" xfId="61" xr:uid="{00000000-0005-0000-0000-00002E000000}"/>
    <cellStyle name="Normal 3" xfId="49" xr:uid="{00000000-0005-0000-0000-00002F000000}"/>
    <cellStyle name="Normal 3 2" xfId="60" xr:uid="{00000000-0005-0000-0000-000030000000}"/>
    <cellStyle name="Normal 3 2 2" xfId="64" xr:uid="{00000000-0005-0000-0000-000031000000}"/>
    <cellStyle name="Normal 3 2 2 2" xfId="66" xr:uid="{1EDF726D-9323-43C6-9883-DFA0AB16084E}"/>
    <cellStyle name="Normal 3 2 2 3" xfId="71" xr:uid="{5B3AED5F-33EB-4727-AC7D-968EE4648CDD}"/>
    <cellStyle name="Normal 3 3" xfId="62" xr:uid="{00000000-0005-0000-0000-000032000000}"/>
    <cellStyle name="Normal 3 3 2" xfId="69" xr:uid="{D6462441-078E-4C5D-8ECF-2551A6597469}"/>
    <cellStyle name="Normal 4" xfId="50" xr:uid="{00000000-0005-0000-0000-000033000000}"/>
    <cellStyle name="Normal 5" xfId="51" xr:uid="{00000000-0005-0000-0000-000034000000}"/>
    <cellStyle name="Normal 6" xfId="38" xr:uid="{00000000-0005-0000-0000-000035000000}"/>
    <cellStyle name="Normal 7" xfId="73" xr:uid="{F4E45512-FCE1-468B-BC0E-54E603977F51}"/>
    <cellStyle name="Normal 7 2" xfId="76" xr:uid="{ECC2B843-FBED-4061-8DF8-25713D1FB908}"/>
    <cellStyle name="Notas 2" xfId="52" xr:uid="{00000000-0005-0000-0000-000036000000}"/>
    <cellStyle name="Porcentaje" xfId="2" builtinId="5"/>
    <cellStyle name="Porcentaje 2" xfId="4" xr:uid="{00000000-0005-0000-0000-000038000000}"/>
    <cellStyle name="Porcentaje 2 2" xfId="57" xr:uid="{00000000-0005-0000-0000-000039000000}"/>
    <cellStyle name="Porcentaje 3" xfId="53" xr:uid="{00000000-0005-0000-0000-00003A000000}"/>
    <cellStyle name="Porcentaje 3 2" xfId="63" xr:uid="{00000000-0005-0000-0000-00003B000000}"/>
    <cellStyle name="Porcentaje 3 2 2" xfId="70" xr:uid="{68950AF4-BCF2-432A-AE9C-2B66739385E9}"/>
    <cellStyle name="Salida" xfId="13" builtinId="21" customBuiltin="1"/>
    <cellStyle name="Texto de advertencia" xfId="17" builtinId="11" customBuiltin="1"/>
    <cellStyle name="Texto explicativo" xfId="18" builtinId="53" customBuiltin="1"/>
    <cellStyle name="Título 2" xfId="8" builtinId="17" customBuiltin="1"/>
    <cellStyle name="Título 3" xfId="9" builtinId="18" customBuiltin="1"/>
    <cellStyle name="Título 5" xfId="54" xr:uid="{00000000-0005-0000-0000-000041000000}"/>
    <cellStyle name="Total" xfId="19" builtinId="25" customBuiltin="1"/>
  </cellStyles>
  <dxfs count="14">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ont>
        <b/>
        <i val="0"/>
        <color rgb="FFFF0000"/>
      </font>
    </dxf>
    <dxf>
      <font>
        <b/>
        <i val="0"/>
        <color rgb="FF00B050"/>
      </font>
    </dxf>
    <dxf>
      <font>
        <b/>
        <i val="0"/>
        <color rgb="FFFF0000"/>
      </font>
    </dxf>
  </dxfs>
  <tableStyles count="0" defaultTableStyle="TableStyleMedium9" defaultPivotStyle="PivotStyleMedium7"/>
  <colors>
    <mruColors>
      <color rgb="FF00CCFF"/>
      <color rgb="FFFF99FF"/>
      <color rgb="FFC6EFCE"/>
      <color rgb="FF99CCFF"/>
      <color rgb="FFFFFF66"/>
      <color rgb="FF0095EB"/>
      <color rgb="FF2D2E83"/>
      <color rgb="FF00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206952</xdr:colOff>
      <xdr:row>7</xdr:row>
      <xdr:rowOff>102177</xdr:rowOff>
    </xdr:from>
    <xdr:to>
      <xdr:col>3</xdr:col>
      <xdr:colOff>637309</xdr:colOff>
      <xdr:row>9</xdr:row>
      <xdr:rowOff>121227</xdr:rowOff>
    </xdr:to>
    <xdr:sp macro="[0]!UNO" textlink="">
      <xdr:nvSpPr>
        <xdr:cNvPr id="7" name="Elipse 6">
          <a:extLst>
            <a:ext uri="{FF2B5EF4-FFF2-40B4-BE49-F238E27FC236}">
              <a16:creationId xmlns:a16="http://schemas.microsoft.com/office/drawing/2014/main" id="{8405F1D2-CFEC-4963-89BA-1A4509EA906D}"/>
            </a:ext>
          </a:extLst>
        </xdr:cNvPr>
        <xdr:cNvSpPr/>
      </xdr:nvSpPr>
      <xdr:spPr>
        <a:xfrm>
          <a:off x="1945265" y="1530927"/>
          <a:ext cx="430357" cy="423863"/>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ysClr val="windowText" lastClr="000000"/>
                </a:solidFill>
              </a:ln>
              <a:solidFill>
                <a:sysClr val="windowText" lastClr="000000"/>
              </a:solidFill>
              <a:latin typeface="+mj-lt"/>
            </a:rPr>
            <a:t>1</a:t>
          </a:r>
        </a:p>
      </xdr:txBody>
    </xdr:sp>
    <xdr:clientData/>
  </xdr:twoCellAnchor>
  <xdr:twoCellAnchor>
    <xdr:from>
      <xdr:col>4</xdr:col>
      <xdr:colOff>169717</xdr:colOff>
      <xdr:row>7</xdr:row>
      <xdr:rowOff>119496</xdr:rowOff>
    </xdr:from>
    <xdr:to>
      <xdr:col>4</xdr:col>
      <xdr:colOff>598342</xdr:colOff>
      <xdr:row>9</xdr:row>
      <xdr:rowOff>138546</xdr:rowOff>
    </xdr:to>
    <xdr:sp macro="[0]!DOS" textlink="">
      <xdr:nvSpPr>
        <xdr:cNvPr id="8" name="Elipse 7">
          <a:extLst>
            <a:ext uri="{FF2B5EF4-FFF2-40B4-BE49-F238E27FC236}">
              <a16:creationId xmlns:a16="http://schemas.microsoft.com/office/drawing/2014/main" id="{62AD2C10-E7DC-4F7D-B44A-C59A0578980E}"/>
            </a:ext>
          </a:extLst>
        </xdr:cNvPr>
        <xdr:cNvSpPr/>
      </xdr:nvSpPr>
      <xdr:spPr>
        <a:xfrm>
          <a:off x="4369376" y="1790701"/>
          <a:ext cx="428625" cy="417368"/>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2</a:t>
          </a:r>
        </a:p>
      </xdr:txBody>
    </xdr:sp>
    <xdr:clientData/>
  </xdr:twoCellAnchor>
  <xdr:twoCellAnchor>
    <xdr:from>
      <xdr:col>5</xdr:col>
      <xdr:colOff>167120</xdr:colOff>
      <xdr:row>7</xdr:row>
      <xdr:rowOff>119495</xdr:rowOff>
    </xdr:from>
    <xdr:to>
      <xdr:col>5</xdr:col>
      <xdr:colOff>595745</xdr:colOff>
      <xdr:row>9</xdr:row>
      <xdr:rowOff>138545</xdr:rowOff>
    </xdr:to>
    <xdr:sp macro="[0]!TRES" textlink="">
      <xdr:nvSpPr>
        <xdr:cNvPr id="9" name="Elipse 8">
          <a:extLst>
            <a:ext uri="{FF2B5EF4-FFF2-40B4-BE49-F238E27FC236}">
              <a16:creationId xmlns:a16="http://schemas.microsoft.com/office/drawing/2014/main" id="{28610D20-E7DC-4018-8C6F-E1E164562E08}"/>
            </a:ext>
          </a:extLst>
        </xdr:cNvPr>
        <xdr:cNvSpPr/>
      </xdr:nvSpPr>
      <xdr:spPr>
        <a:xfrm>
          <a:off x="5206711" y="1790700"/>
          <a:ext cx="428625" cy="417368"/>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3</a:t>
          </a:r>
        </a:p>
      </xdr:txBody>
    </xdr:sp>
    <xdr:clientData/>
  </xdr:twoCellAnchor>
  <xdr:twoCellAnchor>
    <xdr:from>
      <xdr:col>6</xdr:col>
      <xdr:colOff>163657</xdr:colOff>
      <xdr:row>7</xdr:row>
      <xdr:rowOff>129021</xdr:rowOff>
    </xdr:from>
    <xdr:to>
      <xdr:col>6</xdr:col>
      <xdr:colOff>594014</xdr:colOff>
      <xdr:row>9</xdr:row>
      <xdr:rowOff>148071</xdr:rowOff>
    </xdr:to>
    <xdr:sp macro="[0]!CUATRO" textlink="">
      <xdr:nvSpPr>
        <xdr:cNvPr id="11" name="Elipse 10">
          <a:extLst>
            <a:ext uri="{FF2B5EF4-FFF2-40B4-BE49-F238E27FC236}">
              <a16:creationId xmlns:a16="http://schemas.microsoft.com/office/drawing/2014/main" id="{A1416CB4-7A07-4A87-B812-72D4F59DA088}"/>
            </a:ext>
          </a:extLst>
        </xdr:cNvPr>
        <xdr:cNvSpPr/>
      </xdr:nvSpPr>
      <xdr:spPr>
        <a:xfrm>
          <a:off x="6043180" y="1800226"/>
          <a:ext cx="430357" cy="417368"/>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4</a:t>
          </a:r>
        </a:p>
      </xdr:txBody>
    </xdr:sp>
    <xdr:clientData/>
  </xdr:twoCellAnchor>
  <xdr:twoCellAnchor>
    <xdr:from>
      <xdr:col>7</xdr:col>
      <xdr:colOff>178593</xdr:colOff>
      <xdr:row>7</xdr:row>
      <xdr:rowOff>119063</xdr:rowOff>
    </xdr:from>
    <xdr:to>
      <xdr:col>7</xdr:col>
      <xdr:colOff>608950</xdr:colOff>
      <xdr:row>9</xdr:row>
      <xdr:rowOff>138113</xdr:rowOff>
    </xdr:to>
    <xdr:sp macro="[0]!CINCO" textlink="">
      <xdr:nvSpPr>
        <xdr:cNvPr id="12" name="Elipse 11">
          <a:extLst>
            <a:ext uri="{FF2B5EF4-FFF2-40B4-BE49-F238E27FC236}">
              <a16:creationId xmlns:a16="http://schemas.microsoft.com/office/drawing/2014/main" id="{62F1F5DC-D42B-4E4E-88A5-093609F1E8A5}"/>
            </a:ext>
          </a:extLst>
        </xdr:cNvPr>
        <xdr:cNvSpPr/>
      </xdr:nvSpPr>
      <xdr:spPr>
        <a:xfrm>
          <a:off x="5655468" y="1654969"/>
          <a:ext cx="430357" cy="435769"/>
        </a:xfrm>
        <a:prstGeom prst="ellipse">
          <a:avLst/>
        </a:prstGeom>
        <a:solidFill>
          <a:schemeClr val="accent1">
            <a:lumMod val="40000"/>
            <a:lumOff val="60000"/>
          </a:schemeClr>
        </a:solidFill>
        <a:ln>
          <a:solidFill>
            <a:schemeClr val="accent1">
              <a:lumMod val="40000"/>
              <a:lumOff val="60000"/>
            </a:schemeClr>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ysClr val="windowText" lastClr="000000"/>
                </a:solidFill>
              </a:ln>
              <a:solidFill>
                <a:sysClr val="windowText" lastClr="000000"/>
              </a:solidFill>
              <a:latin typeface="+mj-lt"/>
              <a:ea typeface="+mn-ea"/>
              <a:cs typeface="+mn-cs"/>
            </a:rPr>
            <a:t>5</a:t>
          </a:r>
        </a:p>
      </xdr:txBody>
    </xdr:sp>
    <xdr:clientData/>
  </xdr:twoCellAnchor>
  <xdr:twoCellAnchor>
    <xdr:from>
      <xdr:col>25</xdr:col>
      <xdr:colOff>21431</xdr:colOff>
      <xdr:row>5</xdr:row>
      <xdr:rowOff>129885</xdr:rowOff>
    </xdr:from>
    <xdr:to>
      <xdr:col>25</xdr:col>
      <xdr:colOff>1059656</xdr:colOff>
      <xdr:row>7</xdr:row>
      <xdr:rowOff>187307</xdr:rowOff>
    </xdr:to>
    <xdr:sp macro="" textlink="">
      <xdr:nvSpPr>
        <xdr:cNvPr id="2" name="Rectángulo: esquinas redondeadas 1">
          <a:extLst>
            <a:ext uri="{FF2B5EF4-FFF2-40B4-BE49-F238E27FC236}">
              <a16:creationId xmlns:a16="http://schemas.microsoft.com/office/drawing/2014/main" id="{99DE7BA7-E6E0-4C1B-982F-2155ED897EF5}"/>
            </a:ext>
          </a:extLst>
        </xdr:cNvPr>
        <xdr:cNvSpPr/>
      </xdr:nvSpPr>
      <xdr:spPr>
        <a:xfrm>
          <a:off x="21107400" y="1213354"/>
          <a:ext cx="1038225" cy="47414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Dpto.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26</xdr:col>
      <xdr:colOff>14655</xdr:colOff>
      <xdr:row>5</xdr:row>
      <xdr:rowOff>129886</xdr:rowOff>
    </xdr:from>
    <xdr:to>
      <xdr:col>26</xdr:col>
      <xdr:colOff>1083469</xdr:colOff>
      <xdr:row>7</xdr:row>
      <xdr:rowOff>186071</xdr:rowOff>
    </xdr:to>
    <xdr:sp macro="" textlink="">
      <xdr:nvSpPr>
        <xdr:cNvPr id="13" name="Rectángulo: esquinas redondeadas 12">
          <a:extLst>
            <a:ext uri="{FF2B5EF4-FFF2-40B4-BE49-F238E27FC236}">
              <a16:creationId xmlns:a16="http://schemas.microsoft.com/office/drawing/2014/main" id="{E1DB2761-E954-4F92-B540-14885DB86259}"/>
            </a:ext>
          </a:extLst>
        </xdr:cNvPr>
        <xdr:cNvSpPr/>
      </xdr:nvSpPr>
      <xdr:spPr>
        <a:xfrm>
          <a:off x="22207905" y="1218457"/>
          <a:ext cx="1068814"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Tipología</a:t>
          </a:r>
        </a:p>
      </xdr:txBody>
    </xdr:sp>
    <xdr:clientData/>
  </xdr:twoCellAnchor>
  <xdr:twoCellAnchor>
    <xdr:from>
      <xdr:col>27</xdr:col>
      <xdr:colOff>14655</xdr:colOff>
      <xdr:row>5</xdr:row>
      <xdr:rowOff>129887</xdr:rowOff>
    </xdr:from>
    <xdr:to>
      <xdr:col>27</xdr:col>
      <xdr:colOff>1084385</xdr:colOff>
      <xdr:row>7</xdr:row>
      <xdr:rowOff>187309</xdr:rowOff>
    </xdr:to>
    <xdr:sp macro="" textlink="">
      <xdr:nvSpPr>
        <xdr:cNvPr id="14" name="Rectángulo: esquinas redondeadas 13">
          <a:extLst>
            <a:ext uri="{FF2B5EF4-FFF2-40B4-BE49-F238E27FC236}">
              <a16:creationId xmlns:a16="http://schemas.microsoft.com/office/drawing/2014/main" id="{EA306CBB-9F9E-4DF7-A6E5-C37DB515C431}"/>
            </a:ext>
          </a:extLst>
        </xdr:cNvPr>
        <xdr:cNvSpPr/>
      </xdr:nvSpPr>
      <xdr:spPr>
        <a:xfrm>
          <a:off x="23118072" y="1135304"/>
          <a:ext cx="1069730" cy="45958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Orientación</a:t>
          </a:r>
        </a:p>
      </xdr:txBody>
    </xdr:sp>
    <xdr:clientData/>
  </xdr:twoCellAnchor>
  <xdr:twoCellAnchor>
    <xdr:from>
      <xdr:col>28</xdr:col>
      <xdr:colOff>16354</xdr:colOff>
      <xdr:row>5</xdr:row>
      <xdr:rowOff>133350</xdr:rowOff>
    </xdr:from>
    <xdr:to>
      <xdr:col>29</xdr:col>
      <xdr:colOff>-1</xdr:colOff>
      <xdr:row>7</xdr:row>
      <xdr:rowOff>188673</xdr:rowOff>
    </xdr:to>
    <xdr:sp macro="" textlink="">
      <xdr:nvSpPr>
        <xdr:cNvPr id="15" name="Rectángulo: esquinas redondeadas 14">
          <a:extLst>
            <a:ext uri="{FF2B5EF4-FFF2-40B4-BE49-F238E27FC236}">
              <a16:creationId xmlns:a16="http://schemas.microsoft.com/office/drawing/2014/main" id="{FC2FD9CB-4ECD-448D-BB9B-DCE0D5C10ACC}"/>
            </a:ext>
          </a:extLst>
        </xdr:cNvPr>
        <xdr:cNvSpPr/>
      </xdr:nvSpPr>
      <xdr:spPr>
        <a:xfrm>
          <a:off x="24233667" y="1145381"/>
          <a:ext cx="1269520" cy="460136"/>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Tipo de Planta</a:t>
          </a:r>
        </a:p>
      </xdr:txBody>
    </xdr:sp>
    <xdr:clientData/>
  </xdr:twoCellAnchor>
  <xdr:twoCellAnchor>
    <xdr:from>
      <xdr:col>29</xdr:col>
      <xdr:colOff>28574</xdr:colOff>
      <xdr:row>5</xdr:row>
      <xdr:rowOff>137464</xdr:rowOff>
    </xdr:from>
    <xdr:to>
      <xdr:col>29</xdr:col>
      <xdr:colOff>971549</xdr:colOff>
      <xdr:row>7</xdr:row>
      <xdr:rowOff>193649</xdr:rowOff>
    </xdr:to>
    <xdr:sp macro="" textlink="">
      <xdr:nvSpPr>
        <xdr:cNvPr id="16" name="Rectángulo: esquinas redondeadas 15">
          <a:extLst>
            <a:ext uri="{FF2B5EF4-FFF2-40B4-BE49-F238E27FC236}">
              <a16:creationId xmlns:a16="http://schemas.microsoft.com/office/drawing/2014/main" id="{50AAEEDD-3C08-4735-8964-898511CDC9C0}"/>
            </a:ext>
          </a:extLst>
        </xdr:cNvPr>
        <xdr:cNvSpPr/>
      </xdr:nvSpPr>
      <xdr:spPr>
        <a:xfrm>
          <a:off x="25469849" y="1137589"/>
          <a:ext cx="942975" cy="45623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Sup. Total (m2)</a:t>
          </a:r>
        </a:p>
      </xdr:txBody>
    </xdr:sp>
    <xdr:clientData/>
  </xdr:twoCellAnchor>
  <xdr:twoCellAnchor>
    <xdr:from>
      <xdr:col>26</xdr:col>
      <xdr:colOff>17318</xdr:colOff>
      <xdr:row>14</xdr:row>
      <xdr:rowOff>138242</xdr:rowOff>
    </xdr:from>
    <xdr:to>
      <xdr:col>26</xdr:col>
      <xdr:colOff>1086518</xdr:colOff>
      <xdr:row>16</xdr:row>
      <xdr:rowOff>194428</xdr:rowOff>
    </xdr:to>
    <xdr:sp macro="" textlink="">
      <xdr:nvSpPr>
        <xdr:cNvPr id="19" name="Rectángulo: esquinas redondeadas 18">
          <a:extLst>
            <a:ext uri="{FF2B5EF4-FFF2-40B4-BE49-F238E27FC236}">
              <a16:creationId xmlns:a16="http://schemas.microsoft.com/office/drawing/2014/main" id="{6827B4F1-90F5-4F11-AE95-2F6ADE26DFBF}"/>
            </a:ext>
          </a:extLst>
        </xdr:cNvPr>
        <xdr:cNvSpPr/>
      </xdr:nvSpPr>
      <xdr:spPr>
        <a:xfrm>
          <a:off x="22020068" y="2953409"/>
          <a:ext cx="1069200" cy="45835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Precio Lista</a:t>
          </a:r>
        </a:p>
      </xdr:txBody>
    </xdr:sp>
    <xdr:clientData/>
  </xdr:twoCellAnchor>
  <xdr:twoCellAnchor>
    <xdr:from>
      <xdr:col>27</xdr:col>
      <xdr:colOff>17318</xdr:colOff>
      <xdr:row>14</xdr:row>
      <xdr:rowOff>136070</xdr:rowOff>
    </xdr:from>
    <xdr:to>
      <xdr:col>27</xdr:col>
      <xdr:colOff>1086518</xdr:colOff>
      <xdr:row>16</xdr:row>
      <xdr:rowOff>192256</xdr:rowOff>
    </xdr:to>
    <xdr:sp macro="" textlink="">
      <xdr:nvSpPr>
        <xdr:cNvPr id="20" name="Rectángulo: esquinas redondeadas 19">
          <a:extLst>
            <a:ext uri="{FF2B5EF4-FFF2-40B4-BE49-F238E27FC236}">
              <a16:creationId xmlns:a16="http://schemas.microsoft.com/office/drawing/2014/main" id="{31ACFB4B-B9E4-40B7-9FED-EB6FD62FB367}"/>
            </a:ext>
          </a:extLst>
        </xdr:cNvPr>
        <xdr:cNvSpPr/>
      </xdr:nvSpPr>
      <xdr:spPr>
        <a:xfrm>
          <a:off x="23312747" y="3061606"/>
          <a:ext cx="1069200"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Descuento</a:t>
          </a:r>
        </a:p>
      </xdr:txBody>
    </xdr:sp>
    <xdr:clientData/>
  </xdr:twoCellAnchor>
  <xdr:twoCellAnchor>
    <xdr:from>
      <xdr:col>28</xdr:col>
      <xdr:colOff>13609</xdr:colOff>
      <xdr:row>14</xdr:row>
      <xdr:rowOff>136072</xdr:rowOff>
    </xdr:from>
    <xdr:to>
      <xdr:col>29</xdr:col>
      <xdr:colOff>0</xdr:colOff>
      <xdr:row>16</xdr:row>
      <xdr:rowOff>192258</xdr:rowOff>
    </xdr:to>
    <xdr:sp macro="" textlink="">
      <xdr:nvSpPr>
        <xdr:cNvPr id="21" name="Rectángulo: esquinas redondeadas 20">
          <a:extLst>
            <a:ext uri="{FF2B5EF4-FFF2-40B4-BE49-F238E27FC236}">
              <a16:creationId xmlns:a16="http://schemas.microsoft.com/office/drawing/2014/main" id="{7310B83E-F303-4293-99B3-7CC12AB7D5B1}"/>
            </a:ext>
          </a:extLst>
        </xdr:cNvPr>
        <xdr:cNvSpPr/>
      </xdr:nvSpPr>
      <xdr:spPr>
        <a:xfrm>
          <a:off x="24217692" y="2951239"/>
          <a:ext cx="1277558" cy="45835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Estacionamiento</a:t>
          </a:r>
        </a:p>
      </xdr:txBody>
    </xdr:sp>
    <xdr:clientData/>
  </xdr:twoCellAnchor>
  <xdr:twoCellAnchor>
    <xdr:from>
      <xdr:col>25</xdr:col>
      <xdr:colOff>8659</xdr:colOff>
      <xdr:row>14</xdr:row>
      <xdr:rowOff>136070</xdr:rowOff>
    </xdr:from>
    <xdr:to>
      <xdr:col>25</xdr:col>
      <xdr:colOff>1045459</xdr:colOff>
      <xdr:row>16</xdr:row>
      <xdr:rowOff>192256</xdr:rowOff>
    </xdr:to>
    <xdr:sp macro="" textlink="">
      <xdr:nvSpPr>
        <xdr:cNvPr id="22" name="Rectángulo: esquinas redondeadas 21">
          <a:extLst>
            <a:ext uri="{FF2B5EF4-FFF2-40B4-BE49-F238E27FC236}">
              <a16:creationId xmlns:a16="http://schemas.microsoft.com/office/drawing/2014/main" id="{CF22D169-AF8D-4265-B752-522F1DCC8E65}"/>
            </a:ext>
          </a:extLst>
        </xdr:cNvPr>
        <xdr:cNvSpPr/>
      </xdr:nvSpPr>
      <xdr:spPr>
        <a:xfrm>
          <a:off x="21140552" y="3061606"/>
          <a:ext cx="1036800"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Dpto.</a:t>
          </a:r>
        </a:p>
      </xdr:txBody>
    </xdr:sp>
    <xdr:clientData/>
  </xdr:twoCellAnchor>
  <xdr:twoCellAnchor>
    <xdr:from>
      <xdr:col>29</xdr:col>
      <xdr:colOff>13853</xdr:colOff>
      <xdr:row>14</xdr:row>
      <xdr:rowOff>136071</xdr:rowOff>
    </xdr:from>
    <xdr:to>
      <xdr:col>29</xdr:col>
      <xdr:colOff>961159</xdr:colOff>
      <xdr:row>16</xdr:row>
      <xdr:rowOff>192257</xdr:rowOff>
    </xdr:to>
    <xdr:sp macro="" textlink="">
      <xdr:nvSpPr>
        <xdr:cNvPr id="23" name="Rectángulo: esquinas redondeadas 22">
          <a:extLst>
            <a:ext uri="{FF2B5EF4-FFF2-40B4-BE49-F238E27FC236}">
              <a16:creationId xmlns:a16="http://schemas.microsoft.com/office/drawing/2014/main" id="{05C4CC83-BC7E-49B1-A00D-6FAC8115570D}"/>
            </a:ext>
          </a:extLst>
        </xdr:cNvPr>
        <xdr:cNvSpPr/>
      </xdr:nvSpPr>
      <xdr:spPr>
        <a:xfrm>
          <a:off x="25506217" y="3028207"/>
          <a:ext cx="947306" cy="46316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Bodega</a:t>
          </a:r>
        </a:p>
      </xdr:txBody>
    </xdr:sp>
    <xdr:clientData/>
  </xdr:twoCellAnchor>
  <xdr:twoCellAnchor>
    <xdr:from>
      <xdr:col>30</xdr:col>
      <xdr:colOff>17318</xdr:colOff>
      <xdr:row>14</xdr:row>
      <xdr:rowOff>136071</xdr:rowOff>
    </xdr:from>
    <xdr:to>
      <xdr:col>30</xdr:col>
      <xdr:colOff>1066305</xdr:colOff>
      <xdr:row>16</xdr:row>
      <xdr:rowOff>193493</xdr:rowOff>
    </xdr:to>
    <xdr:sp macro="" textlink="">
      <xdr:nvSpPr>
        <xdr:cNvPr id="24" name="Rectángulo: esquinas redondeadas 23">
          <a:extLst>
            <a:ext uri="{FF2B5EF4-FFF2-40B4-BE49-F238E27FC236}">
              <a16:creationId xmlns:a16="http://schemas.microsoft.com/office/drawing/2014/main" id="{052EF5D6-3802-4FAD-A46F-E5231EDDD267}"/>
            </a:ext>
          </a:extLst>
        </xdr:cNvPr>
        <xdr:cNvSpPr/>
      </xdr:nvSpPr>
      <xdr:spPr>
        <a:xfrm>
          <a:off x="26488159" y="3028207"/>
          <a:ext cx="1048987"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Precio Final</a:t>
          </a:r>
        </a:p>
      </xdr:txBody>
    </xdr:sp>
    <xdr:clientData/>
  </xdr:twoCellAnchor>
  <xdr:twoCellAnchor>
    <xdr:from>
      <xdr:col>31</xdr:col>
      <xdr:colOff>17318</xdr:colOff>
      <xdr:row>14</xdr:row>
      <xdr:rowOff>133350</xdr:rowOff>
    </xdr:from>
    <xdr:to>
      <xdr:col>31</xdr:col>
      <xdr:colOff>1154906</xdr:colOff>
      <xdr:row>16</xdr:row>
      <xdr:rowOff>188771</xdr:rowOff>
    </xdr:to>
    <xdr:sp macro="" textlink="">
      <xdr:nvSpPr>
        <xdr:cNvPr id="25" name="Rectángulo: esquinas redondeadas 24">
          <a:extLst>
            <a:ext uri="{FF2B5EF4-FFF2-40B4-BE49-F238E27FC236}">
              <a16:creationId xmlns:a16="http://schemas.microsoft.com/office/drawing/2014/main" id="{F714205C-AB41-4C4C-B348-AD2DA755FE10}"/>
            </a:ext>
          </a:extLst>
        </xdr:cNvPr>
        <xdr:cNvSpPr/>
      </xdr:nvSpPr>
      <xdr:spPr>
        <a:xfrm>
          <a:off x="27508849" y="3074194"/>
          <a:ext cx="1137588" cy="47214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Precio de Escrituración</a:t>
          </a:r>
        </a:p>
      </xdr:txBody>
    </xdr:sp>
    <xdr:clientData/>
  </xdr:twoCellAnchor>
  <xdr:twoCellAnchor>
    <xdr:from>
      <xdr:col>32</xdr:col>
      <xdr:colOff>6928</xdr:colOff>
      <xdr:row>14</xdr:row>
      <xdr:rowOff>142873</xdr:rowOff>
    </xdr:from>
    <xdr:to>
      <xdr:col>32</xdr:col>
      <xdr:colOff>1038226</xdr:colOff>
      <xdr:row>16</xdr:row>
      <xdr:rowOff>190554</xdr:rowOff>
    </xdr:to>
    <xdr:sp macro="" textlink="">
      <xdr:nvSpPr>
        <xdr:cNvPr id="26" name="Rectángulo: esquinas redondeadas 25">
          <a:extLst>
            <a:ext uri="{FF2B5EF4-FFF2-40B4-BE49-F238E27FC236}">
              <a16:creationId xmlns:a16="http://schemas.microsoft.com/office/drawing/2014/main" id="{E485BCC9-47BA-4E86-B070-654DDDB3742B}"/>
            </a:ext>
          </a:extLst>
        </xdr:cNvPr>
        <xdr:cNvSpPr/>
      </xdr:nvSpPr>
      <xdr:spPr>
        <a:xfrm>
          <a:off x="28724803" y="2943223"/>
          <a:ext cx="1031298" cy="447731"/>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Crédito Hip.</a:t>
          </a:r>
        </a:p>
      </xdr:txBody>
    </xdr:sp>
    <xdr:clientData/>
  </xdr:twoCellAnchor>
  <xdr:twoCellAnchor>
    <xdr:from>
      <xdr:col>33</xdr:col>
      <xdr:colOff>17008</xdr:colOff>
      <xdr:row>14</xdr:row>
      <xdr:rowOff>142874</xdr:rowOff>
    </xdr:from>
    <xdr:to>
      <xdr:col>33</xdr:col>
      <xdr:colOff>1059655</xdr:colOff>
      <xdr:row>16</xdr:row>
      <xdr:rowOff>190555</xdr:rowOff>
    </xdr:to>
    <xdr:sp macro="" textlink="">
      <xdr:nvSpPr>
        <xdr:cNvPr id="27" name="Rectángulo: esquinas redondeadas 26">
          <a:extLst>
            <a:ext uri="{FF2B5EF4-FFF2-40B4-BE49-F238E27FC236}">
              <a16:creationId xmlns:a16="http://schemas.microsoft.com/office/drawing/2014/main" id="{DB08D11F-91C4-4985-9DD6-48DE0C6457E7}"/>
            </a:ext>
          </a:extLst>
        </xdr:cNvPr>
        <xdr:cNvSpPr/>
      </xdr:nvSpPr>
      <xdr:spPr>
        <a:xfrm>
          <a:off x="29746914" y="3083718"/>
          <a:ext cx="1042647"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Crédito</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34</xdr:col>
      <xdr:colOff>8658</xdr:colOff>
      <xdr:row>14</xdr:row>
      <xdr:rowOff>142875</xdr:rowOff>
    </xdr:from>
    <xdr:to>
      <xdr:col>34</xdr:col>
      <xdr:colOff>865909</xdr:colOff>
      <xdr:row>16</xdr:row>
      <xdr:rowOff>190556</xdr:rowOff>
    </xdr:to>
    <xdr:sp macro="" textlink="">
      <xdr:nvSpPr>
        <xdr:cNvPr id="28" name="Rectángulo: esquinas redondeadas 27">
          <a:extLst>
            <a:ext uri="{FF2B5EF4-FFF2-40B4-BE49-F238E27FC236}">
              <a16:creationId xmlns:a16="http://schemas.microsoft.com/office/drawing/2014/main" id="{59F6AF8A-5C06-487C-BB3E-5C4CB0CCA0A9}"/>
            </a:ext>
          </a:extLst>
        </xdr:cNvPr>
        <xdr:cNvSpPr/>
      </xdr:nvSpPr>
      <xdr:spPr>
        <a:xfrm>
          <a:off x="30810127" y="3083719"/>
          <a:ext cx="857251"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Bono</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35</xdr:col>
      <xdr:colOff>17319</xdr:colOff>
      <xdr:row>14</xdr:row>
      <xdr:rowOff>142874</xdr:rowOff>
    </xdr:from>
    <xdr:to>
      <xdr:col>35</xdr:col>
      <xdr:colOff>822615</xdr:colOff>
      <xdr:row>16</xdr:row>
      <xdr:rowOff>190555</xdr:rowOff>
    </xdr:to>
    <xdr:sp macro="" textlink="">
      <xdr:nvSpPr>
        <xdr:cNvPr id="29" name="Rectángulo: esquinas redondeadas 28">
          <a:extLst>
            <a:ext uri="{FF2B5EF4-FFF2-40B4-BE49-F238E27FC236}">
              <a16:creationId xmlns:a16="http://schemas.microsoft.com/office/drawing/2014/main" id="{954DE9AC-BECE-47FC-9B6E-DBC61EBA2F1B}"/>
            </a:ext>
          </a:extLst>
        </xdr:cNvPr>
        <xdr:cNvSpPr/>
      </xdr:nvSpPr>
      <xdr:spPr>
        <a:xfrm>
          <a:off x="31699850" y="3083718"/>
          <a:ext cx="805296"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36</xdr:col>
      <xdr:colOff>10390</xdr:colOff>
      <xdr:row>14</xdr:row>
      <xdr:rowOff>142873</xdr:rowOff>
    </xdr:from>
    <xdr:to>
      <xdr:col>36</xdr:col>
      <xdr:colOff>1329171</xdr:colOff>
      <xdr:row>16</xdr:row>
      <xdr:rowOff>190554</xdr:rowOff>
    </xdr:to>
    <xdr:sp macro="" textlink="">
      <xdr:nvSpPr>
        <xdr:cNvPr id="30" name="Rectángulo: esquinas redondeadas 29">
          <a:extLst>
            <a:ext uri="{FF2B5EF4-FFF2-40B4-BE49-F238E27FC236}">
              <a16:creationId xmlns:a16="http://schemas.microsoft.com/office/drawing/2014/main" id="{1E4C8296-179F-4DA8-B457-B0D70960801C}"/>
            </a:ext>
          </a:extLst>
        </xdr:cNvPr>
        <xdr:cNvSpPr/>
      </xdr:nvSpPr>
      <xdr:spPr>
        <a:xfrm>
          <a:off x="32526359" y="3083717"/>
          <a:ext cx="1318781" cy="464400"/>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a:t>
          </a:r>
        </a:p>
      </xdr:txBody>
    </xdr:sp>
    <xdr:clientData/>
  </xdr:twoCellAnchor>
  <xdr:twoCellAnchor>
    <xdr:from>
      <xdr:col>46</xdr:col>
      <xdr:colOff>831272</xdr:colOff>
      <xdr:row>11</xdr:row>
      <xdr:rowOff>3896</xdr:rowOff>
    </xdr:from>
    <xdr:to>
      <xdr:col>48</xdr:col>
      <xdr:colOff>8659</xdr:colOff>
      <xdr:row>12</xdr:row>
      <xdr:rowOff>191205</xdr:rowOff>
    </xdr:to>
    <xdr:sp macro="" textlink="">
      <xdr:nvSpPr>
        <xdr:cNvPr id="47" name="Rectángulo: esquinas redondeadas 46">
          <a:extLst>
            <a:ext uri="{FF2B5EF4-FFF2-40B4-BE49-F238E27FC236}">
              <a16:creationId xmlns:a16="http://schemas.microsoft.com/office/drawing/2014/main" id="{E854AB72-96A9-40D5-B261-D93C9B449A6E}"/>
            </a:ext>
          </a:extLst>
        </xdr:cNvPr>
        <xdr:cNvSpPr/>
      </xdr:nvSpPr>
      <xdr:spPr>
        <a:xfrm>
          <a:off x="40509701" y="3896"/>
          <a:ext cx="1198047" cy="46625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11</xdr:row>
      <xdr:rowOff>5195</xdr:rowOff>
    </xdr:from>
    <xdr:to>
      <xdr:col>49</xdr:col>
      <xdr:colOff>8659</xdr:colOff>
      <xdr:row>12</xdr:row>
      <xdr:rowOff>192504</xdr:rowOff>
    </xdr:to>
    <xdr:sp macro="" textlink="">
      <xdr:nvSpPr>
        <xdr:cNvPr id="48" name="Rectángulo: esquinas redondeadas 47">
          <a:extLst>
            <a:ext uri="{FF2B5EF4-FFF2-40B4-BE49-F238E27FC236}">
              <a16:creationId xmlns:a16="http://schemas.microsoft.com/office/drawing/2014/main" id="{231A1AF9-A60E-40CC-8CD4-97A186E923BA}"/>
            </a:ext>
          </a:extLst>
        </xdr:cNvPr>
        <xdr:cNvSpPr/>
      </xdr:nvSpPr>
      <xdr:spPr>
        <a:xfrm>
          <a:off x="41499558" y="2195945"/>
          <a:ext cx="860715" cy="38646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11</xdr:row>
      <xdr:rowOff>8659</xdr:rowOff>
    </xdr:from>
    <xdr:to>
      <xdr:col>50</xdr:col>
      <xdr:colOff>21085</xdr:colOff>
      <xdr:row>12</xdr:row>
      <xdr:rowOff>195968</xdr:rowOff>
    </xdr:to>
    <xdr:sp macro="" textlink="">
      <xdr:nvSpPr>
        <xdr:cNvPr id="49" name="Rectángulo: esquinas redondeadas 48">
          <a:extLst>
            <a:ext uri="{FF2B5EF4-FFF2-40B4-BE49-F238E27FC236}">
              <a16:creationId xmlns:a16="http://schemas.microsoft.com/office/drawing/2014/main" id="{AC877950-AAFC-405F-9706-B422BBC45F1F}"/>
            </a:ext>
          </a:extLst>
        </xdr:cNvPr>
        <xdr:cNvSpPr/>
      </xdr:nvSpPr>
      <xdr:spPr>
        <a:xfrm>
          <a:off x="42894042" y="2192605"/>
          <a:ext cx="860400" cy="38461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846666</xdr:colOff>
      <xdr:row>11</xdr:row>
      <xdr:rowOff>9958</xdr:rowOff>
    </xdr:from>
    <xdr:to>
      <xdr:col>51</xdr:col>
      <xdr:colOff>2582</xdr:colOff>
      <xdr:row>12</xdr:row>
      <xdr:rowOff>197267</xdr:rowOff>
    </xdr:to>
    <xdr:sp macro="" textlink="">
      <xdr:nvSpPr>
        <xdr:cNvPr id="50" name="Rectángulo: esquinas redondeadas 49">
          <a:extLst>
            <a:ext uri="{FF2B5EF4-FFF2-40B4-BE49-F238E27FC236}">
              <a16:creationId xmlns:a16="http://schemas.microsoft.com/office/drawing/2014/main" id="{AB6D0FFA-9BE0-43B4-9492-0718D3F0F16E}"/>
            </a:ext>
          </a:extLst>
        </xdr:cNvPr>
        <xdr:cNvSpPr/>
      </xdr:nvSpPr>
      <xdr:spPr>
        <a:xfrm>
          <a:off x="45275499" y="2221875"/>
          <a:ext cx="1008000" cy="38839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46</xdr:col>
      <xdr:colOff>831272</xdr:colOff>
      <xdr:row>22</xdr:row>
      <xdr:rowOff>3896</xdr:rowOff>
    </xdr:from>
    <xdr:to>
      <xdr:col>48</xdr:col>
      <xdr:colOff>8659</xdr:colOff>
      <xdr:row>23</xdr:row>
      <xdr:rowOff>191205</xdr:rowOff>
    </xdr:to>
    <xdr:sp macro="" textlink="">
      <xdr:nvSpPr>
        <xdr:cNvPr id="51" name="Rectángulo: esquinas redondeadas 50">
          <a:extLst>
            <a:ext uri="{FF2B5EF4-FFF2-40B4-BE49-F238E27FC236}">
              <a16:creationId xmlns:a16="http://schemas.microsoft.com/office/drawing/2014/main" id="{A6836230-7DF0-4BB7-8EF4-33238AF4848B}"/>
            </a:ext>
          </a:extLst>
        </xdr:cNvPr>
        <xdr:cNvSpPr/>
      </xdr:nvSpPr>
      <xdr:spPr>
        <a:xfrm>
          <a:off x="40383835" y="4456834"/>
          <a:ext cx="1189543" cy="38971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22</xdr:row>
      <xdr:rowOff>5195</xdr:rowOff>
    </xdr:from>
    <xdr:to>
      <xdr:col>49</xdr:col>
      <xdr:colOff>8659</xdr:colOff>
      <xdr:row>23</xdr:row>
      <xdr:rowOff>192504</xdr:rowOff>
    </xdr:to>
    <xdr:sp macro="" textlink="">
      <xdr:nvSpPr>
        <xdr:cNvPr id="52" name="Rectángulo: esquinas redondeadas 51">
          <a:extLst>
            <a:ext uri="{FF2B5EF4-FFF2-40B4-BE49-F238E27FC236}">
              <a16:creationId xmlns:a16="http://schemas.microsoft.com/office/drawing/2014/main" id="{1028F22B-42FC-4BC4-A247-C32A078E9A57}"/>
            </a:ext>
          </a:extLst>
        </xdr:cNvPr>
        <xdr:cNvSpPr/>
      </xdr:nvSpPr>
      <xdr:spPr>
        <a:xfrm>
          <a:off x="41689440" y="2189141"/>
          <a:ext cx="1215737" cy="38461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22</xdr:row>
      <xdr:rowOff>8659</xdr:rowOff>
    </xdr:from>
    <xdr:to>
      <xdr:col>50</xdr:col>
      <xdr:colOff>21085</xdr:colOff>
      <xdr:row>23</xdr:row>
      <xdr:rowOff>195968</xdr:rowOff>
    </xdr:to>
    <xdr:sp macro="" textlink="">
      <xdr:nvSpPr>
        <xdr:cNvPr id="53" name="Rectángulo: esquinas redondeadas 52">
          <a:extLst>
            <a:ext uri="{FF2B5EF4-FFF2-40B4-BE49-F238E27FC236}">
              <a16:creationId xmlns:a16="http://schemas.microsoft.com/office/drawing/2014/main" id="{7E9DE46C-3C94-406B-A2B2-001C2EB3033D}"/>
            </a:ext>
          </a:extLst>
        </xdr:cNvPr>
        <xdr:cNvSpPr/>
      </xdr:nvSpPr>
      <xdr:spPr>
        <a:xfrm>
          <a:off x="42894042" y="4362945"/>
          <a:ext cx="860400" cy="38461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846666</xdr:colOff>
      <xdr:row>22</xdr:row>
      <xdr:rowOff>9958</xdr:rowOff>
    </xdr:from>
    <xdr:to>
      <xdr:col>51</xdr:col>
      <xdr:colOff>2582</xdr:colOff>
      <xdr:row>23</xdr:row>
      <xdr:rowOff>197267</xdr:rowOff>
    </xdr:to>
    <xdr:sp macro="" textlink="">
      <xdr:nvSpPr>
        <xdr:cNvPr id="54" name="Rectángulo: esquinas redondeadas 53">
          <a:extLst>
            <a:ext uri="{FF2B5EF4-FFF2-40B4-BE49-F238E27FC236}">
              <a16:creationId xmlns:a16="http://schemas.microsoft.com/office/drawing/2014/main" id="{106950A4-EC22-4D76-B68E-084024771DB8}"/>
            </a:ext>
          </a:extLst>
        </xdr:cNvPr>
        <xdr:cNvSpPr/>
      </xdr:nvSpPr>
      <xdr:spPr>
        <a:xfrm>
          <a:off x="45275499" y="4433791"/>
          <a:ext cx="1008000" cy="38839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46</xdr:col>
      <xdr:colOff>831272</xdr:colOff>
      <xdr:row>44</xdr:row>
      <xdr:rowOff>3896</xdr:rowOff>
    </xdr:from>
    <xdr:to>
      <xdr:col>48</xdr:col>
      <xdr:colOff>8659</xdr:colOff>
      <xdr:row>45</xdr:row>
      <xdr:rowOff>191205</xdr:rowOff>
    </xdr:to>
    <xdr:sp macro="" textlink="">
      <xdr:nvSpPr>
        <xdr:cNvPr id="59" name="Rectángulo: esquinas redondeadas 58">
          <a:extLst>
            <a:ext uri="{FF2B5EF4-FFF2-40B4-BE49-F238E27FC236}">
              <a16:creationId xmlns:a16="http://schemas.microsoft.com/office/drawing/2014/main" id="{639C1E31-7F17-4F0D-8FF0-386CAF6F618C}"/>
            </a:ext>
          </a:extLst>
        </xdr:cNvPr>
        <xdr:cNvSpPr/>
      </xdr:nvSpPr>
      <xdr:spPr>
        <a:xfrm>
          <a:off x="40509701" y="6528521"/>
          <a:ext cx="1198047" cy="38461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44</xdr:row>
      <xdr:rowOff>5195</xdr:rowOff>
    </xdr:from>
    <xdr:to>
      <xdr:col>49</xdr:col>
      <xdr:colOff>8659</xdr:colOff>
      <xdr:row>45</xdr:row>
      <xdr:rowOff>192504</xdr:rowOff>
    </xdr:to>
    <xdr:sp macro="" textlink="">
      <xdr:nvSpPr>
        <xdr:cNvPr id="60" name="Rectángulo: esquinas redondeadas 59">
          <a:extLst>
            <a:ext uri="{FF2B5EF4-FFF2-40B4-BE49-F238E27FC236}">
              <a16:creationId xmlns:a16="http://schemas.microsoft.com/office/drawing/2014/main" id="{E39609F8-5390-418E-9412-F1B881B014D9}"/>
            </a:ext>
          </a:extLst>
        </xdr:cNvPr>
        <xdr:cNvSpPr/>
      </xdr:nvSpPr>
      <xdr:spPr>
        <a:xfrm>
          <a:off x="41689440" y="6529820"/>
          <a:ext cx="1215737" cy="38461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1194955</xdr:colOff>
      <xdr:row>44</xdr:row>
      <xdr:rowOff>8659</xdr:rowOff>
    </xdr:from>
    <xdr:to>
      <xdr:col>50</xdr:col>
      <xdr:colOff>20411</xdr:colOff>
      <xdr:row>45</xdr:row>
      <xdr:rowOff>195968</xdr:rowOff>
    </xdr:to>
    <xdr:sp macro="" textlink="">
      <xdr:nvSpPr>
        <xdr:cNvPr id="61" name="Rectángulo: esquinas redondeadas 60">
          <a:extLst>
            <a:ext uri="{FF2B5EF4-FFF2-40B4-BE49-F238E27FC236}">
              <a16:creationId xmlns:a16="http://schemas.microsoft.com/office/drawing/2014/main" id="{434EC91B-B645-4B92-B170-E3F90DE96BB8}"/>
            </a:ext>
          </a:extLst>
        </xdr:cNvPr>
        <xdr:cNvSpPr/>
      </xdr:nvSpPr>
      <xdr:spPr>
        <a:xfrm>
          <a:off x="42894044" y="8730838"/>
          <a:ext cx="859724" cy="38461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846666</xdr:colOff>
      <xdr:row>44</xdr:row>
      <xdr:rowOff>9958</xdr:rowOff>
    </xdr:from>
    <xdr:to>
      <xdr:col>51</xdr:col>
      <xdr:colOff>2582</xdr:colOff>
      <xdr:row>45</xdr:row>
      <xdr:rowOff>197267</xdr:rowOff>
    </xdr:to>
    <xdr:sp macro="" textlink="">
      <xdr:nvSpPr>
        <xdr:cNvPr id="62" name="Rectángulo: esquinas redondeadas 61">
          <a:extLst>
            <a:ext uri="{FF2B5EF4-FFF2-40B4-BE49-F238E27FC236}">
              <a16:creationId xmlns:a16="http://schemas.microsoft.com/office/drawing/2014/main" id="{5875993D-742E-4187-9720-F0884AD8B006}"/>
            </a:ext>
          </a:extLst>
        </xdr:cNvPr>
        <xdr:cNvSpPr/>
      </xdr:nvSpPr>
      <xdr:spPr>
        <a:xfrm>
          <a:off x="45275499" y="8878791"/>
          <a:ext cx="1008000" cy="388393"/>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55</xdr:col>
      <xdr:colOff>983458</xdr:colOff>
      <xdr:row>1</xdr:row>
      <xdr:rowOff>156367</xdr:rowOff>
    </xdr:from>
    <xdr:to>
      <xdr:col>57</xdr:col>
      <xdr:colOff>461739</xdr:colOff>
      <xdr:row>2</xdr:row>
      <xdr:rowOff>168638</xdr:rowOff>
    </xdr:to>
    <xdr:sp macro="" textlink="">
      <xdr:nvSpPr>
        <xdr:cNvPr id="63" name="Rectángulo: esquinas redondeadas 62">
          <a:extLst>
            <a:ext uri="{FF2B5EF4-FFF2-40B4-BE49-F238E27FC236}">
              <a16:creationId xmlns:a16="http://schemas.microsoft.com/office/drawing/2014/main" id="{F2C2A753-B73E-4618-87AD-21E5ADF1E91B}"/>
            </a:ext>
          </a:extLst>
        </xdr:cNvPr>
        <xdr:cNvSpPr/>
      </xdr:nvSpPr>
      <xdr:spPr>
        <a:xfrm>
          <a:off x="50430114" y="358773"/>
          <a:ext cx="2264344" cy="21467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a:t>
          </a:r>
          <a:r>
            <a:rPr lang="es-CL" sz="11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Total</a:t>
          </a:r>
          <a:endPar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57</xdr:col>
      <xdr:colOff>679246</xdr:colOff>
      <xdr:row>1</xdr:row>
      <xdr:rowOff>146622</xdr:rowOff>
    </xdr:from>
    <xdr:to>
      <xdr:col>59</xdr:col>
      <xdr:colOff>718283</xdr:colOff>
      <xdr:row>2</xdr:row>
      <xdr:rowOff>160398</xdr:rowOff>
    </xdr:to>
    <xdr:sp macro="" textlink="">
      <xdr:nvSpPr>
        <xdr:cNvPr id="64" name="Rectángulo: esquinas redondeadas 63">
          <a:extLst>
            <a:ext uri="{FF2B5EF4-FFF2-40B4-BE49-F238E27FC236}">
              <a16:creationId xmlns:a16="http://schemas.microsoft.com/office/drawing/2014/main" id="{43090CF1-5968-4E42-80B7-EE17577A3E52}"/>
            </a:ext>
          </a:extLst>
        </xdr:cNvPr>
        <xdr:cNvSpPr/>
      </xdr:nvSpPr>
      <xdr:spPr>
        <a:xfrm>
          <a:off x="53006132" y="345781"/>
          <a:ext cx="2264424" cy="21293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Monto</a:t>
          </a:r>
          <a:r>
            <a:rPr lang="es-CL" sz="11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Reserva Total</a:t>
          </a:r>
          <a:endPar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59</xdr:col>
      <xdr:colOff>971820</xdr:colOff>
      <xdr:row>1</xdr:row>
      <xdr:rowOff>147010</xdr:rowOff>
    </xdr:from>
    <xdr:to>
      <xdr:col>61</xdr:col>
      <xdr:colOff>451264</xdr:colOff>
      <xdr:row>2</xdr:row>
      <xdr:rowOff>160786</xdr:rowOff>
    </xdr:to>
    <xdr:sp macro="" textlink="">
      <xdr:nvSpPr>
        <xdr:cNvPr id="65" name="Rectángulo: esquinas redondeadas 64">
          <a:extLst>
            <a:ext uri="{FF2B5EF4-FFF2-40B4-BE49-F238E27FC236}">
              <a16:creationId xmlns:a16="http://schemas.microsoft.com/office/drawing/2014/main" id="{01785580-30FC-43F0-9AB2-3C9DE230E218}"/>
            </a:ext>
          </a:extLst>
        </xdr:cNvPr>
        <xdr:cNvSpPr/>
      </xdr:nvSpPr>
      <xdr:spPr>
        <a:xfrm>
          <a:off x="55488838" y="344314"/>
          <a:ext cx="2268908" cy="211079"/>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Abono Inicial</a:t>
          </a:r>
          <a:endPar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29</xdr:col>
      <xdr:colOff>38100</xdr:colOff>
      <xdr:row>24</xdr:row>
      <xdr:rowOff>0</xdr:rowOff>
    </xdr:from>
    <xdr:to>
      <xdr:col>30</xdr:col>
      <xdr:colOff>1076325</xdr:colOff>
      <xdr:row>26</xdr:row>
      <xdr:rowOff>0</xdr:rowOff>
    </xdr:to>
    <xdr:sp macro="" textlink="">
      <xdr:nvSpPr>
        <xdr:cNvPr id="66" name="Rectángulo: esquinas redondeadas 65">
          <a:extLst>
            <a:ext uri="{FF2B5EF4-FFF2-40B4-BE49-F238E27FC236}">
              <a16:creationId xmlns:a16="http://schemas.microsoft.com/office/drawing/2014/main" id="{BB522A77-B8B6-46CF-AE45-703CDD6D8230}"/>
            </a:ext>
          </a:extLst>
        </xdr:cNvPr>
        <xdr:cNvSpPr/>
      </xdr:nvSpPr>
      <xdr:spPr>
        <a:xfrm>
          <a:off x="25488900" y="4810125"/>
          <a:ext cx="2019300" cy="400050"/>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Patrimonio</a:t>
          </a:r>
          <a:r>
            <a:rPr lang="es-CL" sz="12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Total ($)</a:t>
          </a:r>
        </a:p>
      </xdr:txBody>
    </xdr:sp>
    <xdr:clientData/>
  </xdr:twoCellAnchor>
  <xdr:twoCellAnchor>
    <xdr:from>
      <xdr:col>33</xdr:col>
      <xdr:colOff>771525</xdr:colOff>
      <xdr:row>24</xdr:row>
      <xdr:rowOff>0</xdr:rowOff>
    </xdr:from>
    <xdr:to>
      <xdr:col>36</xdr:col>
      <xdr:colOff>9525</xdr:colOff>
      <xdr:row>25</xdr:row>
      <xdr:rowOff>200025</xdr:rowOff>
    </xdr:to>
    <xdr:sp macro="" textlink="">
      <xdr:nvSpPr>
        <xdr:cNvPr id="67" name="Rectángulo: esquinas redondeadas 66">
          <a:extLst>
            <a:ext uri="{FF2B5EF4-FFF2-40B4-BE49-F238E27FC236}">
              <a16:creationId xmlns:a16="http://schemas.microsoft.com/office/drawing/2014/main" id="{5DD11220-4B94-4975-B980-49EFACEA6577}"/>
            </a:ext>
          </a:extLst>
        </xdr:cNvPr>
        <xdr:cNvSpPr/>
      </xdr:nvSpPr>
      <xdr:spPr>
        <a:xfrm>
          <a:off x="30527625" y="4819650"/>
          <a:ext cx="2019300" cy="400050"/>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2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Total ($)</a:t>
          </a:r>
        </a:p>
      </xdr:txBody>
    </xdr:sp>
    <xdr:clientData/>
  </xdr:twoCellAnchor>
  <xdr:twoCellAnchor>
    <xdr:from>
      <xdr:col>29</xdr:col>
      <xdr:colOff>38100</xdr:colOff>
      <xdr:row>27</xdr:row>
      <xdr:rowOff>171450</xdr:rowOff>
    </xdr:from>
    <xdr:to>
      <xdr:col>30</xdr:col>
      <xdr:colOff>1076325</xdr:colOff>
      <xdr:row>29</xdr:row>
      <xdr:rowOff>28575</xdr:rowOff>
    </xdr:to>
    <xdr:sp macro="" textlink="">
      <xdr:nvSpPr>
        <xdr:cNvPr id="68" name="Rectángulo: esquinas redondeadas 67">
          <a:extLst>
            <a:ext uri="{FF2B5EF4-FFF2-40B4-BE49-F238E27FC236}">
              <a16:creationId xmlns:a16="http://schemas.microsoft.com/office/drawing/2014/main" id="{5ABDE71F-87F5-42ED-BE21-D39707A44357}"/>
            </a:ext>
          </a:extLst>
        </xdr:cNvPr>
        <xdr:cNvSpPr/>
      </xdr:nvSpPr>
      <xdr:spPr>
        <a:xfrm>
          <a:off x="25488900" y="5581650"/>
          <a:ext cx="2019300" cy="257175"/>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Patrimonio</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Total  (UF)</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33</xdr:col>
      <xdr:colOff>771525</xdr:colOff>
      <xdr:row>27</xdr:row>
      <xdr:rowOff>161925</xdr:rowOff>
    </xdr:from>
    <xdr:to>
      <xdr:col>36</xdr:col>
      <xdr:colOff>9525</xdr:colOff>
      <xdr:row>29</xdr:row>
      <xdr:rowOff>19050</xdr:rowOff>
    </xdr:to>
    <xdr:sp macro="" textlink="">
      <xdr:nvSpPr>
        <xdr:cNvPr id="70" name="Rectángulo: esquinas redondeadas 69">
          <a:extLst>
            <a:ext uri="{FF2B5EF4-FFF2-40B4-BE49-F238E27FC236}">
              <a16:creationId xmlns:a16="http://schemas.microsoft.com/office/drawing/2014/main" id="{DBF9C558-A66F-40AE-9381-6318AF170BD4}"/>
            </a:ext>
          </a:extLst>
        </xdr:cNvPr>
        <xdr:cNvSpPr/>
      </xdr:nvSpPr>
      <xdr:spPr>
        <a:xfrm>
          <a:off x="30527625" y="5572125"/>
          <a:ext cx="2019300" cy="257175"/>
        </a:xfrm>
        <a:prstGeom prst="roundRect">
          <a:avLst/>
        </a:prstGeom>
        <a:solidFill>
          <a:srgbClr val="0095EB"/>
        </a:solidFill>
        <a:ln>
          <a:solidFill>
            <a:srgbClr val="2D2E83"/>
          </a:solidFill>
        </a:ln>
        <a:effectLst>
          <a:outerShdw blurRad="76200" dist="12700" dir="2700000" sy="-23000" kx="-8004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Total  (UF)</a:t>
          </a:r>
          <a:endPar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46</xdr:col>
      <xdr:colOff>831272</xdr:colOff>
      <xdr:row>0</xdr:row>
      <xdr:rowOff>3896</xdr:rowOff>
    </xdr:from>
    <xdr:to>
      <xdr:col>48</xdr:col>
      <xdr:colOff>8659</xdr:colOff>
      <xdr:row>1</xdr:row>
      <xdr:rowOff>191205</xdr:rowOff>
    </xdr:to>
    <xdr:sp macro="" textlink="">
      <xdr:nvSpPr>
        <xdr:cNvPr id="99" name="Rectángulo: esquinas redondeadas 98">
          <a:extLst>
            <a:ext uri="{FF2B5EF4-FFF2-40B4-BE49-F238E27FC236}">
              <a16:creationId xmlns:a16="http://schemas.microsoft.com/office/drawing/2014/main" id="{2AA1ACDC-8A01-4CA3-8FA6-E96E0E7E29B7}"/>
            </a:ext>
          </a:extLst>
        </xdr:cNvPr>
        <xdr:cNvSpPr/>
      </xdr:nvSpPr>
      <xdr:spPr>
        <a:xfrm>
          <a:off x="40316727" y="2194646"/>
          <a:ext cx="1194955" cy="38646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0</xdr:row>
      <xdr:rowOff>5195</xdr:rowOff>
    </xdr:from>
    <xdr:to>
      <xdr:col>49</xdr:col>
      <xdr:colOff>8659</xdr:colOff>
      <xdr:row>1</xdr:row>
      <xdr:rowOff>192504</xdr:rowOff>
    </xdr:to>
    <xdr:sp macro="" textlink="">
      <xdr:nvSpPr>
        <xdr:cNvPr id="100" name="Rectángulo: esquinas redondeadas 99">
          <a:extLst>
            <a:ext uri="{FF2B5EF4-FFF2-40B4-BE49-F238E27FC236}">
              <a16:creationId xmlns:a16="http://schemas.microsoft.com/office/drawing/2014/main" id="{FFCF99AC-FD1D-4517-B56E-64798A765858}"/>
            </a:ext>
          </a:extLst>
        </xdr:cNvPr>
        <xdr:cNvSpPr/>
      </xdr:nvSpPr>
      <xdr:spPr>
        <a:xfrm>
          <a:off x="41499558" y="2195945"/>
          <a:ext cx="860715" cy="38646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0</xdr:row>
      <xdr:rowOff>8659</xdr:rowOff>
    </xdr:from>
    <xdr:to>
      <xdr:col>50</xdr:col>
      <xdr:colOff>21085</xdr:colOff>
      <xdr:row>1</xdr:row>
      <xdr:rowOff>195968</xdr:rowOff>
    </xdr:to>
    <xdr:sp macro="" textlink="">
      <xdr:nvSpPr>
        <xdr:cNvPr id="101" name="Rectángulo: esquinas redondeadas 100">
          <a:extLst>
            <a:ext uri="{FF2B5EF4-FFF2-40B4-BE49-F238E27FC236}">
              <a16:creationId xmlns:a16="http://schemas.microsoft.com/office/drawing/2014/main" id="{6B8C07BE-9837-4ECA-8FAA-241A9B238954}"/>
            </a:ext>
          </a:extLst>
        </xdr:cNvPr>
        <xdr:cNvSpPr/>
      </xdr:nvSpPr>
      <xdr:spPr>
        <a:xfrm>
          <a:off x="42355076" y="2199409"/>
          <a:ext cx="866214" cy="386468"/>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50</xdr:col>
      <xdr:colOff>0</xdr:colOff>
      <xdr:row>0</xdr:row>
      <xdr:rowOff>9958</xdr:rowOff>
    </xdr:from>
    <xdr:to>
      <xdr:col>51</xdr:col>
      <xdr:colOff>3031</xdr:colOff>
      <xdr:row>1</xdr:row>
      <xdr:rowOff>197267</xdr:rowOff>
    </xdr:to>
    <xdr:sp macro="" textlink="">
      <xdr:nvSpPr>
        <xdr:cNvPr id="102" name="Rectángulo: esquinas redondeadas 101">
          <a:extLst>
            <a:ext uri="{FF2B5EF4-FFF2-40B4-BE49-F238E27FC236}">
              <a16:creationId xmlns:a16="http://schemas.microsoft.com/office/drawing/2014/main" id="{7091FD39-D45E-4134-BAB4-D14AB5AB3068}"/>
            </a:ext>
          </a:extLst>
        </xdr:cNvPr>
        <xdr:cNvSpPr/>
      </xdr:nvSpPr>
      <xdr:spPr>
        <a:xfrm>
          <a:off x="43255406" y="9958"/>
          <a:ext cx="836469" cy="389715"/>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57</xdr:col>
      <xdr:colOff>674451</xdr:colOff>
      <xdr:row>5</xdr:row>
      <xdr:rowOff>154781</xdr:rowOff>
    </xdr:from>
    <xdr:to>
      <xdr:col>59</xdr:col>
      <xdr:colOff>712967</xdr:colOff>
      <xdr:row>6</xdr:row>
      <xdr:rowOff>168377</xdr:rowOff>
    </xdr:to>
    <xdr:sp macro="" textlink="">
      <xdr:nvSpPr>
        <xdr:cNvPr id="69" name="Rectángulo: esquinas redondeadas 68">
          <a:extLst>
            <a:ext uri="{FF2B5EF4-FFF2-40B4-BE49-F238E27FC236}">
              <a16:creationId xmlns:a16="http://schemas.microsoft.com/office/drawing/2014/main" id="{08CB2C12-E59B-4FAD-92DE-ED639495E45F}"/>
            </a:ext>
          </a:extLst>
        </xdr:cNvPr>
        <xdr:cNvSpPr/>
      </xdr:nvSpPr>
      <xdr:spPr>
        <a:xfrm>
          <a:off x="52691534" y="1160198"/>
          <a:ext cx="2271600" cy="214679"/>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Pie Pendiente</a:t>
          </a:r>
        </a:p>
      </xdr:txBody>
    </xdr:sp>
    <xdr:clientData/>
  </xdr:twoCellAnchor>
  <xdr:twoCellAnchor>
    <xdr:from>
      <xdr:col>55</xdr:col>
      <xdr:colOff>1390585</xdr:colOff>
      <xdr:row>2</xdr:row>
      <xdr:rowOff>192032</xdr:rowOff>
    </xdr:from>
    <xdr:to>
      <xdr:col>56</xdr:col>
      <xdr:colOff>114301</xdr:colOff>
      <xdr:row>4</xdr:row>
      <xdr:rowOff>28575</xdr:rowOff>
    </xdr:to>
    <xdr:sp macro="" textlink="">
      <xdr:nvSpPr>
        <xdr:cNvPr id="18" name="Signo más 17">
          <a:extLst>
            <a:ext uri="{FF2B5EF4-FFF2-40B4-BE49-F238E27FC236}">
              <a16:creationId xmlns:a16="http://schemas.microsoft.com/office/drawing/2014/main" id="{9E220B1F-56B1-463F-ABAC-08FF8E2B8D2E}"/>
            </a:ext>
          </a:extLst>
        </xdr:cNvPr>
        <xdr:cNvSpPr/>
      </xdr:nvSpPr>
      <xdr:spPr>
        <a:xfrm>
          <a:off x="50577685" y="592082"/>
          <a:ext cx="247716" cy="236593"/>
        </a:xfrm>
        <a:prstGeom prst="mathPlus">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57</xdr:col>
      <xdr:colOff>1037558</xdr:colOff>
      <xdr:row>2</xdr:row>
      <xdr:rowOff>187453</xdr:rowOff>
    </xdr:from>
    <xdr:to>
      <xdr:col>58</xdr:col>
      <xdr:colOff>19133</xdr:colOff>
      <xdr:row>4</xdr:row>
      <xdr:rowOff>25003</xdr:rowOff>
    </xdr:to>
    <xdr:sp macro="" textlink="">
      <xdr:nvSpPr>
        <xdr:cNvPr id="31" name="Signo menos 30">
          <a:extLst>
            <a:ext uri="{FF2B5EF4-FFF2-40B4-BE49-F238E27FC236}">
              <a16:creationId xmlns:a16="http://schemas.microsoft.com/office/drawing/2014/main" id="{BFF28F9F-973A-4913-BB83-A354E130A29C}"/>
            </a:ext>
          </a:extLst>
        </xdr:cNvPr>
        <xdr:cNvSpPr/>
      </xdr:nvSpPr>
      <xdr:spPr>
        <a:xfrm>
          <a:off x="53015483" y="587503"/>
          <a:ext cx="248400" cy="237600"/>
        </a:xfrm>
        <a:prstGeom prst="mathMinus">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57</xdr:col>
      <xdr:colOff>1038224</xdr:colOff>
      <xdr:row>6</xdr:row>
      <xdr:rowOff>197918</xdr:rowOff>
    </xdr:from>
    <xdr:to>
      <xdr:col>58</xdr:col>
      <xdr:colOff>19799</xdr:colOff>
      <xdr:row>8</xdr:row>
      <xdr:rowOff>33087</xdr:rowOff>
    </xdr:to>
    <xdr:sp macro="" textlink="">
      <xdr:nvSpPr>
        <xdr:cNvPr id="33" name="Es igual a 32">
          <a:extLst>
            <a:ext uri="{FF2B5EF4-FFF2-40B4-BE49-F238E27FC236}">
              <a16:creationId xmlns:a16="http://schemas.microsoft.com/office/drawing/2014/main" id="{CBA2A5AB-8F9A-4402-AD60-D30C03E159D3}"/>
            </a:ext>
          </a:extLst>
        </xdr:cNvPr>
        <xdr:cNvSpPr/>
      </xdr:nvSpPr>
      <xdr:spPr>
        <a:xfrm>
          <a:off x="53056630" y="1412356"/>
          <a:ext cx="249591" cy="239981"/>
        </a:xfrm>
        <a:prstGeom prst="mathEqual">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59</xdr:col>
      <xdr:colOff>1419225</xdr:colOff>
      <xdr:row>2</xdr:row>
      <xdr:rowOff>190500</xdr:rowOff>
    </xdr:from>
    <xdr:to>
      <xdr:col>60</xdr:col>
      <xdr:colOff>143625</xdr:colOff>
      <xdr:row>4</xdr:row>
      <xdr:rowOff>25669</xdr:rowOff>
    </xdr:to>
    <xdr:sp macro="" textlink="">
      <xdr:nvSpPr>
        <xdr:cNvPr id="73" name="Signo menos 72">
          <a:extLst>
            <a:ext uri="{FF2B5EF4-FFF2-40B4-BE49-F238E27FC236}">
              <a16:creationId xmlns:a16="http://schemas.microsoft.com/office/drawing/2014/main" id="{487529A3-F3AC-4970-990D-7AAC2FB2955F}"/>
            </a:ext>
          </a:extLst>
        </xdr:cNvPr>
        <xdr:cNvSpPr/>
      </xdr:nvSpPr>
      <xdr:spPr>
        <a:xfrm>
          <a:off x="55592663" y="595313"/>
          <a:ext cx="248400" cy="239981"/>
        </a:xfrm>
        <a:prstGeom prst="mathMinus">
          <a:avLst/>
        </a:prstGeom>
        <a:solidFill>
          <a:schemeClr val="accent1">
            <a:lumMod val="20000"/>
            <a:lumOff val="8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endParaRPr lang="es-CL" sz="1100">
            <a:ln>
              <a:solidFill>
                <a:schemeClr val="bg1"/>
              </a:solidFill>
            </a:ln>
            <a:solidFill>
              <a:schemeClr val="bg1"/>
            </a:solidFill>
            <a:latin typeface="+mj-lt"/>
          </a:endParaRPr>
        </a:p>
      </xdr:txBody>
    </xdr:sp>
    <xdr:clientData/>
  </xdr:twoCellAnchor>
  <xdr:twoCellAnchor>
    <xdr:from>
      <xdr:col>46</xdr:col>
      <xdr:colOff>831272</xdr:colOff>
      <xdr:row>33</xdr:row>
      <xdr:rowOff>3896</xdr:rowOff>
    </xdr:from>
    <xdr:to>
      <xdr:col>48</xdr:col>
      <xdr:colOff>8659</xdr:colOff>
      <xdr:row>34</xdr:row>
      <xdr:rowOff>191205</xdr:rowOff>
    </xdr:to>
    <xdr:sp macro="" textlink="">
      <xdr:nvSpPr>
        <xdr:cNvPr id="74" name="Rectángulo: esquinas redondeadas 73">
          <a:extLst>
            <a:ext uri="{FF2B5EF4-FFF2-40B4-BE49-F238E27FC236}">
              <a16:creationId xmlns:a16="http://schemas.microsoft.com/office/drawing/2014/main" id="{C423C486-D089-4F4B-9261-5EA13CC70BD9}"/>
            </a:ext>
          </a:extLst>
        </xdr:cNvPr>
        <xdr:cNvSpPr/>
      </xdr:nvSpPr>
      <xdr:spPr>
        <a:xfrm>
          <a:off x="42236447" y="4404446"/>
          <a:ext cx="1196687"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Tasa</a:t>
          </a:r>
          <a:r>
            <a:rPr lang="es-CL" sz="1000" b="0" baseline="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 Referencial</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47</xdr:col>
      <xdr:colOff>1174172</xdr:colOff>
      <xdr:row>33</xdr:row>
      <xdr:rowOff>5195</xdr:rowOff>
    </xdr:from>
    <xdr:to>
      <xdr:col>49</xdr:col>
      <xdr:colOff>8659</xdr:colOff>
      <xdr:row>34</xdr:row>
      <xdr:rowOff>192504</xdr:rowOff>
    </xdr:to>
    <xdr:sp macro="" textlink="">
      <xdr:nvSpPr>
        <xdr:cNvPr id="75" name="Rectángulo: esquinas redondeadas 74">
          <a:extLst>
            <a:ext uri="{FF2B5EF4-FFF2-40B4-BE49-F238E27FC236}">
              <a16:creationId xmlns:a16="http://schemas.microsoft.com/office/drawing/2014/main" id="{CDF5FBA8-40D2-4EA1-AC02-ADE4C369102E}"/>
            </a:ext>
          </a:extLst>
        </xdr:cNvPr>
        <xdr:cNvSpPr/>
      </xdr:nvSpPr>
      <xdr:spPr>
        <a:xfrm>
          <a:off x="43417547" y="4405745"/>
          <a:ext cx="86331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0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Dividendo</a:t>
          </a:r>
          <a:endPar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48</xdr:col>
      <xdr:colOff>1194953</xdr:colOff>
      <xdr:row>33</xdr:row>
      <xdr:rowOff>8659</xdr:rowOff>
    </xdr:from>
    <xdr:to>
      <xdr:col>50</xdr:col>
      <xdr:colOff>21085</xdr:colOff>
      <xdr:row>34</xdr:row>
      <xdr:rowOff>195968</xdr:rowOff>
    </xdr:to>
    <xdr:sp macro="" textlink="">
      <xdr:nvSpPr>
        <xdr:cNvPr id="76" name="Rectángulo: esquinas redondeadas 75">
          <a:extLst>
            <a:ext uri="{FF2B5EF4-FFF2-40B4-BE49-F238E27FC236}">
              <a16:creationId xmlns:a16="http://schemas.microsoft.com/office/drawing/2014/main" id="{0008B881-12BB-4A4D-A38E-B0FFB0D44F49}"/>
            </a:ext>
          </a:extLst>
        </xdr:cNvPr>
        <xdr:cNvSpPr/>
      </xdr:nvSpPr>
      <xdr:spPr>
        <a:xfrm>
          <a:off x="44276528" y="4409209"/>
          <a:ext cx="864482" cy="387334"/>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Arriendo</a:t>
          </a:r>
        </a:p>
      </xdr:txBody>
    </xdr:sp>
    <xdr:clientData/>
  </xdr:twoCellAnchor>
  <xdr:twoCellAnchor>
    <xdr:from>
      <xdr:col>49</xdr:col>
      <xdr:colOff>846666</xdr:colOff>
      <xdr:row>33</xdr:row>
      <xdr:rowOff>9958</xdr:rowOff>
    </xdr:from>
    <xdr:to>
      <xdr:col>51</xdr:col>
      <xdr:colOff>2582</xdr:colOff>
      <xdr:row>34</xdr:row>
      <xdr:rowOff>197267</xdr:rowOff>
    </xdr:to>
    <xdr:sp macro="" textlink="">
      <xdr:nvSpPr>
        <xdr:cNvPr id="77" name="Rectángulo: esquinas redondeadas 76">
          <a:extLst>
            <a:ext uri="{FF2B5EF4-FFF2-40B4-BE49-F238E27FC236}">
              <a16:creationId xmlns:a16="http://schemas.microsoft.com/office/drawing/2014/main" id="{182991B5-0B66-40A6-BAD8-276756485FCD}"/>
            </a:ext>
          </a:extLst>
        </xdr:cNvPr>
        <xdr:cNvSpPr/>
      </xdr:nvSpPr>
      <xdr:spPr>
        <a:xfrm>
          <a:off x="45275499" y="6645708"/>
          <a:ext cx="1008000" cy="388392"/>
        </a:xfrm>
        <a:prstGeom prst="roundRect">
          <a:avLst/>
        </a:prstGeom>
        <a:solidFill>
          <a:srgbClr val="2D2E83"/>
        </a:solidFill>
        <a:ln>
          <a:solidFill>
            <a:srgbClr val="2D2E83"/>
          </a:solidFill>
        </a:ln>
        <a:effectLst>
          <a:outerShdw blurRad="76200" dir="18900000" sy="23000" kx="-1200000" algn="bl" rotWithShape="0">
            <a:prstClr val="black">
              <a:alpha val="20000"/>
            </a:prstClr>
          </a:outerShdw>
          <a:softEdge rad="3175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algn="ctr"/>
          <a:r>
            <a:rPr lang="es-CL" sz="1050" b="0">
              <a:ln>
                <a:solidFill>
                  <a:schemeClr val="bg1"/>
                </a:solidFill>
              </a:ln>
              <a:solidFill>
                <a:schemeClr val="bg1"/>
              </a:solidFill>
              <a:latin typeface="Tahoma" panose="020B0604030504040204" pitchFamily="34" charset="0"/>
              <a:ea typeface="Tahoma" panose="020B0604030504040204" pitchFamily="34" charset="0"/>
              <a:cs typeface="Tahoma" panose="020B0604030504040204" pitchFamily="34" charset="0"/>
            </a:rPr>
            <a:t>Flujo</a:t>
          </a:r>
        </a:p>
      </xdr:txBody>
    </xdr:sp>
    <xdr:clientData/>
  </xdr:twoCellAnchor>
  <xdr:twoCellAnchor>
    <xdr:from>
      <xdr:col>7</xdr:col>
      <xdr:colOff>782463</xdr:colOff>
      <xdr:row>4</xdr:row>
      <xdr:rowOff>151607</xdr:rowOff>
    </xdr:from>
    <xdr:to>
      <xdr:col>8</xdr:col>
      <xdr:colOff>934855</xdr:colOff>
      <xdr:row>6</xdr:row>
      <xdr:rowOff>93459</xdr:rowOff>
    </xdr:to>
    <xdr:sp macro="[0]!sanfco" textlink="">
      <xdr:nvSpPr>
        <xdr:cNvPr id="3" name="Rectángulo: esquinas redondeadas 2">
          <a:extLst>
            <a:ext uri="{FF2B5EF4-FFF2-40B4-BE49-F238E27FC236}">
              <a16:creationId xmlns:a16="http://schemas.microsoft.com/office/drawing/2014/main" id="{C98B9F4C-CA71-4E47-948B-5E8DA24E02F2}"/>
            </a:ext>
          </a:extLst>
        </xdr:cNvPr>
        <xdr:cNvSpPr/>
      </xdr:nvSpPr>
      <xdr:spPr>
        <a:xfrm>
          <a:off x="5949776" y="961232"/>
          <a:ext cx="985829" cy="346665"/>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chemeClr val="bg1"/>
                </a:solidFill>
              </a:ln>
              <a:solidFill>
                <a:schemeClr val="bg1"/>
              </a:solidFill>
              <a:latin typeface="+mj-lt"/>
              <a:ea typeface="+mn-ea"/>
              <a:cs typeface="+mn-cs"/>
            </a:rPr>
            <a:t>San Francisco</a:t>
          </a:r>
        </a:p>
      </xdr:txBody>
    </xdr:sp>
    <xdr:clientData/>
  </xdr:twoCellAnchor>
  <xdr:twoCellAnchor>
    <xdr:from>
      <xdr:col>6</xdr:col>
      <xdr:colOff>542101</xdr:colOff>
      <xdr:row>4</xdr:row>
      <xdr:rowOff>155086</xdr:rowOff>
    </xdr:from>
    <xdr:to>
      <xdr:col>7</xdr:col>
      <xdr:colOff>673842</xdr:colOff>
      <xdr:row>6</xdr:row>
      <xdr:rowOff>95033</xdr:rowOff>
    </xdr:to>
    <xdr:sp macro="[0]!seminario2" textlink="">
      <xdr:nvSpPr>
        <xdr:cNvPr id="17" name="Rectángulo: esquinas redondeadas 16">
          <a:extLst>
            <a:ext uri="{FF2B5EF4-FFF2-40B4-BE49-F238E27FC236}">
              <a16:creationId xmlns:a16="http://schemas.microsoft.com/office/drawing/2014/main" id="{795B6ABD-9939-4795-87EE-77BED3813079}"/>
            </a:ext>
          </a:extLst>
        </xdr:cNvPr>
        <xdr:cNvSpPr/>
      </xdr:nvSpPr>
      <xdr:spPr>
        <a:xfrm>
          <a:off x="4875976" y="964711"/>
          <a:ext cx="965179" cy="344760"/>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chemeClr val="bg1"/>
                </a:solidFill>
              </a:ln>
              <a:solidFill>
                <a:schemeClr val="bg1"/>
              </a:solidFill>
              <a:latin typeface="+mj-lt"/>
              <a:ea typeface="+mn-ea"/>
              <a:cs typeface="+mn-cs"/>
            </a:rPr>
            <a:t>Seminario 2</a:t>
          </a:r>
        </a:p>
      </xdr:txBody>
    </xdr:sp>
    <xdr:clientData/>
  </xdr:twoCellAnchor>
  <xdr:twoCellAnchor editAs="oneCell">
    <xdr:from>
      <xdr:col>7</xdr:col>
      <xdr:colOff>818174</xdr:colOff>
      <xdr:row>0</xdr:row>
      <xdr:rowOff>170961</xdr:rowOff>
    </xdr:from>
    <xdr:to>
      <xdr:col>8</xdr:col>
      <xdr:colOff>1009298</xdr:colOff>
      <xdr:row>4</xdr:row>
      <xdr:rowOff>57602</xdr:rowOff>
    </xdr:to>
    <xdr:pic>
      <xdr:nvPicPr>
        <xdr:cNvPr id="32" name="Imagen 31" descr="Interfaz de usuario gráfica, Aplicación&#10;&#10;Descripción generada automáticamente">
          <a:extLst>
            <a:ext uri="{FF2B5EF4-FFF2-40B4-BE49-F238E27FC236}">
              <a16:creationId xmlns:a16="http://schemas.microsoft.com/office/drawing/2014/main" id="{D51D139E-656D-4188-BDC2-93B3438D171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1502" b="25182"/>
        <a:stretch/>
      </xdr:blipFill>
      <xdr:spPr bwMode="auto">
        <a:xfrm>
          <a:off x="6020289" y="170961"/>
          <a:ext cx="1034844" cy="654844"/>
        </a:xfrm>
        <a:prstGeom prst="rect">
          <a:avLst/>
        </a:prstGeom>
        <a:noFill/>
        <a:ln>
          <a:noFill/>
        </a:ln>
        <a:extLst>
          <a:ext uri="{53640926-AAD7-44D8-BBD7-CCE9431645EC}">
            <a14:shadowObscured xmlns:a14="http://schemas.microsoft.com/office/drawing/2010/main"/>
          </a:ext>
        </a:extLst>
      </xdr:spPr>
    </xdr:pic>
    <xdr:clientData/>
  </xdr:twoCellAnchor>
  <xdr:twoCellAnchor>
    <xdr:from>
      <xdr:col>5</xdr:col>
      <xdr:colOff>333016</xdr:colOff>
      <xdr:row>4</xdr:row>
      <xdr:rowOff>152705</xdr:rowOff>
    </xdr:from>
    <xdr:to>
      <xdr:col>6</xdr:col>
      <xdr:colOff>447613</xdr:colOff>
      <xdr:row>6</xdr:row>
      <xdr:rowOff>94557</xdr:rowOff>
    </xdr:to>
    <xdr:sp macro="[0]!plazalira" textlink="">
      <xdr:nvSpPr>
        <xdr:cNvPr id="4" name="Rectángulo: esquinas redondeadas 3">
          <a:extLst>
            <a:ext uri="{FF2B5EF4-FFF2-40B4-BE49-F238E27FC236}">
              <a16:creationId xmlns:a16="http://schemas.microsoft.com/office/drawing/2014/main" id="{6D989102-C12B-4654-9CE9-D0488A529927}"/>
            </a:ext>
          </a:extLst>
        </xdr:cNvPr>
        <xdr:cNvSpPr/>
      </xdr:nvSpPr>
      <xdr:spPr>
        <a:xfrm>
          <a:off x="3833454" y="962330"/>
          <a:ext cx="948034" cy="346665"/>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chemeClr val="bg1"/>
                </a:solidFill>
              </a:ln>
              <a:solidFill>
                <a:schemeClr val="bg1"/>
              </a:solidFill>
              <a:latin typeface="+mj-lt"/>
              <a:ea typeface="+mn-ea"/>
              <a:cs typeface="+mn-cs"/>
            </a:rPr>
            <a:t>Plaza</a:t>
          </a:r>
          <a:r>
            <a:rPr lang="es-CL" sz="1100" b="0" baseline="0">
              <a:ln>
                <a:solidFill>
                  <a:schemeClr val="bg1"/>
                </a:solidFill>
              </a:ln>
              <a:solidFill>
                <a:schemeClr val="bg1"/>
              </a:solidFill>
              <a:latin typeface="+mj-lt"/>
              <a:ea typeface="+mn-ea"/>
              <a:cs typeface="+mn-cs"/>
            </a:rPr>
            <a:t> Lira</a:t>
          </a:r>
          <a:endParaRPr lang="es-CL" sz="1100" b="0">
            <a:ln>
              <a:solidFill>
                <a:schemeClr val="bg1"/>
              </a:solidFill>
            </a:ln>
            <a:solidFill>
              <a:schemeClr val="bg1"/>
            </a:solidFill>
            <a:latin typeface="+mj-lt"/>
            <a:ea typeface="+mn-ea"/>
            <a:cs typeface="+mn-cs"/>
          </a:endParaRPr>
        </a:p>
      </xdr:txBody>
    </xdr:sp>
    <xdr:clientData/>
  </xdr:twoCellAnchor>
  <xdr:twoCellAnchor>
    <xdr:from>
      <xdr:col>3</xdr:col>
      <xdr:colOff>708178</xdr:colOff>
      <xdr:row>4</xdr:row>
      <xdr:rowOff>150324</xdr:rowOff>
    </xdr:from>
    <xdr:to>
      <xdr:col>5</xdr:col>
      <xdr:colOff>240920</xdr:colOff>
      <xdr:row>6</xdr:row>
      <xdr:rowOff>94081</xdr:rowOff>
    </xdr:to>
    <xdr:sp macro="[0]!serrano" textlink="">
      <xdr:nvSpPr>
        <xdr:cNvPr id="5" name="Rectángulo: esquinas redondeadas 4">
          <a:extLst>
            <a:ext uri="{FF2B5EF4-FFF2-40B4-BE49-F238E27FC236}">
              <a16:creationId xmlns:a16="http://schemas.microsoft.com/office/drawing/2014/main" id="{47709C21-8BEF-49FB-9348-0AB572CCFF1A}"/>
            </a:ext>
          </a:extLst>
        </xdr:cNvPr>
        <xdr:cNvSpPr/>
      </xdr:nvSpPr>
      <xdr:spPr>
        <a:xfrm>
          <a:off x="2446491" y="959949"/>
          <a:ext cx="1294867" cy="348570"/>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chemeClr val="bg1"/>
                </a:solidFill>
              </a:ln>
              <a:solidFill>
                <a:schemeClr val="bg1"/>
              </a:solidFill>
              <a:latin typeface="+mj-lt"/>
              <a:ea typeface="+mn-ea"/>
              <a:cs typeface="+mn-cs"/>
            </a:rPr>
            <a:t>Mercado Serrano</a:t>
          </a:r>
        </a:p>
      </xdr:txBody>
    </xdr:sp>
    <xdr:clientData/>
  </xdr:twoCellAnchor>
  <xdr:twoCellAnchor>
    <xdr:from>
      <xdr:col>2</xdr:col>
      <xdr:colOff>464344</xdr:colOff>
      <xdr:row>4</xdr:row>
      <xdr:rowOff>130797</xdr:rowOff>
    </xdr:from>
    <xdr:to>
      <xdr:col>3</xdr:col>
      <xdr:colOff>655734</xdr:colOff>
      <xdr:row>6</xdr:row>
      <xdr:rowOff>91699</xdr:rowOff>
    </xdr:to>
    <xdr:sp macro="[0]!atelier" textlink="">
      <xdr:nvSpPr>
        <xdr:cNvPr id="6" name="Rectángulo: esquinas redondeadas 5">
          <a:extLst>
            <a:ext uri="{FF2B5EF4-FFF2-40B4-BE49-F238E27FC236}">
              <a16:creationId xmlns:a16="http://schemas.microsoft.com/office/drawing/2014/main" id="{4F6DB906-9950-4082-B2A9-04A288614E21}"/>
            </a:ext>
          </a:extLst>
        </xdr:cNvPr>
        <xdr:cNvSpPr/>
      </xdr:nvSpPr>
      <xdr:spPr>
        <a:xfrm>
          <a:off x="1369219" y="940422"/>
          <a:ext cx="1024828" cy="365715"/>
        </a:xfrm>
        <a:prstGeom prst="roundRect">
          <a:avLst/>
        </a:prstGeom>
        <a:solidFill>
          <a:srgbClr val="002060"/>
        </a:solidFill>
        <a:ln>
          <a:solidFill>
            <a:srgbClr val="002060"/>
          </a:solidFill>
        </a:ln>
        <a:scene3d>
          <a:camera prst="orthographicFront"/>
          <a:lightRig rig="threePt" dir="t"/>
        </a:scene3d>
        <a:sp3d>
          <a:bevelT w="16510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noAutofit/>
        </a:bodyPr>
        <a:lstStyle/>
        <a:p>
          <a:pPr marL="0" indent="0" algn="ctr"/>
          <a:r>
            <a:rPr lang="es-CL" sz="1100" b="0">
              <a:ln>
                <a:solidFill>
                  <a:schemeClr val="bg1"/>
                </a:solidFill>
              </a:ln>
              <a:solidFill>
                <a:schemeClr val="bg1"/>
              </a:solidFill>
              <a:latin typeface="+mj-lt"/>
              <a:ea typeface="+mn-ea"/>
              <a:cs typeface="+mn-cs"/>
            </a:rPr>
            <a:t>Atelier</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noAutofit/>
      </a:bodyPr>
      <a:lstStyle>
        <a:defPPr algn="ctr">
          <a:defRPr sz="1100">
            <a:ln>
              <a:solidFill>
                <a:schemeClr val="bg1"/>
              </a:solidFill>
            </a:ln>
            <a:solidFill>
              <a:schemeClr val="bg1"/>
            </a:solidFill>
            <a:latin typeface="+mj-lt"/>
          </a:defRPr>
        </a:defPPr>
      </a:lstStyle>
      <a:style>
        <a:lnRef idx="1">
          <a:schemeClr val="accent1"/>
        </a:lnRef>
        <a:fillRef idx="3">
          <a:schemeClr val="accent1"/>
        </a:fillRef>
        <a:effectRef idx="2">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file:///C:\Users\rcobo\Activo%20M&#225;s%20Dropbox\Raimundo%20Cobo%20Lewin\Activo%20Mas%20-%20Ventas\Inmobiliarias\Paz\Mercado%20Serrano\Brochure%20Mercado%20Serrano,%20Stgo.pdf" TargetMode="External"/><Relationship Id="rId3" Type="http://schemas.openxmlformats.org/officeDocument/2006/relationships/hyperlink" Target="https://ipaz.infocheck.cl/B2B" TargetMode="External"/><Relationship Id="rId7" Type="http://schemas.openxmlformats.org/officeDocument/2006/relationships/hyperlink" Target="file:///C:\Users\rcobo\Activo%20M&#225;s%20Dropbox\Raimundo%20Cobo%20Lewin\Activo%20Mas%20-%20Ventas\Inmobiliarias\Paz\Atelier%20&#209;u&#241;oa\Brochure%20Atelier,%20&#209;u&#241;oa.pdf" TargetMode="External"/><Relationship Id="rId12" Type="http://schemas.openxmlformats.org/officeDocument/2006/relationships/printerSettings" Target="../printerSettings/printerSettings2.bin"/><Relationship Id="rId2" Type="http://schemas.openxmlformats.org/officeDocument/2006/relationships/hyperlink" Target="https://micrositios.getnet.cl/paz" TargetMode="External"/><Relationship Id="rId1" Type="http://schemas.openxmlformats.org/officeDocument/2006/relationships/hyperlink" Target="https://micrositios.getnet.cl/paz" TargetMode="External"/><Relationship Id="rId6" Type="http://schemas.openxmlformats.org/officeDocument/2006/relationships/hyperlink" Target="https://micrositios.getnet.cl/paz" TargetMode="External"/><Relationship Id="rId11" Type="http://schemas.openxmlformats.org/officeDocument/2006/relationships/hyperlink" Target="file:///C:\Users\rcobo\Activo%20M&#225;s%20Dropbox\Raimundo%20Cobo%20Lewin\Activo%20Mas%20-%20Ventas\Inmobiliarias\Paz\San%20Francisco\Brochure%20San%20Francisco,%20Stgo%20Centro.pdf" TargetMode="External"/><Relationship Id="rId5" Type="http://schemas.openxmlformats.org/officeDocument/2006/relationships/hyperlink" Target="https://micrositios.getnet.cl/paz" TargetMode="External"/><Relationship Id="rId10" Type="http://schemas.openxmlformats.org/officeDocument/2006/relationships/hyperlink" Target="file:///C:\Users\rcobo\Activo%20M&#225;s%20Dropbox\Raimundo%20Cobo%20Lewin\Activo%20Mas%20-%20Ventas\Inmobiliarias\Paz\Seminario%202\Brochure%20Seminario%202,%20&#209;u&#241;oa.pdf" TargetMode="External"/><Relationship Id="rId4" Type="http://schemas.openxmlformats.org/officeDocument/2006/relationships/hyperlink" Target="https://micrositios.getnet.cl/paz" TargetMode="External"/><Relationship Id="rId9" Type="http://schemas.openxmlformats.org/officeDocument/2006/relationships/hyperlink" Target="file:///C:\Users\rcobo\Activo%20M&#225;s%20Dropbox\Raimundo%20Cobo%20Lewin\Activo%20Mas%20-%20Ventas\Inmobiliarias\Paz\Plaza%20Lira\Brochure%20Plaza%20Lira,%20Stgo%20Centro.pd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C0D16-1491-49F6-BFD6-4328F6C99831}">
  <sheetPr codeName="Hoja10">
    <tabColor theme="4" tint="0.59999389629810485"/>
    <pageSetUpPr autoPageBreaks="0"/>
  </sheetPr>
  <dimension ref="A1:BW261"/>
  <sheetViews>
    <sheetView showGridLines="0" tabSelected="1" zoomScale="80" zoomScaleNormal="80" workbookViewId="0">
      <selection activeCell="D3" sqref="D3:F3"/>
    </sheetView>
  </sheetViews>
  <sheetFormatPr baseColWidth="10" defaultColWidth="11" defaultRowHeight="15.5" x14ac:dyDescent="0.35"/>
  <cols>
    <col min="1" max="1" width="0.9140625" style="134" customWidth="1"/>
    <col min="2" max="2" width="11" style="134"/>
    <col min="3" max="3" width="11" style="134" customWidth="1"/>
    <col min="4" max="4" width="12.08203125" style="134" bestFit="1" customWidth="1"/>
    <col min="5" max="7" width="11" style="134"/>
    <col min="8" max="8" width="10.9140625" style="134" customWidth="1"/>
    <col min="9" max="9" width="13.5" style="134" customWidth="1"/>
    <col min="10" max="10" width="0.9140625" style="134" customWidth="1"/>
    <col min="11" max="11" width="17.08203125" style="134" customWidth="1"/>
    <col min="12" max="12" width="16" style="134" customWidth="1"/>
    <col min="13" max="13" width="16.08203125" style="134" bestFit="1" customWidth="1"/>
    <col min="14" max="14" width="12.6640625" style="134" customWidth="1"/>
    <col min="15" max="15" width="15" style="134" bestFit="1" customWidth="1"/>
    <col min="16" max="16" width="14.9140625" style="134" customWidth="1"/>
    <col min="17" max="17" width="10.9140625" style="134" customWidth="1"/>
    <col min="18" max="18" width="16.4140625" style="134" bestFit="1" customWidth="1"/>
    <col min="19" max="19" width="20.58203125" style="134" customWidth="1"/>
    <col min="20" max="20" width="3.1640625" style="134" customWidth="1"/>
    <col min="21" max="22" width="11" style="134"/>
    <col min="23" max="23" width="12.58203125" style="134" bestFit="1" customWidth="1"/>
    <col min="24" max="24" width="11" style="134"/>
    <col min="25" max="25" width="20.6640625" style="134" bestFit="1" customWidth="1"/>
    <col min="26" max="26" width="14" style="134" customWidth="1"/>
    <col min="27" max="28" width="14.4140625" style="134" customWidth="1"/>
    <col min="29" max="29" width="18.4140625" style="134" customWidth="1"/>
    <col min="30" max="30" width="12.9140625" style="134" customWidth="1"/>
    <col min="31" max="31" width="14.1640625" style="134" customWidth="1"/>
    <col min="32" max="32" width="15.4140625" style="134" customWidth="1"/>
    <col min="33" max="34" width="14" style="134" customWidth="1"/>
    <col min="35" max="35" width="11.5" style="134" customWidth="1"/>
    <col min="36" max="36" width="11" style="134"/>
    <col min="37" max="37" width="17.5" style="134" customWidth="1"/>
    <col min="38" max="38" width="13.08203125" style="134" customWidth="1"/>
    <col min="39" max="39" width="11" style="134"/>
    <col min="40" max="40" width="15.4140625" style="134" customWidth="1"/>
    <col min="41" max="41" width="11" style="134"/>
    <col min="42" max="42" width="10.1640625" style="134" customWidth="1"/>
    <col min="43" max="43" width="8.4140625" style="134" customWidth="1"/>
    <col min="44" max="44" width="10.58203125" style="134" customWidth="1"/>
    <col min="45" max="45" width="12.9140625" style="134" customWidth="1"/>
    <col min="46" max="46" width="5.4140625" style="134" bestFit="1" customWidth="1"/>
    <col min="47" max="47" width="11" style="134" customWidth="1"/>
    <col min="48" max="48" width="15.5" style="134" customWidth="1"/>
    <col min="49" max="49" width="13" style="134" customWidth="1"/>
    <col min="50" max="50" width="11.08203125" style="134" bestFit="1" customWidth="1"/>
    <col min="51" max="51" width="13.08203125" style="134" customWidth="1"/>
    <col min="52" max="54" width="11" style="134"/>
    <col min="55" max="55" width="9.9140625" style="134" customWidth="1"/>
    <col min="56" max="56" width="20" style="134" customWidth="1"/>
    <col min="57" max="58" width="16.58203125" style="134" customWidth="1"/>
    <col min="59" max="59" width="12.58203125" style="134" customWidth="1"/>
    <col min="60" max="60" width="20" style="134" customWidth="1"/>
    <col min="61" max="62" width="16.58203125" style="134" customWidth="1"/>
    <col min="63" max="65" width="11" style="134"/>
    <col min="66" max="66" width="14.08203125" style="134" bestFit="1" customWidth="1"/>
    <col min="67" max="68" width="15.58203125" style="134" customWidth="1"/>
    <col min="69" max="69" width="11" style="134"/>
    <col min="70" max="70" width="18.4140625" style="134" bestFit="1" customWidth="1"/>
    <col min="71" max="71" width="17" style="134" bestFit="1" customWidth="1"/>
    <col min="72" max="16384" width="11" style="134"/>
  </cols>
  <sheetData>
    <row r="1" spans="1:75" x14ac:dyDescent="0.35">
      <c r="A1" s="131"/>
      <c r="B1" s="334" t="s">
        <v>50</v>
      </c>
      <c r="C1" s="335"/>
      <c r="D1" s="335"/>
      <c r="E1" s="335"/>
      <c r="F1" s="335"/>
      <c r="G1" s="335"/>
      <c r="H1" s="335"/>
      <c r="I1" s="336"/>
      <c r="J1" s="132"/>
      <c r="K1" s="334" t="s">
        <v>51</v>
      </c>
      <c r="L1" s="335"/>
      <c r="M1" s="335"/>
      <c r="N1" s="335"/>
      <c r="O1" s="335"/>
      <c r="P1" s="335"/>
      <c r="Q1" s="335"/>
      <c r="R1" s="335"/>
      <c r="S1" s="335"/>
      <c r="T1" s="336"/>
      <c r="U1" s="133"/>
      <c r="V1" s="133"/>
      <c r="W1" s="338"/>
      <c r="X1" s="133"/>
      <c r="Z1" s="323" t="s">
        <v>52</v>
      </c>
      <c r="AA1" s="323" t="s">
        <v>53</v>
      </c>
      <c r="AB1" s="323" t="s">
        <v>54</v>
      </c>
      <c r="AC1" s="324" t="s">
        <v>55</v>
      </c>
      <c r="AH1" s="133"/>
      <c r="AI1" s="133"/>
      <c r="AJ1" s="133"/>
      <c r="AK1" s="133"/>
      <c r="AL1" s="133"/>
      <c r="AM1" s="133"/>
      <c r="AN1" s="133"/>
      <c r="AO1" s="341" t="s">
        <v>56</v>
      </c>
      <c r="AP1" s="328"/>
      <c r="AQ1" s="328"/>
      <c r="AR1" s="309"/>
      <c r="AS1" s="135"/>
      <c r="AT1" s="135"/>
      <c r="AU1" s="135"/>
      <c r="AV1" s="313"/>
      <c r="AW1" s="313"/>
      <c r="AX1" s="314"/>
      <c r="AY1" s="314"/>
      <c r="BA1" s="133"/>
      <c r="BL1" s="133"/>
      <c r="BT1" s="133"/>
      <c r="BU1" s="133"/>
      <c r="BV1" s="133"/>
      <c r="BW1" s="133"/>
    </row>
    <row r="2" spans="1:75" x14ac:dyDescent="0.35">
      <c r="A2" s="131"/>
      <c r="B2" s="136"/>
      <c r="C2" s="133"/>
      <c r="D2" s="133"/>
      <c r="E2" s="133"/>
      <c r="F2" s="133"/>
      <c r="G2" s="133"/>
      <c r="H2" s="133"/>
      <c r="I2" s="137"/>
      <c r="J2" s="132"/>
      <c r="K2" s="138" t="s">
        <v>57</v>
      </c>
      <c r="L2" s="139" t="s">
        <v>58</v>
      </c>
      <c r="M2" s="139" t="s">
        <v>18</v>
      </c>
      <c r="N2" s="139" t="s">
        <v>19</v>
      </c>
      <c r="O2" s="139" t="s">
        <v>59</v>
      </c>
      <c r="P2" s="139" t="s">
        <v>60</v>
      </c>
      <c r="Q2" s="139" t="s">
        <v>61</v>
      </c>
      <c r="R2" s="139" t="s">
        <v>27</v>
      </c>
      <c r="S2" s="139" t="s">
        <v>44</v>
      </c>
      <c r="T2" s="137"/>
      <c r="U2" s="133"/>
      <c r="V2" s="133"/>
      <c r="W2" s="338"/>
      <c r="X2" s="337" t="s">
        <v>62</v>
      </c>
      <c r="Y2" s="337"/>
      <c r="Z2" s="323"/>
      <c r="AA2" s="323"/>
      <c r="AB2" s="323"/>
      <c r="AC2" s="324"/>
      <c r="AD2" s="140"/>
      <c r="AE2" s="141" t="str">
        <f ca="1">"Escenario enviado: "&amp;TEXT(TODAY(),"d ""de"" mmmm ""de"" yyyy"&amp;".")</f>
        <v>Escenario enviado: 18 de febrero de 2026.</v>
      </c>
      <c r="AH2" s="133"/>
      <c r="AI2" s="133"/>
      <c r="AJ2" s="133"/>
      <c r="AK2" s="133"/>
      <c r="AL2" s="133"/>
      <c r="AM2" s="133"/>
      <c r="AN2" s="142" t="s">
        <v>63</v>
      </c>
      <c r="AO2" s="342"/>
      <c r="AP2" s="328"/>
      <c r="AQ2" s="328"/>
      <c r="AR2" s="309"/>
      <c r="AS2" s="135"/>
      <c r="AT2" s="135"/>
      <c r="AU2" s="135"/>
      <c r="AV2" s="313"/>
      <c r="AW2" s="313"/>
      <c r="AX2" s="314"/>
      <c r="AY2" s="314"/>
      <c r="BA2" s="133"/>
      <c r="BF2" s="321"/>
      <c r="BG2" s="321"/>
      <c r="BH2" s="321"/>
      <c r="BL2" s="133"/>
      <c r="BO2" s="143"/>
      <c r="BS2" s="144"/>
      <c r="BT2" s="133"/>
      <c r="BU2" s="133"/>
      <c r="BV2" s="133"/>
      <c r="BW2" s="133"/>
    </row>
    <row r="3" spans="1:75" ht="15.75" customHeight="1" x14ac:dyDescent="0.35">
      <c r="A3" s="131"/>
      <c r="B3" s="315" t="s">
        <v>64</v>
      </c>
      <c r="C3" s="316"/>
      <c r="D3" s="331"/>
      <c r="E3" s="332"/>
      <c r="F3" s="333"/>
      <c r="G3" s="133"/>
      <c r="H3" s="133"/>
      <c r="I3" s="137"/>
      <c r="J3" s="132"/>
      <c r="K3" s="146">
        <f>D12</f>
        <v>0</v>
      </c>
      <c r="L3" s="147" t="str">
        <f>SIMULACIÓN!D4</f>
        <v>1D+1B</v>
      </c>
      <c r="M3" s="147">
        <f>SIMULACIÓN!J4</f>
        <v>0</v>
      </c>
      <c r="N3" s="147">
        <f>SIMULACIÓN!K4</f>
        <v>0</v>
      </c>
      <c r="O3" s="148">
        <f>SIMULACIÓN!M4</f>
        <v>3969</v>
      </c>
      <c r="P3" s="149">
        <f>SIMULACIÓN!O4</f>
        <v>0.8</v>
      </c>
      <c r="Q3" s="149">
        <f>SIMULACIÓN!P4</f>
        <v>0.1</v>
      </c>
      <c r="R3" s="149">
        <f>SIMULACIÓN!Q4</f>
        <v>9.9999999999999978E-2</v>
      </c>
      <c r="S3" s="150">
        <f ca="1">SIMULACIÓN!R4</f>
        <v>15770400.785999998</v>
      </c>
      <c r="T3" s="151"/>
      <c r="U3" s="133"/>
      <c r="V3" s="133"/>
      <c r="W3" s="152"/>
      <c r="X3" s="340">
        <f>D3</f>
        <v>0</v>
      </c>
      <c r="Y3" s="340"/>
      <c r="Z3" s="153" t="s">
        <v>65</v>
      </c>
      <c r="AA3" s="153" t="s">
        <v>343</v>
      </c>
      <c r="AB3" s="153" t="str">
        <f>VLOOKUP(AA3,Datos!F1:S9,2,0)</f>
        <v>Ñuñoa</v>
      </c>
      <c r="AC3" s="154" t="str">
        <f>VLOOKUP(AA3,Datos!F1:S9,3,0)</f>
        <v>2do Semestre 2028</v>
      </c>
      <c r="AD3" s="155"/>
      <c r="AE3" s="155"/>
      <c r="AH3" s="133"/>
      <c r="AI3" s="133"/>
      <c r="AJ3" s="133"/>
      <c r="AK3" s="133"/>
      <c r="AL3" s="133"/>
      <c r="AM3" s="133"/>
      <c r="AN3" s="142"/>
      <c r="AO3" s="156">
        <f>D12</f>
        <v>0</v>
      </c>
      <c r="AP3" s="157"/>
      <c r="AQ3" s="157"/>
      <c r="AR3" s="158"/>
      <c r="AS3" s="158"/>
      <c r="AT3" s="158"/>
      <c r="AU3" s="158"/>
      <c r="AV3" s="159">
        <f>IF($AA$3="",4.5%,3%)</f>
        <v>0.03</v>
      </c>
      <c r="AW3" s="160">
        <f ca="1">((AH18*PMT(AV3,D20,-AO8)*VLOOKUP(TODAY(),'UF HOY'!$A$2:$B$36,2,0))/12)+$AD$36</f>
        <v>576130.11152349936</v>
      </c>
      <c r="AX3" s="160">
        <f>SIMULACIÓN!U4</f>
        <v>550000</v>
      </c>
      <c r="AY3" s="160">
        <f ca="1">AX3-AW3</f>
        <v>-26130.111523499363</v>
      </c>
      <c r="BA3" s="133"/>
      <c r="BG3" s="161"/>
      <c r="BH3" s="162"/>
      <c r="BK3" s="163"/>
      <c r="BL3" s="133"/>
      <c r="BN3" s="164"/>
      <c r="BO3" s="165"/>
      <c r="BP3" s="166"/>
      <c r="BQ3" s="167"/>
      <c r="BR3" s="164"/>
      <c r="BS3" s="168"/>
      <c r="BT3" s="133"/>
      <c r="BU3" s="133"/>
      <c r="BV3" s="133"/>
      <c r="BW3" s="133"/>
    </row>
    <row r="4" spans="1:75" ht="15.75" customHeight="1" x14ac:dyDescent="0.35">
      <c r="A4" s="131"/>
      <c r="B4" s="169"/>
      <c r="C4" s="170"/>
      <c r="D4" s="171"/>
      <c r="E4" s="171"/>
      <c r="F4" s="171"/>
      <c r="G4" s="133"/>
      <c r="H4" s="133"/>
      <c r="I4" s="137"/>
      <c r="J4" s="132"/>
      <c r="K4" s="146"/>
      <c r="L4" s="147"/>
      <c r="M4" s="147"/>
      <c r="N4" s="147"/>
      <c r="O4" s="148"/>
      <c r="P4" s="149"/>
      <c r="Q4" s="149"/>
      <c r="R4" s="149"/>
      <c r="S4" s="150"/>
      <c r="T4" s="137"/>
      <c r="U4" s="133"/>
      <c r="V4" s="133"/>
      <c r="W4" s="133"/>
      <c r="X4" s="340"/>
      <c r="Y4" s="340"/>
      <c r="Z4" s="172"/>
      <c r="AA4" s="172"/>
      <c r="AB4" s="172"/>
      <c r="AC4" s="173"/>
      <c r="AE4" s="155"/>
      <c r="AH4" s="133"/>
      <c r="AI4" s="133"/>
      <c r="AJ4" s="133"/>
      <c r="AK4" s="133"/>
      <c r="AL4" s="133"/>
      <c r="AM4" s="133"/>
      <c r="AN4" s="142"/>
      <c r="AO4" s="133"/>
      <c r="AP4" s="133"/>
      <c r="AQ4" s="133"/>
      <c r="AR4" s="133"/>
      <c r="AS4" s="133"/>
      <c r="AT4" s="133"/>
      <c r="AU4" s="133"/>
      <c r="AV4" s="174">
        <f>$H$20</f>
        <v>0.04</v>
      </c>
      <c r="AW4" s="175">
        <f ca="1">((AH18*PMT(AV4,D20,-AO8)*VLOOKUP(TODAY(),'UF HOY'!$A$2:$B$36,2,0))/12)+$AD$36</f>
        <v>647736.56055463396</v>
      </c>
      <c r="AX4" s="175">
        <f>SIMULACIÓN!U4</f>
        <v>550000</v>
      </c>
      <c r="AY4" s="175">
        <f t="shared" ref="AY4:AY5" ca="1" si="0">AX4-AW4</f>
        <v>-97736.560554633965</v>
      </c>
      <c r="BA4" s="133"/>
      <c r="BE4" s="161">
        <f ca="1">AK25</f>
        <v>15770400.785999998</v>
      </c>
      <c r="BF4" s="176"/>
      <c r="BG4" s="161">
        <f>SIMULACIÓN!C25</f>
        <v>100000</v>
      </c>
      <c r="BH4" s="176"/>
      <c r="BI4" s="161">
        <f>D17</f>
        <v>0</v>
      </c>
      <c r="BJ4" s="155"/>
      <c r="BK4" s="163"/>
      <c r="BL4" s="133"/>
      <c r="BN4" s="164"/>
      <c r="BO4" s="177"/>
      <c r="BP4" s="176"/>
      <c r="BQ4" s="167"/>
      <c r="BR4" s="164"/>
      <c r="BS4" s="178"/>
      <c r="BT4" s="133"/>
      <c r="BU4" s="133"/>
      <c r="BV4" s="133"/>
      <c r="BW4" s="133"/>
    </row>
    <row r="5" spans="1:75" x14ac:dyDescent="0.35">
      <c r="A5" s="131"/>
      <c r="B5" s="169"/>
      <c r="C5" s="170"/>
      <c r="D5" s="133"/>
      <c r="E5" s="133"/>
      <c r="F5" s="133"/>
      <c r="G5" s="133"/>
      <c r="H5" s="133"/>
      <c r="I5" s="137"/>
      <c r="J5" s="132"/>
      <c r="K5" s="146"/>
      <c r="L5" s="147"/>
      <c r="M5" s="147"/>
      <c r="N5" s="147"/>
      <c r="O5" s="148"/>
      <c r="P5" s="149"/>
      <c r="Q5" s="149"/>
      <c r="R5" s="149"/>
      <c r="S5" s="150"/>
      <c r="T5" s="137"/>
      <c r="U5" s="133"/>
      <c r="V5" s="133"/>
      <c r="W5" s="133"/>
      <c r="X5" s="133"/>
      <c r="Y5" s="133"/>
      <c r="Z5" s="133"/>
      <c r="AA5" s="133"/>
      <c r="AB5" s="133"/>
      <c r="AC5" s="133"/>
      <c r="AE5" s="155"/>
      <c r="AH5" s="133"/>
      <c r="AI5" s="133"/>
      <c r="AJ5" s="133"/>
      <c r="AK5" s="133"/>
      <c r="AL5" s="133"/>
      <c r="AN5" s="179"/>
      <c r="AV5" s="180">
        <f>IF($AA$3="",6.5%,5%)</f>
        <v>0.05</v>
      </c>
      <c r="AW5" s="160">
        <f ca="1">((AH18*PMT(AV5,D20,-AO8)*VLOOKUP(TODAY(),'UF HOY'!$A$2:$B$36,2,0))/12)+$AD$36</f>
        <v>723658.80194694793</v>
      </c>
      <c r="AX5" s="160">
        <f>SIMULACIÓN!U4</f>
        <v>550000</v>
      </c>
      <c r="AY5" s="160">
        <f t="shared" ca="1" si="0"/>
        <v>-173658.80194694793</v>
      </c>
      <c r="BA5" s="133"/>
      <c r="BD5" s="176"/>
      <c r="BE5" s="176"/>
      <c r="BF5" s="181"/>
      <c r="BG5" s="181"/>
      <c r="BH5" s="181"/>
      <c r="BI5" s="155"/>
      <c r="BJ5" s="155"/>
      <c r="BK5" s="163"/>
      <c r="BL5" s="133"/>
      <c r="BN5" s="182"/>
      <c r="BO5" s="183"/>
      <c r="BP5" s="155"/>
      <c r="BQ5" s="167"/>
      <c r="BR5" s="182"/>
      <c r="BS5" s="184"/>
      <c r="BT5" s="133"/>
      <c r="BU5" s="133"/>
      <c r="BV5" s="133"/>
      <c r="BW5" s="133"/>
    </row>
    <row r="6" spans="1:75" x14ac:dyDescent="0.35">
      <c r="A6" s="131"/>
      <c r="B6" s="315" t="s">
        <v>53</v>
      </c>
      <c r="C6" s="327"/>
      <c r="D6" s="133"/>
      <c r="E6" s="133"/>
      <c r="F6" s="133"/>
      <c r="G6" s="186"/>
      <c r="H6" s="133"/>
      <c r="I6" s="137"/>
      <c r="J6" s="132"/>
      <c r="K6" s="146"/>
      <c r="L6" s="147"/>
      <c r="M6" s="147"/>
      <c r="N6" s="147"/>
      <c r="O6" s="148"/>
      <c r="P6" s="149"/>
      <c r="Q6" s="149"/>
      <c r="R6" s="149"/>
      <c r="S6" s="150"/>
      <c r="T6" s="137"/>
      <c r="U6" s="133"/>
      <c r="V6" s="133"/>
      <c r="W6" s="133"/>
      <c r="X6" s="133"/>
      <c r="AE6" s="163"/>
      <c r="AF6" s="133"/>
      <c r="AG6" s="133"/>
      <c r="AH6" s="133"/>
      <c r="AI6" s="133"/>
      <c r="AJ6" s="133"/>
      <c r="AK6" s="133"/>
      <c r="AL6" s="133"/>
      <c r="AM6" s="339" t="str">
        <f>"Simulación departamento: "&amp;AO3</f>
        <v>Simulación departamento: 0</v>
      </c>
      <c r="AN6" s="339"/>
      <c r="AO6" s="339"/>
      <c r="AP6" s="339"/>
      <c r="AQ6" s="314" t="str">
        <f>"Tipología: "&amp;AA9</f>
        <v>Tipología: 1D+1B</v>
      </c>
      <c r="AR6" s="314"/>
      <c r="AS6" s="314"/>
      <c r="AT6" s="314"/>
      <c r="AU6" s="187"/>
      <c r="BD6" s="176"/>
      <c r="BE6" s="176"/>
      <c r="BG6" s="161"/>
      <c r="BH6" s="162"/>
      <c r="BI6" s="155"/>
      <c r="BJ6" s="155"/>
      <c r="BK6" s="163"/>
      <c r="BL6" s="133"/>
      <c r="BN6" s="182"/>
      <c r="BO6" s="183"/>
      <c r="BP6" s="155"/>
      <c r="BQ6" s="167"/>
      <c r="BR6" s="182"/>
      <c r="BS6" s="184"/>
      <c r="BT6" s="133"/>
      <c r="BU6" s="133"/>
      <c r="BV6" s="133"/>
      <c r="BW6" s="133"/>
    </row>
    <row r="7" spans="1:75" ht="15.75" customHeight="1" x14ac:dyDescent="0.35">
      <c r="A7" s="131"/>
      <c r="B7" s="169"/>
      <c r="C7" s="170"/>
      <c r="D7" s="133"/>
      <c r="E7" s="133"/>
      <c r="F7" s="133"/>
      <c r="G7" s="133"/>
      <c r="H7" s="133"/>
      <c r="I7" s="137"/>
      <c r="J7" s="132"/>
      <c r="K7" s="146"/>
      <c r="L7" s="147"/>
      <c r="M7" s="147"/>
      <c r="N7" s="147"/>
      <c r="O7" s="148"/>
      <c r="P7" s="149"/>
      <c r="Q7" s="149"/>
      <c r="R7" s="149"/>
      <c r="S7" s="150"/>
      <c r="T7" s="137"/>
      <c r="U7" s="133"/>
      <c r="V7" s="133"/>
      <c r="W7" s="133"/>
      <c r="X7" s="133"/>
      <c r="Z7" s="322"/>
      <c r="AA7" s="322"/>
      <c r="AB7" s="322"/>
      <c r="AC7" s="322"/>
      <c r="AD7" s="326"/>
      <c r="AE7" s="133"/>
      <c r="AF7" s="133"/>
      <c r="AG7" s="133"/>
      <c r="AH7" s="133"/>
      <c r="AI7" s="133"/>
      <c r="AJ7" s="133"/>
      <c r="AK7" s="133"/>
      <c r="AL7" s="133"/>
      <c r="AM7" s="188"/>
      <c r="AN7" s="189"/>
      <c r="AP7" s="189"/>
      <c r="AQ7" s="189"/>
      <c r="AR7" s="189"/>
      <c r="AS7" s="189"/>
      <c r="AT7" s="189"/>
      <c r="BC7" s="133"/>
      <c r="BD7" s="176"/>
      <c r="BE7" s="176"/>
      <c r="BF7" s="190"/>
      <c r="BG7" s="190"/>
      <c r="BJ7" s="155"/>
      <c r="BK7" s="163"/>
      <c r="BL7" s="133"/>
      <c r="BN7" s="164"/>
      <c r="BO7" s="165"/>
      <c r="BP7" s="166"/>
      <c r="BQ7" s="167"/>
      <c r="BR7" s="164"/>
      <c r="BS7" s="191"/>
      <c r="BT7" s="133"/>
      <c r="BU7" s="133"/>
      <c r="BV7" s="133"/>
      <c r="BW7" s="133"/>
    </row>
    <row r="8" spans="1:75" x14ac:dyDescent="0.35">
      <c r="A8" s="131"/>
      <c r="B8" s="192"/>
      <c r="C8" s="170"/>
      <c r="D8" s="133"/>
      <c r="E8" s="133"/>
      <c r="F8" s="133"/>
      <c r="G8" s="133"/>
      <c r="H8" s="133"/>
      <c r="I8" s="137"/>
      <c r="J8" s="132"/>
      <c r="K8" s="146"/>
      <c r="L8" s="147"/>
      <c r="M8" s="147"/>
      <c r="N8" s="147"/>
      <c r="O8" s="148"/>
      <c r="P8" s="147"/>
      <c r="Q8" s="147"/>
      <c r="R8" s="147"/>
      <c r="S8" s="147"/>
      <c r="T8" s="137"/>
      <c r="U8" s="133"/>
      <c r="V8" s="133"/>
      <c r="W8" s="133"/>
      <c r="X8" s="133"/>
      <c r="Z8" s="322"/>
      <c r="AA8" s="322"/>
      <c r="AB8" s="322"/>
      <c r="AC8" s="322"/>
      <c r="AD8" s="326"/>
      <c r="AE8" s="133"/>
      <c r="AF8" s="133"/>
      <c r="AG8" s="133"/>
      <c r="AH8" s="133"/>
      <c r="AI8" s="133"/>
      <c r="AJ8" s="133"/>
      <c r="AK8" s="133"/>
      <c r="AL8" s="133"/>
      <c r="AM8" s="325" t="s">
        <v>67</v>
      </c>
      <c r="AN8" s="325"/>
      <c r="AO8" s="194">
        <f>AF18</f>
        <v>3969</v>
      </c>
      <c r="AP8" s="325" t="s">
        <v>68</v>
      </c>
      <c r="AQ8" s="325"/>
      <c r="AR8" s="194">
        <f>AG18</f>
        <v>3175.2000000000003</v>
      </c>
      <c r="AS8" s="325" t="s">
        <v>69</v>
      </c>
      <c r="AT8" s="325"/>
      <c r="AU8" s="195">
        <f>AH18</f>
        <v>0.8</v>
      </c>
      <c r="AX8" s="196"/>
      <c r="AY8" s="196"/>
      <c r="AZ8" s="196"/>
      <c r="BA8" s="196"/>
      <c r="BB8" s="197"/>
      <c r="BC8" s="197"/>
      <c r="BD8" s="176"/>
      <c r="BE8" s="176"/>
      <c r="BF8" s="181"/>
      <c r="BG8" s="161">
        <f ca="1">IF((BE4-BG4-BI4)&gt;0,(BE4-BG4-BI4),0)</f>
        <v>15670400.785999998</v>
      </c>
      <c r="BH8" s="181"/>
      <c r="BI8" s="155"/>
      <c r="BJ8" s="155"/>
      <c r="BK8" s="163"/>
      <c r="BL8" s="133"/>
      <c r="BN8" s="164"/>
      <c r="BO8" s="193"/>
      <c r="BP8" s="176"/>
      <c r="BQ8" s="167"/>
      <c r="BR8" s="164"/>
      <c r="BS8" s="198"/>
      <c r="BT8" s="133"/>
      <c r="BU8" s="133"/>
      <c r="BV8" s="133"/>
      <c r="BW8" s="133"/>
    </row>
    <row r="9" spans="1:75" x14ac:dyDescent="0.35">
      <c r="A9" s="199"/>
      <c r="B9" s="327" t="s">
        <v>70</v>
      </c>
      <c r="C9" s="327"/>
      <c r="D9" s="133"/>
      <c r="E9" s="133"/>
      <c r="F9" s="133"/>
      <c r="G9" s="133"/>
      <c r="H9" s="133"/>
      <c r="I9" s="137"/>
      <c r="J9" s="132"/>
      <c r="K9" s="200" t="s">
        <v>43</v>
      </c>
      <c r="L9" s="201">
        <f>SIMULACIÓN!C25</f>
        <v>100000</v>
      </c>
      <c r="M9" s="147"/>
      <c r="N9" s="147"/>
      <c r="Q9" s="329" t="s">
        <v>71</v>
      </c>
      <c r="R9" s="330"/>
      <c r="S9" s="202">
        <f ca="1">SUM(S3:S7)</f>
        <v>15770400.785999998</v>
      </c>
      <c r="T9" s="137"/>
      <c r="U9" s="133"/>
      <c r="V9" s="133"/>
      <c r="W9" s="133"/>
      <c r="X9" s="133"/>
      <c r="Z9" s="203">
        <f>D12</f>
        <v>0</v>
      </c>
      <c r="AA9" s="203" t="str">
        <f>SIMULACIÓN!D4</f>
        <v>1D+1B</v>
      </c>
      <c r="AB9" s="203" t="str">
        <f>SIMULACIÓN!E4</f>
        <v>Sur</v>
      </c>
      <c r="AC9" s="203">
        <f>SIMULACIÓN!F4</f>
        <v>0</v>
      </c>
      <c r="AD9" s="203">
        <f>SIMULACIÓN!G4</f>
        <v>36.989999999999995</v>
      </c>
      <c r="AE9" s="133"/>
      <c r="AF9" s="133"/>
      <c r="AG9" s="133"/>
      <c r="AH9" s="133"/>
      <c r="AI9" s="133"/>
      <c r="AJ9" s="133"/>
      <c r="AK9" s="133"/>
      <c r="AL9" s="133"/>
      <c r="AM9" s="133"/>
      <c r="AN9" s="133"/>
      <c r="AO9" s="133"/>
      <c r="AP9" s="133"/>
      <c r="AQ9" s="133"/>
      <c r="AR9" s="133"/>
      <c r="AS9" s="133"/>
      <c r="AT9" s="133"/>
      <c r="AU9" s="204"/>
      <c r="AV9" s="133"/>
      <c r="AW9" s="133"/>
      <c r="AX9" s="133"/>
      <c r="AY9" s="133"/>
      <c r="AZ9" s="133"/>
      <c r="BA9" s="133"/>
      <c r="BB9" s="197"/>
      <c r="BC9" s="197"/>
      <c r="BD9" s="176"/>
      <c r="BE9" s="176"/>
      <c r="BG9" s="161"/>
      <c r="BH9" s="162"/>
      <c r="BI9" s="155"/>
      <c r="BJ9" s="155"/>
      <c r="BK9" s="163"/>
      <c r="BL9" s="133"/>
      <c r="BT9" s="133"/>
      <c r="BU9" s="133"/>
      <c r="BV9" s="133"/>
      <c r="BW9" s="133"/>
    </row>
    <row r="10" spans="1:75" ht="15.75" customHeight="1" x14ac:dyDescent="0.35">
      <c r="A10" s="131"/>
      <c r="B10" s="145"/>
      <c r="C10" s="185"/>
      <c r="D10" s="133"/>
      <c r="E10" s="133"/>
      <c r="F10" s="133"/>
      <c r="G10" s="133"/>
      <c r="H10" s="133"/>
      <c r="I10" s="137"/>
      <c r="J10" s="132"/>
      <c r="K10" s="205" t="s">
        <v>72</v>
      </c>
      <c r="L10" s="206">
        <f>D17</f>
        <v>0</v>
      </c>
      <c r="M10" s="133"/>
      <c r="N10" s="133"/>
      <c r="O10" s="133"/>
      <c r="P10" s="133"/>
      <c r="Q10" s="133"/>
      <c r="R10" s="207"/>
      <c r="S10" s="133"/>
      <c r="T10" s="208"/>
      <c r="U10" s="170"/>
      <c r="V10" s="133"/>
      <c r="W10" s="133"/>
      <c r="X10" s="133"/>
      <c r="Z10" s="203"/>
      <c r="AA10" s="203"/>
      <c r="AB10" s="203"/>
      <c r="AC10" s="203"/>
      <c r="AD10" s="203"/>
      <c r="AE10" s="133"/>
      <c r="AF10" s="133"/>
      <c r="AG10" s="133"/>
      <c r="AH10" s="133"/>
      <c r="AI10" s="133"/>
      <c r="AJ10" s="133"/>
      <c r="AK10" s="133"/>
      <c r="AL10" s="133"/>
      <c r="AM10" s="209"/>
      <c r="AN10" s="209"/>
      <c r="AO10" s="209"/>
      <c r="AP10" s="209"/>
      <c r="AQ10" s="209"/>
      <c r="AR10" s="209"/>
      <c r="AS10" s="209"/>
      <c r="AT10" s="209"/>
      <c r="AU10" s="209"/>
      <c r="AV10" s="210"/>
      <c r="AW10" s="209"/>
      <c r="AX10" s="209"/>
      <c r="AY10" s="209"/>
      <c r="AZ10" s="209"/>
      <c r="BA10" s="209"/>
      <c r="BB10" s="197"/>
      <c r="BC10" s="197"/>
      <c r="BD10" s="176"/>
      <c r="BE10" s="176"/>
      <c r="BF10" s="176"/>
      <c r="BG10" s="176"/>
      <c r="BH10" s="176"/>
      <c r="BI10" s="155"/>
      <c r="BJ10" s="155"/>
      <c r="BK10" s="155"/>
      <c r="BT10" s="133"/>
      <c r="BU10" s="133"/>
      <c r="BV10" s="133"/>
      <c r="BW10" s="133"/>
    </row>
    <row r="11" spans="1:75" x14ac:dyDescent="0.35">
      <c r="A11" s="131"/>
      <c r="B11" s="169"/>
      <c r="C11" s="170"/>
      <c r="D11" s="133"/>
      <c r="E11" s="211"/>
      <c r="F11" s="133"/>
      <c r="G11" s="133"/>
      <c r="H11" s="133"/>
      <c r="I11" s="137"/>
      <c r="J11" s="132"/>
      <c r="K11" s="200" t="s">
        <v>73</v>
      </c>
      <c r="L11" s="201">
        <f ca="1">IF((S9-L9-L10)&gt;0,(S9-L9-L10),0)</f>
        <v>15670400.785999998</v>
      </c>
      <c r="M11" s="133"/>
      <c r="N11" s="212"/>
      <c r="O11" s="133"/>
      <c r="P11" s="133"/>
      <c r="Q11" s="329" t="s">
        <v>74</v>
      </c>
      <c r="R11" s="330"/>
      <c r="S11" s="202">
        <f ca="1">SUM(O3:O7)*VLOOKUP(TODAY(),'UF HOY'!$A$2:$B$36,2,0)</f>
        <v>157704007.86000001</v>
      </c>
      <c r="T11" s="137"/>
      <c r="U11" s="213"/>
      <c r="V11" s="133"/>
      <c r="W11" s="133"/>
      <c r="X11" s="133"/>
      <c r="Z11" s="203"/>
      <c r="AA11" s="203"/>
      <c r="AB11" s="203"/>
      <c r="AC11" s="203"/>
      <c r="AD11" s="203"/>
      <c r="AE11" s="133"/>
      <c r="AF11" s="135"/>
      <c r="AG11" s="214"/>
      <c r="AH11" s="133"/>
      <c r="AI11" s="133"/>
      <c r="AJ11" s="133"/>
      <c r="AK11" s="133"/>
      <c r="AL11" s="133"/>
      <c r="AM11" s="133"/>
      <c r="AN11" s="133"/>
      <c r="AO11" s="133"/>
      <c r="AP11" s="133"/>
      <c r="AQ11" s="133"/>
      <c r="AR11" s="133"/>
      <c r="AS11" s="133"/>
      <c r="AT11" s="133"/>
      <c r="AU11" s="133"/>
      <c r="AV11" s="163"/>
      <c r="AW11" s="133"/>
      <c r="AX11" s="133"/>
      <c r="AY11" s="133"/>
      <c r="AZ11" s="133"/>
      <c r="BA11" s="133"/>
      <c r="BD11" s="345" t="str">
        <f>SIMULACIÓN!B29</f>
        <v>Opción 1: 36 Cuotas (Sólo TOKU)</v>
      </c>
      <c r="BE11" s="345"/>
      <c r="BF11" s="345"/>
      <c r="BG11" s="176"/>
      <c r="BH11" s="345" t="str">
        <f>SIMULACIÓN!B34</f>
        <v>Opción 2: 72 Cuotas (TOKU + TC)</v>
      </c>
      <c r="BI11" s="345"/>
      <c r="BJ11" s="345"/>
      <c r="BK11" s="215"/>
      <c r="BT11" s="133"/>
      <c r="BU11" s="133"/>
      <c r="BV11" s="133"/>
      <c r="BW11" s="133"/>
    </row>
    <row r="12" spans="1:75" ht="15.75" customHeight="1" x14ac:dyDescent="0.35">
      <c r="A12" s="131"/>
      <c r="B12" s="315" t="s">
        <v>75</v>
      </c>
      <c r="C12" s="316"/>
      <c r="D12" s="216"/>
      <c r="E12" s="217"/>
      <c r="F12" s="217"/>
      <c r="G12" s="218"/>
      <c r="H12" s="218"/>
      <c r="I12" s="219"/>
      <c r="J12" s="132"/>
      <c r="K12" s="200"/>
      <c r="L12" s="201"/>
      <c r="M12" s="133"/>
      <c r="N12" s="133"/>
      <c r="O12" s="133"/>
      <c r="P12" s="133"/>
      <c r="Q12" s="133"/>
      <c r="R12" s="133"/>
      <c r="S12" s="133"/>
      <c r="T12" s="137"/>
      <c r="U12" s="133"/>
      <c r="V12" s="133"/>
      <c r="W12" s="133"/>
      <c r="X12" s="133"/>
      <c r="Z12" s="203"/>
      <c r="AA12" s="203"/>
      <c r="AB12" s="203"/>
      <c r="AC12" s="203"/>
      <c r="AD12" s="203"/>
      <c r="AE12" s="133"/>
      <c r="AF12" s="133"/>
      <c r="AG12" s="133"/>
      <c r="AH12" s="133"/>
      <c r="AI12" s="133"/>
      <c r="AJ12" s="133"/>
      <c r="AK12" s="133"/>
      <c r="AL12" s="133"/>
      <c r="AM12" s="133"/>
      <c r="AN12" s="142"/>
      <c r="AO12" s="344" t="s">
        <v>56</v>
      </c>
      <c r="AP12" s="343"/>
      <c r="AQ12" s="343"/>
      <c r="AR12" s="309"/>
      <c r="AS12" s="135"/>
      <c r="AT12" s="135"/>
      <c r="AU12" s="135"/>
      <c r="AV12" s="313"/>
      <c r="AW12" s="313"/>
      <c r="AX12" s="314"/>
      <c r="AY12" s="314"/>
      <c r="BA12" s="133"/>
      <c r="BD12" s="220" t="s">
        <v>76</v>
      </c>
      <c r="BE12" s="220" t="s">
        <v>77</v>
      </c>
      <c r="BF12" s="220" t="s">
        <v>78</v>
      </c>
      <c r="BG12" s="221"/>
      <c r="BH12" s="220" t="s">
        <v>76</v>
      </c>
      <c r="BI12" s="220" t="s">
        <v>77</v>
      </c>
      <c r="BJ12" s="220" t="s">
        <v>78</v>
      </c>
      <c r="BK12" s="215"/>
      <c r="BT12" s="133"/>
      <c r="BU12" s="133"/>
      <c r="BV12" s="133"/>
      <c r="BW12" s="133"/>
    </row>
    <row r="13" spans="1:75" x14ac:dyDescent="0.35">
      <c r="A13" s="131"/>
      <c r="B13" s="169"/>
      <c r="C13" s="170"/>
      <c r="D13" s="222"/>
      <c r="E13" s="218"/>
      <c r="F13" s="218"/>
      <c r="G13" s="217"/>
      <c r="H13" s="217"/>
      <c r="I13" s="137"/>
      <c r="J13" s="132"/>
      <c r="K13" s="318" t="str">
        <f>SIMULACIÓN!B29</f>
        <v>Opción 1: 36 Cuotas (Sólo TOKU)</v>
      </c>
      <c r="L13" s="319"/>
      <c r="M13" s="317" t="str">
        <f>SIMULACIÓN!B34</f>
        <v>Opción 2: 72 Cuotas (TOKU + TC)</v>
      </c>
      <c r="N13" s="317"/>
      <c r="O13" s="223" t="s">
        <v>311</v>
      </c>
      <c r="R13" s="224" t="s">
        <v>135</v>
      </c>
      <c r="S13" s="225">
        <v>0</v>
      </c>
      <c r="T13" s="137"/>
      <c r="U13" s="133"/>
      <c r="V13" s="133"/>
      <c r="W13" s="133"/>
      <c r="X13" s="133"/>
      <c r="Z13" s="203"/>
      <c r="AA13" s="203"/>
      <c r="AB13" s="203"/>
      <c r="AC13" s="203"/>
      <c r="AD13" s="203"/>
      <c r="AE13" s="309"/>
      <c r="AF13" s="310"/>
      <c r="AG13" s="309"/>
      <c r="AH13" s="309"/>
      <c r="AI13" s="309"/>
      <c r="AJ13" s="309"/>
      <c r="AK13" s="309"/>
      <c r="AL13" s="133"/>
      <c r="AM13" s="133"/>
      <c r="AN13" s="142" t="s">
        <v>79</v>
      </c>
      <c r="AO13" s="344"/>
      <c r="AP13" s="343"/>
      <c r="AQ13" s="343"/>
      <c r="AR13" s="309"/>
      <c r="AS13" s="135"/>
      <c r="AT13" s="135"/>
      <c r="AU13" s="135"/>
      <c r="AV13" s="313"/>
      <c r="AW13" s="313"/>
      <c r="AX13" s="314"/>
      <c r="AY13" s="314"/>
      <c r="BA13" s="133"/>
      <c r="BD13" s="226" t="str">
        <f>SIMULACIÓN!B31</f>
        <v>36 Cuotas</v>
      </c>
      <c r="BE13" s="227">
        <f ca="1">SIMULACIÓN!C31</f>
        <v>435288.91072222218</v>
      </c>
      <c r="BF13" s="228">
        <f ca="1">SIMULACIÓN!D31</f>
        <v>15670400.785999998</v>
      </c>
      <c r="BG13" s="176"/>
      <c r="BH13" s="226" t="str">
        <f>SIMULACIÓN!B36</f>
        <v>36 Cuotas</v>
      </c>
      <c r="BI13" s="229">
        <f ca="1">SIMULACIÓN!C36</f>
        <v>303868.90417222219</v>
      </c>
      <c r="BJ13" s="229">
        <f ca="1">SIMULACIÓN!D36</f>
        <v>10939280.550199999</v>
      </c>
      <c r="BK13" s="155"/>
      <c r="BT13" s="133"/>
      <c r="BU13" s="133"/>
      <c r="BV13" s="133"/>
      <c r="BW13" s="133"/>
    </row>
    <row r="14" spans="1:75" x14ac:dyDescent="0.35">
      <c r="A14" s="199"/>
      <c r="B14" s="230"/>
      <c r="C14" s="230"/>
      <c r="D14" s="231"/>
      <c r="E14" s="222"/>
      <c r="F14" s="218"/>
      <c r="G14" s="217"/>
      <c r="H14" s="217"/>
      <c r="I14" s="219"/>
      <c r="J14" s="132"/>
      <c r="K14" s="232" t="str">
        <f>SIMULACIÓN!B31</f>
        <v>36 Cuotas</v>
      </c>
      <c r="L14" s="233">
        <f ca="1">SIMULACIÓN!C31</f>
        <v>435288.91072222218</v>
      </c>
      <c r="M14" s="234" t="str">
        <f>SIMULACIÓN!B36</f>
        <v>36 Cuotas</v>
      </c>
      <c r="N14" s="235">
        <f ca="1">IF($F$22="Bajar %","-",SIMULACIÓN!C36)</f>
        <v>303868.90417222219</v>
      </c>
      <c r="O14" s="235">
        <f ca="1">IF($F$22="Bajar %","-",SIMULACIÓN!D36)</f>
        <v>10939280.550199999</v>
      </c>
      <c r="T14" s="137"/>
      <c r="U14" s="133"/>
      <c r="V14" s="133"/>
      <c r="W14" s="133"/>
      <c r="X14" s="133"/>
      <c r="Z14" s="236"/>
      <c r="AA14" s="236"/>
      <c r="AB14" s="236"/>
      <c r="AC14" s="236"/>
      <c r="AD14" s="236"/>
      <c r="AE14" s="309"/>
      <c r="AF14" s="310"/>
      <c r="AG14" s="309"/>
      <c r="AH14" s="309"/>
      <c r="AI14" s="309"/>
      <c r="AJ14" s="309"/>
      <c r="AK14" s="309"/>
      <c r="AL14" s="133"/>
      <c r="AM14" s="133"/>
      <c r="AO14" s="156"/>
      <c r="AP14" s="157"/>
      <c r="AQ14" s="157"/>
      <c r="AR14" s="158"/>
      <c r="AS14" s="158"/>
      <c r="AT14" s="158"/>
      <c r="AU14" s="158"/>
      <c r="AV14" s="159">
        <f>IF($AA$3="",4.5%,3%)</f>
        <v>0.03</v>
      </c>
      <c r="AW14" s="160">
        <f ca="1">((AH19*PMT(AV14,D20,-AO19)*VLOOKUP(TODAY(),'UF HOY'!$A$2:$B$36,2,0))/12)+$AD$36</f>
        <v>39734</v>
      </c>
      <c r="AX14" s="160">
        <f>SIMULACIÓN!U5</f>
        <v>0</v>
      </c>
      <c r="AY14" s="160">
        <f ca="1">AX14-AW14</f>
        <v>-39734</v>
      </c>
      <c r="AZ14" s="133"/>
      <c r="BA14" s="133"/>
      <c r="BD14" s="237"/>
      <c r="BE14" s="176"/>
      <c r="BF14" s="237"/>
      <c r="BG14" s="176"/>
      <c r="BH14" s="226" t="str">
        <f>SIMULACIÓN!B37</f>
        <v>36 Cuotas TC</v>
      </c>
      <c r="BI14" s="229">
        <f ca="1">SIMULACIÓN!C37</f>
        <v>131420.00654999999</v>
      </c>
      <c r="BJ14" s="229">
        <f ca="1">SIMULACIÓN!D37</f>
        <v>4731120.2357999999</v>
      </c>
      <c r="BK14" s="155"/>
      <c r="BM14" s="133"/>
      <c r="BN14" s="133"/>
      <c r="BO14" s="133"/>
      <c r="BP14" s="133"/>
      <c r="BQ14" s="133"/>
      <c r="BR14" s="133"/>
      <c r="BS14" s="133"/>
      <c r="BT14" s="133"/>
      <c r="BU14" s="133"/>
      <c r="BV14" s="133"/>
      <c r="BW14" s="133"/>
    </row>
    <row r="15" spans="1:75" x14ac:dyDescent="0.35">
      <c r="A15" s="131"/>
      <c r="B15" s="169"/>
      <c r="C15" s="170"/>
      <c r="D15" s="231"/>
      <c r="E15" s="231"/>
      <c r="F15" s="222"/>
      <c r="G15" s="217"/>
      <c r="H15" s="217"/>
      <c r="I15" s="137"/>
      <c r="J15" s="132"/>
      <c r="K15" s="146"/>
      <c r="L15" s="147"/>
      <c r="M15" s="234" t="str">
        <f>SIMULACIÓN!B37</f>
        <v>36 Cuotas TC</v>
      </c>
      <c r="N15" s="235">
        <f ca="1">IF($F$22="Bajar %","-",SIMULACIÓN!C37)</f>
        <v>131420.00654999999</v>
      </c>
      <c r="O15" s="235">
        <f ca="1">IF($F$22="Bajar %","-",SIMULACIÓN!D37)</f>
        <v>4731120.2357999999</v>
      </c>
      <c r="R15" s="238" t="s">
        <v>136</v>
      </c>
      <c r="S15" s="239">
        <f ca="1">S11+S11*S13</f>
        <v>157704007.86000001</v>
      </c>
      <c r="T15" s="137"/>
      <c r="U15" s="133"/>
      <c r="V15" s="133"/>
      <c r="W15" s="133"/>
      <c r="X15" s="133"/>
      <c r="Z15" s="240"/>
      <c r="AA15" s="240"/>
      <c r="AB15" s="240"/>
      <c r="AC15" s="240"/>
      <c r="AD15" s="240"/>
      <c r="AL15" s="133"/>
      <c r="AM15" s="133"/>
      <c r="AN15" s="142"/>
      <c r="AO15" s="158"/>
      <c r="AP15" s="158"/>
      <c r="AQ15" s="158"/>
      <c r="AR15" s="158"/>
      <c r="AS15" s="158"/>
      <c r="AT15" s="158"/>
      <c r="AU15" s="158"/>
      <c r="AV15" s="174">
        <f>$H$20</f>
        <v>0.04</v>
      </c>
      <c r="AW15" s="175">
        <f ca="1">((AH19*PMT(AV15,D20,-AO19)*VLOOKUP(TODAY(),'UF HOY'!$A$2:$B$36,2,0))/12)+$AD$36</f>
        <v>39734</v>
      </c>
      <c r="AX15" s="175">
        <f>SIMULACIÓN!U5</f>
        <v>0</v>
      </c>
      <c r="AY15" s="175">
        <f t="shared" ref="AY15:AY16" ca="1" si="1">AX15-AW15</f>
        <v>-39734</v>
      </c>
      <c r="AZ15" s="133"/>
      <c r="BA15" s="133"/>
      <c r="BD15" s="176"/>
      <c r="BE15" s="167"/>
      <c r="BF15" s="155"/>
      <c r="BG15" s="176"/>
      <c r="BJ15" s="228">
        <f ca="1">BJ13+BJ14</f>
        <v>15670400.785999998</v>
      </c>
      <c r="BK15" s="155"/>
      <c r="BM15" s="133"/>
      <c r="BN15" s="133"/>
      <c r="BO15" s="133"/>
      <c r="BP15" s="133"/>
      <c r="BQ15" s="133"/>
      <c r="BR15" s="133"/>
      <c r="BS15" s="133"/>
      <c r="BT15" s="133"/>
      <c r="BU15" s="133"/>
      <c r="BV15" s="133"/>
      <c r="BW15" s="133"/>
    </row>
    <row r="16" spans="1:75" x14ac:dyDescent="0.35">
      <c r="A16" s="131"/>
      <c r="B16" s="352"/>
      <c r="C16" s="329"/>
      <c r="D16" s="353"/>
      <c r="E16" s="353"/>
      <c r="F16" s="133"/>
      <c r="G16" s="241"/>
      <c r="H16" s="217"/>
      <c r="I16" s="137"/>
      <c r="J16" s="132"/>
      <c r="K16" s="146"/>
      <c r="L16" s="147"/>
      <c r="M16" s="147"/>
      <c r="N16" s="147"/>
      <c r="O16" s="242"/>
      <c r="R16" s="238" t="s">
        <v>137</v>
      </c>
      <c r="S16" s="239">
        <f ca="1">S15+S15*$S$13</f>
        <v>157704007.86000001</v>
      </c>
      <c r="T16" s="137"/>
      <c r="U16" s="133"/>
      <c r="V16" s="133"/>
      <c r="W16" s="133"/>
      <c r="X16" s="133"/>
      <c r="Z16" s="311"/>
      <c r="AA16" s="311"/>
      <c r="AB16" s="311"/>
      <c r="AC16" s="311"/>
      <c r="AD16" s="311"/>
      <c r="AE16" s="311"/>
      <c r="AF16" s="320"/>
      <c r="AG16" s="311"/>
      <c r="AH16" s="311"/>
      <c r="AI16" s="311"/>
      <c r="AJ16" s="311"/>
      <c r="AK16" s="311"/>
      <c r="AL16" s="133"/>
      <c r="AN16" s="179"/>
      <c r="AV16" s="180">
        <f>IF($AA$3="",6.5%,5%)</f>
        <v>0.05</v>
      </c>
      <c r="AW16" s="160">
        <f ca="1">((AH19*PMT(AV16,D20,-AO19)*VLOOKUP(TODAY(),'UF HOY'!$A$2:$B$36,2,0))/12)+$AD$36</f>
        <v>39734</v>
      </c>
      <c r="AX16" s="160">
        <f>SIMULACIÓN!U5</f>
        <v>0</v>
      </c>
      <c r="AY16" s="160">
        <f t="shared" ca="1" si="1"/>
        <v>-39734</v>
      </c>
      <c r="AZ16" s="133"/>
      <c r="BA16" s="133"/>
      <c r="BC16" s="243"/>
      <c r="BD16" s="244"/>
      <c r="BE16" s="163"/>
      <c r="BF16" s="163"/>
      <c r="BG16" s="244"/>
      <c r="BH16" s="244"/>
      <c r="BI16" s="244"/>
      <c r="BJ16" s="244"/>
      <c r="BK16" s="133"/>
      <c r="BM16" s="133"/>
      <c r="BN16" s="133"/>
      <c r="BO16" s="133"/>
      <c r="BP16" s="133"/>
      <c r="BQ16" s="133"/>
      <c r="BR16" s="133"/>
      <c r="BS16" s="133"/>
      <c r="BT16" s="133"/>
      <c r="BU16" s="133"/>
      <c r="BV16" s="133"/>
      <c r="BW16" s="133"/>
    </row>
    <row r="17" spans="1:75" x14ac:dyDescent="0.35">
      <c r="A17" s="131"/>
      <c r="B17" s="352" t="s">
        <v>264</v>
      </c>
      <c r="C17" s="361"/>
      <c r="D17" s="357">
        <v>0</v>
      </c>
      <c r="E17" s="358"/>
      <c r="F17" s="133"/>
      <c r="G17" s="133"/>
      <c r="H17" s="245"/>
      <c r="I17" s="137"/>
      <c r="J17" s="132"/>
      <c r="K17" s="200" t="s">
        <v>57</v>
      </c>
      <c r="L17" s="139" t="s">
        <v>33</v>
      </c>
      <c r="M17" s="139" t="s">
        <v>34</v>
      </c>
      <c r="N17" s="139" t="s">
        <v>35</v>
      </c>
      <c r="O17" s="147"/>
      <c r="R17" s="238" t="s">
        <v>138</v>
      </c>
      <c r="S17" s="239">
        <f ca="1">S16+S16*$S$13</f>
        <v>157704007.86000001</v>
      </c>
      <c r="T17" s="137"/>
      <c r="U17" s="133"/>
      <c r="V17" s="133"/>
      <c r="W17" s="133"/>
      <c r="X17" s="133"/>
      <c r="Z17" s="311"/>
      <c r="AA17" s="311"/>
      <c r="AB17" s="311"/>
      <c r="AC17" s="311"/>
      <c r="AD17" s="311"/>
      <c r="AE17" s="311"/>
      <c r="AF17" s="320"/>
      <c r="AG17" s="311"/>
      <c r="AH17" s="311"/>
      <c r="AI17" s="311"/>
      <c r="AJ17" s="311"/>
      <c r="AK17" s="311"/>
      <c r="AL17" s="133"/>
      <c r="AM17" s="339" t="str">
        <f>"Simulación departamento: "&amp;AO14</f>
        <v xml:space="preserve">Simulación departamento: </v>
      </c>
      <c r="AN17" s="339"/>
      <c r="AO17" s="339"/>
      <c r="AP17" s="339"/>
      <c r="AQ17" s="339" t="str">
        <f>"Tipología: "&amp;AA10</f>
        <v xml:space="preserve">Tipología: </v>
      </c>
      <c r="AR17" s="339"/>
      <c r="AS17" s="339"/>
      <c r="AT17" s="339"/>
      <c r="AU17" s="187"/>
      <c r="AV17" s="246"/>
      <c r="AW17" s="247"/>
      <c r="AX17" s="247"/>
      <c r="AY17" s="247"/>
      <c r="AZ17" s="133"/>
      <c r="BA17" s="133"/>
      <c r="BB17" s="133"/>
      <c r="BC17" s="133"/>
      <c r="BD17" s="243"/>
      <c r="BE17" s="133"/>
      <c r="BF17" s="133"/>
      <c r="BG17" s="133"/>
      <c r="BH17" s="141" t="s">
        <v>80</v>
      </c>
      <c r="BI17" s="248"/>
      <c r="BM17" s="133"/>
      <c r="BN17" s="133"/>
      <c r="BO17" s="133"/>
      <c r="BP17" s="133"/>
      <c r="BQ17" s="133"/>
      <c r="BR17" s="133"/>
      <c r="BS17" s="133"/>
      <c r="BT17" s="133"/>
      <c r="BV17" s="133"/>
      <c r="BW17" s="133"/>
    </row>
    <row r="18" spans="1:75" x14ac:dyDescent="0.35">
      <c r="A18" s="131"/>
      <c r="B18" s="352"/>
      <c r="C18" s="361"/>
      <c r="D18" s="359"/>
      <c r="E18" s="360"/>
      <c r="F18" s="133"/>
      <c r="G18" s="133"/>
      <c r="H18" s="133"/>
      <c r="I18" s="137"/>
      <c r="J18" s="132"/>
      <c r="K18" s="146">
        <f>D12</f>
        <v>0</v>
      </c>
      <c r="L18" s="150">
        <f>SIMULACIÓN!U4</f>
        <v>550000</v>
      </c>
      <c r="M18" s="150">
        <f ca="1">IF(SIMULACIÓN!O4&gt;0,(SIMULACIÓN!O4*PMT($H$20,$D$20,-O3)*VLOOKUP(TODAY(),'UF HOY'!$A$2:$B$36,2,0)/12)+$AD$36," ")</f>
        <v>647736.56055463396</v>
      </c>
      <c r="N18" s="150">
        <f ca="1">L18-M18</f>
        <v>-97736.560554633965</v>
      </c>
      <c r="O18" s="147"/>
      <c r="R18" s="238" t="s">
        <v>139</v>
      </c>
      <c r="S18" s="239">
        <f ca="1">S17+S17*$S$13</f>
        <v>157704007.86000001</v>
      </c>
      <c r="T18" s="137"/>
      <c r="U18" s="133"/>
      <c r="V18" s="133"/>
      <c r="W18" s="133"/>
      <c r="X18" s="133"/>
      <c r="Z18" s="203">
        <f>D12</f>
        <v>0</v>
      </c>
      <c r="AA18" s="249">
        <f>SIMULACIÓN!H4</f>
        <v>4050</v>
      </c>
      <c r="AB18" s="250">
        <f>SIMULACIÓN!I4</f>
        <v>0.02</v>
      </c>
      <c r="AC18" s="249">
        <f>SIMULACIÓN!J4</f>
        <v>0</v>
      </c>
      <c r="AD18" s="249">
        <f>SIMULACIÓN!K4</f>
        <v>0</v>
      </c>
      <c r="AE18" s="249">
        <f>SIMULACIÓN!L4</f>
        <v>3572.1</v>
      </c>
      <c r="AF18" s="249">
        <f>SIMULACIÓN!M4</f>
        <v>3969</v>
      </c>
      <c r="AG18" s="249">
        <f>SIMULACIÓN!N4</f>
        <v>3175.2000000000003</v>
      </c>
      <c r="AH18" s="251">
        <f>SIMULACIÓN!O4</f>
        <v>0.8</v>
      </c>
      <c r="AI18" s="252">
        <f>SIMULACIÓN!P4</f>
        <v>0.1</v>
      </c>
      <c r="AJ18" s="252">
        <f>SIMULACIÓN!Q4</f>
        <v>9.9999999999999978E-2</v>
      </c>
      <c r="AK18" s="253">
        <f ca="1">SIMULACIÓN!R4</f>
        <v>15770400.785999998</v>
      </c>
      <c r="AL18" s="231"/>
      <c r="AM18" s="188"/>
      <c r="AN18" s="189"/>
      <c r="AP18" s="189"/>
      <c r="AQ18" s="189"/>
      <c r="AR18" s="189"/>
      <c r="AS18" s="189"/>
      <c r="AT18" s="189"/>
      <c r="AV18" s="254"/>
      <c r="AW18" s="254"/>
      <c r="AX18" s="254"/>
      <c r="AY18" s="254"/>
      <c r="AZ18" s="133"/>
      <c r="BA18" s="133"/>
      <c r="BB18" s="133"/>
      <c r="BC18" s="133"/>
      <c r="BD18" s="243"/>
      <c r="BE18" s="133"/>
      <c r="BF18" s="133"/>
      <c r="BG18" s="133"/>
      <c r="BH18" s="141" t="str">
        <f ca="1" xml:space="preserve"> CONCATENATE("* Monto en pesos referenciales considerando UF de hoy ($ ",  TEXT(AD34,"##.###"), ").")</f>
        <v>* Monto en pesos referenciales considerando UF de hoy ($ 39.734).</v>
      </c>
      <c r="BM18" s="133"/>
      <c r="BN18" s="133"/>
      <c r="BO18" s="133"/>
      <c r="BP18" s="133"/>
      <c r="BQ18" s="133"/>
      <c r="BR18" s="133"/>
      <c r="BS18" s="133"/>
      <c r="BT18" s="133"/>
    </row>
    <row r="19" spans="1:75" x14ac:dyDescent="0.35">
      <c r="A19" s="131"/>
      <c r="B19" s="255"/>
      <c r="C19" s="133"/>
      <c r="D19" s="133"/>
      <c r="E19" s="133"/>
      <c r="F19" s="133"/>
      <c r="G19" s="133"/>
      <c r="H19" s="133"/>
      <c r="I19" s="137"/>
      <c r="J19" s="132"/>
      <c r="K19" s="146"/>
      <c r="L19" s="150"/>
      <c r="M19" s="150"/>
      <c r="N19" s="150"/>
      <c r="O19" s="147"/>
      <c r="R19" s="238" t="s">
        <v>140</v>
      </c>
      <c r="S19" s="239">
        <f ca="1">S18+S18*$S$13</f>
        <v>157704007.86000001</v>
      </c>
      <c r="T19" s="137"/>
      <c r="U19" s="133"/>
      <c r="V19" s="133"/>
      <c r="W19" s="133"/>
      <c r="X19" s="133"/>
      <c r="Z19" s="203"/>
      <c r="AA19" s="249"/>
      <c r="AB19" s="250"/>
      <c r="AC19" s="249"/>
      <c r="AD19" s="249"/>
      <c r="AE19" s="249"/>
      <c r="AF19" s="249"/>
      <c r="AG19" s="249"/>
      <c r="AH19" s="251"/>
      <c r="AI19" s="252"/>
      <c r="AJ19" s="252"/>
      <c r="AK19" s="253"/>
      <c r="AL19" s="133"/>
      <c r="AM19" s="325" t="s">
        <v>67</v>
      </c>
      <c r="AN19" s="325"/>
      <c r="AO19" s="194">
        <f>AF19</f>
        <v>0</v>
      </c>
      <c r="AP19" s="325" t="s">
        <v>68</v>
      </c>
      <c r="AQ19" s="325"/>
      <c r="AR19" s="194">
        <f>AG19</f>
        <v>0</v>
      </c>
      <c r="AS19" s="325" t="s">
        <v>69</v>
      </c>
      <c r="AT19" s="325"/>
      <c r="AU19" s="195">
        <f>AH19</f>
        <v>0</v>
      </c>
      <c r="AX19" s="254"/>
      <c r="AY19" s="254"/>
      <c r="AZ19" s="133"/>
      <c r="BA19" s="133"/>
      <c r="BB19" s="133"/>
      <c r="BC19" s="133"/>
      <c r="BD19" s="133"/>
      <c r="BE19" s="133"/>
      <c r="BF19" s="133"/>
      <c r="BG19" s="133"/>
      <c r="BH19" s="141" t="str">
        <f ca="1">"* El cuotón final considera un " &amp;ROUND(BJ14/AF25*100,2) &amp; "% del Precio de Escritura."</f>
        <v>* El cuotón final considera un 3% del Precio de Escritura.</v>
      </c>
      <c r="BI19" s="133"/>
      <c r="BJ19" s="133"/>
      <c r="BK19" s="133"/>
      <c r="BL19" s="133"/>
      <c r="BM19" s="133"/>
      <c r="BN19" s="133"/>
      <c r="BO19" s="133"/>
      <c r="BP19" s="133"/>
      <c r="BQ19" s="133"/>
      <c r="BR19" s="133"/>
      <c r="BS19" s="133"/>
      <c r="BT19" s="133"/>
    </row>
    <row r="20" spans="1:75" ht="15.75" customHeight="1" x14ac:dyDescent="0.35">
      <c r="A20" s="131"/>
      <c r="B20" s="315" t="s">
        <v>81</v>
      </c>
      <c r="C20" s="316"/>
      <c r="D20" s="355">
        <v>30</v>
      </c>
      <c r="E20" s="356"/>
      <c r="F20" s="354" t="s">
        <v>315</v>
      </c>
      <c r="G20" s="316"/>
      <c r="H20" s="303">
        <v>0.04</v>
      </c>
      <c r="I20" s="137"/>
      <c r="J20" s="132"/>
      <c r="K20" s="146"/>
      <c r="L20" s="150"/>
      <c r="M20" s="150"/>
      <c r="N20" s="150"/>
      <c r="O20" s="147"/>
      <c r="R20" s="147"/>
      <c r="S20" s="147"/>
      <c r="T20" s="137"/>
      <c r="U20" s="133"/>
      <c r="V20" s="133"/>
      <c r="W20" s="133"/>
      <c r="X20" s="133"/>
      <c r="Y20" s="133"/>
      <c r="Z20" s="203"/>
      <c r="AA20" s="249"/>
      <c r="AB20" s="250"/>
      <c r="AC20" s="249"/>
      <c r="AD20" s="249"/>
      <c r="AE20" s="249"/>
      <c r="AF20" s="249"/>
      <c r="AG20" s="249"/>
      <c r="AH20" s="251"/>
      <c r="AI20" s="252"/>
      <c r="AJ20" s="252"/>
      <c r="AK20" s="253"/>
      <c r="AL20" s="133"/>
      <c r="AU20" s="256"/>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c r="BS20" s="133"/>
      <c r="BT20" s="133"/>
    </row>
    <row r="21" spans="1:75" x14ac:dyDescent="0.35">
      <c r="A21" s="132"/>
      <c r="B21" s="192"/>
      <c r="C21" s="257"/>
      <c r="D21" s="133"/>
      <c r="E21" s="133"/>
      <c r="F21" s="133"/>
      <c r="G21" s="133"/>
      <c r="H21" s="133"/>
      <c r="I21" s="137"/>
      <c r="J21" s="132"/>
      <c r="K21" s="146"/>
      <c r="L21" s="150"/>
      <c r="M21" s="150"/>
      <c r="N21" s="150"/>
      <c r="O21" s="147"/>
      <c r="P21" s="258" t="s">
        <v>82</v>
      </c>
      <c r="Q21" s="259">
        <f ca="1">SUM(N18:N22)</f>
        <v>-97736.560554633965</v>
      </c>
      <c r="R21" s="260" t="s">
        <v>141</v>
      </c>
      <c r="S21" s="261">
        <f ca="1">IF((S19-S11-S9)&gt;0,(S19-S11-S9),0)</f>
        <v>0</v>
      </c>
      <c r="T21" s="137"/>
      <c r="U21" s="133"/>
      <c r="V21" s="133"/>
      <c r="W21" s="133"/>
      <c r="X21" s="133"/>
      <c r="Y21" s="133"/>
      <c r="Z21" s="203"/>
      <c r="AA21" s="249"/>
      <c r="AB21" s="250"/>
      <c r="AC21" s="249"/>
      <c r="AD21" s="249"/>
      <c r="AE21" s="249"/>
      <c r="AF21" s="249"/>
      <c r="AG21" s="249"/>
      <c r="AH21" s="251"/>
      <c r="AI21" s="252"/>
      <c r="AJ21" s="252"/>
      <c r="AK21" s="253"/>
      <c r="AL21" s="133"/>
      <c r="AM21" s="209"/>
      <c r="AN21" s="209"/>
      <c r="AO21" s="209"/>
      <c r="AP21" s="209"/>
      <c r="AQ21" s="209"/>
      <c r="AR21" s="209"/>
      <c r="AS21" s="209"/>
      <c r="AT21" s="209"/>
      <c r="AU21" s="262"/>
      <c r="AV21" s="209"/>
      <c r="AW21" s="209"/>
      <c r="AX21" s="209"/>
      <c r="AY21" s="209"/>
      <c r="AZ21" s="209"/>
      <c r="BA21" s="209"/>
      <c r="BB21" s="133"/>
      <c r="BC21" s="133"/>
      <c r="BD21" s="133"/>
      <c r="BE21" s="133"/>
      <c r="BF21" s="133"/>
      <c r="BG21" s="133"/>
      <c r="BH21" s="133"/>
      <c r="BI21" s="133"/>
      <c r="BJ21" s="133"/>
      <c r="BK21" s="133"/>
      <c r="BL21" s="133"/>
      <c r="BM21" s="133"/>
      <c r="BN21" s="133"/>
      <c r="BO21" s="133"/>
      <c r="BP21" s="133"/>
      <c r="BQ21" s="133"/>
      <c r="BR21" s="133"/>
      <c r="BS21" s="133"/>
      <c r="BT21" s="133"/>
    </row>
    <row r="22" spans="1:75" ht="15.75" customHeight="1" x14ac:dyDescent="0.35">
      <c r="A22" s="133"/>
      <c r="B22" s="315" t="s">
        <v>307</v>
      </c>
      <c r="C22" s="316"/>
      <c r="D22" s="263">
        <v>0.03</v>
      </c>
      <c r="E22" s="133"/>
      <c r="F22" s="346" t="str">
        <f>IF(OR(AND(AA3="San Francisco",D22&gt;4%),AND(AA3="Mercado Serrano",D22&gt;4%),AND(AA3="Plaza Lira",D22&gt;3%),AND(AA3="Atelier",D22&gt;3%),AND(AA3="Seminario 2",D22&gt;3%)),"Bajar %","Todo está ok")</f>
        <v>Todo está ok</v>
      </c>
      <c r="G22" s="346"/>
      <c r="H22" s="346"/>
      <c r="I22" s="347"/>
      <c r="J22" s="133"/>
      <c r="K22" s="264"/>
      <c r="L22" s="265"/>
      <c r="M22" s="265"/>
      <c r="N22" s="265"/>
      <c r="O22" s="266"/>
      <c r="P22" s="267" t="str">
        <f>"* Tasa Referencial del "&amp;H20*100&amp;"%."</f>
        <v>* Tasa Referencial del 4%.</v>
      </c>
      <c r="Q22" s="268"/>
      <c r="R22" s="266"/>
      <c r="S22" s="266"/>
      <c r="T22" s="269"/>
      <c r="U22" s="133"/>
      <c r="V22" s="133"/>
      <c r="W22" s="133"/>
      <c r="X22" s="133"/>
      <c r="Y22" s="133"/>
      <c r="Z22" s="203"/>
      <c r="AA22" s="249"/>
      <c r="AB22" s="250"/>
      <c r="AC22" s="249"/>
      <c r="AD22" s="249"/>
      <c r="AE22" s="249"/>
      <c r="AF22" s="249"/>
      <c r="AG22" s="249"/>
      <c r="AH22" s="251"/>
      <c r="AI22" s="252"/>
      <c r="AJ22" s="252"/>
      <c r="AK22" s="25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row>
    <row r="23" spans="1:75" ht="15.75" customHeight="1" x14ac:dyDescent="0.35">
      <c r="A23" s="133"/>
      <c r="B23" s="348" t="s">
        <v>348</v>
      </c>
      <c r="C23" s="349"/>
      <c r="D23" s="349"/>
      <c r="E23" s="349"/>
      <c r="F23" s="346"/>
      <c r="G23" s="346"/>
      <c r="H23" s="346"/>
      <c r="I23" s="347"/>
      <c r="J23" s="133"/>
      <c r="K23" s="133"/>
      <c r="L23" s="133"/>
      <c r="M23" s="133"/>
      <c r="N23" s="133"/>
      <c r="O23" s="133"/>
      <c r="P23" s="133"/>
      <c r="Q23" s="133"/>
      <c r="R23" s="133"/>
      <c r="S23" s="133"/>
      <c r="T23" s="133"/>
      <c r="U23" s="133"/>
      <c r="V23" s="133"/>
      <c r="W23" s="133"/>
      <c r="X23" s="133"/>
      <c r="Y23" s="133"/>
      <c r="Z23" s="158"/>
      <c r="AA23" s="158"/>
      <c r="AB23" s="158"/>
      <c r="AC23" s="158"/>
      <c r="AG23" s="270"/>
      <c r="AH23" s="271"/>
      <c r="AI23" s="272"/>
      <c r="AJ23" s="272"/>
      <c r="AL23" s="273"/>
      <c r="AM23" s="133"/>
      <c r="AN23" s="142"/>
      <c r="AO23" s="344" t="s">
        <v>56</v>
      </c>
      <c r="AP23" s="343"/>
      <c r="AQ23" s="343"/>
      <c r="AR23" s="309"/>
      <c r="AS23" s="135"/>
      <c r="AT23" s="135"/>
      <c r="AU23" s="135"/>
      <c r="AV23" s="313"/>
      <c r="AW23" s="313"/>
      <c r="AX23" s="314"/>
      <c r="AY23" s="314"/>
      <c r="BA23" s="133"/>
      <c r="BB23" s="133"/>
      <c r="BC23" s="133"/>
      <c r="BD23" s="133"/>
      <c r="BE23" s="133"/>
      <c r="BF23" s="133"/>
      <c r="BG23" s="133"/>
      <c r="BH23" s="133"/>
      <c r="BI23" s="133"/>
      <c r="BJ23" s="133"/>
      <c r="BK23" s="133"/>
      <c r="BL23" s="133"/>
      <c r="BM23" s="133"/>
      <c r="BN23" s="133"/>
      <c r="BO23" s="133"/>
      <c r="BP23" s="133"/>
      <c r="BQ23" s="133"/>
      <c r="BR23" s="133"/>
      <c r="BS23" s="133"/>
      <c r="BT23" s="133"/>
    </row>
    <row r="24" spans="1:75" ht="21" x14ac:dyDescent="0.35">
      <c r="A24" s="133"/>
      <c r="B24" s="350"/>
      <c r="C24" s="351"/>
      <c r="D24" s="351"/>
      <c r="E24" s="351"/>
      <c r="F24" s="274"/>
      <c r="G24" s="274"/>
      <c r="H24" s="274"/>
      <c r="I24" s="275"/>
      <c r="J24" s="133"/>
      <c r="K24" s="276"/>
      <c r="L24" s="276"/>
      <c r="M24" s="276"/>
      <c r="N24" s="276"/>
      <c r="O24" s="276"/>
      <c r="P24" s="276"/>
      <c r="Q24" s="276"/>
      <c r="R24" s="133"/>
      <c r="S24" s="133"/>
      <c r="T24" s="133"/>
      <c r="U24" s="133"/>
      <c r="V24" s="133"/>
      <c r="W24" s="133"/>
      <c r="X24" s="133"/>
      <c r="Y24" s="133"/>
      <c r="Z24" s="133"/>
      <c r="AA24" s="133"/>
      <c r="AB24" s="133"/>
      <c r="AC24" s="133"/>
      <c r="AI24" s="272"/>
      <c r="AJ24" s="272"/>
      <c r="AL24" s="133"/>
      <c r="AM24" s="133"/>
      <c r="AN24" s="142" t="s">
        <v>83</v>
      </c>
      <c r="AO24" s="344"/>
      <c r="AP24" s="343"/>
      <c r="AQ24" s="343"/>
      <c r="AR24" s="309"/>
      <c r="AS24" s="135"/>
      <c r="AT24" s="135"/>
      <c r="AU24" s="135"/>
      <c r="AV24" s="313"/>
      <c r="AW24" s="313"/>
      <c r="AX24" s="314"/>
      <c r="AY24" s="314"/>
      <c r="BA24" s="133"/>
      <c r="BB24" s="133"/>
      <c r="BC24" s="133"/>
      <c r="BD24" s="133"/>
      <c r="BE24" s="133"/>
      <c r="BF24" s="133"/>
      <c r="BG24" s="133"/>
      <c r="BH24" s="133"/>
      <c r="BI24" s="133"/>
      <c r="BJ24" s="133"/>
      <c r="BK24" s="133"/>
      <c r="BL24" s="133"/>
      <c r="BM24" s="133"/>
      <c r="BN24" s="133"/>
      <c r="BO24" s="133"/>
      <c r="BP24" s="133"/>
      <c r="BQ24" s="133"/>
      <c r="BR24" s="133"/>
      <c r="BS24" s="133"/>
      <c r="BT24" s="133"/>
    </row>
    <row r="25" spans="1:75" x14ac:dyDescent="0.35">
      <c r="A25" s="133"/>
      <c r="B25" s="133"/>
      <c r="C25" s="133"/>
      <c r="D25" s="133"/>
      <c r="E25" s="133"/>
      <c r="F25" s="133"/>
      <c r="G25" s="133"/>
      <c r="H25" s="133"/>
      <c r="I25" s="133"/>
      <c r="J25" s="133"/>
      <c r="K25" s="277"/>
      <c r="L25" s="277"/>
      <c r="M25" s="277"/>
      <c r="N25" s="277"/>
      <c r="O25" s="277"/>
      <c r="P25" s="277"/>
      <c r="Q25" s="277"/>
      <c r="R25" s="133"/>
      <c r="S25" s="133"/>
      <c r="T25" s="133"/>
      <c r="U25" s="133"/>
      <c r="V25" s="133"/>
      <c r="W25" s="133"/>
      <c r="X25" s="133"/>
      <c r="Y25" s="133"/>
      <c r="Z25" s="133"/>
      <c r="AA25" s="133"/>
      <c r="AB25" s="133"/>
      <c r="AC25" s="133"/>
      <c r="AD25" s="362"/>
      <c r="AE25" s="362"/>
      <c r="AF25" s="363">
        <f ca="1">SUM(AF18:AF22)*VLOOKUP(TODAY(),'UF HOY'!$A$2:$B$36,2,0)</f>
        <v>157704007.86000001</v>
      </c>
      <c r="AG25" s="278"/>
      <c r="AI25" s="364"/>
      <c r="AJ25" s="364"/>
      <c r="AK25" s="363">
        <f ca="1">SUM(AK18:AK22)</f>
        <v>15770400.785999998</v>
      </c>
      <c r="AL25" s="133"/>
      <c r="AM25" s="133"/>
      <c r="AO25" s="156"/>
      <c r="AP25" s="157"/>
      <c r="AQ25" s="157"/>
      <c r="AR25" s="158"/>
      <c r="AS25" s="158"/>
      <c r="AT25" s="158"/>
      <c r="AU25" s="158"/>
      <c r="AV25" s="159">
        <f>IF($AA$3="",4.5%,3%)</f>
        <v>0.03</v>
      </c>
      <c r="AW25" s="160">
        <f ca="1">((AH20*PMT(AV25,D20,-AO30)*VLOOKUP(TODAY(),'UF HOY'!$A$2:$B$36,2,0))/12)+$AD$36</f>
        <v>39734</v>
      </c>
      <c r="AX25" s="160">
        <f>SIMULACIÓN!U6</f>
        <v>0</v>
      </c>
      <c r="AY25" s="160">
        <f ca="1">AX25-AW25</f>
        <v>-39734</v>
      </c>
      <c r="AZ25" s="133"/>
      <c r="BA25" s="133"/>
      <c r="BC25" s="133"/>
      <c r="BD25" s="133"/>
      <c r="BE25" s="133"/>
      <c r="BF25" s="133"/>
      <c r="BG25" s="133"/>
      <c r="BH25" s="133"/>
      <c r="BI25" s="133"/>
      <c r="BJ25" s="133"/>
      <c r="BK25" s="133"/>
      <c r="BL25" s="133"/>
      <c r="BM25" s="133"/>
      <c r="BN25" s="133"/>
      <c r="BO25" s="133"/>
      <c r="BP25" s="133"/>
      <c r="BQ25" s="133"/>
      <c r="BR25" s="133"/>
      <c r="BS25" s="133"/>
      <c r="BT25" s="133"/>
    </row>
    <row r="26" spans="1:75" x14ac:dyDescent="0.35">
      <c r="A26" s="133"/>
      <c r="B26" s="133"/>
      <c r="C26" s="133"/>
      <c r="D26" s="133"/>
      <c r="E26" s="133"/>
      <c r="F26" s="133"/>
      <c r="G26" s="133"/>
      <c r="H26" s="133"/>
      <c r="I26" s="133"/>
      <c r="J26" s="133"/>
      <c r="K26" s="279"/>
      <c r="L26" s="280"/>
      <c r="M26" s="133"/>
      <c r="N26" s="281"/>
      <c r="O26" s="281"/>
      <c r="P26" s="282"/>
      <c r="Q26" s="133"/>
      <c r="R26" s="133"/>
      <c r="S26" s="133"/>
      <c r="T26" s="133"/>
      <c r="U26" s="133"/>
      <c r="V26" s="133"/>
      <c r="W26" s="133"/>
      <c r="X26" s="133"/>
      <c r="Y26" s="133"/>
      <c r="Z26" s="133"/>
      <c r="AA26" s="133"/>
      <c r="AB26" s="133"/>
      <c r="AC26" s="133"/>
      <c r="AD26" s="362"/>
      <c r="AE26" s="362"/>
      <c r="AF26" s="363"/>
      <c r="AG26" s="278"/>
      <c r="AI26" s="364"/>
      <c r="AJ26" s="364"/>
      <c r="AK26" s="363"/>
      <c r="AL26" s="133"/>
      <c r="AM26" s="133"/>
      <c r="AN26" s="142"/>
      <c r="AO26" s="158"/>
      <c r="AP26" s="158"/>
      <c r="AQ26" s="158"/>
      <c r="AR26" s="158"/>
      <c r="AS26" s="158"/>
      <c r="AT26" s="158"/>
      <c r="AU26" s="158"/>
      <c r="AV26" s="174">
        <f>$H$20</f>
        <v>0.04</v>
      </c>
      <c r="AW26" s="175">
        <f ca="1">((AH20*PMT(AV26,D20,-AO30)*VLOOKUP(TODAY(),'UF HOY'!$A$2:$B$36,2,0))/12)+$AD$36</f>
        <v>39734</v>
      </c>
      <c r="AX26" s="175">
        <f>SIMULACIÓN!U6</f>
        <v>0</v>
      </c>
      <c r="AY26" s="175">
        <f ca="1">AX26-AW26</f>
        <v>-39734</v>
      </c>
      <c r="AZ26" s="133"/>
      <c r="BA26" s="133"/>
      <c r="BC26" s="133"/>
      <c r="BD26" s="133"/>
      <c r="BE26" s="133"/>
      <c r="BF26" s="133"/>
      <c r="BG26" s="133"/>
      <c r="BH26" s="133"/>
      <c r="BI26" s="133"/>
      <c r="BJ26" s="133"/>
      <c r="BK26" s="133"/>
      <c r="BL26" s="133"/>
      <c r="BM26" s="133"/>
      <c r="BN26" s="133"/>
      <c r="BO26" s="133"/>
      <c r="BP26" s="133"/>
      <c r="BQ26" s="133"/>
      <c r="BR26" s="133"/>
      <c r="BS26" s="133"/>
      <c r="BT26" s="133"/>
    </row>
    <row r="27" spans="1:75" x14ac:dyDescent="0.35">
      <c r="A27" s="133"/>
      <c r="B27" s="133"/>
      <c r="C27" s="133"/>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M27" s="133"/>
      <c r="AN27" s="142"/>
      <c r="AO27" s="133"/>
      <c r="AP27" s="133"/>
      <c r="AQ27" s="133"/>
      <c r="AR27" s="133"/>
      <c r="AS27" s="133"/>
      <c r="AT27" s="133"/>
      <c r="AU27" s="133"/>
      <c r="AV27" s="180">
        <f>IF($AA$3="",6.5%,5%)</f>
        <v>0.05</v>
      </c>
      <c r="AW27" s="160">
        <f ca="1">((AH20*PMT(AV27,D20,-AO30)*VLOOKUP(TODAY(),'UF HOY'!$A$2:$B$36,2,0))/12)+$AD$36</f>
        <v>39734</v>
      </c>
      <c r="AX27" s="160">
        <f>SIMULACIÓN!U6</f>
        <v>0</v>
      </c>
      <c r="AY27" s="160">
        <f ca="1">AX27-AW27</f>
        <v>-39734</v>
      </c>
      <c r="AZ27" s="133"/>
      <c r="BA27" s="133"/>
      <c r="BB27" s="133"/>
      <c r="BC27" s="133"/>
      <c r="BD27" s="133"/>
      <c r="BE27" s="133"/>
      <c r="BF27" s="133"/>
      <c r="BG27" s="133"/>
      <c r="BH27" s="133"/>
      <c r="BI27" s="133"/>
      <c r="BJ27" s="133"/>
      <c r="BK27" s="133"/>
      <c r="BL27" s="133"/>
      <c r="BM27" s="133"/>
      <c r="BN27" s="133"/>
      <c r="BO27" s="133"/>
      <c r="BP27" s="133"/>
      <c r="BQ27" s="133"/>
      <c r="BR27" s="133"/>
      <c r="BS27" s="133"/>
      <c r="BT27" s="133"/>
    </row>
    <row r="28" spans="1:75" x14ac:dyDescent="0.35">
      <c r="A28" s="133"/>
      <c r="B28" s="133"/>
      <c r="C28" s="133"/>
      <c r="D28" s="133"/>
      <c r="E28" s="133"/>
      <c r="F28" s="133"/>
      <c r="G28" s="133"/>
      <c r="H28" s="133"/>
      <c r="I28" s="133"/>
      <c r="J28" s="133"/>
      <c r="K28" s="279"/>
      <c r="L28" s="283"/>
      <c r="M28" s="133"/>
      <c r="N28" s="276"/>
      <c r="O28" s="276"/>
      <c r="P28" s="284"/>
      <c r="Q28" s="133"/>
      <c r="R28" s="133"/>
      <c r="S28" s="133"/>
      <c r="T28" s="133"/>
      <c r="U28" s="133"/>
      <c r="V28" s="133"/>
      <c r="W28" s="133"/>
      <c r="X28" s="133"/>
      <c r="Y28" s="133"/>
      <c r="Z28" s="133"/>
      <c r="AA28" s="133"/>
      <c r="AB28" s="133"/>
      <c r="AC28" s="133"/>
      <c r="AL28" s="133"/>
      <c r="AM28" s="339" t="str">
        <f>"Simulación departamento: "&amp;AO25</f>
        <v xml:space="preserve">Simulación departamento: </v>
      </c>
      <c r="AN28" s="339"/>
      <c r="AO28" s="339"/>
      <c r="AP28" s="339"/>
      <c r="AQ28" s="339" t="str">
        <f>"Tipología: "&amp;AA11</f>
        <v xml:space="preserve">Tipología: </v>
      </c>
      <c r="AR28" s="339"/>
      <c r="AS28" s="339"/>
      <c r="AT28" s="339"/>
      <c r="AV28" s="246"/>
      <c r="AW28" s="240"/>
      <c r="AX28" s="240"/>
      <c r="AZ28" s="133"/>
      <c r="BA28" s="133"/>
      <c r="BB28" s="133"/>
      <c r="BC28" s="133"/>
      <c r="BD28" s="133"/>
      <c r="BE28" s="133"/>
      <c r="BF28" s="133"/>
      <c r="BG28" s="133"/>
      <c r="BH28" s="133"/>
      <c r="BI28" s="133"/>
      <c r="BJ28" s="133"/>
      <c r="BK28" s="133"/>
      <c r="BL28" s="133"/>
      <c r="BM28" s="133"/>
      <c r="BN28" s="133"/>
      <c r="BO28" s="133"/>
      <c r="BP28" s="133"/>
      <c r="BQ28" s="133"/>
      <c r="BR28" s="133"/>
      <c r="BS28" s="133"/>
      <c r="BT28" s="133"/>
    </row>
    <row r="29" spans="1:75" x14ac:dyDescent="0.35">
      <c r="A29" s="133"/>
      <c r="B29" s="133"/>
      <c r="C29" s="133"/>
      <c r="D29" s="133"/>
      <c r="E29" s="133"/>
      <c r="F29" s="133"/>
      <c r="G29" s="133"/>
      <c r="H29" s="133"/>
      <c r="I29" s="133"/>
      <c r="J29" s="133"/>
      <c r="K29" s="279"/>
      <c r="L29" s="283"/>
      <c r="M29" s="133"/>
      <c r="N29" s="133"/>
      <c r="O29" s="133"/>
      <c r="P29" s="133"/>
      <c r="Q29" s="133"/>
      <c r="R29" s="133"/>
      <c r="S29" s="133"/>
      <c r="T29" s="133"/>
      <c r="U29" s="133"/>
      <c r="V29" s="133"/>
      <c r="W29" s="133"/>
      <c r="X29" s="133"/>
      <c r="Y29" s="133"/>
      <c r="Z29" s="133"/>
      <c r="AA29" s="133"/>
      <c r="AB29" s="133"/>
      <c r="AC29" s="133"/>
      <c r="AE29" s="311"/>
      <c r="AF29" s="285">
        <f>SUM(AF18:AF22)</f>
        <v>3969</v>
      </c>
      <c r="AG29" s="311"/>
      <c r="AH29" s="311"/>
      <c r="AI29" s="311"/>
      <c r="AJ29" s="311"/>
      <c r="AK29" s="285">
        <f ca="1">AK25/VLOOKUP(TODAY(),'UF HOY'!$A$2:$B$36,2,0)</f>
        <v>396.89999999999992</v>
      </c>
      <c r="AL29" s="133"/>
      <c r="AM29" s="188"/>
      <c r="AN29" s="189"/>
      <c r="AP29" s="189"/>
      <c r="AQ29" s="189"/>
      <c r="AR29" s="189"/>
      <c r="AS29" s="189"/>
      <c r="AT29" s="189"/>
      <c r="AV29" s="254"/>
      <c r="AW29" s="254"/>
      <c r="AX29" s="254"/>
      <c r="AY29" s="254"/>
      <c r="AZ29" s="133"/>
      <c r="BA29" s="133"/>
      <c r="BB29" s="133"/>
      <c r="BC29" s="133"/>
      <c r="BD29" s="133"/>
      <c r="BE29" s="133"/>
      <c r="BF29" s="133"/>
      <c r="BG29" s="133"/>
      <c r="BH29" s="133"/>
      <c r="BI29" s="133"/>
      <c r="BJ29" s="133"/>
      <c r="BK29" s="133"/>
      <c r="BL29" s="133"/>
      <c r="BM29" s="133"/>
      <c r="BN29" s="133"/>
      <c r="BO29" s="133"/>
      <c r="BP29" s="133"/>
      <c r="BQ29" s="133"/>
      <c r="BR29" s="133"/>
      <c r="BS29" s="133"/>
      <c r="BT29" s="133"/>
    </row>
    <row r="30" spans="1:75" x14ac:dyDescent="0.35">
      <c r="A30" s="133"/>
      <c r="B30" s="133"/>
      <c r="C30" s="133"/>
      <c r="D30" s="133"/>
      <c r="E30" s="133"/>
      <c r="F30" s="133"/>
      <c r="G30" s="133"/>
      <c r="H30" s="133"/>
      <c r="I30" s="133"/>
      <c r="J30" s="133"/>
      <c r="K30" s="279"/>
      <c r="L30" s="283"/>
      <c r="M30" s="133"/>
      <c r="N30" s="133"/>
      <c r="O30" s="133"/>
      <c r="P30" s="133"/>
      <c r="Q30" s="133"/>
      <c r="R30" s="133"/>
      <c r="S30" s="133"/>
      <c r="T30" s="133"/>
      <c r="U30" s="133"/>
      <c r="V30" s="133"/>
      <c r="W30" s="133"/>
      <c r="X30" s="133"/>
      <c r="Y30" s="133"/>
      <c r="Z30" s="133"/>
      <c r="AA30" s="133"/>
      <c r="AB30" s="133"/>
      <c r="AC30" s="133"/>
      <c r="AE30" s="311"/>
      <c r="AF30" s="286"/>
      <c r="AG30" s="311"/>
      <c r="AH30" s="311"/>
      <c r="AI30" s="311"/>
      <c r="AJ30" s="311"/>
      <c r="AK30" s="286"/>
      <c r="AL30" s="133"/>
      <c r="AM30" s="325" t="s">
        <v>67</v>
      </c>
      <c r="AN30" s="325"/>
      <c r="AO30" s="194">
        <f>AF20</f>
        <v>0</v>
      </c>
      <c r="AP30" s="325" t="s">
        <v>68</v>
      </c>
      <c r="AQ30" s="325"/>
      <c r="AR30" s="194">
        <f>AG20</f>
        <v>0</v>
      </c>
      <c r="AS30" s="325" t="s">
        <v>69</v>
      </c>
      <c r="AT30" s="325"/>
      <c r="AU30" s="195">
        <f>AH20</f>
        <v>0</v>
      </c>
      <c r="AV30" s="287"/>
      <c r="AW30" s="288"/>
      <c r="AX30" s="254"/>
      <c r="AY30" s="254"/>
      <c r="AZ30" s="133"/>
      <c r="BA30" s="133"/>
      <c r="BB30" s="133"/>
      <c r="BC30" s="133"/>
      <c r="BD30" s="133"/>
      <c r="BE30" s="133"/>
      <c r="BF30" s="133"/>
      <c r="BG30" s="133"/>
      <c r="BH30" s="133"/>
      <c r="BI30" s="133"/>
      <c r="BJ30" s="133"/>
      <c r="BK30" s="133"/>
      <c r="BL30" s="133"/>
      <c r="BM30" s="133"/>
      <c r="BN30" s="133"/>
      <c r="BO30" s="133"/>
      <c r="BP30" s="133"/>
      <c r="BQ30" s="133"/>
      <c r="BR30" s="133"/>
      <c r="BS30" s="133"/>
      <c r="BT30" s="133"/>
    </row>
    <row r="31" spans="1:75" x14ac:dyDescent="0.35">
      <c r="A31" s="133"/>
      <c r="B31" s="133"/>
      <c r="C31" s="133"/>
      <c r="D31" s="133"/>
      <c r="E31" s="133"/>
      <c r="F31" s="133"/>
      <c r="G31" s="133"/>
      <c r="H31" s="133"/>
      <c r="I31" s="133"/>
      <c r="J31" s="133"/>
      <c r="K31" s="279"/>
      <c r="L31" s="283"/>
      <c r="M31" s="133"/>
      <c r="N31" s="133"/>
      <c r="O31" s="133"/>
      <c r="P31" s="133"/>
      <c r="Q31" s="133"/>
      <c r="R31" s="133"/>
      <c r="S31" s="133"/>
      <c r="T31" s="133"/>
      <c r="U31" s="133"/>
      <c r="V31" s="133"/>
      <c r="W31" s="133"/>
      <c r="X31" s="133"/>
      <c r="Y31" s="133"/>
      <c r="Z31" s="133"/>
      <c r="AA31" s="133"/>
      <c r="AB31" s="133"/>
      <c r="AC31" s="133"/>
      <c r="AL31" s="133"/>
      <c r="AN31" s="179"/>
      <c r="AO31" s="240"/>
      <c r="AP31" s="240"/>
      <c r="AQ31" s="240"/>
      <c r="AR31" s="240"/>
      <c r="AS31" s="240"/>
      <c r="AT31" s="240"/>
      <c r="AU31" s="256"/>
      <c r="AV31" s="240"/>
      <c r="AW31" s="158"/>
      <c r="AX31" s="158"/>
      <c r="AY31" s="133"/>
      <c r="AZ31" s="133"/>
      <c r="BA31" s="133"/>
      <c r="BB31" s="133"/>
      <c r="BC31" s="133"/>
      <c r="BD31" s="133"/>
      <c r="BE31" s="133"/>
      <c r="BF31" s="133"/>
      <c r="BG31" s="133"/>
      <c r="BH31" s="133"/>
      <c r="BI31" s="133"/>
      <c r="BJ31" s="133"/>
      <c r="BK31" s="133"/>
      <c r="BL31" s="133"/>
      <c r="BM31" s="133"/>
      <c r="BN31" s="133"/>
      <c r="BO31" s="133"/>
      <c r="BP31" s="133"/>
      <c r="BQ31" s="133"/>
      <c r="BR31" s="133"/>
      <c r="BS31" s="133"/>
      <c r="BT31" s="133"/>
    </row>
    <row r="32" spans="1:75" x14ac:dyDescent="0.35">
      <c r="A32" s="133"/>
      <c r="B32" s="133"/>
      <c r="C32" s="133"/>
      <c r="D32" s="133"/>
      <c r="E32" s="133"/>
      <c r="F32" s="133"/>
      <c r="G32" s="133"/>
      <c r="H32" s="133"/>
      <c r="I32" s="133"/>
      <c r="J32" s="133"/>
      <c r="K32" s="279"/>
      <c r="L32" s="283"/>
      <c r="M32" s="133"/>
      <c r="N32" s="133"/>
      <c r="O32" s="133"/>
      <c r="P32" s="133"/>
      <c r="Q32" s="133"/>
      <c r="R32" s="133"/>
      <c r="S32" s="133"/>
      <c r="T32" s="133"/>
      <c r="U32" s="133"/>
      <c r="V32" s="133"/>
      <c r="W32" s="133"/>
      <c r="X32" s="133"/>
      <c r="Y32" s="133"/>
      <c r="Z32" s="133"/>
      <c r="AA32" s="133"/>
      <c r="AB32" s="133"/>
      <c r="AC32" s="133"/>
      <c r="AD32" s="312" t="str">
        <f ca="1">CONCATENATE("* Monto en pesos referenciales considerando UF de hoy ($ ", TEXT(AD34,"##.###"), ") al ", TEXT(TODAY(),"dd-mm-yy"), ".")</f>
        <v>* Monto en pesos referenciales considerando UF de hoy ($ 39.734) al 18-02-26.</v>
      </c>
      <c r="AE32" s="312"/>
      <c r="AF32" s="312"/>
      <c r="AG32" s="312"/>
      <c r="AL32" s="133"/>
      <c r="AM32" s="209"/>
      <c r="AN32" s="289"/>
      <c r="AO32" s="290"/>
      <c r="AP32" s="290"/>
      <c r="AQ32" s="290"/>
      <c r="AR32" s="290"/>
      <c r="AS32" s="290"/>
      <c r="AT32" s="290"/>
      <c r="AU32" s="262"/>
      <c r="AV32" s="290"/>
      <c r="AW32" s="290"/>
      <c r="AX32" s="290"/>
      <c r="AY32" s="209"/>
      <c r="AZ32" s="209"/>
      <c r="BA32" s="209"/>
      <c r="BB32" s="133"/>
      <c r="BC32" s="133"/>
      <c r="BD32" s="133"/>
      <c r="BE32" s="133"/>
      <c r="BF32" s="133"/>
      <c r="BG32" s="133"/>
      <c r="BH32" s="133"/>
      <c r="BI32" s="133"/>
      <c r="BJ32" s="133"/>
      <c r="BK32" s="133"/>
      <c r="BL32" s="133"/>
      <c r="BM32" s="133"/>
      <c r="BN32" s="133"/>
      <c r="BO32" s="133"/>
      <c r="BP32" s="133"/>
      <c r="BQ32" s="133"/>
      <c r="BR32" s="133"/>
      <c r="BS32" s="133"/>
      <c r="BT32" s="133"/>
    </row>
    <row r="33" spans="1:72" ht="15.75" customHeight="1" x14ac:dyDescent="0.35">
      <c r="A33" s="133"/>
      <c r="B33" s="133"/>
      <c r="C33" s="133"/>
      <c r="D33" s="133"/>
      <c r="E33" s="133"/>
      <c r="F33" s="133"/>
      <c r="G33" s="133"/>
      <c r="H33" s="133"/>
      <c r="I33" s="133"/>
      <c r="J33" s="133"/>
      <c r="K33" s="147"/>
      <c r="L33" s="147"/>
      <c r="M33" s="133"/>
      <c r="N33" s="133"/>
      <c r="O33" s="133"/>
      <c r="P33" s="133"/>
      <c r="Q33" s="133"/>
      <c r="R33" s="133"/>
      <c r="S33" s="133"/>
      <c r="T33" s="133"/>
      <c r="U33" s="133"/>
      <c r="V33" s="133"/>
      <c r="W33" s="133"/>
      <c r="X33" s="133"/>
      <c r="Y33" s="133"/>
      <c r="Z33" s="133"/>
      <c r="AA33" s="133"/>
      <c r="AB33" s="133"/>
      <c r="AC33" s="133"/>
      <c r="AD33" s="133"/>
      <c r="AE33" s="133"/>
      <c r="AF33" s="133"/>
      <c r="AG33" s="133"/>
      <c r="AH33" s="291"/>
      <c r="AI33" s="133"/>
      <c r="AJ33" s="133"/>
      <c r="AK33" s="231"/>
      <c r="AL33" s="133"/>
      <c r="AM33" s="133"/>
      <c r="AN33" s="142"/>
      <c r="AO33" s="133"/>
      <c r="AP33" s="133"/>
      <c r="AQ33" s="133"/>
      <c r="AR33" s="133"/>
      <c r="AS33" s="133"/>
      <c r="AT33" s="133"/>
      <c r="AU33" s="133"/>
      <c r="AV33" s="158"/>
      <c r="AW33" s="158"/>
      <c r="AX33" s="158"/>
      <c r="AY33" s="133"/>
      <c r="AZ33" s="133"/>
      <c r="BA33" s="133"/>
      <c r="BB33" s="133"/>
      <c r="BC33" s="133"/>
      <c r="BD33" s="133"/>
      <c r="BE33" s="133"/>
      <c r="BF33" s="133"/>
      <c r="BG33" s="133"/>
      <c r="BH33" s="133"/>
      <c r="BI33" s="133"/>
      <c r="BJ33" s="133"/>
      <c r="BK33" s="133"/>
      <c r="BL33" s="133"/>
      <c r="BM33" s="133"/>
      <c r="BN33" s="133"/>
      <c r="BO33" s="133"/>
      <c r="BP33" s="133"/>
      <c r="BQ33" s="133"/>
      <c r="BR33" s="133"/>
      <c r="BS33" s="133"/>
      <c r="BT33" s="133"/>
    </row>
    <row r="34" spans="1:72" x14ac:dyDescent="0.35">
      <c r="A34" s="133"/>
      <c r="B34" s="133"/>
      <c r="C34" s="133"/>
      <c r="D34" s="133"/>
      <c r="E34" s="133"/>
      <c r="F34" s="133"/>
      <c r="G34" s="133"/>
      <c r="H34" s="133"/>
      <c r="I34" s="133"/>
      <c r="J34" s="133"/>
      <c r="K34" s="277"/>
      <c r="L34" s="292"/>
      <c r="M34" s="133"/>
      <c r="N34" s="133"/>
      <c r="O34" s="133"/>
      <c r="P34" s="133"/>
      <c r="Q34" s="133"/>
      <c r="R34" s="133"/>
      <c r="S34" s="133"/>
      <c r="T34" s="133"/>
      <c r="U34" s="133"/>
      <c r="V34" s="133"/>
      <c r="W34" s="133"/>
      <c r="X34" s="133"/>
      <c r="Y34" s="133"/>
      <c r="Z34" s="133"/>
      <c r="AA34" s="133"/>
      <c r="AB34" s="133"/>
      <c r="AC34" s="153" t="s">
        <v>84</v>
      </c>
      <c r="AD34" s="293">
        <f ca="1">ROUNDUP(VLOOKUP(TODAY(),'UF HOY'!$A$2:$B$36,2,0),0)</f>
        <v>39734</v>
      </c>
      <c r="AE34" s="133"/>
      <c r="AF34" s="133"/>
      <c r="AG34" s="133"/>
      <c r="AH34" s="133"/>
      <c r="AI34" s="133"/>
      <c r="AJ34" s="133"/>
      <c r="AK34" s="133"/>
      <c r="AL34" s="133"/>
      <c r="AM34" s="133"/>
      <c r="AN34" s="142"/>
      <c r="AO34" s="344" t="s">
        <v>56</v>
      </c>
      <c r="AP34" s="343"/>
      <c r="AQ34" s="343"/>
      <c r="AR34" s="309"/>
      <c r="AS34" s="135"/>
      <c r="AT34" s="135"/>
      <c r="AU34" s="135"/>
      <c r="AV34" s="313"/>
      <c r="AW34" s="313"/>
      <c r="AX34" s="314"/>
      <c r="AY34" s="314"/>
      <c r="BA34" s="133"/>
      <c r="BB34" s="133"/>
      <c r="BC34" s="133"/>
      <c r="BD34" s="133"/>
      <c r="BE34" s="133"/>
      <c r="BF34" s="133"/>
      <c r="BG34" s="133"/>
      <c r="BH34" s="133"/>
      <c r="BI34" s="133"/>
      <c r="BJ34" s="133"/>
      <c r="BK34" s="133"/>
      <c r="BL34" s="133"/>
      <c r="BM34" s="133"/>
      <c r="BN34" s="133"/>
      <c r="BO34" s="133"/>
      <c r="BP34" s="133"/>
      <c r="BQ34" s="133"/>
      <c r="BR34" s="133"/>
      <c r="BS34" s="133"/>
      <c r="BT34" s="133"/>
    </row>
    <row r="35" spans="1:72" x14ac:dyDescent="0.35">
      <c r="A35" s="133"/>
      <c r="B35" s="133"/>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53"/>
      <c r="AD35" s="294"/>
      <c r="AE35" s="133"/>
      <c r="AF35" s="133"/>
      <c r="AG35" s="133"/>
      <c r="AH35" s="295"/>
      <c r="AI35" s="133"/>
      <c r="AJ35" s="133"/>
      <c r="AK35" s="133"/>
      <c r="AL35" s="133"/>
      <c r="AM35" s="133"/>
      <c r="AN35" s="142" t="s">
        <v>85</v>
      </c>
      <c r="AO35" s="344"/>
      <c r="AP35" s="343"/>
      <c r="AQ35" s="343"/>
      <c r="AR35" s="309"/>
      <c r="AS35" s="135"/>
      <c r="AT35" s="135"/>
      <c r="AU35" s="135"/>
      <c r="AV35" s="313"/>
      <c r="AW35" s="313"/>
      <c r="AX35" s="314"/>
      <c r="AY35" s="314"/>
      <c r="BA35" s="133"/>
      <c r="BB35" s="133"/>
      <c r="BC35" s="133"/>
      <c r="BD35" s="133"/>
      <c r="BE35" s="133"/>
      <c r="BF35" s="133"/>
      <c r="BG35" s="133"/>
      <c r="BH35" s="133"/>
      <c r="BI35" s="133"/>
      <c r="BJ35" s="133"/>
      <c r="BK35" s="133"/>
      <c r="BL35" s="133"/>
      <c r="BM35" s="133"/>
      <c r="BN35" s="133"/>
      <c r="BO35" s="133"/>
      <c r="BP35" s="133"/>
      <c r="BQ35" s="133"/>
      <c r="BR35" s="133"/>
      <c r="BS35" s="133"/>
      <c r="BT35" s="133"/>
    </row>
    <row r="36" spans="1:72" ht="15.75" customHeight="1" x14ac:dyDescent="0.35">
      <c r="A36" s="133"/>
      <c r="B36" s="133"/>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53" t="s">
        <v>310</v>
      </c>
      <c r="AD36" s="293">
        <f ca="1">AD34</f>
        <v>39734</v>
      </c>
      <c r="AE36" s="133"/>
      <c r="AF36" s="133"/>
      <c r="AG36" s="133"/>
      <c r="AH36" s="133"/>
      <c r="AI36" s="133"/>
      <c r="AJ36" s="133"/>
      <c r="AK36" s="133"/>
      <c r="AL36" s="133"/>
      <c r="AM36" s="133"/>
      <c r="AO36" s="156"/>
      <c r="AP36" s="157"/>
      <c r="AQ36" s="157"/>
      <c r="AR36" s="158"/>
      <c r="AS36" s="158"/>
      <c r="AT36" s="158"/>
      <c r="AU36" s="158"/>
      <c r="AV36" s="159">
        <f>IF($AA$3="",4.5%,3%)</f>
        <v>0.03</v>
      </c>
      <c r="AW36" s="160">
        <f ca="1">((AH21*PMT(AV36,D20,-AO41)*VLOOKUP(TODAY(),'UF HOY'!$A$2:$B$36,2,0))/12)+$AD$36</f>
        <v>39734</v>
      </c>
      <c r="AX36" s="160">
        <f>SIMULACIÓN!U7</f>
        <v>0</v>
      </c>
      <c r="AY36" s="160">
        <f ca="1">AX36-AW36</f>
        <v>-39734</v>
      </c>
      <c r="AZ36" s="133"/>
      <c r="BA36" s="133"/>
      <c r="BB36" s="133"/>
      <c r="BC36" s="133"/>
      <c r="BD36" s="133"/>
      <c r="BE36" s="133"/>
      <c r="BF36" s="133"/>
      <c r="BG36" s="133"/>
      <c r="BH36" s="133"/>
      <c r="BI36" s="133"/>
      <c r="BJ36" s="133"/>
      <c r="BK36" s="133"/>
      <c r="BL36" s="133"/>
      <c r="BM36" s="133"/>
      <c r="BN36" s="133"/>
      <c r="BO36" s="133"/>
      <c r="BP36" s="133"/>
      <c r="BQ36" s="133"/>
      <c r="BR36" s="133"/>
      <c r="BS36" s="133"/>
      <c r="BT36" s="133"/>
    </row>
    <row r="37" spans="1:72" ht="15.75" customHeight="1" x14ac:dyDescent="0.45">
      <c r="A37" s="133"/>
      <c r="B37" s="133"/>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296"/>
      <c r="AE37" s="133"/>
      <c r="AF37" s="133"/>
      <c r="AG37" s="133"/>
      <c r="AH37" s="133"/>
      <c r="AI37" s="133"/>
      <c r="AJ37" s="133"/>
      <c r="AK37" s="133"/>
      <c r="AL37" s="133"/>
      <c r="AM37" s="133"/>
      <c r="AN37" s="142"/>
      <c r="AO37" s="158"/>
      <c r="AP37" s="158"/>
      <c r="AQ37" s="158"/>
      <c r="AR37" s="158"/>
      <c r="AS37" s="158"/>
      <c r="AT37" s="158"/>
      <c r="AU37" s="158"/>
      <c r="AV37" s="174">
        <f>$H$20</f>
        <v>0.04</v>
      </c>
      <c r="AW37" s="175">
        <f ca="1">((AH21*PMT(AV37,D20,-AO41)*VLOOKUP(TODAY(),'UF HOY'!$A$2:$B$36,2,0))/12)+$AD$36</f>
        <v>39734</v>
      </c>
      <c r="AX37" s="175">
        <f>SIMULACIÓN!U7</f>
        <v>0</v>
      </c>
      <c r="AY37" s="175">
        <f t="shared" ref="AY37:AY38" ca="1" si="2">AX37-AW37</f>
        <v>-39734</v>
      </c>
      <c r="AZ37" s="133"/>
      <c r="BA37" s="133"/>
      <c r="BB37" s="133"/>
      <c r="BC37" s="133"/>
      <c r="BD37" s="133"/>
      <c r="BE37" s="133"/>
      <c r="BF37" s="133"/>
      <c r="BG37" s="133"/>
      <c r="BH37" s="133"/>
      <c r="BI37" s="133"/>
      <c r="BJ37" s="133"/>
      <c r="BK37" s="133"/>
      <c r="BL37" s="133"/>
      <c r="BM37" s="133"/>
      <c r="BN37" s="133"/>
      <c r="BO37" s="133"/>
      <c r="BP37" s="133"/>
      <c r="BQ37" s="133"/>
      <c r="BR37" s="133"/>
      <c r="BS37" s="133"/>
      <c r="BT37" s="133"/>
    </row>
    <row r="38" spans="1:72" x14ac:dyDescent="0.35">
      <c r="A38" s="133"/>
      <c r="B38" s="133"/>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42"/>
      <c r="AO38" s="133"/>
      <c r="AP38" s="133"/>
      <c r="AQ38" s="133"/>
      <c r="AR38" s="133"/>
      <c r="AS38" s="133"/>
      <c r="AT38" s="133"/>
      <c r="AU38" s="133"/>
      <c r="AV38" s="180">
        <f>IF($AA$3="",6.5%,5%)</f>
        <v>0.05</v>
      </c>
      <c r="AW38" s="160">
        <f ca="1">((AH21*PMT(AV38,D20,-AO41)*VLOOKUP(TODAY(),'UF HOY'!$A$2:$B$36,2,0))/12)+$AD$36</f>
        <v>39734</v>
      </c>
      <c r="AX38" s="160">
        <f>SIMULACIÓN!U7</f>
        <v>0</v>
      </c>
      <c r="AY38" s="160">
        <f t="shared" ca="1" si="2"/>
        <v>-39734</v>
      </c>
      <c r="AZ38" s="133"/>
      <c r="BA38" s="133"/>
      <c r="BB38" s="133"/>
      <c r="BC38" s="133"/>
      <c r="BD38" s="133"/>
      <c r="BE38" s="133"/>
      <c r="BF38" s="133"/>
      <c r="BG38" s="133"/>
      <c r="BH38" s="133"/>
      <c r="BI38" s="133"/>
      <c r="BJ38" s="133"/>
      <c r="BK38" s="133"/>
      <c r="BL38" s="133"/>
      <c r="BM38" s="133"/>
      <c r="BN38" s="133"/>
      <c r="BO38" s="133"/>
      <c r="BP38" s="133"/>
      <c r="BQ38" s="133"/>
      <c r="BR38" s="133"/>
      <c r="BS38" s="133"/>
      <c r="BT38" s="133"/>
    </row>
    <row r="39" spans="1:72" x14ac:dyDescent="0.35">
      <c r="A39" s="133"/>
      <c r="B39" s="133"/>
      <c r="C39" s="13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339" t="str">
        <f>"Simulación departamento: "&amp;AO36</f>
        <v xml:space="preserve">Simulación departamento: </v>
      </c>
      <c r="AN39" s="339"/>
      <c r="AO39" s="339"/>
      <c r="AP39" s="339"/>
      <c r="AQ39" s="339" t="str">
        <f>"Tipología: "&amp;AA12</f>
        <v xml:space="preserve">Tipología: </v>
      </c>
      <c r="AR39" s="339"/>
      <c r="AS39" s="339"/>
      <c r="AT39" s="339"/>
      <c r="AV39" s="246"/>
      <c r="AW39" s="189"/>
      <c r="AX39" s="189"/>
      <c r="AY39" s="189"/>
      <c r="AZ39" s="133"/>
      <c r="BA39" s="133"/>
      <c r="BB39" s="133"/>
      <c r="BC39" s="133"/>
      <c r="BD39" s="133"/>
      <c r="BE39" s="133"/>
      <c r="BF39" s="133"/>
      <c r="BG39" s="133"/>
      <c r="BH39" s="133"/>
      <c r="BI39" s="133"/>
      <c r="BJ39" s="133"/>
      <c r="BK39" s="133"/>
      <c r="BL39" s="133"/>
      <c r="BM39" s="133"/>
      <c r="BN39" s="133"/>
      <c r="BO39" s="133"/>
      <c r="BP39" s="133"/>
      <c r="BQ39" s="133"/>
      <c r="BR39" s="133"/>
      <c r="BS39" s="133"/>
      <c r="BT39" s="133"/>
    </row>
    <row r="40" spans="1:72" x14ac:dyDescent="0.35">
      <c r="A40" s="133"/>
      <c r="B40" s="133"/>
      <c r="C40" s="13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88"/>
      <c r="AN40" s="189"/>
      <c r="AP40" s="189"/>
      <c r="AQ40" s="189"/>
      <c r="AR40" s="189"/>
      <c r="AS40" s="189"/>
      <c r="AT40" s="189"/>
      <c r="AV40" s="254"/>
      <c r="AW40" s="254"/>
      <c r="AX40" s="254"/>
      <c r="AY40" s="254"/>
      <c r="AZ40" s="133"/>
      <c r="BA40" s="133"/>
      <c r="BB40" s="133"/>
      <c r="BC40" s="133"/>
      <c r="BD40" s="133"/>
      <c r="BE40" s="133"/>
      <c r="BF40" s="133"/>
      <c r="BG40" s="133"/>
      <c r="BH40" s="133"/>
      <c r="BI40" s="133"/>
      <c r="BJ40" s="133"/>
      <c r="BK40" s="133"/>
      <c r="BL40" s="133"/>
      <c r="BM40" s="133"/>
      <c r="BN40" s="133"/>
      <c r="BO40" s="133"/>
      <c r="BP40" s="133"/>
      <c r="BQ40" s="133"/>
      <c r="BR40" s="133"/>
      <c r="BS40" s="133"/>
      <c r="BT40" s="133"/>
    </row>
    <row r="41" spans="1:72" x14ac:dyDescent="0.35">
      <c r="A41" s="133"/>
      <c r="B41" s="133"/>
      <c r="C41" s="13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325" t="s">
        <v>67</v>
      </c>
      <c r="AN41" s="325"/>
      <c r="AO41" s="194">
        <f>AF21</f>
        <v>0</v>
      </c>
      <c r="AP41" s="325" t="s">
        <v>68</v>
      </c>
      <c r="AQ41" s="325"/>
      <c r="AR41" s="194">
        <f>AG21</f>
        <v>0</v>
      </c>
      <c r="AS41" s="325" t="s">
        <v>69</v>
      </c>
      <c r="AT41" s="325"/>
      <c r="AU41" s="195">
        <f>AH21</f>
        <v>0</v>
      </c>
      <c r="AV41" s="287"/>
      <c r="AW41" s="288"/>
      <c r="AX41" s="254"/>
      <c r="AY41" s="254"/>
      <c r="AZ41" s="133"/>
      <c r="BA41" s="133"/>
      <c r="BB41" s="133"/>
      <c r="BC41" s="133"/>
      <c r="BD41" s="133"/>
      <c r="BE41" s="133"/>
      <c r="BF41" s="133"/>
      <c r="BG41" s="133"/>
      <c r="BH41" s="133"/>
      <c r="BI41" s="133"/>
      <c r="BJ41" s="133"/>
      <c r="BK41" s="133"/>
      <c r="BL41" s="133"/>
      <c r="BM41" s="133"/>
      <c r="BN41" s="133"/>
      <c r="BO41" s="133"/>
      <c r="BP41" s="133"/>
      <c r="BQ41" s="133"/>
      <c r="BR41" s="133"/>
      <c r="BS41" s="133"/>
      <c r="BT41" s="133"/>
    </row>
    <row r="42" spans="1:72" ht="16.5" customHeight="1" x14ac:dyDescent="0.35">
      <c r="A42" s="133"/>
      <c r="B42" s="133"/>
      <c r="C42" s="133"/>
      <c r="D42" s="133"/>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297"/>
      <c r="AN42" s="297"/>
      <c r="AO42" s="298"/>
      <c r="AP42" s="297"/>
      <c r="AQ42" s="297"/>
      <c r="AR42" s="298"/>
      <c r="AS42" s="298"/>
      <c r="AT42" s="298"/>
      <c r="AV42" s="155"/>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row>
    <row r="43" spans="1:72" ht="16.5" customHeight="1" x14ac:dyDescent="0.35">
      <c r="A43" s="133"/>
      <c r="B43" s="133"/>
      <c r="C43" s="133"/>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209"/>
      <c r="AN43" s="209"/>
      <c r="AO43" s="209"/>
      <c r="AP43" s="209"/>
      <c r="AQ43" s="209"/>
      <c r="AR43" s="209"/>
      <c r="AS43" s="209"/>
      <c r="AT43" s="209"/>
      <c r="AU43" s="209"/>
      <c r="AV43" s="210"/>
      <c r="AW43" s="209"/>
      <c r="AX43" s="209"/>
      <c r="AY43" s="209"/>
      <c r="AZ43" s="209"/>
      <c r="BA43" s="209"/>
      <c r="BB43" s="133"/>
      <c r="BC43" s="133"/>
      <c r="BD43" s="133"/>
      <c r="BE43" s="133"/>
      <c r="BF43" s="133"/>
      <c r="BG43" s="133"/>
      <c r="BH43" s="133"/>
      <c r="BI43" s="133"/>
      <c r="BJ43" s="133"/>
      <c r="BK43" s="133"/>
      <c r="BL43" s="133"/>
      <c r="BM43" s="133"/>
      <c r="BN43" s="133"/>
      <c r="BO43" s="133"/>
      <c r="BP43" s="133"/>
      <c r="BQ43" s="133"/>
      <c r="BR43" s="133"/>
      <c r="BS43" s="133"/>
      <c r="BT43" s="133"/>
    </row>
    <row r="44" spans="1:72" x14ac:dyDescent="0.35">
      <c r="A44" s="133"/>
      <c r="B44" s="133"/>
      <c r="C44" s="133"/>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63"/>
      <c r="AW44" s="133"/>
      <c r="AX44" s="133"/>
      <c r="AY44" s="133"/>
      <c r="AZ44" s="133"/>
      <c r="BA44" s="133"/>
      <c r="BB44" s="133"/>
      <c r="BC44" s="133"/>
      <c r="BD44" s="133"/>
      <c r="BE44" s="133"/>
      <c r="BF44" s="133"/>
      <c r="BG44" s="133"/>
      <c r="BH44" s="133"/>
      <c r="BI44" s="133"/>
      <c r="BJ44" s="133"/>
      <c r="BK44" s="133"/>
      <c r="BL44" s="133"/>
      <c r="BM44" s="133"/>
      <c r="BN44" s="133"/>
      <c r="BO44" s="133"/>
      <c r="BP44" s="133"/>
      <c r="BQ44" s="133"/>
      <c r="BR44" s="133"/>
      <c r="BS44" s="133"/>
      <c r="BT44" s="133"/>
    </row>
    <row r="45" spans="1:72" x14ac:dyDescent="0.35">
      <c r="A45" s="133"/>
      <c r="B45" s="133"/>
      <c r="C45" s="133"/>
      <c r="D45" s="133"/>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42"/>
      <c r="AO45" s="344" t="s">
        <v>56</v>
      </c>
      <c r="AP45" s="343"/>
      <c r="AQ45" s="343"/>
      <c r="AR45" s="309"/>
      <c r="AS45" s="135"/>
      <c r="AT45" s="135"/>
      <c r="AU45" s="135"/>
      <c r="AV45" s="313"/>
      <c r="AW45" s="313"/>
      <c r="AX45" s="314"/>
      <c r="AY45" s="314"/>
      <c r="BA45" s="133"/>
      <c r="BB45" s="133"/>
      <c r="BC45" s="133"/>
      <c r="BD45" s="133"/>
      <c r="BE45" s="133"/>
      <c r="BF45" s="133"/>
      <c r="BG45" s="133"/>
      <c r="BH45" s="133"/>
      <c r="BI45" s="133"/>
      <c r="BJ45" s="133"/>
      <c r="BK45" s="133"/>
      <c r="BL45" s="133"/>
      <c r="BM45" s="133"/>
      <c r="BN45" s="133"/>
      <c r="BO45" s="133"/>
      <c r="BP45" s="133"/>
      <c r="BQ45" s="133"/>
      <c r="BR45" s="133"/>
      <c r="BS45" s="133"/>
      <c r="BT45" s="133"/>
    </row>
    <row r="46" spans="1:72" x14ac:dyDescent="0.35">
      <c r="A46" s="133"/>
      <c r="B46" s="133"/>
      <c r="C46" s="133"/>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42" t="s">
        <v>86</v>
      </c>
      <c r="AO46" s="344"/>
      <c r="AP46" s="343"/>
      <c r="AQ46" s="343"/>
      <c r="AR46" s="309"/>
      <c r="AS46" s="135"/>
      <c r="AT46" s="135"/>
      <c r="AU46" s="135"/>
      <c r="AV46" s="313"/>
      <c r="AW46" s="313"/>
      <c r="AX46" s="314"/>
      <c r="AY46" s="314"/>
      <c r="BA46" s="133"/>
      <c r="BB46" s="133"/>
      <c r="BC46" s="133"/>
      <c r="BD46" s="133"/>
      <c r="BE46" s="133"/>
      <c r="BF46" s="133"/>
      <c r="BG46" s="133"/>
      <c r="BH46" s="133"/>
      <c r="BI46" s="133"/>
      <c r="BJ46" s="133"/>
      <c r="BK46" s="133"/>
      <c r="BL46" s="133"/>
      <c r="BM46" s="133"/>
      <c r="BN46" s="133"/>
      <c r="BO46" s="133"/>
      <c r="BP46" s="133"/>
      <c r="BQ46" s="133"/>
      <c r="BR46" s="133"/>
      <c r="BS46" s="133"/>
      <c r="BT46" s="133"/>
    </row>
    <row r="47" spans="1:72" x14ac:dyDescent="0.35">
      <c r="A47" s="133"/>
      <c r="B47" s="133"/>
      <c r="C47" s="133"/>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O47" s="156"/>
      <c r="AP47" s="157"/>
      <c r="AQ47" s="157"/>
      <c r="AR47" s="158"/>
      <c r="AS47" s="158"/>
      <c r="AT47" s="158"/>
      <c r="AU47" s="158"/>
      <c r="AV47" s="159">
        <f>IF($AA$3="",4.5%,3%)</f>
        <v>0.03</v>
      </c>
      <c r="AW47" s="160">
        <f ca="1">((AH22*PMT(AV47,D20,-AO52)*VLOOKUP(TODAY(),'UF HOY'!$A$2:$B$36,2,0))/12)+$AD$36</f>
        <v>39734</v>
      </c>
      <c r="AX47" s="160">
        <f>SIMULACIÓN!U8</f>
        <v>0</v>
      </c>
      <c r="AY47" s="160">
        <f ca="1">AX47-AW47</f>
        <v>-39734</v>
      </c>
      <c r="AZ47" s="133"/>
      <c r="BA47" s="133"/>
      <c r="BB47" s="133"/>
      <c r="BC47" s="133"/>
      <c r="BD47" s="133"/>
      <c r="BE47" s="133"/>
      <c r="BF47" s="133"/>
      <c r="BG47" s="133"/>
      <c r="BH47" s="133"/>
      <c r="BI47" s="133"/>
      <c r="BJ47" s="133"/>
      <c r="BK47" s="133"/>
      <c r="BL47" s="133"/>
      <c r="BM47" s="133"/>
      <c r="BN47" s="133"/>
      <c r="BO47" s="133"/>
      <c r="BP47" s="133"/>
      <c r="BQ47" s="133"/>
      <c r="BR47" s="133"/>
      <c r="BS47" s="133"/>
      <c r="BT47" s="133"/>
    </row>
    <row r="48" spans="1:72" x14ac:dyDescent="0.35">
      <c r="A48" s="133"/>
      <c r="B48" s="133"/>
      <c r="C48" s="133"/>
      <c r="D48" s="133"/>
      <c r="E48" s="133"/>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42"/>
      <c r="AO48" s="158"/>
      <c r="AP48" s="158"/>
      <c r="AQ48" s="158"/>
      <c r="AR48" s="158"/>
      <c r="AS48" s="158"/>
      <c r="AT48" s="158"/>
      <c r="AU48" s="158"/>
      <c r="AV48" s="174">
        <f>$H$20</f>
        <v>0.04</v>
      </c>
      <c r="AW48" s="175">
        <f ca="1">((AH22*PMT(AV48,D20,-AO52)*VLOOKUP(TODAY(),'UF HOY'!$A$2:$B$36,2,0))/12)+$AD$36</f>
        <v>39734</v>
      </c>
      <c r="AX48" s="175">
        <f>SIMULACIÓN!U8</f>
        <v>0</v>
      </c>
      <c r="AY48" s="175">
        <f ca="1">AX48-AW48</f>
        <v>-39734</v>
      </c>
      <c r="AZ48" s="133"/>
      <c r="BA48" s="133"/>
      <c r="BB48" s="133"/>
      <c r="BC48" s="133"/>
      <c r="BD48" s="133"/>
      <c r="BE48" s="133"/>
      <c r="BF48" s="133"/>
      <c r="BG48" s="133"/>
      <c r="BH48" s="133"/>
      <c r="BI48" s="133"/>
      <c r="BJ48" s="133"/>
      <c r="BK48" s="133"/>
      <c r="BL48" s="133"/>
      <c r="BM48" s="133"/>
      <c r="BN48" s="133"/>
      <c r="BO48" s="133"/>
      <c r="BP48" s="133"/>
      <c r="BQ48" s="133"/>
      <c r="BR48" s="133"/>
      <c r="BS48" s="133"/>
      <c r="BT48" s="133"/>
    </row>
    <row r="49" spans="1:72" x14ac:dyDescent="0.35">
      <c r="A49" s="133"/>
      <c r="B49" s="133"/>
      <c r="C49" s="133"/>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N49" s="179"/>
      <c r="AV49" s="180">
        <f>IF($AA$3="",6.5%,5%)</f>
        <v>0.05</v>
      </c>
      <c r="AW49" s="160">
        <f ca="1">((AH22*PMT(AV49,D20,-AO52)*VLOOKUP(TODAY(),'UF HOY'!$A$2:$B$36,2,0))/12)+$AD$36</f>
        <v>39734</v>
      </c>
      <c r="AX49" s="160">
        <f>SIMULACIÓN!U8</f>
        <v>0</v>
      </c>
      <c r="AY49" s="160">
        <f t="shared" ref="AY49" ca="1" si="3">AX49-AW49</f>
        <v>-39734</v>
      </c>
      <c r="AZ49" s="133"/>
      <c r="BA49" s="133"/>
      <c r="BB49" s="133"/>
      <c r="BC49" s="133"/>
      <c r="BD49" s="133"/>
      <c r="BE49" s="133"/>
      <c r="BF49" s="133"/>
      <c r="BG49" s="133"/>
      <c r="BH49" s="133"/>
      <c r="BI49" s="133"/>
      <c r="BJ49" s="133"/>
      <c r="BK49" s="133"/>
      <c r="BL49" s="133"/>
      <c r="BM49" s="133"/>
      <c r="BN49" s="133"/>
      <c r="BO49" s="133"/>
      <c r="BP49" s="133"/>
      <c r="BQ49" s="133"/>
      <c r="BR49" s="133"/>
      <c r="BS49" s="133"/>
      <c r="BT49" s="133"/>
    </row>
    <row r="50" spans="1:72" x14ac:dyDescent="0.35">
      <c r="A50" s="133"/>
      <c r="B50" s="133"/>
      <c r="C50" s="133"/>
      <c r="D50" s="133"/>
      <c r="E50" s="133"/>
      <c r="F50" s="133"/>
      <c r="G50" s="133"/>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M50" s="339" t="str">
        <f>"Simulación departamento: "&amp;AO47</f>
        <v xml:space="preserve">Simulación departamento: </v>
      </c>
      <c r="AN50" s="339"/>
      <c r="AO50" s="339"/>
      <c r="AP50" s="339"/>
      <c r="AQ50" s="339" t="str">
        <f>"Tipología: "&amp;AA13</f>
        <v xml:space="preserve">Tipología: </v>
      </c>
      <c r="AR50" s="339"/>
      <c r="AS50" s="339"/>
      <c r="AT50" s="339"/>
      <c r="AV50" s="246"/>
      <c r="AW50" s="189"/>
      <c r="AX50" s="189"/>
      <c r="AY50" s="189"/>
      <c r="AZ50" s="133"/>
      <c r="BA50" s="133"/>
      <c r="BB50" s="133"/>
      <c r="BC50" s="133"/>
      <c r="BD50" s="133"/>
      <c r="BE50" s="133"/>
      <c r="BF50" s="133"/>
      <c r="BG50" s="133"/>
      <c r="BH50" s="133"/>
      <c r="BI50" s="133"/>
      <c r="BJ50" s="133"/>
      <c r="BK50" s="133"/>
      <c r="BL50" s="133"/>
      <c r="BM50" s="133"/>
      <c r="BN50" s="133"/>
      <c r="BO50" s="133"/>
      <c r="BP50" s="133"/>
      <c r="BQ50" s="133"/>
      <c r="BR50" s="133"/>
      <c r="BS50" s="133"/>
      <c r="BT50" s="133"/>
    </row>
    <row r="51" spans="1:72" x14ac:dyDescent="0.35">
      <c r="A51" s="133"/>
      <c r="B51" s="133"/>
      <c r="C51" s="133"/>
      <c r="D51" s="133"/>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M51" s="188"/>
      <c r="AN51" s="189"/>
      <c r="AP51" s="189"/>
      <c r="AQ51" s="189"/>
      <c r="AR51" s="189"/>
      <c r="AS51" s="189"/>
      <c r="AT51" s="189"/>
      <c r="AV51" s="254"/>
      <c r="AW51" s="254"/>
      <c r="AX51" s="254"/>
      <c r="AY51" s="254"/>
      <c r="AZ51" s="133"/>
      <c r="BA51" s="133"/>
      <c r="BB51" s="133"/>
      <c r="BC51" s="133"/>
      <c r="BD51" s="133"/>
      <c r="BE51" s="133"/>
      <c r="BF51" s="133"/>
      <c r="BG51" s="133"/>
      <c r="BH51" s="133"/>
      <c r="BI51" s="133"/>
      <c r="BJ51" s="133"/>
      <c r="BK51" s="133"/>
      <c r="BL51" s="133"/>
      <c r="BM51" s="133"/>
      <c r="BN51" s="133"/>
      <c r="BO51" s="133"/>
      <c r="BP51" s="133"/>
      <c r="BQ51" s="133"/>
      <c r="BR51" s="133"/>
      <c r="BS51" s="133"/>
      <c r="BT51" s="133"/>
    </row>
    <row r="52" spans="1:72" x14ac:dyDescent="0.35">
      <c r="A52" s="133"/>
      <c r="B52" s="133"/>
      <c r="C52" s="133"/>
      <c r="D52" s="133"/>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M52" s="325" t="s">
        <v>67</v>
      </c>
      <c r="AN52" s="325"/>
      <c r="AO52" s="194">
        <f>AF22</f>
        <v>0</v>
      </c>
      <c r="AP52" s="325" t="s">
        <v>68</v>
      </c>
      <c r="AQ52" s="325"/>
      <c r="AR52" s="194">
        <f>AG22</f>
        <v>0</v>
      </c>
      <c r="AS52" s="325" t="s">
        <v>69</v>
      </c>
      <c r="AT52" s="325"/>
      <c r="AU52" s="195">
        <f>AH22</f>
        <v>0</v>
      </c>
      <c r="AV52" s="287"/>
      <c r="AW52" s="288"/>
      <c r="AX52" s="254"/>
      <c r="AY52" s="254"/>
      <c r="AZ52" s="133"/>
      <c r="BA52" s="133"/>
      <c r="BB52" s="133"/>
      <c r="BC52" s="133"/>
      <c r="BD52" s="133"/>
      <c r="BE52" s="133"/>
      <c r="BF52" s="133"/>
      <c r="BG52" s="133"/>
      <c r="BH52" s="133"/>
      <c r="BI52" s="133"/>
      <c r="BJ52" s="133"/>
      <c r="BK52" s="133"/>
      <c r="BL52" s="133"/>
      <c r="BM52" s="133"/>
      <c r="BN52" s="133"/>
      <c r="BO52" s="133"/>
      <c r="BP52" s="133"/>
      <c r="BQ52" s="133"/>
      <c r="BR52" s="133"/>
      <c r="BS52" s="133"/>
      <c r="BT52" s="133"/>
    </row>
    <row r="53" spans="1:72" x14ac:dyDescent="0.35">
      <c r="A53" s="133"/>
      <c r="B53" s="133"/>
      <c r="C53" s="133"/>
      <c r="D53" s="133"/>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M53" s="297"/>
      <c r="AN53" s="297"/>
      <c r="AO53" s="298"/>
      <c r="AP53" s="297"/>
      <c r="AQ53" s="297"/>
      <c r="AR53" s="298"/>
      <c r="AS53" s="298"/>
      <c r="AT53" s="298"/>
      <c r="AV53" s="155"/>
      <c r="AW53" s="133"/>
      <c r="AX53" s="133"/>
      <c r="AY53" s="133"/>
      <c r="AZ53" s="133"/>
      <c r="BA53" s="133"/>
      <c r="BB53" s="133"/>
      <c r="BC53" s="133"/>
      <c r="BD53" s="133"/>
      <c r="BE53" s="133"/>
      <c r="BF53" s="133"/>
      <c r="BG53" s="133"/>
      <c r="BH53" s="133"/>
      <c r="BI53" s="133"/>
      <c r="BJ53" s="133"/>
      <c r="BK53" s="133"/>
      <c r="BL53" s="133"/>
      <c r="BM53" s="133"/>
      <c r="BN53" s="133"/>
      <c r="BO53" s="133"/>
      <c r="BP53" s="133"/>
      <c r="BQ53" s="133"/>
      <c r="BR53" s="133"/>
      <c r="BS53" s="133"/>
      <c r="BT53" s="133"/>
    </row>
    <row r="54" spans="1:72" x14ac:dyDescent="0.35">
      <c r="A54" s="133"/>
      <c r="B54" s="133"/>
      <c r="C54" s="133"/>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V54" s="155"/>
      <c r="BB54" s="133"/>
      <c r="BC54" s="133"/>
      <c r="BD54" s="133"/>
      <c r="BE54" s="133"/>
      <c r="BF54" s="133"/>
      <c r="BG54" s="133"/>
      <c r="BH54" s="133"/>
      <c r="BI54" s="133"/>
      <c r="BJ54" s="133"/>
      <c r="BK54" s="133"/>
      <c r="BL54" s="133"/>
      <c r="BM54" s="133"/>
      <c r="BN54" s="133"/>
      <c r="BO54" s="133"/>
      <c r="BP54" s="133"/>
      <c r="BQ54" s="133"/>
      <c r="BR54" s="133"/>
      <c r="BS54" s="133"/>
      <c r="BT54" s="133"/>
    </row>
    <row r="55" spans="1:72" x14ac:dyDescent="0.35">
      <c r="A55" s="133"/>
      <c r="B55" s="133"/>
      <c r="C55" s="133"/>
      <c r="D55" s="133"/>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U55" s="299"/>
      <c r="AV55" s="300"/>
      <c r="AW55" s="299"/>
      <c r="AX55" s="299"/>
      <c r="AY55" s="299"/>
      <c r="AZ55" s="299"/>
      <c r="BA55" s="299"/>
      <c r="BB55" s="133"/>
      <c r="BC55" s="133"/>
      <c r="BD55" s="133"/>
      <c r="BE55" s="133"/>
      <c r="BF55" s="133"/>
      <c r="BG55" s="133"/>
      <c r="BH55" s="133"/>
      <c r="BI55" s="133"/>
      <c r="BJ55" s="133"/>
      <c r="BK55" s="133"/>
      <c r="BL55" s="133"/>
      <c r="BM55" s="133"/>
      <c r="BN55" s="133"/>
      <c r="BO55" s="133"/>
      <c r="BP55" s="133"/>
      <c r="BQ55" s="133"/>
      <c r="BR55" s="133"/>
      <c r="BS55" s="133"/>
      <c r="BT55" s="133"/>
    </row>
    <row r="56" spans="1:72" x14ac:dyDescent="0.35">
      <c r="A56" s="133"/>
      <c r="B56" s="133"/>
      <c r="C56" s="133"/>
      <c r="D56" s="133"/>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U56" s="299"/>
      <c r="AV56" s="301" t="str">
        <f ca="1">CONCATENATE("* Simulación a ",D20," años considerando la UF de hoy (UF ", TEXT(AD34,"##.###"),").")</f>
        <v>* Simulación a 30 años considerando la UF de hoy (UF 39.734).</v>
      </c>
      <c r="AW56" s="302"/>
      <c r="AX56" s="302"/>
      <c r="AY56" s="302"/>
      <c r="AZ56" s="299"/>
      <c r="BA56" s="299"/>
      <c r="BB56" s="133"/>
      <c r="BC56" s="133"/>
      <c r="BD56" s="133"/>
      <c r="BE56" s="133"/>
      <c r="BF56" s="133"/>
      <c r="BG56" s="133"/>
      <c r="BH56" s="133"/>
      <c r="BI56" s="133"/>
      <c r="BJ56" s="133"/>
      <c r="BK56" s="133"/>
      <c r="BL56" s="133"/>
      <c r="BM56" s="133"/>
      <c r="BN56" s="133"/>
      <c r="BO56" s="133"/>
      <c r="BP56" s="133"/>
      <c r="BQ56" s="133"/>
      <c r="BR56" s="133"/>
      <c r="BS56" s="133"/>
      <c r="BT56" s="133"/>
    </row>
    <row r="57" spans="1:72" x14ac:dyDescent="0.35">
      <c r="A57" s="133"/>
      <c r="B57" s="133"/>
      <c r="C57" s="133"/>
      <c r="D57" s="133"/>
      <c r="E57" s="133"/>
      <c r="F57" s="133"/>
      <c r="G57" s="133"/>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U57" s="299"/>
      <c r="AV57" s="308" t="s">
        <v>87</v>
      </c>
      <c r="AW57" s="308"/>
      <c r="AX57" s="308"/>
      <c r="AY57" s="308"/>
      <c r="AZ57" s="308"/>
      <c r="BA57" s="308"/>
      <c r="BB57" s="133"/>
      <c r="BC57" s="133"/>
      <c r="BD57" s="133"/>
      <c r="BE57" s="133"/>
      <c r="BF57" s="133"/>
      <c r="BG57" s="133"/>
      <c r="BH57" s="133"/>
      <c r="BI57" s="133"/>
      <c r="BJ57" s="133"/>
      <c r="BK57" s="133"/>
      <c r="BL57" s="133"/>
      <c r="BM57" s="133"/>
      <c r="BN57" s="133"/>
      <c r="BO57" s="133"/>
      <c r="BP57" s="133"/>
      <c r="BQ57" s="133"/>
      <c r="BR57" s="133"/>
      <c r="BS57" s="133"/>
      <c r="BT57" s="133"/>
    </row>
    <row r="58" spans="1:72" x14ac:dyDescent="0.35">
      <c r="A58" s="133"/>
      <c r="B58" s="133"/>
      <c r="C58" s="133"/>
      <c r="D58" s="133"/>
      <c r="E58" s="133"/>
      <c r="F58" s="133"/>
      <c r="G58" s="133"/>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U58" s="299"/>
      <c r="AV58" s="308" t="s">
        <v>358</v>
      </c>
      <c r="AW58" s="308"/>
      <c r="AX58" s="308"/>
      <c r="AY58" s="308"/>
      <c r="AZ58" s="308"/>
      <c r="BA58" s="308"/>
      <c r="BB58" s="133"/>
      <c r="BC58" s="133"/>
      <c r="BD58" s="133"/>
      <c r="BE58" s="133"/>
      <c r="BF58" s="133"/>
      <c r="BG58" s="133"/>
      <c r="BH58" s="133"/>
      <c r="BI58" s="133"/>
      <c r="BJ58" s="133"/>
      <c r="BK58" s="133"/>
      <c r="BL58" s="133"/>
      <c r="BM58" s="133"/>
      <c r="BN58" s="133"/>
      <c r="BO58" s="133"/>
      <c r="BP58" s="133"/>
      <c r="BQ58" s="133"/>
      <c r="BR58" s="133"/>
      <c r="BS58" s="133"/>
      <c r="BT58" s="133"/>
    </row>
    <row r="59" spans="1:72" x14ac:dyDescent="0.35">
      <c r="A59" s="133"/>
      <c r="B59" s="133"/>
      <c r="C59" s="133"/>
      <c r="D59" s="133"/>
      <c r="E59" s="133"/>
      <c r="F59" s="133"/>
      <c r="G59" s="133"/>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U59" s="299"/>
      <c r="AV59" s="308" t="str" cm="1">
        <f t="array" ref="AV59">IFERROR(_xlfn.IFS(AA3="Atelier","* Dptos cuentan con arriendo garantizado XL por 2 años.",AA3="pLAZA Lira","* Dptos cuentan con arriendo garantizado XL por 2 años."),"")</f>
        <v>* Dptos cuentan con arriendo garantizado XL por 2 años.</v>
      </c>
      <c r="AW59" s="308"/>
      <c r="AX59" s="308"/>
      <c r="AY59" s="308"/>
      <c r="AZ59" s="308"/>
      <c r="BA59" s="308"/>
      <c r="BB59" s="133"/>
      <c r="BC59" s="133"/>
      <c r="BD59" s="133"/>
      <c r="BE59" s="133"/>
      <c r="BF59" s="133"/>
      <c r="BG59" s="133"/>
      <c r="BH59" s="133"/>
      <c r="BI59" s="133"/>
      <c r="BJ59" s="133"/>
      <c r="BK59" s="133"/>
      <c r="BL59" s="133"/>
      <c r="BM59" s="133"/>
      <c r="BN59" s="133"/>
      <c r="BO59" s="133"/>
      <c r="BP59" s="133"/>
      <c r="BQ59" s="133"/>
      <c r="BR59" s="133"/>
      <c r="BS59" s="133"/>
      <c r="BT59" s="133"/>
    </row>
    <row r="60" spans="1:72" x14ac:dyDescent="0.35">
      <c r="A60" s="133"/>
      <c r="B60" s="133"/>
      <c r="C60" s="133"/>
      <c r="D60" s="133"/>
      <c r="E60" s="133"/>
      <c r="F60" s="133"/>
      <c r="G60" s="133"/>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U60" s="299"/>
      <c r="AV60" s="300"/>
      <c r="AW60" s="299"/>
      <c r="AX60" s="299"/>
      <c r="AY60" s="299"/>
      <c r="AZ60" s="299"/>
      <c r="BA60" s="299"/>
      <c r="BB60" s="133"/>
      <c r="BC60" s="133"/>
      <c r="BD60" s="133"/>
      <c r="BE60" s="133"/>
      <c r="BF60" s="133"/>
      <c r="BG60" s="133"/>
      <c r="BH60" s="133"/>
      <c r="BI60" s="133"/>
      <c r="BJ60" s="133"/>
      <c r="BK60" s="133"/>
      <c r="BL60" s="133"/>
      <c r="BM60" s="133"/>
      <c r="BN60" s="133"/>
      <c r="BO60" s="133"/>
      <c r="BP60" s="133"/>
      <c r="BQ60" s="133"/>
      <c r="BR60" s="133"/>
      <c r="BS60" s="133"/>
      <c r="BT60" s="133"/>
    </row>
    <row r="61" spans="1:72" x14ac:dyDescent="0.35">
      <c r="A61" s="133"/>
      <c r="B61" s="133"/>
      <c r="C61" s="133"/>
      <c r="D61" s="133"/>
      <c r="E61" s="133"/>
      <c r="F61" s="133"/>
      <c r="G61" s="133"/>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U61" s="299"/>
      <c r="AV61" s="300"/>
      <c r="AW61" s="299"/>
      <c r="AX61" s="299"/>
      <c r="AY61" s="299"/>
      <c r="AZ61" s="299"/>
      <c r="BA61" s="299"/>
      <c r="BB61" s="133"/>
      <c r="BD61" s="133"/>
      <c r="BE61" s="133"/>
      <c r="BF61" s="133"/>
      <c r="BG61" s="133"/>
      <c r="BH61" s="133"/>
      <c r="BI61" s="133"/>
      <c r="BJ61" s="133"/>
      <c r="BK61" s="133"/>
    </row>
    <row r="62" spans="1:72" x14ac:dyDescent="0.35">
      <c r="A62" s="133"/>
      <c r="B62" s="133"/>
      <c r="C62" s="133"/>
      <c r="D62" s="133"/>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V62" s="155"/>
      <c r="BB62" s="133"/>
      <c r="BC62" s="133"/>
      <c r="BD62" s="133"/>
      <c r="BE62" s="133"/>
      <c r="BF62" s="133"/>
      <c r="BG62" s="133"/>
      <c r="BH62" s="133"/>
      <c r="BI62" s="133"/>
      <c r="BJ62" s="133"/>
      <c r="BK62" s="133"/>
    </row>
    <row r="63" spans="1:72" x14ac:dyDescent="0.35">
      <c r="A63" s="133"/>
      <c r="B63" s="133"/>
      <c r="C63" s="133"/>
      <c r="D63" s="133"/>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V63" s="155"/>
      <c r="BB63" s="133"/>
      <c r="BC63" s="133"/>
      <c r="BD63" s="133"/>
      <c r="BE63" s="133"/>
      <c r="BF63" s="133"/>
      <c r="BG63" s="133"/>
      <c r="BH63" s="133"/>
      <c r="BI63" s="133"/>
      <c r="BJ63" s="133"/>
    </row>
    <row r="64" spans="1:72" x14ac:dyDescent="0.35">
      <c r="A64" s="133"/>
      <c r="B64" s="133"/>
      <c r="C64" s="133"/>
      <c r="D64" s="133"/>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V64" s="155"/>
      <c r="BB64" s="133"/>
      <c r="BC64" s="133"/>
    </row>
    <row r="65" spans="1:55" x14ac:dyDescent="0.35">
      <c r="A65" s="133"/>
      <c r="B65" s="133"/>
      <c r="C65" s="133"/>
      <c r="D65" s="133"/>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V65" s="155"/>
      <c r="BB65" s="133"/>
      <c r="BC65" s="133"/>
    </row>
    <row r="66" spans="1:55" x14ac:dyDescent="0.35">
      <c r="A66" s="133"/>
      <c r="B66" s="133"/>
      <c r="C66" s="133"/>
      <c r="D66" s="133"/>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V66" s="155"/>
      <c r="BB66" s="133"/>
      <c r="BC66" s="133"/>
    </row>
    <row r="67" spans="1:55" x14ac:dyDescent="0.35">
      <c r="A67" s="133"/>
      <c r="B67" s="133"/>
      <c r="C67" s="133"/>
      <c r="D67" s="133"/>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63"/>
      <c r="AW67" s="133"/>
      <c r="AX67" s="133"/>
      <c r="AY67" s="133"/>
      <c r="AZ67" s="133"/>
      <c r="BA67" s="133"/>
      <c r="BB67" s="133"/>
      <c r="BC67" s="133"/>
    </row>
    <row r="68" spans="1:55" x14ac:dyDescent="0.35">
      <c r="A68" s="133"/>
      <c r="B68" s="133"/>
      <c r="C68" s="133"/>
      <c r="D68" s="133"/>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63"/>
      <c r="AW68" s="133"/>
      <c r="AX68" s="133"/>
      <c r="AY68" s="133"/>
      <c r="AZ68" s="133"/>
      <c r="BA68" s="133"/>
      <c r="BB68" s="133"/>
      <c r="BC68" s="133"/>
    </row>
    <row r="69" spans="1:55" x14ac:dyDescent="0.35">
      <c r="A69" s="133"/>
      <c r="B69" s="133"/>
      <c r="C69" s="133"/>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63"/>
      <c r="AW69" s="133"/>
      <c r="AX69" s="133"/>
      <c r="AY69" s="133"/>
      <c r="AZ69" s="133"/>
      <c r="BA69" s="133"/>
      <c r="BB69" s="133"/>
      <c r="BC69" s="133"/>
    </row>
    <row r="70" spans="1:55" x14ac:dyDescent="0.35">
      <c r="A70" s="133"/>
      <c r="B70" s="133"/>
      <c r="C70" s="13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63"/>
      <c r="AW70" s="133"/>
      <c r="AX70" s="133"/>
      <c r="AY70" s="133"/>
      <c r="AZ70" s="133"/>
      <c r="BA70" s="133"/>
      <c r="BB70" s="133"/>
      <c r="BC70" s="133"/>
    </row>
    <row r="71" spans="1:55" x14ac:dyDescent="0.35">
      <c r="A71" s="133"/>
      <c r="B71" s="133"/>
      <c r="C71" s="13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63"/>
      <c r="AW71" s="133"/>
      <c r="AX71" s="133"/>
      <c r="AY71" s="133"/>
      <c r="AZ71" s="133"/>
      <c r="BA71" s="133"/>
      <c r="BB71" s="133"/>
      <c r="BC71" s="133"/>
    </row>
    <row r="72" spans="1:55" x14ac:dyDescent="0.35">
      <c r="A72" s="133"/>
      <c r="B72" s="133"/>
      <c r="C72" s="13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63"/>
      <c r="AW72" s="133"/>
      <c r="AX72" s="133"/>
      <c r="AY72" s="133"/>
      <c r="AZ72" s="133"/>
      <c r="BA72" s="133"/>
      <c r="BB72" s="133"/>
      <c r="BC72" s="133"/>
    </row>
    <row r="73" spans="1:55" x14ac:dyDescent="0.35">
      <c r="A73" s="133"/>
      <c r="B73" s="133"/>
      <c r="C73" s="133"/>
      <c r="D73" s="133"/>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63"/>
      <c r="AW73" s="133"/>
      <c r="AX73" s="133"/>
      <c r="AY73" s="133"/>
      <c r="AZ73" s="133"/>
      <c r="BA73" s="133"/>
      <c r="BB73" s="133"/>
      <c r="BC73" s="133"/>
    </row>
    <row r="74" spans="1:55" x14ac:dyDescent="0.35">
      <c r="A74" s="133"/>
      <c r="B74" s="133"/>
      <c r="C74" s="133"/>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63"/>
      <c r="AW74" s="133"/>
      <c r="AX74" s="133"/>
      <c r="AY74" s="133"/>
      <c r="AZ74" s="133"/>
      <c r="BA74" s="133"/>
      <c r="BB74" s="133"/>
      <c r="BC74" s="133"/>
    </row>
    <row r="75" spans="1:55" x14ac:dyDescent="0.35">
      <c r="A75" s="133"/>
      <c r="B75" s="133"/>
      <c r="C75" s="133"/>
      <c r="D75" s="133"/>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63"/>
      <c r="AW75" s="133"/>
      <c r="AX75" s="133"/>
      <c r="AY75" s="133"/>
      <c r="AZ75" s="133"/>
      <c r="BA75" s="133"/>
      <c r="BB75" s="133"/>
      <c r="BC75" s="133"/>
    </row>
    <row r="76" spans="1:55" x14ac:dyDescent="0.35">
      <c r="A76" s="133"/>
      <c r="B76" s="133"/>
      <c r="C76" s="133"/>
      <c r="D76" s="133"/>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63"/>
      <c r="AW76" s="133"/>
      <c r="AX76" s="133"/>
      <c r="AY76" s="133"/>
      <c r="AZ76" s="133"/>
      <c r="BA76" s="133"/>
      <c r="BB76" s="133"/>
      <c r="BC76" s="133"/>
    </row>
    <row r="77" spans="1:55" x14ac:dyDescent="0.35">
      <c r="A77" s="133"/>
      <c r="B77" s="133"/>
      <c r="C77" s="133"/>
      <c r="D77" s="133"/>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63"/>
      <c r="AW77" s="133"/>
      <c r="AX77" s="133"/>
      <c r="AY77" s="133"/>
      <c r="AZ77" s="133"/>
      <c r="BA77" s="133"/>
      <c r="BB77" s="133"/>
      <c r="BC77" s="133"/>
    </row>
    <row r="78" spans="1:55" x14ac:dyDescent="0.35">
      <c r="A78" s="133"/>
      <c r="B78" s="133"/>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63"/>
      <c r="AW78" s="133"/>
      <c r="AX78" s="133"/>
      <c r="AY78" s="133"/>
      <c r="AZ78" s="133"/>
      <c r="BA78" s="133"/>
      <c r="BB78" s="133"/>
      <c r="BC78" s="133"/>
    </row>
    <row r="79" spans="1:55" x14ac:dyDescent="0.35">
      <c r="A79" s="133"/>
      <c r="B79" s="133"/>
      <c r="C79" s="133"/>
      <c r="D79" s="133"/>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63"/>
      <c r="AW79" s="133"/>
      <c r="AX79" s="133"/>
      <c r="AY79" s="133"/>
      <c r="AZ79" s="133"/>
      <c r="BA79" s="133"/>
      <c r="BB79" s="133"/>
      <c r="BC79" s="133"/>
    </row>
    <row r="80" spans="1:55" x14ac:dyDescent="0.35">
      <c r="A80" s="133"/>
      <c r="B80" s="133"/>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63"/>
      <c r="AW80" s="133"/>
      <c r="AX80" s="133"/>
      <c r="AY80" s="133"/>
      <c r="AZ80" s="133"/>
      <c r="BA80" s="133"/>
      <c r="BB80" s="133"/>
      <c r="BC80" s="133"/>
    </row>
    <row r="81" spans="1:55" x14ac:dyDescent="0.35">
      <c r="A81" s="133"/>
      <c r="B81" s="133"/>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row>
    <row r="82" spans="1:55" x14ac:dyDescent="0.35">
      <c r="A82" s="133"/>
      <c r="B82" s="133"/>
      <c r="C82" s="133"/>
      <c r="D82" s="133"/>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row>
    <row r="83" spans="1:55" x14ac:dyDescent="0.35">
      <c r="A83" s="133"/>
      <c r="B83" s="133"/>
      <c r="C83" s="133"/>
      <c r="D83" s="133"/>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row>
    <row r="84" spans="1:55" x14ac:dyDescent="0.35">
      <c r="A84" s="133"/>
      <c r="B84" s="133"/>
      <c r="C84" s="133"/>
      <c r="D84" s="133"/>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row>
    <row r="85" spans="1:55" x14ac:dyDescent="0.35">
      <c r="A85" s="133"/>
      <c r="B85" s="133"/>
      <c r="C85" s="133"/>
      <c r="D85" s="133"/>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row>
    <row r="86" spans="1:55" x14ac:dyDescent="0.35">
      <c r="A86" s="133"/>
      <c r="B86" s="133"/>
      <c r="C86" s="133"/>
      <c r="D86" s="133"/>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row>
    <row r="87" spans="1:55" x14ac:dyDescent="0.35">
      <c r="A87" s="133"/>
      <c r="B87" s="133"/>
      <c r="C87" s="133"/>
      <c r="D87" s="133"/>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row>
    <row r="88" spans="1:55" x14ac:dyDescent="0.35">
      <c r="A88" s="133"/>
      <c r="B88" s="133"/>
      <c r="C88" s="133"/>
      <c r="D88" s="133"/>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row>
    <row r="89" spans="1:55" x14ac:dyDescent="0.35">
      <c r="A89" s="133"/>
      <c r="B89" s="133"/>
      <c r="C89" s="133"/>
      <c r="D89" s="133"/>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row>
    <row r="90" spans="1:55" x14ac:dyDescent="0.35">
      <c r="A90" s="133"/>
      <c r="B90" s="133"/>
      <c r="C90" s="133"/>
      <c r="D90" s="133"/>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row>
    <row r="91" spans="1:55" x14ac:dyDescent="0.35">
      <c r="A91" s="133"/>
      <c r="B91" s="133"/>
      <c r="C91" s="133"/>
      <c r="D91" s="133"/>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row>
    <row r="92" spans="1:55" x14ac:dyDescent="0.35">
      <c r="A92" s="133"/>
      <c r="B92" s="133"/>
      <c r="C92" s="133"/>
      <c r="D92" s="133"/>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row>
    <row r="93" spans="1:55" x14ac:dyDescent="0.35">
      <c r="A93" s="133"/>
      <c r="B93" s="133"/>
      <c r="C93" s="133"/>
      <c r="D93" s="133"/>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row>
    <row r="94" spans="1:55" x14ac:dyDescent="0.35">
      <c r="A94" s="133"/>
      <c r="B94" s="133"/>
      <c r="C94" s="133"/>
      <c r="D94" s="133"/>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row>
    <row r="95" spans="1:55" x14ac:dyDescent="0.35">
      <c r="A95" s="133"/>
      <c r="B95" s="133"/>
      <c r="C95" s="133"/>
      <c r="D95" s="133"/>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row>
    <row r="96" spans="1:55" x14ac:dyDescent="0.35">
      <c r="A96" s="133"/>
      <c r="B96" s="133"/>
      <c r="C96" s="133"/>
      <c r="D96" s="133"/>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M96" s="133"/>
      <c r="AN96" s="133"/>
      <c r="AO96" s="133"/>
      <c r="AP96" s="133"/>
      <c r="AQ96" s="133"/>
      <c r="AR96" s="133"/>
      <c r="AS96" s="133"/>
      <c r="AT96" s="133"/>
      <c r="AU96" s="133"/>
      <c r="AV96" s="133"/>
      <c r="AW96" s="133"/>
      <c r="AX96" s="133"/>
      <c r="AY96" s="133"/>
      <c r="AZ96" s="133"/>
      <c r="BA96" s="133"/>
      <c r="BB96" s="133"/>
    </row>
    <row r="97" spans="1:54" x14ac:dyDescent="0.35">
      <c r="A97" s="133"/>
      <c r="B97" s="133"/>
      <c r="C97" s="133"/>
      <c r="D97" s="133"/>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M97" s="133"/>
      <c r="AN97" s="133"/>
      <c r="AO97" s="133"/>
      <c r="AP97" s="133"/>
      <c r="AQ97" s="133"/>
      <c r="AR97" s="133"/>
      <c r="AS97" s="133"/>
      <c r="AT97" s="133"/>
      <c r="AU97" s="133"/>
      <c r="AV97" s="133"/>
      <c r="AW97" s="133"/>
      <c r="AX97" s="133"/>
      <c r="AY97" s="133"/>
      <c r="AZ97" s="133"/>
      <c r="BA97" s="133"/>
      <c r="BB97" s="133"/>
    </row>
    <row r="98" spans="1:54" x14ac:dyDescent="0.35">
      <c r="A98" s="133"/>
      <c r="B98" s="133"/>
      <c r="C98" s="133"/>
      <c r="D98" s="133"/>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N98" s="133"/>
      <c r="AO98" s="133"/>
      <c r="AP98" s="133"/>
      <c r="AQ98" s="133"/>
      <c r="AR98" s="133"/>
      <c r="AS98" s="133"/>
      <c r="AT98" s="133"/>
      <c r="AU98" s="133"/>
      <c r="AV98" s="133"/>
      <c r="AW98" s="133"/>
      <c r="AX98" s="133"/>
      <c r="AY98" s="133"/>
      <c r="AZ98" s="133"/>
      <c r="BA98" s="133"/>
      <c r="BB98" s="133"/>
    </row>
    <row r="99" spans="1:54" x14ac:dyDescent="0.35">
      <c r="A99" s="133"/>
      <c r="B99" s="133"/>
      <c r="C99" s="133"/>
      <c r="D99" s="133"/>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N99" s="133"/>
      <c r="AO99" s="133"/>
      <c r="AP99" s="133"/>
      <c r="AQ99" s="133"/>
      <c r="AR99" s="133"/>
      <c r="AS99" s="133"/>
      <c r="AT99" s="133"/>
      <c r="AU99" s="133"/>
      <c r="AV99" s="133"/>
      <c r="AW99" s="133"/>
      <c r="AX99" s="133"/>
      <c r="AY99" s="133"/>
      <c r="AZ99" s="133"/>
      <c r="BA99" s="133"/>
      <c r="BB99" s="133"/>
    </row>
    <row r="100" spans="1:54" x14ac:dyDescent="0.35">
      <c r="A100" s="133"/>
      <c r="B100" s="133"/>
      <c r="C100" s="133"/>
      <c r="D100" s="133"/>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N100" s="133"/>
      <c r="AO100" s="133"/>
      <c r="AP100" s="133"/>
      <c r="AQ100" s="133"/>
      <c r="AR100" s="133"/>
      <c r="AS100" s="133"/>
      <c r="AT100" s="133"/>
      <c r="AU100" s="133"/>
      <c r="AV100" s="133"/>
      <c r="AW100" s="133"/>
      <c r="AX100" s="133"/>
      <c r="AY100" s="133"/>
      <c r="AZ100" s="133"/>
      <c r="BA100" s="133"/>
      <c r="BB100" s="133"/>
    </row>
    <row r="101" spans="1:54" x14ac:dyDescent="0.35">
      <c r="A101" s="133"/>
      <c r="B101" s="133"/>
      <c r="C101" s="133"/>
      <c r="D101" s="133"/>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N101" s="133"/>
      <c r="AO101" s="133"/>
      <c r="AP101" s="133"/>
      <c r="AQ101" s="133"/>
      <c r="AR101" s="133"/>
      <c r="AS101" s="133"/>
      <c r="AT101" s="133"/>
      <c r="AU101" s="133"/>
      <c r="AV101" s="133"/>
      <c r="AW101" s="133"/>
      <c r="AX101" s="133"/>
      <c r="AY101" s="133"/>
      <c r="AZ101" s="133"/>
      <c r="BA101" s="133"/>
      <c r="BB101" s="133"/>
    </row>
    <row r="102" spans="1:54" x14ac:dyDescent="0.35">
      <c r="A102" s="133"/>
      <c r="B102" s="133"/>
      <c r="C102" s="133"/>
      <c r="D102" s="133"/>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N102" s="133"/>
      <c r="AO102" s="133"/>
      <c r="AP102" s="133"/>
      <c r="AQ102" s="133"/>
      <c r="AR102" s="133"/>
      <c r="AS102" s="133"/>
      <c r="AT102" s="133"/>
      <c r="AU102" s="133"/>
      <c r="AV102" s="133"/>
      <c r="AW102" s="133"/>
      <c r="AX102" s="133"/>
      <c r="AY102" s="133"/>
      <c r="AZ102" s="133"/>
      <c r="BA102" s="133"/>
      <c r="BB102" s="133"/>
    </row>
    <row r="103" spans="1:54" x14ac:dyDescent="0.35">
      <c r="A103" s="133"/>
      <c r="B103" s="133"/>
      <c r="C103" s="133"/>
      <c r="D103" s="133"/>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N103" s="133"/>
      <c r="AO103" s="133"/>
      <c r="AP103" s="133"/>
      <c r="AQ103" s="133"/>
      <c r="AR103" s="133"/>
      <c r="AS103" s="133"/>
      <c r="AT103" s="133"/>
      <c r="AU103" s="133"/>
      <c r="AV103" s="133"/>
      <c r="AW103" s="133"/>
      <c r="AX103" s="133"/>
      <c r="AY103" s="133"/>
      <c r="AZ103" s="133"/>
      <c r="BA103" s="133"/>
    </row>
    <row r="104" spans="1:54" x14ac:dyDescent="0.35">
      <c r="A104" s="133"/>
      <c r="B104" s="133"/>
      <c r="C104" s="133"/>
      <c r="D104" s="133"/>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N104" s="133"/>
      <c r="AO104" s="133"/>
      <c r="AP104" s="133"/>
      <c r="AQ104" s="133"/>
      <c r="AR104" s="133"/>
      <c r="AS104" s="133"/>
      <c r="AT104" s="133"/>
      <c r="AU104" s="133"/>
      <c r="AV104" s="133"/>
      <c r="AW104" s="133"/>
      <c r="AX104" s="133"/>
      <c r="AY104" s="133"/>
      <c r="AZ104" s="133"/>
      <c r="BA104" s="133"/>
    </row>
    <row r="105" spans="1:54" x14ac:dyDescent="0.35">
      <c r="A105" s="133"/>
      <c r="B105" s="133"/>
      <c r="C105" s="133"/>
      <c r="D105" s="133"/>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N105" s="133"/>
      <c r="AO105" s="133"/>
      <c r="AP105" s="133"/>
      <c r="AQ105" s="133"/>
      <c r="AR105" s="133"/>
      <c r="AS105" s="133"/>
      <c r="AT105" s="133"/>
      <c r="AU105" s="133"/>
      <c r="AV105" s="133"/>
      <c r="AW105" s="133"/>
      <c r="AX105" s="133"/>
      <c r="AY105" s="133"/>
      <c r="AZ105" s="133"/>
      <c r="BA105" s="133"/>
    </row>
    <row r="106" spans="1:54" x14ac:dyDescent="0.35">
      <c r="A106" s="133"/>
      <c r="B106" s="133"/>
      <c r="C106" s="133"/>
      <c r="D106" s="133"/>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N106" s="133"/>
      <c r="AO106" s="133"/>
      <c r="AP106" s="133"/>
      <c r="AQ106" s="133"/>
      <c r="AR106" s="133"/>
      <c r="AS106" s="133"/>
      <c r="AT106" s="133"/>
      <c r="AU106" s="133"/>
      <c r="AV106" s="133"/>
      <c r="AW106" s="133"/>
      <c r="AX106" s="133"/>
      <c r="AY106" s="133"/>
      <c r="AZ106" s="133"/>
      <c r="BA106" s="133"/>
    </row>
    <row r="107" spans="1:54" x14ac:dyDescent="0.35">
      <c r="A107" s="133"/>
      <c r="B107" s="133"/>
      <c r="C107" s="133"/>
      <c r="D107" s="133"/>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N107" s="133"/>
      <c r="AO107" s="133"/>
      <c r="AP107" s="133"/>
      <c r="AQ107" s="133"/>
      <c r="AR107" s="133"/>
      <c r="AS107" s="133"/>
      <c r="AT107" s="133"/>
      <c r="AU107" s="133"/>
      <c r="AV107" s="133"/>
      <c r="AW107" s="133"/>
      <c r="AX107" s="133"/>
      <c r="AY107" s="133"/>
      <c r="AZ107" s="133"/>
      <c r="BA107" s="133"/>
    </row>
    <row r="108" spans="1:54" x14ac:dyDescent="0.35">
      <c r="A108" s="133"/>
      <c r="B108" s="133"/>
      <c r="C108" s="133"/>
      <c r="D108" s="133"/>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V108" s="133"/>
      <c r="AW108" s="133"/>
      <c r="AX108" s="133"/>
      <c r="AY108" s="133"/>
    </row>
    <row r="109" spans="1:54" x14ac:dyDescent="0.35">
      <c r="A109" s="133"/>
      <c r="B109" s="133"/>
      <c r="C109" s="133"/>
      <c r="D109" s="133"/>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row>
    <row r="110" spans="1:54" x14ac:dyDescent="0.35">
      <c r="A110" s="133"/>
      <c r="B110" s="133"/>
      <c r="C110" s="133"/>
      <c r="D110" s="133"/>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row>
    <row r="111" spans="1:54" x14ac:dyDescent="0.35">
      <c r="A111" s="133"/>
      <c r="B111" s="133"/>
      <c r="C111" s="133"/>
      <c r="D111" s="133"/>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row>
    <row r="112" spans="1:54" x14ac:dyDescent="0.35">
      <c r="A112" s="133"/>
      <c r="B112" s="133"/>
      <c r="C112" s="133"/>
      <c r="D112" s="133"/>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row>
    <row r="113" spans="1:33" x14ac:dyDescent="0.35">
      <c r="A113" s="133"/>
      <c r="B113" s="133"/>
      <c r="C113" s="133"/>
      <c r="D113" s="133"/>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row>
    <row r="114" spans="1:33" x14ac:dyDescent="0.35">
      <c r="A114" s="133"/>
      <c r="B114" s="133"/>
      <c r="C114" s="133"/>
      <c r="D114" s="133"/>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row>
    <row r="115" spans="1:33" x14ac:dyDescent="0.35">
      <c r="A115" s="133"/>
      <c r="B115" s="133"/>
      <c r="C115" s="133"/>
      <c r="D115" s="133"/>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row>
    <row r="116" spans="1:33" x14ac:dyDescent="0.35">
      <c r="A116" s="133"/>
      <c r="B116" s="133"/>
      <c r="C116" s="133"/>
      <c r="D116" s="133"/>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row>
    <row r="117" spans="1:33" x14ac:dyDescent="0.35">
      <c r="A117" s="133"/>
      <c r="B117" s="133"/>
      <c r="C117" s="133"/>
      <c r="D117" s="133"/>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row>
    <row r="118" spans="1:33" x14ac:dyDescent="0.35">
      <c r="A118" s="133"/>
      <c r="B118" s="133"/>
      <c r="C118" s="133"/>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row>
    <row r="119" spans="1:33" x14ac:dyDescent="0.35">
      <c r="A119" s="133"/>
      <c r="B119" s="133"/>
      <c r="C119" s="133"/>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row>
    <row r="120" spans="1:33" x14ac:dyDescent="0.35">
      <c r="A120" s="133"/>
      <c r="B120" s="133"/>
      <c r="C120" s="133"/>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row>
    <row r="121" spans="1:33" x14ac:dyDescent="0.35">
      <c r="A121" s="133"/>
      <c r="B121" s="133"/>
      <c r="C121" s="133"/>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row>
    <row r="122" spans="1:33" x14ac:dyDescent="0.35">
      <c r="A122" s="133"/>
      <c r="B122" s="133"/>
      <c r="C122" s="133"/>
      <c r="D122" s="133"/>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row>
    <row r="123" spans="1:33" x14ac:dyDescent="0.35">
      <c r="A123" s="133"/>
      <c r="B123" s="133"/>
      <c r="C123" s="133"/>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row>
    <row r="124" spans="1:33" x14ac:dyDescent="0.35">
      <c r="A124" s="133"/>
      <c r="B124" s="133"/>
      <c r="C124" s="133"/>
      <c r="D124" s="133"/>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row>
    <row r="125" spans="1:33" x14ac:dyDescent="0.35">
      <c r="A125" s="133"/>
      <c r="B125" s="133"/>
      <c r="C125" s="133"/>
      <c r="D125" s="133"/>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row>
    <row r="126" spans="1:33" x14ac:dyDescent="0.35">
      <c r="A126" s="133"/>
      <c r="B126" s="133"/>
      <c r="C126" s="133"/>
      <c r="D126" s="133"/>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row>
    <row r="127" spans="1:33" x14ac:dyDescent="0.35">
      <c r="A127" s="133"/>
      <c r="B127" s="133"/>
      <c r="C127" s="133"/>
      <c r="D127" s="133"/>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row>
    <row r="128" spans="1:33" x14ac:dyDescent="0.35">
      <c r="A128" s="133"/>
      <c r="B128" s="133"/>
      <c r="C128" s="133"/>
      <c r="D128" s="133"/>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row>
    <row r="129" spans="1:33" x14ac:dyDescent="0.35">
      <c r="A129" s="133"/>
      <c r="B129" s="133"/>
      <c r="C129" s="133"/>
      <c r="D129" s="133"/>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row>
    <row r="130" spans="1:33" x14ac:dyDescent="0.35">
      <c r="A130" s="133"/>
      <c r="B130" s="133"/>
      <c r="C130" s="133"/>
      <c r="D130" s="133"/>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row>
    <row r="131" spans="1:33" x14ac:dyDescent="0.35">
      <c r="A131" s="133"/>
      <c r="B131" s="133"/>
      <c r="C131" s="133"/>
      <c r="D131" s="133"/>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row>
    <row r="132" spans="1:33" x14ac:dyDescent="0.35">
      <c r="A132" s="133"/>
      <c r="B132" s="133"/>
      <c r="C132" s="133"/>
      <c r="D132" s="133"/>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row>
    <row r="133" spans="1:33" x14ac:dyDescent="0.35">
      <c r="A133" s="133"/>
      <c r="B133" s="133"/>
      <c r="C133" s="133"/>
      <c r="D133" s="133"/>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row>
    <row r="134" spans="1:33" x14ac:dyDescent="0.35">
      <c r="A134" s="133"/>
      <c r="B134" s="133"/>
      <c r="C134" s="133"/>
      <c r="D134" s="133"/>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row>
    <row r="135" spans="1:33" x14ac:dyDescent="0.35">
      <c r="A135" s="133"/>
      <c r="B135" s="133"/>
      <c r="C135" s="133"/>
      <c r="D135" s="133"/>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row>
    <row r="136" spans="1:33" x14ac:dyDescent="0.35">
      <c r="A136" s="133"/>
      <c r="B136" s="133"/>
      <c r="C136" s="133"/>
      <c r="D136" s="133"/>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row>
    <row r="137" spans="1:33" x14ac:dyDescent="0.35">
      <c r="A137" s="133"/>
      <c r="B137" s="133"/>
      <c r="C137" s="133"/>
      <c r="D137" s="133"/>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row>
    <row r="138" spans="1:33" x14ac:dyDescent="0.35">
      <c r="A138" s="133"/>
      <c r="B138" s="133"/>
      <c r="C138" s="133"/>
      <c r="D138" s="133"/>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row>
    <row r="139" spans="1:33" x14ac:dyDescent="0.35">
      <c r="A139" s="133"/>
      <c r="B139" s="133"/>
      <c r="C139" s="133"/>
      <c r="D139" s="133"/>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row>
    <row r="140" spans="1:33" x14ac:dyDescent="0.35">
      <c r="A140" s="133"/>
      <c r="B140" s="133"/>
      <c r="C140" s="133"/>
      <c r="D140" s="133"/>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row>
    <row r="141" spans="1:33" x14ac:dyDescent="0.35">
      <c r="A141" s="133"/>
      <c r="B141" s="133"/>
      <c r="C141" s="133"/>
      <c r="D141" s="133"/>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row>
    <row r="142" spans="1:33" x14ac:dyDescent="0.35">
      <c r="A142" s="133"/>
      <c r="B142" s="133"/>
      <c r="C142" s="133"/>
      <c r="D142" s="133"/>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row>
    <row r="143" spans="1:33" x14ac:dyDescent="0.35">
      <c r="A143" s="133"/>
      <c r="B143" s="133"/>
      <c r="C143" s="133"/>
      <c r="D143" s="133"/>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row>
    <row r="144" spans="1:33" x14ac:dyDescent="0.35">
      <c r="A144" s="133"/>
      <c r="B144" s="133"/>
      <c r="C144" s="133"/>
      <c r="D144" s="133"/>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row>
    <row r="145" spans="1:33" x14ac:dyDescent="0.35">
      <c r="A145" s="133"/>
      <c r="B145" s="133"/>
      <c r="C145" s="133"/>
      <c r="D145" s="133"/>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row>
    <row r="146" spans="1:33" x14ac:dyDescent="0.35">
      <c r="A146" s="133"/>
      <c r="B146" s="133"/>
      <c r="C146" s="133"/>
      <c r="D146" s="133"/>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row>
    <row r="147" spans="1:33" x14ac:dyDescent="0.35">
      <c r="A147" s="133"/>
      <c r="B147" s="133"/>
      <c r="C147" s="133"/>
      <c r="D147" s="133"/>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row>
    <row r="148" spans="1:33" x14ac:dyDescent="0.35">
      <c r="A148" s="133"/>
      <c r="B148" s="133"/>
      <c r="C148" s="133"/>
      <c r="D148" s="133"/>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row>
    <row r="149" spans="1:33" x14ac:dyDescent="0.35">
      <c r="A149" s="133"/>
      <c r="B149" s="133"/>
      <c r="C149" s="133"/>
      <c r="D149" s="133"/>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row>
    <row r="150" spans="1:33" x14ac:dyDescent="0.35">
      <c r="A150" s="133"/>
      <c r="B150" s="133"/>
      <c r="C150" s="133"/>
      <c r="D150" s="133"/>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row>
    <row r="151" spans="1:33" x14ac:dyDescent="0.35">
      <c r="A151" s="133"/>
      <c r="B151" s="133"/>
      <c r="C151" s="133"/>
      <c r="D151" s="133"/>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row>
    <row r="152" spans="1:33" x14ac:dyDescent="0.35">
      <c r="A152" s="133"/>
      <c r="B152" s="133"/>
      <c r="C152" s="133"/>
      <c r="D152" s="133"/>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row>
    <row r="153" spans="1:33" x14ac:dyDescent="0.35">
      <c r="A153" s="133"/>
      <c r="B153" s="133"/>
      <c r="C153" s="133"/>
      <c r="D153" s="133"/>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row>
    <row r="154" spans="1:33" x14ac:dyDescent="0.35">
      <c r="A154" s="133"/>
      <c r="B154" s="133"/>
      <c r="C154" s="133"/>
      <c r="D154" s="133"/>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row>
    <row r="155" spans="1:33" x14ac:dyDescent="0.35">
      <c r="A155" s="133"/>
      <c r="B155" s="133"/>
      <c r="C155" s="133"/>
      <c r="D155" s="133"/>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row>
    <row r="156" spans="1:33" x14ac:dyDescent="0.35">
      <c r="A156" s="133"/>
      <c r="B156" s="133"/>
      <c r="C156" s="133"/>
      <c r="D156" s="133"/>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row>
    <row r="157" spans="1:33" x14ac:dyDescent="0.35">
      <c r="A157" s="133"/>
      <c r="B157" s="133"/>
      <c r="C157" s="133"/>
      <c r="D157" s="133"/>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row>
    <row r="158" spans="1:33" x14ac:dyDescent="0.35">
      <c r="A158" s="133"/>
      <c r="B158" s="133"/>
      <c r="C158" s="133"/>
      <c r="D158" s="133"/>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row>
    <row r="159" spans="1:33" x14ac:dyDescent="0.35">
      <c r="A159" s="133"/>
      <c r="B159" s="133"/>
      <c r="C159" s="133"/>
      <c r="D159" s="133"/>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row>
    <row r="160" spans="1:33" x14ac:dyDescent="0.35">
      <c r="A160" s="133"/>
      <c r="B160" s="133"/>
      <c r="C160" s="133"/>
      <c r="D160" s="133"/>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row>
    <row r="161" spans="1:33" x14ac:dyDescent="0.35">
      <c r="A161" s="133"/>
      <c r="B161" s="133"/>
      <c r="C161" s="133"/>
      <c r="D161" s="133"/>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row>
    <row r="162" spans="1:33" x14ac:dyDescent="0.35">
      <c r="A162" s="133"/>
      <c r="B162" s="133"/>
      <c r="C162" s="133"/>
      <c r="D162" s="133"/>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row>
    <row r="163" spans="1:33" x14ac:dyDescent="0.35">
      <c r="A163" s="133"/>
      <c r="B163" s="133"/>
      <c r="C163" s="133"/>
      <c r="D163" s="133"/>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row>
    <row r="164" spans="1:33" x14ac:dyDescent="0.35">
      <c r="A164" s="133"/>
      <c r="B164" s="133"/>
      <c r="C164" s="133"/>
      <c r="D164" s="133"/>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row>
    <row r="165" spans="1:33" x14ac:dyDescent="0.35">
      <c r="A165" s="133"/>
      <c r="B165" s="133"/>
      <c r="C165" s="133"/>
      <c r="D165" s="133"/>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row>
    <row r="166" spans="1:33" x14ac:dyDescent="0.35">
      <c r="A166" s="133"/>
      <c r="B166" s="133"/>
      <c r="C166" s="133"/>
      <c r="D166" s="133"/>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row>
    <row r="167" spans="1:33" x14ac:dyDescent="0.35">
      <c r="A167" s="133"/>
      <c r="B167" s="133"/>
      <c r="C167" s="133"/>
      <c r="D167" s="133"/>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row>
    <row r="168" spans="1:33" x14ac:dyDescent="0.35">
      <c r="A168" s="133"/>
      <c r="B168" s="133"/>
      <c r="C168" s="133"/>
      <c r="D168" s="133"/>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row>
    <row r="169" spans="1:33" x14ac:dyDescent="0.35">
      <c r="A169" s="133"/>
      <c r="B169" s="133"/>
      <c r="C169" s="133"/>
      <c r="D169" s="133"/>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row>
    <row r="170" spans="1:33" x14ac:dyDescent="0.35">
      <c r="A170" s="133"/>
      <c r="B170" s="133"/>
      <c r="C170" s="133"/>
      <c r="D170" s="133"/>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row>
    <row r="171" spans="1:33" x14ac:dyDescent="0.35">
      <c r="A171" s="133"/>
      <c r="B171" s="133"/>
      <c r="C171" s="133"/>
      <c r="D171" s="133"/>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row>
    <row r="172" spans="1:33" x14ac:dyDescent="0.35">
      <c r="A172" s="133"/>
      <c r="B172" s="133"/>
      <c r="C172" s="133"/>
      <c r="D172" s="133"/>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row>
    <row r="173" spans="1:33" x14ac:dyDescent="0.35">
      <c r="A173" s="133"/>
      <c r="B173" s="133"/>
      <c r="C173" s="133"/>
      <c r="D173" s="133"/>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row>
    <row r="174" spans="1:33" x14ac:dyDescent="0.35">
      <c r="A174" s="133"/>
      <c r="B174" s="133"/>
      <c r="C174" s="133"/>
      <c r="D174" s="133"/>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row>
    <row r="175" spans="1:33" x14ac:dyDescent="0.35">
      <c r="A175" s="133"/>
      <c r="B175" s="133"/>
      <c r="C175" s="133"/>
      <c r="D175" s="133"/>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row>
    <row r="176" spans="1:33" x14ac:dyDescent="0.35">
      <c r="A176" s="133"/>
      <c r="B176" s="133"/>
      <c r="C176" s="133"/>
      <c r="D176" s="133"/>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row>
    <row r="177" spans="1:33" x14ac:dyDescent="0.35">
      <c r="A177" s="133"/>
      <c r="B177" s="133"/>
      <c r="C177" s="133"/>
      <c r="D177" s="133"/>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row>
    <row r="178" spans="1:33" x14ac:dyDescent="0.35">
      <c r="A178" s="133"/>
      <c r="B178" s="133"/>
      <c r="C178" s="133"/>
      <c r="D178" s="133"/>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row>
    <row r="179" spans="1:33" x14ac:dyDescent="0.35">
      <c r="A179" s="133"/>
      <c r="B179" s="133"/>
      <c r="C179" s="133"/>
      <c r="D179" s="133"/>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row>
    <row r="180" spans="1:33" x14ac:dyDescent="0.35">
      <c r="A180" s="133"/>
      <c r="B180" s="133"/>
      <c r="C180" s="133"/>
      <c r="D180" s="133"/>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row>
    <row r="181" spans="1:33" x14ac:dyDescent="0.35">
      <c r="A181" s="133"/>
      <c r="B181" s="133"/>
      <c r="C181" s="133"/>
      <c r="D181" s="133"/>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row>
    <row r="182" spans="1:33" x14ac:dyDescent="0.35">
      <c r="A182" s="133"/>
      <c r="B182" s="133"/>
      <c r="C182" s="133"/>
      <c r="D182" s="133"/>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row>
    <row r="183" spans="1:33" x14ac:dyDescent="0.35">
      <c r="A183" s="133"/>
      <c r="B183" s="133"/>
      <c r="C183" s="133"/>
      <c r="D183" s="133"/>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row>
    <row r="184" spans="1:33" x14ac:dyDescent="0.35">
      <c r="A184" s="133"/>
      <c r="B184" s="133"/>
      <c r="C184" s="133"/>
      <c r="D184" s="133"/>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row>
    <row r="185" spans="1:33" x14ac:dyDescent="0.35">
      <c r="A185" s="133"/>
      <c r="B185" s="133"/>
      <c r="C185" s="133"/>
      <c r="D185" s="133"/>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row>
    <row r="186" spans="1:33" x14ac:dyDescent="0.35">
      <c r="A186" s="133"/>
      <c r="B186" s="133"/>
      <c r="C186" s="133"/>
      <c r="D186" s="133"/>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row>
    <row r="187" spans="1:33" x14ac:dyDescent="0.35">
      <c r="A187" s="133"/>
      <c r="B187" s="133"/>
      <c r="C187" s="133"/>
      <c r="D187" s="133"/>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row>
    <row r="188" spans="1:33" x14ac:dyDescent="0.35">
      <c r="A188" s="133"/>
      <c r="B188" s="133"/>
      <c r="C188" s="133"/>
      <c r="D188" s="133"/>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row>
    <row r="189" spans="1:33" x14ac:dyDescent="0.35">
      <c r="A189" s="133"/>
      <c r="B189" s="133"/>
      <c r="C189" s="133"/>
      <c r="D189" s="133"/>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row>
    <row r="190" spans="1:33" x14ac:dyDescent="0.35">
      <c r="A190" s="133"/>
      <c r="B190" s="133"/>
      <c r="C190" s="133"/>
      <c r="D190" s="133"/>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row>
    <row r="191" spans="1:33" x14ac:dyDescent="0.35">
      <c r="A191" s="133"/>
      <c r="B191" s="133"/>
      <c r="C191" s="133"/>
      <c r="D191" s="133"/>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row>
    <row r="192" spans="1:33" x14ac:dyDescent="0.35">
      <c r="A192" s="133"/>
      <c r="B192" s="133"/>
      <c r="C192" s="133"/>
      <c r="D192" s="133"/>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row>
    <row r="193" spans="1:33" x14ac:dyDescent="0.35">
      <c r="A193" s="133"/>
      <c r="B193" s="133"/>
      <c r="C193" s="133"/>
      <c r="D193" s="133"/>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row>
    <row r="194" spans="1:33" x14ac:dyDescent="0.35">
      <c r="A194" s="133"/>
      <c r="B194" s="133"/>
      <c r="C194" s="133"/>
      <c r="D194" s="133"/>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row>
    <row r="195" spans="1:33" x14ac:dyDescent="0.35">
      <c r="A195" s="133"/>
      <c r="B195" s="133"/>
      <c r="C195" s="133"/>
      <c r="D195" s="133"/>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row>
    <row r="196" spans="1:33" x14ac:dyDescent="0.35">
      <c r="A196" s="133"/>
      <c r="B196" s="133"/>
      <c r="C196" s="133"/>
      <c r="D196" s="133"/>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row>
    <row r="197" spans="1:33" x14ac:dyDescent="0.35">
      <c r="A197" s="133"/>
      <c r="B197" s="133"/>
      <c r="C197" s="133"/>
      <c r="D197" s="133"/>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row>
    <row r="198" spans="1:33" x14ac:dyDescent="0.35">
      <c r="A198" s="133"/>
      <c r="B198" s="133"/>
      <c r="C198" s="133"/>
      <c r="D198" s="133"/>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row>
    <row r="199" spans="1:33" x14ac:dyDescent="0.35">
      <c r="A199" s="133"/>
      <c r="B199" s="133"/>
      <c r="C199" s="133"/>
      <c r="D199" s="133"/>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row>
    <row r="200" spans="1:33" x14ac:dyDescent="0.35">
      <c r="A200" s="133"/>
      <c r="B200" s="133"/>
      <c r="C200" s="133"/>
      <c r="D200" s="133"/>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row>
    <row r="201" spans="1:33" x14ac:dyDescent="0.35">
      <c r="A201" s="133"/>
      <c r="B201" s="133"/>
      <c r="C201" s="133"/>
      <c r="D201" s="133"/>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row>
    <row r="202" spans="1:33" x14ac:dyDescent="0.35">
      <c r="A202" s="133"/>
      <c r="B202" s="133"/>
      <c r="C202" s="133"/>
      <c r="D202" s="133"/>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row>
    <row r="203" spans="1:33" x14ac:dyDescent="0.35">
      <c r="A203" s="133"/>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row>
    <row r="204" spans="1:33" x14ac:dyDescent="0.35">
      <c r="A204" s="133"/>
      <c r="B204" s="133"/>
      <c r="C204" s="133"/>
      <c r="D204" s="133"/>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row>
    <row r="205" spans="1:33" x14ac:dyDescent="0.35">
      <c r="A205" s="133"/>
      <c r="B205" s="133"/>
      <c r="C205" s="133"/>
      <c r="D205" s="133"/>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row>
    <row r="206" spans="1:33" x14ac:dyDescent="0.35">
      <c r="A206" s="133"/>
      <c r="B206" s="133"/>
      <c r="C206" s="133"/>
      <c r="D206" s="133"/>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row>
    <row r="207" spans="1:33" x14ac:dyDescent="0.35">
      <c r="A207" s="133"/>
      <c r="B207" s="133"/>
      <c r="C207" s="133"/>
      <c r="D207" s="133"/>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row>
    <row r="208" spans="1:33" x14ac:dyDescent="0.35">
      <c r="A208" s="133"/>
      <c r="B208" s="133"/>
      <c r="C208" s="133"/>
      <c r="D208" s="133"/>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row>
    <row r="209" spans="1:33" x14ac:dyDescent="0.35">
      <c r="A209" s="133"/>
      <c r="B209" s="133"/>
      <c r="C209" s="133"/>
      <c r="D209" s="133"/>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row>
    <row r="210" spans="1:33" x14ac:dyDescent="0.35">
      <c r="A210" s="133"/>
      <c r="B210" s="133"/>
      <c r="C210" s="133"/>
      <c r="D210" s="133"/>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row>
    <row r="211" spans="1:33" x14ac:dyDescent="0.35">
      <c r="A211" s="133"/>
      <c r="B211" s="133"/>
      <c r="C211" s="133"/>
      <c r="D211" s="133"/>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row>
    <row r="212" spans="1:33" x14ac:dyDescent="0.35">
      <c r="A212" s="133"/>
      <c r="B212" s="133"/>
      <c r="C212" s="133"/>
      <c r="D212" s="133"/>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row>
    <row r="213" spans="1:33" x14ac:dyDescent="0.35">
      <c r="A213" s="133"/>
      <c r="B213" s="133"/>
      <c r="C213" s="133"/>
      <c r="D213" s="133"/>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row>
    <row r="214" spans="1:33" x14ac:dyDescent="0.35">
      <c r="A214" s="133"/>
      <c r="B214" s="133"/>
      <c r="C214" s="133"/>
      <c r="D214" s="133"/>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row>
    <row r="215" spans="1:33" x14ac:dyDescent="0.35">
      <c r="A215" s="133"/>
      <c r="B215" s="133"/>
      <c r="C215" s="133"/>
      <c r="D215" s="133"/>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row>
    <row r="216" spans="1:33" x14ac:dyDescent="0.35">
      <c r="A216" s="133"/>
      <c r="B216" s="133"/>
      <c r="C216" s="133"/>
      <c r="D216" s="133"/>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row>
    <row r="217" spans="1:33" x14ac:dyDescent="0.35">
      <c r="A217" s="133"/>
      <c r="B217" s="133"/>
      <c r="C217" s="133"/>
      <c r="D217" s="133"/>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row>
    <row r="218" spans="1:33" x14ac:dyDescent="0.35">
      <c r="A218" s="133"/>
      <c r="B218" s="133"/>
      <c r="C218" s="133"/>
      <c r="D218" s="133"/>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row>
    <row r="219" spans="1:33" x14ac:dyDescent="0.35">
      <c r="A219" s="133"/>
      <c r="B219" s="133"/>
      <c r="C219" s="133"/>
      <c r="D219" s="133"/>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row>
    <row r="220" spans="1:33" x14ac:dyDescent="0.35">
      <c r="A220" s="133"/>
      <c r="B220" s="133"/>
      <c r="C220" s="133"/>
      <c r="D220" s="133"/>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row>
    <row r="221" spans="1:33" x14ac:dyDescent="0.35">
      <c r="A221" s="133"/>
      <c r="B221" s="133"/>
      <c r="C221" s="133"/>
      <c r="D221" s="133"/>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row>
    <row r="222" spans="1:33" x14ac:dyDescent="0.35">
      <c r="A222" s="133"/>
      <c r="B222" s="133"/>
      <c r="C222" s="133"/>
      <c r="D222" s="133"/>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row>
    <row r="223" spans="1:33" x14ac:dyDescent="0.35">
      <c r="A223" s="133"/>
      <c r="B223" s="133"/>
      <c r="C223" s="133"/>
      <c r="D223" s="133"/>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row>
    <row r="224" spans="1:33" x14ac:dyDescent="0.35">
      <c r="A224" s="133"/>
      <c r="B224" s="133"/>
      <c r="C224" s="133"/>
      <c r="D224" s="133"/>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row>
    <row r="225" spans="1:33" x14ac:dyDescent="0.35">
      <c r="A225" s="133"/>
      <c r="B225" s="133"/>
      <c r="C225" s="133"/>
      <c r="D225" s="133"/>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row>
    <row r="226" spans="1:33" x14ac:dyDescent="0.35">
      <c r="A226" s="133"/>
      <c r="B226" s="133"/>
      <c r="C226" s="133"/>
      <c r="D226" s="133"/>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row>
    <row r="227" spans="1:33" x14ac:dyDescent="0.35">
      <c r="A227" s="133"/>
      <c r="B227" s="133"/>
      <c r="C227" s="133"/>
      <c r="D227" s="133"/>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row>
    <row r="228" spans="1:33" x14ac:dyDescent="0.35">
      <c r="A228" s="133"/>
      <c r="B228" s="133"/>
      <c r="C228" s="133"/>
      <c r="D228" s="133"/>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row>
    <row r="229" spans="1:33" x14ac:dyDescent="0.35">
      <c r="A229" s="133"/>
      <c r="B229" s="133"/>
      <c r="C229" s="133"/>
      <c r="D229" s="133"/>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row>
    <row r="230" spans="1:33" x14ac:dyDescent="0.35">
      <c r="A230" s="133"/>
      <c r="B230" s="133"/>
      <c r="C230" s="133"/>
      <c r="D230" s="133"/>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row>
    <row r="231" spans="1:33" x14ac:dyDescent="0.35">
      <c r="A231" s="133"/>
      <c r="B231" s="133"/>
      <c r="C231" s="133"/>
      <c r="D231" s="133"/>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row>
    <row r="232" spans="1:33" x14ac:dyDescent="0.35">
      <c r="A232" s="133"/>
      <c r="B232" s="133"/>
      <c r="C232" s="133"/>
      <c r="D232" s="133"/>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row>
    <row r="233" spans="1:33" x14ac:dyDescent="0.35">
      <c r="A233" s="133"/>
      <c r="B233" s="133"/>
      <c r="C233" s="133"/>
      <c r="D233" s="133"/>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row>
    <row r="234" spans="1:33" x14ac:dyDescent="0.35">
      <c r="A234" s="133"/>
      <c r="B234" s="133"/>
      <c r="C234" s="133"/>
      <c r="D234" s="133"/>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row>
    <row r="235" spans="1:33" x14ac:dyDescent="0.35">
      <c r="A235" s="133"/>
      <c r="B235" s="133"/>
      <c r="C235" s="133"/>
      <c r="D235" s="133"/>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row>
    <row r="236" spans="1:33" x14ac:dyDescent="0.35">
      <c r="A236" s="133"/>
      <c r="B236" s="133"/>
      <c r="C236" s="133"/>
      <c r="D236" s="133"/>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row>
    <row r="237" spans="1:33" x14ac:dyDescent="0.35">
      <c r="A237" s="133"/>
      <c r="B237" s="133"/>
      <c r="C237" s="133"/>
      <c r="D237" s="133"/>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row>
    <row r="238" spans="1:33" x14ac:dyDescent="0.35">
      <c r="A238" s="133"/>
      <c r="B238" s="133"/>
      <c r="C238" s="133"/>
      <c r="D238" s="133"/>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row>
    <row r="239" spans="1:33" x14ac:dyDescent="0.35">
      <c r="A239" s="133"/>
      <c r="B239" s="133"/>
      <c r="C239" s="133"/>
      <c r="D239" s="133"/>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row>
    <row r="240" spans="1:33" x14ac:dyDescent="0.35">
      <c r="A240" s="133"/>
      <c r="B240" s="133"/>
      <c r="C240" s="133"/>
      <c r="D240" s="133"/>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row>
    <row r="241" spans="1:33" x14ac:dyDescent="0.35">
      <c r="A241" s="133"/>
      <c r="B241" s="133"/>
      <c r="C241" s="133"/>
      <c r="D241" s="133"/>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row>
    <row r="242" spans="1:33" x14ac:dyDescent="0.35">
      <c r="A242" s="133"/>
      <c r="B242" s="133"/>
      <c r="C242" s="133"/>
      <c r="D242" s="133"/>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row>
    <row r="243" spans="1:33" x14ac:dyDescent="0.35">
      <c r="A243" s="133"/>
      <c r="B243" s="133"/>
      <c r="C243" s="133"/>
      <c r="D243" s="133"/>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row>
    <row r="244" spans="1:33" x14ac:dyDescent="0.35">
      <c r="A244" s="133"/>
      <c r="B244" s="133"/>
      <c r="C244" s="133"/>
      <c r="D244" s="133"/>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row>
    <row r="245" spans="1:33" x14ac:dyDescent="0.35">
      <c r="A245" s="133"/>
      <c r="B245" s="133"/>
      <c r="C245" s="133"/>
      <c r="D245" s="133"/>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row>
    <row r="246" spans="1:33" x14ac:dyDescent="0.35">
      <c r="A246" s="133"/>
      <c r="B246" s="133"/>
      <c r="C246" s="133"/>
      <c r="D246" s="133"/>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row>
    <row r="247" spans="1:33" x14ac:dyDescent="0.35">
      <c r="A247" s="133"/>
      <c r="B247" s="133"/>
      <c r="C247" s="133"/>
      <c r="D247" s="133"/>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row>
    <row r="248" spans="1:33" x14ac:dyDescent="0.35">
      <c r="A248" s="133"/>
      <c r="B248" s="133"/>
      <c r="C248" s="133"/>
      <c r="D248" s="133"/>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row>
    <row r="249" spans="1:33" x14ac:dyDescent="0.35">
      <c r="A249" s="133"/>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row>
    <row r="250" spans="1:33" x14ac:dyDescent="0.35">
      <c r="A250" s="133"/>
      <c r="B250" s="133"/>
      <c r="C250" s="133"/>
      <c r="D250" s="133"/>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row>
    <row r="251" spans="1:33" x14ac:dyDescent="0.35">
      <c r="A251" s="133"/>
      <c r="B251" s="133"/>
      <c r="C251" s="133"/>
      <c r="D251" s="133"/>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row>
    <row r="252" spans="1:33" x14ac:dyDescent="0.35">
      <c r="A252" s="133"/>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row>
    <row r="253" spans="1:33" x14ac:dyDescent="0.35">
      <c r="A253" s="133"/>
      <c r="B253" s="133"/>
      <c r="C253" s="133"/>
      <c r="D253" s="133"/>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row>
    <row r="254" spans="1:33" x14ac:dyDescent="0.35">
      <c r="A254" s="133"/>
      <c r="B254" s="133"/>
      <c r="C254" s="133"/>
      <c r="D254" s="133"/>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row>
    <row r="255" spans="1:33" x14ac:dyDescent="0.35">
      <c r="A255" s="133"/>
      <c r="B255" s="133"/>
      <c r="C255" s="133"/>
      <c r="D255" s="133"/>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row>
    <row r="256" spans="1:33" x14ac:dyDescent="0.35">
      <c r="A256" s="133"/>
      <c r="B256" s="133"/>
      <c r="C256" s="133"/>
      <c r="D256" s="133"/>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row>
    <row r="257" spans="1:33" x14ac:dyDescent="0.35">
      <c r="A257" s="133"/>
      <c r="B257" s="133"/>
      <c r="C257" s="133"/>
      <c r="D257" s="133"/>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row>
    <row r="258" spans="1:33" x14ac:dyDescent="0.35">
      <c r="A258" s="133"/>
      <c r="B258" s="133"/>
      <c r="C258" s="133"/>
      <c r="D258" s="133"/>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row>
    <row r="259" spans="1:33" x14ac:dyDescent="0.35">
      <c r="A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row>
    <row r="260" spans="1:33" x14ac:dyDescent="0.35">
      <c r="A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row>
    <row r="261" spans="1:33" x14ac:dyDescent="0.35">
      <c r="K261" s="133"/>
      <c r="L261" s="133"/>
      <c r="M261" s="133"/>
      <c r="N261" s="133"/>
      <c r="O261" s="133"/>
      <c r="P261" s="133"/>
      <c r="Q261" s="133"/>
      <c r="R261" s="133"/>
      <c r="S261" s="133"/>
      <c r="Z261" s="133"/>
      <c r="AA261" s="133"/>
      <c r="AB261" s="133"/>
      <c r="AC261" s="133"/>
      <c r="AD261" s="133"/>
      <c r="AE261" s="133"/>
      <c r="AF261" s="133"/>
      <c r="AG261" s="133"/>
    </row>
  </sheetData>
  <sheetProtection algorithmName="SHA-512" hashValue="lemIsNtIfDJmrnnyjZjMdbLYKzu4UDgWsPLSRtDNsEC4pzFiGGKToGTlEWNZ1j8iKDvLoWD6FEq2/4+C86xLyA==" saltValue="PlAIfD4TwH9lUY5NkCe+9w==" spinCount="100000" sheet="1" objects="1" scenarios="1" formatCells="0" formatColumns="0"/>
  <mergeCells count="133">
    <mergeCell ref="AS52:AT52"/>
    <mergeCell ref="AD25:AE26"/>
    <mergeCell ref="AF25:AF26"/>
    <mergeCell ref="AI25:AJ26"/>
    <mergeCell ref="AK25:AK26"/>
    <mergeCell ref="AM19:AN19"/>
    <mergeCell ref="AG29:AG30"/>
    <mergeCell ref="AH29:AH30"/>
    <mergeCell ref="AI29:AI30"/>
    <mergeCell ref="AJ29:AJ30"/>
    <mergeCell ref="AM52:AN52"/>
    <mergeCell ref="AP52:AQ52"/>
    <mergeCell ref="AS19:AT19"/>
    <mergeCell ref="AQ50:AT50"/>
    <mergeCell ref="AP19:AQ19"/>
    <mergeCell ref="AQ45:AQ46"/>
    <mergeCell ref="AP23:AP24"/>
    <mergeCell ref="AQ23:AQ24"/>
    <mergeCell ref="AS30:AT30"/>
    <mergeCell ref="AQ39:AT39"/>
    <mergeCell ref="AM50:AP50"/>
    <mergeCell ref="AM30:AN30"/>
    <mergeCell ref="AP30:AQ30"/>
    <mergeCell ref="AM41:AN41"/>
    <mergeCell ref="AG16:AG17"/>
    <mergeCell ref="AE16:AE17"/>
    <mergeCell ref="B22:C22"/>
    <mergeCell ref="AB16:AB17"/>
    <mergeCell ref="F22:I23"/>
    <mergeCell ref="AJ16:AJ17"/>
    <mergeCell ref="AI16:AI17"/>
    <mergeCell ref="AH16:AH17"/>
    <mergeCell ref="B23:E24"/>
    <mergeCell ref="B16:C16"/>
    <mergeCell ref="D16:E16"/>
    <mergeCell ref="F20:G20"/>
    <mergeCell ref="AD16:AD17"/>
    <mergeCell ref="AA16:AA17"/>
    <mergeCell ref="B20:C20"/>
    <mergeCell ref="D20:E20"/>
    <mergeCell ref="AC16:AC17"/>
    <mergeCell ref="D17:E18"/>
    <mergeCell ref="B17:C18"/>
    <mergeCell ref="BD11:BF11"/>
    <mergeCell ref="AR12:AR13"/>
    <mergeCell ref="AV12:AV13"/>
    <mergeCell ref="AW12:AW13"/>
    <mergeCell ref="AX12:AX13"/>
    <mergeCell ref="BH11:BJ11"/>
    <mergeCell ref="AP12:AP13"/>
    <mergeCell ref="AQ12:AQ13"/>
    <mergeCell ref="AO23:AO24"/>
    <mergeCell ref="AO12:AO13"/>
    <mergeCell ref="AM17:AP17"/>
    <mergeCell ref="AY12:AY13"/>
    <mergeCell ref="AP41:AQ41"/>
    <mergeCell ref="AR45:AR46"/>
    <mergeCell ref="AR23:AR24"/>
    <mergeCell ref="AM28:AP28"/>
    <mergeCell ref="AM39:AP39"/>
    <mergeCell ref="AQ28:AT28"/>
    <mergeCell ref="AP45:AP46"/>
    <mergeCell ref="AR1:AR2"/>
    <mergeCell ref="AO45:AO46"/>
    <mergeCell ref="AQ34:AQ35"/>
    <mergeCell ref="AQ17:AT17"/>
    <mergeCell ref="AS41:AT41"/>
    <mergeCell ref="AO34:AO35"/>
    <mergeCell ref="AP34:AP35"/>
    <mergeCell ref="AR34:AR35"/>
    <mergeCell ref="Q11:R11"/>
    <mergeCell ref="AV1:AV2"/>
    <mergeCell ref="B9:C9"/>
    <mergeCell ref="D3:F3"/>
    <mergeCell ref="B1:I1"/>
    <mergeCell ref="K1:T1"/>
    <mergeCell ref="X2:Y2"/>
    <mergeCell ref="W1:W2"/>
    <mergeCell ref="AM6:AP6"/>
    <mergeCell ref="AS8:AT8"/>
    <mergeCell ref="AQ6:AT6"/>
    <mergeCell ref="Q9:R9"/>
    <mergeCell ref="X3:Y4"/>
    <mergeCell ref="AO1:AO2"/>
    <mergeCell ref="AQ1:AQ2"/>
    <mergeCell ref="AK16:AK17"/>
    <mergeCell ref="B12:C12"/>
    <mergeCell ref="M13:N13"/>
    <mergeCell ref="K13:L13"/>
    <mergeCell ref="AF16:AF17"/>
    <mergeCell ref="Z16:Z17"/>
    <mergeCell ref="BF2:BH2"/>
    <mergeCell ref="Z7:Z8"/>
    <mergeCell ref="AA7:AA8"/>
    <mergeCell ref="Z1:Z2"/>
    <mergeCell ref="AA1:AA2"/>
    <mergeCell ref="AB1:AB2"/>
    <mergeCell ref="AC1:AC2"/>
    <mergeCell ref="AY1:AY2"/>
    <mergeCell ref="AM8:AN8"/>
    <mergeCell ref="AP8:AQ8"/>
    <mergeCell ref="AX1:AX2"/>
    <mergeCell ref="AB7:AB8"/>
    <mergeCell ref="AC7:AC8"/>
    <mergeCell ref="AD7:AD8"/>
    <mergeCell ref="B3:C3"/>
    <mergeCell ref="B6:C6"/>
    <mergeCell ref="AW1:AW2"/>
    <mergeCell ref="AP1:AP2"/>
    <mergeCell ref="AV59:BA59"/>
    <mergeCell ref="AJ13:AJ14"/>
    <mergeCell ref="AI13:AI14"/>
    <mergeCell ref="AE13:AE14"/>
    <mergeCell ref="AF13:AF14"/>
    <mergeCell ref="AG13:AG14"/>
    <mergeCell ref="AE29:AE30"/>
    <mergeCell ref="AD32:AG32"/>
    <mergeCell ref="AV58:BA58"/>
    <mergeCell ref="AH13:AH14"/>
    <mergeCell ref="AV57:BA57"/>
    <mergeCell ref="AV45:AV46"/>
    <mergeCell ref="AW45:AW46"/>
    <mergeCell ref="AX45:AX46"/>
    <mergeCell ref="AY45:AY46"/>
    <mergeCell ref="AV23:AV24"/>
    <mergeCell ref="AW23:AW24"/>
    <mergeCell ref="AX23:AX24"/>
    <mergeCell ref="AY23:AY24"/>
    <mergeCell ref="AV34:AV35"/>
    <mergeCell ref="AW34:AW35"/>
    <mergeCell ref="AX34:AX35"/>
    <mergeCell ref="AY34:AY35"/>
    <mergeCell ref="AK13:AK14"/>
  </mergeCells>
  <conditionalFormatting sqref="F22">
    <cfRule type="expression" dxfId="13" priority="1">
      <formula>$F$22="Bajar %"</formula>
    </cfRule>
    <cfRule type="expression" dxfId="12" priority="2">
      <formula>$F$22="Todo está ok"</formula>
    </cfRule>
    <cfRule type="expression" dxfId="11" priority="3">
      <formula>$F$22="Cambiar %"</formula>
    </cfRule>
  </conditionalFormatting>
  <dataValidations count="2">
    <dataValidation type="list" allowBlank="1" showInputMessage="1" showErrorMessage="1" sqref="F20" xr:uid="{7F3A40D1-BE8C-47E6-B84D-D9DF5F9C481F}">
      <formula1>"Tasa Banco, Tasa Mutaria"</formula1>
    </dataValidation>
    <dataValidation type="list" allowBlank="1" showInputMessage="1" showErrorMessage="1" sqref="P26" xr:uid="{FD45644B-1314-4C5F-A01A-46DD7B12C215}">
      <formula1>"0,1,2,3,4,5,6"</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633A5-5B65-4BDE-AD04-F8761DF4C9B6}">
  <sheetPr codeName="Hoja2">
    <tabColor rgb="FF0070C0"/>
  </sheetPr>
  <dimension ref="B1:I26"/>
  <sheetViews>
    <sheetView showGridLines="0" zoomScale="80" zoomScaleNormal="80" workbookViewId="0">
      <pane xSplit="3" ySplit="1" topLeftCell="D2" activePane="bottomRight" state="frozen"/>
      <selection pane="topRight" activeCell="D1" sqref="D1"/>
      <selection pane="bottomLeft" activeCell="A2" sqref="A2"/>
      <selection pane="bottomRight" activeCell="D6" sqref="D6"/>
    </sheetView>
  </sheetViews>
  <sheetFormatPr baseColWidth="10" defaultColWidth="11" defaultRowHeight="21" x14ac:dyDescent="0.5"/>
  <cols>
    <col min="1" max="1" width="11" style="126"/>
    <col min="2" max="2" width="16.1640625" style="129" bestFit="1" customWidth="1"/>
    <col min="3" max="3" width="20.6640625" style="126" bestFit="1" customWidth="1"/>
    <col min="4" max="7" width="29.1640625" style="126" bestFit="1" customWidth="1"/>
    <col min="8" max="8" width="34.4140625" style="126" customWidth="1"/>
    <col min="9" max="9" width="6.08203125" style="126" customWidth="1"/>
    <col min="10" max="16384" width="11" style="126"/>
  </cols>
  <sheetData>
    <row r="1" spans="2:9" ht="24" thickBot="1" x14ac:dyDescent="0.4">
      <c r="B1" s="366"/>
      <c r="C1" s="366"/>
      <c r="D1" s="115" t="s">
        <v>343</v>
      </c>
      <c r="E1" s="115" t="s">
        <v>328</v>
      </c>
      <c r="F1" s="115" t="s">
        <v>269</v>
      </c>
      <c r="G1" s="115" t="s">
        <v>243</v>
      </c>
      <c r="H1" s="115" t="s">
        <v>186</v>
      </c>
      <c r="I1" s="125"/>
    </row>
    <row r="2" spans="2:9" ht="24" thickTop="1" x14ac:dyDescent="0.35">
      <c r="B2" s="367"/>
      <c r="C2" s="368"/>
      <c r="D2" s="116" t="s">
        <v>185</v>
      </c>
      <c r="E2" s="116" t="s">
        <v>185</v>
      </c>
      <c r="F2" s="116" t="s">
        <v>185</v>
      </c>
      <c r="G2" s="116" t="s">
        <v>185</v>
      </c>
      <c r="H2" s="116" t="s">
        <v>185</v>
      </c>
      <c r="I2" s="125"/>
    </row>
    <row r="3" spans="2:9" ht="15.5" x14ac:dyDescent="0.35">
      <c r="B3" s="365" t="s">
        <v>159</v>
      </c>
      <c r="C3" s="74" t="s">
        <v>160</v>
      </c>
      <c r="D3" s="75" t="s">
        <v>308</v>
      </c>
      <c r="E3" s="75" t="s">
        <v>329</v>
      </c>
      <c r="F3" s="75" t="s">
        <v>308</v>
      </c>
      <c r="G3" s="75" t="s">
        <v>308</v>
      </c>
      <c r="H3" s="117" t="s">
        <v>271</v>
      </c>
    </row>
    <row r="4" spans="2:9" ht="15.5" x14ac:dyDescent="0.35">
      <c r="B4" s="365"/>
      <c r="C4" s="74" t="s">
        <v>244</v>
      </c>
      <c r="D4" s="75">
        <v>36</v>
      </c>
      <c r="E4" s="75">
        <v>24</v>
      </c>
      <c r="F4" s="75">
        <v>24</v>
      </c>
      <c r="G4" s="75">
        <v>18</v>
      </c>
      <c r="H4" s="117">
        <v>24</v>
      </c>
    </row>
    <row r="5" spans="2:9" ht="15.5" x14ac:dyDescent="0.35">
      <c r="B5" s="365"/>
      <c r="C5" s="74" t="s">
        <v>103</v>
      </c>
      <c r="D5" s="75" t="s">
        <v>361</v>
      </c>
      <c r="E5" s="75">
        <v>36</v>
      </c>
      <c r="F5" s="75">
        <v>36</v>
      </c>
      <c r="G5" s="75">
        <v>36</v>
      </c>
      <c r="H5" s="117">
        <v>36</v>
      </c>
    </row>
    <row r="6" spans="2:9" ht="15.5" x14ac:dyDescent="0.35">
      <c r="B6" s="365"/>
      <c r="C6" s="74" t="s">
        <v>174</v>
      </c>
      <c r="D6" s="84">
        <v>100000</v>
      </c>
      <c r="E6" s="84">
        <v>100000</v>
      </c>
      <c r="F6" s="84">
        <v>100000</v>
      </c>
      <c r="G6" s="84">
        <v>100000</v>
      </c>
      <c r="H6" s="118">
        <v>100000</v>
      </c>
    </row>
    <row r="7" spans="2:9" ht="15.5" x14ac:dyDescent="0.35">
      <c r="B7" s="365"/>
      <c r="C7" s="74" t="s">
        <v>161</v>
      </c>
      <c r="D7" s="373" t="s">
        <v>162</v>
      </c>
      <c r="E7" s="374"/>
      <c r="F7" s="374"/>
      <c r="G7" s="374"/>
      <c r="H7" s="375"/>
    </row>
    <row r="8" spans="2:9" ht="15.5" x14ac:dyDescent="0.35">
      <c r="B8" s="365"/>
      <c r="C8" s="74" t="s">
        <v>175</v>
      </c>
      <c r="D8" s="376">
        <v>0</v>
      </c>
      <c r="E8" s="377"/>
      <c r="F8" s="377"/>
      <c r="G8" s="377"/>
      <c r="H8" s="378"/>
    </row>
    <row r="9" spans="2:9" ht="46.5" x14ac:dyDescent="0.35">
      <c r="B9" s="365"/>
      <c r="C9" s="74" t="s">
        <v>176</v>
      </c>
      <c r="D9" s="75" t="s">
        <v>261</v>
      </c>
      <c r="E9" s="75" t="s">
        <v>261</v>
      </c>
      <c r="F9" s="75" t="s">
        <v>272</v>
      </c>
      <c r="G9" s="75" t="s">
        <v>249</v>
      </c>
      <c r="H9" s="117" t="s">
        <v>347</v>
      </c>
    </row>
    <row r="10" spans="2:9" ht="31" x14ac:dyDescent="0.35">
      <c r="B10" s="365"/>
      <c r="C10" s="74" t="s">
        <v>177</v>
      </c>
      <c r="D10" s="75" t="s">
        <v>261</v>
      </c>
      <c r="E10" s="75" t="s">
        <v>261</v>
      </c>
      <c r="F10" s="75" t="s">
        <v>272</v>
      </c>
      <c r="G10" s="75" t="s">
        <v>319</v>
      </c>
      <c r="H10" s="117" t="s">
        <v>320</v>
      </c>
    </row>
    <row r="11" spans="2:9" ht="93.75" customHeight="1" x14ac:dyDescent="0.35">
      <c r="B11" s="365"/>
      <c r="C11" s="74" t="s">
        <v>106</v>
      </c>
      <c r="D11" s="388" t="s">
        <v>246</v>
      </c>
      <c r="E11" s="389"/>
      <c r="F11" s="389"/>
      <c r="G11" s="389"/>
      <c r="H11" s="390"/>
    </row>
    <row r="12" spans="2:9" ht="40.5" customHeight="1" x14ac:dyDescent="0.35">
      <c r="B12" s="365"/>
      <c r="C12" s="74" t="s">
        <v>248</v>
      </c>
      <c r="D12" s="379" t="s">
        <v>247</v>
      </c>
      <c r="E12" s="380"/>
      <c r="F12" s="380"/>
      <c r="G12" s="380"/>
      <c r="H12" s="381"/>
    </row>
    <row r="13" spans="2:9" ht="15.5" x14ac:dyDescent="0.35">
      <c r="B13" s="365"/>
      <c r="C13" s="74" t="s">
        <v>178</v>
      </c>
      <c r="D13" s="77" t="s">
        <v>180</v>
      </c>
      <c r="E13" s="77" t="s">
        <v>180</v>
      </c>
      <c r="F13" s="77" t="s">
        <v>180</v>
      </c>
      <c r="G13" s="77" t="s">
        <v>180</v>
      </c>
      <c r="H13" s="119" t="s">
        <v>180</v>
      </c>
    </row>
    <row r="14" spans="2:9" ht="24" customHeight="1" x14ac:dyDescent="0.35">
      <c r="B14" s="365"/>
      <c r="C14" s="74" t="s">
        <v>250</v>
      </c>
      <c r="D14" s="382" t="s">
        <v>251</v>
      </c>
      <c r="E14" s="383"/>
      <c r="F14" s="383"/>
      <c r="G14" s="383"/>
      <c r="H14" s="384"/>
    </row>
    <row r="15" spans="2:9" ht="40.5" customHeight="1" x14ac:dyDescent="0.35">
      <c r="B15" s="369" t="s">
        <v>181</v>
      </c>
      <c r="C15" s="76" t="s">
        <v>184</v>
      </c>
      <c r="D15" s="385" t="s">
        <v>245</v>
      </c>
      <c r="E15" s="386"/>
      <c r="F15" s="386"/>
      <c r="G15" s="386"/>
      <c r="H15" s="387"/>
    </row>
    <row r="16" spans="2:9" ht="15.75" customHeight="1" x14ac:dyDescent="0.35">
      <c r="B16" s="369"/>
      <c r="C16" s="76" t="s">
        <v>182</v>
      </c>
      <c r="D16" s="370" t="s">
        <v>254</v>
      </c>
      <c r="E16" s="371"/>
      <c r="F16" s="371"/>
      <c r="G16" s="371"/>
      <c r="H16" s="372"/>
    </row>
    <row r="17" spans="2:9" ht="15.75" customHeight="1" x14ac:dyDescent="0.35">
      <c r="B17" s="369"/>
      <c r="C17" s="76" t="s">
        <v>183</v>
      </c>
      <c r="D17" s="370" t="s">
        <v>255</v>
      </c>
      <c r="E17" s="371"/>
      <c r="F17" s="371"/>
      <c r="G17" s="371"/>
      <c r="H17" s="372"/>
    </row>
    <row r="18" spans="2:9" ht="15.75" customHeight="1" x14ac:dyDescent="0.35">
      <c r="B18" s="369"/>
      <c r="C18" s="76" t="s">
        <v>252</v>
      </c>
      <c r="D18" s="370" t="s">
        <v>253</v>
      </c>
      <c r="E18" s="371"/>
      <c r="F18" s="371"/>
      <c r="G18" s="371"/>
      <c r="H18" s="372"/>
    </row>
    <row r="19" spans="2:9" ht="15.75" customHeight="1" x14ac:dyDescent="0.35">
      <c r="B19" s="369"/>
      <c r="C19" s="76" t="s">
        <v>262</v>
      </c>
      <c r="D19" s="370" t="s">
        <v>263</v>
      </c>
      <c r="E19" s="371"/>
      <c r="F19" s="371"/>
      <c r="G19" s="371"/>
      <c r="H19" s="372"/>
    </row>
    <row r="20" spans="2:9" ht="15.5" x14ac:dyDescent="0.35">
      <c r="B20" s="365" t="s">
        <v>179</v>
      </c>
      <c r="C20" s="74" t="s">
        <v>165</v>
      </c>
      <c r="D20" s="78" t="s">
        <v>166</v>
      </c>
      <c r="E20" s="78" t="s">
        <v>166</v>
      </c>
      <c r="F20" s="78" t="s">
        <v>166</v>
      </c>
      <c r="G20" s="78" t="s">
        <v>166</v>
      </c>
      <c r="H20" s="121" t="s">
        <v>166</v>
      </c>
    </row>
    <row r="21" spans="2:9" ht="15.5" x14ac:dyDescent="0.35">
      <c r="B21" s="365"/>
      <c r="C21" s="74" t="s">
        <v>163</v>
      </c>
      <c r="D21" s="78" t="s">
        <v>164</v>
      </c>
      <c r="E21" s="78" t="s">
        <v>164</v>
      </c>
      <c r="F21" s="78" t="s">
        <v>164</v>
      </c>
      <c r="G21" s="78" t="s">
        <v>164</v>
      </c>
      <c r="H21" s="121" t="s">
        <v>164</v>
      </c>
    </row>
    <row r="22" spans="2:9" ht="15.5" x14ac:dyDescent="0.35">
      <c r="B22" s="365"/>
      <c r="C22" s="74" t="s">
        <v>167</v>
      </c>
      <c r="D22" s="78" t="s">
        <v>168</v>
      </c>
      <c r="E22" s="78" t="s">
        <v>168</v>
      </c>
      <c r="F22" s="78" t="s">
        <v>168</v>
      </c>
      <c r="G22" s="78" t="s">
        <v>168</v>
      </c>
      <c r="H22" s="121" t="s">
        <v>168</v>
      </c>
      <c r="I22" s="127"/>
    </row>
    <row r="23" spans="2:9" ht="15.5" x14ac:dyDescent="0.35">
      <c r="B23" s="365"/>
      <c r="C23" s="74" t="s">
        <v>169</v>
      </c>
      <c r="D23" s="78" t="s">
        <v>170</v>
      </c>
      <c r="E23" s="78" t="s">
        <v>170</v>
      </c>
      <c r="F23" s="78" t="s">
        <v>170</v>
      </c>
      <c r="G23" s="78" t="s">
        <v>170</v>
      </c>
      <c r="H23" s="121" t="s">
        <v>170</v>
      </c>
    </row>
    <row r="24" spans="2:9" ht="15.5" x14ac:dyDescent="0.35">
      <c r="B24" s="365"/>
      <c r="C24" s="74" t="s">
        <v>171</v>
      </c>
      <c r="D24" s="77">
        <v>1622966910</v>
      </c>
      <c r="E24" s="77">
        <v>1622966910</v>
      </c>
      <c r="F24" s="77">
        <v>1622966910</v>
      </c>
      <c r="G24" s="77">
        <v>1622966910</v>
      </c>
      <c r="H24" s="120">
        <v>1622966910</v>
      </c>
    </row>
    <row r="25" spans="2:9" ht="31.5" customHeight="1" thickBot="1" x14ac:dyDescent="0.4">
      <c r="B25" s="122" t="s">
        <v>172</v>
      </c>
      <c r="C25" s="123" t="s">
        <v>0</v>
      </c>
      <c r="D25" s="124" t="s">
        <v>173</v>
      </c>
      <c r="E25" s="124" t="s">
        <v>173</v>
      </c>
      <c r="F25" s="124" t="s">
        <v>173</v>
      </c>
      <c r="G25" s="124" t="s">
        <v>173</v>
      </c>
      <c r="H25" s="128" t="s">
        <v>173</v>
      </c>
    </row>
    <row r="26" spans="2:9" ht="21.5" thickTop="1" x14ac:dyDescent="0.5"/>
  </sheetData>
  <mergeCells count="15">
    <mergeCell ref="D17:H17"/>
    <mergeCell ref="D18:H18"/>
    <mergeCell ref="D19:H19"/>
    <mergeCell ref="D7:H7"/>
    <mergeCell ref="D8:H8"/>
    <mergeCell ref="D12:H12"/>
    <mergeCell ref="D14:H14"/>
    <mergeCell ref="D15:H15"/>
    <mergeCell ref="D16:H16"/>
    <mergeCell ref="D11:H11"/>
    <mergeCell ref="B20:B24"/>
    <mergeCell ref="B1:C1"/>
    <mergeCell ref="B2:C2"/>
    <mergeCell ref="B3:B14"/>
    <mergeCell ref="B15:B19"/>
  </mergeCells>
  <hyperlinks>
    <hyperlink ref="H25" r:id="rId1" xr:uid="{635E5FB4-82A5-4510-8F27-5E266BD1E345}"/>
    <hyperlink ref="G25" r:id="rId2" xr:uid="{8E4DDAD2-117E-42EA-87A0-C80500281AE3}"/>
    <hyperlink ref="D12" r:id="rId3" xr:uid="{F755227D-4C99-45B9-994A-F1D2DAE7E78F}"/>
    <hyperlink ref="E25" r:id="rId4" xr:uid="{87B8A323-E7E6-4746-B03C-A13ED70A7F07}"/>
    <hyperlink ref="F25" r:id="rId5" xr:uid="{8E0CE1E0-E7D4-4343-8B2B-AD7567BCFF29}"/>
    <hyperlink ref="D25" r:id="rId6" xr:uid="{3EA9A2AC-4BC5-4296-A7CA-E9DFE8DC1184}"/>
    <hyperlink ref="D2" r:id="rId7" xr:uid="{2D9AD8A5-1DEE-45FB-B4A6-877219B4A927}"/>
    <hyperlink ref="E2" r:id="rId8" xr:uid="{4AEEB348-FBEB-4BA7-910C-984AA2BF38E0}"/>
    <hyperlink ref="F2" r:id="rId9" xr:uid="{86DB89C4-78C1-4649-A82B-346B1C0CED45}"/>
    <hyperlink ref="G2" r:id="rId10" xr:uid="{87B6C608-0013-43D8-AB39-49D1C0333A76}"/>
    <hyperlink ref="H2" r:id="rId11" xr:uid="{E4351E19-39C8-4442-B6B8-39063F700ADF}"/>
  </hyperlinks>
  <pageMargins left="0.7" right="0.7" top="0.75" bottom="0.75" header="0.3" footer="0.3"/>
  <pageSetup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1A93C-29C0-4463-981C-1BB9FD8B1B1A}">
  <sheetPr codeName="Hoja5">
    <tabColor rgb="FF92D050"/>
  </sheetPr>
  <dimension ref="A1:E19"/>
  <sheetViews>
    <sheetView showGridLines="0" zoomScale="80" zoomScaleNormal="80" workbookViewId="0">
      <selection activeCell="C14" sqref="C14"/>
    </sheetView>
  </sheetViews>
  <sheetFormatPr baseColWidth="10" defaultColWidth="11" defaultRowHeight="14.5" x14ac:dyDescent="0.35"/>
  <cols>
    <col min="1" max="1" width="7.9140625" style="95" customWidth="1"/>
    <col min="2" max="3" width="26.1640625" style="95" customWidth="1"/>
    <col min="4" max="5" width="28.6640625" style="95" bestFit="1" customWidth="1"/>
    <col min="6" max="16384" width="11" style="95"/>
  </cols>
  <sheetData>
    <row r="1" spans="1:5" ht="23.25" customHeight="1" x14ac:dyDescent="0.35">
      <c r="B1" s="73" t="s">
        <v>0</v>
      </c>
      <c r="C1" s="73" t="s">
        <v>313</v>
      </c>
      <c r="D1" s="73" t="s">
        <v>132</v>
      </c>
      <c r="E1" s="73" t="s">
        <v>331</v>
      </c>
    </row>
    <row r="2" spans="1:5" ht="35.25" customHeight="1" x14ac:dyDescent="0.35">
      <c r="A2" s="114"/>
      <c r="B2" s="74" t="s">
        <v>343</v>
      </c>
      <c r="C2" s="96">
        <v>0.1</v>
      </c>
      <c r="D2" s="97" t="s">
        <v>314</v>
      </c>
      <c r="E2" s="97" t="s">
        <v>340</v>
      </c>
    </row>
    <row r="3" spans="1:5" ht="35.25" customHeight="1" x14ac:dyDescent="0.35">
      <c r="A3" s="114"/>
      <c r="B3" s="101" t="s">
        <v>328</v>
      </c>
      <c r="C3" s="102">
        <v>0.1</v>
      </c>
      <c r="D3" s="103" t="s">
        <v>314</v>
      </c>
      <c r="E3" s="103" t="s">
        <v>341</v>
      </c>
    </row>
    <row r="4" spans="1:5" ht="35.25" customHeight="1" x14ac:dyDescent="0.35">
      <c r="A4" s="114"/>
      <c r="B4" s="74" t="s">
        <v>269</v>
      </c>
      <c r="C4" s="96">
        <v>0.1</v>
      </c>
      <c r="D4" s="97" t="s">
        <v>314</v>
      </c>
      <c r="E4" s="97" t="s">
        <v>340</v>
      </c>
    </row>
    <row r="5" spans="1:5" ht="35.25" customHeight="1" x14ac:dyDescent="0.35">
      <c r="B5" s="101" t="s">
        <v>243</v>
      </c>
      <c r="C5" s="102">
        <v>0.05</v>
      </c>
      <c r="D5" s="103" t="s">
        <v>314</v>
      </c>
      <c r="E5" s="103" t="s">
        <v>341</v>
      </c>
    </row>
    <row r="6" spans="1:5" ht="35.25" customHeight="1" x14ac:dyDescent="0.35">
      <c r="B6" s="74" t="s">
        <v>186</v>
      </c>
      <c r="C6" s="96">
        <v>0.1</v>
      </c>
      <c r="D6" s="97" t="s">
        <v>314</v>
      </c>
      <c r="E6" s="97" t="s">
        <v>341</v>
      </c>
    </row>
    <row r="7" spans="1:5" ht="15.75" customHeight="1" x14ac:dyDescent="0.35">
      <c r="E7" s="391" t="s">
        <v>333</v>
      </c>
    </row>
    <row r="8" spans="1:5" ht="15" customHeight="1" x14ac:dyDescent="0.35">
      <c r="B8" s="98"/>
      <c r="C8" s="98"/>
      <c r="D8" s="98"/>
      <c r="E8" s="391" t="s">
        <v>332</v>
      </c>
    </row>
    <row r="9" spans="1:5" ht="15" customHeight="1" x14ac:dyDescent="0.35">
      <c r="B9" s="99"/>
      <c r="C9" s="100"/>
      <c r="D9" s="99"/>
      <c r="E9" s="391"/>
    </row>
    <row r="10" spans="1:5" ht="15" customHeight="1" x14ac:dyDescent="0.35">
      <c r="B10" s="99"/>
      <c r="C10" s="100"/>
      <c r="D10" s="99"/>
      <c r="E10" s="391"/>
    </row>
    <row r="11" spans="1:5" ht="15" customHeight="1" x14ac:dyDescent="0.35">
      <c r="B11" s="99"/>
      <c r="C11" s="100"/>
      <c r="D11" s="99"/>
      <c r="E11" s="391"/>
    </row>
    <row r="12" spans="1:5" ht="15" customHeight="1" x14ac:dyDescent="0.35">
      <c r="E12" s="391"/>
    </row>
    <row r="13" spans="1:5" ht="15" customHeight="1" x14ac:dyDescent="0.35">
      <c r="E13" s="391"/>
    </row>
    <row r="14" spans="1:5" ht="15" customHeight="1" x14ac:dyDescent="0.35">
      <c r="E14" s="391"/>
    </row>
    <row r="15" spans="1:5" ht="15" customHeight="1" x14ac:dyDescent="0.35">
      <c r="E15" s="391"/>
    </row>
    <row r="16" spans="1:5" ht="15" customHeight="1" x14ac:dyDescent="0.35">
      <c r="E16" s="391"/>
    </row>
    <row r="17" spans="5:5" ht="15" customHeight="1" x14ac:dyDescent="0.35">
      <c r="E17" s="391"/>
    </row>
    <row r="18" spans="5:5" ht="15" customHeight="1" x14ac:dyDescent="0.35"/>
    <row r="19" spans="5:5" ht="15" customHeight="1" x14ac:dyDescent="0.35"/>
  </sheetData>
  <mergeCells count="1">
    <mergeCell ref="E7:E1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F6ABA-8E5E-4B1A-B3DA-E067DE57C4EF}">
  <sheetPr codeName="Hoja26" filterMode="1">
    <tabColor rgb="FF002060"/>
  </sheetPr>
  <dimension ref="A1:AE358"/>
  <sheetViews>
    <sheetView showGridLines="0" zoomScale="80" zoomScaleNormal="80" zoomScalePageLayoutView="120" workbookViewId="0">
      <pane ySplit="1" topLeftCell="A26" activePane="bottomLeft" state="frozen"/>
      <selection activeCell="C20" sqref="C20"/>
      <selection pane="bottomLeft" activeCell="D324" sqref="D324"/>
    </sheetView>
  </sheetViews>
  <sheetFormatPr baseColWidth="10" defaultColWidth="11" defaultRowHeight="15.5" x14ac:dyDescent="0.35"/>
  <cols>
    <col min="1" max="1" width="11.9140625" style="4" bestFit="1" customWidth="1"/>
    <col min="2" max="2" width="12.5" style="4" bestFit="1" customWidth="1"/>
    <col min="3" max="3" width="11.58203125" style="4" customWidth="1"/>
    <col min="4" max="4" width="12" style="4" customWidth="1"/>
    <col min="5" max="7" width="9" style="4" hidden="1" customWidth="1"/>
    <col min="8" max="8" width="12.58203125" style="4" hidden="1" customWidth="1"/>
    <col min="9" max="9" width="12" style="4" customWidth="1"/>
    <col min="10" max="10" width="10.5" style="4" customWidth="1"/>
    <col min="11" max="11" width="10" style="4" customWidth="1"/>
    <col min="12" max="12" width="8.5" style="4" bestFit="1" customWidth="1"/>
    <col min="13" max="13" width="13.58203125" style="4" customWidth="1"/>
    <col min="14" max="16" width="10.5" style="4" customWidth="1"/>
    <col min="17" max="18" width="9.9140625" style="4" customWidth="1"/>
    <col min="19" max="19" width="16" style="4" customWidth="1"/>
    <col min="20" max="20" width="15.08203125" style="4" customWidth="1"/>
    <col min="21" max="21" width="10.5" style="4" bestFit="1" customWidth="1"/>
    <col min="22" max="22" width="10.5" style="4" hidden="1" customWidth="1"/>
    <col min="23" max="23" width="10.9140625" style="4" bestFit="1" customWidth="1"/>
    <col min="24" max="24" width="15" style="4" bestFit="1" customWidth="1"/>
    <col min="25" max="25" width="13.5" style="4" customWidth="1"/>
    <col min="26" max="26" width="15" style="4" bestFit="1" customWidth="1"/>
    <col min="27" max="27" width="13.5" style="4" customWidth="1"/>
    <col min="28" max="28" width="12" style="4" bestFit="1" customWidth="1"/>
    <col min="29" max="29" width="13" style="4" bestFit="1" customWidth="1"/>
    <col min="30" max="30" width="9.5" style="4" bestFit="1" customWidth="1"/>
  </cols>
  <sheetData>
    <row r="1" spans="1:31" ht="26.25" customHeight="1" x14ac:dyDescent="0.35">
      <c r="A1" s="44" t="s">
        <v>7</v>
      </c>
      <c r="B1" s="44" t="s">
        <v>8</v>
      </c>
      <c r="C1" s="44" t="s">
        <v>9</v>
      </c>
      <c r="D1" s="44" t="s">
        <v>10</v>
      </c>
      <c r="E1" s="44" t="s">
        <v>11</v>
      </c>
      <c r="F1" s="44" t="s">
        <v>12</v>
      </c>
      <c r="G1" s="44" t="s">
        <v>13</v>
      </c>
      <c r="H1" s="44" t="s">
        <v>14</v>
      </c>
      <c r="I1" s="44" t="s">
        <v>15</v>
      </c>
      <c r="J1" s="44" t="s">
        <v>16</v>
      </c>
      <c r="K1" s="44" t="s">
        <v>17</v>
      </c>
      <c r="L1" s="44" t="s">
        <v>18</v>
      </c>
      <c r="M1" s="44" t="s">
        <v>19</v>
      </c>
      <c r="N1" s="44" t="s">
        <v>20</v>
      </c>
      <c r="O1" s="44" t="s">
        <v>22</v>
      </c>
      <c r="P1" s="45" t="s">
        <v>21</v>
      </c>
      <c r="Q1" s="45" t="s">
        <v>23</v>
      </c>
      <c r="R1" s="45" t="s">
        <v>24</v>
      </c>
      <c r="S1" s="45" t="s">
        <v>25</v>
      </c>
      <c r="T1" s="45" t="s">
        <v>26</v>
      </c>
      <c r="U1" s="45" t="s">
        <v>27</v>
      </c>
      <c r="V1" s="45" t="s">
        <v>28</v>
      </c>
      <c r="W1" s="46" t="s">
        <v>29</v>
      </c>
      <c r="X1" s="47" t="s">
        <v>30</v>
      </c>
      <c r="Y1" s="46" t="s">
        <v>31</v>
      </c>
      <c r="Z1" s="47" t="s">
        <v>32</v>
      </c>
      <c r="AA1" s="46" t="s">
        <v>31</v>
      </c>
      <c r="AB1" s="46" t="s">
        <v>33</v>
      </c>
      <c r="AC1" s="46" t="s">
        <v>34</v>
      </c>
      <c r="AD1" s="46" t="s">
        <v>35</v>
      </c>
      <c r="AE1" s="92" t="s">
        <v>280</v>
      </c>
    </row>
    <row r="2" spans="1:31" s="3" customFormat="1" hidden="1" x14ac:dyDescent="0.35">
      <c r="A2" s="94" t="s">
        <v>342</v>
      </c>
      <c r="B2" s="80">
        <v>207</v>
      </c>
      <c r="C2" s="48" t="s">
        <v>36</v>
      </c>
      <c r="D2" s="48" t="s">
        <v>37</v>
      </c>
      <c r="E2" s="48"/>
      <c r="F2" s="48">
        <v>34.11</v>
      </c>
      <c r="G2" s="48">
        <v>2.8</v>
      </c>
      <c r="H2" s="82">
        <f t="shared" ref="H2:H65" si="0">F2+(G2/2)</f>
        <v>35.51</v>
      </c>
      <c r="I2" s="82">
        <f t="shared" ref="I2:I65" si="1">F2+G2</f>
        <v>36.909999999999997</v>
      </c>
      <c r="J2" s="49">
        <v>3890</v>
      </c>
      <c r="K2" s="305">
        <v>0.02</v>
      </c>
      <c r="L2" s="48">
        <v>0</v>
      </c>
      <c r="M2" s="48">
        <v>0</v>
      </c>
      <c r="N2" s="49">
        <f t="shared" ref="N2:N65" si="2">O2-R2</f>
        <v>3430.9799999999996</v>
      </c>
      <c r="O2" s="52">
        <f t="shared" ref="O2:O65" si="3">J2*(100%-K2)+L2+M2</f>
        <v>3812.2</v>
      </c>
      <c r="P2" s="79">
        <f t="shared" ref="P2:P65" si="4">(N2-L2-M2)/H2</f>
        <v>96.620107012109258</v>
      </c>
      <c r="Q2" s="53">
        <f t="shared" ref="Q2:Q65" si="5">IF((O2-N2)/O2&gt;10%,10%,ROUND(IF(O2&gt;N2,(O2-N2)/O2,0),4))</f>
        <v>0.1</v>
      </c>
      <c r="R2" s="54">
        <f t="shared" ref="R2:R65" si="6">(J2-J2*K2)*0.1</f>
        <v>381.22</v>
      </c>
      <c r="S2" s="53">
        <v>0.8</v>
      </c>
      <c r="T2" s="54">
        <f t="shared" ref="T2:T65" si="7">S2*O2</f>
        <v>3049.76</v>
      </c>
      <c r="U2" s="53">
        <f t="shared" ref="U2:U65" si="8">100%-Q2-S2</f>
        <v>9.9999999999999978E-2</v>
      </c>
      <c r="V2" s="54">
        <f t="shared" ref="V2:V65" si="9">O2*U2</f>
        <v>381.21999999999991</v>
      </c>
      <c r="W2" s="55">
        <f ca="1">V2*VLOOKUP(TODAY(),'UF HOY'!$A$2:$B$36,2,0)</f>
        <v>15147372.606799997</v>
      </c>
      <c r="X2" s="56">
        <f>Datos!$K$5</f>
        <v>36</v>
      </c>
      <c r="Y2" s="55">
        <f ca="1">IF((W2-Datos!$U$5-1000000)/X2&gt;0,(W2-Datos!$U$5-1000000)/X2,0)</f>
        <v>390204.79463333328</v>
      </c>
      <c r="Z2" s="56">
        <f>Datos!$K$5</f>
        <v>36</v>
      </c>
      <c r="AA2" s="55">
        <f ca="1">IF((W2-Datos!$U$5-1000000-O2*3%*VLOOKUP(TODAY(),'UF HOY'!$A$2:$B$36,2,0))/Z2&gt;0,(W2-Datos!$U$5-1000000-O2*3%*VLOOKUP(TODAY(),'UF HOY'!$A$2:$B$36,2,0))/Z2,0)</f>
        <v>263976.68957666657</v>
      </c>
      <c r="AB2" s="130" cm="1">
        <f t="array" ref="AB2">_xlfn.IFS(AND(L2=0,M2=0),VLOOKUP(D2,Datos!$F$31:$I$33,2,0),AND(L2=0,M2&gt;0),VLOOKUP(D2,Datos!$F$32:$I$33,2,0),AND(L2&gt;0,M2=0),VLOOKUP(D2,Datos!$F$32:$I$33,3,0),AND(L2&gt;0,M2&gt;0),VLOOKUP(D2,Datos!$F$31:$I$33,4,0))</f>
        <v>550000</v>
      </c>
      <c r="AC2" s="55">
        <f ca="1">(S2*PMT(Datos!$G$15,Datos!$G$14,-O2,,)*VLOOKUP(TODAY(),'UF HOY'!$A$2:$B$36,2,0)/12)+VLOOKUP(TODAY(),'UF HOY'!$A$2:$B$36,2,0)</f>
        <v>623716.64631050033</v>
      </c>
      <c r="AD2" s="55">
        <f t="shared" ref="AD2:AD65" ca="1" si="10">AB2-AC2</f>
        <v>-73716.646310500335</v>
      </c>
      <c r="AE2" s="93">
        <f ca="1">IF((AC2/0.25)&lt;=1600000,1600000,(AC2/0.25))</f>
        <v>2494866.5852420013</v>
      </c>
    </row>
    <row r="3" spans="1:31" s="3" customFormat="1" hidden="1" x14ac:dyDescent="0.35">
      <c r="A3" s="94" t="s">
        <v>342</v>
      </c>
      <c r="B3" s="80">
        <v>206</v>
      </c>
      <c r="C3" s="48" t="s">
        <v>36</v>
      </c>
      <c r="D3" s="48" t="s">
        <v>37</v>
      </c>
      <c r="E3" s="48"/>
      <c r="F3" s="48">
        <v>34.15</v>
      </c>
      <c r="G3" s="48">
        <v>2.8</v>
      </c>
      <c r="H3" s="82">
        <f t="shared" si="0"/>
        <v>35.549999999999997</v>
      </c>
      <c r="I3" s="82">
        <f t="shared" si="1"/>
        <v>36.949999999999996</v>
      </c>
      <c r="J3" s="49">
        <v>3895</v>
      </c>
      <c r="K3" s="305">
        <v>0.02</v>
      </c>
      <c r="L3" s="48">
        <v>0</v>
      </c>
      <c r="M3" s="48">
        <v>0</v>
      </c>
      <c r="N3" s="49">
        <f t="shared" si="2"/>
        <v>3435.39</v>
      </c>
      <c r="O3" s="52">
        <f t="shared" si="3"/>
        <v>3817.1</v>
      </c>
      <c r="P3" s="79">
        <f t="shared" si="4"/>
        <v>96.635443037974682</v>
      </c>
      <c r="Q3" s="53">
        <f t="shared" si="5"/>
        <v>0.1</v>
      </c>
      <c r="R3" s="54">
        <f t="shared" si="6"/>
        <v>381.71000000000004</v>
      </c>
      <c r="S3" s="53">
        <v>0.8</v>
      </c>
      <c r="T3" s="54">
        <f t="shared" si="7"/>
        <v>3053.6800000000003</v>
      </c>
      <c r="U3" s="53">
        <f t="shared" si="8"/>
        <v>9.9999999999999978E-2</v>
      </c>
      <c r="V3" s="54">
        <f t="shared" si="9"/>
        <v>381.70999999999992</v>
      </c>
      <c r="W3" s="55">
        <f ca="1">V3*VLOOKUP(TODAY(),'UF HOY'!$A$2:$B$36,2,0)</f>
        <v>15166842.237399997</v>
      </c>
      <c r="X3" s="56">
        <f>Datos!$K$5</f>
        <v>36</v>
      </c>
      <c r="Y3" s="55">
        <f ca="1">IF((W3-Datos!$U$5-1000000)/X3&gt;0,(W3-Datos!$U$5-1000000)/X3,0)</f>
        <v>390745.61770555546</v>
      </c>
      <c r="Z3" s="56">
        <f>Datos!$K$5</f>
        <v>36</v>
      </c>
      <c r="AA3" s="55">
        <f ca="1">IF((W3-Datos!$U$5-1000000-O3*3%*VLOOKUP(TODAY(),'UF HOY'!$A$2:$B$36,2,0))/Z3&gt;0,(W3-Datos!$U$5-1000000-O3*3%*VLOOKUP(TODAY(),'UF HOY'!$A$2:$B$36,2,0))/Z3,0)</f>
        <v>264355.2657272222</v>
      </c>
      <c r="AB3" s="130" cm="1">
        <f t="array" ref="AB3">_xlfn.IFS(AND(L3=0,M3=0),VLOOKUP(D3,Datos!$F$31:$I$33,2,0),AND(L3=0,M3&gt;0),VLOOKUP(D3,Datos!$F$32:$I$33,2,0),AND(L3&gt;0,M3=0),VLOOKUP(D3,Datos!$F$32:$I$33,3,0),AND(L3&gt;0,M3&gt;0),VLOOKUP(D3,Datos!$F$31:$I$33,4,0))</f>
        <v>550000</v>
      </c>
      <c r="AC3" s="55">
        <f ca="1">(S3*PMT(Datos!$G$15,Datos!$G$14,-O3,,)*VLOOKUP(TODAY(),'UF HOY'!$A$2:$B$36,2,0)/12)+VLOOKUP(TODAY(),'UF HOY'!$A$2:$B$36,2,0)</f>
        <v>624467.26675562933</v>
      </c>
      <c r="AD3" s="55">
        <f t="shared" ca="1" si="10"/>
        <v>-74467.266755629331</v>
      </c>
      <c r="AE3" s="93">
        <f t="shared" ref="AE3:AE66" ca="1" si="11">IF((AC3/0.25)&lt;=1600000,1600000,(AC3/0.25))</f>
        <v>2497869.0670225173</v>
      </c>
    </row>
    <row r="4" spans="1:31" s="3" customFormat="1" hidden="1" x14ac:dyDescent="0.35">
      <c r="A4" s="94" t="s">
        <v>342</v>
      </c>
      <c r="B4" s="80">
        <v>412</v>
      </c>
      <c r="C4" s="48" t="s">
        <v>41</v>
      </c>
      <c r="D4" s="48" t="s">
        <v>37</v>
      </c>
      <c r="E4" s="48"/>
      <c r="F4" s="48">
        <v>34.26</v>
      </c>
      <c r="G4" s="48">
        <v>2.93</v>
      </c>
      <c r="H4" s="82">
        <f t="shared" si="0"/>
        <v>35.725000000000001</v>
      </c>
      <c r="I4" s="82">
        <f t="shared" si="1"/>
        <v>37.19</v>
      </c>
      <c r="J4" s="49">
        <v>3910</v>
      </c>
      <c r="K4" s="305">
        <v>0.02</v>
      </c>
      <c r="L4" s="48">
        <v>0</v>
      </c>
      <c r="M4" s="48">
        <v>0</v>
      </c>
      <c r="N4" s="49">
        <f t="shared" si="2"/>
        <v>3448.62</v>
      </c>
      <c r="O4" s="52">
        <f t="shared" si="3"/>
        <v>3831.7999999999997</v>
      </c>
      <c r="P4" s="79">
        <f t="shared" si="4"/>
        <v>96.532400279916018</v>
      </c>
      <c r="Q4" s="53">
        <f t="shared" si="5"/>
        <v>0.1</v>
      </c>
      <c r="R4" s="54">
        <f t="shared" si="6"/>
        <v>383.18000000000006</v>
      </c>
      <c r="S4" s="53">
        <v>0.8</v>
      </c>
      <c r="T4" s="54">
        <f t="shared" si="7"/>
        <v>3065.44</v>
      </c>
      <c r="U4" s="53">
        <f t="shared" si="8"/>
        <v>9.9999999999999978E-2</v>
      </c>
      <c r="V4" s="54">
        <f t="shared" si="9"/>
        <v>383.17999999999989</v>
      </c>
      <c r="W4" s="55">
        <f ca="1">V4*VLOOKUP(TODAY(),'UF HOY'!$A$2:$B$36,2,0)</f>
        <v>15225251.129199997</v>
      </c>
      <c r="X4" s="56">
        <f>Datos!$K$5</f>
        <v>36</v>
      </c>
      <c r="Y4" s="55">
        <f ca="1">IF((W4-Datos!$U$5-1000000)/X4&gt;0,(W4-Datos!$U$5-1000000)/X4,0)</f>
        <v>392368.08692222211</v>
      </c>
      <c r="Z4" s="56">
        <f>Datos!$K$5</f>
        <v>36</v>
      </c>
      <c r="AA4" s="55">
        <f ca="1">IF((W4-Datos!$U$5-1000000-O4*3%*VLOOKUP(TODAY(),'UF HOY'!$A$2:$B$36,2,0))/Z4&gt;0,(W4-Datos!$U$5-1000000-O4*3%*VLOOKUP(TODAY(),'UF HOY'!$A$2:$B$36,2,0))/Z4,0)</f>
        <v>265490.9941788888</v>
      </c>
      <c r="AB4" s="130" cm="1">
        <f t="array" ref="AB4">_xlfn.IFS(AND(L4=0,M4=0),VLOOKUP(D4,Datos!$F$31:$I$33,2,0),AND(L4=0,M4&gt;0),VLOOKUP(D4,Datos!$F$32:$I$33,2,0),AND(L4&gt;0,M4=0),VLOOKUP(D4,Datos!$F$32:$I$33,3,0),AND(L4&gt;0,M4&gt;0),VLOOKUP(D4,Datos!$F$31:$I$33,4,0))</f>
        <v>550000</v>
      </c>
      <c r="AC4" s="55">
        <f ca="1">(S4*PMT(Datos!$G$15,Datos!$G$14,-O4,,)*VLOOKUP(TODAY(),'UF HOY'!$A$2:$B$36,2,0)/12)+VLOOKUP(TODAY(),'UF HOY'!$A$2:$B$36,2,0)</f>
        <v>626719.12809101678</v>
      </c>
      <c r="AD4" s="55">
        <f t="shared" ca="1" si="10"/>
        <v>-76719.128091016784</v>
      </c>
      <c r="AE4" s="93">
        <f t="shared" ca="1" si="11"/>
        <v>2506876.5123640671</v>
      </c>
    </row>
    <row r="5" spans="1:31" s="3" customFormat="1" hidden="1" x14ac:dyDescent="0.35">
      <c r="A5" s="94" t="s">
        <v>342</v>
      </c>
      <c r="B5" s="80">
        <v>413</v>
      </c>
      <c r="C5" s="48" t="s">
        <v>41</v>
      </c>
      <c r="D5" s="48" t="s">
        <v>37</v>
      </c>
      <c r="E5" s="48"/>
      <c r="F5" s="48">
        <v>34.35</v>
      </c>
      <c r="G5" s="48">
        <v>2.95</v>
      </c>
      <c r="H5" s="82">
        <f t="shared" si="0"/>
        <v>35.825000000000003</v>
      </c>
      <c r="I5" s="82">
        <f t="shared" si="1"/>
        <v>37.300000000000004</v>
      </c>
      <c r="J5" s="49">
        <v>3925</v>
      </c>
      <c r="K5" s="305">
        <v>0.02</v>
      </c>
      <c r="L5" s="48">
        <v>0</v>
      </c>
      <c r="M5" s="48">
        <v>0</v>
      </c>
      <c r="N5" s="49">
        <f t="shared" si="2"/>
        <v>3461.85</v>
      </c>
      <c r="O5" s="52">
        <f t="shared" si="3"/>
        <v>3846.5</v>
      </c>
      <c r="P5" s="79">
        <f t="shared" si="4"/>
        <v>96.632240055826927</v>
      </c>
      <c r="Q5" s="53">
        <f t="shared" si="5"/>
        <v>0.1</v>
      </c>
      <c r="R5" s="54">
        <f t="shared" si="6"/>
        <v>384.65000000000003</v>
      </c>
      <c r="S5" s="53">
        <v>0.8</v>
      </c>
      <c r="T5" s="54">
        <f t="shared" si="7"/>
        <v>3077.2000000000003</v>
      </c>
      <c r="U5" s="53">
        <f t="shared" si="8"/>
        <v>9.9999999999999978E-2</v>
      </c>
      <c r="V5" s="54">
        <f t="shared" si="9"/>
        <v>384.64999999999992</v>
      </c>
      <c r="W5" s="55">
        <f ca="1">V5*VLOOKUP(TODAY(),'UF HOY'!$A$2:$B$36,2,0)</f>
        <v>15283660.020999998</v>
      </c>
      <c r="X5" s="56">
        <f>Datos!$K$5</f>
        <v>36</v>
      </c>
      <c r="Y5" s="55">
        <f ca="1">IF((W5-Datos!$U$5-1000000)/X5&gt;0,(W5-Datos!$U$5-1000000)/X5,0)</f>
        <v>393990.55613888882</v>
      </c>
      <c r="Z5" s="56">
        <f>Datos!$K$5</f>
        <v>36</v>
      </c>
      <c r="AA5" s="55">
        <f ca="1">IF((W5-Datos!$U$5-1000000-O5*3%*VLOOKUP(TODAY(),'UF HOY'!$A$2:$B$36,2,0))/Z5&gt;0,(W5-Datos!$U$5-1000000-O5*3%*VLOOKUP(TODAY(),'UF HOY'!$A$2:$B$36,2,0))/Z5,0)</f>
        <v>266626.72263055551</v>
      </c>
      <c r="AB5" s="130" cm="1">
        <f t="array" ref="AB5">_xlfn.IFS(AND(L5=0,M5=0),VLOOKUP(D5,Datos!$F$31:$I$33,2,0),AND(L5=0,M5&gt;0),VLOOKUP(D5,Datos!$F$32:$I$33,2,0),AND(L5&gt;0,M5=0),VLOOKUP(D5,Datos!$F$32:$I$33,3,0),AND(L5&gt;0,M5&gt;0),VLOOKUP(D5,Datos!$F$31:$I$33,4,0))</f>
        <v>550000</v>
      </c>
      <c r="AC5" s="55">
        <f ca="1">(S5*PMT(Datos!$G$15,Datos!$G$14,-O5,,)*VLOOKUP(TODAY(),'UF HOY'!$A$2:$B$36,2,0)/12)+VLOOKUP(TODAY(),'UF HOY'!$A$2:$B$36,2,0)</f>
        <v>628970.98942640447</v>
      </c>
      <c r="AD5" s="55">
        <f t="shared" ca="1" si="10"/>
        <v>-78970.989426404471</v>
      </c>
      <c r="AE5" s="93">
        <f t="shared" ca="1" si="11"/>
        <v>2515883.9577056179</v>
      </c>
    </row>
    <row r="6" spans="1:31" s="3" customFormat="1" hidden="1" x14ac:dyDescent="0.35">
      <c r="A6" s="94" t="s">
        <v>342</v>
      </c>
      <c r="B6" s="80">
        <v>407</v>
      </c>
      <c r="C6" s="48" t="s">
        <v>36</v>
      </c>
      <c r="D6" s="48" t="s">
        <v>37</v>
      </c>
      <c r="E6" s="48"/>
      <c r="F6" s="48">
        <v>34.1</v>
      </c>
      <c r="G6" s="48">
        <v>2.8</v>
      </c>
      <c r="H6" s="82">
        <f t="shared" si="0"/>
        <v>35.5</v>
      </c>
      <c r="I6" s="82">
        <f t="shared" si="1"/>
        <v>36.9</v>
      </c>
      <c r="J6" s="49">
        <v>3930</v>
      </c>
      <c r="K6" s="305">
        <v>0.02</v>
      </c>
      <c r="L6" s="48">
        <v>0</v>
      </c>
      <c r="M6" s="48">
        <v>0</v>
      </c>
      <c r="N6" s="49">
        <f t="shared" si="2"/>
        <v>3466.26</v>
      </c>
      <c r="O6" s="52">
        <f t="shared" si="3"/>
        <v>3851.4</v>
      </c>
      <c r="P6" s="79">
        <f t="shared" si="4"/>
        <v>97.641126760563381</v>
      </c>
      <c r="Q6" s="53">
        <f t="shared" si="5"/>
        <v>0.1</v>
      </c>
      <c r="R6" s="54">
        <f t="shared" si="6"/>
        <v>385.14000000000004</v>
      </c>
      <c r="S6" s="53">
        <v>0.8</v>
      </c>
      <c r="T6" s="54">
        <f t="shared" si="7"/>
        <v>3081.1200000000003</v>
      </c>
      <c r="U6" s="53">
        <f t="shared" si="8"/>
        <v>9.9999999999999978E-2</v>
      </c>
      <c r="V6" s="54">
        <f t="shared" si="9"/>
        <v>385.13999999999993</v>
      </c>
      <c r="W6" s="55">
        <f ca="1">V6*VLOOKUP(TODAY(),'UF HOY'!$A$2:$B$36,2,0)</f>
        <v>15303129.651599998</v>
      </c>
      <c r="X6" s="56">
        <f>Datos!$K$5</f>
        <v>36</v>
      </c>
      <c r="Y6" s="55">
        <f ca="1">IF((W6-Datos!$U$5-1000000)/X6&gt;0,(W6-Datos!$U$5-1000000)/X6,0)</f>
        <v>394531.37921111105</v>
      </c>
      <c r="Z6" s="56">
        <f>Datos!$K$5</f>
        <v>36</v>
      </c>
      <c r="AA6" s="55">
        <f ca="1">IF((W6-Datos!$U$5-1000000-O6*3%*VLOOKUP(TODAY(),'UF HOY'!$A$2:$B$36,2,0))/Z6&gt;0,(W6-Datos!$U$5-1000000-O6*3%*VLOOKUP(TODAY(),'UF HOY'!$A$2:$B$36,2,0))/Z6,0)</f>
        <v>267005.29878111102</v>
      </c>
      <c r="AB6" s="130" cm="1">
        <f t="array" ref="AB6">_xlfn.IFS(AND(L6=0,M6=0),VLOOKUP(D6,Datos!$F$31:$I$33,2,0),AND(L6=0,M6&gt;0),VLOOKUP(D6,Datos!$F$32:$I$33,2,0),AND(L6&gt;0,M6=0),VLOOKUP(D6,Datos!$F$32:$I$33,3,0),AND(L6&gt;0,M6&gt;0),VLOOKUP(D6,Datos!$F$31:$I$33,4,0))</f>
        <v>550000</v>
      </c>
      <c r="AC6" s="55">
        <f ca="1">(S6*PMT(Datos!$G$15,Datos!$G$14,-O6,,)*VLOOKUP(TODAY(),'UF HOY'!$A$2:$B$36,2,0)/12)+VLOOKUP(TODAY(),'UF HOY'!$A$2:$B$36,2,0)</f>
        <v>629721.6098715337</v>
      </c>
      <c r="AD6" s="55">
        <f t="shared" ca="1" si="10"/>
        <v>-79721.609871533699</v>
      </c>
      <c r="AE6" s="93">
        <f t="shared" ca="1" si="11"/>
        <v>2518886.4394861348</v>
      </c>
    </row>
    <row r="7" spans="1:31" s="3" customFormat="1" hidden="1" x14ac:dyDescent="0.35">
      <c r="A7" s="94" t="s">
        <v>342</v>
      </c>
      <c r="B7" s="80">
        <v>406</v>
      </c>
      <c r="C7" s="48" t="s">
        <v>36</v>
      </c>
      <c r="D7" s="48" t="s">
        <v>37</v>
      </c>
      <c r="E7" s="48"/>
      <c r="F7" s="48">
        <v>34.15</v>
      </c>
      <c r="G7" s="48">
        <v>2.8</v>
      </c>
      <c r="H7" s="82">
        <f t="shared" si="0"/>
        <v>35.549999999999997</v>
      </c>
      <c r="I7" s="82">
        <f t="shared" si="1"/>
        <v>36.949999999999996</v>
      </c>
      <c r="J7" s="49">
        <v>3935</v>
      </c>
      <c r="K7" s="305">
        <v>0.02</v>
      </c>
      <c r="L7" s="48">
        <v>0</v>
      </c>
      <c r="M7" s="48">
        <v>0</v>
      </c>
      <c r="N7" s="49">
        <f t="shared" si="2"/>
        <v>3470.6699999999996</v>
      </c>
      <c r="O7" s="52">
        <f t="shared" si="3"/>
        <v>3856.2999999999997</v>
      </c>
      <c r="P7" s="79">
        <f t="shared" si="4"/>
        <v>97.627848101265826</v>
      </c>
      <c r="Q7" s="53">
        <f t="shared" si="5"/>
        <v>0.1</v>
      </c>
      <c r="R7" s="54">
        <f t="shared" si="6"/>
        <v>385.63000000000005</v>
      </c>
      <c r="S7" s="53">
        <v>0.8</v>
      </c>
      <c r="T7" s="54">
        <f t="shared" si="7"/>
        <v>3085.04</v>
      </c>
      <c r="U7" s="53">
        <f t="shared" si="8"/>
        <v>9.9999999999999978E-2</v>
      </c>
      <c r="V7" s="54">
        <f t="shared" si="9"/>
        <v>385.62999999999988</v>
      </c>
      <c r="W7" s="55">
        <f ca="1">V7*VLOOKUP(TODAY(),'UF HOY'!$A$2:$B$36,2,0)</f>
        <v>15322599.282199996</v>
      </c>
      <c r="X7" s="56">
        <f>Datos!$K$5</f>
        <v>36</v>
      </c>
      <c r="Y7" s="55">
        <f ca="1">IF((W7-Datos!$U$5-1000000)/X7&gt;0,(W7-Datos!$U$5-1000000)/X7,0)</f>
        <v>395072.20228333323</v>
      </c>
      <c r="Z7" s="56">
        <f>Datos!$K$5</f>
        <v>36</v>
      </c>
      <c r="AA7" s="55">
        <f ca="1">IF((W7-Datos!$U$5-1000000-O7*3%*VLOOKUP(TODAY(),'UF HOY'!$A$2:$B$36,2,0))/Z7&gt;0,(W7-Datos!$U$5-1000000-O7*3%*VLOOKUP(TODAY(),'UF HOY'!$A$2:$B$36,2,0))/Z7,0)</f>
        <v>267383.87493166653</v>
      </c>
      <c r="AB7" s="130" cm="1">
        <f t="array" ref="AB7">_xlfn.IFS(AND(L7=0,M7=0),VLOOKUP(D7,Datos!$F$31:$I$33,2,0),AND(L7=0,M7&gt;0),VLOOKUP(D7,Datos!$F$32:$I$33,2,0),AND(L7&gt;0,M7=0),VLOOKUP(D7,Datos!$F$32:$I$33,3,0),AND(L7&gt;0,M7&gt;0),VLOOKUP(D7,Datos!$F$31:$I$33,4,0))</f>
        <v>550000</v>
      </c>
      <c r="AC7" s="55">
        <f ca="1">(S7*PMT(Datos!$G$15,Datos!$G$14,-O7,,)*VLOOKUP(TODAY(),'UF HOY'!$A$2:$B$36,2,0)/12)+VLOOKUP(TODAY(),'UF HOY'!$A$2:$B$36,2,0)</f>
        <v>630472.2303166627</v>
      </c>
      <c r="AD7" s="55">
        <f t="shared" ca="1" si="10"/>
        <v>-80472.230316662695</v>
      </c>
      <c r="AE7" s="93">
        <f t="shared" ca="1" si="11"/>
        <v>2521888.9212666508</v>
      </c>
    </row>
    <row r="8" spans="1:31" s="3" customFormat="1" hidden="1" x14ac:dyDescent="0.35">
      <c r="A8" s="94" t="s">
        <v>342</v>
      </c>
      <c r="B8" s="80">
        <v>507</v>
      </c>
      <c r="C8" s="48" t="s">
        <v>36</v>
      </c>
      <c r="D8" s="48" t="s">
        <v>37</v>
      </c>
      <c r="E8" s="48"/>
      <c r="F8" s="48">
        <v>34.17</v>
      </c>
      <c r="G8" s="48">
        <v>2.8</v>
      </c>
      <c r="H8" s="82">
        <f t="shared" si="0"/>
        <v>35.57</v>
      </c>
      <c r="I8" s="82">
        <f t="shared" si="1"/>
        <v>36.97</v>
      </c>
      <c r="J8" s="49">
        <v>3950</v>
      </c>
      <c r="K8" s="305">
        <v>0.02</v>
      </c>
      <c r="L8" s="48">
        <v>0</v>
      </c>
      <c r="M8" s="48">
        <v>0</v>
      </c>
      <c r="N8" s="49">
        <f t="shared" si="2"/>
        <v>3483.9</v>
      </c>
      <c r="O8" s="52">
        <f t="shared" si="3"/>
        <v>3871</v>
      </c>
      <c r="P8" s="79">
        <f t="shared" si="4"/>
        <v>97.944897385437173</v>
      </c>
      <c r="Q8" s="53">
        <f t="shared" si="5"/>
        <v>0.1</v>
      </c>
      <c r="R8" s="54">
        <f t="shared" si="6"/>
        <v>387.1</v>
      </c>
      <c r="S8" s="53">
        <v>0.8</v>
      </c>
      <c r="T8" s="54">
        <f t="shared" si="7"/>
        <v>3096.8</v>
      </c>
      <c r="U8" s="53">
        <f t="shared" si="8"/>
        <v>9.9999999999999978E-2</v>
      </c>
      <c r="V8" s="54">
        <f t="shared" si="9"/>
        <v>387.09999999999991</v>
      </c>
      <c r="W8" s="55">
        <f ca="1">V8*VLOOKUP(TODAY(),'UF HOY'!$A$2:$B$36,2,0)</f>
        <v>15381008.173999997</v>
      </c>
      <c r="X8" s="56">
        <f>Datos!$K$5</f>
        <v>36</v>
      </c>
      <c r="Y8" s="55">
        <f ca="1">IF((W8-Datos!$U$5-1000000)/X8&gt;0,(W8-Datos!$U$5-1000000)/X8,0)</f>
        <v>396694.67149999994</v>
      </c>
      <c r="Z8" s="56">
        <f>Datos!$K$5</f>
        <v>36</v>
      </c>
      <c r="AA8" s="55">
        <f ca="1">IF((W8-Datos!$U$5-1000000-O8*3%*VLOOKUP(TODAY(),'UF HOY'!$A$2:$B$36,2,0))/Z8&gt;0,(W8-Datos!$U$5-1000000-O8*3%*VLOOKUP(TODAY(),'UF HOY'!$A$2:$B$36,2,0))/Z8,0)</f>
        <v>268519.60338333319</v>
      </c>
      <c r="AB8" s="130" cm="1">
        <f t="array" ref="AB8">_xlfn.IFS(AND(L8=0,M8=0),VLOOKUP(D8,Datos!$F$31:$I$33,2,0),AND(L8=0,M8&gt;0),VLOOKUP(D8,Datos!$F$32:$I$33,2,0),AND(L8&gt;0,M8=0),VLOOKUP(D8,Datos!$F$32:$I$33,3,0),AND(L8&gt;0,M8&gt;0),VLOOKUP(D8,Datos!$F$31:$I$33,4,0))</f>
        <v>550000</v>
      </c>
      <c r="AC8" s="55">
        <f ca="1">(S8*PMT(Datos!$G$15,Datos!$G$14,-O8,,)*VLOOKUP(TODAY(),'UF HOY'!$A$2:$B$36,2,0)/12)+VLOOKUP(TODAY(),'UF HOY'!$A$2:$B$36,2,0)</f>
        <v>632724.09165205038</v>
      </c>
      <c r="AD8" s="55">
        <f t="shared" ca="1" si="10"/>
        <v>-82724.091652050382</v>
      </c>
      <c r="AE8" s="93">
        <f t="shared" ca="1" si="11"/>
        <v>2530896.3666082015</v>
      </c>
    </row>
    <row r="9" spans="1:31" s="3" customFormat="1" hidden="1" x14ac:dyDescent="0.35">
      <c r="A9" s="94" t="s">
        <v>342</v>
      </c>
      <c r="B9" s="80">
        <v>506</v>
      </c>
      <c r="C9" s="48" t="s">
        <v>36</v>
      </c>
      <c r="D9" s="48" t="s">
        <v>37</v>
      </c>
      <c r="E9" s="48"/>
      <c r="F9" s="48">
        <v>34.19</v>
      </c>
      <c r="G9" s="48">
        <v>2.8</v>
      </c>
      <c r="H9" s="82">
        <f t="shared" si="0"/>
        <v>35.589999999999996</v>
      </c>
      <c r="I9" s="82">
        <f t="shared" si="1"/>
        <v>36.989999999999995</v>
      </c>
      <c r="J9" s="49">
        <v>3955</v>
      </c>
      <c r="K9" s="305">
        <v>0.02</v>
      </c>
      <c r="L9" s="48">
        <v>0</v>
      </c>
      <c r="M9" s="48">
        <v>0</v>
      </c>
      <c r="N9" s="49">
        <f t="shared" si="2"/>
        <v>3488.31</v>
      </c>
      <c r="O9" s="52">
        <f t="shared" si="3"/>
        <v>3875.9</v>
      </c>
      <c r="P9" s="79">
        <f t="shared" si="4"/>
        <v>98.013767912334927</v>
      </c>
      <c r="Q9" s="53">
        <f t="shared" si="5"/>
        <v>0.1</v>
      </c>
      <c r="R9" s="54">
        <f t="shared" si="6"/>
        <v>387.59000000000003</v>
      </c>
      <c r="S9" s="53">
        <v>0.8</v>
      </c>
      <c r="T9" s="54">
        <f t="shared" si="7"/>
        <v>3100.7200000000003</v>
      </c>
      <c r="U9" s="53">
        <f t="shared" si="8"/>
        <v>9.9999999999999978E-2</v>
      </c>
      <c r="V9" s="54">
        <f t="shared" si="9"/>
        <v>387.58999999999992</v>
      </c>
      <c r="W9" s="55">
        <f ca="1">V9*VLOOKUP(TODAY(),'UF HOY'!$A$2:$B$36,2,0)</f>
        <v>15400477.804599999</v>
      </c>
      <c r="X9" s="56">
        <f>Datos!$K$5</f>
        <v>36</v>
      </c>
      <c r="Y9" s="55">
        <f ca="1">IF((W9-Datos!$U$5-1000000)/X9&gt;0,(W9-Datos!$U$5-1000000)/X9,0)</f>
        <v>397235.49457222217</v>
      </c>
      <c r="Z9" s="56">
        <f>Datos!$K$5</f>
        <v>36</v>
      </c>
      <c r="AA9" s="55">
        <f ca="1">IF((W9-Datos!$U$5-1000000-O9*3%*VLOOKUP(TODAY(),'UF HOY'!$A$2:$B$36,2,0))/Z9&gt;0,(W9-Datos!$U$5-1000000-O9*3%*VLOOKUP(TODAY(),'UF HOY'!$A$2:$B$36,2,0))/Z9,0)</f>
        <v>268898.17953388882</v>
      </c>
      <c r="AB9" s="130" cm="1">
        <f t="array" ref="AB9">_xlfn.IFS(AND(L9=0,M9=0),VLOOKUP(D9,Datos!$F$31:$I$33,2,0),AND(L9=0,M9&gt;0),VLOOKUP(D9,Datos!$F$32:$I$33,2,0),AND(L9&gt;0,M9=0),VLOOKUP(D9,Datos!$F$32:$I$33,3,0),AND(L9&gt;0,M9&gt;0),VLOOKUP(D9,Datos!$F$31:$I$33,4,0))</f>
        <v>550000</v>
      </c>
      <c r="AC9" s="55">
        <f ca="1">(S9*PMT(Datos!$G$15,Datos!$G$14,-O9,,)*VLOOKUP(TODAY(),'UF HOY'!$A$2:$B$36,2,0)/12)+VLOOKUP(TODAY(),'UF HOY'!$A$2:$B$36,2,0)</f>
        <v>633474.71209717938</v>
      </c>
      <c r="AD9" s="55">
        <f t="shared" ca="1" si="10"/>
        <v>-83474.712097179377</v>
      </c>
      <c r="AE9" s="93">
        <f t="shared" ca="1" si="11"/>
        <v>2533898.8483887175</v>
      </c>
    </row>
    <row r="10" spans="1:31" s="3" customFormat="1" hidden="1" x14ac:dyDescent="0.35">
      <c r="A10" s="94" t="s">
        <v>342</v>
      </c>
      <c r="B10" s="80">
        <v>607</v>
      </c>
      <c r="C10" s="48" t="s">
        <v>36</v>
      </c>
      <c r="D10" s="48" t="s">
        <v>37</v>
      </c>
      <c r="E10" s="48"/>
      <c r="F10" s="48">
        <v>34.17</v>
      </c>
      <c r="G10" s="48">
        <v>2.8</v>
      </c>
      <c r="H10" s="82">
        <f t="shared" si="0"/>
        <v>35.57</v>
      </c>
      <c r="I10" s="82">
        <f t="shared" si="1"/>
        <v>36.97</v>
      </c>
      <c r="J10" s="49">
        <v>3965</v>
      </c>
      <c r="K10" s="305">
        <v>0.02</v>
      </c>
      <c r="L10" s="48">
        <v>0</v>
      </c>
      <c r="M10" s="48">
        <v>0</v>
      </c>
      <c r="N10" s="49">
        <f t="shared" si="2"/>
        <v>3497.1299999999997</v>
      </c>
      <c r="O10" s="52">
        <f t="shared" si="3"/>
        <v>3885.7</v>
      </c>
      <c r="P10" s="79">
        <f t="shared" si="4"/>
        <v>98.316840033736284</v>
      </c>
      <c r="Q10" s="53">
        <f t="shared" si="5"/>
        <v>0.1</v>
      </c>
      <c r="R10" s="54">
        <f t="shared" si="6"/>
        <v>388.57</v>
      </c>
      <c r="S10" s="53">
        <v>0.8</v>
      </c>
      <c r="T10" s="54">
        <f t="shared" si="7"/>
        <v>3108.56</v>
      </c>
      <c r="U10" s="53">
        <f t="shared" si="8"/>
        <v>9.9999999999999978E-2</v>
      </c>
      <c r="V10" s="54">
        <f t="shared" si="9"/>
        <v>388.56999999999988</v>
      </c>
      <c r="W10" s="55">
        <f ca="1">V10*VLOOKUP(TODAY(),'UF HOY'!$A$2:$B$36,2,0)</f>
        <v>15439417.065799996</v>
      </c>
      <c r="X10" s="56">
        <f>Datos!$K$5</f>
        <v>36</v>
      </c>
      <c r="Y10" s="55">
        <f ca="1">IF((W10-Datos!$U$5-1000000)/X10&gt;0,(W10-Datos!$U$5-1000000)/X10,0)</f>
        <v>398317.14071666659</v>
      </c>
      <c r="Z10" s="56">
        <f>Datos!$K$5</f>
        <v>36</v>
      </c>
      <c r="AA10" s="55">
        <f ca="1">IF((W10-Datos!$U$5-1000000-O10*3%*VLOOKUP(TODAY(),'UF HOY'!$A$2:$B$36,2,0))/Z10&gt;0,(W10-Datos!$U$5-1000000-O10*3%*VLOOKUP(TODAY(),'UF HOY'!$A$2:$B$36,2,0))/Z10,0)</f>
        <v>269655.3318349999</v>
      </c>
      <c r="AB10" s="130" cm="1">
        <f t="array" ref="AB10">_xlfn.IFS(AND(L10=0,M10=0),VLOOKUP(D10,Datos!$F$31:$I$33,2,0),AND(L10=0,M10&gt;0),VLOOKUP(D10,Datos!$F$32:$I$33,2,0),AND(L10&gt;0,M10=0),VLOOKUP(D10,Datos!$F$32:$I$33,3,0),AND(L10&gt;0,M10&gt;0),VLOOKUP(D10,Datos!$F$31:$I$33,4,0))</f>
        <v>550000</v>
      </c>
      <c r="AC10" s="55">
        <f ca="1">(S10*PMT(Datos!$G$15,Datos!$G$14,-O10,,)*VLOOKUP(TODAY(),'UF HOY'!$A$2:$B$36,2,0)/12)+VLOOKUP(TODAY(),'UF HOY'!$A$2:$B$36,2,0)</f>
        <v>634975.95298743783</v>
      </c>
      <c r="AD10" s="55">
        <f t="shared" ca="1" si="10"/>
        <v>-84975.952987437835</v>
      </c>
      <c r="AE10" s="93">
        <f t="shared" ca="1" si="11"/>
        <v>2539903.8119497513</v>
      </c>
    </row>
    <row r="11" spans="1:31" s="3" customFormat="1" hidden="1" x14ac:dyDescent="0.35">
      <c r="A11" s="94" t="s">
        <v>342</v>
      </c>
      <c r="B11" s="80">
        <v>606</v>
      </c>
      <c r="C11" s="48" t="s">
        <v>36</v>
      </c>
      <c r="D11" s="48" t="s">
        <v>37</v>
      </c>
      <c r="E11" s="48"/>
      <c r="F11" s="48">
        <v>34.19</v>
      </c>
      <c r="G11" s="48">
        <v>2.8</v>
      </c>
      <c r="H11" s="82">
        <f t="shared" si="0"/>
        <v>35.589999999999996</v>
      </c>
      <c r="I11" s="82">
        <f t="shared" si="1"/>
        <v>36.989999999999995</v>
      </c>
      <c r="J11" s="49">
        <v>3970</v>
      </c>
      <c r="K11" s="305">
        <v>0.02</v>
      </c>
      <c r="L11" s="48">
        <v>0</v>
      </c>
      <c r="M11" s="48">
        <v>0</v>
      </c>
      <c r="N11" s="49">
        <f t="shared" si="2"/>
        <v>3501.54</v>
      </c>
      <c r="O11" s="52">
        <f t="shared" si="3"/>
        <v>3890.6</v>
      </c>
      <c r="P11" s="79">
        <f t="shared" si="4"/>
        <v>98.38550154537792</v>
      </c>
      <c r="Q11" s="53">
        <f t="shared" si="5"/>
        <v>0.1</v>
      </c>
      <c r="R11" s="54">
        <f t="shared" si="6"/>
        <v>389.06</v>
      </c>
      <c r="S11" s="53">
        <v>0.8</v>
      </c>
      <c r="T11" s="54">
        <f t="shared" si="7"/>
        <v>3112.48</v>
      </c>
      <c r="U11" s="53">
        <f t="shared" si="8"/>
        <v>9.9999999999999978E-2</v>
      </c>
      <c r="V11" s="54">
        <f t="shared" si="9"/>
        <v>389.05999999999989</v>
      </c>
      <c r="W11" s="55">
        <f ca="1">V11*VLOOKUP(TODAY(),'UF HOY'!$A$2:$B$36,2,0)</f>
        <v>15458886.696399996</v>
      </c>
      <c r="X11" s="56">
        <f>Datos!$K$5</f>
        <v>36</v>
      </c>
      <c r="Y11" s="55">
        <f ca="1">IF((W11-Datos!$U$5-1000000)/X11&gt;0,(W11-Datos!$U$5-1000000)/X11,0)</f>
        <v>398857.96378888877</v>
      </c>
      <c r="Z11" s="56">
        <f>Datos!$K$5</f>
        <v>36</v>
      </c>
      <c r="AA11" s="55">
        <f ca="1">IF((W11-Datos!$U$5-1000000-O11*3%*VLOOKUP(TODAY(),'UF HOY'!$A$2:$B$36,2,0))/Z11&gt;0,(W11-Datos!$U$5-1000000-O11*3%*VLOOKUP(TODAY(),'UF HOY'!$A$2:$B$36,2,0))/Z11,0)</f>
        <v>270033.90798555542</v>
      </c>
      <c r="AB11" s="130" cm="1">
        <f t="array" ref="AB11">_xlfn.IFS(AND(L11=0,M11=0),VLOOKUP(D11,Datos!$F$31:$I$33,2,0),AND(L11=0,M11&gt;0),VLOOKUP(D11,Datos!$F$32:$I$33,2,0),AND(L11&gt;0,M11=0),VLOOKUP(D11,Datos!$F$32:$I$33,3,0),AND(L11&gt;0,M11&gt;0),VLOOKUP(D11,Datos!$F$31:$I$33,4,0))</f>
        <v>550000</v>
      </c>
      <c r="AC11" s="55">
        <f ca="1">(S11*PMT(Datos!$G$15,Datos!$G$14,-O11,,)*VLOOKUP(TODAY(),'UF HOY'!$A$2:$B$36,2,0)/12)+VLOOKUP(TODAY(),'UF HOY'!$A$2:$B$36,2,0)</f>
        <v>635726.57343256706</v>
      </c>
      <c r="AD11" s="55">
        <f t="shared" ca="1" si="10"/>
        <v>-85726.573432567064</v>
      </c>
      <c r="AE11" s="93">
        <f t="shared" ca="1" si="11"/>
        <v>2542906.2937302683</v>
      </c>
    </row>
    <row r="12" spans="1:31" s="3" customFormat="1" hidden="1" x14ac:dyDescent="0.35">
      <c r="A12" s="94" t="s">
        <v>342</v>
      </c>
      <c r="B12" s="80">
        <v>706</v>
      </c>
      <c r="C12" s="48" t="s">
        <v>36</v>
      </c>
      <c r="D12" s="48" t="s">
        <v>37</v>
      </c>
      <c r="E12" s="48"/>
      <c r="F12" s="48">
        <v>34.19</v>
      </c>
      <c r="G12" s="48">
        <v>2.8</v>
      </c>
      <c r="H12" s="82">
        <f t="shared" si="0"/>
        <v>35.589999999999996</v>
      </c>
      <c r="I12" s="82">
        <f t="shared" si="1"/>
        <v>36.989999999999995</v>
      </c>
      <c r="J12" s="49">
        <v>3985</v>
      </c>
      <c r="K12" s="305">
        <v>0.02</v>
      </c>
      <c r="L12" s="48">
        <v>0</v>
      </c>
      <c r="M12" s="48">
        <v>0</v>
      </c>
      <c r="N12" s="49">
        <f t="shared" si="2"/>
        <v>3514.7699999999995</v>
      </c>
      <c r="O12" s="52">
        <f t="shared" si="3"/>
        <v>3905.2999999999997</v>
      </c>
      <c r="P12" s="79">
        <f t="shared" si="4"/>
        <v>98.757235178420899</v>
      </c>
      <c r="Q12" s="53">
        <f t="shared" si="5"/>
        <v>0.1</v>
      </c>
      <c r="R12" s="54">
        <f t="shared" si="6"/>
        <v>390.53000000000003</v>
      </c>
      <c r="S12" s="53">
        <v>0.8</v>
      </c>
      <c r="T12" s="54">
        <f t="shared" si="7"/>
        <v>3124.24</v>
      </c>
      <c r="U12" s="53">
        <f t="shared" si="8"/>
        <v>9.9999999999999978E-2</v>
      </c>
      <c r="V12" s="54">
        <f t="shared" si="9"/>
        <v>390.52999999999986</v>
      </c>
      <c r="W12" s="55">
        <f ca="1">V12*VLOOKUP(TODAY(),'UF HOY'!$A$2:$B$36,2,0)</f>
        <v>15517295.588199995</v>
      </c>
      <c r="X12" s="56">
        <f>Datos!$K$5</f>
        <v>36</v>
      </c>
      <c r="Y12" s="55">
        <f ca="1">IF((W12-Datos!$U$5-1000000)/X12&gt;0,(W12-Datos!$U$5-1000000)/X12,0)</f>
        <v>400480.43300555542</v>
      </c>
      <c r="Z12" s="56">
        <f>Datos!$K$5</f>
        <v>36</v>
      </c>
      <c r="AA12" s="55">
        <f ca="1">IF((W12-Datos!$U$5-1000000-O12*3%*VLOOKUP(TODAY(),'UF HOY'!$A$2:$B$36,2,0))/Z12&gt;0,(W12-Datos!$U$5-1000000-O12*3%*VLOOKUP(TODAY(),'UF HOY'!$A$2:$B$36,2,0))/Z12,0)</f>
        <v>271169.63643722213</v>
      </c>
      <c r="AB12" s="130" cm="1">
        <f t="array" ref="AB12">_xlfn.IFS(AND(L12=0,M12=0),VLOOKUP(D12,Datos!$F$31:$I$33,2,0),AND(L12=0,M12&gt;0),VLOOKUP(D12,Datos!$F$32:$I$33,2,0),AND(L12&gt;0,M12=0),VLOOKUP(D12,Datos!$F$32:$I$33,3,0),AND(L12&gt;0,M12&gt;0),VLOOKUP(D12,Datos!$F$31:$I$33,4,0))</f>
        <v>550000</v>
      </c>
      <c r="AC12" s="55">
        <f ca="1">(S12*PMT(Datos!$G$15,Datos!$G$14,-O12,,)*VLOOKUP(TODAY(),'UF HOY'!$A$2:$B$36,2,0)/12)+VLOOKUP(TODAY(),'UF HOY'!$A$2:$B$36,2,0)</f>
        <v>637978.43476795452</v>
      </c>
      <c r="AD12" s="55">
        <f t="shared" ca="1" si="10"/>
        <v>-87978.434767954517</v>
      </c>
      <c r="AE12" s="93">
        <f t="shared" ca="1" si="11"/>
        <v>2551913.7390718181</v>
      </c>
    </row>
    <row r="13" spans="1:31" s="3" customFormat="1" hidden="1" x14ac:dyDescent="0.35">
      <c r="A13" s="94" t="s">
        <v>342</v>
      </c>
      <c r="B13" s="80">
        <v>707</v>
      </c>
      <c r="C13" s="48" t="s">
        <v>36</v>
      </c>
      <c r="D13" s="48" t="s">
        <v>37</v>
      </c>
      <c r="E13" s="48"/>
      <c r="F13" s="48">
        <v>34.17</v>
      </c>
      <c r="G13" s="48">
        <v>2.8</v>
      </c>
      <c r="H13" s="82">
        <f t="shared" si="0"/>
        <v>35.57</v>
      </c>
      <c r="I13" s="82">
        <f t="shared" si="1"/>
        <v>36.97</v>
      </c>
      <c r="J13" s="49">
        <v>3985</v>
      </c>
      <c r="K13" s="305">
        <v>0.02</v>
      </c>
      <c r="L13" s="48">
        <v>0</v>
      </c>
      <c r="M13" s="48">
        <v>0</v>
      </c>
      <c r="N13" s="49">
        <f t="shared" si="2"/>
        <v>3514.7699999999995</v>
      </c>
      <c r="O13" s="52">
        <f t="shared" si="3"/>
        <v>3905.2999999999997</v>
      </c>
      <c r="P13" s="79">
        <f t="shared" si="4"/>
        <v>98.812763564801784</v>
      </c>
      <c r="Q13" s="53">
        <f t="shared" si="5"/>
        <v>0.1</v>
      </c>
      <c r="R13" s="54">
        <f t="shared" si="6"/>
        <v>390.53000000000003</v>
      </c>
      <c r="S13" s="53">
        <v>0.8</v>
      </c>
      <c r="T13" s="54">
        <f t="shared" si="7"/>
        <v>3124.24</v>
      </c>
      <c r="U13" s="53">
        <f t="shared" si="8"/>
        <v>9.9999999999999978E-2</v>
      </c>
      <c r="V13" s="54">
        <f t="shared" si="9"/>
        <v>390.52999999999986</v>
      </c>
      <c r="W13" s="55">
        <f ca="1">V13*VLOOKUP(TODAY(),'UF HOY'!$A$2:$B$36,2,0)</f>
        <v>15517295.588199995</v>
      </c>
      <c r="X13" s="56">
        <f>Datos!$K$5</f>
        <v>36</v>
      </c>
      <c r="Y13" s="55">
        <f ca="1">IF((W13-Datos!$U$5-1000000)/X13&gt;0,(W13-Datos!$U$5-1000000)/X13,0)</f>
        <v>400480.43300555542</v>
      </c>
      <c r="Z13" s="56">
        <f>Datos!$K$5</f>
        <v>36</v>
      </c>
      <c r="AA13" s="55">
        <f ca="1">IF((W13-Datos!$U$5-1000000-O13*3%*VLOOKUP(TODAY(),'UF HOY'!$A$2:$B$36,2,0))/Z13&gt;0,(W13-Datos!$U$5-1000000-O13*3%*VLOOKUP(TODAY(),'UF HOY'!$A$2:$B$36,2,0))/Z13,0)</f>
        <v>271169.63643722213</v>
      </c>
      <c r="AB13" s="130" cm="1">
        <f t="array" ref="AB13">_xlfn.IFS(AND(L13=0,M13=0),VLOOKUP(D13,Datos!$F$31:$I$33,2,0),AND(L13=0,M13&gt;0),VLOOKUP(D13,Datos!$F$32:$I$33,2,0),AND(L13&gt;0,M13=0),VLOOKUP(D13,Datos!$F$32:$I$33,3,0),AND(L13&gt;0,M13&gt;0),VLOOKUP(D13,Datos!$F$31:$I$33,4,0))</f>
        <v>550000</v>
      </c>
      <c r="AC13" s="55">
        <f ca="1">(S13*PMT(Datos!$G$15,Datos!$G$14,-O13,,)*VLOOKUP(TODAY(),'UF HOY'!$A$2:$B$36,2,0)/12)+VLOOKUP(TODAY(),'UF HOY'!$A$2:$B$36,2,0)</f>
        <v>637978.43476795452</v>
      </c>
      <c r="AD13" s="55">
        <f t="shared" ca="1" si="10"/>
        <v>-87978.434767954517</v>
      </c>
      <c r="AE13" s="93">
        <f t="shared" ca="1" si="11"/>
        <v>2551913.7390718181</v>
      </c>
    </row>
    <row r="14" spans="1:31" s="3" customFormat="1" hidden="1" x14ac:dyDescent="0.35">
      <c r="A14" s="94" t="s">
        <v>342</v>
      </c>
      <c r="B14" s="80">
        <v>806</v>
      </c>
      <c r="C14" s="48" t="s">
        <v>36</v>
      </c>
      <c r="D14" s="48" t="s">
        <v>37</v>
      </c>
      <c r="E14" s="48"/>
      <c r="F14" s="48">
        <v>34.19</v>
      </c>
      <c r="G14" s="48">
        <v>2.8</v>
      </c>
      <c r="H14" s="82">
        <f t="shared" si="0"/>
        <v>35.589999999999996</v>
      </c>
      <c r="I14" s="82">
        <f t="shared" si="1"/>
        <v>36.989999999999995</v>
      </c>
      <c r="J14" s="49">
        <v>4000</v>
      </c>
      <c r="K14" s="305">
        <v>0.02</v>
      </c>
      <c r="L14" s="48">
        <v>0</v>
      </c>
      <c r="M14" s="48">
        <v>0</v>
      </c>
      <c r="N14" s="49">
        <f t="shared" si="2"/>
        <v>3528</v>
      </c>
      <c r="O14" s="52">
        <f t="shared" si="3"/>
        <v>3920</v>
      </c>
      <c r="P14" s="79">
        <f t="shared" si="4"/>
        <v>99.128968811463906</v>
      </c>
      <c r="Q14" s="53">
        <f t="shared" si="5"/>
        <v>0.1</v>
      </c>
      <c r="R14" s="54">
        <f t="shared" si="6"/>
        <v>392</v>
      </c>
      <c r="S14" s="53">
        <v>0.8</v>
      </c>
      <c r="T14" s="54">
        <f t="shared" si="7"/>
        <v>3136</v>
      </c>
      <c r="U14" s="53">
        <f t="shared" si="8"/>
        <v>9.9999999999999978E-2</v>
      </c>
      <c r="V14" s="54">
        <f t="shared" si="9"/>
        <v>391.99999999999989</v>
      </c>
      <c r="W14" s="55">
        <f ca="1">V14*VLOOKUP(TODAY(),'UF HOY'!$A$2:$B$36,2,0)</f>
        <v>15575704.479999997</v>
      </c>
      <c r="X14" s="56">
        <f>Datos!$K$5</f>
        <v>36</v>
      </c>
      <c r="Y14" s="55">
        <f ca="1">IF((W14-Datos!$U$5-1000000)/X14&gt;0,(W14-Datos!$U$5-1000000)/X14,0)</f>
        <v>402102.90222222212</v>
      </c>
      <c r="Z14" s="56">
        <f>Datos!$K$5</f>
        <v>36</v>
      </c>
      <c r="AA14" s="55">
        <f ca="1">IF((W14-Datos!$U$5-1000000-O14*3%*VLOOKUP(TODAY(),'UF HOY'!$A$2:$B$36,2,0))/Z14&gt;0,(W14-Datos!$U$5-1000000-O14*3%*VLOOKUP(TODAY(),'UF HOY'!$A$2:$B$36,2,0))/Z14,0)</f>
        <v>272305.36488888878</v>
      </c>
      <c r="AB14" s="130" cm="1">
        <f t="array" ref="AB14">_xlfn.IFS(AND(L14=0,M14=0),VLOOKUP(D14,Datos!$F$31:$I$33,2,0),AND(L14=0,M14&gt;0),VLOOKUP(D14,Datos!$F$32:$I$33,2,0),AND(L14&gt;0,M14=0),VLOOKUP(D14,Datos!$F$32:$I$33,3,0),AND(L14&gt;0,M14&gt;0),VLOOKUP(D14,Datos!$F$31:$I$33,4,0))</f>
        <v>550000</v>
      </c>
      <c r="AC14" s="55">
        <f ca="1">(S14*PMT(Datos!$G$15,Datos!$G$14,-O14,,)*VLOOKUP(TODAY(),'UF HOY'!$A$2:$B$36,2,0)/12)+VLOOKUP(TODAY(),'UF HOY'!$A$2:$B$36,2,0)</f>
        <v>640230.2961033422</v>
      </c>
      <c r="AD14" s="55">
        <f t="shared" ca="1" si="10"/>
        <v>-90230.296103342203</v>
      </c>
      <c r="AE14" s="93">
        <f t="shared" ca="1" si="11"/>
        <v>2560921.1844133688</v>
      </c>
    </row>
    <row r="15" spans="1:31" s="3" customFormat="1" hidden="1" x14ac:dyDescent="0.35">
      <c r="A15" s="94" t="s">
        <v>342</v>
      </c>
      <c r="B15" s="80">
        <v>807</v>
      </c>
      <c r="C15" s="48" t="s">
        <v>36</v>
      </c>
      <c r="D15" s="48" t="s">
        <v>37</v>
      </c>
      <c r="E15" s="48"/>
      <c r="F15" s="48">
        <v>34.17</v>
      </c>
      <c r="G15" s="48">
        <v>2.8</v>
      </c>
      <c r="H15" s="82">
        <f t="shared" si="0"/>
        <v>35.57</v>
      </c>
      <c r="I15" s="82">
        <f t="shared" si="1"/>
        <v>36.97</v>
      </c>
      <c r="J15" s="49">
        <v>4000</v>
      </c>
      <c r="K15" s="305">
        <v>0.02</v>
      </c>
      <c r="L15" s="48">
        <v>0</v>
      </c>
      <c r="M15" s="48">
        <v>0</v>
      </c>
      <c r="N15" s="49">
        <f t="shared" si="2"/>
        <v>3528</v>
      </c>
      <c r="O15" s="52">
        <f t="shared" si="3"/>
        <v>3920</v>
      </c>
      <c r="P15" s="79">
        <f t="shared" si="4"/>
        <v>99.184706213100924</v>
      </c>
      <c r="Q15" s="53">
        <f t="shared" si="5"/>
        <v>0.1</v>
      </c>
      <c r="R15" s="54">
        <f t="shared" si="6"/>
        <v>392</v>
      </c>
      <c r="S15" s="53">
        <v>0.8</v>
      </c>
      <c r="T15" s="54">
        <f t="shared" si="7"/>
        <v>3136</v>
      </c>
      <c r="U15" s="53">
        <f t="shared" si="8"/>
        <v>9.9999999999999978E-2</v>
      </c>
      <c r="V15" s="54">
        <f t="shared" si="9"/>
        <v>391.99999999999989</v>
      </c>
      <c r="W15" s="55">
        <f ca="1">V15*VLOOKUP(TODAY(),'UF HOY'!$A$2:$B$36,2,0)</f>
        <v>15575704.479999997</v>
      </c>
      <c r="X15" s="56">
        <f>Datos!$K$5</f>
        <v>36</v>
      </c>
      <c r="Y15" s="55">
        <f ca="1">IF((W15-Datos!$U$5-1000000)/X15&gt;0,(W15-Datos!$U$5-1000000)/X15,0)</f>
        <v>402102.90222222212</v>
      </c>
      <c r="Z15" s="56">
        <f>Datos!$K$5</f>
        <v>36</v>
      </c>
      <c r="AA15" s="55">
        <f ca="1">IF((W15-Datos!$U$5-1000000-O15*3%*VLOOKUP(TODAY(),'UF HOY'!$A$2:$B$36,2,0))/Z15&gt;0,(W15-Datos!$U$5-1000000-O15*3%*VLOOKUP(TODAY(),'UF HOY'!$A$2:$B$36,2,0))/Z15,0)</f>
        <v>272305.36488888878</v>
      </c>
      <c r="AB15" s="130" cm="1">
        <f t="array" ref="AB15">_xlfn.IFS(AND(L15=0,M15=0),VLOOKUP(D15,Datos!$F$31:$I$33,2,0),AND(L15=0,M15&gt;0),VLOOKUP(D15,Datos!$F$32:$I$33,2,0),AND(L15&gt;0,M15=0),VLOOKUP(D15,Datos!$F$32:$I$33,3,0),AND(L15&gt;0,M15&gt;0),VLOOKUP(D15,Datos!$F$31:$I$33,4,0))</f>
        <v>550000</v>
      </c>
      <c r="AC15" s="55">
        <f ca="1">(S15*PMT(Datos!$G$15,Datos!$G$14,-O15,,)*VLOOKUP(TODAY(),'UF HOY'!$A$2:$B$36,2,0)/12)+VLOOKUP(TODAY(),'UF HOY'!$A$2:$B$36,2,0)</f>
        <v>640230.2961033422</v>
      </c>
      <c r="AD15" s="55">
        <f t="shared" ca="1" si="10"/>
        <v>-90230.296103342203</v>
      </c>
      <c r="AE15" s="93">
        <f t="shared" ca="1" si="11"/>
        <v>2560921.1844133688</v>
      </c>
    </row>
    <row r="16" spans="1:31" s="3" customFormat="1" hidden="1" x14ac:dyDescent="0.35">
      <c r="A16" s="94" t="s">
        <v>342</v>
      </c>
      <c r="B16" s="80">
        <v>512</v>
      </c>
      <c r="C16" s="48" t="s">
        <v>41</v>
      </c>
      <c r="D16" s="48" t="s">
        <v>37</v>
      </c>
      <c r="E16" s="48"/>
      <c r="F16" s="48">
        <v>34.630000000000003</v>
      </c>
      <c r="G16" s="48">
        <v>2.93</v>
      </c>
      <c r="H16" s="82">
        <f t="shared" si="0"/>
        <v>36.095000000000006</v>
      </c>
      <c r="I16" s="82">
        <f t="shared" si="1"/>
        <v>37.56</v>
      </c>
      <c r="J16" s="49">
        <v>4010</v>
      </c>
      <c r="K16" s="305">
        <v>0.02</v>
      </c>
      <c r="L16" s="48">
        <v>0</v>
      </c>
      <c r="M16" s="48">
        <v>0</v>
      </c>
      <c r="N16" s="49">
        <f t="shared" si="2"/>
        <v>3536.8199999999997</v>
      </c>
      <c r="O16" s="52">
        <f t="shared" si="3"/>
        <v>3929.7999999999997</v>
      </c>
      <c r="P16" s="79">
        <f t="shared" si="4"/>
        <v>97.986424712564045</v>
      </c>
      <c r="Q16" s="53">
        <f t="shared" si="5"/>
        <v>0.1</v>
      </c>
      <c r="R16" s="54">
        <f t="shared" si="6"/>
        <v>392.98</v>
      </c>
      <c r="S16" s="53">
        <v>0.8</v>
      </c>
      <c r="T16" s="54">
        <f t="shared" si="7"/>
        <v>3143.84</v>
      </c>
      <c r="U16" s="53">
        <f t="shared" si="8"/>
        <v>9.9999999999999978E-2</v>
      </c>
      <c r="V16" s="54">
        <f t="shared" si="9"/>
        <v>392.9799999999999</v>
      </c>
      <c r="W16" s="55">
        <f ca="1">V16*VLOOKUP(TODAY(),'UF HOY'!$A$2:$B$36,2,0)</f>
        <v>15614643.741199996</v>
      </c>
      <c r="X16" s="56">
        <f>Datos!$K$5</f>
        <v>36</v>
      </c>
      <c r="Y16" s="55">
        <f ca="1">IF((W16-Datos!$U$5-1000000)/X16&gt;0,(W16-Datos!$U$5-1000000)/X16,0)</f>
        <v>403184.54836666654</v>
      </c>
      <c r="Z16" s="56">
        <f>Datos!$K$5</f>
        <v>36</v>
      </c>
      <c r="AA16" s="55">
        <f ca="1">IF((W16-Datos!$U$5-1000000-O16*3%*VLOOKUP(TODAY(),'UF HOY'!$A$2:$B$36,2,0))/Z16&gt;0,(W16-Datos!$U$5-1000000-O16*3%*VLOOKUP(TODAY(),'UF HOY'!$A$2:$B$36,2,0))/Z16,0)</f>
        <v>273062.51718999987</v>
      </c>
      <c r="AB16" s="130" cm="1">
        <f t="array" ref="AB16">_xlfn.IFS(AND(L16=0,M16=0),VLOOKUP(D16,Datos!$F$31:$I$33,2,0),AND(L16=0,M16&gt;0),VLOOKUP(D16,Datos!$F$32:$I$33,2,0),AND(L16&gt;0,M16=0),VLOOKUP(D16,Datos!$F$32:$I$33,3,0),AND(L16&gt;0,M16&gt;0),VLOOKUP(D16,Datos!$F$31:$I$33,4,0))</f>
        <v>550000</v>
      </c>
      <c r="AC16" s="55">
        <f ca="1">(S16*PMT(Datos!$G$15,Datos!$G$14,-O16,,)*VLOOKUP(TODAY(),'UF HOY'!$A$2:$B$36,2,0)/12)+VLOOKUP(TODAY(),'UF HOY'!$A$2:$B$36,2,0)</f>
        <v>641731.53699360043</v>
      </c>
      <c r="AD16" s="55">
        <f t="shared" ca="1" si="10"/>
        <v>-91731.536993600428</v>
      </c>
      <c r="AE16" s="93">
        <f t="shared" ca="1" si="11"/>
        <v>2566926.1479744017</v>
      </c>
    </row>
    <row r="17" spans="1:31" s="3" customFormat="1" hidden="1" x14ac:dyDescent="0.35">
      <c r="A17" s="94" t="s">
        <v>342</v>
      </c>
      <c r="B17" s="80">
        <v>513</v>
      </c>
      <c r="C17" s="48" t="s">
        <v>41</v>
      </c>
      <c r="D17" s="48" t="s">
        <v>37</v>
      </c>
      <c r="E17" s="48"/>
      <c r="F17" s="48">
        <v>34.69</v>
      </c>
      <c r="G17" s="48">
        <v>2.93</v>
      </c>
      <c r="H17" s="82">
        <f t="shared" si="0"/>
        <v>36.155000000000001</v>
      </c>
      <c r="I17" s="82">
        <f t="shared" si="1"/>
        <v>37.619999999999997</v>
      </c>
      <c r="J17" s="49">
        <v>4015</v>
      </c>
      <c r="K17" s="305">
        <v>0.02</v>
      </c>
      <c r="L17" s="48">
        <v>0</v>
      </c>
      <c r="M17" s="48">
        <v>0</v>
      </c>
      <c r="N17" s="49">
        <f t="shared" si="2"/>
        <v>3541.2299999999996</v>
      </c>
      <c r="O17" s="52">
        <f t="shared" si="3"/>
        <v>3934.7</v>
      </c>
      <c r="P17" s="79">
        <f t="shared" si="4"/>
        <v>97.945788964181986</v>
      </c>
      <c r="Q17" s="53">
        <f t="shared" si="5"/>
        <v>0.1</v>
      </c>
      <c r="R17" s="54">
        <f t="shared" si="6"/>
        <v>393.47</v>
      </c>
      <c r="S17" s="53">
        <v>0.8</v>
      </c>
      <c r="T17" s="54">
        <f t="shared" si="7"/>
        <v>3147.76</v>
      </c>
      <c r="U17" s="53">
        <f t="shared" si="8"/>
        <v>9.9999999999999978E-2</v>
      </c>
      <c r="V17" s="54">
        <f t="shared" si="9"/>
        <v>393.46999999999991</v>
      </c>
      <c r="W17" s="55">
        <f ca="1">V17*VLOOKUP(TODAY(),'UF HOY'!$A$2:$B$36,2,0)</f>
        <v>15634113.371799998</v>
      </c>
      <c r="X17" s="56">
        <f>Datos!$K$5</f>
        <v>36</v>
      </c>
      <c r="Y17" s="55">
        <f ca="1">IF((W17-Datos!$U$5-1000000)/X17&gt;0,(W17-Datos!$U$5-1000000)/X17,0)</f>
        <v>403725.37143888883</v>
      </c>
      <c r="Z17" s="56">
        <f>Datos!$K$5</f>
        <v>36</v>
      </c>
      <c r="AA17" s="55">
        <f ca="1">IF((W17-Datos!$U$5-1000000-O17*3%*VLOOKUP(TODAY(),'UF HOY'!$A$2:$B$36,2,0))/Z17&gt;0,(W17-Datos!$U$5-1000000-O17*3%*VLOOKUP(TODAY(),'UF HOY'!$A$2:$B$36,2,0))/Z17,0)</f>
        <v>273441.0933405555</v>
      </c>
      <c r="AB17" s="130" cm="1">
        <f t="array" ref="AB17">_xlfn.IFS(AND(L17=0,M17=0),VLOOKUP(D17,Datos!$F$31:$I$33,2,0),AND(L17=0,M17&gt;0),VLOOKUP(D17,Datos!$F$32:$I$33,2,0),AND(L17&gt;0,M17=0),VLOOKUP(D17,Datos!$F$32:$I$33,3,0),AND(L17&gt;0,M17&gt;0),VLOOKUP(D17,Datos!$F$31:$I$33,4,0))</f>
        <v>550000</v>
      </c>
      <c r="AC17" s="55">
        <f ca="1">(S17*PMT(Datos!$G$15,Datos!$G$14,-O17,,)*VLOOKUP(TODAY(),'UF HOY'!$A$2:$B$36,2,0)/12)+VLOOKUP(TODAY(),'UF HOY'!$A$2:$B$36,2,0)</f>
        <v>642482.15743872966</v>
      </c>
      <c r="AD17" s="55">
        <f t="shared" ca="1" si="10"/>
        <v>-92482.157438729657</v>
      </c>
      <c r="AE17" s="93">
        <f t="shared" ca="1" si="11"/>
        <v>2569928.6297549186</v>
      </c>
    </row>
    <row r="18" spans="1:31" s="3" customFormat="1" hidden="1" x14ac:dyDescent="0.35">
      <c r="A18" s="94" t="s">
        <v>342</v>
      </c>
      <c r="B18" s="80">
        <v>906</v>
      </c>
      <c r="C18" s="48" t="s">
        <v>36</v>
      </c>
      <c r="D18" s="48" t="s">
        <v>37</v>
      </c>
      <c r="E18" s="48"/>
      <c r="F18" s="48">
        <v>34.19</v>
      </c>
      <c r="G18" s="48">
        <v>2.8</v>
      </c>
      <c r="H18" s="82">
        <f t="shared" si="0"/>
        <v>35.589999999999996</v>
      </c>
      <c r="I18" s="82">
        <f t="shared" si="1"/>
        <v>36.989999999999995</v>
      </c>
      <c r="J18" s="49">
        <v>4015</v>
      </c>
      <c r="K18" s="305">
        <v>0.02</v>
      </c>
      <c r="L18" s="48">
        <v>0</v>
      </c>
      <c r="M18" s="48">
        <v>0</v>
      </c>
      <c r="N18" s="49">
        <f t="shared" si="2"/>
        <v>3541.2299999999996</v>
      </c>
      <c r="O18" s="52">
        <f t="shared" si="3"/>
        <v>3934.7</v>
      </c>
      <c r="P18" s="79">
        <f t="shared" si="4"/>
        <v>99.500702444506885</v>
      </c>
      <c r="Q18" s="53">
        <f t="shared" si="5"/>
        <v>0.1</v>
      </c>
      <c r="R18" s="54">
        <f t="shared" si="6"/>
        <v>393.47</v>
      </c>
      <c r="S18" s="53">
        <v>0.8</v>
      </c>
      <c r="T18" s="54">
        <f t="shared" si="7"/>
        <v>3147.76</v>
      </c>
      <c r="U18" s="53">
        <f t="shared" si="8"/>
        <v>9.9999999999999978E-2</v>
      </c>
      <c r="V18" s="54">
        <f t="shared" si="9"/>
        <v>393.46999999999991</v>
      </c>
      <c r="W18" s="55">
        <f ca="1">V18*VLOOKUP(TODAY(),'UF HOY'!$A$2:$B$36,2,0)</f>
        <v>15634113.371799998</v>
      </c>
      <c r="X18" s="56">
        <f>Datos!$K$5</f>
        <v>36</v>
      </c>
      <c r="Y18" s="55">
        <f ca="1">IF((W18-Datos!$U$5-1000000)/X18&gt;0,(W18-Datos!$U$5-1000000)/X18,0)</f>
        <v>403725.37143888883</v>
      </c>
      <c r="Z18" s="56">
        <f>Datos!$K$5</f>
        <v>36</v>
      </c>
      <c r="AA18" s="55">
        <f ca="1">IF((W18-Datos!$U$5-1000000-O18*3%*VLOOKUP(TODAY(),'UF HOY'!$A$2:$B$36,2,0))/Z18&gt;0,(W18-Datos!$U$5-1000000-O18*3%*VLOOKUP(TODAY(),'UF HOY'!$A$2:$B$36,2,0))/Z18,0)</f>
        <v>273441.0933405555</v>
      </c>
      <c r="AB18" s="130" cm="1">
        <f t="array" ref="AB18">_xlfn.IFS(AND(L18=0,M18=0),VLOOKUP(D18,Datos!$F$31:$I$33,2,0),AND(L18=0,M18&gt;0),VLOOKUP(D18,Datos!$F$32:$I$33,2,0),AND(L18&gt;0,M18=0),VLOOKUP(D18,Datos!$F$32:$I$33,3,0),AND(L18&gt;0,M18&gt;0),VLOOKUP(D18,Datos!$F$31:$I$33,4,0))</f>
        <v>550000</v>
      </c>
      <c r="AC18" s="55">
        <f ca="1">(S18*PMT(Datos!$G$15,Datos!$G$14,-O18,,)*VLOOKUP(TODAY(),'UF HOY'!$A$2:$B$36,2,0)/12)+VLOOKUP(TODAY(),'UF HOY'!$A$2:$B$36,2,0)</f>
        <v>642482.15743872966</v>
      </c>
      <c r="AD18" s="55">
        <f t="shared" ca="1" si="10"/>
        <v>-92482.157438729657</v>
      </c>
      <c r="AE18" s="93">
        <f t="shared" ca="1" si="11"/>
        <v>2569928.6297549186</v>
      </c>
    </row>
    <row r="19" spans="1:31" s="3" customFormat="1" hidden="1" x14ac:dyDescent="0.35">
      <c r="A19" s="94" t="s">
        <v>342</v>
      </c>
      <c r="B19" s="80">
        <v>907</v>
      </c>
      <c r="C19" s="48" t="s">
        <v>36</v>
      </c>
      <c r="D19" s="48" t="s">
        <v>37</v>
      </c>
      <c r="E19" s="48"/>
      <c r="F19" s="48">
        <v>34.17</v>
      </c>
      <c r="G19" s="48">
        <v>2.8</v>
      </c>
      <c r="H19" s="82">
        <f t="shared" si="0"/>
        <v>35.57</v>
      </c>
      <c r="I19" s="82">
        <f t="shared" si="1"/>
        <v>36.97</v>
      </c>
      <c r="J19" s="49">
        <v>4015</v>
      </c>
      <c r="K19" s="305">
        <v>0.02</v>
      </c>
      <c r="L19" s="48">
        <v>0</v>
      </c>
      <c r="M19" s="48">
        <v>0</v>
      </c>
      <c r="N19" s="49">
        <f t="shared" si="2"/>
        <v>3541.2299999999996</v>
      </c>
      <c r="O19" s="52">
        <f t="shared" si="3"/>
        <v>3934.7</v>
      </c>
      <c r="P19" s="79">
        <f t="shared" si="4"/>
        <v>99.556648861400049</v>
      </c>
      <c r="Q19" s="53">
        <f t="shared" si="5"/>
        <v>0.1</v>
      </c>
      <c r="R19" s="54">
        <f t="shared" si="6"/>
        <v>393.47</v>
      </c>
      <c r="S19" s="53">
        <v>0.8</v>
      </c>
      <c r="T19" s="54">
        <f t="shared" si="7"/>
        <v>3147.76</v>
      </c>
      <c r="U19" s="53">
        <f t="shared" si="8"/>
        <v>9.9999999999999978E-2</v>
      </c>
      <c r="V19" s="54">
        <f t="shared" si="9"/>
        <v>393.46999999999991</v>
      </c>
      <c r="W19" s="55">
        <f ca="1">V19*VLOOKUP(TODAY(),'UF HOY'!$A$2:$B$36,2,0)</f>
        <v>15634113.371799998</v>
      </c>
      <c r="X19" s="56">
        <f>Datos!$K$5</f>
        <v>36</v>
      </c>
      <c r="Y19" s="55">
        <f ca="1">IF((W19-Datos!$U$5-1000000)/X19&gt;0,(W19-Datos!$U$5-1000000)/X19,0)</f>
        <v>403725.37143888883</v>
      </c>
      <c r="Z19" s="56">
        <f>Datos!$K$5</f>
        <v>36</v>
      </c>
      <c r="AA19" s="55">
        <f ca="1">IF((W19-Datos!$U$5-1000000-O19*3%*VLOOKUP(TODAY(),'UF HOY'!$A$2:$B$36,2,0))/Z19&gt;0,(W19-Datos!$U$5-1000000-O19*3%*VLOOKUP(TODAY(),'UF HOY'!$A$2:$B$36,2,0))/Z19,0)</f>
        <v>273441.0933405555</v>
      </c>
      <c r="AB19" s="130" cm="1">
        <f t="array" ref="AB19">_xlfn.IFS(AND(L19=0,M19=0),VLOOKUP(D19,Datos!$F$31:$I$33,2,0),AND(L19=0,M19&gt;0),VLOOKUP(D19,Datos!$F$32:$I$33,2,0),AND(L19&gt;0,M19=0),VLOOKUP(D19,Datos!$F$32:$I$33,3,0),AND(L19&gt;0,M19&gt;0),VLOOKUP(D19,Datos!$F$31:$I$33,4,0))</f>
        <v>550000</v>
      </c>
      <c r="AC19" s="55">
        <f ca="1">(S19*PMT(Datos!$G$15,Datos!$G$14,-O19,,)*VLOOKUP(TODAY(),'UF HOY'!$A$2:$B$36,2,0)/12)+VLOOKUP(TODAY(),'UF HOY'!$A$2:$B$36,2,0)</f>
        <v>642482.15743872966</v>
      </c>
      <c r="AD19" s="55">
        <f t="shared" ca="1" si="10"/>
        <v>-92482.157438729657</v>
      </c>
      <c r="AE19" s="93">
        <f t="shared" ca="1" si="11"/>
        <v>2569928.6297549186</v>
      </c>
    </row>
    <row r="20" spans="1:31" s="3" customFormat="1" hidden="1" x14ac:dyDescent="0.35">
      <c r="A20" s="94" t="s">
        <v>342</v>
      </c>
      <c r="B20" s="80">
        <v>204</v>
      </c>
      <c r="C20" s="48" t="s">
        <v>38</v>
      </c>
      <c r="D20" s="48" t="s">
        <v>37</v>
      </c>
      <c r="E20" s="48"/>
      <c r="F20" s="48">
        <v>34.97</v>
      </c>
      <c r="G20" s="48">
        <v>2.86</v>
      </c>
      <c r="H20" s="82">
        <f t="shared" si="0"/>
        <v>36.4</v>
      </c>
      <c r="I20" s="82">
        <f t="shared" si="1"/>
        <v>37.83</v>
      </c>
      <c r="J20" s="49">
        <v>4025</v>
      </c>
      <c r="K20" s="305">
        <v>0.02</v>
      </c>
      <c r="L20" s="48">
        <v>0</v>
      </c>
      <c r="M20" s="48">
        <v>0</v>
      </c>
      <c r="N20" s="49">
        <f t="shared" si="2"/>
        <v>3550.05</v>
      </c>
      <c r="O20" s="52">
        <f t="shared" si="3"/>
        <v>3944.5</v>
      </c>
      <c r="P20" s="79">
        <f t="shared" si="4"/>
        <v>97.52884615384616</v>
      </c>
      <c r="Q20" s="53">
        <f t="shared" si="5"/>
        <v>0.1</v>
      </c>
      <c r="R20" s="54">
        <f t="shared" si="6"/>
        <v>394.45000000000005</v>
      </c>
      <c r="S20" s="53">
        <v>0.8</v>
      </c>
      <c r="T20" s="54">
        <f t="shared" si="7"/>
        <v>3155.6000000000004</v>
      </c>
      <c r="U20" s="53">
        <f t="shared" si="8"/>
        <v>9.9999999999999978E-2</v>
      </c>
      <c r="V20" s="54">
        <f t="shared" si="9"/>
        <v>394.44999999999993</v>
      </c>
      <c r="W20" s="55">
        <f ca="1">V20*VLOOKUP(TODAY(),'UF HOY'!$A$2:$B$36,2,0)</f>
        <v>15673052.632999998</v>
      </c>
      <c r="X20" s="56">
        <f>Datos!$K$5</f>
        <v>36</v>
      </c>
      <c r="Y20" s="55">
        <f ca="1">IF((W20-Datos!$U$5-1000000)/X20&gt;0,(W20-Datos!$U$5-1000000)/X20,0)</f>
        <v>404807.01758333325</v>
      </c>
      <c r="Z20" s="56">
        <f>Datos!$K$5</f>
        <v>36</v>
      </c>
      <c r="AA20" s="55">
        <f ca="1">IF((W20-Datos!$U$5-1000000-O20*3%*VLOOKUP(TODAY(),'UF HOY'!$A$2:$B$36,2,0))/Z20&gt;0,(W20-Datos!$U$5-1000000-O20*3%*VLOOKUP(TODAY(),'UF HOY'!$A$2:$B$36,2,0))/Z20,0)</f>
        <v>274198.24564166658</v>
      </c>
      <c r="AB20" s="130" cm="1">
        <f t="array" ref="AB20">_xlfn.IFS(AND(L20=0,M20=0),VLOOKUP(D20,Datos!$F$31:$I$33,2,0),AND(L20=0,M20&gt;0),VLOOKUP(D20,Datos!$F$32:$I$33,2,0),AND(L20&gt;0,M20=0),VLOOKUP(D20,Datos!$F$32:$I$33,3,0),AND(L20&gt;0,M20&gt;0),VLOOKUP(D20,Datos!$F$31:$I$33,4,0))</f>
        <v>550000</v>
      </c>
      <c r="AC20" s="55">
        <f ca="1">(S20*PMT(Datos!$G$15,Datos!$G$14,-O20,,)*VLOOKUP(TODAY(),'UF HOY'!$A$2:$B$36,2,0)/12)+VLOOKUP(TODAY(),'UF HOY'!$A$2:$B$36,2,0)</f>
        <v>643983.39832898811</v>
      </c>
      <c r="AD20" s="55">
        <f t="shared" ca="1" si="10"/>
        <v>-93983.398328988114</v>
      </c>
      <c r="AE20" s="93">
        <f t="shared" ca="1" si="11"/>
        <v>2575933.5933159525</v>
      </c>
    </row>
    <row r="21" spans="1:31" s="3" customFormat="1" hidden="1" x14ac:dyDescent="0.35">
      <c r="A21" s="94" t="s">
        <v>342</v>
      </c>
      <c r="B21" s="80">
        <v>612</v>
      </c>
      <c r="C21" s="48" t="s">
        <v>41</v>
      </c>
      <c r="D21" s="48" t="s">
        <v>37</v>
      </c>
      <c r="E21" s="48"/>
      <c r="F21" s="48">
        <v>34.630000000000003</v>
      </c>
      <c r="G21" s="48">
        <v>2.93</v>
      </c>
      <c r="H21" s="82">
        <f t="shared" si="0"/>
        <v>36.095000000000006</v>
      </c>
      <c r="I21" s="82">
        <f t="shared" si="1"/>
        <v>37.56</v>
      </c>
      <c r="J21" s="49">
        <v>4025</v>
      </c>
      <c r="K21" s="305">
        <v>0.02</v>
      </c>
      <c r="L21" s="48">
        <v>0</v>
      </c>
      <c r="M21" s="48">
        <v>0</v>
      </c>
      <c r="N21" s="49">
        <f t="shared" si="2"/>
        <v>3550.05</v>
      </c>
      <c r="O21" s="52">
        <f t="shared" si="3"/>
        <v>3944.5</v>
      </c>
      <c r="P21" s="79">
        <f t="shared" si="4"/>
        <v>98.352957473334243</v>
      </c>
      <c r="Q21" s="53">
        <f t="shared" si="5"/>
        <v>0.1</v>
      </c>
      <c r="R21" s="54">
        <f t="shared" si="6"/>
        <v>394.45000000000005</v>
      </c>
      <c r="S21" s="53">
        <v>0.8</v>
      </c>
      <c r="T21" s="54">
        <f t="shared" si="7"/>
        <v>3155.6000000000004</v>
      </c>
      <c r="U21" s="53">
        <f t="shared" si="8"/>
        <v>9.9999999999999978E-2</v>
      </c>
      <c r="V21" s="54">
        <f t="shared" si="9"/>
        <v>394.44999999999993</v>
      </c>
      <c r="W21" s="55">
        <f ca="1">V21*VLOOKUP(TODAY(),'UF HOY'!$A$2:$B$36,2,0)</f>
        <v>15673052.632999998</v>
      </c>
      <c r="X21" s="56">
        <f>Datos!$K$5</f>
        <v>36</v>
      </c>
      <c r="Y21" s="55">
        <f ca="1">IF((W21-Datos!$U$5-1000000)/X21&gt;0,(W21-Datos!$U$5-1000000)/X21,0)</f>
        <v>404807.01758333325</v>
      </c>
      <c r="Z21" s="56">
        <f>Datos!$K$5</f>
        <v>36</v>
      </c>
      <c r="AA21" s="55">
        <f ca="1">IF((W21-Datos!$U$5-1000000-O21*3%*VLOOKUP(TODAY(),'UF HOY'!$A$2:$B$36,2,0))/Z21&gt;0,(W21-Datos!$U$5-1000000-O21*3%*VLOOKUP(TODAY(),'UF HOY'!$A$2:$B$36,2,0))/Z21,0)</f>
        <v>274198.24564166658</v>
      </c>
      <c r="AB21" s="130" cm="1">
        <f t="array" ref="AB21">_xlfn.IFS(AND(L21=0,M21=0),VLOOKUP(D21,Datos!$F$31:$I$33,2,0),AND(L21=0,M21&gt;0),VLOOKUP(D21,Datos!$F$32:$I$33,2,0),AND(L21&gt;0,M21=0),VLOOKUP(D21,Datos!$F$32:$I$33,3,0),AND(L21&gt;0,M21&gt;0),VLOOKUP(D21,Datos!$F$31:$I$33,4,0))</f>
        <v>550000</v>
      </c>
      <c r="AC21" s="55">
        <f ca="1">(S21*PMT(Datos!$G$15,Datos!$G$14,-O21,,)*VLOOKUP(TODAY(),'UF HOY'!$A$2:$B$36,2,0)/12)+VLOOKUP(TODAY(),'UF HOY'!$A$2:$B$36,2,0)</f>
        <v>643983.39832898811</v>
      </c>
      <c r="AD21" s="55">
        <f t="shared" ca="1" si="10"/>
        <v>-93983.398328988114</v>
      </c>
      <c r="AE21" s="93">
        <f t="shared" ca="1" si="11"/>
        <v>2575933.5933159525</v>
      </c>
    </row>
    <row r="22" spans="1:31" s="3" customFormat="1" hidden="1" x14ac:dyDescent="0.35">
      <c r="A22" s="94" t="s">
        <v>342</v>
      </c>
      <c r="B22" s="80">
        <v>613</v>
      </c>
      <c r="C22" s="48" t="s">
        <v>41</v>
      </c>
      <c r="D22" s="48" t="s">
        <v>37</v>
      </c>
      <c r="E22" s="48"/>
      <c r="F22" s="48">
        <v>34.69</v>
      </c>
      <c r="G22" s="48">
        <v>2.93</v>
      </c>
      <c r="H22" s="82">
        <f t="shared" si="0"/>
        <v>36.155000000000001</v>
      </c>
      <c r="I22" s="82">
        <f t="shared" si="1"/>
        <v>37.619999999999997</v>
      </c>
      <c r="J22" s="49">
        <v>4030</v>
      </c>
      <c r="K22" s="305">
        <v>0.02</v>
      </c>
      <c r="L22" s="48">
        <v>0</v>
      </c>
      <c r="M22" s="48">
        <v>0</v>
      </c>
      <c r="N22" s="49">
        <f t="shared" si="2"/>
        <v>3554.46</v>
      </c>
      <c r="O22" s="52">
        <f t="shared" si="3"/>
        <v>3949.4</v>
      </c>
      <c r="P22" s="79">
        <f t="shared" si="4"/>
        <v>98.311713455953537</v>
      </c>
      <c r="Q22" s="53">
        <f t="shared" si="5"/>
        <v>0.1</v>
      </c>
      <c r="R22" s="54">
        <f t="shared" si="6"/>
        <v>394.94000000000005</v>
      </c>
      <c r="S22" s="53">
        <v>0.8</v>
      </c>
      <c r="T22" s="54">
        <f t="shared" si="7"/>
        <v>3159.5200000000004</v>
      </c>
      <c r="U22" s="53">
        <f t="shared" si="8"/>
        <v>9.9999999999999978E-2</v>
      </c>
      <c r="V22" s="54">
        <f t="shared" si="9"/>
        <v>394.93999999999994</v>
      </c>
      <c r="W22" s="55">
        <f ca="1">V22*VLOOKUP(TODAY(),'UF HOY'!$A$2:$B$36,2,0)</f>
        <v>15692522.263599999</v>
      </c>
      <c r="X22" s="56">
        <f>Datos!$K$5</f>
        <v>36</v>
      </c>
      <c r="Y22" s="55">
        <f ca="1">IF((W22-Datos!$U$5-1000000)/X22&gt;0,(W22-Datos!$U$5-1000000)/X22,0)</f>
        <v>405347.84065555554</v>
      </c>
      <c r="Z22" s="56">
        <f>Datos!$K$5</f>
        <v>36</v>
      </c>
      <c r="AA22" s="55">
        <f ca="1">IF((W22-Datos!$U$5-1000000-O22*3%*VLOOKUP(TODAY(),'UF HOY'!$A$2:$B$36,2,0))/Z22&gt;0,(W22-Datos!$U$5-1000000-O22*3%*VLOOKUP(TODAY(),'UF HOY'!$A$2:$B$36,2,0))/Z22,0)</f>
        <v>274576.82179222221</v>
      </c>
      <c r="AB22" s="130" cm="1">
        <f t="array" ref="AB22">_xlfn.IFS(AND(L22=0,M22=0),VLOOKUP(D22,Datos!$F$31:$I$33,2,0),AND(L22=0,M22&gt;0),VLOOKUP(D22,Datos!$F$32:$I$33,2,0),AND(L22&gt;0,M22=0),VLOOKUP(D22,Datos!$F$32:$I$33,3,0),AND(L22&gt;0,M22&gt;0),VLOOKUP(D22,Datos!$F$31:$I$33,4,0))</f>
        <v>550000</v>
      </c>
      <c r="AC22" s="55">
        <f ca="1">(S22*PMT(Datos!$G$15,Datos!$G$14,-O22,,)*VLOOKUP(TODAY(),'UF HOY'!$A$2:$B$36,2,0)/12)+VLOOKUP(TODAY(),'UF HOY'!$A$2:$B$36,2,0)</f>
        <v>644734.01877411711</v>
      </c>
      <c r="AD22" s="55">
        <f t="shared" ca="1" si="10"/>
        <v>-94734.01877411711</v>
      </c>
      <c r="AE22" s="93">
        <f t="shared" ca="1" si="11"/>
        <v>2578936.0750964684</v>
      </c>
    </row>
    <row r="23" spans="1:31" s="3" customFormat="1" hidden="1" x14ac:dyDescent="0.35">
      <c r="A23" s="94" t="s">
        <v>342</v>
      </c>
      <c r="B23" s="80">
        <v>1006</v>
      </c>
      <c r="C23" s="48" t="s">
        <v>36</v>
      </c>
      <c r="D23" s="48" t="s">
        <v>37</v>
      </c>
      <c r="E23" s="48"/>
      <c r="F23" s="48">
        <v>34.19</v>
      </c>
      <c r="G23" s="48">
        <v>2.8</v>
      </c>
      <c r="H23" s="82">
        <f t="shared" si="0"/>
        <v>35.589999999999996</v>
      </c>
      <c r="I23" s="82">
        <f t="shared" si="1"/>
        <v>36.989999999999995</v>
      </c>
      <c r="J23" s="49">
        <v>4030</v>
      </c>
      <c r="K23" s="305">
        <v>0.02</v>
      </c>
      <c r="L23" s="48">
        <v>0</v>
      </c>
      <c r="M23" s="48">
        <v>0</v>
      </c>
      <c r="N23" s="49">
        <f t="shared" si="2"/>
        <v>3554.46</v>
      </c>
      <c r="O23" s="52">
        <f t="shared" si="3"/>
        <v>3949.4</v>
      </c>
      <c r="P23" s="79">
        <f t="shared" si="4"/>
        <v>99.872436077549878</v>
      </c>
      <c r="Q23" s="53">
        <f t="shared" si="5"/>
        <v>0.1</v>
      </c>
      <c r="R23" s="54">
        <f t="shared" si="6"/>
        <v>394.94000000000005</v>
      </c>
      <c r="S23" s="53">
        <v>0.8</v>
      </c>
      <c r="T23" s="54">
        <f t="shared" si="7"/>
        <v>3159.5200000000004</v>
      </c>
      <c r="U23" s="53">
        <f t="shared" si="8"/>
        <v>9.9999999999999978E-2</v>
      </c>
      <c r="V23" s="54">
        <f t="shared" si="9"/>
        <v>394.93999999999994</v>
      </c>
      <c r="W23" s="55">
        <f ca="1">V23*VLOOKUP(TODAY(),'UF HOY'!$A$2:$B$36,2,0)</f>
        <v>15692522.263599999</v>
      </c>
      <c r="X23" s="56">
        <f>Datos!$K$5</f>
        <v>36</v>
      </c>
      <c r="Y23" s="55">
        <f ca="1">IF((W23-Datos!$U$5-1000000)/X23&gt;0,(W23-Datos!$U$5-1000000)/X23,0)</f>
        <v>405347.84065555554</v>
      </c>
      <c r="Z23" s="56">
        <f>Datos!$K$5</f>
        <v>36</v>
      </c>
      <c r="AA23" s="55">
        <f ca="1">IF((W23-Datos!$U$5-1000000-O23*3%*VLOOKUP(TODAY(),'UF HOY'!$A$2:$B$36,2,0))/Z23&gt;0,(W23-Datos!$U$5-1000000-O23*3%*VLOOKUP(TODAY(),'UF HOY'!$A$2:$B$36,2,0))/Z23,0)</f>
        <v>274576.82179222221</v>
      </c>
      <c r="AB23" s="130" cm="1">
        <f t="array" ref="AB23">_xlfn.IFS(AND(L23=0,M23=0),VLOOKUP(D23,Datos!$F$31:$I$33,2,0),AND(L23=0,M23&gt;0),VLOOKUP(D23,Datos!$F$32:$I$33,2,0),AND(L23&gt;0,M23=0),VLOOKUP(D23,Datos!$F$32:$I$33,3,0),AND(L23&gt;0,M23&gt;0),VLOOKUP(D23,Datos!$F$31:$I$33,4,0))</f>
        <v>550000</v>
      </c>
      <c r="AC23" s="55">
        <f ca="1">(S23*PMT(Datos!$G$15,Datos!$G$14,-O23,,)*VLOOKUP(TODAY(),'UF HOY'!$A$2:$B$36,2,0)/12)+VLOOKUP(TODAY(),'UF HOY'!$A$2:$B$36,2,0)</f>
        <v>644734.01877411711</v>
      </c>
      <c r="AD23" s="55">
        <f t="shared" ca="1" si="10"/>
        <v>-94734.01877411711</v>
      </c>
      <c r="AE23" s="93">
        <f t="shared" ca="1" si="11"/>
        <v>2578936.0750964684</v>
      </c>
    </row>
    <row r="24" spans="1:31" s="3" customFormat="1" hidden="1" x14ac:dyDescent="0.35">
      <c r="A24" s="94" t="s">
        <v>342</v>
      </c>
      <c r="B24" s="80">
        <v>1007</v>
      </c>
      <c r="C24" s="48" t="s">
        <v>36</v>
      </c>
      <c r="D24" s="48" t="s">
        <v>37</v>
      </c>
      <c r="E24" s="48"/>
      <c r="F24" s="48">
        <v>34.17</v>
      </c>
      <c r="G24" s="48">
        <v>2.8</v>
      </c>
      <c r="H24" s="82">
        <f t="shared" si="0"/>
        <v>35.57</v>
      </c>
      <c r="I24" s="82">
        <f t="shared" si="1"/>
        <v>36.97</v>
      </c>
      <c r="J24" s="49">
        <v>4030</v>
      </c>
      <c r="K24" s="305">
        <v>0.02</v>
      </c>
      <c r="L24" s="48">
        <v>0</v>
      </c>
      <c r="M24" s="48">
        <v>0</v>
      </c>
      <c r="N24" s="49">
        <f t="shared" si="2"/>
        <v>3554.46</v>
      </c>
      <c r="O24" s="52">
        <f t="shared" si="3"/>
        <v>3949.4</v>
      </c>
      <c r="P24" s="79">
        <f t="shared" si="4"/>
        <v>99.928591509699189</v>
      </c>
      <c r="Q24" s="53">
        <f t="shared" si="5"/>
        <v>0.1</v>
      </c>
      <c r="R24" s="54">
        <f t="shared" si="6"/>
        <v>394.94000000000005</v>
      </c>
      <c r="S24" s="53">
        <v>0.8</v>
      </c>
      <c r="T24" s="54">
        <f t="shared" si="7"/>
        <v>3159.5200000000004</v>
      </c>
      <c r="U24" s="53">
        <f t="shared" si="8"/>
        <v>9.9999999999999978E-2</v>
      </c>
      <c r="V24" s="54">
        <f t="shared" si="9"/>
        <v>394.93999999999994</v>
      </c>
      <c r="W24" s="55">
        <f ca="1">V24*VLOOKUP(TODAY(),'UF HOY'!$A$2:$B$36,2,0)</f>
        <v>15692522.263599999</v>
      </c>
      <c r="X24" s="56">
        <f>Datos!$K$5</f>
        <v>36</v>
      </c>
      <c r="Y24" s="55">
        <f ca="1">IF((W24-Datos!$U$5-1000000)/X24&gt;0,(W24-Datos!$U$5-1000000)/X24,0)</f>
        <v>405347.84065555554</v>
      </c>
      <c r="Z24" s="56">
        <f>Datos!$K$5</f>
        <v>36</v>
      </c>
      <c r="AA24" s="55">
        <f ca="1">IF((W24-Datos!$U$5-1000000-O24*3%*VLOOKUP(TODAY(),'UF HOY'!$A$2:$B$36,2,0))/Z24&gt;0,(W24-Datos!$U$5-1000000-O24*3%*VLOOKUP(TODAY(),'UF HOY'!$A$2:$B$36,2,0))/Z24,0)</f>
        <v>274576.82179222221</v>
      </c>
      <c r="AB24" s="130" cm="1">
        <f t="array" ref="AB24">_xlfn.IFS(AND(L24=0,M24=0),VLOOKUP(D24,Datos!$F$31:$I$33,2,0),AND(L24=0,M24&gt;0),VLOOKUP(D24,Datos!$F$32:$I$33,2,0),AND(L24&gt;0,M24=0),VLOOKUP(D24,Datos!$F$32:$I$33,3,0),AND(L24&gt;0,M24&gt;0),VLOOKUP(D24,Datos!$F$31:$I$33,4,0))</f>
        <v>550000</v>
      </c>
      <c r="AC24" s="55">
        <f ca="1">(S24*PMT(Datos!$G$15,Datos!$G$14,-O24,,)*VLOOKUP(TODAY(),'UF HOY'!$A$2:$B$36,2,0)/12)+VLOOKUP(TODAY(),'UF HOY'!$A$2:$B$36,2,0)</f>
        <v>644734.01877411711</v>
      </c>
      <c r="AD24" s="55">
        <f t="shared" ca="1" si="10"/>
        <v>-94734.01877411711</v>
      </c>
      <c r="AE24" s="93">
        <f t="shared" ca="1" si="11"/>
        <v>2578936.0750964684</v>
      </c>
    </row>
    <row r="25" spans="1:31" s="3" customFormat="1" hidden="1" x14ac:dyDescent="0.35">
      <c r="A25" s="94" t="s">
        <v>342</v>
      </c>
      <c r="B25" s="80">
        <v>712</v>
      </c>
      <c r="C25" s="48" t="s">
        <v>41</v>
      </c>
      <c r="D25" s="48" t="s">
        <v>37</v>
      </c>
      <c r="E25" s="48"/>
      <c r="F25" s="48">
        <v>34.630000000000003</v>
      </c>
      <c r="G25" s="48">
        <v>2.93</v>
      </c>
      <c r="H25" s="82">
        <f t="shared" si="0"/>
        <v>36.095000000000006</v>
      </c>
      <c r="I25" s="82">
        <f t="shared" si="1"/>
        <v>37.56</v>
      </c>
      <c r="J25" s="49">
        <v>4040</v>
      </c>
      <c r="K25" s="305">
        <v>0.02</v>
      </c>
      <c r="L25" s="48">
        <v>0</v>
      </c>
      <c r="M25" s="48">
        <v>0</v>
      </c>
      <c r="N25" s="49">
        <f t="shared" si="2"/>
        <v>3563.2799999999997</v>
      </c>
      <c r="O25" s="52">
        <f t="shared" si="3"/>
        <v>3959.2</v>
      </c>
      <c r="P25" s="79">
        <f t="shared" si="4"/>
        <v>98.719490234104427</v>
      </c>
      <c r="Q25" s="53">
        <f t="shared" si="5"/>
        <v>0.1</v>
      </c>
      <c r="R25" s="54">
        <f t="shared" si="6"/>
        <v>395.92</v>
      </c>
      <c r="S25" s="53">
        <v>0.8</v>
      </c>
      <c r="T25" s="54">
        <f t="shared" si="7"/>
        <v>3167.36</v>
      </c>
      <c r="U25" s="53">
        <f t="shared" si="8"/>
        <v>9.9999999999999978E-2</v>
      </c>
      <c r="V25" s="54">
        <f t="shared" si="9"/>
        <v>395.9199999999999</v>
      </c>
      <c r="W25" s="55">
        <f ca="1">V25*VLOOKUP(TODAY(),'UF HOY'!$A$2:$B$36,2,0)</f>
        <v>15731461.524799997</v>
      </c>
      <c r="X25" s="56">
        <f>Datos!$K$5</f>
        <v>36</v>
      </c>
      <c r="Y25" s="55">
        <f ca="1">IF((W25-Datos!$U$5-1000000)/X25&gt;0,(W25-Datos!$U$5-1000000)/X25,0)</f>
        <v>406429.4867999999</v>
      </c>
      <c r="Z25" s="56">
        <f>Datos!$K$5</f>
        <v>36</v>
      </c>
      <c r="AA25" s="55">
        <f ca="1">IF((W25-Datos!$U$5-1000000-O25*3%*VLOOKUP(TODAY(),'UF HOY'!$A$2:$B$36,2,0))/Z25&gt;0,(W25-Datos!$U$5-1000000-O25*3%*VLOOKUP(TODAY(),'UF HOY'!$A$2:$B$36,2,0))/Z25,0)</f>
        <v>275333.97409333324</v>
      </c>
      <c r="AB25" s="130" cm="1">
        <f t="array" ref="AB25">_xlfn.IFS(AND(L25=0,M25=0),VLOOKUP(D25,Datos!$F$31:$I$33,2,0),AND(L25=0,M25&gt;0),VLOOKUP(D25,Datos!$F$32:$I$33,2,0),AND(L25&gt;0,M25=0),VLOOKUP(D25,Datos!$F$32:$I$33,3,0),AND(L25&gt;0,M25&gt;0),VLOOKUP(D25,Datos!$F$31:$I$33,4,0))</f>
        <v>550000</v>
      </c>
      <c r="AC25" s="55">
        <f ca="1">(S25*PMT(Datos!$G$15,Datos!$G$14,-O25,,)*VLOOKUP(TODAY(),'UF HOY'!$A$2:$B$36,2,0)/12)+VLOOKUP(TODAY(),'UF HOY'!$A$2:$B$36,2,0)</f>
        <v>646235.25966437557</v>
      </c>
      <c r="AD25" s="55">
        <f t="shared" ca="1" si="10"/>
        <v>-96235.259664375568</v>
      </c>
      <c r="AE25" s="93">
        <f t="shared" ca="1" si="11"/>
        <v>2584941.0386575023</v>
      </c>
    </row>
    <row r="26" spans="1:31" s="3" customFormat="1" x14ac:dyDescent="0.35">
      <c r="A26" s="94" t="s">
        <v>346</v>
      </c>
      <c r="B26" s="80">
        <v>403</v>
      </c>
      <c r="C26" s="48" t="s">
        <v>38</v>
      </c>
      <c r="D26" s="48" t="s">
        <v>37</v>
      </c>
      <c r="E26" s="48"/>
      <c r="F26" s="48">
        <v>34.79</v>
      </c>
      <c r="G26" s="48">
        <v>2.83</v>
      </c>
      <c r="H26" s="82">
        <f t="shared" si="0"/>
        <v>36.204999999999998</v>
      </c>
      <c r="I26" s="82">
        <f t="shared" si="1"/>
        <v>37.619999999999997</v>
      </c>
      <c r="J26" s="49">
        <v>4045</v>
      </c>
      <c r="K26" s="304">
        <v>0</v>
      </c>
      <c r="L26" s="48">
        <v>0</v>
      </c>
      <c r="M26" s="48">
        <v>0</v>
      </c>
      <c r="N26" s="49">
        <f t="shared" si="2"/>
        <v>3640.5</v>
      </c>
      <c r="O26" s="52">
        <f t="shared" si="3"/>
        <v>4045</v>
      </c>
      <c r="P26" s="79">
        <f t="shared" si="4"/>
        <v>100.55240988813701</v>
      </c>
      <c r="Q26" s="53">
        <f t="shared" si="5"/>
        <v>0.1</v>
      </c>
      <c r="R26" s="54">
        <f t="shared" si="6"/>
        <v>404.5</v>
      </c>
      <c r="S26" s="53">
        <v>0.8</v>
      </c>
      <c r="T26" s="54">
        <f t="shared" si="7"/>
        <v>3236</v>
      </c>
      <c r="U26" s="53">
        <f t="shared" si="8"/>
        <v>9.9999999999999978E-2</v>
      </c>
      <c r="V26" s="54">
        <f t="shared" si="9"/>
        <v>404.49999999999989</v>
      </c>
      <c r="W26" s="55">
        <f ca="1">V26*VLOOKUP(TODAY(),'UF HOY'!$A$2:$B$36,2,0)</f>
        <v>16072378.729999997</v>
      </c>
      <c r="X26" s="56">
        <f>Datos!$K$5</f>
        <v>36</v>
      </c>
      <c r="Y26" s="55">
        <f ca="1">IF((W26-Datos!$U$5-1000000)/X26&gt;0,(W26-Datos!$U$5-1000000)/X26,0)</f>
        <v>415899.40916666656</v>
      </c>
      <c r="Z26" s="56">
        <f>Datos!$K$5</f>
        <v>36</v>
      </c>
      <c r="AA26" s="55">
        <f ca="1">IF((W26-Datos!$U$5-1000000-O26*3%*VLOOKUP(TODAY(),'UF HOY'!$A$2:$B$36,2,0))/Z26&gt;0,(W26-Datos!$U$5-1000000-O26*3%*VLOOKUP(TODAY(),'UF HOY'!$A$2:$B$36,2,0))/Z26,0)</f>
        <v>281962.91974999994</v>
      </c>
      <c r="AB26" s="130" cm="1">
        <f t="array" ref="AB26">_xlfn.IFS(AND(L26=0,M26=0),VLOOKUP(D26,Datos!$F$31:$I$33,2,0),AND(L26=0,M26&gt;0),VLOOKUP(D26,Datos!$F$32:$I$33,2,0),AND(L26&gt;0,M26=0),VLOOKUP(D26,Datos!$F$32:$I$33,3,0),AND(L26&gt;0,M26&gt;0),VLOOKUP(D26,Datos!$F$31:$I$33,4,0))</f>
        <v>550000</v>
      </c>
      <c r="AC26" s="55">
        <f ca="1">(S26*PMT(Datos!$G$15,Datos!$G$14,-O26,,)*VLOOKUP(TODAY(),'UF HOY'!$A$2:$B$36,2,0)/12)+VLOOKUP(TODAY(),'UF HOY'!$A$2:$B$36,2,0)</f>
        <v>659378.77684643329</v>
      </c>
      <c r="AD26" s="55">
        <f t="shared" ca="1" si="10"/>
        <v>-109378.77684643329</v>
      </c>
      <c r="AE26" s="93">
        <f t="shared" ca="1" si="11"/>
        <v>2637515.1073857332</v>
      </c>
    </row>
    <row r="27" spans="1:31" s="3" customFormat="1" hidden="1" x14ac:dyDescent="0.35">
      <c r="A27" s="94" t="s">
        <v>342</v>
      </c>
      <c r="B27" s="80">
        <v>1107</v>
      </c>
      <c r="C27" s="48" t="s">
        <v>36</v>
      </c>
      <c r="D27" s="48" t="s">
        <v>37</v>
      </c>
      <c r="E27" s="48"/>
      <c r="F27" s="48">
        <v>34.17</v>
      </c>
      <c r="G27" s="48">
        <v>2.8</v>
      </c>
      <c r="H27" s="82">
        <f t="shared" si="0"/>
        <v>35.57</v>
      </c>
      <c r="I27" s="82">
        <f t="shared" si="1"/>
        <v>36.97</v>
      </c>
      <c r="J27" s="49">
        <v>4045</v>
      </c>
      <c r="K27" s="305">
        <v>0.02</v>
      </c>
      <c r="L27" s="48">
        <v>0</v>
      </c>
      <c r="M27" s="48">
        <v>0</v>
      </c>
      <c r="N27" s="49">
        <f t="shared" si="2"/>
        <v>3567.69</v>
      </c>
      <c r="O27" s="52">
        <f t="shared" si="3"/>
        <v>3964.1</v>
      </c>
      <c r="P27" s="79">
        <f t="shared" si="4"/>
        <v>100.30053415799831</v>
      </c>
      <c r="Q27" s="53">
        <f t="shared" si="5"/>
        <v>0.1</v>
      </c>
      <c r="R27" s="54">
        <f t="shared" si="6"/>
        <v>396.41</v>
      </c>
      <c r="S27" s="53">
        <v>0.8</v>
      </c>
      <c r="T27" s="54">
        <f t="shared" si="7"/>
        <v>3171.28</v>
      </c>
      <c r="U27" s="53">
        <f t="shared" si="8"/>
        <v>9.9999999999999978E-2</v>
      </c>
      <c r="V27" s="54">
        <f t="shared" si="9"/>
        <v>396.40999999999991</v>
      </c>
      <c r="W27" s="55">
        <f ca="1">V27*VLOOKUP(TODAY(),'UF HOY'!$A$2:$B$36,2,0)</f>
        <v>15750931.155399997</v>
      </c>
      <c r="X27" s="56">
        <f>Datos!$K$5</f>
        <v>36</v>
      </c>
      <c r="Y27" s="55">
        <f ca="1">IF((W27-Datos!$U$5-1000000)/X27&gt;0,(W27-Datos!$U$5-1000000)/X27,0)</f>
        <v>406970.30987222213</v>
      </c>
      <c r="Z27" s="56">
        <f>Datos!$K$5</f>
        <v>36</v>
      </c>
      <c r="AA27" s="55">
        <f ca="1">IF((W27-Datos!$U$5-1000000-O27*3%*VLOOKUP(TODAY(),'UF HOY'!$A$2:$B$36,2,0))/Z27&gt;0,(W27-Datos!$U$5-1000000-O27*3%*VLOOKUP(TODAY(),'UF HOY'!$A$2:$B$36,2,0))/Z27,0)</f>
        <v>275712.55024388875</v>
      </c>
      <c r="AB27" s="130" cm="1">
        <f t="array" ref="AB27">_xlfn.IFS(AND(L27=0,M27=0),VLOOKUP(D27,Datos!$F$31:$I$33,2,0),AND(L27=0,M27&gt;0),VLOOKUP(D27,Datos!$F$32:$I$33,2,0),AND(L27&gt;0,M27=0),VLOOKUP(D27,Datos!$F$32:$I$33,3,0),AND(L27&gt;0,M27&gt;0),VLOOKUP(D27,Datos!$F$31:$I$33,4,0))</f>
        <v>550000</v>
      </c>
      <c r="AC27" s="55">
        <f ca="1">(S27*PMT(Datos!$G$15,Datos!$G$14,-O27,,)*VLOOKUP(TODAY(),'UF HOY'!$A$2:$B$36,2,0)/12)+VLOOKUP(TODAY(),'UF HOY'!$A$2:$B$36,2,0)</f>
        <v>646985.88010950456</v>
      </c>
      <c r="AD27" s="55">
        <f t="shared" ca="1" si="10"/>
        <v>-96985.880109504564</v>
      </c>
      <c r="AE27" s="93">
        <f t="shared" ca="1" si="11"/>
        <v>2587943.5204380183</v>
      </c>
    </row>
    <row r="28" spans="1:31" s="3" customFormat="1" hidden="1" x14ac:dyDescent="0.35">
      <c r="A28" s="94" t="s">
        <v>342</v>
      </c>
      <c r="B28" s="80">
        <v>713</v>
      </c>
      <c r="C28" s="48" t="s">
        <v>41</v>
      </c>
      <c r="D28" s="48" t="s">
        <v>37</v>
      </c>
      <c r="E28" s="48"/>
      <c r="F28" s="48">
        <v>34.69</v>
      </c>
      <c r="G28" s="48">
        <v>2.93</v>
      </c>
      <c r="H28" s="82">
        <f t="shared" si="0"/>
        <v>36.155000000000001</v>
      </c>
      <c r="I28" s="82">
        <f t="shared" si="1"/>
        <v>37.619999999999997</v>
      </c>
      <c r="J28" s="49">
        <v>4050</v>
      </c>
      <c r="K28" s="305">
        <v>0.02</v>
      </c>
      <c r="L28" s="48">
        <v>0</v>
      </c>
      <c r="M28" s="48">
        <v>0</v>
      </c>
      <c r="N28" s="49">
        <f t="shared" si="2"/>
        <v>3572.1</v>
      </c>
      <c r="O28" s="52">
        <f t="shared" si="3"/>
        <v>3969</v>
      </c>
      <c r="P28" s="79">
        <f t="shared" si="4"/>
        <v>98.799612778315577</v>
      </c>
      <c r="Q28" s="53">
        <f t="shared" si="5"/>
        <v>0.1</v>
      </c>
      <c r="R28" s="54">
        <f t="shared" si="6"/>
        <v>396.90000000000003</v>
      </c>
      <c r="S28" s="53">
        <v>0.8</v>
      </c>
      <c r="T28" s="54">
        <f t="shared" si="7"/>
        <v>3175.2000000000003</v>
      </c>
      <c r="U28" s="53">
        <f t="shared" si="8"/>
        <v>9.9999999999999978E-2</v>
      </c>
      <c r="V28" s="54">
        <f t="shared" si="9"/>
        <v>396.89999999999992</v>
      </c>
      <c r="W28" s="55">
        <f ca="1">V28*VLOOKUP(TODAY(),'UF HOY'!$A$2:$B$36,2,0)</f>
        <v>15770400.785999998</v>
      </c>
      <c r="X28" s="56">
        <f>Datos!$K$5</f>
        <v>36</v>
      </c>
      <c r="Y28" s="55">
        <f ca="1">IF((W28-Datos!$U$5-1000000)/X28&gt;0,(W28-Datos!$U$5-1000000)/X28,0)</f>
        <v>407511.13294444443</v>
      </c>
      <c r="Z28" s="56">
        <f>Datos!$K$5</f>
        <v>36</v>
      </c>
      <c r="AA28" s="55">
        <f ca="1">IF((W28-Datos!$U$5-1000000-O28*3%*VLOOKUP(TODAY(),'UF HOY'!$A$2:$B$36,2,0))/Z28&gt;0,(W28-Datos!$U$5-1000000-O28*3%*VLOOKUP(TODAY(),'UF HOY'!$A$2:$B$36,2,0))/Z28,0)</f>
        <v>276091.12639444438</v>
      </c>
      <c r="AB28" s="130" cm="1">
        <f t="array" ref="AB28">_xlfn.IFS(AND(L28=0,M28=0),VLOOKUP(D28,Datos!$F$31:$I$33,2,0),AND(L28=0,M28&gt;0),VLOOKUP(D28,Datos!$F$32:$I$33,2,0),AND(L28&gt;0,M28=0),VLOOKUP(D28,Datos!$F$32:$I$33,3,0),AND(L28&gt;0,M28&gt;0),VLOOKUP(D28,Datos!$F$31:$I$33,4,0))</f>
        <v>550000</v>
      </c>
      <c r="AC28" s="55">
        <f ca="1">(S28*PMT(Datos!$G$15,Datos!$G$14,-O28,,)*VLOOKUP(TODAY(),'UF HOY'!$A$2:$B$36,2,0)/12)+VLOOKUP(TODAY(),'UF HOY'!$A$2:$B$36,2,0)</f>
        <v>647736.50055463403</v>
      </c>
      <c r="AD28" s="55">
        <f t="shared" ca="1" si="10"/>
        <v>-97736.500554634025</v>
      </c>
      <c r="AE28" s="93">
        <f t="shared" ca="1" si="11"/>
        <v>2590946.0022185361</v>
      </c>
    </row>
    <row r="29" spans="1:31" s="3" customFormat="1" hidden="1" x14ac:dyDescent="0.35">
      <c r="A29" s="94" t="s">
        <v>342</v>
      </c>
      <c r="B29" s="80">
        <v>1106</v>
      </c>
      <c r="C29" s="48" t="s">
        <v>36</v>
      </c>
      <c r="D29" s="48" t="s">
        <v>37</v>
      </c>
      <c r="E29" s="48"/>
      <c r="F29" s="48">
        <v>34.19</v>
      </c>
      <c r="G29" s="48">
        <v>2.8</v>
      </c>
      <c r="H29" s="82">
        <f t="shared" si="0"/>
        <v>35.589999999999996</v>
      </c>
      <c r="I29" s="82">
        <f t="shared" si="1"/>
        <v>36.989999999999995</v>
      </c>
      <c r="J29" s="49">
        <v>4050</v>
      </c>
      <c r="K29" s="305">
        <v>0.02</v>
      </c>
      <c r="L29" s="48">
        <v>0</v>
      </c>
      <c r="M29" s="48">
        <v>0</v>
      </c>
      <c r="N29" s="49">
        <f t="shared" si="2"/>
        <v>3572.1</v>
      </c>
      <c r="O29" s="52">
        <f t="shared" si="3"/>
        <v>3969</v>
      </c>
      <c r="P29" s="79">
        <f t="shared" si="4"/>
        <v>100.3680809216072</v>
      </c>
      <c r="Q29" s="53">
        <f t="shared" si="5"/>
        <v>0.1</v>
      </c>
      <c r="R29" s="54">
        <f t="shared" si="6"/>
        <v>396.90000000000003</v>
      </c>
      <c r="S29" s="53">
        <v>0.8</v>
      </c>
      <c r="T29" s="54">
        <f t="shared" si="7"/>
        <v>3175.2000000000003</v>
      </c>
      <c r="U29" s="53">
        <f t="shared" si="8"/>
        <v>9.9999999999999978E-2</v>
      </c>
      <c r="V29" s="54">
        <f t="shared" si="9"/>
        <v>396.89999999999992</v>
      </c>
      <c r="W29" s="55">
        <f ca="1">V29*VLOOKUP(TODAY(),'UF HOY'!$A$2:$B$36,2,0)</f>
        <v>15770400.785999998</v>
      </c>
      <c r="X29" s="56">
        <f>Datos!$K$5</f>
        <v>36</v>
      </c>
      <c r="Y29" s="55">
        <f ca="1">IF((W29-Datos!$U$5-1000000)/X29&gt;0,(W29-Datos!$U$5-1000000)/X29,0)</f>
        <v>407511.13294444443</v>
      </c>
      <c r="Z29" s="56">
        <f>Datos!$K$5</f>
        <v>36</v>
      </c>
      <c r="AA29" s="55">
        <f ca="1">IF((W29-Datos!$U$5-1000000-O29*3%*VLOOKUP(TODAY(),'UF HOY'!$A$2:$B$36,2,0))/Z29&gt;0,(W29-Datos!$U$5-1000000-O29*3%*VLOOKUP(TODAY(),'UF HOY'!$A$2:$B$36,2,0))/Z29,0)</f>
        <v>276091.12639444438</v>
      </c>
      <c r="AB29" s="130" cm="1">
        <f t="array" ref="AB29">_xlfn.IFS(AND(L29=0,M29=0),VLOOKUP(D29,Datos!$F$31:$I$33,2,0),AND(L29=0,M29&gt;0),VLOOKUP(D29,Datos!$F$32:$I$33,2,0),AND(L29&gt;0,M29=0),VLOOKUP(D29,Datos!$F$32:$I$33,3,0),AND(L29&gt;0,M29&gt;0),VLOOKUP(D29,Datos!$F$31:$I$33,4,0))</f>
        <v>550000</v>
      </c>
      <c r="AC29" s="55">
        <f ca="1">(S29*PMT(Datos!$G$15,Datos!$G$14,-O29,,)*VLOOKUP(TODAY(),'UF HOY'!$A$2:$B$36,2,0)/12)+VLOOKUP(TODAY(),'UF HOY'!$A$2:$B$36,2,0)</f>
        <v>647736.50055463403</v>
      </c>
      <c r="AD29" s="55">
        <f t="shared" ca="1" si="10"/>
        <v>-97736.500554634025</v>
      </c>
      <c r="AE29" s="93">
        <f t="shared" ca="1" si="11"/>
        <v>2590946.0022185361</v>
      </c>
    </row>
    <row r="30" spans="1:31" s="3" customFormat="1" hidden="1" x14ac:dyDescent="0.35">
      <c r="A30" s="94" t="s">
        <v>342</v>
      </c>
      <c r="B30" s="80">
        <v>812</v>
      </c>
      <c r="C30" s="48" t="s">
        <v>41</v>
      </c>
      <c r="D30" s="48" t="s">
        <v>37</v>
      </c>
      <c r="E30" s="48"/>
      <c r="F30" s="48">
        <v>34.630000000000003</v>
      </c>
      <c r="G30" s="48">
        <v>2.93</v>
      </c>
      <c r="H30" s="82">
        <f t="shared" si="0"/>
        <v>36.095000000000006</v>
      </c>
      <c r="I30" s="82">
        <f t="shared" si="1"/>
        <v>37.56</v>
      </c>
      <c r="J30" s="49">
        <v>4055</v>
      </c>
      <c r="K30" s="305">
        <v>0.02</v>
      </c>
      <c r="L30" s="48">
        <v>0</v>
      </c>
      <c r="M30" s="48">
        <v>0</v>
      </c>
      <c r="N30" s="49">
        <f t="shared" si="2"/>
        <v>3576.51</v>
      </c>
      <c r="O30" s="52">
        <f t="shared" si="3"/>
        <v>3973.9</v>
      </c>
      <c r="P30" s="79">
        <f t="shared" si="4"/>
        <v>99.086022994874625</v>
      </c>
      <c r="Q30" s="53">
        <f t="shared" si="5"/>
        <v>0.1</v>
      </c>
      <c r="R30" s="54">
        <f t="shared" si="6"/>
        <v>397.39000000000004</v>
      </c>
      <c r="S30" s="53">
        <v>0.8</v>
      </c>
      <c r="T30" s="54">
        <f t="shared" si="7"/>
        <v>3179.1200000000003</v>
      </c>
      <c r="U30" s="53">
        <f t="shared" si="8"/>
        <v>9.9999999999999978E-2</v>
      </c>
      <c r="V30" s="54">
        <f t="shared" si="9"/>
        <v>397.38999999999993</v>
      </c>
      <c r="W30" s="55">
        <f ca="1">V30*VLOOKUP(TODAY(),'UF HOY'!$A$2:$B$36,2,0)</f>
        <v>15789870.416599998</v>
      </c>
      <c r="X30" s="56">
        <f>Datos!$K$5</f>
        <v>36</v>
      </c>
      <c r="Y30" s="55">
        <f ca="1">IF((W30-Datos!$U$5-1000000)/X30&gt;0,(W30-Datos!$U$5-1000000)/X30,0)</f>
        <v>408051.95601666661</v>
      </c>
      <c r="Z30" s="56">
        <f>Datos!$K$5</f>
        <v>36</v>
      </c>
      <c r="AA30" s="55">
        <f ca="1">IF((W30-Datos!$U$5-1000000-O30*3%*VLOOKUP(TODAY(),'UF HOY'!$A$2:$B$36,2,0))/Z30&gt;0,(W30-Datos!$U$5-1000000-O30*3%*VLOOKUP(TODAY(),'UF HOY'!$A$2:$B$36,2,0))/Z30,0)</f>
        <v>276469.70254499995</v>
      </c>
      <c r="AB30" s="130" cm="1">
        <f t="array" ref="AB30">_xlfn.IFS(AND(L30=0,M30=0),VLOOKUP(D30,Datos!$F$31:$I$33,2,0),AND(L30=0,M30&gt;0),VLOOKUP(D30,Datos!$F$32:$I$33,2,0),AND(L30&gt;0,M30=0),VLOOKUP(D30,Datos!$F$32:$I$33,3,0),AND(L30&gt;0,M30&gt;0),VLOOKUP(D30,Datos!$F$31:$I$33,4,0))</f>
        <v>550000</v>
      </c>
      <c r="AC30" s="55">
        <f ca="1">(S30*PMT(Datos!$G$15,Datos!$G$14,-O30,,)*VLOOKUP(TODAY(),'UF HOY'!$A$2:$B$36,2,0)/12)+VLOOKUP(TODAY(),'UF HOY'!$A$2:$B$36,2,0)</f>
        <v>648487.12099976302</v>
      </c>
      <c r="AD30" s="55">
        <f t="shared" ca="1" si="10"/>
        <v>-98487.120999763021</v>
      </c>
      <c r="AE30" s="93">
        <f t="shared" ca="1" si="11"/>
        <v>2593948.4839990521</v>
      </c>
    </row>
    <row r="31" spans="1:31" s="3" customFormat="1" hidden="1" x14ac:dyDescent="0.35">
      <c r="A31" s="94" t="s">
        <v>342</v>
      </c>
      <c r="B31" s="80">
        <v>503</v>
      </c>
      <c r="C31" s="48" t="s">
        <v>38</v>
      </c>
      <c r="D31" s="48" t="s">
        <v>37</v>
      </c>
      <c r="E31" s="48"/>
      <c r="F31" s="48">
        <v>34.79</v>
      </c>
      <c r="G31" s="48">
        <v>2.83</v>
      </c>
      <c r="H31" s="82">
        <f t="shared" si="0"/>
        <v>36.204999999999998</v>
      </c>
      <c r="I31" s="82">
        <f t="shared" si="1"/>
        <v>37.619999999999997</v>
      </c>
      <c r="J31" s="49">
        <v>4060</v>
      </c>
      <c r="K31" s="305">
        <v>0.02</v>
      </c>
      <c r="L31" s="48">
        <v>0</v>
      </c>
      <c r="M31" s="48">
        <v>0</v>
      </c>
      <c r="N31" s="49">
        <f t="shared" si="2"/>
        <v>3580.9199999999996</v>
      </c>
      <c r="O31" s="52">
        <f t="shared" si="3"/>
        <v>3978.7999999999997</v>
      </c>
      <c r="P31" s="79">
        <f t="shared" si="4"/>
        <v>98.906780831376878</v>
      </c>
      <c r="Q31" s="53">
        <f t="shared" si="5"/>
        <v>0.1</v>
      </c>
      <c r="R31" s="54">
        <f t="shared" si="6"/>
        <v>397.88000000000005</v>
      </c>
      <c r="S31" s="53">
        <v>0.8</v>
      </c>
      <c r="T31" s="54">
        <f t="shared" si="7"/>
        <v>3183.04</v>
      </c>
      <c r="U31" s="53">
        <f t="shared" si="8"/>
        <v>9.9999999999999978E-2</v>
      </c>
      <c r="V31" s="54">
        <f t="shared" si="9"/>
        <v>397.87999999999988</v>
      </c>
      <c r="W31" s="55">
        <f ca="1">V31*VLOOKUP(TODAY(),'UF HOY'!$A$2:$B$36,2,0)</f>
        <v>15809340.047199996</v>
      </c>
      <c r="X31" s="56">
        <f>Datos!$K$5</f>
        <v>36</v>
      </c>
      <c r="Y31" s="55">
        <f ca="1">IF((W31-Datos!$U$5-1000000)/X31&gt;0,(W31-Datos!$U$5-1000000)/X31,0)</f>
        <v>408592.77908888878</v>
      </c>
      <c r="Z31" s="56">
        <f>Datos!$K$5</f>
        <v>36</v>
      </c>
      <c r="AA31" s="55">
        <f ca="1">IF((W31-Datos!$U$5-1000000-O31*3%*VLOOKUP(TODAY(),'UF HOY'!$A$2:$B$36,2,0))/Z31&gt;0,(W31-Datos!$U$5-1000000-O31*3%*VLOOKUP(TODAY(),'UF HOY'!$A$2:$B$36,2,0))/Z31,0)</f>
        <v>276848.27869555546</v>
      </c>
      <c r="AB31" s="130" cm="1">
        <f t="array" ref="AB31">_xlfn.IFS(AND(L31=0,M31=0),VLOOKUP(D31,Datos!$F$31:$I$33,2,0),AND(L31=0,M31&gt;0),VLOOKUP(D31,Datos!$F$32:$I$33,2,0),AND(L31&gt;0,M31=0),VLOOKUP(D31,Datos!$F$32:$I$33,3,0),AND(L31&gt;0,M31&gt;0),VLOOKUP(D31,Datos!$F$31:$I$33,4,0))</f>
        <v>550000</v>
      </c>
      <c r="AC31" s="55">
        <f ca="1">(S31*PMT(Datos!$G$15,Datos!$G$14,-O31,,)*VLOOKUP(TODAY(),'UF HOY'!$A$2:$B$36,2,0)/12)+VLOOKUP(TODAY(),'UF HOY'!$A$2:$B$36,2,0)</f>
        <v>649237.74144489225</v>
      </c>
      <c r="AD31" s="55">
        <f t="shared" ca="1" si="10"/>
        <v>-99237.74144489225</v>
      </c>
      <c r="AE31" s="93">
        <f t="shared" ca="1" si="11"/>
        <v>2596950.965779569</v>
      </c>
    </row>
    <row r="32" spans="1:31" s="3" customFormat="1" hidden="1" x14ac:dyDescent="0.35">
      <c r="A32" s="94" t="s">
        <v>342</v>
      </c>
      <c r="B32" s="80">
        <v>504</v>
      </c>
      <c r="C32" s="48" t="s">
        <v>38</v>
      </c>
      <c r="D32" s="48" t="s">
        <v>37</v>
      </c>
      <c r="E32" s="48"/>
      <c r="F32" s="48">
        <v>34.74</v>
      </c>
      <c r="G32" s="48">
        <v>2.86</v>
      </c>
      <c r="H32" s="82">
        <f t="shared" si="0"/>
        <v>36.17</v>
      </c>
      <c r="I32" s="82">
        <f t="shared" si="1"/>
        <v>37.6</v>
      </c>
      <c r="J32" s="49">
        <v>4060</v>
      </c>
      <c r="K32" s="305">
        <v>0.02</v>
      </c>
      <c r="L32" s="48">
        <v>0</v>
      </c>
      <c r="M32" s="48">
        <v>0</v>
      </c>
      <c r="N32" s="49">
        <f t="shared" si="2"/>
        <v>3580.9199999999996</v>
      </c>
      <c r="O32" s="52">
        <f t="shared" si="3"/>
        <v>3978.7999999999997</v>
      </c>
      <c r="P32" s="79">
        <f t="shared" si="4"/>
        <v>99.002488249930863</v>
      </c>
      <c r="Q32" s="53">
        <f t="shared" si="5"/>
        <v>0.1</v>
      </c>
      <c r="R32" s="54">
        <f t="shared" si="6"/>
        <v>397.88000000000005</v>
      </c>
      <c r="S32" s="53">
        <v>0.8</v>
      </c>
      <c r="T32" s="54">
        <f t="shared" si="7"/>
        <v>3183.04</v>
      </c>
      <c r="U32" s="53">
        <f t="shared" si="8"/>
        <v>9.9999999999999978E-2</v>
      </c>
      <c r="V32" s="54">
        <f t="shared" si="9"/>
        <v>397.87999999999988</v>
      </c>
      <c r="W32" s="55">
        <f ca="1">V32*VLOOKUP(TODAY(),'UF HOY'!$A$2:$B$36,2,0)</f>
        <v>15809340.047199996</v>
      </c>
      <c r="X32" s="56">
        <f>Datos!$K$5</f>
        <v>36</v>
      </c>
      <c r="Y32" s="55">
        <f ca="1">IF((W32-Datos!$U$5-1000000)/X32&gt;0,(W32-Datos!$U$5-1000000)/X32,0)</f>
        <v>408592.77908888878</v>
      </c>
      <c r="Z32" s="56">
        <f>Datos!$K$5</f>
        <v>36</v>
      </c>
      <c r="AA32" s="55">
        <f ca="1">IF((W32-Datos!$U$5-1000000-O32*3%*VLOOKUP(TODAY(),'UF HOY'!$A$2:$B$36,2,0))/Z32&gt;0,(W32-Datos!$U$5-1000000-O32*3%*VLOOKUP(TODAY(),'UF HOY'!$A$2:$B$36,2,0))/Z32,0)</f>
        <v>276848.27869555546</v>
      </c>
      <c r="AB32" s="130" cm="1">
        <f t="array" ref="AB32">_xlfn.IFS(AND(L32=0,M32=0),VLOOKUP(D32,Datos!$F$31:$I$33,2,0),AND(L32=0,M32&gt;0),VLOOKUP(D32,Datos!$F$32:$I$33,2,0),AND(L32&gt;0,M32=0),VLOOKUP(D32,Datos!$F$32:$I$33,3,0),AND(L32&gt;0,M32&gt;0),VLOOKUP(D32,Datos!$F$31:$I$33,4,0))</f>
        <v>550000</v>
      </c>
      <c r="AC32" s="55">
        <f ca="1">(S32*PMT(Datos!$G$15,Datos!$G$14,-O32,,)*VLOOKUP(TODAY(),'UF HOY'!$A$2:$B$36,2,0)/12)+VLOOKUP(TODAY(),'UF HOY'!$A$2:$B$36,2,0)</f>
        <v>649237.74144489225</v>
      </c>
      <c r="AD32" s="55">
        <f t="shared" ca="1" si="10"/>
        <v>-99237.74144489225</v>
      </c>
      <c r="AE32" s="93">
        <f t="shared" ca="1" si="11"/>
        <v>2596950.965779569</v>
      </c>
    </row>
    <row r="33" spans="1:31" s="3" customFormat="1" x14ac:dyDescent="0.35">
      <c r="A33" s="94" t="s">
        <v>346</v>
      </c>
      <c r="B33" s="80">
        <v>1207</v>
      </c>
      <c r="C33" s="48" t="s">
        <v>36</v>
      </c>
      <c r="D33" s="48" t="s">
        <v>37</v>
      </c>
      <c r="E33" s="48"/>
      <c r="F33" s="48">
        <v>34.17</v>
      </c>
      <c r="G33" s="48">
        <v>2.8</v>
      </c>
      <c r="H33" s="82">
        <f t="shared" si="0"/>
        <v>35.57</v>
      </c>
      <c r="I33" s="82">
        <f t="shared" si="1"/>
        <v>36.97</v>
      </c>
      <c r="J33" s="49">
        <v>4060</v>
      </c>
      <c r="K33" s="304">
        <v>0</v>
      </c>
      <c r="L33" s="48">
        <v>0</v>
      </c>
      <c r="M33" s="48">
        <v>0</v>
      </c>
      <c r="N33" s="49">
        <f t="shared" si="2"/>
        <v>3654</v>
      </c>
      <c r="O33" s="52">
        <f t="shared" si="3"/>
        <v>4060</v>
      </c>
      <c r="P33" s="79">
        <f t="shared" si="4"/>
        <v>102.7270171492831</v>
      </c>
      <c r="Q33" s="53">
        <f t="shared" si="5"/>
        <v>0.1</v>
      </c>
      <c r="R33" s="54">
        <f t="shared" si="6"/>
        <v>406</v>
      </c>
      <c r="S33" s="53">
        <v>0.8</v>
      </c>
      <c r="T33" s="54">
        <f t="shared" si="7"/>
        <v>3248</v>
      </c>
      <c r="U33" s="53">
        <f t="shared" si="8"/>
        <v>9.9999999999999978E-2</v>
      </c>
      <c r="V33" s="54">
        <f t="shared" si="9"/>
        <v>405.99999999999989</v>
      </c>
      <c r="W33" s="55">
        <f ca="1">V33*VLOOKUP(TODAY(),'UF HOY'!$A$2:$B$36,2,0)</f>
        <v>16131979.639999997</v>
      </c>
      <c r="X33" s="56">
        <f>Datos!$K$5</f>
        <v>36</v>
      </c>
      <c r="Y33" s="55">
        <f ca="1">IF((W33-Datos!$U$5-1000000)/X33&gt;0,(W33-Datos!$U$5-1000000)/X33,0)</f>
        <v>417554.98999999993</v>
      </c>
      <c r="Z33" s="56">
        <f>Datos!$K$5</f>
        <v>36</v>
      </c>
      <c r="AA33" s="55">
        <f ca="1">IF((W33-Datos!$U$5-1000000-O33*3%*VLOOKUP(TODAY(),'UF HOY'!$A$2:$B$36,2,0))/Z33&gt;0,(W33-Datos!$U$5-1000000-O33*3%*VLOOKUP(TODAY(),'UF HOY'!$A$2:$B$36,2,0))/Z33,0)</f>
        <v>283121.82633333321</v>
      </c>
      <c r="AB33" s="130" cm="1">
        <f t="array" ref="AB33">_xlfn.IFS(AND(L33=0,M33=0),VLOOKUP(D33,Datos!$F$31:$I$33,2,0),AND(L33=0,M33&gt;0),VLOOKUP(D33,Datos!$F$32:$I$33,2,0),AND(L33&gt;0,M33=0),VLOOKUP(D33,Datos!$F$32:$I$33,3,0),AND(L33&gt;0,M33&gt;0),VLOOKUP(D33,Datos!$F$31:$I$33,4,0))</f>
        <v>550000</v>
      </c>
      <c r="AC33" s="55">
        <f ca="1">(S33*PMT(Datos!$G$15,Datos!$G$14,-O33,,)*VLOOKUP(TODAY(),'UF HOY'!$A$2:$B$36,2,0)/12)+VLOOKUP(TODAY(),'UF HOY'!$A$2:$B$36,2,0)</f>
        <v>661676.59453560435</v>
      </c>
      <c r="AD33" s="55">
        <f t="shared" ca="1" si="10"/>
        <v>-111676.59453560435</v>
      </c>
      <c r="AE33" s="93">
        <f t="shared" ca="1" si="11"/>
        <v>2646706.3781424174</v>
      </c>
    </row>
    <row r="34" spans="1:31" s="3" customFormat="1" x14ac:dyDescent="0.35">
      <c r="A34" s="94" t="s">
        <v>346</v>
      </c>
      <c r="B34" s="80">
        <v>203</v>
      </c>
      <c r="C34" s="48" t="s">
        <v>38</v>
      </c>
      <c r="D34" s="48" t="s">
        <v>37</v>
      </c>
      <c r="E34" s="48"/>
      <c r="F34" s="48">
        <v>35.35</v>
      </c>
      <c r="G34" s="48">
        <v>2.8</v>
      </c>
      <c r="H34" s="82">
        <f t="shared" si="0"/>
        <v>36.75</v>
      </c>
      <c r="I34" s="82">
        <f t="shared" si="1"/>
        <v>38.15</v>
      </c>
      <c r="J34" s="49">
        <v>4065</v>
      </c>
      <c r="K34" s="304">
        <v>0</v>
      </c>
      <c r="L34" s="48">
        <v>0</v>
      </c>
      <c r="M34" s="48">
        <v>0</v>
      </c>
      <c r="N34" s="49">
        <f t="shared" si="2"/>
        <v>3658.5</v>
      </c>
      <c r="O34" s="52">
        <f t="shared" si="3"/>
        <v>4065</v>
      </c>
      <c r="P34" s="79">
        <f t="shared" si="4"/>
        <v>99.551020408163268</v>
      </c>
      <c r="Q34" s="53">
        <f t="shared" si="5"/>
        <v>0.1</v>
      </c>
      <c r="R34" s="54">
        <f t="shared" si="6"/>
        <v>406.5</v>
      </c>
      <c r="S34" s="53">
        <v>0.8</v>
      </c>
      <c r="T34" s="54">
        <f t="shared" si="7"/>
        <v>3252</v>
      </c>
      <c r="U34" s="53">
        <f t="shared" si="8"/>
        <v>9.9999999999999978E-2</v>
      </c>
      <c r="V34" s="54">
        <f t="shared" si="9"/>
        <v>406.49999999999989</v>
      </c>
      <c r="W34" s="55">
        <f ca="1">V34*VLOOKUP(TODAY(),'UF HOY'!$A$2:$B$36,2,0)</f>
        <v>16151846.609999996</v>
      </c>
      <c r="X34" s="56">
        <f>Datos!$K$5</f>
        <v>36</v>
      </c>
      <c r="Y34" s="55">
        <f ca="1">IF((W34-Datos!$U$5-1000000)/X34&gt;0,(W34-Datos!$U$5-1000000)/X34,0)</f>
        <v>418106.85027777764</v>
      </c>
      <c r="Z34" s="56">
        <f>Datos!$K$5</f>
        <v>36</v>
      </c>
      <c r="AA34" s="55">
        <f ca="1">IF((W34-Datos!$U$5-1000000-O34*3%*VLOOKUP(TODAY(),'UF HOY'!$A$2:$B$36,2,0))/Z34&gt;0,(W34-Datos!$U$5-1000000-O34*3%*VLOOKUP(TODAY(),'UF HOY'!$A$2:$B$36,2,0))/Z34,0)</f>
        <v>283508.12852777768</v>
      </c>
      <c r="AB34" s="130" cm="1">
        <f t="array" ref="AB34">_xlfn.IFS(AND(L34=0,M34=0),VLOOKUP(D34,Datos!$F$31:$I$33,2,0),AND(L34=0,M34&gt;0),VLOOKUP(D34,Datos!$F$32:$I$33,2,0),AND(L34&gt;0,M34=0),VLOOKUP(D34,Datos!$F$32:$I$33,3,0),AND(L34&gt;0,M34&gt;0),VLOOKUP(D34,Datos!$F$31:$I$33,4,0))</f>
        <v>550000</v>
      </c>
      <c r="AC34" s="55">
        <f ca="1">(S34*PMT(Datos!$G$15,Datos!$G$14,-O34,,)*VLOOKUP(TODAY(),'UF HOY'!$A$2:$B$36,2,0)/12)+VLOOKUP(TODAY(),'UF HOY'!$A$2:$B$36,2,0)</f>
        <v>662442.53376532788</v>
      </c>
      <c r="AD34" s="55">
        <f t="shared" ca="1" si="10"/>
        <v>-112442.53376532788</v>
      </c>
      <c r="AE34" s="93">
        <f t="shared" ca="1" si="11"/>
        <v>2649770.1350613115</v>
      </c>
    </row>
    <row r="35" spans="1:31" s="3" customFormat="1" hidden="1" x14ac:dyDescent="0.35">
      <c r="A35" s="94" t="s">
        <v>342</v>
      </c>
      <c r="B35" s="80">
        <v>813</v>
      </c>
      <c r="C35" s="48" t="s">
        <v>41</v>
      </c>
      <c r="D35" s="48" t="s">
        <v>37</v>
      </c>
      <c r="E35" s="48"/>
      <c r="F35" s="48">
        <v>34.69</v>
      </c>
      <c r="G35" s="48">
        <v>2.93</v>
      </c>
      <c r="H35" s="82">
        <f t="shared" si="0"/>
        <v>36.155000000000001</v>
      </c>
      <c r="I35" s="82">
        <f t="shared" si="1"/>
        <v>37.619999999999997</v>
      </c>
      <c r="J35" s="49">
        <v>4065</v>
      </c>
      <c r="K35" s="305">
        <v>0.02</v>
      </c>
      <c r="L35" s="48">
        <v>0</v>
      </c>
      <c r="M35" s="48">
        <v>0</v>
      </c>
      <c r="N35" s="49">
        <f t="shared" si="2"/>
        <v>3585.33</v>
      </c>
      <c r="O35" s="52">
        <f t="shared" si="3"/>
        <v>3983.7</v>
      </c>
      <c r="P35" s="79">
        <f t="shared" si="4"/>
        <v>99.165537270087114</v>
      </c>
      <c r="Q35" s="53">
        <f t="shared" si="5"/>
        <v>0.1</v>
      </c>
      <c r="R35" s="54">
        <f t="shared" si="6"/>
        <v>398.37</v>
      </c>
      <c r="S35" s="53">
        <v>0.8</v>
      </c>
      <c r="T35" s="54">
        <f t="shared" si="7"/>
        <v>3186.96</v>
      </c>
      <c r="U35" s="53">
        <f t="shared" si="8"/>
        <v>9.9999999999999978E-2</v>
      </c>
      <c r="V35" s="54">
        <f t="shared" si="9"/>
        <v>398.36999999999989</v>
      </c>
      <c r="W35" s="55">
        <f ca="1">V35*VLOOKUP(TODAY(),'UF HOY'!$A$2:$B$36,2,0)</f>
        <v>15828809.677799996</v>
      </c>
      <c r="X35" s="56">
        <f>Datos!$K$5</f>
        <v>36</v>
      </c>
      <c r="Y35" s="55">
        <f ca="1">IF((W35-Datos!$U$5-1000000)/X35&gt;0,(W35-Datos!$U$5-1000000)/X35,0)</f>
        <v>409133.60216111102</v>
      </c>
      <c r="Z35" s="56">
        <f>Datos!$K$5</f>
        <v>36</v>
      </c>
      <c r="AA35" s="55">
        <f ca="1">IF((W35-Datos!$U$5-1000000-O35*3%*VLOOKUP(TODAY(),'UF HOY'!$A$2:$B$36,2,0))/Z35&gt;0,(W35-Datos!$U$5-1000000-O35*3%*VLOOKUP(TODAY(),'UF HOY'!$A$2:$B$36,2,0))/Z35,0)</f>
        <v>277226.85484611097</v>
      </c>
      <c r="AB35" s="130" cm="1">
        <f t="array" ref="AB35">_xlfn.IFS(AND(L35=0,M35=0),VLOOKUP(D35,Datos!$F$31:$I$33,2,0),AND(L35=0,M35&gt;0),VLOOKUP(D35,Datos!$F$32:$I$33,2,0),AND(L35&gt;0,M35=0),VLOOKUP(D35,Datos!$F$32:$I$33,3,0),AND(L35&gt;0,M35&gt;0),VLOOKUP(D35,Datos!$F$31:$I$33,4,0))</f>
        <v>550000</v>
      </c>
      <c r="AC35" s="55">
        <f ca="1">(S35*PMT(Datos!$G$15,Datos!$G$14,-O35,,)*VLOOKUP(TODAY(),'UF HOY'!$A$2:$B$36,2,0)/12)+VLOOKUP(TODAY(),'UF HOY'!$A$2:$B$36,2,0)</f>
        <v>649988.36189002148</v>
      </c>
      <c r="AD35" s="55">
        <f t="shared" ca="1" si="10"/>
        <v>-99988.361890021479</v>
      </c>
      <c r="AE35" s="93">
        <f t="shared" ca="1" si="11"/>
        <v>2599953.4475600859</v>
      </c>
    </row>
    <row r="36" spans="1:31" s="3" customFormat="1" x14ac:dyDescent="0.35">
      <c r="A36" s="94" t="s">
        <v>346</v>
      </c>
      <c r="B36" s="80">
        <v>1206</v>
      </c>
      <c r="C36" s="48" t="s">
        <v>36</v>
      </c>
      <c r="D36" s="48" t="s">
        <v>37</v>
      </c>
      <c r="E36" s="48"/>
      <c r="F36" s="48">
        <v>34.19</v>
      </c>
      <c r="G36" s="48">
        <v>2.8</v>
      </c>
      <c r="H36" s="82">
        <f t="shared" si="0"/>
        <v>35.589999999999996</v>
      </c>
      <c r="I36" s="82">
        <f t="shared" si="1"/>
        <v>36.989999999999995</v>
      </c>
      <c r="J36" s="49">
        <v>4065</v>
      </c>
      <c r="K36" s="304">
        <v>0</v>
      </c>
      <c r="L36" s="48">
        <v>0</v>
      </c>
      <c r="M36" s="48">
        <v>0</v>
      </c>
      <c r="N36" s="49">
        <f t="shared" si="2"/>
        <v>3658.5</v>
      </c>
      <c r="O36" s="52">
        <f t="shared" si="3"/>
        <v>4065</v>
      </c>
      <c r="P36" s="79">
        <f t="shared" si="4"/>
        <v>102.79572913739815</v>
      </c>
      <c r="Q36" s="53">
        <f t="shared" si="5"/>
        <v>0.1</v>
      </c>
      <c r="R36" s="54">
        <f t="shared" si="6"/>
        <v>406.5</v>
      </c>
      <c r="S36" s="53">
        <v>0.8</v>
      </c>
      <c r="T36" s="54">
        <f t="shared" si="7"/>
        <v>3252</v>
      </c>
      <c r="U36" s="53">
        <f t="shared" si="8"/>
        <v>9.9999999999999978E-2</v>
      </c>
      <c r="V36" s="54">
        <f t="shared" si="9"/>
        <v>406.49999999999989</v>
      </c>
      <c r="W36" s="55">
        <f ca="1">V36*VLOOKUP(TODAY(),'UF HOY'!$A$2:$B$36,2,0)</f>
        <v>16151846.609999996</v>
      </c>
      <c r="X36" s="56">
        <f>Datos!$K$5</f>
        <v>36</v>
      </c>
      <c r="Y36" s="55">
        <f ca="1">IF((W36-Datos!$U$5-1000000)/X36&gt;0,(W36-Datos!$U$5-1000000)/X36,0)</f>
        <v>418106.85027777764</v>
      </c>
      <c r="Z36" s="56">
        <f>Datos!$K$5</f>
        <v>36</v>
      </c>
      <c r="AA36" s="55">
        <f ca="1">IF((W36-Datos!$U$5-1000000-O36*3%*VLOOKUP(TODAY(),'UF HOY'!$A$2:$B$36,2,0))/Z36&gt;0,(W36-Datos!$U$5-1000000-O36*3%*VLOOKUP(TODAY(),'UF HOY'!$A$2:$B$36,2,0))/Z36,0)</f>
        <v>283508.12852777768</v>
      </c>
      <c r="AB36" s="130" cm="1">
        <f t="array" ref="AB36">_xlfn.IFS(AND(L36=0,M36=0),VLOOKUP(D36,Datos!$F$31:$I$33,2,0),AND(L36=0,M36&gt;0),VLOOKUP(D36,Datos!$F$32:$I$33,2,0),AND(L36&gt;0,M36=0),VLOOKUP(D36,Datos!$F$32:$I$33,3,0),AND(L36&gt;0,M36&gt;0),VLOOKUP(D36,Datos!$F$31:$I$33,4,0))</f>
        <v>550000</v>
      </c>
      <c r="AC36" s="55">
        <f ca="1">(S36*PMT(Datos!$G$15,Datos!$G$14,-O36,,)*VLOOKUP(TODAY(),'UF HOY'!$A$2:$B$36,2,0)/12)+VLOOKUP(TODAY(),'UF HOY'!$A$2:$B$36,2,0)</f>
        <v>662442.53376532788</v>
      </c>
      <c r="AD36" s="55">
        <f t="shared" ca="1" si="10"/>
        <v>-112442.53376532788</v>
      </c>
      <c r="AE36" s="93">
        <f t="shared" ca="1" si="11"/>
        <v>2649770.1350613115</v>
      </c>
    </row>
    <row r="37" spans="1:31" s="3" customFormat="1" x14ac:dyDescent="0.35">
      <c r="A37" s="94" t="s">
        <v>346</v>
      </c>
      <c r="B37" s="80">
        <v>404</v>
      </c>
      <c r="C37" s="48" t="s">
        <v>38</v>
      </c>
      <c r="D37" s="48" t="s">
        <v>37</v>
      </c>
      <c r="E37" s="48"/>
      <c r="F37" s="48">
        <v>34.97</v>
      </c>
      <c r="G37" s="48">
        <v>2.86</v>
      </c>
      <c r="H37" s="82">
        <f t="shared" si="0"/>
        <v>36.4</v>
      </c>
      <c r="I37" s="82">
        <f t="shared" si="1"/>
        <v>37.83</v>
      </c>
      <c r="J37" s="49">
        <v>4070</v>
      </c>
      <c r="K37" s="304">
        <v>0</v>
      </c>
      <c r="L37" s="48">
        <v>0</v>
      </c>
      <c r="M37" s="48">
        <v>0</v>
      </c>
      <c r="N37" s="49">
        <f t="shared" si="2"/>
        <v>3663</v>
      </c>
      <c r="O37" s="52">
        <f t="shared" si="3"/>
        <v>4070</v>
      </c>
      <c r="P37" s="79">
        <f t="shared" si="4"/>
        <v>100.63186813186813</v>
      </c>
      <c r="Q37" s="53">
        <f t="shared" si="5"/>
        <v>0.1</v>
      </c>
      <c r="R37" s="54">
        <f t="shared" si="6"/>
        <v>407</v>
      </c>
      <c r="S37" s="53">
        <v>0.8</v>
      </c>
      <c r="T37" s="54">
        <f t="shared" si="7"/>
        <v>3256</v>
      </c>
      <c r="U37" s="53">
        <f t="shared" si="8"/>
        <v>9.9999999999999978E-2</v>
      </c>
      <c r="V37" s="54">
        <f t="shared" si="9"/>
        <v>406.99999999999989</v>
      </c>
      <c r="W37" s="55">
        <f ca="1">V37*VLOOKUP(TODAY(),'UF HOY'!$A$2:$B$36,2,0)</f>
        <v>16171713.579999996</v>
      </c>
      <c r="X37" s="56">
        <f>Datos!$K$5</f>
        <v>36</v>
      </c>
      <c r="Y37" s="55">
        <f ca="1">IF((W37-Datos!$U$5-1000000)/X37&gt;0,(W37-Datos!$U$5-1000000)/X37,0)</f>
        <v>418658.71055555547</v>
      </c>
      <c r="Z37" s="56">
        <f>Datos!$K$5</f>
        <v>36</v>
      </c>
      <c r="AA37" s="55">
        <f ca="1">IF((W37-Datos!$U$5-1000000-O37*3%*VLOOKUP(TODAY(),'UF HOY'!$A$2:$B$36,2,0))/Z37&gt;0,(W37-Datos!$U$5-1000000-O37*3%*VLOOKUP(TODAY(),'UF HOY'!$A$2:$B$36,2,0))/Z37,0)</f>
        <v>283894.43072222214</v>
      </c>
      <c r="AB37" s="130" cm="1">
        <f t="array" ref="AB37">_xlfn.IFS(AND(L37=0,M37=0),VLOOKUP(D37,Datos!$F$31:$I$33,2,0),AND(L37=0,M37&gt;0),VLOOKUP(D37,Datos!$F$32:$I$33,2,0),AND(L37&gt;0,M37=0),VLOOKUP(D37,Datos!$F$32:$I$33,3,0),AND(L37&gt;0,M37&gt;0),VLOOKUP(D37,Datos!$F$31:$I$33,4,0))</f>
        <v>550000</v>
      </c>
      <c r="AC37" s="55">
        <f ca="1">(S37*PMT(Datos!$G$15,Datos!$G$14,-O37,,)*VLOOKUP(TODAY(),'UF HOY'!$A$2:$B$36,2,0)/12)+VLOOKUP(TODAY(),'UF HOY'!$A$2:$B$36,2,0)</f>
        <v>663208.47299505165</v>
      </c>
      <c r="AD37" s="55">
        <f t="shared" ca="1" si="10"/>
        <v>-113208.47299505165</v>
      </c>
      <c r="AE37" s="93">
        <f t="shared" ca="1" si="11"/>
        <v>2652833.8919802066</v>
      </c>
    </row>
    <row r="38" spans="1:31" s="3" customFormat="1" x14ac:dyDescent="0.35">
      <c r="A38" s="94" t="s">
        <v>346</v>
      </c>
      <c r="B38" s="80">
        <v>502</v>
      </c>
      <c r="C38" s="48" t="s">
        <v>38</v>
      </c>
      <c r="D38" s="48" t="s">
        <v>37</v>
      </c>
      <c r="E38" s="48"/>
      <c r="F38" s="48">
        <v>34.89</v>
      </c>
      <c r="G38" s="48">
        <v>2.83</v>
      </c>
      <c r="H38" s="82">
        <f t="shared" si="0"/>
        <v>36.305</v>
      </c>
      <c r="I38" s="82">
        <f t="shared" si="1"/>
        <v>37.72</v>
      </c>
      <c r="J38" s="49">
        <v>4075</v>
      </c>
      <c r="K38" s="304">
        <v>0</v>
      </c>
      <c r="L38" s="48">
        <v>0</v>
      </c>
      <c r="M38" s="48">
        <v>0</v>
      </c>
      <c r="N38" s="49">
        <f t="shared" si="2"/>
        <v>3667.5</v>
      </c>
      <c r="O38" s="52">
        <f t="shared" si="3"/>
        <v>4075</v>
      </c>
      <c r="P38" s="79">
        <f t="shared" si="4"/>
        <v>101.01914336868199</v>
      </c>
      <c r="Q38" s="53">
        <f t="shared" si="5"/>
        <v>0.1</v>
      </c>
      <c r="R38" s="54">
        <f t="shared" si="6"/>
        <v>407.5</v>
      </c>
      <c r="S38" s="53">
        <v>0.8</v>
      </c>
      <c r="T38" s="54">
        <f t="shared" si="7"/>
        <v>3260</v>
      </c>
      <c r="U38" s="53">
        <f t="shared" si="8"/>
        <v>9.9999999999999978E-2</v>
      </c>
      <c r="V38" s="54">
        <f t="shared" si="9"/>
        <v>407.49999999999989</v>
      </c>
      <c r="W38" s="55">
        <f ca="1">V38*VLOOKUP(TODAY(),'UF HOY'!$A$2:$B$36,2,0)</f>
        <v>16191580.549999997</v>
      </c>
      <c r="X38" s="56">
        <f>Datos!$K$5</f>
        <v>36</v>
      </c>
      <c r="Y38" s="55">
        <f ca="1">IF((W38-Datos!$U$5-1000000)/X38&gt;0,(W38-Datos!$U$5-1000000)/X38,0)</f>
        <v>419210.57083333324</v>
      </c>
      <c r="Z38" s="56">
        <f>Datos!$K$5</f>
        <v>36</v>
      </c>
      <c r="AA38" s="55">
        <f ca="1">IF((W38-Datos!$U$5-1000000-O38*3%*VLOOKUP(TODAY(),'UF HOY'!$A$2:$B$36,2,0))/Z38&gt;0,(W38-Datos!$U$5-1000000-O38*3%*VLOOKUP(TODAY(),'UF HOY'!$A$2:$B$36,2,0))/Z38,0)</f>
        <v>284280.7329166666</v>
      </c>
      <c r="AB38" s="130" cm="1">
        <f t="array" ref="AB38">_xlfn.IFS(AND(L38=0,M38=0),VLOOKUP(D38,Datos!$F$31:$I$33,2,0),AND(L38=0,M38&gt;0),VLOOKUP(D38,Datos!$F$32:$I$33,2,0),AND(L38&gt;0,M38=0),VLOOKUP(D38,Datos!$F$32:$I$33,3,0),AND(L38&gt;0,M38&gt;0),VLOOKUP(D38,Datos!$F$31:$I$33,4,0))</f>
        <v>550000</v>
      </c>
      <c r="AC38" s="55">
        <f ca="1">(S38*PMT(Datos!$G$15,Datos!$G$14,-O38,,)*VLOOKUP(TODAY(),'UF HOY'!$A$2:$B$36,2,0)/12)+VLOOKUP(TODAY(),'UF HOY'!$A$2:$B$36,2,0)</f>
        <v>663974.41222477518</v>
      </c>
      <c r="AD38" s="55">
        <f t="shared" ca="1" si="10"/>
        <v>-113974.41222477518</v>
      </c>
      <c r="AE38" s="93">
        <f t="shared" ca="1" si="11"/>
        <v>2655897.6488991007</v>
      </c>
    </row>
    <row r="39" spans="1:31" s="3" customFormat="1" x14ac:dyDescent="0.35">
      <c r="A39" s="94" t="s">
        <v>346</v>
      </c>
      <c r="B39" s="80">
        <v>604</v>
      </c>
      <c r="C39" s="48" t="s">
        <v>38</v>
      </c>
      <c r="D39" s="48" t="s">
        <v>37</v>
      </c>
      <c r="E39" s="48"/>
      <c r="F39" s="48">
        <v>34.74</v>
      </c>
      <c r="G39" s="48">
        <v>2.86</v>
      </c>
      <c r="H39" s="82">
        <f t="shared" si="0"/>
        <v>36.17</v>
      </c>
      <c r="I39" s="82">
        <f t="shared" si="1"/>
        <v>37.6</v>
      </c>
      <c r="J39" s="49">
        <v>4075</v>
      </c>
      <c r="K39" s="304">
        <v>0</v>
      </c>
      <c r="L39" s="48">
        <v>0</v>
      </c>
      <c r="M39" s="48">
        <v>0</v>
      </c>
      <c r="N39" s="49">
        <f t="shared" si="2"/>
        <v>3667.5</v>
      </c>
      <c r="O39" s="52">
        <f t="shared" si="3"/>
        <v>4075</v>
      </c>
      <c r="P39" s="79">
        <f t="shared" si="4"/>
        <v>101.39618468343932</v>
      </c>
      <c r="Q39" s="53">
        <f t="shared" si="5"/>
        <v>0.1</v>
      </c>
      <c r="R39" s="54">
        <f t="shared" si="6"/>
        <v>407.5</v>
      </c>
      <c r="S39" s="53">
        <v>0.8</v>
      </c>
      <c r="T39" s="54">
        <f t="shared" si="7"/>
        <v>3260</v>
      </c>
      <c r="U39" s="53">
        <f t="shared" si="8"/>
        <v>9.9999999999999978E-2</v>
      </c>
      <c r="V39" s="54">
        <f t="shared" si="9"/>
        <v>407.49999999999989</v>
      </c>
      <c r="W39" s="55">
        <f ca="1">V39*VLOOKUP(TODAY(),'UF HOY'!$A$2:$B$36,2,0)</f>
        <v>16191580.549999997</v>
      </c>
      <c r="X39" s="56">
        <f>Datos!$K$5</f>
        <v>36</v>
      </c>
      <c r="Y39" s="55">
        <f ca="1">IF((W39-Datos!$U$5-1000000)/X39&gt;0,(W39-Datos!$U$5-1000000)/X39,0)</f>
        <v>419210.57083333324</v>
      </c>
      <c r="Z39" s="56">
        <f>Datos!$K$5</f>
        <v>36</v>
      </c>
      <c r="AA39" s="55">
        <f ca="1">IF((W39-Datos!$U$5-1000000-O39*3%*VLOOKUP(TODAY(),'UF HOY'!$A$2:$B$36,2,0))/Z39&gt;0,(W39-Datos!$U$5-1000000-O39*3%*VLOOKUP(TODAY(),'UF HOY'!$A$2:$B$36,2,0))/Z39,0)</f>
        <v>284280.7329166666</v>
      </c>
      <c r="AB39" s="130" cm="1">
        <f t="array" ref="AB39">_xlfn.IFS(AND(L39=0,M39=0),VLOOKUP(D39,Datos!$F$31:$I$33,2,0),AND(L39=0,M39&gt;0),VLOOKUP(D39,Datos!$F$32:$I$33,2,0),AND(L39&gt;0,M39=0),VLOOKUP(D39,Datos!$F$32:$I$33,3,0),AND(L39&gt;0,M39&gt;0),VLOOKUP(D39,Datos!$F$31:$I$33,4,0))</f>
        <v>550000</v>
      </c>
      <c r="AC39" s="55">
        <f ca="1">(S39*PMT(Datos!$G$15,Datos!$G$14,-O39,,)*VLOOKUP(TODAY(),'UF HOY'!$A$2:$B$36,2,0)/12)+VLOOKUP(TODAY(),'UF HOY'!$A$2:$B$36,2,0)</f>
        <v>663974.41222477518</v>
      </c>
      <c r="AD39" s="55">
        <f t="shared" ca="1" si="10"/>
        <v>-113974.41222477518</v>
      </c>
      <c r="AE39" s="93">
        <f t="shared" ca="1" si="11"/>
        <v>2655897.6488991007</v>
      </c>
    </row>
    <row r="40" spans="1:31" s="3" customFormat="1" hidden="1" x14ac:dyDescent="0.35">
      <c r="A40" s="94" t="s">
        <v>342</v>
      </c>
      <c r="B40" s="80">
        <v>912</v>
      </c>
      <c r="C40" s="48" t="s">
        <v>41</v>
      </c>
      <c r="D40" s="48" t="s">
        <v>37</v>
      </c>
      <c r="E40" s="48"/>
      <c r="F40" s="48">
        <v>34.630000000000003</v>
      </c>
      <c r="G40" s="48">
        <v>2.93</v>
      </c>
      <c r="H40" s="82">
        <f t="shared" si="0"/>
        <v>36.095000000000006</v>
      </c>
      <c r="I40" s="82">
        <f t="shared" si="1"/>
        <v>37.56</v>
      </c>
      <c r="J40" s="49">
        <v>4075</v>
      </c>
      <c r="K40" s="305">
        <v>0.02</v>
      </c>
      <c r="L40" s="48">
        <v>0</v>
      </c>
      <c r="M40" s="48">
        <v>0</v>
      </c>
      <c r="N40" s="49">
        <f t="shared" si="2"/>
        <v>3594.15</v>
      </c>
      <c r="O40" s="52">
        <f t="shared" si="3"/>
        <v>3993.5</v>
      </c>
      <c r="P40" s="79">
        <f t="shared" si="4"/>
        <v>99.574733342568209</v>
      </c>
      <c r="Q40" s="53">
        <f t="shared" si="5"/>
        <v>0.1</v>
      </c>
      <c r="R40" s="54">
        <f t="shared" si="6"/>
        <v>399.35</v>
      </c>
      <c r="S40" s="53">
        <v>0.8</v>
      </c>
      <c r="T40" s="54">
        <f t="shared" si="7"/>
        <v>3194.8</v>
      </c>
      <c r="U40" s="53">
        <f t="shared" si="8"/>
        <v>9.9999999999999978E-2</v>
      </c>
      <c r="V40" s="54">
        <f t="shared" si="9"/>
        <v>399.34999999999991</v>
      </c>
      <c r="W40" s="55">
        <f ca="1">V40*VLOOKUP(TODAY(),'UF HOY'!$A$2:$B$36,2,0)</f>
        <v>15867748.938999997</v>
      </c>
      <c r="X40" s="56">
        <f>Datos!$K$5</f>
        <v>36</v>
      </c>
      <c r="Y40" s="55">
        <f ca="1">IF((W40-Datos!$U$5-1000000)/X40&gt;0,(W40-Datos!$U$5-1000000)/X40,0)</f>
        <v>410215.24830555549</v>
      </c>
      <c r="Z40" s="56">
        <f>Datos!$K$5</f>
        <v>36</v>
      </c>
      <c r="AA40" s="55">
        <f ca="1">IF((W40-Datos!$U$5-1000000-O40*3%*VLOOKUP(TODAY(),'UF HOY'!$A$2:$B$36,2,0))/Z40&gt;0,(W40-Datos!$U$5-1000000-O40*3%*VLOOKUP(TODAY(),'UF HOY'!$A$2:$B$36,2,0))/Z40,0)</f>
        <v>277984.00714722212</v>
      </c>
      <c r="AB40" s="130" cm="1">
        <f t="array" ref="AB40">_xlfn.IFS(AND(L40=0,M40=0),VLOOKUP(D40,Datos!$F$31:$I$33,2,0),AND(L40=0,M40&gt;0),VLOOKUP(D40,Datos!$F$32:$I$33,2,0),AND(L40&gt;0,M40=0),VLOOKUP(D40,Datos!$F$32:$I$33,3,0),AND(L40&gt;0,M40&gt;0),VLOOKUP(D40,Datos!$F$31:$I$33,4,0))</f>
        <v>550000</v>
      </c>
      <c r="AC40" s="55">
        <f ca="1">(S40*PMT(Datos!$G$15,Datos!$G$14,-O40,,)*VLOOKUP(TODAY(),'UF HOY'!$A$2:$B$36,2,0)/12)+VLOOKUP(TODAY(),'UF HOY'!$A$2:$B$36,2,0)</f>
        <v>651489.6027802797</v>
      </c>
      <c r="AD40" s="55">
        <f t="shared" ca="1" si="10"/>
        <v>-101489.6027802797</v>
      </c>
      <c r="AE40" s="93">
        <f t="shared" ca="1" si="11"/>
        <v>2605958.4111211188</v>
      </c>
    </row>
    <row r="41" spans="1:31" s="3" customFormat="1" x14ac:dyDescent="0.35">
      <c r="A41" s="94" t="s">
        <v>346</v>
      </c>
      <c r="B41" s="80">
        <v>1306</v>
      </c>
      <c r="C41" s="48" t="s">
        <v>36</v>
      </c>
      <c r="D41" s="48" t="s">
        <v>37</v>
      </c>
      <c r="E41" s="48"/>
      <c r="F41" s="48">
        <v>34.19</v>
      </c>
      <c r="G41" s="48">
        <v>2.8</v>
      </c>
      <c r="H41" s="82">
        <f t="shared" si="0"/>
        <v>35.589999999999996</v>
      </c>
      <c r="I41" s="82">
        <f t="shared" si="1"/>
        <v>36.989999999999995</v>
      </c>
      <c r="J41" s="49">
        <v>4075</v>
      </c>
      <c r="K41" s="304">
        <v>0</v>
      </c>
      <c r="L41" s="48">
        <v>0</v>
      </c>
      <c r="M41" s="48">
        <v>0</v>
      </c>
      <c r="N41" s="49">
        <f t="shared" si="2"/>
        <v>3667.5</v>
      </c>
      <c r="O41" s="52">
        <f t="shared" si="3"/>
        <v>4075</v>
      </c>
      <c r="P41" s="79">
        <f t="shared" si="4"/>
        <v>103.04860915987638</v>
      </c>
      <c r="Q41" s="53">
        <f t="shared" si="5"/>
        <v>0.1</v>
      </c>
      <c r="R41" s="54">
        <f t="shared" si="6"/>
        <v>407.5</v>
      </c>
      <c r="S41" s="53">
        <v>0.8</v>
      </c>
      <c r="T41" s="54">
        <f t="shared" si="7"/>
        <v>3260</v>
      </c>
      <c r="U41" s="53">
        <f t="shared" si="8"/>
        <v>9.9999999999999978E-2</v>
      </c>
      <c r="V41" s="54">
        <f t="shared" si="9"/>
        <v>407.49999999999989</v>
      </c>
      <c r="W41" s="55">
        <f ca="1">V41*VLOOKUP(TODAY(),'UF HOY'!$A$2:$B$36,2,0)</f>
        <v>16191580.549999997</v>
      </c>
      <c r="X41" s="56">
        <f>Datos!$K$5</f>
        <v>36</v>
      </c>
      <c r="Y41" s="55">
        <f ca="1">IF((W41-Datos!$U$5-1000000)/X41&gt;0,(W41-Datos!$U$5-1000000)/X41,0)</f>
        <v>419210.57083333324</v>
      </c>
      <c r="Z41" s="56">
        <f>Datos!$K$5</f>
        <v>36</v>
      </c>
      <c r="AA41" s="55">
        <f ca="1">IF((W41-Datos!$U$5-1000000-O41*3%*VLOOKUP(TODAY(),'UF HOY'!$A$2:$B$36,2,0))/Z41&gt;0,(W41-Datos!$U$5-1000000-O41*3%*VLOOKUP(TODAY(),'UF HOY'!$A$2:$B$36,2,0))/Z41,0)</f>
        <v>284280.7329166666</v>
      </c>
      <c r="AB41" s="130" cm="1">
        <f t="array" ref="AB41">_xlfn.IFS(AND(L41=0,M41=0),VLOOKUP(D41,Datos!$F$31:$I$33,2,0),AND(L41=0,M41&gt;0),VLOOKUP(D41,Datos!$F$32:$I$33,2,0),AND(L41&gt;0,M41=0),VLOOKUP(D41,Datos!$F$32:$I$33,3,0),AND(L41&gt;0,M41&gt;0),VLOOKUP(D41,Datos!$F$31:$I$33,4,0))</f>
        <v>550000</v>
      </c>
      <c r="AC41" s="55">
        <f ca="1">(S41*PMT(Datos!$G$15,Datos!$G$14,-O41,,)*VLOOKUP(TODAY(),'UF HOY'!$A$2:$B$36,2,0)/12)+VLOOKUP(TODAY(),'UF HOY'!$A$2:$B$36,2,0)</f>
        <v>663974.41222477518</v>
      </c>
      <c r="AD41" s="55">
        <f t="shared" ca="1" si="10"/>
        <v>-113974.41222477518</v>
      </c>
      <c r="AE41" s="93">
        <f t="shared" ca="1" si="11"/>
        <v>2655897.6488991007</v>
      </c>
    </row>
    <row r="42" spans="1:31" s="3" customFormat="1" x14ac:dyDescent="0.35">
      <c r="A42" s="94" t="s">
        <v>346</v>
      </c>
      <c r="B42" s="80">
        <v>1307</v>
      </c>
      <c r="C42" s="48" t="s">
        <v>36</v>
      </c>
      <c r="D42" s="48" t="s">
        <v>37</v>
      </c>
      <c r="E42" s="48"/>
      <c r="F42" s="48">
        <v>34.17</v>
      </c>
      <c r="G42" s="48">
        <v>2.8</v>
      </c>
      <c r="H42" s="82">
        <f t="shared" si="0"/>
        <v>35.57</v>
      </c>
      <c r="I42" s="82">
        <f t="shared" si="1"/>
        <v>36.97</v>
      </c>
      <c r="J42" s="49">
        <v>4075</v>
      </c>
      <c r="K42" s="304">
        <v>0</v>
      </c>
      <c r="L42" s="48">
        <v>0</v>
      </c>
      <c r="M42" s="48">
        <v>0</v>
      </c>
      <c r="N42" s="49">
        <f t="shared" si="2"/>
        <v>3667.5</v>
      </c>
      <c r="O42" s="52">
        <f t="shared" si="3"/>
        <v>4075</v>
      </c>
      <c r="P42" s="79">
        <f t="shared" si="4"/>
        <v>103.10655046387404</v>
      </c>
      <c r="Q42" s="53">
        <f t="shared" si="5"/>
        <v>0.1</v>
      </c>
      <c r="R42" s="54">
        <f t="shared" si="6"/>
        <v>407.5</v>
      </c>
      <c r="S42" s="53">
        <v>0.8</v>
      </c>
      <c r="T42" s="54">
        <f t="shared" si="7"/>
        <v>3260</v>
      </c>
      <c r="U42" s="53">
        <f t="shared" si="8"/>
        <v>9.9999999999999978E-2</v>
      </c>
      <c r="V42" s="54">
        <f t="shared" si="9"/>
        <v>407.49999999999989</v>
      </c>
      <c r="W42" s="55">
        <f ca="1">V42*VLOOKUP(TODAY(),'UF HOY'!$A$2:$B$36,2,0)</f>
        <v>16191580.549999997</v>
      </c>
      <c r="X42" s="56">
        <f>Datos!$K$5</f>
        <v>36</v>
      </c>
      <c r="Y42" s="55">
        <f ca="1">IF((W42-Datos!$U$5-1000000)/X42&gt;0,(W42-Datos!$U$5-1000000)/X42,0)</f>
        <v>419210.57083333324</v>
      </c>
      <c r="Z42" s="56">
        <f>Datos!$K$5</f>
        <v>36</v>
      </c>
      <c r="AA42" s="55">
        <f ca="1">IF((W42-Datos!$U$5-1000000-O42*3%*VLOOKUP(TODAY(),'UF HOY'!$A$2:$B$36,2,0))/Z42&gt;0,(W42-Datos!$U$5-1000000-O42*3%*VLOOKUP(TODAY(),'UF HOY'!$A$2:$B$36,2,0))/Z42,0)</f>
        <v>284280.7329166666</v>
      </c>
      <c r="AB42" s="130" cm="1">
        <f t="array" ref="AB42">_xlfn.IFS(AND(L42=0,M42=0),VLOOKUP(D42,Datos!$F$31:$I$33,2,0),AND(L42=0,M42&gt;0),VLOOKUP(D42,Datos!$F$32:$I$33,2,0),AND(L42&gt;0,M42=0),VLOOKUP(D42,Datos!$F$32:$I$33,3,0),AND(L42&gt;0,M42&gt;0),VLOOKUP(D42,Datos!$F$31:$I$33,4,0))</f>
        <v>550000</v>
      </c>
      <c r="AC42" s="55">
        <f ca="1">(S42*PMT(Datos!$G$15,Datos!$G$14,-O42,,)*VLOOKUP(TODAY(),'UF HOY'!$A$2:$B$36,2,0)/12)+VLOOKUP(TODAY(),'UF HOY'!$A$2:$B$36,2,0)</f>
        <v>663974.41222477518</v>
      </c>
      <c r="AD42" s="55">
        <f t="shared" ca="1" si="10"/>
        <v>-113974.41222477518</v>
      </c>
      <c r="AE42" s="93">
        <f t="shared" ca="1" si="11"/>
        <v>2655897.6488991007</v>
      </c>
    </row>
    <row r="43" spans="1:31" s="3" customFormat="1" x14ac:dyDescent="0.35">
      <c r="A43" s="94" t="s">
        <v>346</v>
      </c>
      <c r="B43" s="80">
        <v>603</v>
      </c>
      <c r="C43" s="48" t="s">
        <v>38</v>
      </c>
      <c r="D43" s="48" t="s">
        <v>37</v>
      </c>
      <c r="E43" s="48"/>
      <c r="F43" s="48">
        <v>34.79</v>
      </c>
      <c r="G43" s="48">
        <v>2.83</v>
      </c>
      <c r="H43" s="82">
        <f t="shared" si="0"/>
        <v>36.204999999999998</v>
      </c>
      <c r="I43" s="82">
        <f t="shared" si="1"/>
        <v>37.619999999999997</v>
      </c>
      <c r="J43" s="49">
        <v>4080</v>
      </c>
      <c r="K43" s="304">
        <v>0</v>
      </c>
      <c r="L43" s="48">
        <v>0</v>
      </c>
      <c r="M43" s="48">
        <v>0</v>
      </c>
      <c r="N43" s="49">
        <f t="shared" si="2"/>
        <v>3672</v>
      </c>
      <c r="O43" s="52">
        <f t="shared" si="3"/>
        <v>4080</v>
      </c>
      <c r="P43" s="79">
        <f t="shared" si="4"/>
        <v>101.42245546195278</v>
      </c>
      <c r="Q43" s="53">
        <f t="shared" si="5"/>
        <v>0.1</v>
      </c>
      <c r="R43" s="54">
        <f t="shared" si="6"/>
        <v>408</v>
      </c>
      <c r="S43" s="53">
        <v>0.8</v>
      </c>
      <c r="T43" s="54">
        <f t="shared" si="7"/>
        <v>3264</v>
      </c>
      <c r="U43" s="53">
        <f t="shared" si="8"/>
        <v>9.9999999999999978E-2</v>
      </c>
      <c r="V43" s="54">
        <f t="shared" si="9"/>
        <v>407.99999999999989</v>
      </c>
      <c r="W43" s="55">
        <f ca="1">V43*VLOOKUP(TODAY(),'UF HOY'!$A$2:$B$36,2,0)</f>
        <v>16211447.519999996</v>
      </c>
      <c r="X43" s="56">
        <f>Datos!$K$5</f>
        <v>36</v>
      </c>
      <c r="Y43" s="55">
        <f ca="1">IF((W43-Datos!$U$5-1000000)/X43&gt;0,(W43-Datos!$U$5-1000000)/X43,0)</f>
        <v>419762.43111111101</v>
      </c>
      <c r="Z43" s="56">
        <f>Datos!$K$5</f>
        <v>36</v>
      </c>
      <c r="AA43" s="55">
        <f ca="1">IF((W43-Datos!$U$5-1000000-O43*3%*VLOOKUP(TODAY(),'UF HOY'!$A$2:$B$36,2,0))/Z43&gt;0,(W43-Datos!$U$5-1000000-O43*3%*VLOOKUP(TODAY(),'UF HOY'!$A$2:$B$36,2,0))/Z43,0)</f>
        <v>284667.03511111095</v>
      </c>
      <c r="AB43" s="130" cm="1">
        <f t="array" ref="AB43">_xlfn.IFS(AND(L43=0,M43=0),VLOOKUP(D43,Datos!$F$31:$I$33,2,0),AND(L43=0,M43&gt;0),VLOOKUP(D43,Datos!$F$32:$I$33,2,0),AND(L43&gt;0,M43=0),VLOOKUP(D43,Datos!$F$32:$I$33,3,0),AND(L43&gt;0,M43&gt;0),VLOOKUP(D43,Datos!$F$31:$I$33,4,0))</f>
        <v>550000</v>
      </c>
      <c r="AC43" s="55">
        <f ca="1">(S43*PMT(Datos!$G$15,Datos!$G$14,-O43,,)*VLOOKUP(TODAY(),'UF HOY'!$A$2:$B$36,2,0)/12)+VLOOKUP(TODAY(),'UF HOY'!$A$2:$B$36,2,0)</f>
        <v>664740.35145449894</v>
      </c>
      <c r="AD43" s="55">
        <f t="shared" ca="1" si="10"/>
        <v>-114740.35145449894</v>
      </c>
      <c r="AE43" s="93">
        <f t="shared" ca="1" si="11"/>
        <v>2658961.4058179958</v>
      </c>
    </row>
    <row r="44" spans="1:31" s="3" customFormat="1" hidden="1" x14ac:dyDescent="0.35">
      <c r="A44" s="94" t="s">
        <v>342</v>
      </c>
      <c r="B44" s="80">
        <v>913</v>
      </c>
      <c r="C44" s="48" t="s">
        <v>41</v>
      </c>
      <c r="D44" s="48" t="s">
        <v>37</v>
      </c>
      <c r="E44" s="48"/>
      <c r="F44" s="48">
        <v>34.69</v>
      </c>
      <c r="G44" s="48">
        <v>2.93</v>
      </c>
      <c r="H44" s="82">
        <f t="shared" si="0"/>
        <v>36.155000000000001</v>
      </c>
      <c r="I44" s="82">
        <f t="shared" si="1"/>
        <v>37.619999999999997</v>
      </c>
      <c r="J44" s="49">
        <v>4080</v>
      </c>
      <c r="K44" s="305">
        <v>0.02</v>
      </c>
      <c r="L44" s="48">
        <v>0</v>
      </c>
      <c r="M44" s="48">
        <v>0</v>
      </c>
      <c r="N44" s="49">
        <f t="shared" si="2"/>
        <v>3598.56</v>
      </c>
      <c r="O44" s="52">
        <f t="shared" si="3"/>
        <v>3998.4</v>
      </c>
      <c r="P44" s="79">
        <f t="shared" si="4"/>
        <v>99.531461761858665</v>
      </c>
      <c r="Q44" s="53">
        <f t="shared" si="5"/>
        <v>0.1</v>
      </c>
      <c r="R44" s="54">
        <f t="shared" si="6"/>
        <v>399.84000000000003</v>
      </c>
      <c r="S44" s="53">
        <v>0.8</v>
      </c>
      <c r="T44" s="54">
        <f t="shared" si="7"/>
        <v>3198.7200000000003</v>
      </c>
      <c r="U44" s="53">
        <f t="shared" si="8"/>
        <v>9.9999999999999978E-2</v>
      </c>
      <c r="V44" s="54">
        <f t="shared" si="9"/>
        <v>399.83999999999992</v>
      </c>
      <c r="W44" s="55">
        <f ca="1">V44*VLOOKUP(TODAY(),'UF HOY'!$A$2:$B$36,2,0)</f>
        <v>15887218.569599997</v>
      </c>
      <c r="X44" s="56">
        <f>Datos!$K$5</f>
        <v>36</v>
      </c>
      <c r="Y44" s="55">
        <f ca="1">IF((W44-Datos!$U$5-1000000)/X44&gt;0,(W44-Datos!$U$5-1000000)/X44,0)</f>
        <v>410756.07137777773</v>
      </c>
      <c r="Z44" s="56">
        <f>Datos!$K$5</f>
        <v>36</v>
      </c>
      <c r="AA44" s="55">
        <f ca="1">IF((W44-Datos!$U$5-1000000-O44*3%*VLOOKUP(TODAY(),'UF HOY'!$A$2:$B$36,2,0))/Z44&gt;0,(W44-Datos!$U$5-1000000-O44*3%*VLOOKUP(TODAY(),'UF HOY'!$A$2:$B$36,2,0))/Z44,0)</f>
        <v>278362.58329777769</v>
      </c>
      <c r="AB44" s="130" cm="1">
        <f t="array" ref="AB44">_xlfn.IFS(AND(L44=0,M44=0),VLOOKUP(D44,Datos!$F$31:$I$33,2,0),AND(L44=0,M44&gt;0),VLOOKUP(D44,Datos!$F$32:$I$33,2,0),AND(L44&gt;0,M44=0),VLOOKUP(D44,Datos!$F$32:$I$33,3,0),AND(L44&gt;0,M44&gt;0),VLOOKUP(D44,Datos!$F$31:$I$33,4,0))</f>
        <v>550000</v>
      </c>
      <c r="AC44" s="55">
        <f ca="1">(S44*PMT(Datos!$G$15,Datos!$G$14,-O44,,)*VLOOKUP(TODAY(),'UF HOY'!$A$2:$B$36,2,0)/12)+VLOOKUP(TODAY(),'UF HOY'!$A$2:$B$36,2,0)</f>
        <v>652240.22322540893</v>
      </c>
      <c r="AD44" s="55">
        <f t="shared" ca="1" si="10"/>
        <v>-102240.22322540893</v>
      </c>
      <c r="AE44" s="93">
        <f t="shared" ca="1" si="11"/>
        <v>2608960.8929016357</v>
      </c>
    </row>
    <row r="45" spans="1:31" s="3" customFormat="1" x14ac:dyDescent="0.35">
      <c r="A45" s="94" t="s">
        <v>346</v>
      </c>
      <c r="B45" s="80">
        <v>402</v>
      </c>
      <c r="C45" s="48" t="s">
        <v>38</v>
      </c>
      <c r="D45" s="48" t="s">
        <v>37</v>
      </c>
      <c r="E45" s="48"/>
      <c r="F45" s="48">
        <v>35.18</v>
      </c>
      <c r="G45" s="48">
        <v>2.77</v>
      </c>
      <c r="H45" s="82">
        <f t="shared" si="0"/>
        <v>36.564999999999998</v>
      </c>
      <c r="I45" s="82">
        <f t="shared" si="1"/>
        <v>37.950000000000003</v>
      </c>
      <c r="J45" s="49">
        <v>4085</v>
      </c>
      <c r="K45" s="304">
        <v>0</v>
      </c>
      <c r="L45" s="48">
        <v>0</v>
      </c>
      <c r="M45" s="48">
        <v>0</v>
      </c>
      <c r="N45" s="49">
        <f t="shared" si="2"/>
        <v>3676.5</v>
      </c>
      <c r="O45" s="52">
        <f t="shared" si="3"/>
        <v>4085</v>
      </c>
      <c r="P45" s="79">
        <f t="shared" si="4"/>
        <v>100.54697114727199</v>
      </c>
      <c r="Q45" s="53">
        <f t="shared" si="5"/>
        <v>0.1</v>
      </c>
      <c r="R45" s="54">
        <f t="shared" si="6"/>
        <v>408.5</v>
      </c>
      <c r="S45" s="53">
        <v>0.8</v>
      </c>
      <c r="T45" s="54">
        <f t="shared" si="7"/>
        <v>3268</v>
      </c>
      <c r="U45" s="53">
        <f t="shared" si="8"/>
        <v>9.9999999999999978E-2</v>
      </c>
      <c r="V45" s="54">
        <f t="shared" si="9"/>
        <v>408.49999999999989</v>
      </c>
      <c r="W45" s="55">
        <f ca="1">V45*VLOOKUP(TODAY(),'UF HOY'!$A$2:$B$36,2,0)</f>
        <v>16231314.489999996</v>
      </c>
      <c r="X45" s="56">
        <f>Datos!$K$5</f>
        <v>36</v>
      </c>
      <c r="Y45" s="55">
        <f ca="1">IF((W45-Datos!$U$5-1000000)/X45&gt;0,(W45-Datos!$U$5-1000000)/X45,0)</f>
        <v>420314.29138888879</v>
      </c>
      <c r="Z45" s="56">
        <f>Datos!$K$5</f>
        <v>36</v>
      </c>
      <c r="AA45" s="55">
        <f ca="1">IF((W45-Datos!$U$5-1000000-O45*3%*VLOOKUP(TODAY(),'UF HOY'!$A$2:$B$36,2,0))/Z45&gt;0,(W45-Datos!$U$5-1000000-O45*3%*VLOOKUP(TODAY(),'UF HOY'!$A$2:$B$36,2,0))/Z45,0)</f>
        <v>285053.33730555541</v>
      </c>
      <c r="AB45" s="130" cm="1">
        <f t="array" ref="AB45">_xlfn.IFS(AND(L45=0,M45=0),VLOOKUP(D45,Datos!$F$31:$I$33,2,0),AND(L45=0,M45&gt;0),VLOOKUP(D45,Datos!$F$32:$I$33,2,0),AND(L45&gt;0,M45=0),VLOOKUP(D45,Datos!$F$32:$I$33,3,0),AND(L45&gt;0,M45&gt;0),VLOOKUP(D45,Datos!$F$31:$I$33,4,0))</f>
        <v>550000</v>
      </c>
      <c r="AC45" s="55">
        <f ca="1">(S45*PMT(Datos!$G$15,Datos!$G$14,-O45,,)*VLOOKUP(TODAY(),'UF HOY'!$A$2:$B$36,2,0)/12)+VLOOKUP(TODAY(),'UF HOY'!$A$2:$B$36,2,0)</f>
        <v>665506.29068422271</v>
      </c>
      <c r="AD45" s="55">
        <f t="shared" ca="1" si="10"/>
        <v>-115506.29068422271</v>
      </c>
      <c r="AE45" s="93">
        <f t="shared" ca="1" si="11"/>
        <v>2662025.1627368908</v>
      </c>
    </row>
    <row r="46" spans="1:31" s="3" customFormat="1" x14ac:dyDescent="0.35">
      <c r="A46" s="94" t="s">
        <v>346</v>
      </c>
      <c r="B46" s="80">
        <v>1406</v>
      </c>
      <c r="C46" s="48" t="s">
        <v>36</v>
      </c>
      <c r="D46" s="48" t="s">
        <v>37</v>
      </c>
      <c r="E46" s="48"/>
      <c r="F46" s="48">
        <v>34.19</v>
      </c>
      <c r="G46" s="48">
        <v>2.8</v>
      </c>
      <c r="H46" s="82">
        <f t="shared" si="0"/>
        <v>35.589999999999996</v>
      </c>
      <c r="I46" s="82">
        <f t="shared" si="1"/>
        <v>36.989999999999995</v>
      </c>
      <c r="J46" s="49">
        <v>4085</v>
      </c>
      <c r="K46" s="304">
        <v>0</v>
      </c>
      <c r="L46" s="48">
        <v>0</v>
      </c>
      <c r="M46" s="48">
        <v>0</v>
      </c>
      <c r="N46" s="49">
        <f t="shared" si="2"/>
        <v>3676.5</v>
      </c>
      <c r="O46" s="52">
        <f t="shared" si="3"/>
        <v>4085</v>
      </c>
      <c r="P46" s="79">
        <f t="shared" si="4"/>
        <v>103.3014891823546</v>
      </c>
      <c r="Q46" s="53">
        <f t="shared" si="5"/>
        <v>0.1</v>
      </c>
      <c r="R46" s="54">
        <f t="shared" si="6"/>
        <v>408.5</v>
      </c>
      <c r="S46" s="53">
        <v>0.8</v>
      </c>
      <c r="T46" s="54">
        <f t="shared" si="7"/>
        <v>3268</v>
      </c>
      <c r="U46" s="53">
        <f t="shared" si="8"/>
        <v>9.9999999999999978E-2</v>
      </c>
      <c r="V46" s="54">
        <f t="shared" si="9"/>
        <v>408.49999999999989</v>
      </c>
      <c r="W46" s="55">
        <f ca="1">V46*VLOOKUP(TODAY(),'UF HOY'!$A$2:$B$36,2,0)</f>
        <v>16231314.489999996</v>
      </c>
      <c r="X46" s="56">
        <f>Datos!$K$5</f>
        <v>36</v>
      </c>
      <c r="Y46" s="55">
        <f ca="1">IF((W46-Datos!$U$5-1000000)/X46&gt;0,(W46-Datos!$U$5-1000000)/X46,0)</f>
        <v>420314.29138888879</v>
      </c>
      <c r="Z46" s="56">
        <f>Datos!$K$5</f>
        <v>36</v>
      </c>
      <c r="AA46" s="55">
        <f ca="1">IF((W46-Datos!$U$5-1000000-O46*3%*VLOOKUP(TODAY(),'UF HOY'!$A$2:$B$36,2,0))/Z46&gt;0,(W46-Datos!$U$5-1000000-O46*3%*VLOOKUP(TODAY(),'UF HOY'!$A$2:$B$36,2,0))/Z46,0)</f>
        <v>285053.33730555541</v>
      </c>
      <c r="AB46" s="130" cm="1">
        <f t="array" ref="AB46">_xlfn.IFS(AND(L46=0,M46=0),VLOOKUP(D46,Datos!$F$31:$I$33,2,0),AND(L46=0,M46&gt;0),VLOOKUP(D46,Datos!$F$32:$I$33,2,0),AND(L46&gt;0,M46=0),VLOOKUP(D46,Datos!$F$32:$I$33,3,0),AND(L46&gt;0,M46&gt;0),VLOOKUP(D46,Datos!$F$31:$I$33,4,0))</f>
        <v>550000</v>
      </c>
      <c r="AC46" s="55">
        <f ca="1">(S46*PMT(Datos!$G$15,Datos!$G$14,-O46,,)*VLOOKUP(TODAY(),'UF HOY'!$A$2:$B$36,2,0)/12)+VLOOKUP(TODAY(),'UF HOY'!$A$2:$B$36,2,0)</f>
        <v>665506.29068422271</v>
      </c>
      <c r="AD46" s="55">
        <f t="shared" ca="1" si="10"/>
        <v>-115506.29068422271</v>
      </c>
      <c r="AE46" s="93">
        <f t="shared" ca="1" si="11"/>
        <v>2662025.1627368908</v>
      </c>
    </row>
    <row r="47" spans="1:31" s="3" customFormat="1" x14ac:dyDescent="0.35">
      <c r="A47" s="94" t="s">
        <v>346</v>
      </c>
      <c r="B47" s="80">
        <v>1407</v>
      </c>
      <c r="C47" s="48" t="s">
        <v>36</v>
      </c>
      <c r="D47" s="48" t="s">
        <v>37</v>
      </c>
      <c r="E47" s="48"/>
      <c r="F47" s="48">
        <v>34.17</v>
      </c>
      <c r="G47" s="48">
        <v>2.8</v>
      </c>
      <c r="H47" s="82">
        <f t="shared" si="0"/>
        <v>35.57</v>
      </c>
      <c r="I47" s="82">
        <f t="shared" si="1"/>
        <v>36.97</v>
      </c>
      <c r="J47" s="49">
        <v>4085</v>
      </c>
      <c r="K47" s="304">
        <v>0</v>
      </c>
      <c r="L47" s="48">
        <v>0</v>
      </c>
      <c r="M47" s="48">
        <v>0</v>
      </c>
      <c r="N47" s="49">
        <f t="shared" si="2"/>
        <v>3676.5</v>
      </c>
      <c r="O47" s="52">
        <f t="shared" si="3"/>
        <v>4085</v>
      </c>
      <c r="P47" s="79">
        <f t="shared" si="4"/>
        <v>103.35957267360135</v>
      </c>
      <c r="Q47" s="53">
        <f t="shared" si="5"/>
        <v>0.1</v>
      </c>
      <c r="R47" s="54">
        <f t="shared" si="6"/>
        <v>408.5</v>
      </c>
      <c r="S47" s="53">
        <v>0.8</v>
      </c>
      <c r="T47" s="54">
        <f t="shared" si="7"/>
        <v>3268</v>
      </c>
      <c r="U47" s="53">
        <f t="shared" si="8"/>
        <v>9.9999999999999978E-2</v>
      </c>
      <c r="V47" s="54">
        <f t="shared" si="9"/>
        <v>408.49999999999989</v>
      </c>
      <c r="W47" s="55">
        <f ca="1">V47*VLOOKUP(TODAY(),'UF HOY'!$A$2:$B$36,2,0)</f>
        <v>16231314.489999996</v>
      </c>
      <c r="X47" s="56">
        <f>Datos!$K$5</f>
        <v>36</v>
      </c>
      <c r="Y47" s="55">
        <f ca="1">IF((W47-Datos!$U$5-1000000)/X47&gt;0,(W47-Datos!$U$5-1000000)/X47,0)</f>
        <v>420314.29138888879</v>
      </c>
      <c r="Z47" s="56">
        <f>Datos!$K$5</f>
        <v>36</v>
      </c>
      <c r="AA47" s="55">
        <f ca="1">IF((W47-Datos!$U$5-1000000-O47*3%*VLOOKUP(TODAY(),'UF HOY'!$A$2:$B$36,2,0))/Z47&gt;0,(W47-Datos!$U$5-1000000-O47*3%*VLOOKUP(TODAY(),'UF HOY'!$A$2:$B$36,2,0))/Z47,0)</f>
        <v>285053.33730555541</v>
      </c>
      <c r="AB47" s="130" cm="1">
        <f t="array" ref="AB47">_xlfn.IFS(AND(L47=0,M47=0),VLOOKUP(D47,Datos!$F$31:$I$33,2,0),AND(L47=0,M47&gt;0),VLOOKUP(D47,Datos!$F$32:$I$33,2,0),AND(L47&gt;0,M47=0),VLOOKUP(D47,Datos!$F$32:$I$33,3,0),AND(L47&gt;0,M47&gt;0),VLOOKUP(D47,Datos!$F$31:$I$33,4,0))</f>
        <v>550000</v>
      </c>
      <c r="AC47" s="55">
        <f ca="1">(S47*PMT(Datos!$G$15,Datos!$G$14,-O47,,)*VLOOKUP(TODAY(),'UF HOY'!$A$2:$B$36,2,0)/12)+VLOOKUP(TODAY(),'UF HOY'!$A$2:$B$36,2,0)</f>
        <v>665506.29068422271</v>
      </c>
      <c r="AD47" s="55">
        <f t="shared" ca="1" si="10"/>
        <v>-115506.29068422271</v>
      </c>
      <c r="AE47" s="93">
        <f t="shared" ca="1" si="11"/>
        <v>2662025.1627368908</v>
      </c>
    </row>
    <row r="48" spans="1:31" s="3" customFormat="1" x14ac:dyDescent="0.35">
      <c r="A48" s="94" t="s">
        <v>346</v>
      </c>
      <c r="B48" s="80">
        <v>602</v>
      </c>
      <c r="C48" s="48" t="s">
        <v>38</v>
      </c>
      <c r="D48" s="48" t="s">
        <v>37</v>
      </c>
      <c r="E48" s="48"/>
      <c r="F48" s="48">
        <v>34.89</v>
      </c>
      <c r="G48" s="48">
        <v>2.83</v>
      </c>
      <c r="H48" s="82">
        <f t="shared" si="0"/>
        <v>36.305</v>
      </c>
      <c r="I48" s="82">
        <f t="shared" si="1"/>
        <v>37.72</v>
      </c>
      <c r="J48" s="49">
        <v>4090</v>
      </c>
      <c r="K48" s="304">
        <v>0</v>
      </c>
      <c r="L48" s="48">
        <v>0</v>
      </c>
      <c r="M48" s="48">
        <v>0</v>
      </c>
      <c r="N48" s="49">
        <f t="shared" si="2"/>
        <v>3681</v>
      </c>
      <c r="O48" s="52">
        <f t="shared" si="3"/>
        <v>4090</v>
      </c>
      <c r="P48" s="79">
        <f t="shared" si="4"/>
        <v>101.39099297617408</v>
      </c>
      <c r="Q48" s="53">
        <f t="shared" si="5"/>
        <v>0.1</v>
      </c>
      <c r="R48" s="54">
        <f t="shared" si="6"/>
        <v>409</v>
      </c>
      <c r="S48" s="53">
        <v>0.8</v>
      </c>
      <c r="T48" s="54">
        <f t="shared" si="7"/>
        <v>3272</v>
      </c>
      <c r="U48" s="53">
        <f t="shared" si="8"/>
        <v>9.9999999999999978E-2</v>
      </c>
      <c r="V48" s="54">
        <f t="shared" si="9"/>
        <v>408.99999999999989</v>
      </c>
      <c r="W48" s="55">
        <f ca="1">V48*VLOOKUP(TODAY(),'UF HOY'!$A$2:$B$36,2,0)</f>
        <v>16251181.459999997</v>
      </c>
      <c r="X48" s="56">
        <f>Datos!$K$5</f>
        <v>36</v>
      </c>
      <c r="Y48" s="55">
        <f ca="1">IF((W48-Datos!$U$5-1000000)/X48&gt;0,(W48-Datos!$U$5-1000000)/X48,0)</f>
        <v>420866.15166666661</v>
      </c>
      <c r="Z48" s="56">
        <f>Datos!$K$5</f>
        <v>36</v>
      </c>
      <c r="AA48" s="55">
        <f ca="1">IF((W48-Datos!$U$5-1000000-O48*3%*VLOOKUP(TODAY(),'UF HOY'!$A$2:$B$36,2,0))/Z48&gt;0,(W48-Datos!$U$5-1000000-O48*3%*VLOOKUP(TODAY(),'UF HOY'!$A$2:$B$36,2,0))/Z48,0)</f>
        <v>285439.63949999987</v>
      </c>
      <c r="AB48" s="130" cm="1">
        <f t="array" ref="AB48">_xlfn.IFS(AND(L48=0,M48=0),VLOOKUP(D48,Datos!$F$31:$I$33,2,0),AND(L48=0,M48&gt;0),VLOOKUP(D48,Datos!$F$32:$I$33,2,0),AND(L48&gt;0,M48=0),VLOOKUP(D48,Datos!$F$32:$I$33,3,0),AND(L48&gt;0,M48&gt;0),VLOOKUP(D48,Datos!$F$31:$I$33,4,0))</f>
        <v>550000</v>
      </c>
      <c r="AC48" s="55">
        <f ca="1">(S48*PMT(Datos!$G$15,Datos!$G$14,-O48,,)*VLOOKUP(TODAY(),'UF HOY'!$A$2:$B$36,2,0)/12)+VLOOKUP(TODAY(),'UF HOY'!$A$2:$B$36,2,0)</f>
        <v>666272.22991394624</v>
      </c>
      <c r="AD48" s="55">
        <f t="shared" ca="1" si="10"/>
        <v>-116272.22991394624</v>
      </c>
      <c r="AE48" s="93">
        <f t="shared" ca="1" si="11"/>
        <v>2665088.919655785</v>
      </c>
    </row>
    <row r="49" spans="1:31" s="3" customFormat="1" x14ac:dyDescent="0.35">
      <c r="A49" s="94" t="s">
        <v>346</v>
      </c>
      <c r="B49" s="80">
        <v>704</v>
      </c>
      <c r="C49" s="48" t="s">
        <v>38</v>
      </c>
      <c r="D49" s="48" t="s">
        <v>37</v>
      </c>
      <c r="E49" s="48"/>
      <c r="F49" s="48">
        <v>34.74</v>
      </c>
      <c r="G49" s="48">
        <v>2.86</v>
      </c>
      <c r="H49" s="82">
        <f t="shared" si="0"/>
        <v>36.17</v>
      </c>
      <c r="I49" s="82">
        <f t="shared" si="1"/>
        <v>37.6</v>
      </c>
      <c r="J49" s="49">
        <v>4090</v>
      </c>
      <c r="K49" s="304">
        <v>0</v>
      </c>
      <c r="L49" s="48">
        <v>0</v>
      </c>
      <c r="M49" s="48">
        <v>0</v>
      </c>
      <c r="N49" s="49">
        <f t="shared" si="2"/>
        <v>3681</v>
      </c>
      <c r="O49" s="52">
        <f t="shared" si="3"/>
        <v>4090</v>
      </c>
      <c r="P49" s="79">
        <f t="shared" si="4"/>
        <v>101.7694221730716</v>
      </c>
      <c r="Q49" s="53">
        <f t="shared" si="5"/>
        <v>0.1</v>
      </c>
      <c r="R49" s="54">
        <f t="shared" si="6"/>
        <v>409</v>
      </c>
      <c r="S49" s="53">
        <v>0.8</v>
      </c>
      <c r="T49" s="54">
        <f t="shared" si="7"/>
        <v>3272</v>
      </c>
      <c r="U49" s="53">
        <f t="shared" si="8"/>
        <v>9.9999999999999978E-2</v>
      </c>
      <c r="V49" s="54">
        <f t="shared" si="9"/>
        <v>408.99999999999989</v>
      </c>
      <c r="W49" s="55">
        <f ca="1">V49*VLOOKUP(TODAY(),'UF HOY'!$A$2:$B$36,2,0)</f>
        <v>16251181.459999997</v>
      </c>
      <c r="X49" s="56">
        <f>Datos!$K$5</f>
        <v>36</v>
      </c>
      <c r="Y49" s="55">
        <f ca="1">IF((W49-Datos!$U$5-1000000)/X49&gt;0,(W49-Datos!$U$5-1000000)/X49,0)</f>
        <v>420866.15166666661</v>
      </c>
      <c r="Z49" s="56">
        <f>Datos!$K$5</f>
        <v>36</v>
      </c>
      <c r="AA49" s="55">
        <f ca="1">IF((W49-Datos!$U$5-1000000-O49*3%*VLOOKUP(TODAY(),'UF HOY'!$A$2:$B$36,2,0))/Z49&gt;0,(W49-Datos!$U$5-1000000-O49*3%*VLOOKUP(TODAY(),'UF HOY'!$A$2:$B$36,2,0))/Z49,0)</f>
        <v>285439.63949999987</v>
      </c>
      <c r="AB49" s="130" cm="1">
        <f t="array" ref="AB49">_xlfn.IFS(AND(L49=0,M49=0),VLOOKUP(D49,Datos!$F$31:$I$33,2,0),AND(L49=0,M49&gt;0),VLOOKUP(D49,Datos!$F$32:$I$33,2,0),AND(L49&gt;0,M49=0),VLOOKUP(D49,Datos!$F$32:$I$33,3,0),AND(L49&gt;0,M49&gt;0),VLOOKUP(D49,Datos!$F$31:$I$33,4,0))</f>
        <v>550000</v>
      </c>
      <c r="AC49" s="55">
        <f ca="1">(S49*PMT(Datos!$G$15,Datos!$G$14,-O49,,)*VLOOKUP(TODAY(),'UF HOY'!$A$2:$B$36,2,0)/12)+VLOOKUP(TODAY(),'UF HOY'!$A$2:$B$36,2,0)</f>
        <v>666272.22991394624</v>
      </c>
      <c r="AD49" s="55">
        <f t="shared" ca="1" si="10"/>
        <v>-116272.22991394624</v>
      </c>
      <c r="AE49" s="93">
        <f t="shared" ca="1" si="11"/>
        <v>2665088.919655785</v>
      </c>
    </row>
    <row r="50" spans="1:31" s="3" customFormat="1" hidden="1" x14ac:dyDescent="0.35">
      <c r="A50" s="94" t="s">
        <v>342</v>
      </c>
      <c r="B50" s="80">
        <v>1012</v>
      </c>
      <c r="C50" s="48" t="s">
        <v>41</v>
      </c>
      <c r="D50" s="48" t="s">
        <v>37</v>
      </c>
      <c r="E50" s="48"/>
      <c r="F50" s="48">
        <v>34.630000000000003</v>
      </c>
      <c r="G50" s="48">
        <v>2.93</v>
      </c>
      <c r="H50" s="82">
        <f t="shared" si="0"/>
        <v>36.095000000000006</v>
      </c>
      <c r="I50" s="82">
        <f t="shared" si="1"/>
        <v>37.56</v>
      </c>
      <c r="J50" s="49">
        <v>4090</v>
      </c>
      <c r="K50" s="305">
        <v>0.02</v>
      </c>
      <c r="L50" s="48">
        <v>0</v>
      </c>
      <c r="M50" s="48">
        <v>0</v>
      </c>
      <c r="N50" s="49">
        <f t="shared" si="2"/>
        <v>3607.3799999999997</v>
      </c>
      <c r="O50" s="52">
        <f t="shared" si="3"/>
        <v>4008.2</v>
      </c>
      <c r="P50" s="79">
        <f t="shared" si="4"/>
        <v>99.941266103338393</v>
      </c>
      <c r="Q50" s="53">
        <f t="shared" si="5"/>
        <v>0.1</v>
      </c>
      <c r="R50" s="54">
        <f t="shared" si="6"/>
        <v>400.82</v>
      </c>
      <c r="S50" s="53">
        <v>0.8</v>
      </c>
      <c r="T50" s="54">
        <f t="shared" si="7"/>
        <v>3206.56</v>
      </c>
      <c r="U50" s="53">
        <f t="shared" si="8"/>
        <v>9.9999999999999978E-2</v>
      </c>
      <c r="V50" s="54">
        <f t="shared" si="9"/>
        <v>400.81999999999988</v>
      </c>
      <c r="W50" s="55">
        <f ca="1">V50*VLOOKUP(TODAY(),'UF HOY'!$A$2:$B$36,2,0)</f>
        <v>15926157.830799997</v>
      </c>
      <c r="X50" s="56">
        <f>Datos!$K$5</f>
        <v>36</v>
      </c>
      <c r="Y50" s="55">
        <f ca="1">IF((W50-Datos!$U$5-1000000)/X50&gt;0,(W50-Datos!$U$5-1000000)/X50,0)</f>
        <v>411837.71752222214</v>
      </c>
      <c r="Z50" s="56">
        <f>Datos!$K$5</f>
        <v>36</v>
      </c>
      <c r="AA50" s="55">
        <f ca="1">IF((W50-Datos!$U$5-1000000-O50*3%*VLOOKUP(TODAY(),'UF HOY'!$A$2:$B$36,2,0))/Z50&gt;0,(W50-Datos!$U$5-1000000-O50*3%*VLOOKUP(TODAY(),'UF HOY'!$A$2:$B$36,2,0))/Z50,0)</f>
        <v>279119.73559888877</v>
      </c>
      <c r="AB50" s="130" cm="1">
        <f t="array" ref="AB50">_xlfn.IFS(AND(L50=0,M50=0),VLOOKUP(D50,Datos!$F$31:$I$33,2,0),AND(L50=0,M50&gt;0),VLOOKUP(D50,Datos!$F$32:$I$33,2,0),AND(L50&gt;0,M50=0),VLOOKUP(D50,Datos!$F$32:$I$33,3,0),AND(L50&gt;0,M50&gt;0),VLOOKUP(D50,Datos!$F$31:$I$33,4,0))</f>
        <v>550000</v>
      </c>
      <c r="AC50" s="55">
        <f ca="1">(S50*PMT(Datos!$G$15,Datos!$G$14,-O50,,)*VLOOKUP(TODAY(),'UF HOY'!$A$2:$B$36,2,0)/12)+VLOOKUP(TODAY(),'UF HOY'!$A$2:$B$36,2,0)</f>
        <v>653741.46411566739</v>
      </c>
      <c r="AD50" s="55">
        <f t="shared" ca="1" si="10"/>
        <v>-103741.46411566739</v>
      </c>
      <c r="AE50" s="93">
        <f t="shared" ca="1" si="11"/>
        <v>2614965.8564626696</v>
      </c>
    </row>
    <row r="51" spans="1:31" s="3" customFormat="1" x14ac:dyDescent="0.35">
      <c r="A51" s="94" t="s">
        <v>346</v>
      </c>
      <c r="B51" s="80">
        <v>703</v>
      </c>
      <c r="C51" s="48" t="s">
        <v>38</v>
      </c>
      <c r="D51" s="48" t="s">
        <v>37</v>
      </c>
      <c r="E51" s="48"/>
      <c r="F51" s="48">
        <v>34.79</v>
      </c>
      <c r="G51" s="48">
        <v>2.83</v>
      </c>
      <c r="H51" s="82">
        <f t="shared" si="0"/>
        <v>36.204999999999998</v>
      </c>
      <c r="I51" s="82">
        <f t="shared" si="1"/>
        <v>37.619999999999997</v>
      </c>
      <c r="J51" s="49">
        <v>4095</v>
      </c>
      <c r="K51" s="304">
        <v>0</v>
      </c>
      <c r="L51" s="48">
        <v>0</v>
      </c>
      <c r="M51" s="48">
        <v>0</v>
      </c>
      <c r="N51" s="49">
        <f t="shared" si="2"/>
        <v>3685.5</v>
      </c>
      <c r="O51" s="52">
        <f t="shared" si="3"/>
        <v>4095</v>
      </c>
      <c r="P51" s="79">
        <f t="shared" si="4"/>
        <v>101.79533213644525</v>
      </c>
      <c r="Q51" s="53">
        <f t="shared" si="5"/>
        <v>0.1</v>
      </c>
      <c r="R51" s="54">
        <f t="shared" si="6"/>
        <v>409.5</v>
      </c>
      <c r="S51" s="53">
        <v>0.8</v>
      </c>
      <c r="T51" s="54">
        <f t="shared" si="7"/>
        <v>3276</v>
      </c>
      <c r="U51" s="53">
        <f t="shared" si="8"/>
        <v>9.9999999999999978E-2</v>
      </c>
      <c r="V51" s="54">
        <f t="shared" si="9"/>
        <v>409.49999999999989</v>
      </c>
      <c r="W51" s="55">
        <f ca="1">V51*VLOOKUP(TODAY(),'UF HOY'!$A$2:$B$36,2,0)</f>
        <v>16271048.429999996</v>
      </c>
      <c r="X51" s="56">
        <f>Datos!$K$5</f>
        <v>36</v>
      </c>
      <c r="Y51" s="55">
        <f ca="1">IF((W51-Datos!$U$5-1000000)/X51&gt;0,(W51-Datos!$U$5-1000000)/X51,0)</f>
        <v>421418.01194444433</v>
      </c>
      <c r="Z51" s="56">
        <f>Datos!$K$5</f>
        <v>36</v>
      </c>
      <c r="AA51" s="55">
        <f ca="1">IF((W51-Datos!$U$5-1000000-O51*3%*VLOOKUP(TODAY(),'UF HOY'!$A$2:$B$36,2,0))/Z51&gt;0,(W51-Datos!$U$5-1000000-O51*3%*VLOOKUP(TODAY(),'UF HOY'!$A$2:$B$36,2,0))/Z51,0)</f>
        <v>285825.94169444434</v>
      </c>
      <c r="AB51" s="130" cm="1">
        <f t="array" ref="AB51">_xlfn.IFS(AND(L51=0,M51=0),VLOOKUP(D51,Datos!$F$31:$I$33,2,0),AND(L51=0,M51&gt;0),VLOOKUP(D51,Datos!$F$32:$I$33,2,0),AND(L51&gt;0,M51=0),VLOOKUP(D51,Datos!$F$32:$I$33,3,0),AND(L51&gt;0,M51&gt;0),VLOOKUP(D51,Datos!$F$31:$I$33,4,0))</f>
        <v>550000</v>
      </c>
      <c r="AC51" s="55">
        <f ca="1">(S51*PMT(Datos!$G$15,Datos!$G$14,-O51,,)*VLOOKUP(TODAY(),'UF HOY'!$A$2:$B$36,2,0)/12)+VLOOKUP(TODAY(),'UF HOY'!$A$2:$B$36,2,0)</f>
        <v>667038.16914366977</v>
      </c>
      <c r="AD51" s="55">
        <f t="shared" ca="1" si="10"/>
        <v>-117038.16914366977</v>
      </c>
      <c r="AE51" s="93">
        <f t="shared" ca="1" si="11"/>
        <v>2668152.6765746791</v>
      </c>
    </row>
    <row r="52" spans="1:31" s="3" customFormat="1" hidden="1" x14ac:dyDescent="0.35">
      <c r="A52" s="94" t="s">
        <v>342</v>
      </c>
      <c r="B52" s="80">
        <v>1013</v>
      </c>
      <c r="C52" s="48" t="s">
        <v>41</v>
      </c>
      <c r="D52" s="48" t="s">
        <v>37</v>
      </c>
      <c r="E52" s="48"/>
      <c r="F52" s="48">
        <v>34.69</v>
      </c>
      <c r="G52" s="48">
        <v>2.93</v>
      </c>
      <c r="H52" s="82">
        <f t="shared" si="0"/>
        <v>36.155000000000001</v>
      </c>
      <c r="I52" s="82">
        <f t="shared" si="1"/>
        <v>37.619999999999997</v>
      </c>
      <c r="J52" s="49">
        <v>4095</v>
      </c>
      <c r="K52" s="305">
        <v>0.02</v>
      </c>
      <c r="L52" s="48">
        <v>0</v>
      </c>
      <c r="M52" s="48">
        <v>0</v>
      </c>
      <c r="N52" s="49">
        <f t="shared" si="2"/>
        <v>3611.79</v>
      </c>
      <c r="O52" s="52">
        <f t="shared" si="3"/>
        <v>4013.1</v>
      </c>
      <c r="P52" s="79">
        <f t="shared" si="4"/>
        <v>99.897386253630202</v>
      </c>
      <c r="Q52" s="53">
        <f t="shared" si="5"/>
        <v>0.1</v>
      </c>
      <c r="R52" s="54">
        <f t="shared" si="6"/>
        <v>401.31</v>
      </c>
      <c r="S52" s="53">
        <v>0.8</v>
      </c>
      <c r="T52" s="54">
        <f t="shared" si="7"/>
        <v>3210.48</v>
      </c>
      <c r="U52" s="53">
        <f t="shared" si="8"/>
        <v>9.9999999999999978E-2</v>
      </c>
      <c r="V52" s="54">
        <f t="shared" si="9"/>
        <v>401.30999999999989</v>
      </c>
      <c r="W52" s="55">
        <f ca="1">V52*VLOOKUP(TODAY(),'UF HOY'!$A$2:$B$36,2,0)</f>
        <v>15945627.461399997</v>
      </c>
      <c r="X52" s="56">
        <f>Datos!$K$5</f>
        <v>36</v>
      </c>
      <c r="Y52" s="55">
        <f ca="1">IF((W52-Datos!$U$5-1000000)/X52&gt;0,(W52-Datos!$U$5-1000000)/X52,0)</f>
        <v>412378.54059444438</v>
      </c>
      <c r="Z52" s="56">
        <f>Datos!$K$5</f>
        <v>36</v>
      </c>
      <c r="AA52" s="55">
        <f ca="1">IF((W52-Datos!$U$5-1000000-O52*3%*VLOOKUP(TODAY(),'UF HOY'!$A$2:$B$36,2,0))/Z52&gt;0,(W52-Datos!$U$5-1000000-O52*3%*VLOOKUP(TODAY(),'UF HOY'!$A$2:$B$36,2,0))/Z52,0)</f>
        <v>279498.31174944434</v>
      </c>
      <c r="AB52" s="130" cm="1">
        <f t="array" ref="AB52">_xlfn.IFS(AND(L52=0,M52=0),VLOOKUP(D52,Datos!$F$31:$I$33,2,0),AND(L52=0,M52&gt;0),VLOOKUP(D52,Datos!$F$32:$I$33,2,0),AND(L52&gt;0,M52=0),VLOOKUP(D52,Datos!$F$32:$I$33,3,0),AND(L52&gt;0,M52&gt;0),VLOOKUP(D52,Datos!$F$31:$I$33,4,0))</f>
        <v>550000</v>
      </c>
      <c r="AC52" s="55">
        <f ca="1">(S52*PMT(Datos!$G$15,Datos!$G$14,-O52,,)*VLOOKUP(TODAY(),'UF HOY'!$A$2:$B$36,2,0)/12)+VLOOKUP(TODAY(),'UF HOY'!$A$2:$B$36,2,0)</f>
        <v>654492.08456079662</v>
      </c>
      <c r="AD52" s="55">
        <f t="shared" ca="1" si="10"/>
        <v>-104492.08456079662</v>
      </c>
      <c r="AE52" s="93">
        <f t="shared" ca="1" si="11"/>
        <v>2617968.3382431865</v>
      </c>
    </row>
    <row r="53" spans="1:31" s="3" customFormat="1" x14ac:dyDescent="0.35">
      <c r="A53" s="94" t="s">
        <v>346</v>
      </c>
      <c r="B53" s="80">
        <v>1507</v>
      </c>
      <c r="C53" s="48" t="s">
        <v>36</v>
      </c>
      <c r="D53" s="48" t="s">
        <v>37</v>
      </c>
      <c r="E53" s="48"/>
      <c r="F53" s="48">
        <v>34.17</v>
      </c>
      <c r="G53" s="48">
        <v>2.8</v>
      </c>
      <c r="H53" s="82">
        <f t="shared" si="0"/>
        <v>35.57</v>
      </c>
      <c r="I53" s="82">
        <f t="shared" si="1"/>
        <v>36.97</v>
      </c>
      <c r="J53" s="49">
        <v>4095</v>
      </c>
      <c r="K53" s="304">
        <v>0</v>
      </c>
      <c r="L53" s="48">
        <v>0</v>
      </c>
      <c r="M53" s="48">
        <v>0</v>
      </c>
      <c r="N53" s="49">
        <f t="shared" si="2"/>
        <v>3685.5</v>
      </c>
      <c r="O53" s="52">
        <f t="shared" si="3"/>
        <v>4095</v>
      </c>
      <c r="P53" s="79">
        <f t="shared" si="4"/>
        <v>103.61259488332864</v>
      </c>
      <c r="Q53" s="53">
        <f t="shared" si="5"/>
        <v>0.1</v>
      </c>
      <c r="R53" s="54">
        <f t="shared" si="6"/>
        <v>409.5</v>
      </c>
      <c r="S53" s="53">
        <v>0.8</v>
      </c>
      <c r="T53" s="54">
        <f t="shared" si="7"/>
        <v>3276</v>
      </c>
      <c r="U53" s="53">
        <f t="shared" si="8"/>
        <v>9.9999999999999978E-2</v>
      </c>
      <c r="V53" s="54">
        <f t="shared" si="9"/>
        <v>409.49999999999989</v>
      </c>
      <c r="W53" s="55">
        <f ca="1">V53*VLOOKUP(TODAY(),'UF HOY'!$A$2:$B$36,2,0)</f>
        <v>16271048.429999996</v>
      </c>
      <c r="X53" s="56">
        <f>Datos!$K$5</f>
        <v>36</v>
      </c>
      <c r="Y53" s="55">
        <f ca="1">IF((W53-Datos!$U$5-1000000)/X53&gt;0,(W53-Datos!$U$5-1000000)/X53,0)</f>
        <v>421418.01194444433</v>
      </c>
      <c r="Z53" s="56">
        <f>Datos!$K$5</f>
        <v>36</v>
      </c>
      <c r="AA53" s="55">
        <f ca="1">IF((W53-Datos!$U$5-1000000-O53*3%*VLOOKUP(TODAY(),'UF HOY'!$A$2:$B$36,2,0))/Z53&gt;0,(W53-Datos!$U$5-1000000-O53*3%*VLOOKUP(TODAY(),'UF HOY'!$A$2:$B$36,2,0))/Z53,0)</f>
        <v>285825.94169444434</v>
      </c>
      <c r="AB53" s="130" cm="1">
        <f t="array" ref="AB53">_xlfn.IFS(AND(L53=0,M53=0),VLOOKUP(D53,Datos!$F$31:$I$33,2,0),AND(L53=0,M53&gt;0),VLOOKUP(D53,Datos!$F$32:$I$33,2,0),AND(L53&gt;0,M53=0),VLOOKUP(D53,Datos!$F$32:$I$33,3,0),AND(L53&gt;0,M53&gt;0),VLOOKUP(D53,Datos!$F$31:$I$33,4,0))</f>
        <v>550000</v>
      </c>
      <c r="AC53" s="55">
        <f ca="1">(S53*PMT(Datos!$G$15,Datos!$G$14,-O53,,)*VLOOKUP(TODAY(),'UF HOY'!$A$2:$B$36,2,0)/12)+VLOOKUP(TODAY(),'UF HOY'!$A$2:$B$36,2,0)</f>
        <v>667038.16914366977</v>
      </c>
      <c r="AD53" s="55">
        <f t="shared" ca="1" si="10"/>
        <v>-117038.16914366977</v>
      </c>
      <c r="AE53" s="93">
        <f t="shared" ca="1" si="11"/>
        <v>2668152.6765746791</v>
      </c>
    </row>
    <row r="54" spans="1:31" s="3" customFormat="1" x14ac:dyDescent="0.35">
      <c r="A54" s="94" t="s">
        <v>346</v>
      </c>
      <c r="B54" s="80">
        <v>1506</v>
      </c>
      <c r="C54" s="48" t="s">
        <v>36</v>
      </c>
      <c r="D54" s="48" t="s">
        <v>37</v>
      </c>
      <c r="E54" s="48"/>
      <c r="F54" s="48">
        <v>34.19</v>
      </c>
      <c r="G54" s="48">
        <v>2.8</v>
      </c>
      <c r="H54" s="82">
        <f t="shared" si="0"/>
        <v>35.589999999999996</v>
      </c>
      <c r="I54" s="82">
        <f t="shared" si="1"/>
        <v>36.989999999999995</v>
      </c>
      <c r="J54" s="49">
        <v>4100</v>
      </c>
      <c r="K54" s="304">
        <v>0</v>
      </c>
      <c r="L54" s="48">
        <v>0</v>
      </c>
      <c r="M54" s="48">
        <v>0</v>
      </c>
      <c r="N54" s="49">
        <f t="shared" si="2"/>
        <v>3690</v>
      </c>
      <c r="O54" s="52">
        <f t="shared" si="3"/>
        <v>4100</v>
      </c>
      <c r="P54" s="79">
        <f t="shared" si="4"/>
        <v>103.68080921607194</v>
      </c>
      <c r="Q54" s="53">
        <f t="shared" si="5"/>
        <v>0.1</v>
      </c>
      <c r="R54" s="54">
        <f t="shared" si="6"/>
        <v>410</v>
      </c>
      <c r="S54" s="53">
        <v>0.8</v>
      </c>
      <c r="T54" s="54">
        <f t="shared" si="7"/>
        <v>3280</v>
      </c>
      <c r="U54" s="53">
        <f t="shared" si="8"/>
        <v>9.9999999999999978E-2</v>
      </c>
      <c r="V54" s="54">
        <f t="shared" si="9"/>
        <v>409.99999999999989</v>
      </c>
      <c r="W54" s="55">
        <f ca="1">V54*VLOOKUP(TODAY(),'UF HOY'!$A$2:$B$36,2,0)</f>
        <v>16290915.399999997</v>
      </c>
      <c r="X54" s="56">
        <f>Datos!$K$5</f>
        <v>36</v>
      </c>
      <c r="Y54" s="55">
        <f ca="1">IF((W54-Datos!$U$5-1000000)/X54&gt;0,(W54-Datos!$U$5-1000000)/X54,0)</f>
        <v>421969.87222222215</v>
      </c>
      <c r="Z54" s="56">
        <f>Datos!$K$5</f>
        <v>36</v>
      </c>
      <c r="AA54" s="55">
        <f ca="1">IF((W54-Datos!$U$5-1000000-O54*3%*VLOOKUP(TODAY(),'UF HOY'!$A$2:$B$36,2,0))/Z54&gt;0,(W54-Datos!$U$5-1000000-O54*3%*VLOOKUP(TODAY(),'UF HOY'!$A$2:$B$36,2,0))/Z54,0)</f>
        <v>286212.2438888888</v>
      </c>
      <c r="AB54" s="130" cm="1">
        <f t="array" ref="AB54">_xlfn.IFS(AND(L54=0,M54=0),VLOOKUP(D54,Datos!$F$31:$I$33,2,0),AND(L54=0,M54&gt;0),VLOOKUP(D54,Datos!$F$32:$I$33,2,0),AND(L54&gt;0,M54=0),VLOOKUP(D54,Datos!$F$32:$I$33,3,0),AND(L54&gt;0,M54&gt;0),VLOOKUP(D54,Datos!$F$31:$I$33,4,0))</f>
        <v>550000</v>
      </c>
      <c r="AC54" s="55">
        <f ca="1">(S54*PMT(Datos!$G$15,Datos!$G$14,-O54,,)*VLOOKUP(TODAY(),'UF HOY'!$A$2:$B$36,2,0)/12)+VLOOKUP(TODAY(),'UF HOY'!$A$2:$B$36,2,0)</f>
        <v>667804.10837339354</v>
      </c>
      <c r="AD54" s="55">
        <f t="shared" ca="1" si="10"/>
        <v>-117804.10837339354</v>
      </c>
      <c r="AE54" s="93">
        <f t="shared" ca="1" si="11"/>
        <v>2671216.4334935741</v>
      </c>
    </row>
    <row r="55" spans="1:31" s="3" customFormat="1" hidden="1" x14ac:dyDescent="0.35">
      <c r="A55" s="94" t="s">
        <v>342</v>
      </c>
      <c r="B55" s="80">
        <v>409</v>
      </c>
      <c r="C55" s="48" t="s">
        <v>40</v>
      </c>
      <c r="D55" s="48" t="s">
        <v>37</v>
      </c>
      <c r="E55" s="48"/>
      <c r="F55" s="48">
        <v>34.369999999999997</v>
      </c>
      <c r="G55" s="48">
        <v>3.28</v>
      </c>
      <c r="H55" s="82">
        <f t="shared" si="0"/>
        <v>36.01</v>
      </c>
      <c r="I55" s="82">
        <f t="shared" si="1"/>
        <v>37.65</v>
      </c>
      <c r="J55" s="49">
        <v>4105</v>
      </c>
      <c r="K55" s="305">
        <v>0.02</v>
      </c>
      <c r="L55" s="48">
        <v>0</v>
      </c>
      <c r="M55" s="48">
        <v>0</v>
      </c>
      <c r="N55" s="49">
        <f t="shared" si="2"/>
        <v>3620.61</v>
      </c>
      <c r="O55" s="52">
        <f t="shared" si="3"/>
        <v>4022.9</v>
      </c>
      <c r="P55" s="79">
        <f t="shared" si="4"/>
        <v>100.5445709525132</v>
      </c>
      <c r="Q55" s="53">
        <f t="shared" si="5"/>
        <v>0.1</v>
      </c>
      <c r="R55" s="54">
        <f t="shared" si="6"/>
        <v>402.29</v>
      </c>
      <c r="S55" s="53">
        <v>0.8</v>
      </c>
      <c r="T55" s="54">
        <f t="shared" si="7"/>
        <v>3218.32</v>
      </c>
      <c r="U55" s="53">
        <f t="shared" si="8"/>
        <v>9.9999999999999978E-2</v>
      </c>
      <c r="V55" s="54">
        <f t="shared" si="9"/>
        <v>402.28999999999991</v>
      </c>
      <c r="W55" s="55">
        <f ca="1">V55*VLOOKUP(TODAY(),'UF HOY'!$A$2:$B$36,2,0)</f>
        <v>15984566.722599998</v>
      </c>
      <c r="X55" s="56">
        <f>Datos!$K$5</f>
        <v>36</v>
      </c>
      <c r="Y55" s="55">
        <f ca="1">IF((W55-Datos!$U$5-1000000)/X55&gt;0,(W55-Datos!$U$5-1000000)/X55,0)</f>
        <v>413460.18673888885</v>
      </c>
      <c r="Z55" s="56">
        <f>Datos!$K$5</f>
        <v>36</v>
      </c>
      <c r="AA55" s="55">
        <f ca="1">IF((W55-Datos!$U$5-1000000-O55*3%*VLOOKUP(TODAY(),'UF HOY'!$A$2:$B$36,2,0))/Z55&gt;0,(W55-Datos!$U$5-1000000-O55*3%*VLOOKUP(TODAY(),'UF HOY'!$A$2:$B$36,2,0))/Z55,0)</f>
        <v>280255.46405055549</v>
      </c>
      <c r="AB55" s="130" cm="1">
        <f t="array" ref="AB55">_xlfn.IFS(AND(L55=0,M55=0),VLOOKUP(D55,Datos!$F$31:$I$33,2,0),AND(L55=0,M55&gt;0),VLOOKUP(D55,Datos!$F$32:$I$33,2,0),AND(L55&gt;0,M55=0),VLOOKUP(D55,Datos!$F$32:$I$33,3,0),AND(L55&gt;0,M55&gt;0),VLOOKUP(D55,Datos!$F$31:$I$33,4,0))</f>
        <v>550000</v>
      </c>
      <c r="AC55" s="55">
        <f ca="1">(S55*PMT(Datos!$G$15,Datos!$G$14,-O55,,)*VLOOKUP(TODAY(),'UF HOY'!$A$2:$B$36,2,0)/12)+VLOOKUP(TODAY(),'UF HOY'!$A$2:$B$36,2,0)</f>
        <v>655993.32545105484</v>
      </c>
      <c r="AD55" s="55">
        <f t="shared" ca="1" si="10"/>
        <v>-105993.32545105484</v>
      </c>
      <c r="AE55" s="93">
        <f t="shared" ca="1" si="11"/>
        <v>2623973.3018042194</v>
      </c>
    </row>
    <row r="56" spans="1:31" s="3" customFormat="1" x14ac:dyDescent="0.35">
      <c r="A56" s="94" t="s">
        <v>346</v>
      </c>
      <c r="B56" s="80">
        <v>410</v>
      </c>
      <c r="C56" s="48" t="s">
        <v>40</v>
      </c>
      <c r="D56" s="48" t="s">
        <v>37</v>
      </c>
      <c r="E56" s="48"/>
      <c r="F56" s="48">
        <v>34.369999999999997</v>
      </c>
      <c r="G56" s="48">
        <v>3.28</v>
      </c>
      <c r="H56" s="82">
        <f t="shared" si="0"/>
        <v>36.01</v>
      </c>
      <c r="I56" s="82">
        <f t="shared" si="1"/>
        <v>37.65</v>
      </c>
      <c r="J56" s="49">
        <v>4105</v>
      </c>
      <c r="K56" s="304">
        <v>0</v>
      </c>
      <c r="L56" s="48">
        <v>0</v>
      </c>
      <c r="M56" s="48">
        <v>0</v>
      </c>
      <c r="N56" s="49">
        <f t="shared" si="2"/>
        <v>3694.5</v>
      </c>
      <c r="O56" s="52">
        <f t="shared" si="3"/>
        <v>4105</v>
      </c>
      <c r="P56" s="79">
        <f t="shared" si="4"/>
        <v>102.59650097195224</v>
      </c>
      <c r="Q56" s="53">
        <f t="shared" si="5"/>
        <v>0.1</v>
      </c>
      <c r="R56" s="54">
        <f t="shared" si="6"/>
        <v>410.5</v>
      </c>
      <c r="S56" s="53">
        <v>0.8</v>
      </c>
      <c r="T56" s="54">
        <f t="shared" si="7"/>
        <v>3284</v>
      </c>
      <c r="U56" s="53">
        <f t="shared" si="8"/>
        <v>9.9999999999999978E-2</v>
      </c>
      <c r="V56" s="54">
        <f t="shared" si="9"/>
        <v>410.49999999999989</v>
      </c>
      <c r="W56" s="55">
        <f ca="1">V56*VLOOKUP(TODAY(),'UF HOY'!$A$2:$B$36,2,0)</f>
        <v>16310782.369999997</v>
      </c>
      <c r="X56" s="56">
        <f>Datos!$K$5</f>
        <v>36</v>
      </c>
      <c r="Y56" s="55">
        <f ca="1">IF((W56-Datos!$U$5-1000000)/X56&gt;0,(W56-Datos!$U$5-1000000)/X56,0)</f>
        <v>422521.73249999993</v>
      </c>
      <c r="Z56" s="56">
        <f>Datos!$K$5</f>
        <v>36</v>
      </c>
      <c r="AA56" s="55">
        <f ca="1">IF((W56-Datos!$U$5-1000000-O56*3%*VLOOKUP(TODAY(),'UF HOY'!$A$2:$B$36,2,0))/Z56&gt;0,(W56-Datos!$U$5-1000000-O56*3%*VLOOKUP(TODAY(),'UF HOY'!$A$2:$B$36,2,0))/Z56,0)</f>
        <v>286598.54608333326</v>
      </c>
      <c r="AB56" s="130" cm="1">
        <f t="array" ref="AB56">_xlfn.IFS(AND(L56=0,M56=0),VLOOKUP(D56,Datos!$F$31:$I$33,2,0),AND(L56=0,M56&gt;0),VLOOKUP(D56,Datos!$F$32:$I$33,2,0),AND(L56&gt;0,M56=0),VLOOKUP(D56,Datos!$F$32:$I$33,3,0),AND(L56&gt;0,M56&gt;0),VLOOKUP(D56,Datos!$F$31:$I$33,4,0))</f>
        <v>550000</v>
      </c>
      <c r="AC56" s="55">
        <f ca="1">(S56*PMT(Datos!$G$15,Datos!$G$14,-O56,,)*VLOOKUP(TODAY(),'UF HOY'!$A$2:$B$36,2,0)/12)+VLOOKUP(TODAY(),'UF HOY'!$A$2:$B$36,2,0)</f>
        <v>668570.0476031173</v>
      </c>
      <c r="AD56" s="55">
        <f t="shared" ca="1" si="10"/>
        <v>-118570.0476031173</v>
      </c>
      <c r="AE56" s="93">
        <f t="shared" ca="1" si="11"/>
        <v>2674280.1904124692</v>
      </c>
    </row>
    <row r="57" spans="1:31" s="3" customFormat="1" x14ac:dyDescent="0.35">
      <c r="A57" s="94" t="s">
        <v>346</v>
      </c>
      <c r="B57" s="80">
        <v>702</v>
      </c>
      <c r="C57" s="48" t="s">
        <v>38</v>
      </c>
      <c r="D57" s="48" t="s">
        <v>37</v>
      </c>
      <c r="E57" s="48"/>
      <c r="F57" s="48">
        <v>34.89</v>
      </c>
      <c r="G57" s="48">
        <v>2.83</v>
      </c>
      <c r="H57" s="82">
        <f t="shared" si="0"/>
        <v>36.305</v>
      </c>
      <c r="I57" s="82">
        <f t="shared" si="1"/>
        <v>37.72</v>
      </c>
      <c r="J57" s="49">
        <v>4105</v>
      </c>
      <c r="K57" s="304">
        <v>0</v>
      </c>
      <c r="L57" s="48">
        <v>0</v>
      </c>
      <c r="M57" s="48">
        <v>0</v>
      </c>
      <c r="N57" s="49">
        <f t="shared" si="2"/>
        <v>3694.5</v>
      </c>
      <c r="O57" s="52">
        <f t="shared" si="3"/>
        <v>4105</v>
      </c>
      <c r="P57" s="79">
        <f t="shared" si="4"/>
        <v>101.76284258366616</v>
      </c>
      <c r="Q57" s="53">
        <f t="shared" si="5"/>
        <v>0.1</v>
      </c>
      <c r="R57" s="54">
        <f t="shared" si="6"/>
        <v>410.5</v>
      </c>
      <c r="S57" s="53">
        <v>0.8</v>
      </c>
      <c r="T57" s="54">
        <f t="shared" si="7"/>
        <v>3284</v>
      </c>
      <c r="U57" s="53">
        <f t="shared" si="8"/>
        <v>9.9999999999999978E-2</v>
      </c>
      <c r="V57" s="54">
        <f t="shared" si="9"/>
        <v>410.49999999999989</v>
      </c>
      <c r="W57" s="55">
        <f ca="1">V57*VLOOKUP(TODAY(),'UF HOY'!$A$2:$B$36,2,0)</f>
        <v>16310782.369999997</v>
      </c>
      <c r="X57" s="56">
        <f>Datos!$K$5</f>
        <v>36</v>
      </c>
      <c r="Y57" s="55">
        <f ca="1">IF((W57-Datos!$U$5-1000000)/X57&gt;0,(W57-Datos!$U$5-1000000)/X57,0)</f>
        <v>422521.73249999993</v>
      </c>
      <c r="Z57" s="56">
        <f>Datos!$K$5</f>
        <v>36</v>
      </c>
      <c r="AA57" s="55">
        <f ca="1">IF((W57-Datos!$U$5-1000000-O57*3%*VLOOKUP(TODAY(),'UF HOY'!$A$2:$B$36,2,0))/Z57&gt;0,(W57-Datos!$U$5-1000000-O57*3%*VLOOKUP(TODAY(),'UF HOY'!$A$2:$B$36,2,0))/Z57,0)</f>
        <v>286598.54608333326</v>
      </c>
      <c r="AB57" s="130" cm="1">
        <f t="array" ref="AB57">_xlfn.IFS(AND(L57=0,M57=0),VLOOKUP(D57,Datos!$F$31:$I$33,2,0),AND(L57=0,M57&gt;0),VLOOKUP(D57,Datos!$F$32:$I$33,2,0),AND(L57&gt;0,M57=0),VLOOKUP(D57,Datos!$F$32:$I$33,3,0),AND(L57&gt;0,M57&gt;0),VLOOKUP(D57,Datos!$F$31:$I$33,4,0))</f>
        <v>550000</v>
      </c>
      <c r="AC57" s="55">
        <f ca="1">(S57*PMT(Datos!$G$15,Datos!$G$14,-O57,,)*VLOOKUP(TODAY(),'UF HOY'!$A$2:$B$36,2,0)/12)+VLOOKUP(TODAY(),'UF HOY'!$A$2:$B$36,2,0)</f>
        <v>668570.0476031173</v>
      </c>
      <c r="AD57" s="55">
        <f t="shared" ca="1" si="10"/>
        <v>-118570.0476031173</v>
      </c>
      <c r="AE57" s="93">
        <f t="shared" ca="1" si="11"/>
        <v>2674280.1904124692</v>
      </c>
    </row>
    <row r="58" spans="1:31" s="3" customFormat="1" x14ac:dyDescent="0.35">
      <c r="A58" s="94" t="s">
        <v>346</v>
      </c>
      <c r="B58" s="80">
        <v>804</v>
      </c>
      <c r="C58" s="48" t="s">
        <v>38</v>
      </c>
      <c r="D58" s="48" t="s">
        <v>37</v>
      </c>
      <c r="E58" s="48"/>
      <c r="F58" s="48">
        <v>34.74</v>
      </c>
      <c r="G58" s="48">
        <v>2.86</v>
      </c>
      <c r="H58" s="82">
        <f t="shared" si="0"/>
        <v>36.17</v>
      </c>
      <c r="I58" s="82">
        <f t="shared" si="1"/>
        <v>37.6</v>
      </c>
      <c r="J58" s="49">
        <v>4105</v>
      </c>
      <c r="K58" s="304">
        <v>0</v>
      </c>
      <c r="L58" s="48">
        <v>0</v>
      </c>
      <c r="M58" s="48">
        <v>0</v>
      </c>
      <c r="N58" s="49">
        <f t="shared" si="2"/>
        <v>3694.5</v>
      </c>
      <c r="O58" s="52">
        <f t="shared" si="3"/>
        <v>4105</v>
      </c>
      <c r="P58" s="79">
        <f t="shared" si="4"/>
        <v>102.14265966270389</v>
      </c>
      <c r="Q58" s="53">
        <f t="shared" si="5"/>
        <v>0.1</v>
      </c>
      <c r="R58" s="54">
        <f t="shared" si="6"/>
        <v>410.5</v>
      </c>
      <c r="S58" s="53">
        <v>0.8</v>
      </c>
      <c r="T58" s="54">
        <f t="shared" si="7"/>
        <v>3284</v>
      </c>
      <c r="U58" s="53">
        <f t="shared" si="8"/>
        <v>9.9999999999999978E-2</v>
      </c>
      <c r="V58" s="54">
        <f t="shared" si="9"/>
        <v>410.49999999999989</v>
      </c>
      <c r="W58" s="55">
        <f ca="1">V58*VLOOKUP(TODAY(),'UF HOY'!$A$2:$B$36,2,0)</f>
        <v>16310782.369999997</v>
      </c>
      <c r="X58" s="56">
        <f>Datos!$K$5</f>
        <v>36</v>
      </c>
      <c r="Y58" s="55">
        <f ca="1">IF((W58-Datos!$U$5-1000000)/X58&gt;0,(W58-Datos!$U$5-1000000)/X58,0)</f>
        <v>422521.73249999993</v>
      </c>
      <c r="Z58" s="56">
        <f>Datos!$K$5</f>
        <v>36</v>
      </c>
      <c r="AA58" s="55">
        <f ca="1">IF((W58-Datos!$U$5-1000000-O58*3%*VLOOKUP(TODAY(),'UF HOY'!$A$2:$B$36,2,0))/Z58&gt;0,(W58-Datos!$U$5-1000000-O58*3%*VLOOKUP(TODAY(),'UF HOY'!$A$2:$B$36,2,0))/Z58,0)</f>
        <v>286598.54608333326</v>
      </c>
      <c r="AB58" s="130" cm="1">
        <f t="array" ref="AB58">_xlfn.IFS(AND(L58=0,M58=0),VLOOKUP(D58,Datos!$F$31:$I$33,2,0),AND(L58=0,M58&gt;0),VLOOKUP(D58,Datos!$F$32:$I$33,2,0),AND(L58&gt;0,M58=0),VLOOKUP(D58,Datos!$F$32:$I$33,3,0),AND(L58&gt;0,M58&gt;0),VLOOKUP(D58,Datos!$F$31:$I$33,4,0))</f>
        <v>550000</v>
      </c>
      <c r="AC58" s="55">
        <f ca="1">(S58*PMT(Datos!$G$15,Datos!$G$14,-O58,,)*VLOOKUP(TODAY(),'UF HOY'!$A$2:$B$36,2,0)/12)+VLOOKUP(TODAY(),'UF HOY'!$A$2:$B$36,2,0)</f>
        <v>668570.0476031173</v>
      </c>
      <c r="AD58" s="55">
        <f t="shared" ca="1" si="10"/>
        <v>-118570.0476031173</v>
      </c>
      <c r="AE58" s="93">
        <f t="shared" ca="1" si="11"/>
        <v>2674280.1904124692</v>
      </c>
    </row>
    <row r="59" spans="1:31" s="3" customFormat="1" hidden="1" x14ac:dyDescent="0.35">
      <c r="A59" s="94" t="s">
        <v>342</v>
      </c>
      <c r="B59" s="80">
        <v>1112</v>
      </c>
      <c r="C59" s="48" t="s">
        <v>41</v>
      </c>
      <c r="D59" s="48" t="s">
        <v>37</v>
      </c>
      <c r="E59" s="48"/>
      <c r="F59" s="48">
        <v>34.630000000000003</v>
      </c>
      <c r="G59" s="48">
        <v>2.93</v>
      </c>
      <c r="H59" s="82">
        <f t="shared" si="0"/>
        <v>36.095000000000006</v>
      </c>
      <c r="I59" s="82">
        <f t="shared" si="1"/>
        <v>37.56</v>
      </c>
      <c r="J59" s="49">
        <v>4105</v>
      </c>
      <c r="K59" s="305">
        <v>0.02</v>
      </c>
      <c r="L59" s="48">
        <v>0</v>
      </c>
      <c r="M59" s="48">
        <v>0</v>
      </c>
      <c r="N59" s="49">
        <f t="shared" si="2"/>
        <v>3620.61</v>
      </c>
      <c r="O59" s="52">
        <f t="shared" si="3"/>
        <v>4022.9</v>
      </c>
      <c r="P59" s="79">
        <f t="shared" si="4"/>
        <v>100.30779886410859</v>
      </c>
      <c r="Q59" s="53">
        <f t="shared" si="5"/>
        <v>0.1</v>
      </c>
      <c r="R59" s="54">
        <f t="shared" si="6"/>
        <v>402.29</v>
      </c>
      <c r="S59" s="53">
        <v>0.8</v>
      </c>
      <c r="T59" s="54">
        <f t="shared" si="7"/>
        <v>3218.32</v>
      </c>
      <c r="U59" s="53">
        <f t="shared" si="8"/>
        <v>9.9999999999999978E-2</v>
      </c>
      <c r="V59" s="54">
        <f t="shared" si="9"/>
        <v>402.28999999999991</v>
      </c>
      <c r="W59" s="55">
        <f ca="1">V59*VLOOKUP(TODAY(),'UF HOY'!$A$2:$B$36,2,0)</f>
        <v>15984566.722599998</v>
      </c>
      <c r="X59" s="56">
        <f>Datos!$K$5</f>
        <v>36</v>
      </c>
      <c r="Y59" s="55">
        <f ca="1">IF((W59-Datos!$U$5-1000000)/X59&gt;0,(W59-Datos!$U$5-1000000)/X59,0)</f>
        <v>413460.18673888885</v>
      </c>
      <c r="Z59" s="56">
        <f>Datos!$K$5</f>
        <v>36</v>
      </c>
      <c r="AA59" s="55">
        <f ca="1">IF((W59-Datos!$U$5-1000000-O59*3%*VLOOKUP(TODAY(),'UF HOY'!$A$2:$B$36,2,0))/Z59&gt;0,(W59-Datos!$U$5-1000000-O59*3%*VLOOKUP(TODAY(),'UF HOY'!$A$2:$B$36,2,0))/Z59,0)</f>
        <v>280255.46405055549</v>
      </c>
      <c r="AB59" s="130" cm="1">
        <f t="array" ref="AB59">_xlfn.IFS(AND(L59=0,M59=0),VLOOKUP(D59,Datos!$F$31:$I$33,2,0),AND(L59=0,M59&gt;0),VLOOKUP(D59,Datos!$F$32:$I$33,2,0),AND(L59&gt;0,M59=0),VLOOKUP(D59,Datos!$F$32:$I$33,3,0),AND(L59&gt;0,M59&gt;0),VLOOKUP(D59,Datos!$F$31:$I$33,4,0))</f>
        <v>550000</v>
      </c>
      <c r="AC59" s="55">
        <f ca="1">(S59*PMT(Datos!$G$15,Datos!$G$14,-O59,,)*VLOOKUP(TODAY(),'UF HOY'!$A$2:$B$36,2,0)/12)+VLOOKUP(TODAY(),'UF HOY'!$A$2:$B$36,2,0)</f>
        <v>655993.32545105484</v>
      </c>
      <c r="AD59" s="55">
        <f t="shared" ca="1" si="10"/>
        <v>-105993.32545105484</v>
      </c>
      <c r="AE59" s="93">
        <f t="shared" ca="1" si="11"/>
        <v>2623973.3018042194</v>
      </c>
    </row>
    <row r="60" spans="1:31" s="3" customFormat="1" x14ac:dyDescent="0.35">
      <c r="A60" s="94" t="s">
        <v>346</v>
      </c>
      <c r="B60" s="80">
        <v>803</v>
      </c>
      <c r="C60" s="48" t="s">
        <v>38</v>
      </c>
      <c r="D60" s="48" t="s">
        <v>37</v>
      </c>
      <c r="E60" s="48"/>
      <c r="F60" s="48">
        <v>34.79</v>
      </c>
      <c r="G60" s="48">
        <v>2.83</v>
      </c>
      <c r="H60" s="82">
        <f t="shared" si="0"/>
        <v>36.204999999999998</v>
      </c>
      <c r="I60" s="82">
        <f t="shared" si="1"/>
        <v>37.619999999999997</v>
      </c>
      <c r="J60" s="49">
        <v>4110</v>
      </c>
      <c r="K60" s="304">
        <v>0</v>
      </c>
      <c r="L60" s="48">
        <v>0</v>
      </c>
      <c r="M60" s="48">
        <v>0</v>
      </c>
      <c r="N60" s="49">
        <f t="shared" si="2"/>
        <v>3699</v>
      </c>
      <c r="O60" s="52">
        <f t="shared" si="3"/>
        <v>4110</v>
      </c>
      <c r="P60" s="79">
        <f t="shared" si="4"/>
        <v>102.16820881093773</v>
      </c>
      <c r="Q60" s="53">
        <f t="shared" si="5"/>
        <v>0.1</v>
      </c>
      <c r="R60" s="54">
        <f t="shared" si="6"/>
        <v>411</v>
      </c>
      <c r="S60" s="53">
        <v>0.8</v>
      </c>
      <c r="T60" s="54">
        <f t="shared" si="7"/>
        <v>3288</v>
      </c>
      <c r="U60" s="53">
        <f t="shared" si="8"/>
        <v>9.9999999999999978E-2</v>
      </c>
      <c r="V60" s="54">
        <f t="shared" si="9"/>
        <v>410.99999999999989</v>
      </c>
      <c r="W60" s="55">
        <f ca="1">V60*VLOOKUP(TODAY(),'UF HOY'!$A$2:$B$36,2,0)</f>
        <v>16330649.339999996</v>
      </c>
      <c r="X60" s="56">
        <f>Datos!$K$5</f>
        <v>36</v>
      </c>
      <c r="Y60" s="55">
        <f ca="1">IF((W60-Datos!$U$5-1000000)/X60&gt;0,(W60-Datos!$U$5-1000000)/X60,0)</f>
        <v>423073.5927777777</v>
      </c>
      <c r="Z60" s="56">
        <f>Datos!$K$5</f>
        <v>36</v>
      </c>
      <c r="AA60" s="55">
        <f ca="1">IF((W60-Datos!$U$5-1000000-O60*3%*VLOOKUP(TODAY(),'UF HOY'!$A$2:$B$36,2,0))/Z60&gt;0,(W60-Datos!$U$5-1000000-O60*3%*VLOOKUP(TODAY(),'UF HOY'!$A$2:$B$36,2,0))/Z60,0)</f>
        <v>286984.84827777767</v>
      </c>
      <c r="AB60" s="130" cm="1">
        <f t="array" ref="AB60">_xlfn.IFS(AND(L60=0,M60=0),VLOOKUP(D60,Datos!$F$31:$I$33,2,0),AND(L60=0,M60&gt;0),VLOOKUP(D60,Datos!$F$32:$I$33,2,0),AND(L60&gt;0,M60=0),VLOOKUP(D60,Datos!$F$32:$I$33,3,0),AND(L60&gt;0,M60&gt;0),VLOOKUP(D60,Datos!$F$31:$I$33,4,0))</f>
        <v>550000</v>
      </c>
      <c r="AC60" s="55">
        <f ca="1">(S60*PMT(Datos!$G$15,Datos!$G$14,-O60,,)*VLOOKUP(TODAY(),'UF HOY'!$A$2:$B$36,2,0)/12)+VLOOKUP(TODAY(),'UF HOY'!$A$2:$B$36,2,0)</f>
        <v>669335.98683284083</v>
      </c>
      <c r="AD60" s="55">
        <f t="shared" ca="1" si="10"/>
        <v>-119335.98683284083</v>
      </c>
      <c r="AE60" s="93">
        <f t="shared" ca="1" si="11"/>
        <v>2677343.9473313633</v>
      </c>
    </row>
    <row r="61" spans="1:31" s="3" customFormat="1" hidden="1" x14ac:dyDescent="0.35">
      <c r="A61" s="94" t="s">
        <v>342</v>
      </c>
      <c r="B61" s="80">
        <v>1113</v>
      </c>
      <c r="C61" s="48" t="s">
        <v>41</v>
      </c>
      <c r="D61" s="48" t="s">
        <v>37</v>
      </c>
      <c r="E61" s="48"/>
      <c r="F61" s="48">
        <v>34.69</v>
      </c>
      <c r="G61" s="48">
        <v>2.93</v>
      </c>
      <c r="H61" s="82">
        <f t="shared" si="0"/>
        <v>36.155000000000001</v>
      </c>
      <c r="I61" s="82">
        <f t="shared" si="1"/>
        <v>37.619999999999997</v>
      </c>
      <c r="J61" s="49">
        <v>4110</v>
      </c>
      <c r="K61" s="305">
        <v>0.02</v>
      </c>
      <c r="L61" s="48">
        <v>0</v>
      </c>
      <c r="M61" s="48">
        <v>0</v>
      </c>
      <c r="N61" s="49">
        <f t="shared" si="2"/>
        <v>3625.0199999999995</v>
      </c>
      <c r="O61" s="52">
        <f t="shared" si="3"/>
        <v>4027.7999999999997</v>
      </c>
      <c r="P61" s="79">
        <f t="shared" si="4"/>
        <v>100.26331074540172</v>
      </c>
      <c r="Q61" s="53">
        <f t="shared" si="5"/>
        <v>0.1</v>
      </c>
      <c r="R61" s="54">
        <f t="shared" si="6"/>
        <v>402.78000000000003</v>
      </c>
      <c r="S61" s="53">
        <v>0.8</v>
      </c>
      <c r="T61" s="54">
        <f t="shared" si="7"/>
        <v>3222.24</v>
      </c>
      <c r="U61" s="53">
        <f t="shared" si="8"/>
        <v>9.9999999999999978E-2</v>
      </c>
      <c r="V61" s="54">
        <f t="shared" si="9"/>
        <v>402.77999999999986</v>
      </c>
      <c r="W61" s="55">
        <f ca="1">V61*VLOOKUP(TODAY(),'UF HOY'!$A$2:$B$36,2,0)</f>
        <v>16004036.353199996</v>
      </c>
      <c r="X61" s="56">
        <f>Datos!$K$5</f>
        <v>36</v>
      </c>
      <c r="Y61" s="55">
        <f ca="1">IF((W61-Datos!$U$5-1000000)/X61&gt;0,(W61-Datos!$U$5-1000000)/X61,0)</f>
        <v>414001.00981111103</v>
      </c>
      <c r="Z61" s="56">
        <f>Datos!$K$5</f>
        <v>36</v>
      </c>
      <c r="AA61" s="55">
        <f ca="1">IF((W61-Datos!$U$5-1000000-O61*3%*VLOOKUP(TODAY(),'UF HOY'!$A$2:$B$36,2,0))/Z61&gt;0,(W61-Datos!$U$5-1000000-O61*3%*VLOOKUP(TODAY(),'UF HOY'!$A$2:$B$36,2,0))/Z61,0)</f>
        <v>280634.040201111</v>
      </c>
      <c r="AB61" s="130" cm="1">
        <f t="array" ref="AB61">_xlfn.IFS(AND(L61=0,M61=0),VLOOKUP(D61,Datos!$F$31:$I$33,2,0),AND(L61=0,M61&gt;0),VLOOKUP(D61,Datos!$F$32:$I$33,2,0),AND(L61&gt;0,M61=0),VLOOKUP(D61,Datos!$F$32:$I$33,3,0),AND(L61&gt;0,M61&gt;0),VLOOKUP(D61,Datos!$F$31:$I$33,4,0))</f>
        <v>550000</v>
      </c>
      <c r="AC61" s="55">
        <f ca="1">(S61*PMT(Datos!$G$15,Datos!$G$14,-O61,,)*VLOOKUP(TODAY(),'UF HOY'!$A$2:$B$36,2,0)/12)+VLOOKUP(TODAY(),'UF HOY'!$A$2:$B$36,2,0)</f>
        <v>656743.94589618407</v>
      </c>
      <c r="AD61" s="55">
        <f t="shared" ca="1" si="10"/>
        <v>-106743.94589618407</v>
      </c>
      <c r="AE61" s="93">
        <f t="shared" ca="1" si="11"/>
        <v>2626975.7835847363</v>
      </c>
    </row>
    <row r="62" spans="1:31" s="3" customFormat="1" x14ac:dyDescent="0.35">
      <c r="A62" s="94" t="s">
        <v>346</v>
      </c>
      <c r="B62" s="80">
        <v>1606</v>
      </c>
      <c r="C62" s="48" t="s">
        <v>36</v>
      </c>
      <c r="D62" s="48" t="s">
        <v>37</v>
      </c>
      <c r="E62" s="48"/>
      <c r="F62" s="48">
        <v>34.19</v>
      </c>
      <c r="G62" s="48">
        <v>2.8</v>
      </c>
      <c r="H62" s="82">
        <f t="shared" si="0"/>
        <v>35.589999999999996</v>
      </c>
      <c r="I62" s="82">
        <f t="shared" si="1"/>
        <v>36.989999999999995</v>
      </c>
      <c r="J62" s="49">
        <v>4110</v>
      </c>
      <c r="K62" s="304">
        <v>0</v>
      </c>
      <c r="L62" s="48">
        <v>0</v>
      </c>
      <c r="M62" s="48">
        <v>0</v>
      </c>
      <c r="N62" s="49">
        <f t="shared" si="2"/>
        <v>3699</v>
      </c>
      <c r="O62" s="52">
        <f t="shared" si="3"/>
        <v>4110</v>
      </c>
      <c r="P62" s="79">
        <f t="shared" si="4"/>
        <v>103.93368923855016</v>
      </c>
      <c r="Q62" s="53">
        <f t="shared" si="5"/>
        <v>0.1</v>
      </c>
      <c r="R62" s="54">
        <f t="shared" si="6"/>
        <v>411</v>
      </c>
      <c r="S62" s="53">
        <v>0.8</v>
      </c>
      <c r="T62" s="54">
        <f t="shared" si="7"/>
        <v>3288</v>
      </c>
      <c r="U62" s="53">
        <f t="shared" si="8"/>
        <v>9.9999999999999978E-2</v>
      </c>
      <c r="V62" s="54">
        <f t="shared" si="9"/>
        <v>410.99999999999989</v>
      </c>
      <c r="W62" s="55">
        <f ca="1">V62*VLOOKUP(TODAY(),'UF HOY'!$A$2:$B$36,2,0)</f>
        <v>16330649.339999996</v>
      </c>
      <c r="X62" s="56">
        <f>Datos!$K$5</f>
        <v>36</v>
      </c>
      <c r="Y62" s="55">
        <f ca="1">IF((W62-Datos!$U$5-1000000)/X62&gt;0,(W62-Datos!$U$5-1000000)/X62,0)</f>
        <v>423073.5927777777</v>
      </c>
      <c r="Z62" s="56">
        <f>Datos!$K$5</f>
        <v>36</v>
      </c>
      <c r="AA62" s="55">
        <f ca="1">IF((W62-Datos!$U$5-1000000-O62*3%*VLOOKUP(TODAY(),'UF HOY'!$A$2:$B$36,2,0))/Z62&gt;0,(W62-Datos!$U$5-1000000-O62*3%*VLOOKUP(TODAY(),'UF HOY'!$A$2:$B$36,2,0))/Z62,0)</f>
        <v>286984.84827777767</v>
      </c>
      <c r="AB62" s="130" cm="1">
        <f t="array" ref="AB62">_xlfn.IFS(AND(L62=0,M62=0),VLOOKUP(D62,Datos!$F$31:$I$33,2,0),AND(L62=0,M62&gt;0),VLOOKUP(D62,Datos!$F$32:$I$33,2,0),AND(L62&gt;0,M62=0),VLOOKUP(D62,Datos!$F$32:$I$33,3,0),AND(L62&gt;0,M62&gt;0),VLOOKUP(D62,Datos!$F$31:$I$33,4,0))</f>
        <v>550000</v>
      </c>
      <c r="AC62" s="55">
        <f ca="1">(S62*PMT(Datos!$G$15,Datos!$G$14,-O62,,)*VLOOKUP(TODAY(),'UF HOY'!$A$2:$B$36,2,0)/12)+VLOOKUP(TODAY(),'UF HOY'!$A$2:$B$36,2,0)</f>
        <v>669335.98683284083</v>
      </c>
      <c r="AD62" s="55">
        <f t="shared" ca="1" si="10"/>
        <v>-119335.98683284083</v>
      </c>
      <c r="AE62" s="93">
        <f t="shared" ca="1" si="11"/>
        <v>2677343.9473313633</v>
      </c>
    </row>
    <row r="63" spans="1:31" s="3" customFormat="1" x14ac:dyDescent="0.35">
      <c r="A63" s="94" t="s">
        <v>346</v>
      </c>
      <c r="B63" s="80">
        <v>1607</v>
      </c>
      <c r="C63" s="48" t="s">
        <v>36</v>
      </c>
      <c r="D63" s="48" t="s">
        <v>37</v>
      </c>
      <c r="E63" s="48"/>
      <c r="F63" s="48">
        <v>34.17</v>
      </c>
      <c r="G63" s="48">
        <v>2.8</v>
      </c>
      <c r="H63" s="82">
        <f t="shared" si="0"/>
        <v>35.57</v>
      </c>
      <c r="I63" s="82">
        <f t="shared" si="1"/>
        <v>36.97</v>
      </c>
      <c r="J63" s="49">
        <v>4110</v>
      </c>
      <c r="K63" s="304">
        <v>0</v>
      </c>
      <c r="L63" s="48">
        <v>0</v>
      </c>
      <c r="M63" s="48">
        <v>0</v>
      </c>
      <c r="N63" s="49">
        <f t="shared" si="2"/>
        <v>3699</v>
      </c>
      <c r="O63" s="52">
        <f t="shared" si="3"/>
        <v>4110</v>
      </c>
      <c r="P63" s="79">
        <f t="shared" si="4"/>
        <v>103.9921281979196</v>
      </c>
      <c r="Q63" s="53">
        <f t="shared" si="5"/>
        <v>0.1</v>
      </c>
      <c r="R63" s="54">
        <f t="shared" si="6"/>
        <v>411</v>
      </c>
      <c r="S63" s="53">
        <v>0.8</v>
      </c>
      <c r="T63" s="54">
        <f t="shared" si="7"/>
        <v>3288</v>
      </c>
      <c r="U63" s="53">
        <f t="shared" si="8"/>
        <v>9.9999999999999978E-2</v>
      </c>
      <c r="V63" s="54">
        <f t="shared" si="9"/>
        <v>410.99999999999989</v>
      </c>
      <c r="W63" s="55">
        <f ca="1">V63*VLOOKUP(TODAY(),'UF HOY'!$A$2:$B$36,2,0)</f>
        <v>16330649.339999996</v>
      </c>
      <c r="X63" s="56">
        <f>Datos!$K$5</f>
        <v>36</v>
      </c>
      <c r="Y63" s="55">
        <f ca="1">IF((W63-Datos!$U$5-1000000)/X63&gt;0,(W63-Datos!$U$5-1000000)/X63,0)</f>
        <v>423073.5927777777</v>
      </c>
      <c r="Z63" s="56">
        <f>Datos!$K$5</f>
        <v>36</v>
      </c>
      <c r="AA63" s="55">
        <f ca="1">IF((W63-Datos!$U$5-1000000-O63*3%*VLOOKUP(TODAY(),'UF HOY'!$A$2:$B$36,2,0))/Z63&gt;0,(W63-Datos!$U$5-1000000-O63*3%*VLOOKUP(TODAY(),'UF HOY'!$A$2:$B$36,2,0))/Z63,0)</f>
        <v>286984.84827777767</v>
      </c>
      <c r="AB63" s="130" cm="1">
        <f t="array" ref="AB63">_xlfn.IFS(AND(L63=0,M63=0),VLOOKUP(D63,Datos!$F$31:$I$33,2,0),AND(L63=0,M63&gt;0),VLOOKUP(D63,Datos!$F$32:$I$33,2,0),AND(L63&gt;0,M63=0),VLOOKUP(D63,Datos!$F$32:$I$33,3,0),AND(L63&gt;0,M63&gt;0),VLOOKUP(D63,Datos!$F$31:$I$33,4,0))</f>
        <v>550000</v>
      </c>
      <c r="AC63" s="55">
        <f ca="1">(S63*PMT(Datos!$G$15,Datos!$G$14,-O63,,)*VLOOKUP(TODAY(),'UF HOY'!$A$2:$B$36,2,0)/12)+VLOOKUP(TODAY(),'UF HOY'!$A$2:$B$36,2,0)</f>
        <v>669335.98683284083</v>
      </c>
      <c r="AD63" s="55">
        <f t="shared" ca="1" si="10"/>
        <v>-119335.98683284083</v>
      </c>
      <c r="AE63" s="93">
        <f t="shared" ca="1" si="11"/>
        <v>2677343.9473313633</v>
      </c>
    </row>
    <row r="64" spans="1:31" s="3" customFormat="1" hidden="1" x14ac:dyDescent="0.35">
      <c r="A64" s="94" t="s">
        <v>342</v>
      </c>
      <c r="B64" s="80">
        <v>401</v>
      </c>
      <c r="C64" s="48" t="s">
        <v>41</v>
      </c>
      <c r="D64" s="48" t="s">
        <v>37</v>
      </c>
      <c r="E64" s="48"/>
      <c r="F64" s="48">
        <v>35.42</v>
      </c>
      <c r="G64" s="48">
        <v>2.91</v>
      </c>
      <c r="H64" s="82">
        <f t="shared" si="0"/>
        <v>36.875</v>
      </c>
      <c r="I64" s="82">
        <f t="shared" si="1"/>
        <v>38.33</v>
      </c>
      <c r="J64" s="49">
        <v>4120</v>
      </c>
      <c r="K64" s="305">
        <v>0.02</v>
      </c>
      <c r="L64" s="48">
        <v>0</v>
      </c>
      <c r="M64" s="48">
        <v>0</v>
      </c>
      <c r="N64" s="49">
        <f t="shared" si="2"/>
        <v>3633.84</v>
      </c>
      <c r="O64" s="52">
        <f t="shared" si="3"/>
        <v>4037.6</v>
      </c>
      <c r="P64" s="79">
        <f t="shared" si="4"/>
        <v>98.544813559322037</v>
      </c>
      <c r="Q64" s="53">
        <f t="shared" si="5"/>
        <v>0.1</v>
      </c>
      <c r="R64" s="54">
        <f t="shared" si="6"/>
        <v>403.76</v>
      </c>
      <c r="S64" s="53">
        <v>0.8</v>
      </c>
      <c r="T64" s="54">
        <f t="shared" si="7"/>
        <v>3230.08</v>
      </c>
      <c r="U64" s="53">
        <f t="shared" si="8"/>
        <v>9.9999999999999978E-2</v>
      </c>
      <c r="V64" s="54">
        <f t="shared" si="9"/>
        <v>403.75999999999988</v>
      </c>
      <c r="W64" s="55">
        <f ca="1">V64*VLOOKUP(TODAY(),'UF HOY'!$A$2:$B$36,2,0)</f>
        <v>16042975.614399996</v>
      </c>
      <c r="X64" s="56">
        <f>Datos!$K$5</f>
        <v>36</v>
      </c>
      <c r="Y64" s="55">
        <f ca="1">IF((W64-Datos!$U$5-1000000)/X64&gt;0,(W64-Datos!$U$5-1000000)/X64,0)</f>
        <v>415082.65595555544</v>
      </c>
      <c r="Z64" s="56">
        <f>Datos!$K$5</f>
        <v>36</v>
      </c>
      <c r="AA64" s="55">
        <f ca="1">IF((W64-Datos!$U$5-1000000-O64*3%*VLOOKUP(TODAY(),'UF HOY'!$A$2:$B$36,2,0))/Z64&gt;0,(W64-Datos!$U$5-1000000-O64*3%*VLOOKUP(TODAY(),'UF HOY'!$A$2:$B$36,2,0))/Z64,0)</f>
        <v>281391.19250222214</v>
      </c>
      <c r="AB64" s="130" cm="1">
        <f t="array" ref="AB64">_xlfn.IFS(AND(L64=0,M64=0),VLOOKUP(D64,Datos!$F$31:$I$33,2,0),AND(L64=0,M64&gt;0),VLOOKUP(D64,Datos!$F$32:$I$33,2,0),AND(L64&gt;0,M64=0),VLOOKUP(D64,Datos!$F$32:$I$33,3,0),AND(L64&gt;0,M64&gt;0),VLOOKUP(D64,Datos!$F$31:$I$33,4,0))</f>
        <v>550000</v>
      </c>
      <c r="AC64" s="55">
        <f ca="1">(S64*PMT(Datos!$G$15,Datos!$G$14,-O64,,)*VLOOKUP(TODAY(),'UF HOY'!$A$2:$B$36,2,0)/12)+VLOOKUP(TODAY(),'UF HOY'!$A$2:$B$36,2,0)</f>
        <v>658245.1867864423</v>
      </c>
      <c r="AD64" s="55">
        <f t="shared" ca="1" si="10"/>
        <v>-108245.1867864423</v>
      </c>
      <c r="AE64" s="93">
        <f t="shared" ca="1" si="11"/>
        <v>2632980.7471457692</v>
      </c>
    </row>
    <row r="65" spans="1:31" s="3" customFormat="1" hidden="1" x14ac:dyDescent="0.35">
      <c r="A65" s="94" t="s">
        <v>342</v>
      </c>
      <c r="B65" s="80">
        <v>509</v>
      </c>
      <c r="C65" s="48" t="s">
        <v>40</v>
      </c>
      <c r="D65" s="48" t="s">
        <v>37</v>
      </c>
      <c r="E65" s="48"/>
      <c r="F65" s="48">
        <v>34.369999999999997</v>
      </c>
      <c r="G65" s="48">
        <v>3.28</v>
      </c>
      <c r="H65" s="82">
        <f t="shared" si="0"/>
        <v>36.01</v>
      </c>
      <c r="I65" s="82">
        <f t="shared" si="1"/>
        <v>37.65</v>
      </c>
      <c r="J65" s="49">
        <v>4120</v>
      </c>
      <c r="K65" s="305">
        <v>0.02</v>
      </c>
      <c r="L65" s="48">
        <v>0</v>
      </c>
      <c r="M65" s="48">
        <v>0</v>
      </c>
      <c r="N65" s="49">
        <f t="shared" si="2"/>
        <v>3633.84</v>
      </c>
      <c r="O65" s="52">
        <f t="shared" si="3"/>
        <v>4037.6</v>
      </c>
      <c r="P65" s="79">
        <f t="shared" si="4"/>
        <v>100.91196889752847</v>
      </c>
      <c r="Q65" s="53">
        <f t="shared" si="5"/>
        <v>0.1</v>
      </c>
      <c r="R65" s="54">
        <f t="shared" si="6"/>
        <v>403.76</v>
      </c>
      <c r="S65" s="53">
        <v>0.8</v>
      </c>
      <c r="T65" s="54">
        <f t="shared" si="7"/>
        <v>3230.08</v>
      </c>
      <c r="U65" s="53">
        <f t="shared" si="8"/>
        <v>9.9999999999999978E-2</v>
      </c>
      <c r="V65" s="54">
        <f t="shared" si="9"/>
        <v>403.75999999999988</v>
      </c>
      <c r="W65" s="55">
        <f ca="1">V65*VLOOKUP(TODAY(),'UF HOY'!$A$2:$B$36,2,0)</f>
        <v>16042975.614399996</v>
      </c>
      <c r="X65" s="56">
        <f>Datos!$K$5</f>
        <v>36</v>
      </c>
      <c r="Y65" s="55">
        <f ca="1">IF((W65-Datos!$U$5-1000000)/X65&gt;0,(W65-Datos!$U$5-1000000)/X65,0)</f>
        <v>415082.65595555544</v>
      </c>
      <c r="Z65" s="56">
        <f>Datos!$K$5</f>
        <v>36</v>
      </c>
      <c r="AA65" s="55">
        <f ca="1">IF((W65-Datos!$U$5-1000000-O65*3%*VLOOKUP(TODAY(),'UF HOY'!$A$2:$B$36,2,0))/Z65&gt;0,(W65-Datos!$U$5-1000000-O65*3%*VLOOKUP(TODAY(),'UF HOY'!$A$2:$B$36,2,0))/Z65,0)</f>
        <v>281391.19250222214</v>
      </c>
      <c r="AB65" s="130" cm="1">
        <f t="array" ref="AB65">_xlfn.IFS(AND(L65=0,M65=0),VLOOKUP(D65,Datos!$F$31:$I$33,2,0),AND(L65=0,M65&gt;0),VLOOKUP(D65,Datos!$F$32:$I$33,2,0),AND(L65&gt;0,M65=0),VLOOKUP(D65,Datos!$F$32:$I$33,3,0),AND(L65&gt;0,M65&gt;0),VLOOKUP(D65,Datos!$F$31:$I$33,4,0))</f>
        <v>550000</v>
      </c>
      <c r="AC65" s="55">
        <f ca="1">(S65*PMT(Datos!$G$15,Datos!$G$14,-O65,,)*VLOOKUP(TODAY(),'UF HOY'!$A$2:$B$36,2,0)/12)+VLOOKUP(TODAY(),'UF HOY'!$A$2:$B$36,2,0)</f>
        <v>658245.1867864423</v>
      </c>
      <c r="AD65" s="55">
        <f t="shared" ca="1" si="10"/>
        <v>-108245.1867864423</v>
      </c>
      <c r="AE65" s="93">
        <f t="shared" ca="1" si="11"/>
        <v>2632980.7471457692</v>
      </c>
    </row>
    <row r="66" spans="1:31" s="3" customFormat="1" hidden="1" x14ac:dyDescent="0.35">
      <c r="A66" s="94" t="s">
        <v>342</v>
      </c>
      <c r="B66" s="80">
        <v>510</v>
      </c>
      <c r="C66" s="48" t="s">
        <v>40</v>
      </c>
      <c r="D66" s="48" t="s">
        <v>37</v>
      </c>
      <c r="E66" s="48"/>
      <c r="F66" s="48">
        <v>34.369999999999997</v>
      </c>
      <c r="G66" s="48">
        <v>3.28</v>
      </c>
      <c r="H66" s="82">
        <f t="shared" ref="H66:H129" si="12">F66+(G66/2)</f>
        <v>36.01</v>
      </c>
      <c r="I66" s="82">
        <f t="shared" ref="I66:I129" si="13">F66+G66</f>
        <v>37.65</v>
      </c>
      <c r="J66" s="49">
        <v>4120</v>
      </c>
      <c r="K66" s="305">
        <v>0.02</v>
      </c>
      <c r="L66" s="48">
        <v>0</v>
      </c>
      <c r="M66" s="48">
        <v>0</v>
      </c>
      <c r="N66" s="49">
        <f t="shared" ref="N66:N129" si="14">O66-R66</f>
        <v>3633.84</v>
      </c>
      <c r="O66" s="52">
        <f t="shared" ref="O66:O129" si="15">J66*(100%-K66)+L66+M66</f>
        <v>4037.6</v>
      </c>
      <c r="P66" s="79">
        <f t="shared" ref="P66:P129" si="16">(N66-L66-M66)/H66</f>
        <v>100.91196889752847</v>
      </c>
      <c r="Q66" s="53">
        <f t="shared" ref="Q66:Q129" si="17">IF((O66-N66)/O66&gt;10%,10%,ROUND(IF(O66&gt;N66,(O66-N66)/O66,0),4))</f>
        <v>0.1</v>
      </c>
      <c r="R66" s="54">
        <f t="shared" ref="R66:R129" si="18">(J66-J66*K66)*0.1</f>
        <v>403.76</v>
      </c>
      <c r="S66" s="53">
        <v>0.8</v>
      </c>
      <c r="T66" s="54">
        <f t="shared" ref="T66:T129" si="19">S66*O66</f>
        <v>3230.08</v>
      </c>
      <c r="U66" s="53">
        <f t="shared" ref="U66:U129" si="20">100%-Q66-S66</f>
        <v>9.9999999999999978E-2</v>
      </c>
      <c r="V66" s="54">
        <f t="shared" ref="V66:V129" si="21">O66*U66</f>
        <v>403.75999999999988</v>
      </c>
      <c r="W66" s="55">
        <f ca="1">V66*VLOOKUP(TODAY(),'UF HOY'!$A$2:$B$36,2,0)</f>
        <v>16042975.614399996</v>
      </c>
      <c r="X66" s="56">
        <f>Datos!$K$5</f>
        <v>36</v>
      </c>
      <c r="Y66" s="55">
        <f ca="1">IF((W66-Datos!$U$5-1000000)/X66&gt;0,(W66-Datos!$U$5-1000000)/X66,0)</f>
        <v>415082.65595555544</v>
      </c>
      <c r="Z66" s="56">
        <f>Datos!$K$5</f>
        <v>36</v>
      </c>
      <c r="AA66" s="55">
        <f ca="1">IF((W66-Datos!$U$5-1000000-O66*3%*VLOOKUP(TODAY(),'UF HOY'!$A$2:$B$36,2,0))/Z66&gt;0,(W66-Datos!$U$5-1000000-O66*3%*VLOOKUP(TODAY(),'UF HOY'!$A$2:$B$36,2,0))/Z66,0)</f>
        <v>281391.19250222214</v>
      </c>
      <c r="AB66" s="130" cm="1">
        <f t="array" ref="AB66">_xlfn.IFS(AND(L66=0,M66=0),VLOOKUP(D66,Datos!$F$31:$I$33,2,0),AND(L66=0,M66&gt;0),VLOOKUP(D66,Datos!$F$32:$I$33,2,0),AND(L66&gt;0,M66=0),VLOOKUP(D66,Datos!$F$32:$I$33,3,0),AND(L66&gt;0,M66&gt;0),VLOOKUP(D66,Datos!$F$31:$I$33,4,0))</f>
        <v>550000</v>
      </c>
      <c r="AC66" s="55">
        <f ca="1">(S66*PMT(Datos!$G$15,Datos!$G$14,-O66,,)*VLOOKUP(TODAY(),'UF HOY'!$A$2:$B$36,2,0)/12)+VLOOKUP(TODAY(),'UF HOY'!$A$2:$B$36,2,0)</f>
        <v>658245.1867864423</v>
      </c>
      <c r="AD66" s="55">
        <f t="shared" ref="AD66:AD129" ca="1" si="22">AB66-AC66</f>
        <v>-108245.1867864423</v>
      </c>
      <c r="AE66" s="93">
        <f t="shared" ca="1" si="11"/>
        <v>2632980.7471457692</v>
      </c>
    </row>
    <row r="67" spans="1:31" s="3" customFormat="1" x14ac:dyDescent="0.35">
      <c r="A67" s="94" t="s">
        <v>346</v>
      </c>
      <c r="B67" s="80">
        <v>802</v>
      </c>
      <c r="C67" s="48" t="s">
        <v>38</v>
      </c>
      <c r="D67" s="48" t="s">
        <v>37</v>
      </c>
      <c r="E67" s="48"/>
      <c r="F67" s="48">
        <v>34.89</v>
      </c>
      <c r="G67" s="48">
        <v>2.83</v>
      </c>
      <c r="H67" s="82">
        <f t="shared" si="12"/>
        <v>36.305</v>
      </c>
      <c r="I67" s="82">
        <f t="shared" si="13"/>
        <v>37.72</v>
      </c>
      <c r="J67" s="49">
        <v>4120</v>
      </c>
      <c r="K67" s="304">
        <v>0</v>
      </c>
      <c r="L67" s="48">
        <v>0</v>
      </c>
      <c r="M67" s="48">
        <v>0</v>
      </c>
      <c r="N67" s="49">
        <f t="shared" si="14"/>
        <v>3708</v>
      </c>
      <c r="O67" s="52">
        <f t="shared" si="15"/>
        <v>4120</v>
      </c>
      <c r="P67" s="79">
        <f t="shared" si="16"/>
        <v>102.13469219115824</v>
      </c>
      <c r="Q67" s="53">
        <f t="shared" si="17"/>
        <v>0.1</v>
      </c>
      <c r="R67" s="54">
        <f t="shared" si="18"/>
        <v>412</v>
      </c>
      <c r="S67" s="53">
        <v>0.8</v>
      </c>
      <c r="T67" s="54">
        <f t="shared" si="19"/>
        <v>3296</v>
      </c>
      <c r="U67" s="53">
        <f t="shared" si="20"/>
        <v>9.9999999999999978E-2</v>
      </c>
      <c r="V67" s="54">
        <f t="shared" si="21"/>
        <v>411.99999999999989</v>
      </c>
      <c r="W67" s="55">
        <f ca="1">V67*VLOOKUP(TODAY(),'UF HOY'!$A$2:$B$36,2,0)</f>
        <v>16370383.279999996</v>
      </c>
      <c r="X67" s="56">
        <f>Datos!$K$5</f>
        <v>36</v>
      </c>
      <c r="Y67" s="55">
        <f ca="1">IF((W67-Datos!$U$5-1000000)/X67&gt;0,(W67-Datos!$U$5-1000000)/X67,0)</f>
        <v>424177.31333333324</v>
      </c>
      <c r="Z67" s="56">
        <f>Datos!$K$5</f>
        <v>36</v>
      </c>
      <c r="AA67" s="55">
        <f ca="1">IF((W67-Datos!$U$5-1000000-O67*3%*VLOOKUP(TODAY(),'UF HOY'!$A$2:$B$36,2,0))/Z67&gt;0,(W67-Datos!$U$5-1000000-O67*3%*VLOOKUP(TODAY(),'UF HOY'!$A$2:$B$36,2,0))/Z67,0)</f>
        <v>287757.45266666659</v>
      </c>
      <c r="AB67" s="130" cm="1">
        <f t="array" ref="AB67">_xlfn.IFS(AND(L67=0,M67=0),VLOOKUP(D67,Datos!$F$31:$I$33,2,0),AND(L67=0,M67&gt;0),VLOOKUP(D67,Datos!$F$32:$I$33,2,0),AND(L67&gt;0,M67=0),VLOOKUP(D67,Datos!$F$32:$I$33,3,0),AND(L67&gt;0,M67&gt;0),VLOOKUP(D67,Datos!$F$31:$I$33,4,0))</f>
        <v>550000</v>
      </c>
      <c r="AC67" s="55">
        <f ca="1">(S67*PMT(Datos!$G$15,Datos!$G$14,-O67,,)*VLOOKUP(TODAY(),'UF HOY'!$A$2:$B$36,2,0)/12)+VLOOKUP(TODAY(),'UF HOY'!$A$2:$B$36,2,0)</f>
        <v>670867.86529228813</v>
      </c>
      <c r="AD67" s="55">
        <f t="shared" ca="1" si="22"/>
        <v>-120867.86529228813</v>
      </c>
      <c r="AE67" s="93">
        <f t="shared" ref="AE67:AE130" ca="1" si="23">IF((AC67/0.25)&lt;=1600000,1600000,(AC67/0.25))</f>
        <v>2683471.4611691525</v>
      </c>
    </row>
    <row r="68" spans="1:31" s="3" customFormat="1" hidden="1" x14ac:dyDescent="0.35">
      <c r="A68" s="94" t="s">
        <v>342</v>
      </c>
      <c r="B68" s="80">
        <v>1212</v>
      </c>
      <c r="C68" s="48" t="s">
        <v>41</v>
      </c>
      <c r="D68" s="48" t="s">
        <v>37</v>
      </c>
      <c r="E68" s="48"/>
      <c r="F68" s="48">
        <v>34.630000000000003</v>
      </c>
      <c r="G68" s="48">
        <v>2.93</v>
      </c>
      <c r="H68" s="82">
        <f t="shared" si="12"/>
        <v>36.095000000000006</v>
      </c>
      <c r="I68" s="82">
        <f t="shared" si="13"/>
        <v>37.56</v>
      </c>
      <c r="J68" s="49">
        <v>4120</v>
      </c>
      <c r="K68" s="305">
        <v>0.02</v>
      </c>
      <c r="L68" s="48">
        <v>0</v>
      </c>
      <c r="M68" s="48">
        <v>0</v>
      </c>
      <c r="N68" s="49">
        <f t="shared" si="14"/>
        <v>3633.84</v>
      </c>
      <c r="O68" s="52">
        <f t="shared" si="15"/>
        <v>4037.6</v>
      </c>
      <c r="P68" s="79">
        <f t="shared" si="16"/>
        <v>100.67433162487877</v>
      </c>
      <c r="Q68" s="53">
        <f t="shared" si="17"/>
        <v>0.1</v>
      </c>
      <c r="R68" s="54">
        <f t="shared" si="18"/>
        <v>403.76</v>
      </c>
      <c r="S68" s="53">
        <v>0.8</v>
      </c>
      <c r="T68" s="54">
        <f t="shared" si="19"/>
        <v>3230.08</v>
      </c>
      <c r="U68" s="53">
        <f t="shared" si="20"/>
        <v>9.9999999999999978E-2</v>
      </c>
      <c r="V68" s="54">
        <f t="shared" si="21"/>
        <v>403.75999999999988</v>
      </c>
      <c r="W68" s="55">
        <f ca="1">V68*VLOOKUP(TODAY(),'UF HOY'!$A$2:$B$36,2,0)</f>
        <v>16042975.614399996</v>
      </c>
      <c r="X68" s="56">
        <f>Datos!$K$5</f>
        <v>36</v>
      </c>
      <c r="Y68" s="55">
        <f ca="1">IF((W68-Datos!$U$5-1000000)/X68&gt;0,(W68-Datos!$U$5-1000000)/X68,0)</f>
        <v>415082.65595555544</v>
      </c>
      <c r="Z68" s="56">
        <f>Datos!$K$5</f>
        <v>36</v>
      </c>
      <c r="AA68" s="55">
        <f ca="1">IF((W68-Datos!$U$5-1000000-O68*3%*VLOOKUP(TODAY(),'UF HOY'!$A$2:$B$36,2,0))/Z68&gt;0,(W68-Datos!$U$5-1000000-O68*3%*VLOOKUP(TODAY(),'UF HOY'!$A$2:$B$36,2,0))/Z68,0)</f>
        <v>281391.19250222214</v>
      </c>
      <c r="AB68" s="130" cm="1">
        <f t="array" ref="AB68">_xlfn.IFS(AND(L68=0,M68=0),VLOOKUP(D68,Datos!$F$31:$I$33,2,0),AND(L68=0,M68&gt;0),VLOOKUP(D68,Datos!$F$32:$I$33,2,0),AND(L68&gt;0,M68=0),VLOOKUP(D68,Datos!$F$32:$I$33,3,0),AND(L68&gt;0,M68&gt;0),VLOOKUP(D68,Datos!$F$31:$I$33,4,0))</f>
        <v>550000</v>
      </c>
      <c r="AC68" s="55">
        <f ca="1">(S68*PMT(Datos!$G$15,Datos!$G$14,-O68,,)*VLOOKUP(TODAY(),'UF HOY'!$A$2:$B$36,2,0)/12)+VLOOKUP(TODAY(),'UF HOY'!$A$2:$B$36,2,0)</f>
        <v>658245.1867864423</v>
      </c>
      <c r="AD68" s="55">
        <f t="shared" ca="1" si="22"/>
        <v>-108245.1867864423</v>
      </c>
      <c r="AE68" s="93">
        <f t="shared" ca="1" si="23"/>
        <v>2632980.7471457692</v>
      </c>
    </row>
    <row r="69" spans="1:31" s="3" customFormat="1" x14ac:dyDescent="0.35">
      <c r="A69" s="94" t="s">
        <v>346</v>
      </c>
      <c r="B69" s="80">
        <v>1707</v>
      </c>
      <c r="C69" s="48" t="s">
        <v>36</v>
      </c>
      <c r="D69" s="48" t="s">
        <v>37</v>
      </c>
      <c r="E69" s="48"/>
      <c r="F69" s="48">
        <v>34.17</v>
      </c>
      <c r="G69" s="48">
        <v>2.8</v>
      </c>
      <c r="H69" s="82">
        <f t="shared" si="12"/>
        <v>35.57</v>
      </c>
      <c r="I69" s="82">
        <f t="shared" si="13"/>
        <v>36.97</v>
      </c>
      <c r="J69" s="49">
        <v>4120</v>
      </c>
      <c r="K69" s="304">
        <v>0</v>
      </c>
      <c r="L69" s="48">
        <v>0</v>
      </c>
      <c r="M69" s="48">
        <v>0</v>
      </c>
      <c r="N69" s="49">
        <f t="shared" si="14"/>
        <v>3708</v>
      </c>
      <c r="O69" s="52">
        <f t="shared" si="15"/>
        <v>4120</v>
      </c>
      <c r="P69" s="79">
        <f t="shared" si="16"/>
        <v>104.24515040764689</v>
      </c>
      <c r="Q69" s="53">
        <f t="shared" si="17"/>
        <v>0.1</v>
      </c>
      <c r="R69" s="54">
        <f t="shared" si="18"/>
        <v>412</v>
      </c>
      <c r="S69" s="53">
        <v>0.8</v>
      </c>
      <c r="T69" s="54">
        <f t="shared" si="19"/>
        <v>3296</v>
      </c>
      <c r="U69" s="53">
        <f t="shared" si="20"/>
        <v>9.9999999999999978E-2</v>
      </c>
      <c r="V69" s="54">
        <f t="shared" si="21"/>
        <v>411.99999999999989</v>
      </c>
      <c r="W69" s="55">
        <f ca="1">V69*VLOOKUP(TODAY(),'UF HOY'!$A$2:$B$36,2,0)</f>
        <v>16370383.279999996</v>
      </c>
      <c r="X69" s="56">
        <f>Datos!$K$5</f>
        <v>36</v>
      </c>
      <c r="Y69" s="55">
        <f ca="1">IF((W69-Datos!$U$5-1000000)/X69&gt;0,(W69-Datos!$U$5-1000000)/X69,0)</f>
        <v>424177.31333333324</v>
      </c>
      <c r="Z69" s="56">
        <f>Datos!$K$5</f>
        <v>36</v>
      </c>
      <c r="AA69" s="55">
        <f ca="1">IF((W69-Datos!$U$5-1000000-O69*3%*VLOOKUP(TODAY(),'UF HOY'!$A$2:$B$36,2,0))/Z69&gt;0,(W69-Datos!$U$5-1000000-O69*3%*VLOOKUP(TODAY(),'UF HOY'!$A$2:$B$36,2,0))/Z69,0)</f>
        <v>287757.45266666659</v>
      </c>
      <c r="AB69" s="130" cm="1">
        <f t="array" ref="AB69">_xlfn.IFS(AND(L69=0,M69=0),VLOOKUP(D69,Datos!$F$31:$I$33,2,0),AND(L69=0,M69&gt;0),VLOOKUP(D69,Datos!$F$32:$I$33,2,0),AND(L69&gt;0,M69=0),VLOOKUP(D69,Datos!$F$32:$I$33,3,0),AND(L69&gt;0,M69&gt;0),VLOOKUP(D69,Datos!$F$31:$I$33,4,0))</f>
        <v>550000</v>
      </c>
      <c r="AC69" s="55">
        <f ca="1">(S69*PMT(Datos!$G$15,Datos!$G$14,-O69,,)*VLOOKUP(TODAY(),'UF HOY'!$A$2:$B$36,2,0)/12)+VLOOKUP(TODAY(),'UF HOY'!$A$2:$B$36,2,0)</f>
        <v>670867.86529228813</v>
      </c>
      <c r="AD69" s="55">
        <f t="shared" ca="1" si="22"/>
        <v>-120867.86529228813</v>
      </c>
      <c r="AE69" s="93">
        <f t="shared" ca="1" si="23"/>
        <v>2683471.4611691525</v>
      </c>
    </row>
    <row r="70" spans="1:31" s="3" customFormat="1" x14ac:dyDescent="0.35">
      <c r="A70" s="94" t="s">
        <v>346</v>
      </c>
      <c r="B70" s="80">
        <v>903</v>
      </c>
      <c r="C70" s="48" t="s">
        <v>38</v>
      </c>
      <c r="D70" s="48" t="s">
        <v>37</v>
      </c>
      <c r="E70" s="48"/>
      <c r="F70" s="48">
        <v>34.79</v>
      </c>
      <c r="G70" s="48">
        <v>2.83</v>
      </c>
      <c r="H70" s="82">
        <f t="shared" si="12"/>
        <v>36.204999999999998</v>
      </c>
      <c r="I70" s="82">
        <f t="shared" si="13"/>
        <v>37.619999999999997</v>
      </c>
      <c r="J70" s="49">
        <v>4125</v>
      </c>
      <c r="K70" s="304">
        <v>0</v>
      </c>
      <c r="L70" s="48">
        <v>0</v>
      </c>
      <c r="M70" s="48">
        <v>0</v>
      </c>
      <c r="N70" s="49">
        <f t="shared" si="14"/>
        <v>3712.5</v>
      </c>
      <c r="O70" s="52">
        <f t="shared" si="15"/>
        <v>4125</v>
      </c>
      <c r="P70" s="79">
        <f t="shared" si="16"/>
        <v>102.54108548543019</v>
      </c>
      <c r="Q70" s="53">
        <f t="shared" si="17"/>
        <v>0.1</v>
      </c>
      <c r="R70" s="54">
        <f t="shared" si="18"/>
        <v>412.5</v>
      </c>
      <c r="S70" s="53">
        <v>0.8</v>
      </c>
      <c r="T70" s="54">
        <f t="shared" si="19"/>
        <v>3300</v>
      </c>
      <c r="U70" s="53">
        <f t="shared" si="20"/>
        <v>9.9999999999999978E-2</v>
      </c>
      <c r="V70" s="54">
        <f t="shared" si="21"/>
        <v>412.49999999999989</v>
      </c>
      <c r="W70" s="55">
        <f ca="1">V70*VLOOKUP(TODAY(),'UF HOY'!$A$2:$B$36,2,0)</f>
        <v>16390250.249999996</v>
      </c>
      <c r="X70" s="56">
        <f>Datos!$K$5</f>
        <v>36</v>
      </c>
      <c r="Y70" s="55">
        <f ca="1">IF((W70-Datos!$U$5-1000000)/X70&gt;0,(W70-Datos!$U$5-1000000)/X70,0)</f>
        <v>424729.17361111101</v>
      </c>
      <c r="Z70" s="56">
        <f>Datos!$K$5</f>
        <v>36</v>
      </c>
      <c r="AA70" s="55">
        <f ca="1">IF((W70-Datos!$U$5-1000000-O70*3%*VLOOKUP(TODAY(),'UF HOY'!$A$2:$B$36,2,0))/Z70&gt;0,(W70-Datos!$U$5-1000000-O70*3%*VLOOKUP(TODAY(),'UF HOY'!$A$2:$B$36,2,0))/Z70,0)</f>
        <v>288143.75486111105</v>
      </c>
      <c r="AB70" s="130" cm="1">
        <f t="array" ref="AB70">_xlfn.IFS(AND(L70=0,M70=0),VLOOKUP(D70,Datos!$F$31:$I$33,2,0),AND(L70=0,M70&gt;0),VLOOKUP(D70,Datos!$F$32:$I$33,2,0),AND(L70&gt;0,M70=0),VLOOKUP(D70,Datos!$F$32:$I$33,3,0),AND(L70&gt;0,M70&gt;0),VLOOKUP(D70,Datos!$F$31:$I$33,4,0))</f>
        <v>550000</v>
      </c>
      <c r="AC70" s="55">
        <f ca="1">(S70*PMT(Datos!$G$15,Datos!$G$14,-O70,,)*VLOOKUP(TODAY(),'UF HOY'!$A$2:$B$36,2,0)/12)+VLOOKUP(TODAY(),'UF HOY'!$A$2:$B$36,2,0)</f>
        <v>671633.80452201189</v>
      </c>
      <c r="AD70" s="55">
        <f t="shared" ca="1" si="22"/>
        <v>-121633.80452201189</v>
      </c>
      <c r="AE70" s="93">
        <f t="shared" ca="1" si="23"/>
        <v>2686535.2180880476</v>
      </c>
    </row>
    <row r="71" spans="1:31" s="3" customFormat="1" x14ac:dyDescent="0.35">
      <c r="A71" s="94" t="s">
        <v>346</v>
      </c>
      <c r="B71" s="80">
        <v>904</v>
      </c>
      <c r="C71" s="48" t="s">
        <v>38</v>
      </c>
      <c r="D71" s="48" t="s">
        <v>37</v>
      </c>
      <c r="E71" s="48"/>
      <c r="F71" s="48">
        <v>34.74</v>
      </c>
      <c r="G71" s="48">
        <v>2.86</v>
      </c>
      <c r="H71" s="82">
        <f t="shared" si="12"/>
        <v>36.17</v>
      </c>
      <c r="I71" s="82">
        <f t="shared" si="13"/>
        <v>37.6</v>
      </c>
      <c r="J71" s="49">
        <v>4125</v>
      </c>
      <c r="K71" s="304">
        <v>0</v>
      </c>
      <c r="L71" s="48">
        <v>0</v>
      </c>
      <c r="M71" s="48">
        <v>0</v>
      </c>
      <c r="N71" s="49">
        <f t="shared" si="14"/>
        <v>3712.5</v>
      </c>
      <c r="O71" s="52">
        <f t="shared" si="15"/>
        <v>4125</v>
      </c>
      <c r="P71" s="79">
        <f t="shared" si="16"/>
        <v>102.64030964888028</v>
      </c>
      <c r="Q71" s="53">
        <f t="shared" si="17"/>
        <v>0.1</v>
      </c>
      <c r="R71" s="54">
        <f t="shared" si="18"/>
        <v>412.5</v>
      </c>
      <c r="S71" s="53">
        <v>0.8</v>
      </c>
      <c r="T71" s="54">
        <f t="shared" si="19"/>
        <v>3300</v>
      </c>
      <c r="U71" s="53">
        <f t="shared" si="20"/>
        <v>9.9999999999999978E-2</v>
      </c>
      <c r="V71" s="54">
        <f t="shared" si="21"/>
        <v>412.49999999999989</v>
      </c>
      <c r="W71" s="55">
        <f ca="1">V71*VLOOKUP(TODAY(),'UF HOY'!$A$2:$B$36,2,0)</f>
        <v>16390250.249999996</v>
      </c>
      <c r="X71" s="56">
        <f>Datos!$K$5</f>
        <v>36</v>
      </c>
      <c r="Y71" s="55">
        <f ca="1">IF((W71-Datos!$U$5-1000000)/X71&gt;0,(W71-Datos!$U$5-1000000)/X71,0)</f>
        <v>424729.17361111101</v>
      </c>
      <c r="Z71" s="56">
        <f>Datos!$K$5</f>
        <v>36</v>
      </c>
      <c r="AA71" s="55">
        <f ca="1">IF((W71-Datos!$U$5-1000000-O71*3%*VLOOKUP(TODAY(),'UF HOY'!$A$2:$B$36,2,0))/Z71&gt;0,(W71-Datos!$U$5-1000000-O71*3%*VLOOKUP(TODAY(),'UF HOY'!$A$2:$B$36,2,0))/Z71,0)</f>
        <v>288143.75486111105</v>
      </c>
      <c r="AB71" s="130" cm="1">
        <f t="array" ref="AB71">_xlfn.IFS(AND(L71=0,M71=0),VLOOKUP(D71,Datos!$F$31:$I$33,2,0),AND(L71=0,M71&gt;0),VLOOKUP(D71,Datos!$F$32:$I$33,2,0),AND(L71&gt;0,M71=0),VLOOKUP(D71,Datos!$F$32:$I$33,3,0),AND(L71&gt;0,M71&gt;0),VLOOKUP(D71,Datos!$F$31:$I$33,4,0))</f>
        <v>550000</v>
      </c>
      <c r="AC71" s="55">
        <f ca="1">(S71*PMT(Datos!$G$15,Datos!$G$14,-O71,,)*VLOOKUP(TODAY(),'UF HOY'!$A$2:$B$36,2,0)/12)+VLOOKUP(TODAY(),'UF HOY'!$A$2:$B$36,2,0)</f>
        <v>671633.80452201189</v>
      </c>
      <c r="AD71" s="55">
        <f t="shared" ca="1" si="22"/>
        <v>-121633.80452201189</v>
      </c>
      <c r="AE71" s="93">
        <f t="shared" ca="1" si="23"/>
        <v>2686535.2180880476</v>
      </c>
    </row>
    <row r="72" spans="1:31" s="3" customFormat="1" x14ac:dyDescent="0.35">
      <c r="A72" s="94" t="s">
        <v>346</v>
      </c>
      <c r="B72" s="80">
        <v>1706</v>
      </c>
      <c r="C72" s="48" t="s">
        <v>36</v>
      </c>
      <c r="D72" s="48" t="s">
        <v>37</v>
      </c>
      <c r="E72" s="48"/>
      <c r="F72" s="48">
        <v>34.19</v>
      </c>
      <c r="G72" s="48">
        <v>2.8</v>
      </c>
      <c r="H72" s="82">
        <f t="shared" si="12"/>
        <v>35.589999999999996</v>
      </c>
      <c r="I72" s="82">
        <f t="shared" si="13"/>
        <v>36.989999999999995</v>
      </c>
      <c r="J72" s="49">
        <v>4125</v>
      </c>
      <c r="K72" s="304">
        <v>0</v>
      </c>
      <c r="L72" s="48">
        <v>0</v>
      </c>
      <c r="M72" s="48">
        <v>0</v>
      </c>
      <c r="N72" s="49">
        <f t="shared" si="14"/>
        <v>3712.5</v>
      </c>
      <c r="O72" s="52">
        <f t="shared" si="15"/>
        <v>4125</v>
      </c>
      <c r="P72" s="79">
        <f t="shared" si="16"/>
        <v>104.31300927226751</v>
      </c>
      <c r="Q72" s="53">
        <f t="shared" si="17"/>
        <v>0.1</v>
      </c>
      <c r="R72" s="54">
        <f t="shared" si="18"/>
        <v>412.5</v>
      </c>
      <c r="S72" s="53">
        <v>0.8</v>
      </c>
      <c r="T72" s="54">
        <f t="shared" si="19"/>
        <v>3300</v>
      </c>
      <c r="U72" s="53">
        <f t="shared" si="20"/>
        <v>9.9999999999999978E-2</v>
      </c>
      <c r="V72" s="54">
        <f t="shared" si="21"/>
        <v>412.49999999999989</v>
      </c>
      <c r="W72" s="55">
        <f ca="1">V72*VLOOKUP(TODAY(),'UF HOY'!$A$2:$B$36,2,0)</f>
        <v>16390250.249999996</v>
      </c>
      <c r="X72" s="56">
        <f>Datos!$K$5</f>
        <v>36</v>
      </c>
      <c r="Y72" s="55">
        <f ca="1">IF((W72-Datos!$U$5-1000000)/X72&gt;0,(W72-Datos!$U$5-1000000)/X72,0)</f>
        <v>424729.17361111101</v>
      </c>
      <c r="Z72" s="56">
        <f>Datos!$K$5</f>
        <v>36</v>
      </c>
      <c r="AA72" s="55">
        <f ca="1">IF((W72-Datos!$U$5-1000000-O72*3%*VLOOKUP(TODAY(),'UF HOY'!$A$2:$B$36,2,0))/Z72&gt;0,(W72-Datos!$U$5-1000000-O72*3%*VLOOKUP(TODAY(),'UF HOY'!$A$2:$B$36,2,0))/Z72,0)</f>
        <v>288143.75486111105</v>
      </c>
      <c r="AB72" s="130" cm="1">
        <f t="array" ref="AB72">_xlfn.IFS(AND(L72=0,M72=0),VLOOKUP(D72,Datos!$F$31:$I$33,2,0),AND(L72=0,M72&gt;0),VLOOKUP(D72,Datos!$F$32:$I$33,2,0),AND(L72&gt;0,M72=0),VLOOKUP(D72,Datos!$F$32:$I$33,3,0),AND(L72&gt;0,M72&gt;0),VLOOKUP(D72,Datos!$F$31:$I$33,4,0))</f>
        <v>550000</v>
      </c>
      <c r="AC72" s="55">
        <f ca="1">(S72*PMT(Datos!$G$15,Datos!$G$14,-O72,,)*VLOOKUP(TODAY(),'UF HOY'!$A$2:$B$36,2,0)/12)+VLOOKUP(TODAY(),'UF HOY'!$A$2:$B$36,2,0)</f>
        <v>671633.80452201189</v>
      </c>
      <c r="AD72" s="55">
        <f t="shared" ca="1" si="22"/>
        <v>-121633.80452201189</v>
      </c>
      <c r="AE72" s="93">
        <f t="shared" ca="1" si="23"/>
        <v>2686535.2180880476</v>
      </c>
    </row>
    <row r="73" spans="1:31" s="3" customFormat="1" x14ac:dyDescent="0.35">
      <c r="A73" s="94" t="s">
        <v>346</v>
      </c>
      <c r="B73" s="80">
        <v>1213</v>
      </c>
      <c r="C73" s="48" t="s">
        <v>41</v>
      </c>
      <c r="D73" s="48" t="s">
        <v>37</v>
      </c>
      <c r="E73" s="48"/>
      <c r="F73" s="48">
        <v>34.69</v>
      </c>
      <c r="G73" s="48">
        <v>2.93</v>
      </c>
      <c r="H73" s="82">
        <f t="shared" si="12"/>
        <v>36.155000000000001</v>
      </c>
      <c r="I73" s="82">
        <f t="shared" si="13"/>
        <v>37.619999999999997</v>
      </c>
      <c r="J73" s="49">
        <v>4130</v>
      </c>
      <c r="K73" s="304">
        <v>0</v>
      </c>
      <c r="L73" s="48">
        <v>0</v>
      </c>
      <c r="M73" s="48">
        <v>0</v>
      </c>
      <c r="N73" s="49">
        <f t="shared" si="14"/>
        <v>3717</v>
      </c>
      <c r="O73" s="52">
        <f t="shared" si="15"/>
        <v>4130</v>
      </c>
      <c r="P73" s="79">
        <f t="shared" si="16"/>
        <v>102.80735721200386</v>
      </c>
      <c r="Q73" s="53">
        <f t="shared" si="17"/>
        <v>0.1</v>
      </c>
      <c r="R73" s="54">
        <f t="shared" si="18"/>
        <v>413</v>
      </c>
      <c r="S73" s="53">
        <v>0.8</v>
      </c>
      <c r="T73" s="54">
        <f t="shared" si="19"/>
        <v>3304</v>
      </c>
      <c r="U73" s="53">
        <f t="shared" si="20"/>
        <v>9.9999999999999978E-2</v>
      </c>
      <c r="V73" s="54">
        <f t="shared" si="21"/>
        <v>412.99999999999989</v>
      </c>
      <c r="W73" s="55">
        <f ca="1">V73*VLOOKUP(TODAY(),'UF HOY'!$A$2:$B$36,2,0)</f>
        <v>16410117.219999997</v>
      </c>
      <c r="X73" s="56">
        <f>Datos!$K$5</f>
        <v>36</v>
      </c>
      <c r="Y73" s="55">
        <f ca="1">IF((W73-Datos!$U$5-1000000)/X73&gt;0,(W73-Datos!$U$5-1000000)/X73,0)</f>
        <v>425281.03388888878</v>
      </c>
      <c r="Z73" s="56">
        <f>Datos!$K$5</f>
        <v>36</v>
      </c>
      <c r="AA73" s="55">
        <f ca="1">IF((W73-Datos!$U$5-1000000-O73*3%*VLOOKUP(TODAY(),'UF HOY'!$A$2:$B$36,2,0))/Z73&gt;0,(W73-Datos!$U$5-1000000-O73*3%*VLOOKUP(TODAY(),'UF HOY'!$A$2:$B$36,2,0))/Z73,0)</f>
        <v>288530.05705555552</v>
      </c>
      <c r="AB73" s="130" cm="1">
        <f t="array" ref="AB73">_xlfn.IFS(AND(L73=0,M73=0),VLOOKUP(D73,Datos!$F$31:$I$33,2,0),AND(L73=0,M73&gt;0),VLOOKUP(D73,Datos!$F$32:$I$33,2,0),AND(L73&gt;0,M73=0),VLOOKUP(D73,Datos!$F$32:$I$33,3,0),AND(L73&gt;0,M73&gt;0),VLOOKUP(D73,Datos!$F$31:$I$33,4,0))</f>
        <v>550000</v>
      </c>
      <c r="AC73" s="55">
        <f ca="1">(S73*PMT(Datos!$G$15,Datos!$G$14,-O73,,)*VLOOKUP(TODAY(),'UF HOY'!$A$2:$B$36,2,0)/12)+VLOOKUP(TODAY(),'UF HOY'!$A$2:$B$36,2,0)</f>
        <v>672399.74375173566</v>
      </c>
      <c r="AD73" s="55">
        <f t="shared" ca="1" si="22"/>
        <v>-122399.74375173566</v>
      </c>
      <c r="AE73" s="93">
        <f t="shared" ca="1" si="23"/>
        <v>2689598.9750069426</v>
      </c>
    </row>
    <row r="74" spans="1:31" s="3" customFormat="1" x14ac:dyDescent="0.35">
      <c r="A74" s="94" t="s">
        <v>346</v>
      </c>
      <c r="B74" s="80">
        <v>1807</v>
      </c>
      <c r="C74" s="48" t="s">
        <v>36</v>
      </c>
      <c r="D74" s="48" t="s">
        <v>37</v>
      </c>
      <c r="E74" s="48"/>
      <c r="F74" s="48">
        <v>34.17</v>
      </c>
      <c r="G74" s="48">
        <v>2.8</v>
      </c>
      <c r="H74" s="82">
        <f t="shared" si="12"/>
        <v>35.57</v>
      </c>
      <c r="I74" s="82">
        <f t="shared" si="13"/>
        <v>36.97</v>
      </c>
      <c r="J74" s="49">
        <v>4130</v>
      </c>
      <c r="K74" s="304">
        <v>0</v>
      </c>
      <c r="L74" s="48">
        <v>0</v>
      </c>
      <c r="M74" s="48">
        <v>0</v>
      </c>
      <c r="N74" s="49">
        <f t="shared" si="14"/>
        <v>3717</v>
      </c>
      <c r="O74" s="52">
        <f t="shared" si="15"/>
        <v>4130</v>
      </c>
      <c r="P74" s="79">
        <f t="shared" si="16"/>
        <v>104.49817261737419</v>
      </c>
      <c r="Q74" s="53">
        <f t="shared" si="17"/>
        <v>0.1</v>
      </c>
      <c r="R74" s="54">
        <f t="shared" si="18"/>
        <v>413</v>
      </c>
      <c r="S74" s="53">
        <v>0.8</v>
      </c>
      <c r="T74" s="54">
        <f t="shared" si="19"/>
        <v>3304</v>
      </c>
      <c r="U74" s="53">
        <f t="shared" si="20"/>
        <v>9.9999999999999978E-2</v>
      </c>
      <c r="V74" s="54">
        <f t="shared" si="21"/>
        <v>412.99999999999989</v>
      </c>
      <c r="W74" s="55">
        <f ca="1">V74*VLOOKUP(TODAY(),'UF HOY'!$A$2:$B$36,2,0)</f>
        <v>16410117.219999997</v>
      </c>
      <c r="X74" s="56">
        <f>Datos!$K$5</f>
        <v>36</v>
      </c>
      <c r="Y74" s="55">
        <f ca="1">IF((W74-Datos!$U$5-1000000)/X74&gt;0,(W74-Datos!$U$5-1000000)/X74,0)</f>
        <v>425281.03388888878</v>
      </c>
      <c r="Z74" s="56">
        <f>Datos!$K$5</f>
        <v>36</v>
      </c>
      <c r="AA74" s="55">
        <f ca="1">IF((W74-Datos!$U$5-1000000-O74*3%*VLOOKUP(TODAY(),'UF HOY'!$A$2:$B$36,2,0))/Z74&gt;0,(W74-Datos!$U$5-1000000-O74*3%*VLOOKUP(TODAY(),'UF HOY'!$A$2:$B$36,2,0))/Z74,0)</f>
        <v>288530.05705555552</v>
      </c>
      <c r="AB74" s="130" cm="1">
        <f t="array" ref="AB74">_xlfn.IFS(AND(L74=0,M74=0),VLOOKUP(D74,Datos!$F$31:$I$33,2,0),AND(L74=0,M74&gt;0),VLOOKUP(D74,Datos!$F$32:$I$33,2,0),AND(L74&gt;0,M74=0),VLOOKUP(D74,Datos!$F$32:$I$33,3,0),AND(L74&gt;0,M74&gt;0),VLOOKUP(D74,Datos!$F$31:$I$33,4,0))</f>
        <v>550000</v>
      </c>
      <c r="AC74" s="55">
        <f ca="1">(S74*PMT(Datos!$G$15,Datos!$G$14,-O74,,)*VLOOKUP(TODAY(),'UF HOY'!$A$2:$B$36,2,0)/12)+VLOOKUP(TODAY(),'UF HOY'!$A$2:$B$36,2,0)</f>
        <v>672399.74375173566</v>
      </c>
      <c r="AD74" s="55">
        <f t="shared" ca="1" si="22"/>
        <v>-122399.74375173566</v>
      </c>
      <c r="AE74" s="93">
        <f t="shared" ca="1" si="23"/>
        <v>2689598.9750069426</v>
      </c>
    </row>
    <row r="75" spans="1:31" s="3" customFormat="1" hidden="1" x14ac:dyDescent="0.35">
      <c r="A75" s="94" t="s">
        <v>342</v>
      </c>
      <c r="B75" s="80">
        <v>609</v>
      </c>
      <c r="C75" s="48" t="s">
        <v>40</v>
      </c>
      <c r="D75" s="48" t="s">
        <v>37</v>
      </c>
      <c r="E75" s="48"/>
      <c r="F75" s="48">
        <v>34.369999999999997</v>
      </c>
      <c r="G75" s="48">
        <v>3.28</v>
      </c>
      <c r="H75" s="82">
        <f t="shared" si="12"/>
        <v>36.01</v>
      </c>
      <c r="I75" s="82">
        <f t="shared" si="13"/>
        <v>37.65</v>
      </c>
      <c r="J75" s="49">
        <v>4135</v>
      </c>
      <c r="K75" s="305">
        <v>0.02</v>
      </c>
      <c r="L75" s="48">
        <v>0</v>
      </c>
      <c r="M75" s="48">
        <v>0</v>
      </c>
      <c r="N75" s="49">
        <f t="shared" si="14"/>
        <v>3647.0699999999997</v>
      </c>
      <c r="O75" s="52">
        <f t="shared" si="15"/>
        <v>4052.2999999999997</v>
      </c>
      <c r="P75" s="79">
        <f t="shared" si="16"/>
        <v>101.27936684254374</v>
      </c>
      <c r="Q75" s="53">
        <f t="shared" si="17"/>
        <v>0.1</v>
      </c>
      <c r="R75" s="54">
        <f t="shared" si="18"/>
        <v>405.23</v>
      </c>
      <c r="S75" s="53">
        <v>0.8</v>
      </c>
      <c r="T75" s="54">
        <f t="shared" si="19"/>
        <v>3241.84</v>
      </c>
      <c r="U75" s="53">
        <f t="shared" si="20"/>
        <v>9.9999999999999978E-2</v>
      </c>
      <c r="V75" s="54">
        <f t="shared" si="21"/>
        <v>405.2299999999999</v>
      </c>
      <c r="W75" s="55">
        <f ca="1">V75*VLOOKUP(TODAY(),'UF HOY'!$A$2:$B$36,2,0)</f>
        <v>16101384.506199997</v>
      </c>
      <c r="X75" s="56">
        <f>Datos!$K$5</f>
        <v>36</v>
      </c>
      <c r="Y75" s="55">
        <f ca="1">IF((W75-Datos!$U$5-1000000)/X75&gt;0,(W75-Datos!$U$5-1000000)/X75,0)</f>
        <v>416705.12517222215</v>
      </c>
      <c r="Z75" s="56">
        <f>Datos!$K$5</f>
        <v>36</v>
      </c>
      <c r="AA75" s="55">
        <f ca="1">IF((W75-Datos!$U$5-1000000-O75*3%*VLOOKUP(TODAY(),'UF HOY'!$A$2:$B$36,2,0))/Z75&gt;0,(W75-Datos!$U$5-1000000-O75*3%*VLOOKUP(TODAY(),'UF HOY'!$A$2:$B$36,2,0))/Z75,0)</f>
        <v>282526.9209538888</v>
      </c>
      <c r="AB75" s="130" cm="1">
        <f t="array" ref="AB75">_xlfn.IFS(AND(L75=0,M75=0),VLOOKUP(D75,Datos!$F$31:$I$33,2,0),AND(L75=0,M75&gt;0),VLOOKUP(D75,Datos!$F$32:$I$33,2,0),AND(L75&gt;0,M75=0),VLOOKUP(D75,Datos!$F$32:$I$33,3,0),AND(L75&gt;0,M75&gt;0),VLOOKUP(D75,Datos!$F$31:$I$33,4,0))</f>
        <v>550000</v>
      </c>
      <c r="AC75" s="55">
        <f ca="1">(S75*PMT(Datos!$G$15,Datos!$G$14,-O75,,)*VLOOKUP(TODAY(),'UF HOY'!$A$2:$B$36,2,0)/12)+VLOOKUP(TODAY(),'UF HOY'!$A$2:$B$36,2,0)</f>
        <v>660497.04812182975</v>
      </c>
      <c r="AD75" s="55">
        <f t="shared" ca="1" si="22"/>
        <v>-110497.04812182975</v>
      </c>
      <c r="AE75" s="93">
        <f t="shared" ca="1" si="23"/>
        <v>2641988.192487319</v>
      </c>
    </row>
    <row r="76" spans="1:31" s="3" customFormat="1" hidden="1" x14ac:dyDescent="0.35">
      <c r="A76" s="94" t="s">
        <v>342</v>
      </c>
      <c r="B76" s="80">
        <v>610</v>
      </c>
      <c r="C76" s="48" t="s">
        <v>40</v>
      </c>
      <c r="D76" s="48" t="s">
        <v>37</v>
      </c>
      <c r="E76" s="48"/>
      <c r="F76" s="48">
        <v>34.369999999999997</v>
      </c>
      <c r="G76" s="48">
        <v>3.28</v>
      </c>
      <c r="H76" s="82">
        <f t="shared" si="12"/>
        <v>36.01</v>
      </c>
      <c r="I76" s="82">
        <f t="shared" si="13"/>
        <v>37.65</v>
      </c>
      <c r="J76" s="49">
        <v>4135</v>
      </c>
      <c r="K76" s="305">
        <v>0.02</v>
      </c>
      <c r="L76" s="48">
        <v>0</v>
      </c>
      <c r="M76" s="48">
        <v>0</v>
      </c>
      <c r="N76" s="49">
        <f t="shared" si="14"/>
        <v>3647.0699999999997</v>
      </c>
      <c r="O76" s="52">
        <f t="shared" si="15"/>
        <v>4052.2999999999997</v>
      </c>
      <c r="P76" s="79">
        <f t="shared" si="16"/>
        <v>101.27936684254374</v>
      </c>
      <c r="Q76" s="53">
        <f t="shared" si="17"/>
        <v>0.1</v>
      </c>
      <c r="R76" s="54">
        <f t="shared" si="18"/>
        <v>405.23</v>
      </c>
      <c r="S76" s="53">
        <v>0.8</v>
      </c>
      <c r="T76" s="54">
        <f t="shared" si="19"/>
        <v>3241.84</v>
      </c>
      <c r="U76" s="53">
        <f t="shared" si="20"/>
        <v>9.9999999999999978E-2</v>
      </c>
      <c r="V76" s="54">
        <f t="shared" si="21"/>
        <v>405.2299999999999</v>
      </c>
      <c r="W76" s="55">
        <f ca="1">V76*VLOOKUP(TODAY(),'UF HOY'!$A$2:$B$36,2,0)</f>
        <v>16101384.506199997</v>
      </c>
      <c r="X76" s="56">
        <f>Datos!$K$5</f>
        <v>36</v>
      </c>
      <c r="Y76" s="55">
        <f ca="1">IF((W76-Datos!$U$5-1000000)/X76&gt;0,(W76-Datos!$U$5-1000000)/X76,0)</f>
        <v>416705.12517222215</v>
      </c>
      <c r="Z76" s="56">
        <f>Datos!$K$5</f>
        <v>36</v>
      </c>
      <c r="AA76" s="55">
        <f ca="1">IF((W76-Datos!$U$5-1000000-O76*3%*VLOOKUP(TODAY(),'UF HOY'!$A$2:$B$36,2,0))/Z76&gt;0,(W76-Datos!$U$5-1000000-O76*3%*VLOOKUP(TODAY(),'UF HOY'!$A$2:$B$36,2,0))/Z76,0)</f>
        <v>282526.9209538888</v>
      </c>
      <c r="AB76" s="130" cm="1">
        <f t="array" ref="AB76">_xlfn.IFS(AND(L76=0,M76=0),VLOOKUP(D76,Datos!$F$31:$I$33,2,0),AND(L76=0,M76&gt;0),VLOOKUP(D76,Datos!$F$32:$I$33,2,0),AND(L76&gt;0,M76=0),VLOOKUP(D76,Datos!$F$32:$I$33,3,0),AND(L76&gt;0,M76&gt;0),VLOOKUP(D76,Datos!$F$31:$I$33,4,0))</f>
        <v>550000</v>
      </c>
      <c r="AC76" s="55">
        <f ca="1">(S76*PMT(Datos!$G$15,Datos!$G$14,-O76,,)*VLOOKUP(TODAY(),'UF HOY'!$A$2:$B$36,2,0)/12)+VLOOKUP(TODAY(),'UF HOY'!$A$2:$B$36,2,0)</f>
        <v>660497.04812182975</v>
      </c>
      <c r="AD76" s="55">
        <f t="shared" ca="1" si="22"/>
        <v>-110497.04812182975</v>
      </c>
      <c r="AE76" s="93">
        <f t="shared" ca="1" si="23"/>
        <v>2641988.192487319</v>
      </c>
    </row>
    <row r="77" spans="1:31" s="3" customFormat="1" x14ac:dyDescent="0.35">
      <c r="A77" s="94" t="s">
        <v>346</v>
      </c>
      <c r="B77" s="80">
        <v>1312</v>
      </c>
      <c r="C77" s="48" t="s">
        <v>41</v>
      </c>
      <c r="D77" s="48" t="s">
        <v>37</v>
      </c>
      <c r="E77" s="48"/>
      <c r="F77" s="48">
        <v>34.630000000000003</v>
      </c>
      <c r="G77" s="48">
        <v>2.93</v>
      </c>
      <c r="H77" s="82">
        <f t="shared" si="12"/>
        <v>36.095000000000006</v>
      </c>
      <c r="I77" s="82">
        <f t="shared" si="13"/>
        <v>37.56</v>
      </c>
      <c r="J77" s="49">
        <v>4135</v>
      </c>
      <c r="K77" s="304">
        <v>0</v>
      </c>
      <c r="L77" s="48">
        <v>0</v>
      </c>
      <c r="M77" s="48">
        <v>0</v>
      </c>
      <c r="N77" s="49">
        <f t="shared" si="14"/>
        <v>3721.5</v>
      </c>
      <c r="O77" s="52">
        <f t="shared" si="15"/>
        <v>4135</v>
      </c>
      <c r="P77" s="79">
        <f t="shared" si="16"/>
        <v>103.10292284249894</v>
      </c>
      <c r="Q77" s="53">
        <f t="shared" si="17"/>
        <v>0.1</v>
      </c>
      <c r="R77" s="54">
        <f t="shared" si="18"/>
        <v>413.5</v>
      </c>
      <c r="S77" s="53">
        <v>0.8</v>
      </c>
      <c r="T77" s="54">
        <f t="shared" si="19"/>
        <v>3308</v>
      </c>
      <c r="U77" s="53">
        <f t="shared" si="20"/>
        <v>9.9999999999999978E-2</v>
      </c>
      <c r="V77" s="54">
        <f t="shared" si="21"/>
        <v>413.49999999999989</v>
      </c>
      <c r="W77" s="55">
        <f ca="1">V77*VLOOKUP(TODAY(),'UF HOY'!$A$2:$B$36,2,0)</f>
        <v>16429984.189999996</v>
      </c>
      <c r="X77" s="56">
        <f>Datos!$K$5</f>
        <v>36</v>
      </c>
      <c r="Y77" s="55">
        <f ca="1">IF((W77-Datos!$U$5-1000000)/X77&gt;0,(W77-Datos!$U$5-1000000)/X77,0)</f>
        <v>425832.89416666655</v>
      </c>
      <c r="Z77" s="56">
        <f>Datos!$K$5</f>
        <v>36</v>
      </c>
      <c r="AA77" s="55">
        <f ca="1">IF((W77-Datos!$U$5-1000000-O77*3%*VLOOKUP(TODAY(),'UF HOY'!$A$2:$B$36,2,0))/Z77&gt;0,(W77-Datos!$U$5-1000000-O77*3%*VLOOKUP(TODAY(),'UF HOY'!$A$2:$B$36,2,0))/Z77,0)</f>
        <v>288916.35924999986</v>
      </c>
      <c r="AB77" s="130" cm="1">
        <f t="array" ref="AB77">_xlfn.IFS(AND(L77=0,M77=0),VLOOKUP(D77,Datos!$F$31:$I$33,2,0),AND(L77=0,M77&gt;0),VLOOKUP(D77,Datos!$F$32:$I$33,2,0),AND(L77&gt;0,M77=0),VLOOKUP(D77,Datos!$F$32:$I$33,3,0),AND(L77&gt;0,M77&gt;0),VLOOKUP(D77,Datos!$F$31:$I$33,4,0))</f>
        <v>550000</v>
      </c>
      <c r="AC77" s="55">
        <f ca="1">(S77*PMT(Datos!$G$15,Datos!$G$14,-O77,,)*VLOOKUP(TODAY(),'UF HOY'!$A$2:$B$36,2,0)/12)+VLOOKUP(TODAY(),'UF HOY'!$A$2:$B$36,2,0)</f>
        <v>673165.68298145919</v>
      </c>
      <c r="AD77" s="55">
        <f t="shared" ca="1" si="22"/>
        <v>-123165.68298145919</v>
      </c>
      <c r="AE77" s="93">
        <f t="shared" ca="1" si="23"/>
        <v>2692662.7319258368</v>
      </c>
    </row>
    <row r="78" spans="1:31" s="3" customFormat="1" x14ac:dyDescent="0.35">
      <c r="A78" s="94" t="s">
        <v>346</v>
      </c>
      <c r="B78" s="80">
        <v>1806</v>
      </c>
      <c r="C78" s="48" t="s">
        <v>36</v>
      </c>
      <c r="D78" s="48" t="s">
        <v>37</v>
      </c>
      <c r="E78" s="48"/>
      <c r="F78" s="48">
        <v>34.19</v>
      </c>
      <c r="G78" s="48">
        <v>2.8</v>
      </c>
      <c r="H78" s="82">
        <f t="shared" si="12"/>
        <v>35.589999999999996</v>
      </c>
      <c r="I78" s="82">
        <f t="shared" si="13"/>
        <v>36.989999999999995</v>
      </c>
      <c r="J78" s="49">
        <v>4135</v>
      </c>
      <c r="K78" s="304">
        <v>0</v>
      </c>
      <c r="L78" s="48">
        <v>0</v>
      </c>
      <c r="M78" s="48">
        <v>0</v>
      </c>
      <c r="N78" s="49">
        <f t="shared" si="14"/>
        <v>3721.5</v>
      </c>
      <c r="O78" s="52">
        <f t="shared" si="15"/>
        <v>4135</v>
      </c>
      <c r="P78" s="79">
        <f t="shared" si="16"/>
        <v>104.56588929474573</v>
      </c>
      <c r="Q78" s="53">
        <f t="shared" si="17"/>
        <v>0.1</v>
      </c>
      <c r="R78" s="54">
        <f t="shared" si="18"/>
        <v>413.5</v>
      </c>
      <c r="S78" s="53">
        <v>0.8</v>
      </c>
      <c r="T78" s="54">
        <f t="shared" si="19"/>
        <v>3308</v>
      </c>
      <c r="U78" s="53">
        <f t="shared" si="20"/>
        <v>9.9999999999999978E-2</v>
      </c>
      <c r="V78" s="54">
        <f t="shared" si="21"/>
        <v>413.49999999999989</v>
      </c>
      <c r="W78" s="55">
        <f ca="1">V78*VLOOKUP(TODAY(),'UF HOY'!$A$2:$B$36,2,0)</f>
        <v>16429984.189999996</v>
      </c>
      <c r="X78" s="56">
        <f>Datos!$K$5</f>
        <v>36</v>
      </c>
      <c r="Y78" s="55">
        <f ca="1">IF((W78-Datos!$U$5-1000000)/X78&gt;0,(W78-Datos!$U$5-1000000)/X78,0)</f>
        <v>425832.89416666655</v>
      </c>
      <c r="Z78" s="56">
        <f>Datos!$K$5</f>
        <v>36</v>
      </c>
      <c r="AA78" s="55">
        <f ca="1">IF((W78-Datos!$U$5-1000000-O78*3%*VLOOKUP(TODAY(),'UF HOY'!$A$2:$B$36,2,0))/Z78&gt;0,(W78-Datos!$U$5-1000000-O78*3%*VLOOKUP(TODAY(),'UF HOY'!$A$2:$B$36,2,0))/Z78,0)</f>
        <v>288916.35924999986</v>
      </c>
      <c r="AB78" s="130" cm="1">
        <f t="array" ref="AB78">_xlfn.IFS(AND(L78=0,M78=0),VLOOKUP(D78,Datos!$F$31:$I$33,2,0),AND(L78=0,M78&gt;0),VLOOKUP(D78,Datos!$F$32:$I$33,2,0),AND(L78&gt;0,M78=0),VLOOKUP(D78,Datos!$F$32:$I$33,3,0),AND(L78&gt;0,M78&gt;0),VLOOKUP(D78,Datos!$F$31:$I$33,4,0))</f>
        <v>550000</v>
      </c>
      <c r="AC78" s="55">
        <f ca="1">(S78*PMT(Datos!$G$15,Datos!$G$14,-O78,,)*VLOOKUP(TODAY(),'UF HOY'!$A$2:$B$36,2,0)/12)+VLOOKUP(TODAY(),'UF HOY'!$A$2:$B$36,2,0)</f>
        <v>673165.68298145919</v>
      </c>
      <c r="AD78" s="55">
        <f t="shared" ca="1" si="22"/>
        <v>-123165.68298145919</v>
      </c>
      <c r="AE78" s="93">
        <f t="shared" ca="1" si="23"/>
        <v>2692662.7319258368</v>
      </c>
    </row>
    <row r="79" spans="1:31" s="3" customFormat="1" x14ac:dyDescent="0.35">
      <c r="A79" s="94" t="s">
        <v>346</v>
      </c>
      <c r="B79" s="80">
        <v>902</v>
      </c>
      <c r="C79" s="48" t="s">
        <v>38</v>
      </c>
      <c r="D79" s="48" t="s">
        <v>37</v>
      </c>
      <c r="E79" s="48"/>
      <c r="F79" s="48">
        <v>34.89</v>
      </c>
      <c r="G79" s="48">
        <v>2.83</v>
      </c>
      <c r="H79" s="82">
        <f t="shared" si="12"/>
        <v>36.305</v>
      </c>
      <c r="I79" s="82">
        <f t="shared" si="13"/>
        <v>37.72</v>
      </c>
      <c r="J79" s="49">
        <v>4140</v>
      </c>
      <c r="K79" s="304">
        <v>0</v>
      </c>
      <c r="L79" s="48">
        <v>0</v>
      </c>
      <c r="M79" s="48">
        <v>0</v>
      </c>
      <c r="N79" s="49">
        <f t="shared" si="14"/>
        <v>3726</v>
      </c>
      <c r="O79" s="52">
        <f t="shared" si="15"/>
        <v>4140</v>
      </c>
      <c r="P79" s="79">
        <f t="shared" si="16"/>
        <v>102.63049166781435</v>
      </c>
      <c r="Q79" s="53">
        <f t="shared" si="17"/>
        <v>0.1</v>
      </c>
      <c r="R79" s="54">
        <f t="shared" si="18"/>
        <v>414</v>
      </c>
      <c r="S79" s="53">
        <v>0.8</v>
      </c>
      <c r="T79" s="54">
        <f t="shared" si="19"/>
        <v>3312</v>
      </c>
      <c r="U79" s="53">
        <f t="shared" si="20"/>
        <v>9.9999999999999978E-2</v>
      </c>
      <c r="V79" s="54">
        <f t="shared" si="21"/>
        <v>413.99999999999989</v>
      </c>
      <c r="W79" s="55">
        <f ca="1">V79*VLOOKUP(TODAY(),'UF HOY'!$A$2:$B$36,2,0)</f>
        <v>16449851.159999996</v>
      </c>
      <c r="X79" s="56">
        <f>Datos!$K$5</f>
        <v>36</v>
      </c>
      <c r="Y79" s="55">
        <f ca="1">IF((W79-Datos!$U$5-1000000)/X79&gt;0,(W79-Datos!$U$5-1000000)/X79,0)</f>
        <v>426384.75444444432</v>
      </c>
      <c r="Z79" s="56">
        <f>Datos!$K$5</f>
        <v>36</v>
      </c>
      <c r="AA79" s="55">
        <f ca="1">IF((W79-Datos!$U$5-1000000-O79*3%*VLOOKUP(TODAY(),'UF HOY'!$A$2:$B$36,2,0))/Z79&gt;0,(W79-Datos!$U$5-1000000-O79*3%*VLOOKUP(TODAY(),'UF HOY'!$A$2:$B$36,2,0))/Z79,0)</f>
        <v>289302.66144444433</v>
      </c>
      <c r="AB79" s="130" cm="1">
        <f t="array" ref="AB79">_xlfn.IFS(AND(L79=0,M79=0),VLOOKUP(D79,Datos!$F$31:$I$33,2,0),AND(L79=0,M79&gt;0),VLOOKUP(D79,Datos!$F$32:$I$33,2,0),AND(L79&gt;0,M79=0),VLOOKUP(D79,Datos!$F$32:$I$33,3,0),AND(L79&gt;0,M79&gt;0),VLOOKUP(D79,Datos!$F$31:$I$33,4,0))</f>
        <v>550000</v>
      </c>
      <c r="AC79" s="55">
        <f ca="1">(S79*PMT(Datos!$G$15,Datos!$G$14,-O79,,)*VLOOKUP(TODAY(),'UF HOY'!$A$2:$B$36,2,0)/12)+VLOOKUP(TODAY(),'UF HOY'!$A$2:$B$36,2,0)</f>
        <v>673931.62221118272</v>
      </c>
      <c r="AD79" s="55">
        <f t="shared" ca="1" si="22"/>
        <v>-123931.62221118272</v>
      </c>
      <c r="AE79" s="93">
        <f t="shared" ca="1" si="23"/>
        <v>2695726.4888447309</v>
      </c>
    </row>
    <row r="80" spans="1:31" s="3" customFormat="1" x14ac:dyDescent="0.35">
      <c r="A80" s="94" t="s">
        <v>346</v>
      </c>
      <c r="B80" s="80">
        <v>1004</v>
      </c>
      <c r="C80" s="48" t="s">
        <v>38</v>
      </c>
      <c r="D80" s="48" t="s">
        <v>37</v>
      </c>
      <c r="E80" s="48"/>
      <c r="F80" s="48">
        <v>34.74</v>
      </c>
      <c r="G80" s="48">
        <v>2.86</v>
      </c>
      <c r="H80" s="82">
        <f t="shared" si="12"/>
        <v>36.17</v>
      </c>
      <c r="I80" s="82">
        <f t="shared" si="13"/>
        <v>37.6</v>
      </c>
      <c r="J80" s="49">
        <v>4140</v>
      </c>
      <c r="K80" s="304">
        <v>0</v>
      </c>
      <c r="L80" s="48">
        <v>0</v>
      </c>
      <c r="M80" s="48">
        <v>0</v>
      </c>
      <c r="N80" s="49">
        <f t="shared" si="14"/>
        <v>3726</v>
      </c>
      <c r="O80" s="52">
        <f t="shared" si="15"/>
        <v>4140</v>
      </c>
      <c r="P80" s="79">
        <f t="shared" si="16"/>
        <v>103.01354713851258</v>
      </c>
      <c r="Q80" s="53">
        <f t="shared" si="17"/>
        <v>0.1</v>
      </c>
      <c r="R80" s="54">
        <f t="shared" si="18"/>
        <v>414</v>
      </c>
      <c r="S80" s="53">
        <v>0.8</v>
      </c>
      <c r="T80" s="54">
        <f t="shared" si="19"/>
        <v>3312</v>
      </c>
      <c r="U80" s="53">
        <f t="shared" si="20"/>
        <v>9.9999999999999978E-2</v>
      </c>
      <c r="V80" s="54">
        <f t="shared" si="21"/>
        <v>413.99999999999989</v>
      </c>
      <c r="W80" s="55">
        <f ca="1">V80*VLOOKUP(TODAY(),'UF HOY'!$A$2:$B$36,2,0)</f>
        <v>16449851.159999996</v>
      </c>
      <c r="X80" s="56">
        <f>Datos!$K$5</f>
        <v>36</v>
      </c>
      <c r="Y80" s="55">
        <f ca="1">IF((W80-Datos!$U$5-1000000)/X80&gt;0,(W80-Datos!$U$5-1000000)/X80,0)</f>
        <v>426384.75444444432</v>
      </c>
      <c r="Z80" s="56">
        <f>Datos!$K$5</f>
        <v>36</v>
      </c>
      <c r="AA80" s="55">
        <f ca="1">IF((W80-Datos!$U$5-1000000-O80*3%*VLOOKUP(TODAY(),'UF HOY'!$A$2:$B$36,2,0))/Z80&gt;0,(W80-Datos!$U$5-1000000-O80*3%*VLOOKUP(TODAY(),'UF HOY'!$A$2:$B$36,2,0))/Z80,0)</f>
        <v>289302.66144444433</v>
      </c>
      <c r="AB80" s="130" cm="1">
        <f t="array" ref="AB80">_xlfn.IFS(AND(L80=0,M80=0),VLOOKUP(D80,Datos!$F$31:$I$33,2,0),AND(L80=0,M80&gt;0),VLOOKUP(D80,Datos!$F$32:$I$33,2,0),AND(L80&gt;0,M80=0),VLOOKUP(D80,Datos!$F$32:$I$33,3,0),AND(L80&gt;0,M80&gt;0),VLOOKUP(D80,Datos!$F$31:$I$33,4,0))</f>
        <v>550000</v>
      </c>
      <c r="AC80" s="55">
        <f ca="1">(S80*PMT(Datos!$G$15,Datos!$G$14,-O80,,)*VLOOKUP(TODAY(),'UF HOY'!$A$2:$B$36,2,0)/12)+VLOOKUP(TODAY(),'UF HOY'!$A$2:$B$36,2,0)</f>
        <v>673931.62221118272</v>
      </c>
      <c r="AD80" s="55">
        <f t="shared" ca="1" si="22"/>
        <v>-123931.62221118272</v>
      </c>
      <c r="AE80" s="93">
        <f t="shared" ca="1" si="23"/>
        <v>2695726.4888447309</v>
      </c>
    </row>
    <row r="81" spans="1:31" s="3" customFormat="1" x14ac:dyDescent="0.35">
      <c r="A81" s="94" t="s">
        <v>346</v>
      </c>
      <c r="B81" s="80">
        <v>1313</v>
      </c>
      <c r="C81" s="48" t="s">
        <v>41</v>
      </c>
      <c r="D81" s="48" t="s">
        <v>37</v>
      </c>
      <c r="E81" s="48"/>
      <c r="F81" s="48">
        <v>34.69</v>
      </c>
      <c r="G81" s="48">
        <v>2.93</v>
      </c>
      <c r="H81" s="82">
        <f t="shared" si="12"/>
        <v>36.155000000000001</v>
      </c>
      <c r="I81" s="82">
        <f t="shared" si="13"/>
        <v>37.619999999999997</v>
      </c>
      <c r="J81" s="49">
        <v>4140</v>
      </c>
      <c r="K81" s="304">
        <v>0</v>
      </c>
      <c r="L81" s="48">
        <v>0</v>
      </c>
      <c r="M81" s="48">
        <v>0</v>
      </c>
      <c r="N81" s="49">
        <f t="shared" si="14"/>
        <v>3726</v>
      </c>
      <c r="O81" s="52">
        <f t="shared" si="15"/>
        <v>4140</v>
      </c>
      <c r="P81" s="79">
        <f t="shared" si="16"/>
        <v>103.05628543769879</v>
      </c>
      <c r="Q81" s="53">
        <f t="shared" si="17"/>
        <v>0.1</v>
      </c>
      <c r="R81" s="54">
        <f t="shared" si="18"/>
        <v>414</v>
      </c>
      <c r="S81" s="53">
        <v>0.8</v>
      </c>
      <c r="T81" s="54">
        <f t="shared" si="19"/>
        <v>3312</v>
      </c>
      <c r="U81" s="53">
        <f t="shared" si="20"/>
        <v>9.9999999999999978E-2</v>
      </c>
      <c r="V81" s="54">
        <f t="shared" si="21"/>
        <v>413.99999999999989</v>
      </c>
      <c r="W81" s="55">
        <f ca="1">V81*VLOOKUP(TODAY(),'UF HOY'!$A$2:$B$36,2,0)</f>
        <v>16449851.159999996</v>
      </c>
      <c r="X81" s="56">
        <f>Datos!$K$5</f>
        <v>36</v>
      </c>
      <c r="Y81" s="55">
        <f ca="1">IF((W81-Datos!$U$5-1000000)/X81&gt;0,(W81-Datos!$U$5-1000000)/X81,0)</f>
        <v>426384.75444444432</v>
      </c>
      <c r="Z81" s="56">
        <f>Datos!$K$5</f>
        <v>36</v>
      </c>
      <c r="AA81" s="55">
        <f ca="1">IF((W81-Datos!$U$5-1000000-O81*3%*VLOOKUP(TODAY(),'UF HOY'!$A$2:$B$36,2,0))/Z81&gt;0,(W81-Datos!$U$5-1000000-O81*3%*VLOOKUP(TODAY(),'UF HOY'!$A$2:$B$36,2,0))/Z81,0)</f>
        <v>289302.66144444433</v>
      </c>
      <c r="AB81" s="130" cm="1">
        <f t="array" ref="AB81">_xlfn.IFS(AND(L81=0,M81=0),VLOOKUP(D81,Datos!$F$31:$I$33,2,0),AND(L81=0,M81&gt;0),VLOOKUP(D81,Datos!$F$32:$I$33,2,0),AND(L81&gt;0,M81=0),VLOOKUP(D81,Datos!$F$32:$I$33,3,0),AND(L81&gt;0,M81&gt;0),VLOOKUP(D81,Datos!$F$31:$I$33,4,0))</f>
        <v>550000</v>
      </c>
      <c r="AC81" s="55">
        <f ca="1">(S81*PMT(Datos!$G$15,Datos!$G$14,-O81,,)*VLOOKUP(TODAY(),'UF HOY'!$A$2:$B$36,2,0)/12)+VLOOKUP(TODAY(),'UF HOY'!$A$2:$B$36,2,0)</f>
        <v>673931.62221118272</v>
      </c>
      <c r="AD81" s="55">
        <f t="shared" ca="1" si="22"/>
        <v>-123931.62221118272</v>
      </c>
      <c r="AE81" s="93">
        <f t="shared" ca="1" si="23"/>
        <v>2695726.4888447309</v>
      </c>
    </row>
    <row r="82" spans="1:31" s="3" customFormat="1" x14ac:dyDescent="0.35">
      <c r="A82" s="94" t="s">
        <v>346</v>
      </c>
      <c r="B82" s="80">
        <v>1003</v>
      </c>
      <c r="C82" s="48" t="s">
        <v>38</v>
      </c>
      <c r="D82" s="48" t="s">
        <v>37</v>
      </c>
      <c r="E82" s="48"/>
      <c r="F82" s="48">
        <v>34.79</v>
      </c>
      <c r="G82" s="48">
        <v>2.83</v>
      </c>
      <c r="H82" s="82">
        <f t="shared" si="12"/>
        <v>36.204999999999998</v>
      </c>
      <c r="I82" s="82">
        <f t="shared" si="13"/>
        <v>37.619999999999997</v>
      </c>
      <c r="J82" s="49">
        <v>4145</v>
      </c>
      <c r="K82" s="304">
        <v>0</v>
      </c>
      <c r="L82" s="48">
        <v>0</v>
      </c>
      <c r="M82" s="48">
        <v>0</v>
      </c>
      <c r="N82" s="49">
        <f t="shared" si="14"/>
        <v>3730.5</v>
      </c>
      <c r="O82" s="52">
        <f t="shared" si="15"/>
        <v>4145</v>
      </c>
      <c r="P82" s="79">
        <f t="shared" si="16"/>
        <v>103.03825438475349</v>
      </c>
      <c r="Q82" s="53">
        <f t="shared" si="17"/>
        <v>0.1</v>
      </c>
      <c r="R82" s="54">
        <f t="shared" si="18"/>
        <v>414.5</v>
      </c>
      <c r="S82" s="53">
        <v>0.8</v>
      </c>
      <c r="T82" s="54">
        <f t="shared" si="19"/>
        <v>3316</v>
      </c>
      <c r="U82" s="53">
        <f t="shared" si="20"/>
        <v>9.9999999999999978E-2</v>
      </c>
      <c r="V82" s="54">
        <f t="shared" si="21"/>
        <v>414.49999999999989</v>
      </c>
      <c r="W82" s="55">
        <f ca="1">V82*VLOOKUP(TODAY(),'UF HOY'!$A$2:$B$36,2,0)</f>
        <v>16469718.129999997</v>
      </c>
      <c r="X82" s="56">
        <f>Datos!$K$5</f>
        <v>36</v>
      </c>
      <c r="Y82" s="55">
        <f ca="1">IF((W82-Datos!$U$5-1000000)/X82&gt;0,(W82-Datos!$U$5-1000000)/X82,0)</f>
        <v>426936.61472222215</v>
      </c>
      <c r="Z82" s="56">
        <f>Datos!$K$5</f>
        <v>36</v>
      </c>
      <c r="AA82" s="55">
        <f ca="1">IF((W82-Datos!$U$5-1000000-O82*3%*VLOOKUP(TODAY(),'UF HOY'!$A$2:$B$36,2,0))/Z82&gt;0,(W82-Datos!$U$5-1000000-O82*3%*VLOOKUP(TODAY(),'UF HOY'!$A$2:$B$36,2,0))/Z82,0)</f>
        <v>289688.96363888879</v>
      </c>
      <c r="AB82" s="130" cm="1">
        <f t="array" ref="AB82">_xlfn.IFS(AND(L82=0,M82=0),VLOOKUP(D82,Datos!$F$31:$I$33,2,0),AND(L82=0,M82&gt;0),VLOOKUP(D82,Datos!$F$32:$I$33,2,0),AND(L82&gt;0,M82=0),VLOOKUP(D82,Datos!$F$32:$I$33,3,0),AND(L82&gt;0,M82&gt;0),VLOOKUP(D82,Datos!$F$31:$I$33,4,0))</f>
        <v>550000</v>
      </c>
      <c r="AC82" s="55">
        <f ca="1">(S82*PMT(Datos!$G$15,Datos!$G$14,-O82,,)*VLOOKUP(TODAY(),'UF HOY'!$A$2:$B$36,2,0)/12)+VLOOKUP(TODAY(),'UF HOY'!$A$2:$B$36,2,0)</f>
        <v>674697.56144090625</v>
      </c>
      <c r="AD82" s="55">
        <f t="shared" ca="1" si="22"/>
        <v>-124697.56144090625</v>
      </c>
      <c r="AE82" s="93">
        <f t="shared" ca="1" si="23"/>
        <v>2698790.245763625</v>
      </c>
    </row>
    <row r="83" spans="1:31" s="3" customFormat="1" x14ac:dyDescent="0.35">
      <c r="A83" s="94" t="s">
        <v>346</v>
      </c>
      <c r="B83" s="80">
        <v>1412</v>
      </c>
      <c r="C83" s="48" t="s">
        <v>41</v>
      </c>
      <c r="D83" s="48" t="s">
        <v>37</v>
      </c>
      <c r="E83" s="48"/>
      <c r="F83" s="48">
        <v>34.630000000000003</v>
      </c>
      <c r="G83" s="48">
        <v>2.93</v>
      </c>
      <c r="H83" s="82">
        <f t="shared" si="12"/>
        <v>36.095000000000006</v>
      </c>
      <c r="I83" s="82">
        <f t="shared" si="13"/>
        <v>37.56</v>
      </c>
      <c r="J83" s="49">
        <v>4145</v>
      </c>
      <c r="K83" s="304">
        <v>0</v>
      </c>
      <c r="L83" s="48">
        <v>0</v>
      </c>
      <c r="M83" s="48">
        <v>0</v>
      </c>
      <c r="N83" s="49">
        <f t="shared" si="14"/>
        <v>3730.5</v>
      </c>
      <c r="O83" s="52">
        <f t="shared" si="15"/>
        <v>4145</v>
      </c>
      <c r="P83" s="79">
        <f t="shared" si="16"/>
        <v>103.35226485662832</v>
      </c>
      <c r="Q83" s="53">
        <f t="shared" si="17"/>
        <v>0.1</v>
      </c>
      <c r="R83" s="54">
        <f t="shared" si="18"/>
        <v>414.5</v>
      </c>
      <c r="S83" s="53">
        <v>0.8</v>
      </c>
      <c r="T83" s="54">
        <f t="shared" si="19"/>
        <v>3316</v>
      </c>
      <c r="U83" s="53">
        <f t="shared" si="20"/>
        <v>9.9999999999999978E-2</v>
      </c>
      <c r="V83" s="54">
        <f t="shared" si="21"/>
        <v>414.49999999999989</v>
      </c>
      <c r="W83" s="55">
        <f ca="1">V83*VLOOKUP(TODAY(),'UF HOY'!$A$2:$B$36,2,0)</f>
        <v>16469718.129999997</v>
      </c>
      <c r="X83" s="56">
        <f>Datos!$K$5</f>
        <v>36</v>
      </c>
      <c r="Y83" s="55">
        <f ca="1">IF((W83-Datos!$U$5-1000000)/X83&gt;0,(W83-Datos!$U$5-1000000)/X83,0)</f>
        <v>426936.61472222215</v>
      </c>
      <c r="Z83" s="56">
        <f>Datos!$K$5</f>
        <v>36</v>
      </c>
      <c r="AA83" s="55">
        <f ca="1">IF((W83-Datos!$U$5-1000000-O83*3%*VLOOKUP(TODAY(),'UF HOY'!$A$2:$B$36,2,0))/Z83&gt;0,(W83-Datos!$U$5-1000000-O83*3%*VLOOKUP(TODAY(),'UF HOY'!$A$2:$B$36,2,0))/Z83,0)</f>
        <v>289688.96363888879</v>
      </c>
      <c r="AB83" s="130" cm="1">
        <f t="array" ref="AB83">_xlfn.IFS(AND(L83=0,M83=0),VLOOKUP(D83,Datos!$F$31:$I$33,2,0),AND(L83=0,M83&gt;0),VLOOKUP(D83,Datos!$F$32:$I$33,2,0),AND(L83&gt;0,M83=0),VLOOKUP(D83,Datos!$F$32:$I$33,3,0),AND(L83&gt;0,M83&gt;0),VLOOKUP(D83,Datos!$F$31:$I$33,4,0))</f>
        <v>550000</v>
      </c>
      <c r="AC83" s="55">
        <f ca="1">(S83*PMT(Datos!$G$15,Datos!$G$14,-O83,,)*VLOOKUP(TODAY(),'UF HOY'!$A$2:$B$36,2,0)/12)+VLOOKUP(TODAY(),'UF HOY'!$A$2:$B$36,2,0)</f>
        <v>674697.56144090625</v>
      </c>
      <c r="AD83" s="55">
        <f t="shared" ca="1" si="22"/>
        <v>-124697.56144090625</v>
      </c>
      <c r="AE83" s="93">
        <f t="shared" ca="1" si="23"/>
        <v>2698790.245763625</v>
      </c>
    </row>
    <row r="84" spans="1:31" s="3" customFormat="1" x14ac:dyDescent="0.35">
      <c r="A84" s="94" t="s">
        <v>346</v>
      </c>
      <c r="B84" s="80">
        <v>1906</v>
      </c>
      <c r="C84" s="48" t="s">
        <v>36</v>
      </c>
      <c r="D84" s="48" t="s">
        <v>37</v>
      </c>
      <c r="E84" s="48"/>
      <c r="F84" s="48">
        <v>34.19</v>
      </c>
      <c r="G84" s="48">
        <v>2.8</v>
      </c>
      <c r="H84" s="82">
        <f t="shared" si="12"/>
        <v>35.589999999999996</v>
      </c>
      <c r="I84" s="82">
        <f t="shared" si="13"/>
        <v>36.989999999999995</v>
      </c>
      <c r="J84" s="49">
        <v>4145</v>
      </c>
      <c r="K84" s="304">
        <v>0</v>
      </c>
      <c r="L84" s="48">
        <v>0</v>
      </c>
      <c r="M84" s="48">
        <v>0</v>
      </c>
      <c r="N84" s="49">
        <f t="shared" si="14"/>
        <v>3730.5</v>
      </c>
      <c r="O84" s="52">
        <f t="shared" si="15"/>
        <v>4145</v>
      </c>
      <c r="P84" s="79">
        <f t="shared" si="16"/>
        <v>104.81876931722395</v>
      </c>
      <c r="Q84" s="53">
        <f t="shared" si="17"/>
        <v>0.1</v>
      </c>
      <c r="R84" s="54">
        <f t="shared" si="18"/>
        <v>414.5</v>
      </c>
      <c r="S84" s="53">
        <v>0.8</v>
      </c>
      <c r="T84" s="54">
        <f t="shared" si="19"/>
        <v>3316</v>
      </c>
      <c r="U84" s="53">
        <f t="shared" si="20"/>
        <v>9.9999999999999978E-2</v>
      </c>
      <c r="V84" s="54">
        <f t="shared" si="21"/>
        <v>414.49999999999989</v>
      </c>
      <c r="W84" s="55">
        <f ca="1">V84*VLOOKUP(TODAY(),'UF HOY'!$A$2:$B$36,2,0)</f>
        <v>16469718.129999997</v>
      </c>
      <c r="X84" s="56">
        <f>Datos!$K$5</f>
        <v>36</v>
      </c>
      <c r="Y84" s="55">
        <f ca="1">IF((W84-Datos!$U$5-1000000)/X84&gt;0,(W84-Datos!$U$5-1000000)/X84,0)</f>
        <v>426936.61472222215</v>
      </c>
      <c r="Z84" s="56">
        <f>Datos!$K$5</f>
        <v>36</v>
      </c>
      <c r="AA84" s="55">
        <f ca="1">IF((W84-Datos!$U$5-1000000-O84*3%*VLOOKUP(TODAY(),'UF HOY'!$A$2:$B$36,2,0))/Z84&gt;0,(W84-Datos!$U$5-1000000-O84*3%*VLOOKUP(TODAY(),'UF HOY'!$A$2:$B$36,2,0))/Z84,0)</f>
        <v>289688.96363888879</v>
      </c>
      <c r="AB84" s="130" cm="1">
        <f t="array" ref="AB84">_xlfn.IFS(AND(L84=0,M84=0),VLOOKUP(D84,Datos!$F$31:$I$33,2,0),AND(L84=0,M84&gt;0),VLOOKUP(D84,Datos!$F$32:$I$33,2,0),AND(L84&gt;0,M84=0),VLOOKUP(D84,Datos!$F$32:$I$33,3,0),AND(L84&gt;0,M84&gt;0),VLOOKUP(D84,Datos!$F$31:$I$33,4,0))</f>
        <v>550000</v>
      </c>
      <c r="AC84" s="55">
        <f ca="1">(S84*PMT(Datos!$G$15,Datos!$G$14,-O84,,)*VLOOKUP(TODAY(),'UF HOY'!$A$2:$B$36,2,0)/12)+VLOOKUP(TODAY(),'UF HOY'!$A$2:$B$36,2,0)</f>
        <v>674697.56144090625</v>
      </c>
      <c r="AD84" s="55">
        <f t="shared" ca="1" si="22"/>
        <v>-124697.56144090625</v>
      </c>
      <c r="AE84" s="93">
        <f t="shared" ca="1" si="23"/>
        <v>2698790.245763625</v>
      </c>
    </row>
    <row r="85" spans="1:31" s="3" customFormat="1" x14ac:dyDescent="0.35">
      <c r="A85" s="94" t="s">
        <v>346</v>
      </c>
      <c r="B85" s="80">
        <v>1907</v>
      </c>
      <c r="C85" s="48" t="s">
        <v>36</v>
      </c>
      <c r="D85" s="48" t="s">
        <v>37</v>
      </c>
      <c r="E85" s="48"/>
      <c r="F85" s="48">
        <v>34.17</v>
      </c>
      <c r="G85" s="48">
        <v>2.8</v>
      </c>
      <c r="H85" s="82">
        <f t="shared" si="12"/>
        <v>35.57</v>
      </c>
      <c r="I85" s="82">
        <f t="shared" si="13"/>
        <v>36.97</v>
      </c>
      <c r="J85" s="49">
        <v>4145</v>
      </c>
      <c r="K85" s="304">
        <v>0</v>
      </c>
      <c r="L85" s="48">
        <v>0</v>
      </c>
      <c r="M85" s="48">
        <v>0</v>
      </c>
      <c r="N85" s="49">
        <f t="shared" si="14"/>
        <v>3730.5</v>
      </c>
      <c r="O85" s="52">
        <f t="shared" si="15"/>
        <v>4145</v>
      </c>
      <c r="P85" s="79">
        <f t="shared" si="16"/>
        <v>104.87770593196514</v>
      </c>
      <c r="Q85" s="53">
        <f t="shared" si="17"/>
        <v>0.1</v>
      </c>
      <c r="R85" s="54">
        <f t="shared" si="18"/>
        <v>414.5</v>
      </c>
      <c r="S85" s="53">
        <v>0.8</v>
      </c>
      <c r="T85" s="54">
        <f t="shared" si="19"/>
        <v>3316</v>
      </c>
      <c r="U85" s="53">
        <f t="shared" si="20"/>
        <v>9.9999999999999978E-2</v>
      </c>
      <c r="V85" s="54">
        <f t="shared" si="21"/>
        <v>414.49999999999989</v>
      </c>
      <c r="W85" s="55">
        <f ca="1">V85*VLOOKUP(TODAY(),'UF HOY'!$A$2:$B$36,2,0)</f>
        <v>16469718.129999997</v>
      </c>
      <c r="X85" s="56">
        <f>Datos!$K$5</f>
        <v>36</v>
      </c>
      <c r="Y85" s="55">
        <f ca="1">IF((W85-Datos!$U$5-1000000)/X85&gt;0,(W85-Datos!$U$5-1000000)/X85,0)</f>
        <v>426936.61472222215</v>
      </c>
      <c r="Z85" s="56">
        <f>Datos!$K$5</f>
        <v>36</v>
      </c>
      <c r="AA85" s="55">
        <f ca="1">IF((W85-Datos!$U$5-1000000-O85*3%*VLOOKUP(TODAY(),'UF HOY'!$A$2:$B$36,2,0))/Z85&gt;0,(W85-Datos!$U$5-1000000-O85*3%*VLOOKUP(TODAY(),'UF HOY'!$A$2:$B$36,2,0))/Z85,0)</f>
        <v>289688.96363888879</v>
      </c>
      <c r="AB85" s="130" cm="1">
        <f t="array" ref="AB85">_xlfn.IFS(AND(L85=0,M85=0),VLOOKUP(D85,Datos!$F$31:$I$33,2,0),AND(L85=0,M85&gt;0),VLOOKUP(D85,Datos!$F$32:$I$33,2,0),AND(L85&gt;0,M85=0),VLOOKUP(D85,Datos!$F$32:$I$33,3,0),AND(L85&gt;0,M85&gt;0),VLOOKUP(D85,Datos!$F$31:$I$33,4,0))</f>
        <v>550000</v>
      </c>
      <c r="AC85" s="55">
        <f ca="1">(S85*PMT(Datos!$G$15,Datos!$G$14,-O85,,)*VLOOKUP(TODAY(),'UF HOY'!$A$2:$B$36,2,0)/12)+VLOOKUP(TODAY(),'UF HOY'!$A$2:$B$36,2,0)</f>
        <v>674697.56144090625</v>
      </c>
      <c r="AD85" s="55">
        <f t="shared" ca="1" si="22"/>
        <v>-124697.56144090625</v>
      </c>
      <c r="AE85" s="93">
        <f t="shared" ca="1" si="23"/>
        <v>2698790.245763625</v>
      </c>
    </row>
    <row r="86" spans="1:31" s="3" customFormat="1" x14ac:dyDescent="0.35">
      <c r="A86" s="94" t="s">
        <v>346</v>
      </c>
      <c r="B86" s="80">
        <v>1413</v>
      </c>
      <c r="C86" s="48" t="s">
        <v>41</v>
      </c>
      <c r="D86" s="48" t="s">
        <v>37</v>
      </c>
      <c r="E86" s="48"/>
      <c r="F86" s="48">
        <v>34.69</v>
      </c>
      <c r="G86" s="48">
        <v>2.93</v>
      </c>
      <c r="H86" s="82">
        <f t="shared" si="12"/>
        <v>36.155000000000001</v>
      </c>
      <c r="I86" s="82">
        <f t="shared" si="13"/>
        <v>37.619999999999997</v>
      </c>
      <c r="J86" s="49">
        <v>4150</v>
      </c>
      <c r="K86" s="304">
        <v>0</v>
      </c>
      <c r="L86" s="48">
        <v>0</v>
      </c>
      <c r="M86" s="48">
        <v>0</v>
      </c>
      <c r="N86" s="49">
        <f t="shared" si="14"/>
        <v>3735</v>
      </c>
      <c r="O86" s="52">
        <f t="shared" si="15"/>
        <v>4150</v>
      </c>
      <c r="P86" s="79">
        <f t="shared" si="16"/>
        <v>103.30521366339372</v>
      </c>
      <c r="Q86" s="53">
        <f t="shared" si="17"/>
        <v>0.1</v>
      </c>
      <c r="R86" s="54">
        <f t="shared" si="18"/>
        <v>415</v>
      </c>
      <c r="S86" s="53">
        <v>0.8</v>
      </c>
      <c r="T86" s="54">
        <f t="shared" si="19"/>
        <v>3320</v>
      </c>
      <c r="U86" s="53">
        <f t="shared" si="20"/>
        <v>9.9999999999999978E-2</v>
      </c>
      <c r="V86" s="54">
        <f t="shared" si="21"/>
        <v>414.99999999999989</v>
      </c>
      <c r="W86" s="55">
        <f ca="1">V86*VLOOKUP(TODAY(),'UF HOY'!$A$2:$B$36,2,0)</f>
        <v>16489585.099999996</v>
      </c>
      <c r="X86" s="56">
        <f>Datos!$K$5</f>
        <v>36</v>
      </c>
      <c r="Y86" s="55">
        <f ca="1">IF((W86-Datos!$U$5-1000000)/X86&gt;0,(W86-Datos!$U$5-1000000)/X86,0)</f>
        <v>427488.47499999986</v>
      </c>
      <c r="Z86" s="56">
        <f>Datos!$K$5</f>
        <v>36</v>
      </c>
      <c r="AA86" s="55">
        <f ca="1">IF((W86-Datos!$U$5-1000000-O86*3%*VLOOKUP(TODAY(),'UF HOY'!$A$2:$B$36,2,0))/Z86&gt;0,(W86-Datos!$U$5-1000000-O86*3%*VLOOKUP(TODAY(),'UF HOY'!$A$2:$B$36,2,0))/Z86,0)</f>
        <v>290075.26583333325</v>
      </c>
      <c r="AB86" s="130" cm="1">
        <f t="array" ref="AB86">_xlfn.IFS(AND(L86=0,M86=0),VLOOKUP(D86,Datos!$F$31:$I$33,2,0),AND(L86=0,M86&gt;0),VLOOKUP(D86,Datos!$F$32:$I$33,2,0),AND(L86&gt;0,M86=0),VLOOKUP(D86,Datos!$F$32:$I$33,3,0),AND(L86&gt;0,M86&gt;0),VLOOKUP(D86,Datos!$F$31:$I$33,4,0))</f>
        <v>550000</v>
      </c>
      <c r="AC86" s="55">
        <f ca="1">(S86*PMT(Datos!$G$15,Datos!$G$14,-O86,,)*VLOOKUP(TODAY(),'UF HOY'!$A$2:$B$36,2,0)/12)+VLOOKUP(TODAY(),'UF HOY'!$A$2:$B$36,2,0)</f>
        <v>675463.50067063002</v>
      </c>
      <c r="AD86" s="55">
        <f t="shared" ca="1" si="22"/>
        <v>-125463.50067063002</v>
      </c>
      <c r="AE86" s="93">
        <f t="shared" ca="1" si="23"/>
        <v>2701854.0026825201</v>
      </c>
    </row>
    <row r="87" spans="1:31" s="3" customFormat="1" x14ac:dyDescent="0.35">
      <c r="A87" s="94" t="s">
        <v>346</v>
      </c>
      <c r="B87" s="80">
        <v>709</v>
      </c>
      <c r="C87" s="48" t="s">
        <v>40</v>
      </c>
      <c r="D87" s="48" t="s">
        <v>37</v>
      </c>
      <c r="E87" s="48"/>
      <c r="F87" s="48">
        <v>34.369999999999997</v>
      </c>
      <c r="G87" s="48">
        <v>3.28</v>
      </c>
      <c r="H87" s="82">
        <f t="shared" si="12"/>
        <v>36.01</v>
      </c>
      <c r="I87" s="82">
        <f t="shared" si="13"/>
        <v>37.65</v>
      </c>
      <c r="J87" s="49">
        <v>4155</v>
      </c>
      <c r="K87" s="304">
        <v>0</v>
      </c>
      <c r="L87" s="48">
        <v>0</v>
      </c>
      <c r="M87" s="48">
        <v>0</v>
      </c>
      <c r="N87" s="49">
        <f t="shared" si="14"/>
        <v>3739.5</v>
      </c>
      <c r="O87" s="52">
        <f t="shared" si="15"/>
        <v>4155</v>
      </c>
      <c r="P87" s="79">
        <f t="shared" si="16"/>
        <v>103.84615384615385</v>
      </c>
      <c r="Q87" s="53">
        <f t="shared" si="17"/>
        <v>0.1</v>
      </c>
      <c r="R87" s="54">
        <f t="shared" si="18"/>
        <v>415.5</v>
      </c>
      <c r="S87" s="53">
        <v>0.8</v>
      </c>
      <c r="T87" s="54">
        <f t="shared" si="19"/>
        <v>3324</v>
      </c>
      <c r="U87" s="53">
        <f t="shared" si="20"/>
        <v>9.9999999999999978E-2</v>
      </c>
      <c r="V87" s="54">
        <f t="shared" si="21"/>
        <v>415.49999999999989</v>
      </c>
      <c r="W87" s="55">
        <f ca="1">V87*VLOOKUP(TODAY(),'UF HOY'!$A$2:$B$36,2,0)</f>
        <v>16509452.069999997</v>
      </c>
      <c r="X87" s="56">
        <f>Datos!$K$5</f>
        <v>36</v>
      </c>
      <c r="Y87" s="55">
        <f ca="1">IF((W87-Datos!$U$5-1000000)/X87&gt;0,(W87-Datos!$U$5-1000000)/X87,0)</f>
        <v>428040.33527777769</v>
      </c>
      <c r="Z87" s="56">
        <f>Datos!$K$5</f>
        <v>36</v>
      </c>
      <c r="AA87" s="55">
        <f ca="1">IF((W87-Datos!$U$5-1000000-O87*3%*VLOOKUP(TODAY(),'UF HOY'!$A$2:$B$36,2,0))/Z87&gt;0,(W87-Datos!$U$5-1000000-O87*3%*VLOOKUP(TODAY(),'UF HOY'!$A$2:$B$36,2,0))/Z87,0)</f>
        <v>290461.56802777771</v>
      </c>
      <c r="AB87" s="130" cm="1">
        <f t="array" ref="AB87">_xlfn.IFS(AND(L87=0,M87=0),VLOOKUP(D87,Datos!$F$31:$I$33,2,0),AND(L87=0,M87&gt;0),VLOOKUP(D87,Datos!$F$32:$I$33,2,0),AND(L87&gt;0,M87=0),VLOOKUP(D87,Datos!$F$32:$I$33,3,0),AND(L87&gt;0,M87&gt;0),VLOOKUP(D87,Datos!$F$31:$I$33,4,0))</f>
        <v>550000</v>
      </c>
      <c r="AC87" s="55">
        <f ca="1">(S87*PMT(Datos!$G$15,Datos!$G$14,-O87,,)*VLOOKUP(TODAY(),'UF HOY'!$A$2:$B$36,2,0)/12)+VLOOKUP(TODAY(),'UF HOY'!$A$2:$B$36,2,0)</f>
        <v>676229.43990035378</v>
      </c>
      <c r="AD87" s="55">
        <f t="shared" ca="1" si="22"/>
        <v>-126229.43990035378</v>
      </c>
      <c r="AE87" s="93">
        <f t="shared" ca="1" si="23"/>
        <v>2704917.7596014151</v>
      </c>
    </row>
    <row r="88" spans="1:31" s="3" customFormat="1" hidden="1" x14ac:dyDescent="0.35">
      <c r="A88" s="94" t="s">
        <v>342</v>
      </c>
      <c r="B88" s="80">
        <v>710</v>
      </c>
      <c r="C88" s="48" t="s">
        <v>40</v>
      </c>
      <c r="D88" s="48" t="s">
        <v>37</v>
      </c>
      <c r="E88" s="48"/>
      <c r="F88" s="48">
        <v>34.369999999999997</v>
      </c>
      <c r="G88" s="48">
        <v>3.28</v>
      </c>
      <c r="H88" s="82">
        <f t="shared" si="12"/>
        <v>36.01</v>
      </c>
      <c r="I88" s="82">
        <f t="shared" si="13"/>
        <v>37.65</v>
      </c>
      <c r="J88" s="49">
        <v>4155</v>
      </c>
      <c r="K88" s="305">
        <v>0.02</v>
      </c>
      <c r="L88" s="48">
        <v>0</v>
      </c>
      <c r="M88" s="48">
        <v>0</v>
      </c>
      <c r="N88" s="49">
        <f t="shared" si="14"/>
        <v>3664.71</v>
      </c>
      <c r="O88" s="52">
        <f t="shared" si="15"/>
        <v>4071.9</v>
      </c>
      <c r="P88" s="79">
        <f t="shared" si="16"/>
        <v>101.76923076923077</v>
      </c>
      <c r="Q88" s="53">
        <f t="shared" si="17"/>
        <v>0.1</v>
      </c>
      <c r="R88" s="54">
        <f t="shared" si="18"/>
        <v>407.19000000000005</v>
      </c>
      <c r="S88" s="53">
        <v>0.8</v>
      </c>
      <c r="T88" s="54">
        <f t="shared" si="19"/>
        <v>3257.5200000000004</v>
      </c>
      <c r="U88" s="53">
        <f t="shared" si="20"/>
        <v>9.9999999999999978E-2</v>
      </c>
      <c r="V88" s="54">
        <f t="shared" si="21"/>
        <v>407.18999999999994</v>
      </c>
      <c r="W88" s="55">
        <f ca="1">V88*VLOOKUP(TODAY(),'UF HOY'!$A$2:$B$36,2,0)</f>
        <v>16179263.028599998</v>
      </c>
      <c r="X88" s="56">
        <f>Datos!$K$5</f>
        <v>36</v>
      </c>
      <c r="Y88" s="55">
        <f ca="1">IF((W88-Datos!$U$5-1000000)/X88&gt;0,(W88-Datos!$U$5-1000000)/X88,0)</f>
        <v>418868.41746111104</v>
      </c>
      <c r="Z88" s="56">
        <f>Datos!$K$5</f>
        <v>36</v>
      </c>
      <c r="AA88" s="55">
        <f ca="1">IF((W88-Datos!$U$5-1000000-O88*3%*VLOOKUP(TODAY(),'UF HOY'!$A$2:$B$36,2,0))/Z88&gt;0,(W88-Datos!$U$5-1000000-O88*3%*VLOOKUP(TODAY(),'UF HOY'!$A$2:$B$36,2,0))/Z88,0)</f>
        <v>284041.22555611108</v>
      </c>
      <c r="AB88" s="130" cm="1">
        <f t="array" ref="AB88">_xlfn.IFS(AND(L88=0,M88=0),VLOOKUP(D88,Datos!$F$31:$I$33,2,0),AND(L88=0,M88&gt;0),VLOOKUP(D88,Datos!$F$32:$I$33,2,0),AND(L88&gt;0,M88=0),VLOOKUP(D88,Datos!$F$32:$I$33,3,0),AND(L88&gt;0,M88&gt;0),VLOOKUP(D88,Datos!$F$31:$I$33,4,0))</f>
        <v>550000</v>
      </c>
      <c r="AC88" s="55">
        <f ca="1">(S88*PMT(Datos!$G$15,Datos!$G$14,-O88,,)*VLOOKUP(TODAY(),'UF HOY'!$A$2:$B$36,2,0)/12)+VLOOKUP(TODAY(),'UF HOY'!$A$2:$B$36,2,0)</f>
        <v>663499.52990234667</v>
      </c>
      <c r="AD88" s="55">
        <f t="shared" ca="1" si="22"/>
        <v>-113499.52990234667</v>
      </c>
      <c r="AE88" s="93">
        <f t="shared" ca="1" si="23"/>
        <v>2653998.1196093867</v>
      </c>
    </row>
    <row r="89" spans="1:31" s="3" customFormat="1" x14ac:dyDescent="0.35">
      <c r="A89" s="94" t="s">
        <v>346</v>
      </c>
      <c r="B89" s="80">
        <v>1002</v>
      </c>
      <c r="C89" s="48" t="s">
        <v>38</v>
      </c>
      <c r="D89" s="48" t="s">
        <v>37</v>
      </c>
      <c r="E89" s="48"/>
      <c r="F89" s="48">
        <v>34.89</v>
      </c>
      <c r="G89" s="48">
        <v>2.83</v>
      </c>
      <c r="H89" s="82">
        <f t="shared" si="12"/>
        <v>36.305</v>
      </c>
      <c r="I89" s="82">
        <f t="shared" si="13"/>
        <v>37.72</v>
      </c>
      <c r="J89" s="49">
        <v>4155</v>
      </c>
      <c r="K89" s="304">
        <v>0</v>
      </c>
      <c r="L89" s="48">
        <v>0</v>
      </c>
      <c r="M89" s="48">
        <v>0</v>
      </c>
      <c r="N89" s="49">
        <f t="shared" si="14"/>
        <v>3739.5</v>
      </c>
      <c r="O89" s="52">
        <f t="shared" si="15"/>
        <v>4155</v>
      </c>
      <c r="P89" s="79">
        <f t="shared" si="16"/>
        <v>103.00234127530643</v>
      </c>
      <c r="Q89" s="53">
        <f t="shared" si="17"/>
        <v>0.1</v>
      </c>
      <c r="R89" s="54">
        <f t="shared" si="18"/>
        <v>415.5</v>
      </c>
      <c r="S89" s="53">
        <v>0.8</v>
      </c>
      <c r="T89" s="54">
        <f t="shared" si="19"/>
        <v>3324</v>
      </c>
      <c r="U89" s="53">
        <f t="shared" si="20"/>
        <v>9.9999999999999978E-2</v>
      </c>
      <c r="V89" s="54">
        <f t="shared" si="21"/>
        <v>415.49999999999989</v>
      </c>
      <c r="W89" s="55">
        <f ca="1">V89*VLOOKUP(TODAY(),'UF HOY'!$A$2:$B$36,2,0)</f>
        <v>16509452.069999997</v>
      </c>
      <c r="X89" s="56">
        <f>Datos!$K$5</f>
        <v>36</v>
      </c>
      <c r="Y89" s="55">
        <f ca="1">IF((W89-Datos!$U$5-1000000)/X89&gt;0,(W89-Datos!$U$5-1000000)/X89,0)</f>
        <v>428040.33527777769</v>
      </c>
      <c r="Z89" s="56">
        <f>Datos!$K$5</f>
        <v>36</v>
      </c>
      <c r="AA89" s="55">
        <f ca="1">IF((W89-Datos!$U$5-1000000-O89*3%*VLOOKUP(TODAY(),'UF HOY'!$A$2:$B$36,2,0))/Z89&gt;0,(W89-Datos!$U$5-1000000-O89*3%*VLOOKUP(TODAY(),'UF HOY'!$A$2:$B$36,2,0))/Z89,0)</f>
        <v>290461.56802777771</v>
      </c>
      <c r="AB89" s="130" cm="1">
        <f t="array" ref="AB89">_xlfn.IFS(AND(L89=0,M89=0),VLOOKUP(D89,Datos!$F$31:$I$33,2,0),AND(L89=0,M89&gt;0),VLOOKUP(D89,Datos!$F$32:$I$33,2,0),AND(L89&gt;0,M89=0),VLOOKUP(D89,Datos!$F$32:$I$33,3,0),AND(L89&gt;0,M89&gt;0),VLOOKUP(D89,Datos!$F$31:$I$33,4,0))</f>
        <v>550000</v>
      </c>
      <c r="AC89" s="55">
        <f ca="1">(S89*PMT(Datos!$G$15,Datos!$G$14,-O89,,)*VLOOKUP(TODAY(),'UF HOY'!$A$2:$B$36,2,0)/12)+VLOOKUP(TODAY(),'UF HOY'!$A$2:$B$36,2,0)</f>
        <v>676229.43990035378</v>
      </c>
      <c r="AD89" s="55">
        <f t="shared" ca="1" si="22"/>
        <v>-126229.43990035378</v>
      </c>
      <c r="AE89" s="93">
        <f t="shared" ca="1" si="23"/>
        <v>2704917.7596014151</v>
      </c>
    </row>
    <row r="90" spans="1:31" s="3" customFormat="1" x14ac:dyDescent="0.35">
      <c r="A90" s="94" t="s">
        <v>346</v>
      </c>
      <c r="B90" s="80">
        <v>1104</v>
      </c>
      <c r="C90" s="48" t="s">
        <v>38</v>
      </c>
      <c r="D90" s="48" t="s">
        <v>37</v>
      </c>
      <c r="E90" s="48"/>
      <c r="F90" s="48">
        <v>34.74</v>
      </c>
      <c r="G90" s="48">
        <v>2.86</v>
      </c>
      <c r="H90" s="82">
        <f t="shared" si="12"/>
        <v>36.17</v>
      </c>
      <c r="I90" s="82">
        <f t="shared" si="13"/>
        <v>37.6</v>
      </c>
      <c r="J90" s="49">
        <v>4155</v>
      </c>
      <c r="K90" s="304">
        <v>0</v>
      </c>
      <c r="L90" s="48">
        <v>0</v>
      </c>
      <c r="M90" s="48">
        <v>0</v>
      </c>
      <c r="N90" s="49">
        <f t="shared" si="14"/>
        <v>3739.5</v>
      </c>
      <c r="O90" s="52">
        <f t="shared" si="15"/>
        <v>4155</v>
      </c>
      <c r="P90" s="79">
        <f t="shared" si="16"/>
        <v>103.38678462814487</v>
      </c>
      <c r="Q90" s="53">
        <f t="shared" si="17"/>
        <v>0.1</v>
      </c>
      <c r="R90" s="54">
        <f t="shared" si="18"/>
        <v>415.5</v>
      </c>
      <c r="S90" s="53">
        <v>0.8</v>
      </c>
      <c r="T90" s="54">
        <f t="shared" si="19"/>
        <v>3324</v>
      </c>
      <c r="U90" s="53">
        <f t="shared" si="20"/>
        <v>9.9999999999999978E-2</v>
      </c>
      <c r="V90" s="54">
        <f t="shared" si="21"/>
        <v>415.49999999999989</v>
      </c>
      <c r="W90" s="55">
        <f ca="1">V90*VLOOKUP(TODAY(),'UF HOY'!$A$2:$B$36,2,0)</f>
        <v>16509452.069999997</v>
      </c>
      <c r="X90" s="56">
        <f>Datos!$K$5</f>
        <v>36</v>
      </c>
      <c r="Y90" s="55">
        <f ca="1">IF((W90-Datos!$U$5-1000000)/X90&gt;0,(W90-Datos!$U$5-1000000)/X90,0)</f>
        <v>428040.33527777769</v>
      </c>
      <c r="Z90" s="56">
        <f>Datos!$K$5</f>
        <v>36</v>
      </c>
      <c r="AA90" s="55">
        <f ca="1">IF((W90-Datos!$U$5-1000000-O90*3%*VLOOKUP(TODAY(),'UF HOY'!$A$2:$B$36,2,0))/Z90&gt;0,(W90-Datos!$U$5-1000000-O90*3%*VLOOKUP(TODAY(),'UF HOY'!$A$2:$B$36,2,0))/Z90,0)</f>
        <v>290461.56802777771</v>
      </c>
      <c r="AB90" s="130" cm="1">
        <f t="array" ref="AB90">_xlfn.IFS(AND(L90=0,M90=0),VLOOKUP(D90,Datos!$F$31:$I$33,2,0),AND(L90=0,M90&gt;0),VLOOKUP(D90,Datos!$F$32:$I$33,2,0),AND(L90&gt;0,M90=0),VLOOKUP(D90,Datos!$F$32:$I$33,3,0),AND(L90&gt;0,M90&gt;0),VLOOKUP(D90,Datos!$F$31:$I$33,4,0))</f>
        <v>550000</v>
      </c>
      <c r="AC90" s="55">
        <f ca="1">(S90*PMT(Datos!$G$15,Datos!$G$14,-O90,,)*VLOOKUP(TODAY(),'UF HOY'!$A$2:$B$36,2,0)/12)+VLOOKUP(TODAY(),'UF HOY'!$A$2:$B$36,2,0)</f>
        <v>676229.43990035378</v>
      </c>
      <c r="AD90" s="55">
        <f t="shared" ca="1" si="22"/>
        <v>-126229.43990035378</v>
      </c>
      <c r="AE90" s="93">
        <f t="shared" ca="1" si="23"/>
        <v>2704917.7596014151</v>
      </c>
    </row>
    <row r="91" spans="1:31" s="3" customFormat="1" x14ac:dyDescent="0.35">
      <c r="A91" s="94" t="s">
        <v>346</v>
      </c>
      <c r="B91" s="80">
        <v>1512</v>
      </c>
      <c r="C91" s="48" t="s">
        <v>41</v>
      </c>
      <c r="D91" s="48" t="s">
        <v>37</v>
      </c>
      <c r="E91" s="48"/>
      <c r="F91" s="48">
        <v>34.630000000000003</v>
      </c>
      <c r="G91" s="48">
        <v>2.93</v>
      </c>
      <c r="H91" s="82">
        <f t="shared" si="12"/>
        <v>36.095000000000006</v>
      </c>
      <c r="I91" s="82">
        <f t="shared" si="13"/>
        <v>37.56</v>
      </c>
      <c r="J91" s="49">
        <v>4155</v>
      </c>
      <c r="K91" s="304">
        <v>0</v>
      </c>
      <c r="L91" s="48">
        <v>0</v>
      </c>
      <c r="M91" s="48">
        <v>0</v>
      </c>
      <c r="N91" s="49">
        <f t="shared" si="14"/>
        <v>3739.5</v>
      </c>
      <c r="O91" s="52">
        <f t="shared" si="15"/>
        <v>4155</v>
      </c>
      <c r="P91" s="79">
        <f t="shared" si="16"/>
        <v>103.60160687075771</v>
      </c>
      <c r="Q91" s="53">
        <f t="shared" si="17"/>
        <v>0.1</v>
      </c>
      <c r="R91" s="54">
        <f t="shared" si="18"/>
        <v>415.5</v>
      </c>
      <c r="S91" s="53">
        <v>0.8</v>
      </c>
      <c r="T91" s="54">
        <f t="shared" si="19"/>
        <v>3324</v>
      </c>
      <c r="U91" s="53">
        <f t="shared" si="20"/>
        <v>9.9999999999999978E-2</v>
      </c>
      <c r="V91" s="54">
        <f t="shared" si="21"/>
        <v>415.49999999999989</v>
      </c>
      <c r="W91" s="55">
        <f ca="1">V91*VLOOKUP(TODAY(),'UF HOY'!$A$2:$B$36,2,0)</f>
        <v>16509452.069999997</v>
      </c>
      <c r="X91" s="56">
        <f>Datos!$K$5</f>
        <v>36</v>
      </c>
      <c r="Y91" s="55">
        <f ca="1">IF((W91-Datos!$U$5-1000000)/X91&gt;0,(W91-Datos!$U$5-1000000)/X91,0)</f>
        <v>428040.33527777769</v>
      </c>
      <c r="Z91" s="56">
        <f>Datos!$K$5</f>
        <v>36</v>
      </c>
      <c r="AA91" s="55">
        <f ca="1">IF((W91-Datos!$U$5-1000000-O91*3%*VLOOKUP(TODAY(),'UF HOY'!$A$2:$B$36,2,0))/Z91&gt;0,(W91-Datos!$U$5-1000000-O91*3%*VLOOKUP(TODAY(),'UF HOY'!$A$2:$B$36,2,0))/Z91,0)</f>
        <v>290461.56802777771</v>
      </c>
      <c r="AB91" s="130" cm="1">
        <f t="array" ref="AB91">_xlfn.IFS(AND(L91=0,M91=0),VLOOKUP(D91,Datos!$F$31:$I$33,2,0),AND(L91=0,M91&gt;0),VLOOKUP(D91,Datos!$F$32:$I$33,2,0),AND(L91&gt;0,M91=0),VLOOKUP(D91,Datos!$F$32:$I$33,3,0),AND(L91&gt;0,M91&gt;0),VLOOKUP(D91,Datos!$F$31:$I$33,4,0))</f>
        <v>550000</v>
      </c>
      <c r="AC91" s="55">
        <f ca="1">(S91*PMT(Datos!$G$15,Datos!$G$14,-O91,,)*VLOOKUP(TODAY(),'UF HOY'!$A$2:$B$36,2,0)/12)+VLOOKUP(TODAY(),'UF HOY'!$A$2:$B$36,2,0)</f>
        <v>676229.43990035378</v>
      </c>
      <c r="AD91" s="55">
        <f t="shared" ca="1" si="22"/>
        <v>-126229.43990035378</v>
      </c>
      <c r="AE91" s="93">
        <f t="shared" ca="1" si="23"/>
        <v>2704917.7596014151</v>
      </c>
    </row>
    <row r="92" spans="1:31" s="3" customFormat="1" x14ac:dyDescent="0.35">
      <c r="A92" s="94" t="s">
        <v>346</v>
      </c>
      <c r="B92" s="80">
        <v>2007</v>
      </c>
      <c r="C92" s="48" t="s">
        <v>36</v>
      </c>
      <c r="D92" s="48" t="s">
        <v>37</v>
      </c>
      <c r="E92" s="48"/>
      <c r="F92" s="48">
        <v>34.17</v>
      </c>
      <c r="G92" s="48">
        <v>2.8</v>
      </c>
      <c r="H92" s="82">
        <f t="shared" si="12"/>
        <v>35.57</v>
      </c>
      <c r="I92" s="82">
        <f t="shared" si="13"/>
        <v>36.97</v>
      </c>
      <c r="J92" s="49">
        <v>4155</v>
      </c>
      <c r="K92" s="304">
        <v>0</v>
      </c>
      <c r="L92" s="48">
        <v>0</v>
      </c>
      <c r="M92" s="48">
        <v>0</v>
      </c>
      <c r="N92" s="49">
        <f t="shared" si="14"/>
        <v>3739.5</v>
      </c>
      <c r="O92" s="52">
        <f t="shared" si="15"/>
        <v>4155</v>
      </c>
      <c r="P92" s="79">
        <f t="shared" si="16"/>
        <v>105.13072814169243</v>
      </c>
      <c r="Q92" s="53">
        <f t="shared" si="17"/>
        <v>0.1</v>
      </c>
      <c r="R92" s="54">
        <f t="shared" si="18"/>
        <v>415.5</v>
      </c>
      <c r="S92" s="53">
        <v>0.8</v>
      </c>
      <c r="T92" s="54">
        <f t="shared" si="19"/>
        <v>3324</v>
      </c>
      <c r="U92" s="53">
        <f t="shared" si="20"/>
        <v>9.9999999999999978E-2</v>
      </c>
      <c r="V92" s="54">
        <f t="shared" si="21"/>
        <v>415.49999999999989</v>
      </c>
      <c r="W92" s="55">
        <f ca="1">V92*VLOOKUP(TODAY(),'UF HOY'!$A$2:$B$36,2,0)</f>
        <v>16509452.069999997</v>
      </c>
      <c r="X92" s="56">
        <f>Datos!$K$5</f>
        <v>36</v>
      </c>
      <c r="Y92" s="55">
        <f ca="1">IF((W92-Datos!$U$5-1000000)/X92&gt;0,(W92-Datos!$U$5-1000000)/X92,0)</f>
        <v>428040.33527777769</v>
      </c>
      <c r="Z92" s="56">
        <f>Datos!$K$5</f>
        <v>36</v>
      </c>
      <c r="AA92" s="55">
        <f ca="1">IF((W92-Datos!$U$5-1000000-O92*3%*VLOOKUP(TODAY(),'UF HOY'!$A$2:$B$36,2,0))/Z92&gt;0,(W92-Datos!$U$5-1000000-O92*3%*VLOOKUP(TODAY(),'UF HOY'!$A$2:$B$36,2,0))/Z92,0)</f>
        <v>290461.56802777771</v>
      </c>
      <c r="AB92" s="130" cm="1">
        <f t="array" ref="AB92">_xlfn.IFS(AND(L92=0,M92=0),VLOOKUP(D92,Datos!$F$31:$I$33,2,0),AND(L92=0,M92&gt;0),VLOOKUP(D92,Datos!$F$32:$I$33,2,0),AND(L92&gt;0,M92=0),VLOOKUP(D92,Datos!$F$32:$I$33,3,0),AND(L92&gt;0,M92&gt;0),VLOOKUP(D92,Datos!$F$31:$I$33,4,0))</f>
        <v>550000</v>
      </c>
      <c r="AC92" s="55">
        <f ca="1">(S92*PMT(Datos!$G$15,Datos!$G$14,-O92,,)*VLOOKUP(TODAY(),'UF HOY'!$A$2:$B$36,2,0)/12)+VLOOKUP(TODAY(),'UF HOY'!$A$2:$B$36,2,0)</f>
        <v>676229.43990035378</v>
      </c>
      <c r="AD92" s="55">
        <f t="shared" ca="1" si="22"/>
        <v>-126229.43990035378</v>
      </c>
      <c r="AE92" s="93">
        <f t="shared" ca="1" si="23"/>
        <v>2704917.7596014151</v>
      </c>
    </row>
    <row r="93" spans="1:31" s="3" customFormat="1" x14ac:dyDescent="0.35">
      <c r="A93" s="94" t="s">
        <v>346</v>
      </c>
      <c r="B93" s="80">
        <v>1103</v>
      </c>
      <c r="C93" s="48" t="s">
        <v>38</v>
      </c>
      <c r="D93" s="48" t="s">
        <v>37</v>
      </c>
      <c r="E93" s="48"/>
      <c r="F93" s="48">
        <v>34.79</v>
      </c>
      <c r="G93" s="48">
        <v>2.83</v>
      </c>
      <c r="H93" s="82">
        <f t="shared" si="12"/>
        <v>36.204999999999998</v>
      </c>
      <c r="I93" s="82">
        <f t="shared" si="13"/>
        <v>37.619999999999997</v>
      </c>
      <c r="J93" s="49">
        <v>4160</v>
      </c>
      <c r="K93" s="304">
        <v>0</v>
      </c>
      <c r="L93" s="48">
        <v>0</v>
      </c>
      <c r="M93" s="48">
        <v>0</v>
      </c>
      <c r="N93" s="49">
        <f t="shared" si="14"/>
        <v>3744</v>
      </c>
      <c r="O93" s="52">
        <f t="shared" si="15"/>
        <v>4160</v>
      </c>
      <c r="P93" s="79">
        <f t="shared" si="16"/>
        <v>103.41113105924596</v>
      </c>
      <c r="Q93" s="53">
        <f t="shared" si="17"/>
        <v>0.1</v>
      </c>
      <c r="R93" s="54">
        <f t="shared" si="18"/>
        <v>416</v>
      </c>
      <c r="S93" s="53">
        <v>0.8</v>
      </c>
      <c r="T93" s="54">
        <f t="shared" si="19"/>
        <v>3328</v>
      </c>
      <c r="U93" s="53">
        <f t="shared" si="20"/>
        <v>9.9999999999999978E-2</v>
      </c>
      <c r="V93" s="54">
        <f t="shared" si="21"/>
        <v>415.99999999999989</v>
      </c>
      <c r="W93" s="55">
        <f ca="1">V93*VLOOKUP(TODAY(),'UF HOY'!$A$2:$B$36,2,0)</f>
        <v>16529319.039999997</v>
      </c>
      <c r="X93" s="56">
        <f>Datos!$K$5</f>
        <v>36</v>
      </c>
      <c r="Y93" s="55">
        <f ca="1">IF((W93-Datos!$U$5-1000000)/X93&gt;0,(W93-Datos!$U$5-1000000)/X93,0)</f>
        <v>428592.19555555546</v>
      </c>
      <c r="Z93" s="56">
        <f>Datos!$K$5</f>
        <v>36</v>
      </c>
      <c r="AA93" s="55">
        <f ca="1">IF((W93-Datos!$U$5-1000000-O93*3%*VLOOKUP(TODAY(),'UF HOY'!$A$2:$B$36,2,0))/Z93&gt;0,(W93-Datos!$U$5-1000000-O93*3%*VLOOKUP(TODAY(),'UF HOY'!$A$2:$B$36,2,0))/Z93,0)</f>
        <v>290847.87022222218</v>
      </c>
      <c r="AB93" s="130" cm="1">
        <f t="array" ref="AB93">_xlfn.IFS(AND(L93=0,M93=0),VLOOKUP(D93,Datos!$F$31:$I$33,2,0),AND(L93=0,M93&gt;0),VLOOKUP(D93,Datos!$F$32:$I$33,2,0),AND(L93&gt;0,M93=0),VLOOKUP(D93,Datos!$F$32:$I$33,3,0),AND(L93&gt;0,M93&gt;0),VLOOKUP(D93,Datos!$F$31:$I$33,4,0))</f>
        <v>550000</v>
      </c>
      <c r="AC93" s="55">
        <f ca="1">(S93*PMT(Datos!$G$15,Datos!$G$14,-O93,,)*VLOOKUP(TODAY(),'UF HOY'!$A$2:$B$36,2,0)/12)+VLOOKUP(TODAY(),'UF HOY'!$A$2:$B$36,2,0)</f>
        <v>676995.37913007732</v>
      </c>
      <c r="AD93" s="55">
        <f t="shared" ca="1" si="22"/>
        <v>-126995.37913007732</v>
      </c>
      <c r="AE93" s="93">
        <f t="shared" ca="1" si="23"/>
        <v>2707981.5165203093</v>
      </c>
    </row>
    <row r="94" spans="1:31" s="3" customFormat="1" x14ac:dyDescent="0.35">
      <c r="A94" s="94" t="s">
        <v>346</v>
      </c>
      <c r="B94" s="80">
        <v>2006</v>
      </c>
      <c r="C94" s="48" t="s">
        <v>36</v>
      </c>
      <c r="D94" s="48" t="s">
        <v>37</v>
      </c>
      <c r="E94" s="48"/>
      <c r="F94" s="48">
        <v>34.19</v>
      </c>
      <c r="G94" s="48">
        <v>2.8</v>
      </c>
      <c r="H94" s="82">
        <f t="shared" si="12"/>
        <v>35.589999999999996</v>
      </c>
      <c r="I94" s="82">
        <f t="shared" si="13"/>
        <v>36.989999999999995</v>
      </c>
      <c r="J94" s="49">
        <v>4160</v>
      </c>
      <c r="K94" s="304">
        <v>0</v>
      </c>
      <c r="L94" s="48">
        <v>0</v>
      </c>
      <c r="M94" s="48">
        <v>0</v>
      </c>
      <c r="N94" s="49">
        <f t="shared" si="14"/>
        <v>3744</v>
      </c>
      <c r="O94" s="52">
        <f t="shared" si="15"/>
        <v>4160</v>
      </c>
      <c r="P94" s="79">
        <f t="shared" si="16"/>
        <v>105.19808935094129</v>
      </c>
      <c r="Q94" s="53">
        <f t="shared" si="17"/>
        <v>0.1</v>
      </c>
      <c r="R94" s="54">
        <f t="shared" si="18"/>
        <v>416</v>
      </c>
      <c r="S94" s="53">
        <v>0.8</v>
      </c>
      <c r="T94" s="54">
        <f t="shared" si="19"/>
        <v>3328</v>
      </c>
      <c r="U94" s="53">
        <f t="shared" si="20"/>
        <v>9.9999999999999978E-2</v>
      </c>
      <c r="V94" s="54">
        <f t="shared" si="21"/>
        <v>415.99999999999989</v>
      </c>
      <c r="W94" s="55">
        <f ca="1">V94*VLOOKUP(TODAY(),'UF HOY'!$A$2:$B$36,2,0)</f>
        <v>16529319.039999997</v>
      </c>
      <c r="X94" s="56">
        <f>Datos!$K$5</f>
        <v>36</v>
      </c>
      <c r="Y94" s="55">
        <f ca="1">IF((W94-Datos!$U$5-1000000)/X94&gt;0,(W94-Datos!$U$5-1000000)/X94,0)</f>
        <v>428592.19555555546</v>
      </c>
      <c r="Z94" s="56">
        <f>Datos!$K$5</f>
        <v>36</v>
      </c>
      <c r="AA94" s="55">
        <f ca="1">IF((W94-Datos!$U$5-1000000-O94*3%*VLOOKUP(TODAY(),'UF HOY'!$A$2:$B$36,2,0))/Z94&gt;0,(W94-Datos!$U$5-1000000-O94*3%*VLOOKUP(TODAY(),'UF HOY'!$A$2:$B$36,2,0))/Z94,0)</f>
        <v>290847.87022222218</v>
      </c>
      <c r="AB94" s="130" cm="1">
        <f t="array" ref="AB94">_xlfn.IFS(AND(L94=0,M94=0),VLOOKUP(D94,Datos!$F$31:$I$33,2,0),AND(L94=0,M94&gt;0),VLOOKUP(D94,Datos!$F$32:$I$33,2,0),AND(L94&gt;0,M94=0),VLOOKUP(D94,Datos!$F$32:$I$33,3,0),AND(L94&gt;0,M94&gt;0),VLOOKUP(D94,Datos!$F$31:$I$33,4,0))</f>
        <v>550000</v>
      </c>
      <c r="AC94" s="55">
        <f ca="1">(S94*PMT(Datos!$G$15,Datos!$G$14,-O94,,)*VLOOKUP(TODAY(),'UF HOY'!$A$2:$B$36,2,0)/12)+VLOOKUP(TODAY(),'UF HOY'!$A$2:$B$36,2,0)</f>
        <v>676995.37913007732</v>
      </c>
      <c r="AD94" s="55">
        <f t="shared" ca="1" si="22"/>
        <v>-126995.37913007732</v>
      </c>
      <c r="AE94" s="93">
        <f t="shared" ca="1" si="23"/>
        <v>2707981.5165203093</v>
      </c>
    </row>
    <row r="95" spans="1:31" s="3" customFormat="1" x14ac:dyDescent="0.35">
      <c r="A95" s="94" t="s">
        <v>346</v>
      </c>
      <c r="B95" s="80">
        <v>1513</v>
      </c>
      <c r="C95" s="48" t="s">
        <v>41</v>
      </c>
      <c r="D95" s="48" t="s">
        <v>37</v>
      </c>
      <c r="E95" s="48"/>
      <c r="F95" s="48">
        <v>34.69</v>
      </c>
      <c r="G95" s="48">
        <v>2.93</v>
      </c>
      <c r="H95" s="82">
        <f t="shared" si="12"/>
        <v>36.155000000000001</v>
      </c>
      <c r="I95" s="82">
        <f t="shared" si="13"/>
        <v>37.619999999999997</v>
      </c>
      <c r="J95" s="49">
        <v>4165</v>
      </c>
      <c r="K95" s="304">
        <v>0</v>
      </c>
      <c r="L95" s="48">
        <v>0</v>
      </c>
      <c r="M95" s="48">
        <v>0</v>
      </c>
      <c r="N95" s="49">
        <f t="shared" si="14"/>
        <v>3748.5</v>
      </c>
      <c r="O95" s="52">
        <f t="shared" si="15"/>
        <v>4165</v>
      </c>
      <c r="P95" s="79">
        <f t="shared" si="16"/>
        <v>103.6786060019361</v>
      </c>
      <c r="Q95" s="53">
        <f t="shared" si="17"/>
        <v>0.1</v>
      </c>
      <c r="R95" s="54">
        <f t="shared" si="18"/>
        <v>416.5</v>
      </c>
      <c r="S95" s="53">
        <v>0.8</v>
      </c>
      <c r="T95" s="54">
        <f t="shared" si="19"/>
        <v>3332</v>
      </c>
      <c r="U95" s="53">
        <f t="shared" si="20"/>
        <v>9.9999999999999978E-2</v>
      </c>
      <c r="V95" s="54">
        <f t="shared" si="21"/>
        <v>416.49999999999989</v>
      </c>
      <c r="W95" s="55">
        <f ca="1">V95*VLOOKUP(TODAY(),'UF HOY'!$A$2:$B$36,2,0)</f>
        <v>16549186.009999996</v>
      </c>
      <c r="X95" s="56">
        <f>Datos!$K$5</f>
        <v>36</v>
      </c>
      <c r="Y95" s="55">
        <f ca="1">IF((W95-Datos!$U$5-1000000)/X95&gt;0,(W95-Datos!$U$5-1000000)/X95,0)</f>
        <v>429144.05583333323</v>
      </c>
      <c r="Z95" s="56">
        <f>Datos!$K$5</f>
        <v>36</v>
      </c>
      <c r="AA95" s="55">
        <f ca="1">IF((W95-Datos!$U$5-1000000-O95*3%*VLOOKUP(TODAY(),'UF HOY'!$A$2:$B$36,2,0))/Z95&gt;0,(W95-Datos!$U$5-1000000-O95*3%*VLOOKUP(TODAY(),'UF HOY'!$A$2:$B$36,2,0))/Z95,0)</f>
        <v>291234.17241666658</v>
      </c>
      <c r="AB95" s="130" cm="1">
        <f t="array" ref="AB95">_xlfn.IFS(AND(L95=0,M95=0),VLOOKUP(D95,Datos!$F$31:$I$33,2,0),AND(L95=0,M95&gt;0),VLOOKUP(D95,Datos!$F$32:$I$33,2,0),AND(L95&gt;0,M95=0),VLOOKUP(D95,Datos!$F$32:$I$33,3,0),AND(L95&gt;0,M95&gt;0),VLOOKUP(D95,Datos!$F$31:$I$33,4,0))</f>
        <v>550000</v>
      </c>
      <c r="AC95" s="55">
        <f ca="1">(S95*PMT(Datos!$G$15,Datos!$G$14,-O95,,)*VLOOKUP(TODAY(),'UF HOY'!$A$2:$B$36,2,0)/12)+VLOOKUP(TODAY(),'UF HOY'!$A$2:$B$36,2,0)</f>
        <v>677761.31835980108</v>
      </c>
      <c r="AD95" s="55">
        <f t="shared" ca="1" si="22"/>
        <v>-127761.31835980108</v>
      </c>
      <c r="AE95" s="93">
        <f t="shared" ca="1" si="23"/>
        <v>2711045.2734392043</v>
      </c>
    </row>
    <row r="96" spans="1:31" s="3" customFormat="1" x14ac:dyDescent="0.35">
      <c r="A96" s="94" t="s">
        <v>346</v>
      </c>
      <c r="B96" s="80">
        <v>809</v>
      </c>
      <c r="C96" s="48" t="s">
        <v>40</v>
      </c>
      <c r="D96" s="48" t="s">
        <v>37</v>
      </c>
      <c r="E96" s="48"/>
      <c r="F96" s="48">
        <v>34.369999999999997</v>
      </c>
      <c r="G96" s="48">
        <v>3.28</v>
      </c>
      <c r="H96" s="82">
        <f t="shared" si="12"/>
        <v>36.01</v>
      </c>
      <c r="I96" s="82">
        <f t="shared" si="13"/>
        <v>37.65</v>
      </c>
      <c r="J96" s="49">
        <v>4170</v>
      </c>
      <c r="K96" s="304">
        <v>0</v>
      </c>
      <c r="L96" s="48">
        <v>0</v>
      </c>
      <c r="M96" s="48">
        <v>0</v>
      </c>
      <c r="N96" s="49">
        <f t="shared" si="14"/>
        <v>3753</v>
      </c>
      <c r="O96" s="52">
        <f t="shared" si="15"/>
        <v>4170</v>
      </c>
      <c r="P96" s="79">
        <f t="shared" si="16"/>
        <v>104.22104970841434</v>
      </c>
      <c r="Q96" s="53">
        <f t="shared" si="17"/>
        <v>0.1</v>
      </c>
      <c r="R96" s="54">
        <f t="shared" si="18"/>
        <v>417</v>
      </c>
      <c r="S96" s="53">
        <v>0.8</v>
      </c>
      <c r="T96" s="54">
        <f t="shared" si="19"/>
        <v>3336</v>
      </c>
      <c r="U96" s="53">
        <f t="shared" si="20"/>
        <v>9.9999999999999978E-2</v>
      </c>
      <c r="V96" s="54">
        <f t="shared" si="21"/>
        <v>416.99999999999989</v>
      </c>
      <c r="W96" s="55">
        <f ca="1">V96*VLOOKUP(TODAY(),'UF HOY'!$A$2:$B$36,2,0)</f>
        <v>16569052.979999997</v>
      </c>
      <c r="X96" s="56">
        <f>Datos!$K$5</f>
        <v>36</v>
      </c>
      <c r="Y96" s="55">
        <f ca="1">IF((W96-Datos!$U$5-1000000)/X96&gt;0,(W96-Datos!$U$5-1000000)/X96,0)</f>
        <v>429695.916111111</v>
      </c>
      <c r="Z96" s="56">
        <f>Datos!$K$5</f>
        <v>36</v>
      </c>
      <c r="AA96" s="55">
        <f ca="1">IF((W96-Datos!$U$5-1000000-O96*3%*VLOOKUP(TODAY(),'UF HOY'!$A$2:$B$36,2,0))/Z96&gt;0,(W96-Datos!$U$5-1000000-O96*3%*VLOOKUP(TODAY(),'UF HOY'!$A$2:$B$36,2,0))/Z96,0)</f>
        <v>291620.47461111099</v>
      </c>
      <c r="AB96" s="130" cm="1">
        <f t="array" ref="AB96">_xlfn.IFS(AND(L96=0,M96=0),VLOOKUP(D96,Datos!$F$31:$I$33,2,0),AND(L96=0,M96&gt;0),VLOOKUP(D96,Datos!$F$32:$I$33,2,0),AND(L96&gt;0,M96=0),VLOOKUP(D96,Datos!$F$32:$I$33,3,0),AND(L96&gt;0,M96&gt;0),VLOOKUP(D96,Datos!$F$31:$I$33,4,0))</f>
        <v>550000</v>
      </c>
      <c r="AC96" s="55">
        <f ca="1">(S96*PMT(Datos!$G$15,Datos!$G$14,-O96,,)*VLOOKUP(TODAY(),'UF HOY'!$A$2:$B$36,2,0)/12)+VLOOKUP(TODAY(),'UF HOY'!$A$2:$B$36,2,0)</f>
        <v>678527.25758952461</v>
      </c>
      <c r="AD96" s="55">
        <f t="shared" ca="1" si="22"/>
        <v>-128527.25758952461</v>
      </c>
      <c r="AE96" s="93">
        <f t="shared" ca="1" si="23"/>
        <v>2714109.0303580984</v>
      </c>
    </row>
    <row r="97" spans="1:31" s="3" customFormat="1" x14ac:dyDescent="0.35">
      <c r="A97" s="94" t="s">
        <v>346</v>
      </c>
      <c r="B97" s="80">
        <v>810</v>
      </c>
      <c r="C97" s="48" t="s">
        <v>40</v>
      </c>
      <c r="D97" s="48" t="s">
        <v>37</v>
      </c>
      <c r="E97" s="48"/>
      <c r="F97" s="48">
        <v>34.369999999999997</v>
      </c>
      <c r="G97" s="48">
        <v>3.28</v>
      </c>
      <c r="H97" s="82">
        <f t="shared" si="12"/>
        <v>36.01</v>
      </c>
      <c r="I97" s="82">
        <f t="shared" si="13"/>
        <v>37.65</v>
      </c>
      <c r="J97" s="49">
        <v>4170</v>
      </c>
      <c r="K97" s="304">
        <v>0</v>
      </c>
      <c r="L97" s="48">
        <v>0</v>
      </c>
      <c r="M97" s="48">
        <v>0</v>
      </c>
      <c r="N97" s="49">
        <f t="shared" si="14"/>
        <v>3753</v>
      </c>
      <c r="O97" s="52">
        <f t="shared" si="15"/>
        <v>4170</v>
      </c>
      <c r="P97" s="79">
        <f t="shared" si="16"/>
        <v>104.22104970841434</v>
      </c>
      <c r="Q97" s="53">
        <f t="shared" si="17"/>
        <v>0.1</v>
      </c>
      <c r="R97" s="54">
        <f t="shared" si="18"/>
        <v>417</v>
      </c>
      <c r="S97" s="53">
        <v>0.8</v>
      </c>
      <c r="T97" s="54">
        <f t="shared" si="19"/>
        <v>3336</v>
      </c>
      <c r="U97" s="53">
        <f t="shared" si="20"/>
        <v>9.9999999999999978E-2</v>
      </c>
      <c r="V97" s="54">
        <f t="shared" si="21"/>
        <v>416.99999999999989</v>
      </c>
      <c r="W97" s="55">
        <f ca="1">V97*VLOOKUP(TODAY(),'UF HOY'!$A$2:$B$36,2,0)</f>
        <v>16569052.979999997</v>
      </c>
      <c r="X97" s="56">
        <f>Datos!$K$5</f>
        <v>36</v>
      </c>
      <c r="Y97" s="55">
        <f ca="1">IF((W97-Datos!$U$5-1000000)/X97&gt;0,(W97-Datos!$U$5-1000000)/X97,0)</f>
        <v>429695.916111111</v>
      </c>
      <c r="Z97" s="56">
        <f>Datos!$K$5</f>
        <v>36</v>
      </c>
      <c r="AA97" s="55">
        <f ca="1">IF((W97-Datos!$U$5-1000000-O97*3%*VLOOKUP(TODAY(),'UF HOY'!$A$2:$B$36,2,0))/Z97&gt;0,(W97-Datos!$U$5-1000000-O97*3%*VLOOKUP(TODAY(),'UF HOY'!$A$2:$B$36,2,0))/Z97,0)</f>
        <v>291620.47461111099</v>
      </c>
      <c r="AB97" s="130" cm="1">
        <f t="array" ref="AB97">_xlfn.IFS(AND(L97=0,M97=0),VLOOKUP(D97,Datos!$F$31:$I$33,2,0),AND(L97=0,M97&gt;0),VLOOKUP(D97,Datos!$F$32:$I$33,2,0),AND(L97&gt;0,M97=0),VLOOKUP(D97,Datos!$F$32:$I$33,3,0),AND(L97&gt;0,M97&gt;0),VLOOKUP(D97,Datos!$F$31:$I$33,4,0))</f>
        <v>550000</v>
      </c>
      <c r="AC97" s="55">
        <f ca="1">(S97*PMT(Datos!$G$15,Datos!$G$14,-O97,,)*VLOOKUP(TODAY(),'UF HOY'!$A$2:$B$36,2,0)/12)+VLOOKUP(TODAY(),'UF HOY'!$A$2:$B$36,2,0)</f>
        <v>678527.25758952461</v>
      </c>
      <c r="AD97" s="55">
        <f t="shared" ca="1" si="22"/>
        <v>-128527.25758952461</v>
      </c>
      <c r="AE97" s="93">
        <f t="shared" ca="1" si="23"/>
        <v>2714109.0303580984</v>
      </c>
    </row>
    <row r="98" spans="1:31" s="3" customFormat="1" x14ac:dyDescent="0.35">
      <c r="A98" s="94" t="s">
        <v>346</v>
      </c>
      <c r="B98" s="80">
        <v>1102</v>
      </c>
      <c r="C98" s="48" t="s">
        <v>38</v>
      </c>
      <c r="D98" s="48" t="s">
        <v>37</v>
      </c>
      <c r="E98" s="48"/>
      <c r="F98" s="48">
        <v>34.89</v>
      </c>
      <c r="G98" s="48">
        <v>2.83</v>
      </c>
      <c r="H98" s="82">
        <f t="shared" si="12"/>
        <v>36.305</v>
      </c>
      <c r="I98" s="82">
        <f t="shared" si="13"/>
        <v>37.72</v>
      </c>
      <c r="J98" s="49">
        <v>4170</v>
      </c>
      <c r="K98" s="304">
        <v>0</v>
      </c>
      <c r="L98" s="48">
        <v>0</v>
      </c>
      <c r="M98" s="48">
        <v>0</v>
      </c>
      <c r="N98" s="49">
        <f t="shared" si="14"/>
        <v>3753</v>
      </c>
      <c r="O98" s="52">
        <f t="shared" si="15"/>
        <v>4170</v>
      </c>
      <c r="P98" s="79">
        <f t="shared" si="16"/>
        <v>103.37419088279852</v>
      </c>
      <c r="Q98" s="53">
        <f t="shared" si="17"/>
        <v>0.1</v>
      </c>
      <c r="R98" s="54">
        <f t="shared" si="18"/>
        <v>417</v>
      </c>
      <c r="S98" s="53">
        <v>0.8</v>
      </c>
      <c r="T98" s="54">
        <f t="shared" si="19"/>
        <v>3336</v>
      </c>
      <c r="U98" s="53">
        <f t="shared" si="20"/>
        <v>9.9999999999999978E-2</v>
      </c>
      <c r="V98" s="54">
        <f t="shared" si="21"/>
        <v>416.99999999999989</v>
      </c>
      <c r="W98" s="55">
        <f ca="1">V98*VLOOKUP(TODAY(),'UF HOY'!$A$2:$B$36,2,0)</f>
        <v>16569052.979999997</v>
      </c>
      <c r="X98" s="56">
        <f>Datos!$K$5</f>
        <v>36</v>
      </c>
      <c r="Y98" s="55">
        <f ca="1">IF((W98-Datos!$U$5-1000000)/X98&gt;0,(W98-Datos!$U$5-1000000)/X98,0)</f>
        <v>429695.916111111</v>
      </c>
      <c r="Z98" s="56">
        <f>Datos!$K$5</f>
        <v>36</v>
      </c>
      <c r="AA98" s="55">
        <f ca="1">IF((W98-Datos!$U$5-1000000-O98*3%*VLOOKUP(TODAY(),'UF HOY'!$A$2:$B$36,2,0))/Z98&gt;0,(W98-Datos!$U$5-1000000-O98*3%*VLOOKUP(TODAY(),'UF HOY'!$A$2:$B$36,2,0))/Z98,0)</f>
        <v>291620.47461111099</v>
      </c>
      <c r="AB98" s="130" cm="1">
        <f t="array" ref="AB98">_xlfn.IFS(AND(L98=0,M98=0),VLOOKUP(D98,Datos!$F$31:$I$33,2,0),AND(L98=0,M98&gt;0),VLOOKUP(D98,Datos!$F$32:$I$33,2,0),AND(L98&gt;0,M98=0),VLOOKUP(D98,Datos!$F$32:$I$33,3,0),AND(L98&gt;0,M98&gt;0),VLOOKUP(D98,Datos!$F$31:$I$33,4,0))</f>
        <v>550000</v>
      </c>
      <c r="AC98" s="55">
        <f ca="1">(S98*PMT(Datos!$G$15,Datos!$G$14,-O98,,)*VLOOKUP(TODAY(),'UF HOY'!$A$2:$B$36,2,0)/12)+VLOOKUP(TODAY(),'UF HOY'!$A$2:$B$36,2,0)</f>
        <v>678527.25758952461</v>
      </c>
      <c r="AD98" s="55">
        <f t="shared" ca="1" si="22"/>
        <v>-128527.25758952461</v>
      </c>
      <c r="AE98" s="93">
        <f t="shared" ca="1" si="23"/>
        <v>2714109.0303580984</v>
      </c>
    </row>
    <row r="99" spans="1:31" s="3" customFormat="1" x14ac:dyDescent="0.35">
      <c r="A99" s="94" t="s">
        <v>346</v>
      </c>
      <c r="B99" s="80">
        <v>1204</v>
      </c>
      <c r="C99" s="48" t="s">
        <v>38</v>
      </c>
      <c r="D99" s="48" t="s">
        <v>37</v>
      </c>
      <c r="E99" s="48"/>
      <c r="F99" s="48">
        <v>34.74</v>
      </c>
      <c r="G99" s="48">
        <v>2.86</v>
      </c>
      <c r="H99" s="82">
        <f t="shared" si="12"/>
        <v>36.17</v>
      </c>
      <c r="I99" s="82">
        <f t="shared" si="13"/>
        <v>37.6</v>
      </c>
      <c r="J99" s="49">
        <v>4170</v>
      </c>
      <c r="K99" s="304">
        <v>0</v>
      </c>
      <c r="L99" s="48">
        <v>0</v>
      </c>
      <c r="M99" s="48">
        <v>0</v>
      </c>
      <c r="N99" s="49">
        <f t="shared" si="14"/>
        <v>3753</v>
      </c>
      <c r="O99" s="52">
        <f t="shared" si="15"/>
        <v>4170</v>
      </c>
      <c r="P99" s="79">
        <f t="shared" si="16"/>
        <v>103.76002211777715</v>
      </c>
      <c r="Q99" s="53">
        <f t="shared" si="17"/>
        <v>0.1</v>
      </c>
      <c r="R99" s="54">
        <f t="shared" si="18"/>
        <v>417</v>
      </c>
      <c r="S99" s="53">
        <v>0.8</v>
      </c>
      <c r="T99" s="54">
        <f t="shared" si="19"/>
        <v>3336</v>
      </c>
      <c r="U99" s="53">
        <f t="shared" si="20"/>
        <v>9.9999999999999978E-2</v>
      </c>
      <c r="V99" s="54">
        <f t="shared" si="21"/>
        <v>416.99999999999989</v>
      </c>
      <c r="W99" s="55">
        <f ca="1">V99*VLOOKUP(TODAY(),'UF HOY'!$A$2:$B$36,2,0)</f>
        <v>16569052.979999997</v>
      </c>
      <c r="X99" s="56">
        <f>Datos!$K$5</f>
        <v>36</v>
      </c>
      <c r="Y99" s="55">
        <f ca="1">IF((W99-Datos!$U$5-1000000)/X99&gt;0,(W99-Datos!$U$5-1000000)/X99,0)</f>
        <v>429695.916111111</v>
      </c>
      <c r="Z99" s="56">
        <f>Datos!$K$5</f>
        <v>36</v>
      </c>
      <c r="AA99" s="55">
        <f ca="1">IF((W99-Datos!$U$5-1000000-O99*3%*VLOOKUP(TODAY(),'UF HOY'!$A$2:$B$36,2,0))/Z99&gt;0,(W99-Datos!$U$5-1000000-O99*3%*VLOOKUP(TODAY(),'UF HOY'!$A$2:$B$36,2,0))/Z99,0)</f>
        <v>291620.47461111099</v>
      </c>
      <c r="AB99" s="130" cm="1">
        <f t="array" ref="AB99">_xlfn.IFS(AND(L99=0,M99=0),VLOOKUP(D99,Datos!$F$31:$I$33,2,0),AND(L99=0,M99&gt;0),VLOOKUP(D99,Datos!$F$32:$I$33,2,0),AND(L99&gt;0,M99=0),VLOOKUP(D99,Datos!$F$32:$I$33,3,0),AND(L99&gt;0,M99&gt;0),VLOOKUP(D99,Datos!$F$31:$I$33,4,0))</f>
        <v>550000</v>
      </c>
      <c r="AC99" s="55">
        <f ca="1">(S99*PMT(Datos!$G$15,Datos!$G$14,-O99,,)*VLOOKUP(TODAY(),'UF HOY'!$A$2:$B$36,2,0)/12)+VLOOKUP(TODAY(),'UF HOY'!$A$2:$B$36,2,0)</f>
        <v>678527.25758952461</v>
      </c>
      <c r="AD99" s="55">
        <f t="shared" ca="1" si="22"/>
        <v>-128527.25758952461</v>
      </c>
      <c r="AE99" s="93">
        <f t="shared" ca="1" si="23"/>
        <v>2714109.0303580984</v>
      </c>
    </row>
    <row r="100" spans="1:31" s="3" customFormat="1" x14ac:dyDescent="0.35">
      <c r="A100" s="94" t="s">
        <v>346</v>
      </c>
      <c r="B100" s="80">
        <v>1612</v>
      </c>
      <c r="C100" s="48" t="s">
        <v>41</v>
      </c>
      <c r="D100" s="48" t="s">
        <v>37</v>
      </c>
      <c r="E100" s="48"/>
      <c r="F100" s="48">
        <v>34.630000000000003</v>
      </c>
      <c r="G100" s="48">
        <v>2.93</v>
      </c>
      <c r="H100" s="82">
        <f t="shared" si="12"/>
        <v>36.095000000000006</v>
      </c>
      <c r="I100" s="82">
        <f t="shared" si="13"/>
        <v>37.56</v>
      </c>
      <c r="J100" s="49">
        <v>4170</v>
      </c>
      <c r="K100" s="304">
        <v>0</v>
      </c>
      <c r="L100" s="48">
        <v>0</v>
      </c>
      <c r="M100" s="48">
        <v>0</v>
      </c>
      <c r="N100" s="49">
        <f t="shared" si="14"/>
        <v>3753</v>
      </c>
      <c r="O100" s="52">
        <f t="shared" si="15"/>
        <v>4170</v>
      </c>
      <c r="P100" s="79">
        <f t="shared" si="16"/>
        <v>103.97561989195178</v>
      </c>
      <c r="Q100" s="53">
        <f t="shared" si="17"/>
        <v>0.1</v>
      </c>
      <c r="R100" s="54">
        <f t="shared" si="18"/>
        <v>417</v>
      </c>
      <c r="S100" s="53">
        <v>0.8</v>
      </c>
      <c r="T100" s="54">
        <f t="shared" si="19"/>
        <v>3336</v>
      </c>
      <c r="U100" s="53">
        <f t="shared" si="20"/>
        <v>9.9999999999999978E-2</v>
      </c>
      <c r="V100" s="54">
        <f t="shared" si="21"/>
        <v>416.99999999999989</v>
      </c>
      <c r="W100" s="55">
        <f ca="1">V100*VLOOKUP(TODAY(),'UF HOY'!$A$2:$B$36,2,0)</f>
        <v>16569052.979999997</v>
      </c>
      <c r="X100" s="56">
        <f>Datos!$K$5</f>
        <v>36</v>
      </c>
      <c r="Y100" s="55">
        <f ca="1">IF((W100-Datos!$U$5-1000000)/X100&gt;0,(W100-Datos!$U$5-1000000)/X100,0)</f>
        <v>429695.916111111</v>
      </c>
      <c r="Z100" s="56">
        <f>Datos!$K$5</f>
        <v>36</v>
      </c>
      <c r="AA100" s="55">
        <f ca="1">IF((W100-Datos!$U$5-1000000-O100*3%*VLOOKUP(TODAY(),'UF HOY'!$A$2:$B$36,2,0))/Z100&gt;0,(W100-Datos!$U$5-1000000-O100*3%*VLOOKUP(TODAY(),'UF HOY'!$A$2:$B$36,2,0))/Z100,0)</f>
        <v>291620.47461111099</v>
      </c>
      <c r="AB100" s="130" cm="1">
        <f t="array" ref="AB100">_xlfn.IFS(AND(L100=0,M100=0),VLOOKUP(D100,Datos!$F$31:$I$33,2,0),AND(L100=0,M100&gt;0),VLOOKUP(D100,Datos!$F$32:$I$33,2,0),AND(L100&gt;0,M100=0),VLOOKUP(D100,Datos!$F$32:$I$33,3,0),AND(L100&gt;0,M100&gt;0),VLOOKUP(D100,Datos!$F$31:$I$33,4,0))</f>
        <v>550000</v>
      </c>
      <c r="AC100" s="55">
        <f ca="1">(S100*PMT(Datos!$G$15,Datos!$G$14,-O100,,)*VLOOKUP(TODAY(),'UF HOY'!$A$2:$B$36,2,0)/12)+VLOOKUP(TODAY(),'UF HOY'!$A$2:$B$36,2,0)</f>
        <v>678527.25758952461</v>
      </c>
      <c r="AD100" s="55">
        <f t="shared" ca="1" si="22"/>
        <v>-128527.25758952461</v>
      </c>
      <c r="AE100" s="93">
        <f t="shared" ca="1" si="23"/>
        <v>2714109.0303580984</v>
      </c>
    </row>
    <row r="101" spans="1:31" s="3" customFormat="1" x14ac:dyDescent="0.35">
      <c r="A101" s="94" t="s">
        <v>346</v>
      </c>
      <c r="B101" s="80">
        <v>2106</v>
      </c>
      <c r="C101" s="48" t="s">
        <v>36</v>
      </c>
      <c r="D101" s="48" t="s">
        <v>37</v>
      </c>
      <c r="E101" s="48"/>
      <c r="F101" s="48">
        <v>34.19</v>
      </c>
      <c r="G101" s="48">
        <v>2.8</v>
      </c>
      <c r="H101" s="82">
        <f t="shared" si="12"/>
        <v>35.589999999999996</v>
      </c>
      <c r="I101" s="82">
        <f t="shared" si="13"/>
        <v>36.989999999999995</v>
      </c>
      <c r="J101" s="49">
        <v>4170</v>
      </c>
      <c r="K101" s="304">
        <v>0</v>
      </c>
      <c r="L101" s="48">
        <v>0</v>
      </c>
      <c r="M101" s="48">
        <v>0</v>
      </c>
      <c r="N101" s="49">
        <f t="shared" si="14"/>
        <v>3753</v>
      </c>
      <c r="O101" s="52">
        <f t="shared" si="15"/>
        <v>4170</v>
      </c>
      <c r="P101" s="79">
        <f t="shared" si="16"/>
        <v>105.45096937341951</v>
      </c>
      <c r="Q101" s="53">
        <f t="shared" si="17"/>
        <v>0.1</v>
      </c>
      <c r="R101" s="54">
        <f t="shared" si="18"/>
        <v>417</v>
      </c>
      <c r="S101" s="53">
        <v>0.8</v>
      </c>
      <c r="T101" s="54">
        <f t="shared" si="19"/>
        <v>3336</v>
      </c>
      <c r="U101" s="53">
        <f t="shared" si="20"/>
        <v>9.9999999999999978E-2</v>
      </c>
      <c r="V101" s="54">
        <f t="shared" si="21"/>
        <v>416.99999999999989</v>
      </c>
      <c r="W101" s="55">
        <f ca="1">V101*VLOOKUP(TODAY(),'UF HOY'!$A$2:$B$36,2,0)</f>
        <v>16569052.979999997</v>
      </c>
      <c r="X101" s="56">
        <f>Datos!$K$5</f>
        <v>36</v>
      </c>
      <c r="Y101" s="55">
        <f ca="1">IF((W101-Datos!$U$5-1000000)/X101&gt;0,(W101-Datos!$U$5-1000000)/X101,0)</f>
        <v>429695.916111111</v>
      </c>
      <c r="Z101" s="56">
        <f>Datos!$K$5</f>
        <v>36</v>
      </c>
      <c r="AA101" s="55">
        <f ca="1">IF((W101-Datos!$U$5-1000000-O101*3%*VLOOKUP(TODAY(),'UF HOY'!$A$2:$B$36,2,0))/Z101&gt;0,(W101-Datos!$U$5-1000000-O101*3%*VLOOKUP(TODAY(),'UF HOY'!$A$2:$B$36,2,0))/Z101,0)</f>
        <v>291620.47461111099</v>
      </c>
      <c r="AB101" s="130" cm="1">
        <f t="array" ref="AB101">_xlfn.IFS(AND(L101=0,M101=0),VLOOKUP(D101,Datos!$F$31:$I$33,2,0),AND(L101=0,M101&gt;0),VLOOKUP(D101,Datos!$F$32:$I$33,2,0),AND(L101&gt;0,M101=0),VLOOKUP(D101,Datos!$F$32:$I$33,3,0),AND(L101&gt;0,M101&gt;0),VLOOKUP(D101,Datos!$F$31:$I$33,4,0))</f>
        <v>550000</v>
      </c>
      <c r="AC101" s="55">
        <f ca="1">(S101*PMT(Datos!$G$15,Datos!$G$14,-O101,,)*VLOOKUP(TODAY(),'UF HOY'!$A$2:$B$36,2,0)/12)+VLOOKUP(TODAY(),'UF HOY'!$A$2:$B$36,2,0)</f>
        <v>678527.25758952461</v>
      </c>
      <c r="AD101" s="55">
        <f t="shared" ca="1" si="22"/>
        <v>-128527.25758952461</v>
      </c>
      <c r="AE101" s="93">
        <f t="shared" ca="1" si="23"/>
        <v>2714109.0303580984</v>
      </c>
    </row>
    <row r="102" spans="1:31" s="3" customFormat="1" x14ac:dyDescent="0.35">
      <c r="A102" s="94" t="s">
        <v>346</v>
      </c>
      <c r="B102" s="80">
        <v>2107</v>
      </c>
      <c r="C102" s="48" t="s">
        <v>36</v>
      </c>
      <c r="D102" s="48" t="s">
        <v>37</v>
      </c>
      <c r="E102" s="48"/>
      <c r="F102" s="48">
        <v>34.17</v>
      </c>
      <c r="G102" s="48">
        <v>2.8</v>
      </c>
      <c r="H102" s="82">
        <f t="shared" si="12"/>
        <v>35.57</v>
      </c>
      <c r="I102" s="82">
        <f t="shared" si="13"/>
        <v>36.97</v>
      </c>
      <c r="J102" s="49">
        <v>4170</v>
      </c>
      <c r="K102" s="304">
        <v>0</v>
      </c>
      <c r="L102" s="48">
        <v>0</v>
      </c>
      <c r="M102" s="48">
        <v>0</v>
      </c>
      <c r="N102" s="49">
        <f t="shared" si="14"/>
        <v>3753</v>
      </c>
      <c r="O102" s="52">
        <f t="shared" si="15"/>
        <v>4170</v>
      </c>
      <c r="P102" s="79">
        <f t="shared" si="16"/>
        <v>105.51026145628339</v>
      </c>
      <c r="Q102" s="53">
        <f t="shared" si="17"/>
        <v>0.1</v>
      </c>
      <c r="R102" s="54">
        <f t="shared" si="18"/>
        <v>417</v>
      </c>
      <c r="S102" s="53">
        <v>0.8</v>
      </c>
      <c r="T102" s="54">
        <f t="shared" si="19"/>
        <v>3336</v>
      </c>
      <c r="U102" s="53">
        <f t="shared" si="20"/>
        <v>9.9999999999999978E-2</v>
      </c>
      <c r="V102" s="54">
        <f t="shared" si="21"/>
        <v>416.99999999999989</v>
      </c>
      <c r="W102" s="55">
        <f ca="1">V102*VLOOKUP(TODAY(),'UF HOY'!$A$2:$B$36,2,0)</f>
        <v>16569052.979999997</v>
      </c>
      <c r="X102" s="56">
        <f>Datos!$K$5</f>
        <v>36</v>
      </c>
      <c r="Y102" s="55">
        <f ca="1">IF((W102-Datos!$U$5-1000000)/X102&gt;0,(W102-Datos!$U$5-1000000)/X102,0)</f>
        <v>429695.916111111</v>
      </c>
      <c r="Z102" s="56">
        <f>Datos!$K$5</f>
        <v>36</v>
      </c>
      <c r="AA102" s="55">
        <f ca="1">IF((W102-Datos!$U$5-1000000-O102*3%*VLOOKUP(TODAY(),'UF HOY'!$A$2:$B$36,2,0))/Z102&gt;0,(W102-Datos!$U$5-1000000-O102*3%*VLOOKUP(TODAY(),'UF HOY'!$A$2:$B$36,2,0))/Z102,0)</f>
        <v>291620.47461111099</v>
      </c>
      <c r="AB102" s="130" cm="1">
        <f t="array" ref="AB102">_xlfn.IFS(AND(L102=0,M102=0),VLOOKUP(D102,Datos!$F$31:$I$33,2,0),AND(L102=0,M102&gt;0),VLOOKUP(D102,Datos!$F$32:$I$33,2,0),AND(L102&gt;0,M102=0),VLOOKUP(D102,Datos!$F$32:$I$33,3,0),AND(L102&gt;0,M102&gt;0),VLOOKUP(D102,Datos!$F$31:$I$33,4,0))</f>
        <v>550000</v>
      </c>
      <c r="AC102" s="55">
        <f ca="1">(S102*PMT(Datos!$G$15,Datos!$G$14,-O102,,)*VLOOKUP(TODAY(),'UF HOY'!$A$2:$B$36,2,0)/12)+VLOOKUP(TODAY(),'UF HOY'!$A$2:$B$36,2,0)</f>
        <v>678527.25758952461</v>
      </c>
      <c r="AD102" s="55">
        <f t="shared" ca="1" si="22"/>
        <v>-128527.25758952461</v>
      </c>
      <c r="AE102" s="93">
        <f t="shared" ca="1" si="23"/>
        <v>2714109.0303580984</v>
      </c>
    </row>
    <row r="103" spans="1:31" s="3" customFormat="1" x14ac:dyDescent="0.35">
      <c r="A103" s="94" t="s">
        <v>346</v>
      </c>
      <c r="B103" s="80">
        <v>1203</v>
      </c>
      <c r="C103" s="48" t="s">
        <v>38</v>
      </c>
      <c r="D103" s="48" t="s">
        <v>37</v>
      </c>
      <c r="E103" s="48"/>
      <c r="F103" s="48">
        <v>34.79</v>
      </c>
      <c r="G103" s="48">
        <v>2.83</v>
      </c>
      <c r="H103" s="82">
        <f t="shared" si="12"/>
        <v>36.204999999999998</v>
      </c>
      <c r="I103" s="82">
        <f t="shared" si="13"/>
        <v>37.619999999999997</v>
      </c>
      <c r="J103" s="49">
        <v>4175</v>
      </c>
      <c r="K103" s="304">
        <v>0</v>
      </c>
      <c r="L103" s="48">
        <v>0</v>
      </c>
      <c r="M103" s="48">
        <v>0</v>
      </c>
      <c r="N103" s="49">
        <f t="shared" si="14"/>
        <v>3757.5</v>
      </c>
      <c r="O103" s="52">
        <f t="shared" si="15"/>
        <v>4175</v>
      </c>
      <c r="P103" s="79">
        <f t="shared" si="16"/>
        <v>103.78400773373843</v>
      </c>
      <c r="Q103" s="53">
        <f t="shared" si="17"/>
        <v>0.1</v>
      </c>
      <c r="R103" s="54">
        <f t="shared" si="18"/>
        <v>417.5</v>
      </c>
      <c r="S103" s="53">
        <v>0.8</v>
      </c>
      <c r="T103" s="54">
        <f t="shared" si="19"/>
        <v>3340</v>
      </c>
      <c r="U103" s="53">
        <f t="shared" si="20"/>
        <v>9.9999999999999978E-2</v>
      </c>
      <c r="V103" s="54">
        <f t="shared" si="21"/>
        <v>417.49999999999989</v>
      </c>
      <c r="W103" s="55">
        <f ca="1">V103*VLOOKUP(TODAY(),'UF HOY'!$A$2:$B$36,2,0)</f>
        <v>16588919.949999996</v>
      </c>
      <c r="X103" s="56">
        <f>Datos!$K$5</f>
        <v>36</v>
      </c>
      <c r="Y103" s="55">
        <f ca="1">IF((W103-Datos!$U$5-1000000)/X103&gt;0,(W103-Datos!$U$5-1000000)/X103,0)</f>
        <v>430247.77638888877</v>
      </c>
      <c r="Z103" s="56">
        <f>Datos!$K$5</f>
        <v>36</v>
      </c>
      <c r="AA103" s="55">
        <f ca="1">IF((W103-Datos!$U$5-1000000-O103*3%*VLOOKUP(TODAY(),'UF HOY'!$A$2:$B$36,2,0))/Z103&gt;0,(W103-Datos!$U$5-1000000-O103*3%*VLOOKUP(TODAY(),'UF HOY'!$A$2:$B$36,2,0))/Z103,0)</f>
        <v>292006.77680555545</v>
      </c>
      <c r="AB103" s="130" cm="1">
        <f t="array" ref="AB103">_xlfn.IFS(AND(L103=0,M103=0),VLOOKUP(D103,Datos!$F$31:$I$33,2,0),AND(L103=0,M103&gt;0),VLOOKUP(D103,Datos!$F$32:$I$33,2,0),AND(L103&gt;0,M103=0),VLOOKUP(D103,Datos!$F$32:$I$33,3,0),AND(L103&gt;0,M103&gt;0),VLOOKUP(D103,Datos!$F$31:$I$33,4,0))</f>
        <v>550000</v>
      </c>
      <c r="AC103" s="55">
        <f ca="1">(S103*PMT(Datos!$G$15,Datos!$G$14,-O103,,)*VLOOKUP(TODAY(),'UF HOY'!$A$2:$B$36,2,0)/12)+VLOOKUP(TODAY(),'UF HOY'!$A$2:$B$36,2,0)</f>
        <v>679293.19681924838</v>
      </c>
      <c r="AD103" s="55">
        <f t="shared" ca="1" si="22"/>
        <v>-129293.19681924838</v>
      </c>
      <c r="AE103" s="93">
        <f t="shared" ca="1" si="23"/>
        <v>2717172.7872769935</v>
      </c>
    </row>
    <row r="104" spans="1:31" s="3" customFormat="1" x14ac:dyDescent="0.35">
      <c r="A104" s="94" t="s">
        <v>346</v>
      </c>
      <c r="B104" s="80">
        <v>1613</v>
      </c>
      <c r="C104" s="48" t="s">
        <v>41</v>
      </c>
      <c r="D104" s="48" t="s">
        <v>37</v>
      </c>
      <c r="E104" s="48"/>
      <c r="F104" s="48">
        <v>34.69</v>
      </c>
      <c r="G104" s="48">
        <v>2.93</v>
      </c>
      <c r="H104" s="82">
        <f t="shared" si="12"/>
        <v>36.155000000000001</v>
      </c>
      <c r="I104" s="82">
        <f t="shared" si="13"/>
        <v>37.619999999999997</v>
      </c>
      <c r="J104" s="49">
        <v>4175</v>
      </c>
      <c r="K104" s="304">
        <v>0</v>
      </c>
      <c r="L104" s="48">
        <v>0</v>
      </c>
      <c r="M104" s="48">
        <v>0</v>
      </c>
      <c r="N104" s="49">
        <f t="shared" si="14"/>
        <v>3757.5</v>
      </c>
      <c r="O104" s="52">
        <f t="shared" si="15"/>
        <v>4175</v>
      </c>
      <c r="P104" s="79">
        <f t="shared" si="16"/>
        <v>103.92753422763103</v>
      </c>
      <c r="Q104" s="53">
        <f t="shared" si="17"/>
        <v>0.1</v>
      </c>
      <c r="R104" s="54">
        <f t="shared" si="18"/>
        <v>417.5</v>
      </c>
      <c r="S104" s="53">
        <v>0.8</v>
      </c>
      <c r="T104" s="54">
        <f t="shared" si="19"/>
        <v>3340</v>
      </c>
      <c r="U104" s="53">
        <f t="shared" si="20"/>
        <v>9.9999999999999978E-2</v>
      </c>
      <c r="V104" s="54">
        <f t="shared" si="21"/>
        <v>417.49999999999989</v>
      </c>
      <c r="W104" s="55">
        <f ca="1">V104*VLOOKUP(TODAY(),'UF HOY'!$A$2:$B$36,2,0)</f>
        <v>16588919.949999996</v>
      </c>
      <c r="X104" s="56">
        <f>Datos!$K$5</f>
        <v>36</v>
      </c>
      <c r="Y104" s="55">
        <f ca="1">IF((W104-Datos!$U$5-1000000)/X104&gt;0,(W104-Datos!$U$5-1000000)/X104,0)</f>
        <v>430247.77638888877</v>
      </c>
      <c r="Z104" s="56">
        <f>Datos!$K$5</f>
        <v>36</v>
      </c>
      <c r="AA104" s="55">
        <f ca="1">IF((W104-Datos!$U$5-1000000-O104*3%*VLOOKUP(TODAY(),'UF HOY'!$A$2:$B$36,2,0))/Z104&gt;0,(W104-Datos!$U$5-1000000-O104*3%*VLOOKUP(TODAY(),'UF HOY'!$A$2:$B$36,2,0))/Z104,0)</f>
        <v>292006.77680555545</v>
      </c>
      <c r="AB104" s="130" cm="1">
        <f t="array" ref="AB104">_xlfn.IFS(AND(L104=0,M104=0),VLOOKUP(D104,Datos!$F$31:$I$33,2,0),AND(L104=0,M104&gt;0),VLOOKUP(D104,Datos!$F$32:$I$33,2,0),AND(L104&gt;0,M104=0),VLOOKUP(D104,Datos!$F$32:$I$33,3,0),AND(L104&gt;0,M104&gt;0),VLOOKUP(D104,Datos!$F$31:$I$33,4,0))</f>
        <v>550000</v>
      </c>
      <c r="AC104" s="55">
        <f ca="1">(S104*PMT(Datos!$G$15,Datos!$G$14,-O104,,)*VLOOKUP(TODAY(),'UF HOY'!$A$2:$B$36,2,0)/12)+VLOOKUP(TODAY(),'UF HOY'!$A$2:$B$36,2,0)</f>
        <v>679293.19681924838</v>
      </c>
      <c r="AD104" s="55">
        <f t="shared" ca="1" si="22"/>
        <v>-129293.19681924838</v>
      </c>
      <c r="AE104" s="93">
        <f t="shared" ca="1" si="23"/>
        <v>2717172.7872769935</v>
      </c>
    </row>
    <row r="105" spans="1:31" s="3" customFormat="1" x14ac:dyDescent="0.35">
      <c r="A105" s="94" t="s">
        <v>346</v>
      </c>
      <c r="B105" s="80">
        <v>1712</v>
      </c>
      <c r="C105" s="48" t="s">
        <v>41</v>
      </c>
      <c r="D105" s="48" t="s">
        <v>37</v>
      </c>
      <c r="E105" s="48"/>
      <c r="F105" s="48">
        <v>34.630000000000003</v>
      </c>
      <c r="G105" s="48">
        <v>2.93</v>
      </c>
      <c r="H105" s="82">
        <f t="shared" si="12"/>
        <v>36.095000000000006</v>
      </c>
      <c r="I105" s="82">
        <f t="shared" si="13"/>
        <v>37.56</v>
      </c>
      <c r="J105" s="49">
        <v>4180</v>
      </c>
      <c r="K105" s="304">
        <v>0</v>
      </c>
      <c r="L105" s="48">
        <v>0</v>
      </c>
      <c r="M105" s="48">
        <v>0</v>
      </c>
      <c r="N105" s="49">
        <f t="shared" si="14"/>
        <v>3762</v>
      </c>
      <c r="O105" s="52">
        <f t="shared" si="15"/>
        <v>4180</v>
      </c>
      <c r="P105" s="79">
        <f t="shared" si="16"/>
        <v>104.22496190608116</v>
      </c>
      <c r="Q105" s="53">
        <f t="shared" si="17"/>
        <v>0.1</v>
      </c>
      <c r="R105" s="54">
        <f t="shared" si="18"/>
        <v>418</v>
      </c>
      <c r="S105" s="53">
        <v>0.8</v>
      </c>
      <c r="T105" s="54">
        <f t="shared" si="19"/>
        <v>3344</v>
      </c>
      <c r="U105" s="53">
        <f t="shared" si="20"/>
        <v>9.9999999999999978E-2</v>
      </c>
      <c r="V105" s="54">
        <f t="shared" si="21"/>
        <v>417.99999999999989</v>
      </c>
      <c r="W105" s="55">
        <f ca="1">V105*VLOOKUP(TODAY(),'UF HOY'!$A$2:$B$36,2,0)</f>
        <v>16608786.919999996</v>
      </c>
      <c r="X105" s="56">
        <f>Datos!$K$5</f>
        <v>36</v>
      </c>
      <c r="Y105" s="55">
        <f ca="1">IF((W105-Datos!$U$5-1000000)/X105&gt;0,(W105-Datos!$U$5-1000000)/X105,0)</f>
        <v>430799.63666666654</v>
      </c>
      <c r="Z105" s="56">
        <f>Datos!$K$5</f>
        <v>36</v>
      </c>
      <c r="AA105" s="55">
        <f ca="1">IF((W105-Datos!$U$5-1000000-O105*3%*VLOOKUP(TODAY(),'UF HOY'!$A$2:$B$36,2,0))/Z105&gt;0,(W105-Datos!$U$5-1000000-O105*3%*VLOOKUP(TODAY(),'UF HOY'!$A$2:$B$36,2,0))/Z105,0)</f>
        <v>292393.07899999991</v>
      </c>
      <c r="AB105" s="130" cm="1">
        <f t="array" ref="AB105">_xlfn.IFS(AND(L105=0,M105=0),VLOOKUP(D105,Datos!$F$31:$I$33,2,0),AND(L105=0,M105&gt;0),VLOOKUP(D105,Datos!$F$32:$I$33,2,0),AND(L105&gt;0,M105=0),VLOOKUP(D105,Datos!$F$32:$I$33,3,0),AND(L105&gt;0,M105&gt;0),VLOOKUP(D105,Datos!$F$31:$I$33,4,0))</f>
        <v>550000</v>
      </c>
      <c r="AC105" s="55">
        <f ca="1">(S105*PMT(Datos!$G$15,Datos!$G$14,-O105,,)*VLOOKUP(TODAY(),'UF HOY'!$A$2:$B$36,2,0)/12)+VLOOKUP(TODAY(),'UF HOY'!$A$2:$B$36,2,0)</f>
        <v>680059.13604897191</v>
      </c>
      <c r="AD105" s="55">
        <f t="shared" ca="1" si="22"/>
        <v>-130059.13604897191</v>
      </c>
      <c r="AE105" s="93">
        <f t="shared" ca="1" si="23"/>
        <v>2720236.5441958876</v>
      </c>
    </row>
    <row r="106" spans="1:31" s="3" customFormat="1" x14ac:dyDescent="0.35">
      <c r="A106" s="94" t="s">
        <v>346</v>
      </c>
      <c r="B106" s="80">
        <v>2206</v>
      </c>
      <c r="C106" s="48" t="s">
        <v>36</v>
      </c>
      <c r="D106" s="48" t="s">
        <v>37</v>
      </c>
      <c r="E106" s="48"/>
      <c r="F106" s="48">
        <v>34.19</v>
      </c>
      <c r="G106" s="48">
        <v>2.8</v>
      </c>
      <c r="H106" s="82">
        <f t="shared" si="12"/>
        <v>35.589999999999996</v>
      </c>
      <c r="I106" s="82">
        <f t="shared" si="13"/>
        <v>36.989999999999995</v>
      </c>
      <c r="J106" s="49">
        <v>4180</v>
      </c>
      <c r="K106" s="304">
        <v>0</v>
      </c>
      <c r="L106" s="48">
        <v>0</v>
      </c>
      <c r="M106" s="48">
        <v>0</v>
      </c>
      <c r="N106" s="49">
        <f t="shared" si="14"/>
        <v>3762</v>
      </c>
      <c r="O106" s="52">
        <f t="shared" si="15"/>
        <v>4180</v>
      </c>
      <c r="P106" s="79">
        <f t="shared" si="16"/>
        <v>105.70384939589773</v>
      </c>
      <c r="Q106" s="53">
        <f t="shared" si="17"/>
        <v>0.1</v>
      </c>
      <c r="R106" s="54">
        <f t="shared" si="18"/>
        <v>418</v>
      </c>
      <c r="S106" s="53">
        <v>0.8</v>
      </c>
      <c r="T106" s="54">
        <f t="shared" si="19"/>
        <v>3344</v>
      </c>
      <c r="U106" s="53">
        <f t="shared" si="20"/>
        <v>9.9999999999999978E-2</v>
      </c>
      <c r="V106" s="54">
        <f t="shared" si="21"/>
        <v>417.99999999999989</v>
      </c>
      <c r="W106" s="55">
        <f ca="1">V106*VLOOKUP(TODAY(),'UF HOY'!$A$2:$B$36,2,0)</f>
        <v>16608786.919999996</v>
      </c>
      <c r="X106" s="56">
        <f>Datos!$K$5</f>
        <v>36</v>
      </c>
      <c r="Y106" s="55">
        <f ca="1">IF((W106-Datos!$U$5-1000000)/X106&gt;0,(W106-Datos!$U$5-1000000)/X106,0)</f>
        <v>430799.63666666654</v>
      </c>
      <c r="Z106" s="56">
        <f>Datos!$K$5</f>
        <v>36</v>
      </c>
      <c r="AA106" s="55">
        <f ca="1">IF((W106-Datos!$U$5-1000000-O106*3%*VLOOKUP(TODAY(),'UF HOY'!$A$2:$B$36,2,0))/Z106&gt;0,(W106-Datos!$U$5-1000000-O106*3%*VLOOKUP(TODAY(),'UF HOY'!$A$2:$B$36,2,0))/Z106,0)</f>
        <v>292393.07899999991</v>
      </c>
      <c r="AB106" s="130" cm="1">
        <f t="array" ref="AB106">_xlfn.IFS(AND(L106=0,M106=0),VLOOKUP(D106,Datos!$F$31:$I$33,2,0),AND(L106=0,M106&gt;0),VLOOKUP(D106,Datos!$F$32:$I$33,2,0),AND(L106&gt;0,M106=0),VLOOKUP(D106,Datos!$F$32:$I$33,3,0),AND(L106&gt;0,M106&gt;0),VLOOKUP(D106,Datos!$F$31:$I$33,4,0))</f>
        <v>550000</v>
      </c>
      <c r="AC106" s="55">
        <f ca="1">(S106*PMT(Datos!$G$15,Datos!$G$14,-O106,,)*VLOOKUP(TODAY(),'UF HOY'!$A$2:$B$36,2,0)/12)+VLOOKUP(TODAY(),'UF HOY'!$A$2:$B$36,2,0)</f>
        <v>680059.13604897191</v>
      </c>
      <c r="AD106" s="55">
        <f t="shared" ca="1" si="22"/>
        <v>-130059.13604897191</v>
      </c>
      <c r="AE106" s="93">
        <f t="shared" ca="1" si="23"/>
        <v>2720236.5441958876</v>
      </c>
    </row>
    <row r="107" spans="1:31" s="3" customFormat="1" x14ac:dyDescent="0.35">
      <c r="A107" s="94" t="s">
        <v>346</v>
      </c>
      <c r="B107" s="80">
        <v>2207</v>
      </c>
      <c r="C107" s="48" t="s">
        <v>36</v>
      </c>
      <c r="D107" s="48" t="s">
        <v>37</v>
      </c>
      <c r="E107" s="48"/>
      <c r="F107" s="48">
        <v>34.17</v>
      </c>
      <c r="G107" s="48">
        <v>2.8</v>
      </c>
      <c r="H107" s="82">
        <f t="shared" si="12"/>
        <v>35.57</v>
      </c>
      <c r="I107" s="82">
        <f t="shared" si="13"/>
        <v>36.97</v>
      </c>
      <c r="J107" s="49">
        <v>4180</v>
      </c>
      <c r="K107" s="304">
        <v>0</v>
      </c>
      <c r="L107" s="48">
        <v>0</v>
      </c>
      <c r="M107" s="48">
        <v>0</v>
      </c>
      <c r="N107" s="49">
        <f t="shared" si="14"/>
        <v>3762</v>
      </c>
      <c r="O107" s="52">
        <f t="shared" si="15"/>
        <v>4180</v>
      </c>
      <c r="P107" s="79">
        <f t="shared" si="16"/>
        <v>105.76328366601068</v>
      </c>
      <c r="Q107" s="53">
        <f t="shared" si="17"/>
        <v>0.1</v>
      </c>
      <c r="R107" s="54">
        <f t="shared" si="18"/>
        <v>418</v>
      </c>
      <c r="S107" s="53">
        <v>0.8</v>
      </c>
      <c r="T107" s="54">
        <f t="shared" si="19"/>
        <v>3344</v>
      </c>
      <c r="U107" s="53">
        <f t="shared" si="20"/>
        <v>9.9999999999999978E-2</v>
      </c>
      <c r="V107" s="54">
        <f t="shared" si="21"/>
        <v>417.99999999999989</v>
      </c>
      <c r="W107" s="55">
        <f ca="1">V107*VLOOKUP(TODAY(),'UF HOY'!$A$2:$B$36,2,0)</f>
        <v>16608786.919999996</v>
      </c>
      <c r="X107" s="56">
        <f>Datos!$K$5</f>
        <v>36</v>
      </c>
      <c r="Y107" s="55">
        <f ca="1">IF((W107-Datos!$U$5-1000000)/X107&gt;0,(W107-Datos!$U$5-1000000)/X107,0)</f>
        <v>430799.63666666654</v>
      </c>
      <c r="Z107" s="56">
        <f>Datos!$K$5</f>
        <v>36</v>
      </c>
      <c r="AA107" s="55">
        <f ca="1">IF((W107-Datos!$U$5-1000000-O107*3%*VLOOKUP(TODAY(),'UF HOY'!$A$2:$B$36,2,0))/Z107&gt;0,(W107-Datos!$U$5-1000000-O107*3%*VLOOKUP(TODAY(),'UF HOY'!$A$2:$B$36,2,0))/Z107,0)</f>
        <v>292393.07899999991</v>
      </c>
      <c r="AB107" s="130" cm="1">
        <f t="array" ref="AB107">_xlfn.IFS(AND(L107=0,M107=0),VLOOKUP(D107,Datos!$F$31:$I$33,2,0),AND(L107=0,M107&gt;0),VLOOKUP(D107,Datos!$F$32:$I$33,2,0),AND(L107&gt;0,M107=0),VLOOKUP(D107,Datos!$F$32:$I$33,3,0),AND(L107&gt;0,M107&gt;0),VLOOKUP(D107,Datos!$F$31:$I$33,4,0))</f>
        <v>550000</v>
      </c>
      <c r="AC107" s="55">
        <f ca="1">(S107*PMT(Datos!$G$15,Datos!$G$14,-O107,,)*VLOOKUP(TODAY(),'UF HOY'!$A$2:$B$36,2,0)/12)+VLOOKUP(TODAY(),'UF HOY'!$A$2:$B$36,2,0)</f>
        <v>680059.13604897191</v>
      </c>
      <c r="AD107" s="55">
        <f t="shared" ca="1" si="22"/>
        <v>-130059.13604897191</v>
      </c>
      <c r="AE107" s="93">
        <f t="shared" ca="1" si="23"/>
        <v>2720236.5441958876</v>
      </c>
    </row>
    <row r="108" spans="1:31" s="3" customFormat="1" x14ac:dyDescent="0.35">
      <c r="A108" s="94" t="s">
        <v>346</v>
      </c>
      <c r="B108" s="80">
        <v>909</v>
      </c>
      <c r="C108" s="48" t="s">
        <v>40</v>
      </c>
      <c r="D108" s="48" t="s">
        <v>37</v>
      </c>
      <c r="E108" s="48"/>
      <c r="F108" s="48">
        <v>34.369999999999997</v>
      </c>
      <c r="G108" s="48">
        <v>3.28</v>
      </c>
      <c r="H108" s="82">
        <f t="shared" si="12"/>
        <v>36.01</v>
      </c>
      <c r="I108" s="82">
        <f t="shared" si="13"/>
        <v>37.65</v>
      </c>
      <c r="J108" s="49">
        <v>4185</v>
      </c>
      <c r="K108" s="304">
        <v>0</v>
      </c>
      <c r="L108" s="48">
        <v>0</v>
      </c>
      <c r="M108" s="48">
        <v>0</v>
      </c>
      <c r="N108" s="49">
        <f t="shared" si="14"/>
        <v>3766.5</v>
      </c>
      <c r="O108" s="52">
        <f t="shared" si="15"/>
        <v>4185</v>
      </c>
      <c r="P108" s="79">
        <f t="shared" si="16"/>
        <v>104.59594557067481</v>
      </c>
      <c r="Q108" s="53">
        <f t="shared" si="17"/>
        <v>0.1</v>
      </c>
      <c r="R108" s="54">
        <f t="shared" si="18"/>
        <v>418.5</v>
      </c>
      <c r="S108" s="53">
        <v>0.8</v>
      </c>
      <c r="T108" s="54">
        <f t="shared" si="19"/>
        <v>3348</v>
      </c>
      <c r="U108" s="53">
        <f t="shared" si="20"/>
        <v>9.9999999999999978E-2</v>
      </c>
      <c r="V108" s="54">
        <f t="shared" si="21"/>
        <v>418.49999999999989</v>
      </c>
      <c r="W108" s="55">
        <f ca="1">V108*VLOOKUP(TODAY(),'UF HOY'!$A$2:$B$36,2,0)</f>
        <v>16628653.889999997</v>
      </c>
      <c r="X108" s="56">
        <f>Datos!$K$5</f>
        <v>36</v>
      </c>
      <c r="Y108" s="55">
        <f ca="1">IF((W108-Datos!$U$5-1000000)/X108&gt;0,(W108-Datos!$U$5-1000000)/X108,0)</f>
        <v>431351.49694444437</v>
      </c>
      <c r="Z108" s="56">
        <f>Datos!$K$5</f>
        <v>36</v>
      </c>
      <c r="AA108" s="55">
        <f ca="1">IF((W108-Datos!$U$5-1000000-O108*3%*VLOOKUP(TODAY(),'UF HOY'!$A$2:$B$36,2,0))/Z108&gt;0,(W108-Datos!$U$5-1000000-O108*3%*VLOOKUP(TODAY(),'UF HOY'!$A$2:$B$36,2,0))/Z108,0)</f>
        <v>292779.38119444437</v>
      </c>
      <c r="AB108" s="130" cm="1">
        <f t="array" ref="AB108">_xlfn.IFS(AND(L108=0,M108=0),VLOOKUP(D108,Datos!$F$31:$I$33,2,0),AND(L108=0,M108&gt;0),VLOOKUP(D108,Datos!$F$32:$I$33,2,0),AND(L108&gt;0,M108=0),VLOOKUP(D108,Datos!$F$32:$I$33,3,0),AND(L108&gt;0,M108&gt;0),VLOOKUP(D108,Datos!$F$31:$I$33,4,0))</f>
        <v>550000</v>
      </c>
      <c r="AC108" s="55">
        <f ca="1">(S108*PMT(Datos!$G$15,Datos!$G$14,-O108,,)*VLOOKUP(TODAY(),'UF HOY'!$A$2:$B$36,2,0)/12)+VLOOKUP(TODAY(),'UF HOY'!$A$2:$B$36,2,0)</f>
        <v>680825.07527869567</v>
      </c>
      <c r="AD108" s="55">
        <f t="shared" ca="1" si="22"/>
        <v>-130825.07527869567</v>
      </c>
      <c r="AE108" s="93">
        <f t="shared" ca="1" si="23"/>
        <v>2723300.3011147827</v>
      </c>
    </row>
    <row r="109" spans="1:31" s="3" customFormat="1" x14ac:dyDescent="0.35">
      <c r="A109" s="94" t="s">
        <v>346</v>
      </c>
      <c r="B109" s="80">
        <v>910</v>
      </c>
      <c r="C109" s="48" t="s">
        <v>40</v>
      </c>
      <c r="D109" s="48" t="s">
        <v>37</v>
      </c>
      <c r="E109" s="48"/>
      <c r="F109" s="48">
        <v>34.369999999999997</v>
      </c>
      <c r="G109" s="48">
        <v>3.28</v>
      </c>
      <c r="H109" s="82">
        <f t="shared" si="12"/>
        <v>36.01</v>
      </c>
      <c r="I109" s="82">
        <f t="shared" si="13"/>
        <v>37.65</v>
      </c>
      <c r="J109" s="49">
        <v>4185</v>
      </c>
      <c r="K109" s="304">
        <v>0</v>
      </c>
      <c r="L109" s="48">
        <v>0</v>
      </c>
      <c r="M109" s="48">
        <v>0</v>
      </c>
      <c r="N109" s="49">
        <f t="shared" si="14"/>
        <v>3766.5</v>
      </c>
      <c r="O109" s="52">
        <f t="shared" si="15"/>
        <v>4185</v>
      </c>
      <c r="P109" s="79">
        <f t="shared" si="16"/>
        <v>104.59594557067481</v>
      </c>
      <c r="Q109" s="53">
        <f t="shared" si="17"/>
        <v>0.1</v>
      </c>
      <c r="R109" s="54">
        <f t="shared" si="18"/>
        <v>418.5</v>
      </c>
      <c r="S109" s="53">
        <v>0.8</v>
      </c>
      <c r="T109" s="54">
        <f t="shared" si="19"/>
        <v>3348</v>
      </c>
      <c r="U109" s="53">
        <f t="shared" si="20"/>
        <v>9.9999999999999978E-2</v>
      </c>
      <c r="V109" s="54">
        <f t="shared" si="21"/>
        <v>418.49999999999989</v>
      </c>
      <c r="W109" s="55">
        <f ca="1">V109*VLOOKUP(TODAY(),'UF HOY'!$A$2:$B$36,2,0)</f>
        <v>16628653.889999997</v>
      </c>
      <c r="X109" s="56">
        <f>Datos!$K$5</f>
        <v>36</v>
      </c>
      <c r="Y109" s="55">
        <f ca="1">IF((W109-Datos!$U$5-1000000)/X109&gt;0,(W109-Datos!$U$5-1000000)/X109,0)</f>
        <v>431351.49694444437</v>
      </c>
      <c r="Z109" s="56">
        <f>Datos!$K$5</f>
        <v>36</v>
      </c>
      <c r="AA109" s="55">
        <f ca="1">IF((W109-Datos!$U$5-1000000-O109*3%*VLOOKUP(TODAY(),'UF HOY'!$A$2:$B$36,2,0))/Z109&gt;0,(W109-Datos!$U$5-1000000-O109*3%*VLOOKUP(TODAY(),'UF HOY'!$A$2:$B$36,2,0))/Z109,0)</f>
        <v>292779.38119444437</v>
      </c>
      <c r="AB109" s="130" cm="1">
        <f t="array" ref="AB109">_xlfn.IFS(AND(L109=0,M109=0),VLOOKUP(D109,Datos!$F$31:$I$33,2,0),AND(L109=0,M109&gt;0),VLOOKUP(D109,Datos!$F$32:$I$33,2,0),AND(L109&gt;0,M109=0),VLOOKUP(D109,Datos!$F$32:$I$33,3,0),AND(L109&gt;0,M109&gt;0),VLOOKUP(D109,Datos!$F$31:$I$33,4,0))</f>
        <v>550000</v>
      </c>
      <c r="AC109" s="55">
        <f ca="1">(S109*PMT(Datos!$G$15,Datos!$G$14,-O109,,)*VLOOKUP(TODAY(),'UF HOY'!$A$2:$B$36,2,0)/12)+VLOOKUP(TODAY(),'UF HOY'!$A$2:$B$36,2,0)</f>
        <v>680825.07527869567</v>
      </c>
      <c r="AD109" s="55">
        <f t="shared" ca="1" si="22"/>
        <v>-130825.07527869567</v>
      </c>
      <c r="AE109" s="93">
        <f t="shared" ca="1" si="23"/>
        <v>2723300.3011147827</v>
      </c>
    </row>
    <row r="110" spans="1:31" s="3" customFormat="1" x14ac:dyDescent="0.35">
      <c r="A110" s="94" t="s">
        <v>346</v>
      </c>
      <c r="B110" s="80">
        <v>1202</v>
      </c>
      <c r="C110" s="48" t="s">
        <v>38</v>
      </c>
      <c r="D110" s="48" t="s">
        <v>37</v>
      </c>
      <c r="E110" s="48"/>
      <c r="F110" s="48">
        <v>34.89</v>
      </c>
      <c r="G110" s="48">
        <v>2.83</v>
      </c>
      <c r="H110" s="82">
        <f t="shared" si="12"/>
        <v>36.305</v>
      </c>
      <c r="I110" s="82">
        <f t="shared" si="13"/>
        <v>37.72</v>
      </c>
      <c r="J110" s="49">
        <v>4185</v>
      </c>
      <c r="K110" s="304">
        <v>0</v>
      </c>
      <c r="L110" s="48">
        <v>0</v>
      </c>
      <c r="M110" s="48">
        <v>0</v>
      </c>
      <c r="N110" s="49">
        <f t="shared" si="14"/>
        <v>3766.5</v>
      </c>
      <c r="O110" s="52">
        <f t="shared" si="15"/>
        <v>4185</v>
      </c>
      <c r="P110" s="79">
        <f t="shared" si="16"/>
        <v>103.7460404902906</v>
      </c>
      <c r="Q110" s="53">
        <f t="shared" si="17"/>
        <v>0.1</v>
      </c>
      <c r="R110" s="54">
        <f t="shared" si="18"/>
        <v>418.5</v>
      </c>
      <c r="S110" s="53">
        <v>0.8</v>
      </c>
      <c r="T110" s="54">
        <f t="shared" si="19"/>
        <v>3348</v>
      </c>
      <c r="U110" s="53">
        <f t="shared" si="20"/>
        <v>9.9999999999999978E-2</v>
      </c>
      <c r="V110" s="54">
        <f t="shared" si="21"/>
        <v>418.49999999999989</v>
      </c>
      <c r="W110" s="55">
        <f ca="1">V110*VLOOKUP(TODAY(),'UF HOY'!$A$2:$B$36,2,0)</f>
        <v>16628653.889999997</v>
      </c>
      <c r="X110" s="56">
        <f>Datos!$K$5</f>
        <v>36</v>
      </c>
      <c r="Y110" s="55">
        <f ca="1">IF((W110-Datos!$U$5-1000000)/X110&gt;0,(W110-Datos!$U$5-1000000)/X110,0)</f>
        <v>431351.49694444437</v>
      </c>
      <c r="Z110" s="56">
        <f>Datos!$K$5</f>
        <v>36</v>
      </c>
      <c r="AA110" s="55">
        <f ca="1">IF((W110-Datos!$U$5-1000000-O110*3%*VLOOKUP(TODAY(),'UF HOY'!$A$2:$B$36,2,0))/Z110&gt;0,(W110-Datos!$U$5-1000000-O110*3%*VLOOKUP(TODAY(),'UF HOY'!$A$2:$B$36,2,0))/Z110,0)</f>
        <v>292779.38119444437</v>
      </c>
      <c r="AB110" s="130" cm="1">
        <f t="array" ref="AB110">_xlfn.IFS(AND(L110=0,M110=0),VLOOKUP(D110,Datos!$F$31:$I$33,2,0),AND(L110=0,M110&gt;0),VLOOKUP(D110,Datos!$F$32:$I$33,2,0),AND(L110&gt;0,M110=0),VLOOKUP(D110,Datos!$F$32:$I$33,3,0),AND(L110&gt;0,M110&gt;0),VLOOKUP(D110,Datos!$F$31:$I$33,4,0))</f>
        <v>550000</v>
      </c>
      <c r="AC110" s="55">
        <f ca="1">(S110*PMT(Datos!$G$15,Datos!$G$14,-O110,,)*VLOOKUP(TODAY(),'UF HOY'!$A$2:$B$36,2,0)/12)+VLOOKUP(TODAY(),'UF HOY'!$A$2:$B$36,2,0)</f>
        <v>680825.07527869567</v>
      </c>
      <c r="AD110" s="55">
        <f t="shared" ca="1" si="22"/>
        <v>-130825.07527869567</v>
      </c>
      <c r="AE110" s="93">
        <f t="shared" ca="1" si="23"/>
        <v>2723300.3011147827</v>
      </c>
    </row>
    <row r="111" spans="1:31" s="3" customFormat="1" x14ac:dyDescent="0.35">
      <c r="A111" s="94" t="s">
        <v>346</v>
      </c>
      <c r="B111" s="80">
        <v>1303</v>
      </c>
      <c r="C111" s="48" t="s">
        <v>38</v>
      </c>
      <c r="D111" s="48" t="s">
        <v>37</v>
      </c>
      <c r="E111" s="48"/>
      <c r="F111" s="48">
        <v>34.79</v>
      </c>
      <c r="G111" s="48">
        <v>2.83</v>
      </c>
      <c r="H111" s="82">
        <f t="shared" si="12"/>
        <v>36.204999999999998</v>
      </c>
      <c r="I111" s="82">
        <f t="shared" si="13"/>
        <v>37.619999999999997</v>
      </c>
      <c r="J111" s="49">
        <v>4185</v>
      </c>
      <c r="K111" s="304">
        <v>0</v>
      </c>
      <c r="L111" s="48">
        <v>0</v>
      </c>
      <c r="M111" s="48">
        <v>0</v>
      </c>
      <c r="N111" s="49">
        <f t="shared" si="14"/>
        <v>3766.5</v>
      </c>
      <c r="O111" s="52">
        <f t="shared" si="15"/>
        <v>4185</v>
      </c>
      <c r="P111" s="79">
        <f t="shared" si="16"/>
        <v>104.03259218340008</v>
      </c>
      <c r="Q111" s="53">
        <f t="shared" si="17"/>
        <v>0.1</v>
      </c>
      <c r="R111" s="54">
        <f t="shared" si="18"/>
        <v>418.5</v>
      </c>
      <c r="S111" s="53">
        <v>0.8</v>
      </c>
      <c r="T111" s="54">
        <f t="shared" si="19"/>
        <v>3348</v>
      </c>
      <c r="U111" s="53">
        <f t="shared" si="20"/>
        <v>9.9999999999999978E-2</v>
      </c>
      <c r="V111" s="54">
        <f t="shared" si="21"/>
        <v>418.49999999999989</v>
      </c>
      <c r="W111" s="55">
        <f ca="1">V111*VLOOKUP(TODAY(),'UF HOY'!$A$2:$B$36,2,0)</f>
        <v>16628653.889999997</v>
      </c>
      <c r="X111" s="56">
        <f>Datos!$K$5</f>
        <v>36</v>
      </c>
      <c r="Y111" s="55">
        <f ca="1">IF((W111-Datos!$U$5-1000000)/X111&gt;0,(W111-Datos!$U$5-1000000)/X111,0)</f>
        <v>431351.49694444437</v>
      </c>
      <c r="Z111" s="56">
        <f>Datos!$K$5</f>
        <v>36</v>
      </c>
      <c r="AA111" s="55">
        <f ca="1">IF((W111-Datos!$U$5-1000000-O111*3%*VLOOKUP(TODAY(),'UF HOY'!$A$2:$B$36,2,0))/Z111&gt;0,(W111-Datos!$U$5-1000000-O111*3%*VLOOKUP(TODAY(),'UF HOY'!$A$2:$B$36,2,0))/Z111,0)</f>
        <v>292779.38119444437</v>
      </c>
      <c r="AB111" s="130" cm="1">
        <f t="array" ref="AB111">_xlfn.IFS(AND(L111=0,M111=0),VLOOKUP(D111,Datos!$F$31:$I$33,2,0),AND(L111=0,M111&gt;0),VLOOKUP(D111,Datos!$F$32:$I$33,2,0),AND(L111&gt;0,M111=0),VLOOKUP(D111,Datos!$F$32:$I$33,3,0),AND(L111&gt;0,M111&gt;0),VLOOKUP(D111,Datos!$F$31:$I$33,4,0))</f>
        <v>550000</v>
      </c>
      <c r="AC111" s="55">
        <f ca="1">(S111*PMT(Datos!$G$15,Datos!$G$14,-O111,,)*VLOOKUP(TODAY(),'UF HOY'!$A$2:$B$36,2,0)/12)+VLOOKUP(TODAY(),'UF HOY'!$A$2:$B$36,2,0)</f>
        <v>680825.07527869567</v>
      </c>
      <c r="AD111" s="55">
        <f t="shared" ca="1" si="22"/>
        <v>-130825.07527869567</v>
      </c>
      <c r="AE111" s="93">
        <f t="shared" ca="1" si="23"/>
        <v>2723300.3011147827</v>
      </c>
    </row>
    <row r="112" spans="1:31" s="3" customFormat="1" x14ac:dyDescent="0.35">
      <c r="A112" s="94" t="s">
        <v>346</v>
      </c>
      <c r="B112" s="80">
        <v>1304</v>
      </c>
      <c r="C112" s="48" t="s">
        <v>38</v>
      </c>
      <c r="D112" s="48" t="s">
        <v>37</v>
      </c>
      <c r="E112" s="48"/>
      <c r="F112" s="48">
        <v>34.74</v>
      </c>
      <c r="G112" s="48">
        <v>2.86</v>
      </c>
      <c r="H112" s="82">
        <f t="shared" si="12"/>
        <v>36.17</v>
      </c>
      <c r="I112" s="82">
        <f t="shared" si="13"/>
        <v>37.6</v>
      </c>
      <c r="J112" s="49">
        <v>4185</v>
      </c>
      <c r="K112" s="304">
        <v>0</v>
      </c>
      <c r="L112" s="48">
        <v>0</v>
      </c>
      <c r="M112" s="48">
        <v>0</v>
      </c>
      <c r="N112" s="49">
        <f t="shared" si="14"/>
        <v>3766.5</v>
      </c>
      <c r="O112" s="52">
        <f t="shared" si="15"/>
        <v>4185</v>
      </c>
      <c r="P112" s="79">
        <f t="shared" si="16"/>
        <v>104.13325960740946</v>
      </c>
      <c r="Q112" s="53">
        <f t="shared" si="17"/>
        <v>0.1</v>
      </c>
      <c r="R112" s="54">
        <f t="shared" si="18"/>
        <v>418.5</v>
      </c>
      <c r="S112" s="53">
        <v>0.8</v>
      </c>
      <c r="T112" s="54">
        <f t="shared" si="19"/>
        <v>3348</v>
      </c>
      <c r="U112" s="53">
        <f t="shared" si="20"/>
        <v>9.9999999999999978E-2</v>
      </c>
      <c r="V112" s="54">
        <f t="shared" si="21"/>
        <v>418.49999999999989</v>
      </c>
      <c r="W112" s="55">
        <f ca="1">V112*VLOOKUP(TODAY(),'UF HOY'!$A$2:$B$36,2,0)</f>
        <v>16628653.889999997</v>
      </c>
      <c r="X112" s="56">
        <f>Datos!$K$5</f>
        <v>36</v>
      </c>
      <c r="Y112" s="55">
        <f ca="1">IF((W112-Datos!$U$5-1000000)/X112&gt;0,(W112-Datos!$U$5-1000000)/X112,0)</f>
        <v>431351.49694444437</v>
      </c>
      <c r="Z112" s="56">
        <f>Datos!$K$5</f>
        <v>36</v>
      </c>
      <c r="AA112" s="55">
        <f ca="1">IF((W112-Datos!$U$5-1000000-O112*3%*VLOOKUP(TODAY(),'UF HOY'!$A$2:$B$36,2,0))/Z112&gt;0,(W112-Datos!$U$5-1000000-O112*3%*VLOOKUP(TODAY(),'UF HOY'!$A$2:$B$36,2,0))/Z112,0)</f>
        <v>292779.38119444437</v>
      </c>
      <c r="AB112" s="130" cm="1">
        <f t="array" ref="AB112">_xlfn.IFS(AND(L112=0,M112=0),VLOOKUP(D112,Datos!$F$31:$I$33,2,0),AND(L112=0,M112&gt;0),VLOOKUP(D112,Datos!$F$32:$I$33,2,0),AND(L112&gt;0,M112=0),VLOOKUP(D112,Datos!$F$32:$I$33,3,0),AND(L112&gt;0,M112&gt;0),VLOOKUP(D112,Datos!$F$31:$I$33,4,0))</f>
        <v>550000</v>
      </c>
      <c r="AC112" s="55">
        <f ca="1">(S112*PMT(Datos!$G$15,Datos!$G$14,-O112,,)*VLOOKUP(TODAY(),'UF HOY'!$A$2:$B$36,2,0)/12)+VLOOKUP(TODAY(),'UF HOY'!$A$2:$B$36,2,0)</f>
        <v>680825.07527869567</v>
      </c>
      <c r="AD112" s="55">
        <f t="shared" ca="1" si="22"/>
        <v>-130825.07527869567</v>
      </c>
      <c r="AE112" s="93">
        <f t="shared" ca="1" si="23"/>
        <v>2723300.3011147827</v>
      </c>
    </row>
    <row r="113" spans="1:31" s="3" customFormat="1" x14ac:dyDescent="0.35">
      <c r="A113" s="94" t="s">
        <v>346</v>
      </c>
      <c r="B113" s="80">
        <v>1713</v>
      </c>
      <c r="C113" s="48" t="s">
        <v>41</v>
      </c>
      <c r="D113" s="48" t="s">
        <v>37</v>
      </c>
      <c r="E113" s="48"/>
      <c r="F113" s="48">
        <v>34.69</v>
      </c>
      <c r="G113" s="48">
        <v>2.93</v>
      </c>
      <c r="H113" s="82">
        <f t="shared" si="12"/>
        <v>36.155000000000001</v>
      </c>
      <c r="I113" s="82">
        <f t="shared" si="13"/>
        <v>37.619999999999997</v>
      </c>
      <c r="J113" s="49">
        <v>4190</v>
      </c>
      <c r="K113" s="304">
        <v>0</v>
      </c>
      <c r="L113" s="48">
        <v>0</v>
      </c>
      <c r="M113" s="48">
        <v>0</v>
      </c>
      <c r="N113" s="49">
        <f t="shared" si="14"/>
        <v>3771</v>
      </c>
      <c r="O113" s="52">
        <f t="shared" si="15"/>
        <v>4190</v>
      </c>
      <c r="P113" s="79">
        <f t="shared" si="16"/>
        <v>104.30092656617342</v>
      </c>
      <c r="Q113" s="53">
        <f t="shared" si="17"/>
        <v>0.1</v>
      </c>
      <c r="R113" s="54">
        <f t="shared" si="18"/>
        <v>419</v>
      </c>
      <c r="S113" s="53">
        <v>0.8</v>
      </c>
      <c r="T113" s="54">
        <f t="shared" si="19"/>
        <v>3352</v>
      </c>
      <c r="U113" s="53">
        <f t="shared" si="20"/>
        <v>9.9999999999999978E-2</v>
      </c>
      <c r="V113" s="54">
        <f t="shared" si="21"/>
        <v>418.99999999999989</v>
      </c>
      <c r="W113" s="55">
        <f ca="1">V113*VLOOKUP(TODAY(),'UF HOY'!$A$2:$B$36,2,0)</f>
        <v>16648520.859999996</v>
      </c>
      <c r="X113" s="56">
        <f>Datos!$K$5</f>
        <v>36</v>
      </c>
      <c r="Y113" s="55">
        <f ca="1">IF((W113-Datos!$U$5-1000000)/X113&gt;0,(W113-Datos!$U$5-1000000)/X113,0)</f>
        <v>431903.35722222208</v>
      </c>
      <c r="Z113" s="56">
        <f>Datos!$K$5</f>
        <v>36</v>
      </c>
      <c r="AA113" s="55">
        <f ca="1">IF((W113-Datos!$U$5-1000000-O113*3%*VLOOKUP(TODAY(),'UF HOY'!$A$2:$B$36,2,0))/Z113&gt;0,(W113-Datos!$U$5-1000000-O113*3%*VLOOKUP(TODAY(),'UF HOY'!$A$2:$B$36,2,0))/Z113,0)</f>
        <v>293165.68338888878</v>
      </c>
      <c r="AB113" s="130" cm="1">
        <f t="array" ref="AB113">_xlfn.IFS(AND(L113=0,M113=0),VLOOKUP(D113,Datos!$F$31:$I$33,2,0),AND(L113=0,M113&gt;0),VLOOKUP(D113,Datos!$F$32:$I$33,2,0),AND(L113&gt;0,M113=0),VLOOKUP(D113,Datos!$F$32:$I$33,3,0),AND(L113&gt;0,M113&gt;0),VLOOKUP(D113,Datos!$F$31:$I$33,4,0))</f>
        <v>550000</v>
      </c>
      <c r="AC113" s="55">
        <f ca="1">(S113*PMT(Datos!$G$15,Datos!$G$14,-O113,,)*VLOOKUP(TODAY(),'UF HOY'!$A$2:$B$36,2,0)/12)+VLOOKUP(TODAY(),'UF HOY'!$A$2:$B$36,2,0)</f>
        <v>681591.0145084192</v>
      </c>
      <c r="AD113" s="55">
        <f t="shared" ca="1" si="22"/>
        <v>-131591.0145084192</v>
      </c>
      <c r="AE113" s="93">
        <f t="shared" ca="1" si="23"/>
        <v>2726364.0580336768</v>
      </c>
    </row>
    <row r="114" spans="1:31" s="3" customFormat="1" x14ac:dyDescent="0.35">
      <c r="A114" s="94" t="s">
        <v>346</v>
      </c>
      <c r="B114" s="80">
        <v>2307</v>
      </c>
      <c r="C114" s="48" t="s">
        <v>36</v>
      </c>
      <c r="D114" s="48" t="s">
        <v>37</v>
      </c>
      <c r="E114" s="48"/>
      <c r="F114" s="48">
        <v>34.17</v>
      </c>
      <c r="G114" s="48">
        <v>2.8</v>
      </c>
      <c r="H114" s="82">
        <f t="shared" si="12"/>
        <v>35.57</v>
      </c>
      <c r="I114" s="82">
        <f t="shared" si="13"/>
        <v>36.97</v>
      </c>
      <c r="J114" s="49">
        <v>4190</v>
      </c>
      <c r="K114" s="304">
        <v>0</v>
      </c>
      <c r="L114" s="48">
        <v>0</v>
      </c>
      <c r="M114" s="48">
        <v>0</v>
      </c>
      <c r="N114" s="49">
        <f t="shared" si="14"/>
        <v>3771</v>
      </c>
      <c r="O114" s="52">
        <f t="shared" si="15"/>
        <v>4190</v>
      </c>
      <c r="P114" s="79">
        <f t="shared" si="16"/>
        <v>106.01630587573798</v>
      </c>
      <c r="Q114" s="53">
        <f t="shared" si="17"/>
        <v>0.1</v>
      </c>
      <c r="R114" s="54">
        <f t="shared" si="18"/>
        <v>419</v>
      </c>
      <c r="S114" s="53">
        <v>0.8</v>
      </c>
      <c r="T114" s="54">
        <f t="shared" si="19"/>
        <v>3352</v>
      </c>
      <c r="U114" s="53">
        <f t="shared" si="20"/>
        <v>9.9999999999999978E-2</v>
      </c>
      <c r="V114" s="54">
        <f t="shared" si="21"/>
        <v>418.99999999999989</v>
      </c>
      <c r="W114" s="55">
        <f ca="1">V114*VLOOKUP(TODAY(),'UF HOY'!$A$2:$B$36,2,0)</f>
        <v>16648520.859999996</v>
      </c>
      <c r="X114" s="56">
        <f>Datos!$K$5</f>
        <v>36</v>
      </c>
      <c r="Y114" s="55">
        <f ca="1">IF((W114-Datos!$U$5-1000000)/X114&gt;0,(W114-Datos!$U$5-1000000)/X114,0)</f>
        <v>431903.35722222208</v>
      </c>
      <c r="Z114" s="56">
        <f>Datos!$K$5</f>
        <v>36</v>
      </c>
      <c r="AA114" s="55">
        <f ca="1">IF((W114-Datos!$U$5-1000000-O114*3%*VLOOKUP(TODAY(),'UF HOY'!$A$2:$B$36,2,0))/Z114&gt;0,(W114-Datos!$U$5-1000000-O114*3%*VLOOKUP(TODAY(),'UF HOY'!$A$2:$B$36,2,0))/Z114,0)</f>
        <v>293165.68338888878</v>
      </c>
      <c r="AB114" s="130" cm="1">
        <f t="array" ref="AB114">_xlfn.IFS(AND(L114=0,M114=0),VLOOKUP(D114,Datos!$F$31:$I$33,2,0),AND(L114=0,M114&gt;0),VLOOKUP(D114,Datos!$F$32:$I$33,2,0),AND(L114&gt;0,M114=0),VLOOKUP(D114,Datos!$F$32:$I$33,3,0),AND(L114&gt;0,M114&gt;0),VLOOKUP(D114,Datos!$F$31:$I$33,4,0))</f>
        <v>550000</v>
      </c>
      <c r="AC114" s="55">
        <f ca="1">(S114*PMT(Datos!$G$15,Datos!$G$14,-O114,,)*VLOOKUP(TODAY(),'UF HOY'!$A$2:$B$36,2,0)/12)+VLOOKUP(TODAY(),'UF HOY'!$A$2:$B$36,2,0)</f>
        <v>681591.0145084192</v>
      </c>
      <c r="AD114" s="55">
        <f t="shared" ca="1" si="22"/>
        <v>-131591.0145084192</v>
      </c>
      <c r="AE114" s="93">
        <f t="shared" ca="1" si="23"/>
        <v>2726364.0580336768</v>
      </c>
    </row>
    <row r="115" spans="1:31" s="3" customFormat="1" x14ac:dyDescent="0.35">
      <c r="A115" s="94" t="s">
        <v>346</v>
      </c>
      <c r="B115" s="80">
        <v>205</v>
      </c>
      <c r="C115" s="48" t="s">
        <v>38</v>
      </c>
      <c r="D115" s="48" t="s">
        <v>37</v>
      </c>
      <c r="E115" s="48"/>
      <c r="F115" s="48">
        <v>36.15</v>
      </c>
      <c r="G115" s="48">
        <v>2.82</v>
      </c>
      <c r="H115" s="82">
        <f t="shared" si="12"/>
        <v>37.559999999999995</v>
      </c>
      <c r="I115" s="82">
        <f t="shared" si="13"/>
        <v>38.97</v>
      </c>
      <c r="J115" s="49">
        <v>4195</v>
      </c>
      <c r="K115" s="304">
        <v>0</v>
      </c>
      <c r="L115" s="48">
        <v>0</v>
      </c>
      <c r="M115" s="48">
        <v>0</v>
      </c>
      <c r="N115" s="49">
        <f t="shared" si="14"/>
        <v>3775.5</v>
      </c>
      <c r="O115" s="52">
        <f t="shared" si="15"/>
        <v>4195</v>
      </c>
      <c r="P115" s="79">
        <f t="shared" si="16"/>
        <v>100.51916932907349</v>
      </c>
      <c r="Q115" s="53">
        <f t="shared" si="17"/>
        <v>0.1</v>
      </c>
      <c r="R115" s="54">
        <f t="shared" si="18"/>
        <v>419.5</v>
      </c>
      <c r="S115" s="53">
        <v>0.8</v>
      </c>
      <c r="T115" s="54">
        <f t="shared" si="19"/>
        <v>3356</v>
      </c>
      <c r="U115" s="53">
        <f t="shared" si="20"/>
        <v>9.9999999999999978E-2</v>
      </c>
      <c r="V115" s="54">
        <f t="shared" si="21"/>
        <v>419.49999999999989</v>
      </c>
      <c r="W115" s="55">
        <f ca="1">V115*VLOOKUP(TODAY(),'UF HOY'!$A$2:$B$36,2,0)</f>
        <v>16668387.829999996</v>
      </c>
      <c r="X115" s="56">
        <f>Datos!$K$5</f>
        <v>36</v>
      </c>
      <c r="Y115" s="55">
        <f ca="1">IF((W115-Datos!$U$5-1000000)/X115&gt;0,(W115-Datos!$U$5-1000000)/X115,0)</f>
        <v>432455.21749999991</v>
      </c>
      <c r="Z115" s="56">
        <f>Datos!$K$5</f>
        <v>36</v>
      </c>
      <c r="AA115" s="55">
        <f ca="1">IF((W115-Datos!$U$5-1000000-O115*3%*VLOOKUP(TODAY(),'UF HOY'!$A$2:$B$36,2,0))/Z115&gt;0,(W115-Datos!$U$5-1000000-O115*3%*VLOOKUP(TODAY(),'UF HOY'!$A$2:$B$36,2,0))/Z115,0)</f>
        <v>293551.98558333318</v>
      </c>
      <c r="AB115" s="130" cm="1">
        <f t="array" ref="AB115">_xlfn.IFS(AND(L115=0,M115=0),VLOOKUP(D115,Datos!$F$31:$I$33,2,0),AND(L115=0,M115&gt;0),VLOOKUP(D115,Datos!$F$32:$I$33,2,0),AND(L115&gt;0,M115=0),VLOOKUP(D115,Datos!$F$32:$I$33,3,0),AND(L115&gt;0,M115&gt;0),VLOOKUP(D115,Datos!$F$31:$I$33,4,0))</f>
        <v>550000</v>
      </c>
      <c r="AC115" s="55">
        <f ca="1">(S115*PMT(Datos!$G$15,Datos!$G$14,-O115,,)*VLOOKUP(TODAY(),'UF HOY'!$A$2:$B$36,2,0)/12)+VLOOKUP(TODAY(),'UF HOY'!$A$2:$B$36,2,0)</f>
        <v>682356.95373814297</v>
      </c>
      <c r="AD115" s="55">
        <f t="shared" ca="1" si="22"/>
        <v>-132356.95373814297</v>
      </c>
      <c r="AE115" s="93">
        <f t="shared" ca="1" si="23"/>
        <v>2729427.8149525719</v>
      </c>
    </row>
    <row r="116" spans="1:31" s="3" customFormat="1" x14ac:dyDescent="0.35">
      <c r="A116" s="94" t="s">
        <v>346</v>
      </c>
      <c r="B116" s="80">
        <v>1404</v>
      </c>
      <c r="C116" s="48" t="s">
        <v>38</v>
      </c>
      <c r="D116" s="48" t="s">
        <v>37</v>
      </c>
      <c r="E116" s="48"/>
      <c r="F116" s="48">
        <v>34.74</v>
      </c>
      <c r="G116" s="48">
        <v>2.86</v>
      </c>
      <c r="H116" s="82">
        <f t="shared" si="12"/>
        <v>36.17</v>
      </c>
      <c r="I116" s="82">
        <f t="shared" si="13"/>
        <v>37.6</v>
      </c>
      <c r="J116" s="49">
        <v>4195</v>
      </c>
      <c r="K116" s="304">
        <v>0</v>
      </c>
      <c r="L116" s="48">
        <v>0</v>
      </c>
      <c r="M116" s="48">
        <v>0</v>
      </c>
      <c r="N116" s="49">
        <f t="shared" si="14"/>
        <v>3775.5</v>
      </c>
      <c r="O116" s="52">
        <f t="shared" si="15"/>
        <v>4195</v>
      </c>
      <c r="P116" s="79">
        <f t="shared" si="16"/>
        <v>104.38208460049765</v>
      </c>
      <c r="Q116" s="53">
        <f t="shared" si="17"/>
        <v>0.1</v>
      </c>
      <c r="R116" s="54">
        <f t="shared" si="18"/>
        <v>419.5</v>
      </c>
      <c r="S116" s="53">
        <v>0.8</v>
      </c>
      <c r="T116" s="54">
        <f t="shared" si="19"/>
        <v>3356</v>
      </c>
      <c r="U116" s="53">
        <f t="shared" si="20"/>
        <v>9.9999999999999978E-2</v>
      </c>
      <c r="V116" s="54">
        <f t="shared" si="21"/>
        <v>419.49999999999989</v>
      </c>
      <c r="W116" s="55">
        <f ca="1">V116*VLOOKUP(TODAY(),'UF HOY'!$A$2:$B$36,2,0)</f>
        <v>16668387.829999996</v>
      </c>
      <c r="X116" s="56">
        <f>Datos!$K$5</f>
        <v>36</v>
      </c>
      <c r="Y116" s="55">
        <f ca="1">IF((W116-Datos!$U$5-1000000)/X116&gt;0,(W116-Datos!$U$5-1000000)/X116,0)</f>
        <v>432455.21749999991</v>
      </c>
      <c r="Z116" s="56">
        <f>Datos!$K$5</f>
        <v>36</v>
      </c>
      <c r="AA116" s="55">
        <f ca="1">IF((W116-Datos!$U$5-1000000-O116*3%*VLOOKUP(TODAY(),'UF HOY'!$A$2:$B$36,2,0))/Z116&gt;0,(W116-Datos!$U$5-1000000-O116*3%*VLOOKUP(TODAY(),'UF HOY'!$A$2:$B$36,2,0))/Z116,0)</f>
        <v>293551.98558333318</v>
      </c>
      <c r="AB116" s="130" cm="1">
        <f t="array" ref="AB116">_xlfn.IFS(AND(L116=0,M116=0),VLOOKUP(D116,Datos!$F$31:$I$33,2,0),AND(L116=0,M116&gt;0),VLOOKUP(D116,Datos!$F$32:$I$33,2,0),AND(L116&gt;0,M116=0),VLOOKUP(D116,Datos!$F$32:$I$33,3,0),AND(L116&gt;0,M116&gt;0),VLOOKUP(D116,Datos!$F$31:$I$33,4,0))</f>
        <v>550000</v>
      </c>
      <c r="AC116" s="55">
        <f ca="1">(S116*PMT(Datos!$G$15,Datos!$G$14,-O116,,)*VLOOKUP(TODAY(),'UF HOY'!$A$2:$B$36,2,0)/12)+VLOOKUP(TODAY(),'UF HOY'!$A$2:$B$36,2,0)</f>
        <v>682356.95373814297</v>
      </c>
      <c r="AD116" s="55">
        <f t="shared" ca="1" si="22"/>
        <v>-132356.95373814297</v>
      </c>
      <c r="AE116" s="93">
        <f t="shared" ca="1" si="23"/>
        <v>2729427.8149525719</v>
      </c>
    </row>
    <row r="117" spans="1:31" s="3" customFormat="1" x14ac:dyDescent="0.35">
      <c r="A117" s="94" t="s">
        <v>346</v>
      </c>
      <c r="B117" s="80">
        <v>1812</v>
      </c>
      <c r="C117" s="48" t="s">
        <v>41</v>
      </c>
      <c r="D117" s="48" t="s">
        <v>37</v>
      </c>
      <c r="E117" s="48"/>
      <c r="F117" s="48">
        <v>34.630000000000003</v>
      </c>
      <c r="G117" s="48">
        <v>2.93</v>
      </c>
      <c r="H117" s="82">
        <f t="shared" si="12"/>
        <v>36.095000000000006</v>
      </c>
      <c r="I117" s="82">
        <f t="shared" si="13"/>
        <v>37.56</v>
      </c>
      <c r="J117" s="49">
        <v>4195</v>
      </c>
      <c r="K117" s="304">
        <v>0</v>
      </c>
      <c r="L117" s="48">
        <v>0</v>
      </c>
      <c r="M117" s="48">
        <v>0</v>
      </c>
      <c r="N117" s="49">
        <f t="shared" si="14"/>
        <v>3775.5</v>
      </c>
      <c r="O117" s="52">
        <f t="shared" si="15"/>
        <v>4195</v>
      </c>
      <c r="P117" s="79">
        <f t="shared" si="16"/>
        <v>104.59897492727522</v>
      </c>
      <c r="Q117" s="53">
        <f t="shared" si="17"/>
        <v>0.1</v>
      </c>
      <c r="R117" s="54">
        <f t="shared" si="18"/>
        <v>419.5</v>
      </c>
      <c r="S117" s="53">
        <v>0.8</v>
      </c>
      <c r="T117" s="54">
        <f t="shared" si="19"/>
        <v>3356</v>
      </c>
      <c r="U117" s="53">
        <f t="shared" si="20"/>
        <v>9.9999999999999978E-2</v>
      </c>
      <c r="V117" s="54">
        <f t="shared" si="21"/>
        <v>419.49999999999989</v>
      </c>
      <c r="W117" s="55">
        <f ca="1">V117*VLOOKUP(TODAY(),'UF HOY'!$A$2:$B$36,2,0)</f>
        <v>16668387.829999996</v>
      </c>
      <c r="X117" s="56">
        <f>Datos!$K$5</f>
        <v>36</v>
      </c>
      <c r="Y117" s="55">
        <f ca="1">IF((W117-Datos!$U$5-1000000)/X117&gt;0,(W117-Datos!$U$5-1000000)/X117,0)</f>
        <v>432455.21749999991</v>
      </c>
      <c r="Z117" s="56">
        <f>Datos!$K$5</f>
        <v>36</v>
      </c>
      <c r="AA117" s="55">
        <f ca="1">IF((W117-Datos!$U$5-1000000-O117*3%*VLOOKUP(TODAY(),'UF HOY'!$A$2:$B$36,2,0))/Z117&gt;0,(W117-Datos!$U$5-1000000-O117*3%*VLOOKUP(TODAY(),'UF HOY'!$A$2:$B$36,2,0))/Z117,0)</f>
        <v>293551.98558333318</v>
      </c>
      <c r="AB117" s="130" cm="1">
        <f t="array" ref="AB117">_xlfn.IFS(AND(L117=0,M117=0),VLOOKUP(D117,Datos!$F$31:$I$33,2,0),AND(L117=0,M117&gt;0),VLOOKUP(D117,Datos!$F$32:$I$33,2,0),AND(L117&gt;0,M117=0),VLOOKUP(D117,Datos!$F$32:$I$33,3,0),AND(L117&gt;0,M117&gt;0),VLOOKUP(D117,Datos!$F$31:$I$33,4,0))</f>
        <v>550000</v>
      </c>
      <c r="AC117" s="55">
        <f ca="1">(S117*PMT(Datos!$G$15,Datos!$G$14,-O117,,)*VLOOKUP(TODAY(),'UF HOY'!$A$2:$B$36,2,0)/12)+VLOOKUP(TODAY(),'UF HOY'!$A$2:$B$36,2,0)</f>
        <v>682356.95373814297</v>
      </c>
      <c r="AD117" s="55">
        <f t="shared" ca="1" si="22"/>
        <v>-132356.95373814297</v>
      </c>
      <c r="AE117" s="93">
        <f t="shared" ca="1" si="23"/>
        <v>2729427.8149525719</v>
      </c>
    </row>
    <row r="118" spans="1:31" s="3" customFormat="1" x14ac:dyDescent="0.35">
      <c r="A118" s="94" t="s">
        <v>346</v>
      </c>
      <c r="B118" s="80">
        <v>2306</v>
      </c>
      <c r="C118" s="48" t="s">
        <v>36</v>
      </c>
      <c r="D118" s="48" t="s">
        <v>37</v>
      </c>
      <c r="E118" s="48"/>
      <c r="F118" s="48">
        <v>34.19</v>
      </c>
      <c r="G118" s="48">
        <v>2.8</v>
      </c>
      <c r="H118" s="82">
        <f t="shared" si="12"/>
        <v>35.589999999999996</v>
      </c>
      <c r="I118" s="82">
        <f t="shared" si="13"/>
        <v>36.989999999999995</v>
      </c>
      <c r="J118" s="49">
        <v>4195</v>
      </c>
      <c r="K118" s="304">
        <v>0</v>
      </c>
      <c r="L118" s="48">
        <v>0</v>
      </c>
      <c r="M118" s="48">
        <v>0</v>
      </c>
      <c r="N118" s="49">
        <f t="shared" si="14"/>
        <v>3775.5</v>
      </c>
      <c r="O118" s="52">
        <f t="shared" si="15"/>
        <v>4195</v>
      </c>
      <c r="P118" s="79">
        <f t="shared" si="16"/>
        <v>106.08316942961507</v>
      </c>
      <c r="Q118" s="53">
        <f t="shared" si="17"/>
        <v>0.1</v>
      </c>
      <c r="R118" s="54">
        <f t="shared" si="18"/>
        <v>419.5</v>
      </c>
      <c r="S118" s="53">
        <v>0.8</v>
      </c>
      <c r="T118" s="54">
        <f t="shared" si="19"/>
        <v>3356</v>
      </c>
      <c r="U118" s="53">
        <f t="shared" si="20"/>
        <v>9.9999999999999978E-2</v>
      </c>
      <c r="V118" s="54">
        <f t="shared" si="21"/>
        <v>419.49999999999989</v>
      </c>
      <c r="W118" s="55">
        <f ca="1">V118*VLOOKUP(TODAY(),'UF HOY'!$A$2:$B$36,2,0)</f>
        <v>16668387.829999996</v>
      </c>
      <c r="X118" s="56">
        <f>Datos!$K$5</f>
        <v>36</v>
      </c>
      <c r="Y118" s="55">
        <f ca="1">IF((W118-Datos!$U$5-1000000)/X118&gt;0,(W118-Datos!$U$5-1000000)/X118,0)</f>
        <v>432455.21749999991</v>
      </c>
      <c r="Z118" s="56">
        <f>Datos!$K$5</f>
        <v>36</v>
      </c>
      <c r="AA118" s="55">
        <f ca="1">IF((W118-Datos!$U$5-1000000-O118*3%*VLOOKUP(TODAY(),'UF HOY'!$A$2:$B$36,2,0))/Z118&gt;0,(W118-Datos!$U$5-1000000-O118*3%*VLOOKUP(TODAY(),'UF HOY'!$A$2:$B$36,2,0))/Z118,0)</f>
        <v>293551.98558333318</v>
      </c>
      <c r="AB118" s="130" cm="1">
        <f t="array" ref="AB118">_xlfn.IFS(AND(L118=0,M118=0),VLOOKUP(D118,Datos!$F$31:$I$33,2,0),AND(L118=0,M118&gt;0),VLOOKUP(D118,Datos!$F$32:$I$33,2,0),AND(L118&gt;0,M118=0),VLOOKUP(D118,Datos!$F$32:$I$33,3,0),AND(L118&gt;0,M118&gt;0),VLOOKUP(D118,Datos!$F$31:$I$33,4,0))</f>
        <v>550000</v>
      </c>
      <c r="AC118" s="55">
        <f ca="1">(S118*PMT(Datos!$G$15,Datos!$G$14,-O118,,)*VLOOKUP(TODAY(),'UF HOY'!$A$2:$B$36,2,0)/12)+VLOOKUP(TODAY(),'UF HOY'!$A$2:$B$36,2,0)</f>
        <v>682356.95373814297</v>
      </c>
      <c r="AD118" s="55">
        <f t="shared" ca="1" si="22"/>
        <v>-132356.95373814297</v>
      </c>
      <c r="AE118" s="93">
        <f t="shared" ca="1" si="23"/>
        <v>2729427.8149525719</v>
      </c>
    </row>
    <row r="119" spans="1:31" s="3" customFormat="1" x14ac:dyDescent="0.35">
      <c r="A119" s="94" t="s">
        <v>346</v>
      </c>
      <c r="B119" s="80">
        <v>1009</v>
      </c>
      <c r="C119" s="48" t="s">
        <v>40</v>
      </c>
      <c r="D119" s="48" t="s">
        <v>37</v>
      </c>
      <c r="E119" s="48"/>
      <c r="F119" s="48">
        <v>34.369999999999997</v>
      </c>
      <c r="G119" s="48">
        <v>3.28</v>
      </c>
      <c r="H119" s="82">
        <f t="shared" si="12"/>
        <v>36.01</v>
      </c>
      <c r="I119" s="82">
        <f t="shared" si="13"/>
        <v>37.65</v>
      </c>
      <c r="J119" s="49">
        <v>4200</v>
      </c>
      <c r="K119" s="304">
        <v>0</v>
      </c>
      <c r="L119" s="48">
        <v>0</v>
      </c>
      <c r="M119" s="48">
        <v>0</v>
      </c>
      <c r="N119" s="49">
        <f t="shared" si="14"/>
        <v>3780</v>
      </c>
      <c r="O119" s="52">
        <f t="shared" si="15"/>
        <v>4200</v>
      </c>
      <c r="P119" s="79">
        <f t="shared" si="16"/>
        <v>104.9708414329353</v>
      </c>
      <c r="Q119" s="53">
        <f t="shared" si="17"/>
        <v>0.1</v>
      </c>
      <c r="R119" s="54">
        <f t="shared" si="18"/>
        <v>420</v>
      </c>
      <c r="S119" s="53">
        <v>0.8</v>
      </c>
      <c r="T119" s="54">
        <f t="shared" si="19"/>
        <v>3360</v>
      </c>
      <c r="U119" s="53">
        <f t="shared" si="20"/>
        <v>9.9999999999999978E-2</v>
      </c>
      <c r="V119" s="54">
        <f t="shared" si="21"/>
        <v>419.99999999999989</v>
      </c>
      <c r="W119" s="55">
        <f ca="1">V119*VLOOKUP(TODAY(),'UF HOY'!$A$2:$B$36,2,0)</f>
        <v>16688254.799999997</v>
      </c>
      <c r="X119" s="56">
        <f>Datos!$K$5</f>
        <v>36</v>
      </c>
      <c r="Y119" s="55">
        <f ca="1">IF((W119-Datos!$U$5-1000000)/X119&gt;0,(W119-Datos!$U$5-1000000)/X119,0)</f>
        <v>433007.07777777768</v>
      </c>
      <c r="Z119" s="56">
        <f>Datos!$K$5</f>
        <v>36</v>
      </c>
      <c r="AA119" s="55">
        <f ca="1">IF((W119-Datos!$U$5-1000000-O119*3%*VLOOKUP(TODAY(),'UF HOY'!$A$2:$B$36,2,0))/Z119&gt;0,(W119-Datos!$U$5-1000000-O119*3%*VLOOKUP(TODAY(),'UF HOY'!$A$2:$B$36,2,0))/Z119,0)</f>
        <v>293938.28777777764</v>
      </c>
      <c r="AB119" s="130" cm="1">
        <f t="array" ref="AB119">_xlfn.IFS(AND(L119=0,M119=0),VLOOKUP(D119,Datos!$F$31:$I$33,2,0),AND(L119=0,M119&gt;0),VLOOKUP(D119,Datos!$F$32:$I$33,2,0),AND(L119&gt;0,M119=0),VLOOKUP(D119,Datos!$F$32:$I$33,3,0),AND(L119&gt;0,M119&gt;0),VLOOKUP(D119,Datos!$F$31:$I$33,4,0))</f>
        <v>550000</v>
      </c>
      <c r="AC119" s="55">
        <f ca="1">(S119*PMT(Datos!$G$15,Datos!$G$14,-O119,,)*VLOOKUP(TODAY(),'UF HOY'!$A$2:$B$36,2,0)/12)+VLOOKUP(TODAY(),'UF HOY'!$A$2:$B$36,2,0)</f>
        <v>683122.8929678665</v>
      </c>
      <c r="AD119" s="55">
        <f t="shared" ca="1" si="22"/>
        <v>-133122.8929678665</v>
      </c>
      <c r="AE119" s="93">
        <f t="shared" ca="1" si="23"/>
        <v>2732491.571871466</v>
      </c>
    </row>
    <row r="120" spans="1:31" s="3" customFormat="1" x14ac:dyDescent="0.35">
      <c r="A120" s="94" t="s">
        <v>346</v>
      </c>
      <c r="B120" s="80">
        <v>1010</v>
      </c>
      <c r="C120" s="48" t="s">
        <v>40</v>
      </c>
      <c r="D120" s="48" t="s">
        <v>37</v>
      </c>
      <c r="E120" s="48"/>
      <c r="F120" s="48">
        <v>34.369999999999997</v>
      </c>
      <c r="G120" s="48">
        <v>3.28</v>
      </c>
      <c r="H120" s="82">
        <f t="shared" si="12"/>
        <v>36.01</v>
      </c>
      <c r="I120" s="82">
        <f t="shared" si="13"/>
        <v>37.65</v>
      </c>
      <c r="J120" s="49">
        <v>4200</v>
      </c>
      <c r="K120" s="304">
        <v>0</v>
      </c>
      <c r="L120" s="48">
        <v>0</v>
      </c>
      <c r="M120" s="48">
        <v>0</v>
      </c>
      <c r="N120" s="49">
        <f t="shared" si="14"/>
        <v>3780</v>
      </c>
      <c r="O120" s="52">
        <f t="shared" si="15"/>
        <v>4200</v>
      </c>
      <c r="P120" s="79">
        <f t="shared" si="16"/>
        <v>104.9708414329353</v>
      </c>
      <c r="Q120" s="53">
        <f t="shared" si="17"/>
        <v>0.1</v>
      </c>
      <c r="R120" s="54">
        <f t="shared" si="18"/>
        <v>420</v>
      </c>
      <c r="S120" s="53">
        <v>0.8</v>
      </c>
      <c r="T120" s="54">
        <f t="shared" si="19"/>
        <v>3360</v>
      </c>
      <c r="U120" s="53">
        <f t="shared" si="20"/>
        <v>9.9999999999999978E-2</v>
      </c>
      <c r="V120" s="54">
        <f t="shared" si="21"/>
        <v>419.99999999999989</v>
      </c>
      <c r="W120" s="55">
        <f ca="1">V120*VLOOKUP(TODAY(),'UF HOY'!$A$2:$B$36,2,0)</f>
        <v>16688254.799999997</v>
      </c>
      <c r="X120" s="56">
        <f>Datos!$K$5</f>
        <v>36</v>
      </c>
      <c r="Y120" s="55">
        <f ca="1">IF((W120-Datos!$U$5-1000000)/X120&gt;0,(W120-Datos!$U$5-1000000)/X120,0)</f>
        <v>433007.07777777768</v>
      </c>
      <c r="Z120" s="56">
        <f>Datos!$K$5</f>
        <v>36</v>
      </c>
      <c r="AA120" s="55">
        <f ca="1">IF((W120-Datos!$U$5-1000000-O120*3%*VLOOKUP(TODAY(),'UF HOY'!$A$2:$B$36,2,0))/Z120&gt;0,(W120-Datos!$U$5-1000000-O120*3%*VLOOKUP(TODAY(),'UF HOY'!$A$2:$B$36,2,0))/Z120,0)</f>
        <v>293938.28777777764</v>
      </c>
      <c r="AB120" s="130" cm="1">
        <f t="array" ref="AB120">_xlfn.IFS(AND(L120=0,M120=0),VLOOKUP(D120,Datos!$F$31:$I$33,2,0),AND(L120=0,M120&gt;0),VLOOKUP(D120,Datos!$F$32:$I$33,2,0),AND(L120&gt;0,M120=0),VLOOKUP(D120,Datos!$F$32:$I$33,3,0),AND(L120&gt;0,M120&gt;0),VLOOKUP(D120,Datos!$F$31:$I$33,4,0))</f>
        <v>550000</v>
      </c>
      <c r="AC120" s="55">
        <f ca="1">(S120*PMT(Datos!$G$15,Datos!$G$14,-O120,,)*VLOOKUP(TODAY(),'UF HOY'!$A$2:$B$36,2,0)/12)+VLOOKUP(TODAY(),'UF HOY'!$A$2:$B$36,2,0)</f>
        <v>683122.8929678665</v>
      </c>
      <c r="AD120" s="55">
        <f t="shared" ca="1" si="22"/>
        <v>-133122.8929678665</v>
      </c>
      <c r="AE120" s="93">
        <f t="shared" ca="1" si="23"/>
        <v>2732491.571871466</v>
      </c>
    </row>
    <row r="121" spans="1:31" s="3" customFormat="1" x14ac:dyDescent="0.35">
      <c r="A121" s="94" t="s">
        <v>346</v>
      </c>
      <c r="B121" s="80">
        <v>1302</v>
      </c>
      <c r="C121" s="48" t="s">
        <v>38</v>
      </c>
      <c r="D121" s="48" t="s">
        <v>37</v>
      </c>
      <c r="E121" s="48"/>
      <c r="F121" s="48">
        <v>34.89</v>
      </c>
      <c r="G121" s="48">
        <v>2.83</v>
      </c>
      <c r="H121" s="82">
        <f t="shared" si="12"/>
        <v>36.305</v>
      </c>
      <c r="I121" s="82">
        <f t="shared" si="13"/>
        <v>37.72</v>
      </c>
      <c r="J121" s="49">
        <v>4200</v>
      </c>
      <c r="K121" s="304">
        <v>0</v>
      </c>
      <c r="L121" s="48">
        <v>0</v>
      </c>
      <c r="M121" s="48">
        <v>0</v>
      </c>
      <c r="N121" s="49">
        <f t="shared" si="14"/>
        <v>3780</v>
      </c>
      <c r="O121" s="52">
        <f t="shared" si="15"/>
        <v>4200</v>
      </c>
      <c r="P121" s="79">
        <f t="shared" si="16"/>
        <v>104.11789009778268</v>
      </c>
      <c r="Q121" s="53">
        <f t="shared" si="17"/>
        <v>0.1</v>
      </c>
      <c r="R121" s="54">
        <f t="shared" si="18"/>
        <v>420</v>
      </c>
      <c r="S121" s="53">
        <v>0.8</v>
      </c>
      <c r="T121" s="54">
        <f t="shared" si="19"/>
        <v>3360</v>
      </c>
      <c r="U121" s="53">
        <f t="shared" si="20"/>
        <v>9.9999999999999978E-2</v>
      </c>
      <c r="V121" s="54">
        <f t="shared" si="21"/>
        <v>419.99999999999989</v>
      </c>
      <c r="W121" s="55">
        <f ca="1">V121*VLOOKUP(TODAY(),'UF HOY'!$A$2:$B$36,2,0)</f>
        <v>16688254.799999997</v>
      </c>
      <c r="X121" s="56">
        <f>Datos!$K$5</f>
        <v>36</v>
      </c>
      <c r="Y121" s="55">
        <f ca="1">IF((W121-Datos!$U$5-1000000)/X121&gt;0,(W121-Datos!$U$5-1000000)/X121,0)</f>
        <v>433007.07777777768</v>
      </c>
      <c r="Z121" s="56">
        <f>Datos!$K$5</f>
        <v>36</v>
      </c>
      <c r="AA121" s="55">
        <f ca="1">IF((W121-Datos!$U$5-1000000-O121*3%*VLOOKUP(TODAY(),'UF HOY'!$A$2:$B$36,2,0))/Z121&gt;0,(W121-Datos!$U$5-1000000-O121*3%*VLOOKUP(TODAY(),'UF HOY'!$A$2:$B$36,2,0))/Z121,0)</f>
        <v>293938.28777777764</v>
      </c>
      <c r="AB121" s="130" cm="1">
        <f t="array" ref="AB121">_xlfn.IFS(AND(L121=0,M121=0),VLOOKUP(D121,Datos!$F$31:$I$33,2,0),AND(L121=0,M121&gt;0),VLOOKUP(D121,Datos!$F$32:$I$33,2,0),AND(L121&gt;0,M121=0),VLOOKUP(D121,Datos!$F$32:$I$33,3,0),AND(L121&gt;0,M121&gt;0),VLOOKUP(D121,Datos!$F$31:$I$33,4,0))</f>
        <v>550000</v>
      </c>
      <c r="AC121" s="55">
        <f ca="1">(S121*PMT(Datos!$G$15,Datos!$G$14,-O121,,)*VLOOKUP(TODAY(),'UF HOY'!$A$2:$B$36,2,0)/12)+VLOOKUP(TODAY(),'UF HOY'!$A$2:$B$36,2,0)</f>
        <v>683122.8929678665</v>
      </c>
      <c r="AD121" s="55">
        <f t="shared" ca="1" si="22"/>
        <v>-133122.8929678665</v>
      </c>
      <c r="AE121" s="93">
        <f t="shared" ca="1" si="23"/>
        <v>2732491.571871466</v>
      </c>
    </row>
    <row r="122" spans="1:31" s="3" customFormat="1" x14ac:dyDescent="0.35">
      <c r="A122" s="94" t="s">
        <v>346</v>
      </c>
      <c r="B122" s="80">
        <v>1403</v>
      </c>
      <c r="C122" s="48" t="s">
        <v>38</v>
      </c>
      <c r="D122" s="48" t="s">
        <v>37</v>
      </c>
      <c r="E122" s="48"/>
      <c r="F122" s="48">
        <v>34.79</v>
      </c>
      <c r="G122" s="48">
        <v>2.83</v>
      </c>
      <c r="H122" s="82">
        <f t="shared" si="12"/>
        <v>36.204999999999998</v>
      </c>
      <c r="I122" s="82">
        <f t="shared" si="13"/>
        <v>37.619999999999997</v>
      </c>
      <c r="J122" s="49">
        <v>4200</v>
      </c>
      <c r="K122" s="304">
        <v>0</v>
      </c>
      <c r="L122" s="48">
        <v>0</v>
      </c>
      <c r="M122" s="48">
        <v>0</v>
      </c>
      <c r="N122" s="49">
        <f t="shared" si="14"/>
        <v>3780</v>
      </c>
      <c r="O122" s="52">
        <f t="shared" si="15"/>
        <v>4200</v>
      </c>
      <c r="P122" s="79">
        <f t="shared" si="16"/>
        <v>104.40546885789256</v>
      </c>
      <c r="Q122" s="53">
        <f t="shared" si="17"/>
        <v>0.1</v>
      </c>
      <c r="R122" s="54">
        <f t="shared" si="18"/>
        <v>420</v>
      </c>
      <c r="S122" s="53">
        <v>0.8</v>
      </c>
      <c r="T122" s="54">
        <f t="shared" si="19"/>
        <v>3360</v>
      </c>
      <c r="U122" s="53">
        <f t="shared" si="20"/>
        <v>9.9999999999999978E-2</v>
      </c>
      <c r="V122" s="54">
        <f t="shared" si="21"/>
        <v>419.99999999999989</v>
      </c>
      <c r="W122" s="55">
        <f ca="1">V122*VLOOKUP(TODAY(),'UF HOY'!$A$2:$B$36,2,0)</f>
        <v>16688254.799999997</v>
      </c>
      <c r="X122" s="56">
        <f>Datos!$K$5</f>
        <v>36</v>
      </c>
      <c r="Y122" s="55">
        <f ca="1">IF((W122-Datos!$U$5-1000000)/X122&gt;0,(W122-Datos!$U$5-1000000)/X122,0)</f>
        <v>433007.07777777768</v>
      </c>
      <c r="Z122" s="56">
        <f>Datos!$K$5</f>
        <v>36</v>
      </c>
      <c r="AA122" s="55">
        <f ca="1">IF((W122-Datos!$U$5-1000000-O122*3%*VLOOKUP(TODAY(),'UF HOY'!$A$2:$B$36,2,0))/Z122&gt;0,(W122-Datos!$U$5-1000000-O122*3%*VLOOKUP(TODAY(),'UF HOY'!$A$2:$B$36,2,0))/Z122,0)</f>
        <v>293938.28777777764</v>
      </c>
      <c r="AB122" s="130" cm="1">
        <f t="array" ref="AB122">_xlfn.IFS(AND(L122=0,M122=0),VLOOKUP(D122,Datos!$F$31:$I$33,2,0),AND(L122=0,M122&gt;0),VLOOKUP(D122,Datos!$F$32:$I$33,2,0),AND(L122&gt;0,M122=0),VLOOKUP(D122,Datos!$F$32:$I$33,3,0),AND(L122&gt;0,M122&gt;0),VLOOKUP(D122,Datos!$F$31:$I$33,4,0))</f>
        <v>550000</v>
      </c>
      <c r="AC122" s="55">
        <f ca="1">(S122*PMT(Datos!$G$15,Datos!$G$14,-O122,,)*VLOOKUP(TODAY(),'UF HOY'!$A$2:$B$36,2,0)/12)+VLOOKUP(TODAY(),'UF HOY'!$A$2:$B$36,2,0)</f>
        <v>683122.8929678665</v>
      </c>
      <c r="AD122" s="55">
        <f t="shared" ca="1" si="22"/>
        <v>-133122.8929678665</v>
      </c>
      <c r="AE122" s="93">
        <f t="shared" ca="1" si="23"/>
        <v>2732491.571871466</v>
      </c>
    </row>
    <row r="123" spans="1:31" s="3" customFormat="1" x14ac:dyDescent="0.35">
      <c r="A123" s="94" t="s">
        <v>346</v>
      </c>
      <c r="B123" s="80">
        <v>1813</v>
      </c>
      <c r="C123" s="48" t="s">
        <v>41</v>
      </c>
      <c r="D123" s="48" t="s">
        <v>37</v>
      </c>
      <c r="E123" s="48"/>
      <c r="F123" s="48">
        <v>34.69</v>
      </c>
      <c r="G123" s="48">
        <v>2.93</v>
      </c>
      <c r="H123" s="82">
        <f t="shared" si="12"/>
        <v>36.155000000000001</v>
      </c>
      <c r="I123" s="82">
        <f t="shared" si="13"/>
        <v>37.619999999999997</v>
      </c>
      <c r="J123" s="49">
        <v>4200</v>
      </c>
      <c r="K123" s="304">
        <v>0</v>
      </c>
      <c r="L123" s="48">
        <v>0</v>
      </c>
      <c r="M123" s="48">
        <v>0</v>
      </c>
      <c r="N123" s="49">
        <f t="shared" si="14"/>
        <v>3780</v>
      </c>
      <c r="O123" s="52">
        <f t="shared" si="15"/>
        <v>4200</v>
      </c>
      <c r="P123" s="79">
        <f t="shared" si="16"/>
        <v>104.54985479186834</v>
      </c>
      <c r="Q123" s="53">
        <f t="shared" si="17"/>
        <v>0.1</v>
      </c>
      <c r="R123" s="54">
        <f t="shared" si="18"/>
        <v>420</v>
      </c>
      <c r="S123" s="53">
        <v>0.8</v>
      </c>
      <c r="T123" s="54">
        <f t="shared" si="19"/>
        <v>3360</v>
      </c>
      <c r="U123" s="53">
        <f t="shared" si="20"/>
        <v>9.9999999999999978E-2</v>
      </c>
      <c r="V123" s="54">
        <f t="shared" si="21"/>
        <v>419.99999999999989</v>
      </c>
      <c r="W123" s="55">
        <f ca="1">V123*VLOOKUP(TODAY(),'UF HOY'!$A$2:$B$36,2,0)</f>
        <v>16688254.799999997</v>
      </c>
      <c r="X123" s="56">
        <f>Datos!$K$5</f>
        <v>36</v>
      </c>
      <c r="Y123" s="55">
        <f ca="1">IF((W123-Datos!$U$5-1000000)/X123&gt;0,(W123-Datos!$U$5-1000000)/X123,0)</f>
        <v>433007.07777777768</v>
      </c>
      <c r="Z123" s="56">
        <f>Datos!$K$5</f>
        <v>36</v>
      </c>
      <c r="AA123" s="55">
        <f ca="1">IF((W123-Datos!$U$5-1000000-O123*3%*VLOOKUP(TODAY(),'UF HOY'!$A$2:$B$36,2,0))/Z123&gt;0,(W123-Datos!$U$5-1000000-O123*3%*VLOOKUP(TODAY(),'UF HOY'!$A$2:$B$36,2,0))/Z123,0)</f>
        <v>293938.28777777764</v>
      </c>
      <c r="AB123" s="130" cm="1">
        <f t="array" ref="AB123">_xlfn.IFS(AND(L123=0,M123=0),VLOOKUP(D123,Datos!$F$31:$I$33,2,0),AND(L123=0,M123&gt;0),VLOOKUP(D123,Datos!$F$32:$I$33,2,0),AND(L123&gt;0,M123=0),VLOOKUP(D123,Datos!$F$32:$I$33,3,0),AND(L123&gt;0,M123&gt;0),VLOOKUP(D123,Datos!$F$31:$I$33,4,0))</f>
        <v>550000</v>
      </c>
      <c r="AC123" s="55">
        <f ca="1">(S123*PMT(Datos!$G$15,Datos!$G$14,-O123,,)*VLOOKUP(TODAY(),'UF HOY'!$A$2:$B$36,2,0)/12)+VLOOKUP(TODAY(),'UF HOY'!$A$2:$B$36,2,0)</f>
        <v>683122.8929678665</v>
      </c>
      <c r="AD123" s="55">
        <f t="shared" ca="1" si="22"/>
        <v>-133122.8929678665</v>
      </c>
      <c r="AE123" s="93">
        <f t="shared" ca="1" si="23"/>
        <v>2732491.571871466</v>
      </c>
    </row>
    <row r="124" spans="1:31" s="3" customFormat="1" x14ac:dyDescent="0.35">
      <c r="A124" s="94" t="s">
        <v>346</v>
      </c>
      <c r="B124" s="80">
        <v>2406</v>
      </c>
      <c r="C124" s="48" t="s">
        <v>36</v>
      </c>
      <c r="D124" s="48" t="s">
        <v>37</v>
      </c>
      <c r="E124" s="48"/>
      <c r="F124" s="48">
        <v>34.19</v>
      </c>
      <c r="G124" s="48">
        <v>2.8</v>
      </c>
      <c r="H124" s="82">
        <f t="shared" si="12"/>
        <v>35.589999999999996</v>
      </c>
      <c r="I124" s="82">
        <f t="shared" si="13"/>
        <v>36.989999999999995</v>
      </c>
      <c r="J124" s="49">
        <v>4200</v>
      </c>
      <c r="K124" s="304">
        <v>0</v>
      </c>
      <c r="L124" s="48">
        <v>0</v>
      </c>
      <c r="M124" s="48">
        <v>0</v>
      </c>
      <c r="N124" s="49">
        <f t="shared" si="14"/>
        <v>3780</v>
      </c>
      <c r="O124" s="52">
        <f t="shared" si="15"/>
        <v>4200</v>
      </c>
      <c r="P124" s="79">
        <f t="shared" si="16"/>
        <v>106.20960944085418</v>
      </c>
      <c r="Q124" s="53">
        <f t="shared" si="17"/>
        <v>0.1</v>
      </c>
      <c r="R124" s="54">
        <f t="shared" si="18"/>
        <v>420</v>
      </c>
      <c r="S124" s="53">
        <v>0.8</v>
      </c>
      <c r="T124" s="54">
        <f t="shared" si="19"/>
        <v>3360</v>
      </c>
      <c r="U124" s="53">
        <f t="shared" si="20"/>
        <v>9.9999999999999978E-2</v>
      </c>
      <c r="V124" s="54">
        <f t="shared" si="21"/>
        <v>419.99999999999989</v>
      </c>
      <c r="W124" s="55">
        <f ca="1">V124*VLOOKUP(TODAY(),'UF HOY'!$A$2:$B$36,2,0)</f>
        <v>16688254.799999997</v>
      </c>
      <c r="X124" s="56">
        <f>Datos!$K$5</f>
        <v>36</v>
      </c>
      <c r="Y124" s="55">
        <f ca="1">IF((W124-Datos!$U$5-1000000)/X124&gt;0,(W124-Datos!$U$5-1000000)/X124,0)</f>
        <v>433007.07777777768</v>
      </c>
      <c r="Z124" s="56">
        <f>Datos!$K$5</f>
        <v>36</v>
      </c>
      <c r="AA124" s="55">
        <f ca="1">IF((W124-Datos!$U$5-1000000-O124*3%*VLOOKUP(TODAY(),'UF HOY'!$A$2:$B$36,2,0))/Z124&gt;0,(W124-Datos!$U$5-1000000-O124*3%*VLOOKUP(TODAY(),'UF HOY'!$A$2:$B$36,2,0))/Z124,0)</f>
        <v>293938.28777777764</v>
      </c>
      <c r="AB124" s="130" cm="1">
        <f t="array" ref="AB124">_xlfn.IFS(AND(L124=0,M124=0),VLOOKUP(D124,Datos!$F$31:$I$33,2,0),AND(L124=0,M124&gt;0),VLOOKUP(D124,Datos!$F$32:$I$33,2,0),AND(L124&gt;0,M124=0),VLOOKUP(D124,Datos!$F$32:$I$33,3,0),AND(L124&gt;0,M124&gt;0),VLOOKUP(D124,Datos!$F$31:$I$33,4,0))</f>
        <v>550000</v>
      </c>
      <c r="AC124" s="55">
        <f ca="1">(S124*PMT(Datos!$G$15,Datos!$G$14,-O124,,)*VLOOKUP(TODAY(),'UF HOY'!$A$2:$B$36,2,0)/12)+VLOOKUP(TODAY(),'UF HOY'!$A$2:$B$36,2,0)</f>
        <v>683122.8929678665</v>
      </c>
      <c r="AD124" s="55">
        <f t="shared" ca="1" si="22"/>
        <v>-133122.8929678665</v>
      </c>
      <c r="AE124" s="93">
        <f t="shared" ca="1" si="23"/>
        <v>2732491.571871466</v>
      </c>
    </row>
    <row r="125" spans="1:31" s="3" customFormat="1" x14ac:dyDescent="0.35">
      <c r="A125" s="94" t="s">
        <v>346</v>
      </c>
      <c r="B125" s="80">
        <v>2407</v>
      </c>
      <c r="C125" s="48" t="s">
        <v>36</v>
      </c>
      <c r="D125" s="48" t="s">
        <v>37</v>
      </c>
      <c r="E125" s="48"/>
      <c r="F125" s="48">
        <v>34.17</v>
      </c>
      <c r="G125" s="48">
        <v>2.8</v>
      </c>
      <c r="H125" s="82">
        <f t="shared" si="12"/>
        <v>35.57</v>
      </c>
      <c r="I125" s="82">
        <f t="shared" si="13"/>
        <v>36.97</v>
      </c>
      <c r="J125" s="49">
        <v>4200</v>
      </c>
      <c r="K125" s="304">
        <v>0</v>
      </c>
      <c r="L125" s="48">
        <v>0</v>
      </c>
      <c r="M125" s="48">
        <v>0</v>
      </c>
      <c r="N125" s="49">
        <f t="shared" si="14"/>
        <v>3780</v>
      </c>
      <c r="O125" s="52">
        <f t="shared" si="15"/>
        <v>4200</v>
      </c>
      <c r="P125" s="79">
        <f t="shared" si="16"/>
        <v>106.26932808546528</v>
      </c>
      <c r="Q125" s="53">
        <f t="shared" si="17"/>
        <v>0.1</v>
      </c>
      <c r="R125" s="54">
        <f t="shared" si="18"/>
        <v>420</v>
      </c>
      <c r="S125" s="53">
        <v>0.8</v>
      </c>
      <c r="T125" s="54">
        <f t="shared" si="19"/>
        <v>3360</v>
      </c>
      <c r="U125" s="53">
        <f t="shared" si="20"/>
        <v>9.9999999999999978E-2</v>
      </c>
      <c r="V125" s="54">
        <f t="shared" si="21"/>
        <v>419.99999999999989</v>
      </c>
      <c r="W125" s="55">
        <f ca="1">V125*VLOOKUP(TODAY(),'UF HOY'!$A$2:$B$36,2,0)</f>
        <v>16688254.799999997</v>
      </c>
      <c r="X125" s="56">
        <f>Datos!$K$5</f>
        <v>36</v>
      </c>
      <c r="Y125" s="55">
        <f ca="1">IF((W125-Datos!$U$5-1000000)/X125&gt;0,(W125-Datos!$U$5-1000000)/X125,0)</f>
        <v>433007.07777777768</v>
      </c>
      <c r="Z125" s="56">
        <f>Datos!$K$5</f>
        <v>36</v>
      </c>
      <c r="AA125" s="55">
        <f ca="1">IF((W125-Datos!$U$5-1000000-O125*3%*VLOOKUP(TODAY(),'UF HOY'!$A$2:$B$36,2,0))/Z125&gt;0,(W125-Datos!$U$5-1000000-O125*3%*VLOOKUP(TODAY(),'UF HOY'!$A$2:$B$36,2,0))/Z125,0)</f>
        <v>293938.28777777764</v>
      </c>
      <c r="AB125" s="130" cm="1">
        <f t="array" ref="AB125">_xlfn.IFS(AND(L125=0,M125=0),VLOOKUP(D125,Datos!$F$31:$I$33,2,0),AND(L125=0,M125&gt;0),VLOOKUP(D125,Datos!$F$32:$I$33,2,0),AND(L125&gt;0,M125=0),VLOOKUP(D125,Datos!$F$32:$I$33,3,0),AND(L125&gt;0,M125&gt;0),VLOOKUP(D125,Datos!$F$31:$I$33,4,0))</f>
        <v>550000</v>
      </c>
      <c r="AC125" s="55">
        <f ca="1">(S125*PMT(Datos!$G$15,Datos!$G$14,-O125,,)*VLOOKUP(TODAY(),'UF HOY'!$A$2:$B$36,2,0)/12)+VLOOKUP(TODAY(),'UF HOY'!$A$2:$B$36,2,0)</f>
        <v>683122.8929678665</v>
      </c>
      <c r="AD125" s="55">
        <f t="shared" ca="1" si="22"/>
        <v>-133122.8929678665</v>
      </c>
      <c r="AE125" s="93">
        <f t="shared" ca="1" si="23"/>
        <v>2732491.571871466</v>
      </c>
    </row>
    <row r="126" spans="1:31" s="3" customFormat="1" x14ac:dyDescent="0.35">
      <c r="A126" s="94" t="s">
        <v>346</v>
      </c>
      <c r="B126" s="80">
        <v>501</v>
      </c>
      <c r="C126" s="48" t="s">
        <v>41</v>
      </c>
      <c r="D126" s="48" t="s">
        <v>37</v>
      </c>
      <c r="E126" s="48"/>
      <c r="F126" s="48">
        <v>35.619999999999997</v>
      </c>
      <c r="G126" s="48">
        <v>2.96</v>
      </c>
      <c r="H126" s="82">
        <f t="shared" si="12"/>
        <v>37.099999999999994</v>
      </c>
      <c r="I126" s="82">
        <f t="shared" si="13"/>
        <v>38.58</v>
      </c>
      <c r="J126" s="49">
        <v>4205</v>
      </c>
      <c r="K126" s="304">
        <v>0</v>
      </c>
      <c r="L126" s="48">
        <v>0</v>
      </c>
      <c r="M126" s="48">
        <v>0</v>
      </c>
      <c r="N126" s="49">
        <f t="shared" si="14"/>
        <v>3784.5</v>
      </c>
      <c r="O126" s="52">
        <f t="shared" si="15"/>
        <v>4205</v>
      </c>
      <c r="P126" s="79">
        <f t="shared" si="16"/>
        <v>102.00808625336929</v>
      </c>
      <c r="Q126" s="53">
        <f t="shared" si="17"/>
        <v>0.1</v>
      </c>
      <c r="R126" s="54">
        <f t="shared" si="18"/>
        <v>420.5</v>
      </c>
      <c r="S126" s="53">
        <v>0.8</v>
      </c>
      <c r="T126" s="54">
        <f t="shared" si="19"/>
        <v>3364</v>
      </c>
      <c r="U126" s="53">
        <f t="shared" si="20"/>
        <v>9.9999999999999978E-2</v>
      </c>
      <c r="V126" s="54">
        <f t="shared" si="21"/>
        <v>420.49999999999989</v>
      </c>
      <c r="W126" s="55">
        <f ca="1">V126*VLOOKUP(TODAY(),'UF HOY'!$A$2:$B$36,2,0)</f>
        <v>16708121.769999996</v>
      </c>
      <c r="X126" s="56">
        <f>Datos!$K$5</f>
        <v>36</v>
      </c>
      <c r="Y126" s="55">
        <f ca="1">IF((W126-Datos!$U$5-1000000)/X126&gt;0,(W126-Datos!$U$5-1000000)/X126,0)</f>
        <v>433558.93805555545</v>
      </c>
      <c r="Z126" s="56">
        <f>Datos!$K$5</f>
        <v>36</v>
      </c>
      <c r="AA126" s="55">
        <f ca="1">IF((W126-Datos!$U$5-1000000-O126*3%*VLOOKUP(TODAY(),'UF HOY'!$A$2:$B$36,2,0))/Z126&gt;0,(W126-Datos!$U$5-1000000-O126*3%*VLOOKUP(TODAY(),'UF HOY'!$A$2:$B$36,2,0))/Z126,0)</f>
        <v>294324.58997222211</v>
      </c>
      <c r="AB126" s="130" cm="1">
        <f t="array" ref="AB126">_xlfn.IFS(AND(L126=0,M126=0),VLOOKUP(D126,Datos!$F$31:$I$33,2,0),AND(L126=0,M126&gt;0),VLOOKUP(D126,Datos!$F$32:$I$33,2,0),AND(L126&gt;0,M126=0),VLOOKUP(D126,Datos!$F$32:$I$33,3,0),AND(L126&gt;0,M126&gt;0),VLOOKUP(D126,Datos!$F$31:$I$33,4,0))</f>
        <v>550000</v>
      </c>
      <c r="AC126" s="55">
        <f ca="1">(S126*PMT(Datos!$G$15,Datos!$G$14,-O126,,)*VLOOKUP(TODAY(),'UF HOY'!$A$2:$B$36,2,0)/12)+VLOOKUP(TODAY(),'UF HOY'!$A$2:$B$36,2,0)</f>
        <v>683888.83219759027</v>
      </c>
      <c r="AD126" s="55">
        <f t="shared" ca="1" si="22"/>
        <v>-133888.83219759027</v>
      </c>
      <c r="AE126" s="93">
        <f t="shared" ca="1" si="23"/>
        <v>2735555.3287903611</v>
      </c>
    </row>
    <row r="127" spans="1:31" s="3" customFormat="1" x14ac:dyDescent="0.35">
      <c r="A127" s="94" t="s">
        <v>346</v>
      </c>
      <c r="B127" s="80">
        <v>1912</v>
      </c>
      <c r="C127" s="48" t="s">
        <v>41</v>
      </c>
      <c r="D127" s="48" t="s">
        <v>37</v>
      </c>
      <c r="E127" s="48"/>
      <c r="F127" s="48">
        <v>34.630000000000003</v>
      </c>
      <c r="G127" s="48">
        <v>2.93</v>
      </c>
      <c r="H127" s="82">
        <f t="shared" si="12"/>
        <v>36.095000000000006</v>
      </c>
      <c r="I127" s="82">
        <f t="shared" si="13"/>
        <v>37.56</v>
      </c>
      <c r="J127" s="49">
        <v>4205</v>
      </c>
      <c r="K127" s="304">
        <v>0</v>
      </c>
      <c r="L127" s="48">
        <v>0</v>
      </c>
      <c r="M127" s="48">
        <v>0</v>
      </c>
      <c r="N127" s="49">
        <f t="shared" si="14"/>
        <v>3784.5</v>
      </c>
      <c r="O127" s="52">
        <f t="shared" si="15"/>
        <v>4205</v>
      </c>
      <c r="P127" s="79">
        <f t="shared" si="16"/>
        <v>104.8483169414046</v>
      </c>
      <c r="Q127" s="53">
        <f t="shared" si="17"/>
        <v>0.1</v>
      </c>
      <c r="R127" s="54">
        <f t="shared" si="18"/>
        <v>420.5</v>
      </c>
      <c r="S127" s="53">
        <v>0.8</v>
      </c>
      <c r="T127" s="54">
        <f t="shared" si="19"/>
        <v>3364</v>
      </c>
      <c r="U127" s="53">
        <f t="shared" si="20"/>
        <v>9.9999999999999978E-2</v>
      </c>
      <c r="V127" s="54">
        <f t="shared" si="21"/>
        <v>420.49999999999989</v>
      </c>
      <c r="W127" s="55">
        <f ca="1">V127*VLOOKUP(TODAY(),'UF HOY'!$A$2:$B$36,2,0)</f>
        <v>16708121.769999996</v>
      </c>
      <c r="X127" s="56">
        <f>Datos!$K$5</f>
        <v>36</v>
      </c>
      <c r="Y127" s="55">
        <f ca="1">IF((W127-Datos!$U$5-1000000)/X127&gt;0,(W127-Datos!$U$5-1000000)/X127,0)</f>
        <v>433558.93805555545</v>
      </c>
      <c r="Z127" s="56">
        <f>Datos!$K$5</f>
        <v>36</v>
      </c>
      <c r="AA127" s="55">
        <f ca="1">IF((W127-Datos!$U$5-1000000-O127*3%*VLOOKUP(TODAY(),'UF HOY'!$A$2:$B$36,2,0))/Z127&gt;0,(W127-Datos!$U$5-1000000-O127*3%*VLOOKUP(TODAY(),'UF HOY'!$A$2:$B$36,2,0))/Z127,0)</f>
        <v>294324.58997222211</v>
      </c>
      <c r="AB127" s="130" cm="1">
        <f t="array" ref="AB127">_xlfn.IFS(AND(L127=0,M127=0),VLOOKUP(D127,Datos!$F$31:$I$33,2,0),AND(L127=0,M127&gt;0),VLOOKUP(D127,Datos!$F$32:$I$33,2,0),AND(L127&gt;0,M127=0),VLOOKUP(D127,Datos!$F$32:$I$33,3,0),AND(L127&gt;0,M127&gt;0),VLOOKUP(D127,Datos!$F$31:$I$33,4,0))</f>
        <v>550000</v>
      </c>
      <c r="AC127" s="55">
        <f ca="1">(S127*PMT(Datos!$G$15,Datos!$G$14,-O127,,)*VLOOKUP(TODAY(),'UF HOY'!$A$2:$B$36,2,0)/12)+VLOOKUP(TODAY(),'UF HOY'!$A$2:$B$36,2,0)</f>
        <v>683888.83219759027</v>
      </c>
      <c r="AD127" s="55">
        <f t="shared" ca="1" si="22"/>
        <v>-133888.83219759027</v>
      </c>
      <c r="AE127" s="93">
        <f t="shared" ca="1" si="23"/>
        <v>2735555.3287903611</v>
      </c>
    </row>
    <row r="128" spans="1:31" s="3" customFormat="1" x14ac:dyDescent="0.35">
      <c r="A128" s="94" t="s">
        <v>346</v>
      </c>
      <c r="B128" s="80">
        <v>2507</v>
      </c>
      <c r="C128" s="48" t="s">
        <v>36</v>
      </c>
      <c r="D128" s="48" t="s">
        <v>37</v>
      </c>
      <c r="E128" s="48"/>
      <c r="F128" s="48">
        <v>34.17</v>
      </c>
      <c r="G128" s="48">
        <v>2.8</v>
      </c>
      <c r="H128" s="82">
        <f t="shared" si="12"/>
        <v>35.57</v>
      </c>
      <c r="I128" s="82">
        <f t="shared" si="13"/>
        <v>36.97</v>
      </c>
      <c r="J128" s="49">
        <v>4205</v>
      </c>
      <c r="K128" s="304">
        <v>0</v>
      </c>
      <c r="L128" s="48">
        <v>0</v>
      </c>
      <c r="M128" s="48">
        <v>0</v>
      </c>
      <c r="N128" s="49">
        <f t="shared" si="14"/>
        <v>3784.5</v>
      </c>
      <c r="O128" s="52">
        <f t="shared" si="15"/>
        <v>4205</v>
      </c>
      <c r="P128" s="79">
        <f t="shared" si="16"/>
        <v>106.39583919032893</v>
      </c>
      <c r="Q128" s="53">
        <f t="shared" si="17"/>
        <v>0.1</v>
      </c>
      <c r="R128" s="54">
        <f t="shared" si="18"/>
        <v>420.5</v>
      </c>
      <c r="S128" s="53">
        <v>0.8</v>
      </c>
      <c r="T128" s="54">
        <f t="shared" si="19"/>
        <v>3364</v>
      </c>
      <c r="U128" s="53">
        <f t="shared" si="20"/>
        <v>9.9999999999999978E-2</v>
      </c>
      <c r="V128" s="54">
        <f t="shared" si="21"/>
        <v>420.49999999999989</v>
      </c>
      <c r="W128" s="55">
        <f ca="1">V128*VLOOKUP(TODAY(),'UF HOY'!$A$2:$B$36,2,0)</f>
        <v>16708121.769999996</v>
      </c>
      <c r="X128" s="56">
        <f>Datos!$K$5</f>
        <v>36</v>
      </c>
      <c r="Y128" s="55">
        <f ca="1">IF((W128-Datos!$U$5-1000000)/X128&gt;0,(W128-Datos!$U$5-1000000)/X128,0)</f>
        <v>433558.93805555545</v>
      </c>
      <c r="Z128" s="56">
        <f>Datos!$K$5</f>
        <v>36</v>
      </c>
      <c r="AA128" s="55">
        <f ca="1">IF((W128-Datos!$U$5-1000000-O128*3%*VLOOKUP(TODAY(),'UF HOY'!$A$2:$B$36,2,0))/Z128&gt;0,(W128-Datos!$U$5-1000000-O128*3%*VLOOKUP(TODAY(),'UF HOY'!$A$2:$B$36,2,0))/Z128,0)</f>
        <v>294324.58997222211</v>
      </c>
      <c r="AB128" s="130" cm="1">
        <f t="array" ref="AB128">_xlfn.IFS(AND(L128=0,M128=0),VLOOKUP(D128,Datos!$F$31:$I$33,2,0),AND(L128=0,M128&gt;0),VLOOKUP(D128,Datos!$F$32:$I$33,2,0),AND(L128&gt;0,M128=0),VLOOKUP(D128,Datos!$F$32:$I$33,3,0),AND(L128&gt;0,M128&gt;0),VLOOKUP(D128,Datos!$F$31:$I$33,4,0))</f>
        <v>550000</v>
      </c>
      <c r="AC128" s="55">
        <f ca="1">(S128*PMT(Datos!$G$15,Datos!$G$14,-O128,,)*VLOOKUP(TODAY(),'UF HOY'!$A$2:$B$36,2,0)/12)+VLOOKUP(TODAY(),'UF HOY'!$A$2:$B$36,2,0)</f>
        <v>683888.83219759027</v>
      </c>
      <c r="AD128" s="55">
        <f t="shared" ca="1" si="22"/>
        <v>-133888.83219759027</v>
      </c>
      <c r="AE128" s="93">
        <f t="shared" ca="1" si="23"/>
        <v>2735555.3287903611</v>
      </c>
    </row>
    <row r="129" spans="1:31" s="3" customFormat="1" x14ac:dyDescent="0.35">
      <c r="A129" s="94" t="s">
        <v>346</v>
      </c>
      <c r="B129" s="80">
        <v>1402</v>
      </c>
      <c r="C129" s="48" t="s">
        <v>38</v>
      </c>
      <c r="D129" s="48" t="s">
        <v>37</v>
      </c>
      <c r="E129" s="48"/>
      <c r="F129" s="48">
        <v>34.89</v>
      </c>
      <c r="G129" s="48">
        <v>2.83</v>
      </c>
      <c r="H129" s="82">
        <f t="shared" si="12"/>
        <v>36.305</v>
      </c>
      <c r="I129" s="82">
        <f t="shared" si="13"/>
        <v>37.72</v>
      </c>
      <c r="J129" s="49">
        <v>4210</v>
      </c>
      <c r="K129" s="304">
        <v>0</v>
      </c>
      <c r="L129" s="48">
        <v>0</v>
      </c>
      <c r="M129" s="48">
        <v>0</v>
      </c>
      <c r="N129" s="49">
        <f t="shared" si="14"/>
        <v>3789</v>
      </c>
      <c r="O129" s="52">
        <f t="shared" si="15"/>
        <v>4210</v>
      </c>
      <c r="P129" s="79">
        <f t="shared" si="16"/>
        <v>104.36578983611074</v>
      </c>
      <c r="Q129" s="53">
        <f t="shared" si="17"/>
        <v>0.1</v>
      </c>
      <c r="R129" s="54">
        <f t="shared" si="18"/>
        <v>421</v>
      </c>
      <c r="S129" s="53">
        <v>0.8</v>
      </c>
      <c r="T129" s="54">
        <f t="shared" si="19"/>
        <v>3368</v>
      </c>
      <c r="U129" s="53">
        <f t="shared" si="20"/>
        <v>9.9999999999999978E-2</v>
      </c>
      <c r="V129" s="54">
        <f t="shared" si="21"/>
        <v>420.99999999999989</v>
      </c>
      <c r="W129" s="55">
        <f ca="1">V129*VLOOKUP(TODAY(),'UF HOY'!$A$2:$B$36,2,0)</f>
        <v>16727988.739999996</v>
      </c>
      <c r="X129" s="56">
        <f>Datos!$K$5</f>
        <v>36</v>
      </c>
      <c r="Y129" s="55">
        <f ca="1">IF((W129-Datos!$U$5-1000000)/X129&gt;0,(W129-Datos!$U$5-1000000)/X129,0)</f>
        <v>434110.79833333322</v>
      </c>
      <c r="Z129" s="56">
        <f>Datos!$K$5</f>
        <v>36</v>
      </c>
      <c r="AA129" s="55">
        <f ca="1">IF((W129-Datos!$U$5-1000000-O129*3%*VLOOKUP(TODAY(),'UF HOY'!$A$2:$B$36,2,0))/Z129&gt;0,(W129-Datos!$U$5-1000000-O129*3%*VLOOKUP(TODAY(),'UF HOY'!$A$2:$B$36,2,0))/Z129,0)</f>
        <v>294710.89216666657</v>
      </c>
      <c r="AB129" s="130" cm="1">
        <f t="array" ref="AB129">_xlfn.IFS(AND(L129=0,M129=0),VLOOKUP(D129,Datos!$F$31:$I$33,2,0),AND(L129=0,M129&gt;0),VLOOKUP(D129,Datos!$F$32:$I$33,2,0),AND(L129&gt;0,M129=0),VLOOKUP(D129,Datos!$F$32:$I$33,3,0),AND(L129&gt;0,M129&gt;0),VLOOKUP(D129,Datos!$F$31:$I$33,4,0))</f>
        <v>550000</v>
      </c>
      <c r="AC129" s="55">
        <f ca="1">(S129*PMT(Datos!$G$15,Datos!$G$14,-O129,,)*VLOOKUP(TODAY(),'UF HOY'!$A$2:$B$36,2,0)/12)+VLOOKUP(TODAY(),'UF HOY'!$A$2:$B$36,2,0)</f>
        <v>684654.7714273138</v>
      </c>
      <c r="AD129" s="55">
        <f t="shared" ca="1" si="22"/>
        <v>-134654.7714273138</v>
      </c>
      <c r="AE129" s="93">
        <f t="shared" ca="1" si="23"/>
        <v>2738619.0857092552</v>
      </c>
    </row>
    <row r="130" spans="1:31" s="3" customFormat="1" x14ac:dyDescent="0.35">
      <c r="A130" s="94" t="s">
        <v>346</v>
      </c>
      <c r="B130" s="80">
        <v>1503</v>
      </c>
      <c r="C130" s="48" t="s">
        <v>38</v>
      </c>
      <c r="D130" s="48" t="s">
        <v>37</v>
      </c>
      <c r="E130" s="48"/>
      <c r="F130" s="48">
        <v>34.79</v>
      </c>
      <c r="G130" s="48">
        <v>2.83</v>
      </c>
      <c r="H130" s="82">
        <f t="shared" ref="H130:H193" si="24">F130+(G130/2)</f>
        <v>36.204999999999998</v>
      </c>
      <c r="I130" s="82">
        <f t="shared" ref="I130:I193" si="25">F130+G130</f>
        <v>37.619999999999997</v>
      </c>
      <c r="J130" s="49">
        <v>4210</v>
      </c>
      <c r="K130" s="304">
        <v>0</v>
      </c>
      <c r="L130" s="48">
        <v>0</v>
      </c>
      <c r="M130" s="48">
        <v>0</v>
      </c>
      <c r="N130" s="49">
        <f t="shared" ref="N130:N193" si="26">O130-R130</f>
        <v>3789</v>
      </c>
      <c r="O130" s="52">
        <f t="shared" ref="O130:O193" si="27">J130*(100%-K130)+L130+M130</f>
        <v>4210</v>
      </c>
      <c r="P130" s="79">
        <f t="shared" ref="P130:P193" si="28">(N130-L130-M130)/H130</f>
        <v>104.65405330755421</v>
      </c>
      <c r="Q130" s="53">
        <f t="shared" ref="Q130:Q193" si="29">IF((O130-N130)/O130&gt;10%,10%,ROUND(IF(O130&gt;N130,(O130-N130)/O130,0),4))</f>
        <v>0.1</v>
      </c>
      <c r="R130" s="54">
        <f t="shared" ref="R130:R193" si="30">(J130-J130*K130)*0.1</f>
        <v>421</v>
      </c>
      <c r="S130" s="53">
        <v>0.8</v>
      </c>
      <c r="T130" s="54">
        <f t="shared" ref="T130:T193" si="31">S130*O130</f>
        <v>3368</v>
      </c>
      <c r="U130" s="53">
        <f t="shared" ref="U130:U193" si="32">100%-Q130-S130</f>
        <v>9.9999999999999978E-2</v>
      </c>
      <c r="V130" s="54">
        <f t="shared" ref="V130:V193" si="33">O130*U130</f>
        <v>420.99999999999989</v>
      </c>
      <c r="W130" s="55">
        <f ca="1">V130*VLOOKUP(TODAY(),'UF HOY'!$A$2:$B$36,2,0)</f>
        <v>16727988.739999996</v>
      </c>
      <c r="X130" s="56">
        <f>Datos!$K$5</f>
        <v>36</v>
      </c>
      <c r="Y130" s="55">
        <f ca="1">IF((W130-Datos!$U$5-1000000)/X130&gt;0,(W130-Datos!$U$5-1000000)/X130,0)</f>
        <v>434110.79833333322</v>
      </c>
      <c r="Z130" s="56">
        <f>Datos!$K$5</f>
        <v>36</v>
      </c>
      <c r="AA130" s="55">
        <f ca="1">IF((W130-Datos!$U$5-1000000-O130*3%*VLOOKUP(TODAY(),'UF HOY'!$A$2:$B$36,2,0))/Z130&gt;0,(W130-Datos!$U$5-1000000-O130*3%*VLOOKUP(TODAY(),'UF HOY'!$A$2:$B$36,2,0))/Z130,0)</f>
        <v>294710.89216666657</v>
      </c>
      <c r="AB130" s="130" cm="1">
        <f t="array" ref="AB130">_xlfn.IFS(AND(L130=0,M130=0),VLOOKUP(D130,Datos!$F$31:$I$33,2,0),AND(L130=0,M130&gt;0),VLOOKUP(D130,Datos!$F$32:$I$33,2,0),AND(L130&gt;0,M130=0),VLOOKUP(D130,Datos!$F$32:$I$33,3,0),AND(L130&gt;0,M130&gt;0),VLOOKUP(D130,Datos!$F$31:$I$33,4,0))</f>
        <v>550000</v>
      </c>
      <c r="AC130" s="55">
        <f ca="1">(S130*PMT(Datos!$G$15,Datos!$G$14,-O130,,)*VLOOKUP(TODAY(),'UF HOY'!$A$2:$B$36,2,0)/12)+VLOOKUP(TODAY(),'UF HOY'!$A$2:$B$36,2,0)</f>
        <v>684654.7714273138</v>
      </c>
      <c r="AD130" s="55">
        <f t="shared" ref="AD130:AD193" ca="1" si="34">AB130-AC130</f>
        <v>-134654.7714273138</v>
      </c>
      <c r="AE130" s="93">
        <f t="shared" ca="1" si="23"/>
        <v>2738619.0857092552</v>
      </c>
    </row>
    <row r="131" spans="1:31" s="3" customFormat="1" x14ac:dyDescent="0.35">
      <c r="A131" s="94" t="s">
        <v>346</v>
      </c>
      <c r="B131" s="80">
        <v>1504</v>
      </c>
      <c r="C131" s="48" t="s">
        <v>38</v>
      </c>
      <c r="D131" s="48" t="s">
        <v>37</v>
      </c>
      <c r="E131" s="48"/>
      <c r="F131" s="48">
        <v>34.74</v>
      </c>
      <c r="G131" s="48">
        <v>2.86</v>
      </c>
      <c r="H131" s="82">
        <f t="shared" si="24"/>
        <v>36.17</v>
      </c>
      <c r="I131" s="82">
        <f t="shared" si="25"/>
        <v>37.6</v>
      </c>
      <c r="J131" s="49">
        <v>4210</v>
      </c>
      <c r="K131" s="304">
        <v>0</v>
      </c>
      <c r="L131" s="48">
        <v>0</v>
      </c>
      <c r="M131" s="48">
        <v>0</v>
      </c>
      <c r="N131" s="49">
        <f t="shared" si="26"/>
        <v>3789</v>
      </c>
      <c r="O131" s="52">
        <f t="shared" si="27"/>
        <v>4210</v>
      </c>
      <c r="P131" s="79">
        <f t="shared" si="28"/>
        <v>104.75532209012994</v>
      </c>
      <c r="Q131" s="53">
        <f t="shared" si="29"/>
        <v>0.1</v>
      </c>
      <c r="R131" s="54">
        <f t="shared" si="30"/>
        <v>421</v>
      </c>
      <c r="S131" s="53">
        <v>0.8</v>
      </c>
      <c r="T131" s="54">
        <f t="shared" si="31"/>
        <v>3368</v>
      </c>
      <c r="U131" s="53">
        <f t="shared" si="32"/>
        <v>9.9999999999999978E-2</v>
      </c>
      <c r="V131" s="54">
        <f t="shared" si="33"/>
        <v>420.99999999999989</v>
      </c>
      <c r="W131" s="55">
        <f ca="1">V131*VLOOKUP(TODAY(),'UF HOY'!$A$2:$B$36,2,0)</f>
        <v>16727988.739999996</v>
      </c>
      <c r="X131" s="56">
        <f>Datos!$K$5</f>
        <v>36</v>
      </c>
      <c r="Y131" s="55">
        <f ca="1">IF((W131-Datos!$U$5-1000000)/X131&gt;0,(W131-Datos!$U$5-1000000)/X131,0)</f>
        <v>434110.79833333322</v>
      </c>
      <c r="Z131" s="56">
        <f>Datos!$K$5</f>
        <v>36</v>
      </c>
      <c r="AA131" s="55">
        <f ca="1">IF((W131-Datos!$U$5-1000000-O131*3%*VLOOKUP(TODAY(),'UF HOY'!$A$2:$B$36,2,0))/Z131&gt;0,(W131-Datos!$U$5-1000000-O131*3%*VLOOKUP(TODAY(),'UF HOY'!$A$2:$B$36,2,0))/Z131,0)</f>
        <v>294710.89216666657</v>
      </c>
      <c r="AB131" s="130" cm="1">
        <f t="array" ref="AB131">_xlfn.IFS(AND(L131=0,M131=0),VLOOKUP(D131,Datos!$F$31:$I$33,2,0),AND(L131=0,M131&gt;0),VLOOKUP(D131,Datos!$F$32:$I$33,2,0),AND(L131&gt;0,M131=0),VLOOKUP(D131,Datos!$F$32:$I$33,3,0),AND(L131&gt;0,M131&gt;0),VLOOKUP(D131,Datos!$F$31:$I$33,4,0))</f>
        <v>550000</v>
      </c>
      <c r="AC131" s="55">
        <f ca="1">(S131*PMT(Datos!$G$15,Datos!$G$14,-O131,,)*VLOOKUP(TODAY(),'UF HOY'!$A$2:$B$36,2,0)/12)+VLOOKUP(TODAY(),'UF HOY'!$A$2:$B$36,2,0)</f>
        <v>684654.7714273138</v>
      </c>
      <c r="AD131" s="55">
        <f t="shared" ca="1" si="34"/>
        <v>-134654.7714273138</v>
      </c>
      <c r="AE131" s="93">
        <f t="shared" ref="AE131:AE194" ca="1" si="35">IF((AC131/0.25)&lt;=1600000,1600000,(AC131/0.25))</f>
        <v>2738619.0857092552</v>
      </c>
    </row>
    <row r="132" spans="1:31" s="3" customFormat="1" x14ac:dyDescent="0.35">
      <c r="A132" s="94" t="s">
        <v>346</v>
      </c>
      <c r="B132" s="80">
        <v>1913</v>
      </c>
      <c r="C132" s="48" t="s">
        <v>41</v>
      </c>
      <c r="D132" s="48" t="s">
        <v>37</v>
      </c>
      <c r="E132" s="48"/>
      <c r="F132" s="48">
        <v>34.69</v>
      </c>
      <c r="G132" s="48">
        <v>2.93</v>
      </c>
      <c r="H132" s="82">
        <f t="shared" si="24"/>
        <v>36.155000000000001</v>
      </c>
      <c r="I132" s="82">
        <f t="shared" si="25"/>
        <v>37.619999999999997</v>
      </c>
      <c r="J132" s="49">
        <v>4210</v>
      </c>
      <c r="K132" s="304">
        <v>0</v>
      </c>
      <c r="L132" s="48">
        <v>0</v>
      </c>
      <c r="M132" s="48">
        <v>0</v>
      </c>
      <c r="N132" s="49">
        <f t="shared" si="26"/>
        <v>3789</v>
      </c>
      <c r="O132" s="52">
        <f t="shared" si="27"/>
        <v>4210</v>
      </c>
      <c r="P132" s="79">
        <f t="shared" si="28"/>
        <v>104.79878301756327</v>
      </c>
      <c r="Q132" s="53">
        <f t="shared" si="29"/>
        <v>0.1</v>
      </c>
      <c r="R132" s="54">
        <f t="shared" si="30"/>
        <v>421</v>
      </c>
      <c r="S132" s="53">
        <v>0.8</v>
      </c>
      <c r="T132" s="54">
        <f t="shared" si="31"/>
        <v>3368</v>
      </c>
      <c r="U132" s="53">
        <f t="shared" si="32"/>
        <v>9.9999999999999978E-2</v>
      </c>
      <c r="V132" s="54">
        <f t="shared" si="33"/>
        <v>420.99999999999989</v>
      </c>
      <c r="W132" s="55">
        <f ca="1">V132*VLOOKUP(TODAY(),'UF HOY'!$A$2:$B$36,2,0)</f>
        <v>16727988.739999996</v>
      </c>
      <c r="X132" s="56">
        <f>Datos!$K$5</f>
        <v>36</v>
      </c>
      <c r="Y132" s="55">
        <f ca="1">IF((W132-Datos!$U$5-1000000)/X132&gt;0,(W132-Datos!$U$5-1000000)/X132,0)</f>
        <v>434110.79833333322</v>
      </c>
      <c r="Z132" s="56">
        <f>Datos!$K$5</f>
        <v>36</v>
      </c>
      <c r="AA132" s="55">
        <f ca="1">IF((W132-Datos!$U$5-1000000-O132*3%*VLOOKUP(TODAY(),'UF HOY'!$A$2:$B$36,2,0))/Z132&gt;0,(W132-Datos!$U$5-1000000-O132*3%*VLOOKUP(TODAY(),'UF HOY'!$A$2:$B$36,2,0))/Z132,0)</f>
        <v>294710.89216666657</v>
      </c>
      <c r="AB132" s="130" cm="1">
        <f t="array" ref="AB132">_xlfn.IFS(AND(L132=0,M132=0),VLOOKUP(D132,Datos!$F$31:$I$33,2,0),AND(L132=0,M132&gt;0),VLOOKUP(D132,Datos!$F$32:$I$33,2,0),AND(L132&gt;0,M132=0),VLOOKUP(D132,Datos!$F$32:$I$33,3,0),AND(L132&gt;0,M132&gt;0),VLOOKUP(D132,Datos!$F$31:$I$33,4,0))</f>
        <v>550000</v>
      </c>
      <c r="AC132" s="55">
        <f ca="1">(S132*PMT(Datos!$G$15,Datos!$G$14,-O132,,)*VLOOKUP(TODAY(),'UF HOY'!$A$2:$B$36,2,0)/12)+VLOOKUP(TODAY(),'UF HOY'!$A$2:$B$36,2,0)</f>
        <v>684654.7714273138</v>
      </c>
      <c r="AD132" s="55">
        <f t="shared" ca="1" si="34"/>
        <v>-134654.7714273138</v>
      </c>
      <c r="AE132" s="93">
        <f t="shared" ca="1" si="35"/>
        <v>2738619.0857092552</v>
      </c>
    </row>
    <row r="133" spans="1:31" s="3" customFormat="1" x14ac:dyDescent="0.35">
      <c r="A133" s="94" t="s">
        <v>346</v>
      </c>
      <c r="B133" s="80">
        <v>2506</v>
      </c>
      <c r="C133" s="48" t="s">
        <v>36</v>
      </c>
      <c r="D133" s="48" t="s">
        <v>37</v>
      </c>
      <c r="E133" s="48"/>
      <c r="F133" s="48">
        <v>34.19</v>
      </c>
      <c r="G133" s="48">
        <v>2.8</v>
      </c>
      <c r="H133" s="82">
        <f t="shared" si="24"/>
        <v>35.589999999999996</v>
      </c>
      <c r="I133" s="82">
        <f t="shared" si="25"/>
        <v>36.989999999999995</v>
      </c>
      <c r="J133" s="49">
        <v>4210</v>
      </c>
      <c r="K133" s="304">
        <v>0</v>
      </c>
      <c r="L133" s="48">
        <v>0</v>
      </c>
      <c r="M133" s="48">
        <v>0</v>
      </c>
      <c r="N133" s="49">
        <f t="shared" si="26"/>
        <v>3789</v>
      </c>
      <c r="O133" s="52">
        <f t="shared" si="27"/>
        <v>4210</v>
      </c>
      <c r="P133" s="79">
        <f t="shared" si="28"/>
        <v>106.4624894633324</v>
      </c>
      <c r="Q133" s="53">
        <f t="shared" si="29"/>
        <v>0.1</v>
      </c>
      <c r="R133" s="54">
        <f t="shared" si="30"/>
        <v>421</v>
      </c>
      <c r="S133" s="53">
        <v>0.8</v>
      </c>
      <c r="T133" s="54">
        <f t="shared" si="31"/>
        <v>3368</v>
      </c>
      <c r="U133" s="53">
        <f t="shared" si="32"/>
        <v>9.9999999999999978E-2</v>
      </c>
      <c r="V133" s="54">
        <f t="shared" si="33"/>
        <v>420.99999999999989</v>
      </c>
      <c r="W133" s="55">
        <f ca="1">V133*VLOOKUP(TODAY(),'UF HOY'!$A$2:$B$36,2,0)</f>
        <v>16727988.739999996</v>
      </c>
      <c r="X133" s="56">
        <f>Datos!$K$5</f>
        <v>36</v>
      </c>
      <c r="Y133" s="55">
        <f ca="1">IF((W133-Datos!$U$5-1000000)/X133&gt;0,(W133-Datos!$U$5-1000000)/X133,0)</f>
        <v>434110.79833333322</v>
      </c>
      <c r="Z133" s="56">
        <f>Datos!$K$5</f>
        <v>36</v>
      </c>
      <c r="AA133" s="55">
        <f ca="1">IF((W133-Datos!$U$5-1000000-O133*3%*VLOOKUP(TODAY(),'UF HOY'!$A$2:$B$36,2,0))/Z133&gt;0,(W133-Datos!$U$5-1000000-O133*3%*VLOOKUP(TODAY(),'UF HOY'!$A$2:$B$36,2,0))/Z133,0)</f>
        <v>294710.89216666657</v>
      </c>
      <c r="AB133" s="130" cm="1">
        <f t="array" ref="AB133">_xlfn.IFS(AND(L133=0,M133=0),VLOOKUP(D133,Datos!$F$31:$I$33,2,0),AND(L133=0,M133&gt;0),VLOOKUP(D133,Datos!$F$32:$I$33,2,0),AND(L133&gt;0,M133=0),VLOOKUP(D133,Datos!$F$32:$I$33,3,0),AND(L133&gt;0,M133&gt;0),VLOOKUP(D133,Datos!$F$31:$I$33,4,0))</f>
        <v>550000</v>
      </c>
      <c r="AC133" s="55">
        <f ca="1">(S133*PMT(Datos!$G$15,Datos!$G$14,-O133,,)*VLOOKUP(TODAY(),'UF HOY'!$A$2:$B$36,2,0)/12)+VLOOKUP(TODAY(),'UF HOY'!$A$2:$B$36,2,0)</f>
        <v>684654.7714273138</v>
      </c>
      <c r="AD133" s="55">
        <f t="shared" ca="1" si="34"/>
        <v>-134654.7714273138</v>
      </c>
      <c r="AE133" s="93">
        <f t="shared" ca="1" si="35"/>
        <v>2738619.0857092552</v>
      </c>
    </row>
    <row r="134" spans="1:31" s="3" customFormat="1" x14ac:dyDescent="0.35">
      <c r="A134" s="94" t="s">
        <v>346</v>
      </c>
      <c r="B134" s="80">
        <v>2012</v>
      </c>
      <c r="C134" s="48" t="s">
        <v>41</v>
      </c>
      <c r="D134" s="48" t="s">
        <v>37</v>
      </c>
      <c r="E134" s="48"/>
      <c r="F134" s="48">
        <v>34.630000000000003</v>
      </c>
      <c r="G134" s="48">
        <v>2.93</v>
      </c>
      <c r="H134" s="82">
        <f t="shared" si="24"/>
        <v>36.095000000000006</v>
      </c>
      <c r="I134" s="82">
        <f t="shared" si="25"/>
        <v>37.56</v>
      </c>
      <c r="J134" s="49">
        <v>4215</v>
      </c>
      <c r="K134" s="304">
        <v>0</v>
      </c>
      <c r="L134" s="48">
        <v>0</v>
      </c>
      <c r="M134" s="48">
        <v>0</v>
      </c>
      <c r="N134" s="49">
        <f t="shared" si="26"/>
        <v>3793.5</v>
      </c>
      <c r="O134" s="52">
        <f t="shared" si="27"/>
        <v>4215</v>
      </c>
      <c r="P134" s="79">
        <f t="shared" si="28"/>
        <v>105.09765895553399</v>
      </c>
      <c r="Q134" s="53">
        <f t="shared" si="29"/>
        <v>0.1</v>
      </c>
      <c r="R134" s="54">
        <f t="shared" si="30"/>
        <v>421.5</v>
      </c>
      <c r="S134" s="53">
        <v>0.8</v>
      </c>
      <c r="T134" s="54">
        <f t="shared" si="31"/>
        <v>3372</v>
      </c>
      <c r="U134" s="53">
        <f t="shared" si="32"/>
        <v>9.9999999999999978E-2</v>
      </c>
      <c r="V134" s="54">
        <f t="shared" si="33"/>
        <v>421.49999999999989</v>
      </c>
      <c r="W134" s="55">
        <f ca="1">V134*VLOOKUP(TODAY(),'UF HOY'!$A$2:$B$36,2,0)</f>
        <v>16747855.709999997</v>
      </c>
      <c r="X134" s="56">
        <f>Datos!$K$5</f>
        <v>36</v>
      </c>
      <c r="Y134" s="55">
        <f ca="1">IF((W134-Datos!$U$5-1000000)/X134&gt;0,(W134-Datos!$U$5-1000000)/X134,0)</f>
        <v>434662.65861111105</v>
      </c>
      <c r="Z134" s="56">
        <f>Datos!$K$5</f>
        <v>36</v>
      </c>
      <c r="AA134" s="55">
        <f ca="1">IF((W134-Datos!$U$5-1000000-O134*3%*VLOOKUP(TODAY(),'UF HOY'!$A$2:$B$36,2,0))/Z134&gt;0,(W134-Datos!$U$5-1000000-O134*3%*VLOOKUP(TODAY(),'UF HOY'!$A$2:$B$36,2,0))/Z134,0)</f>
        <v>295097.19436111103</v>
      </c>
      <c r="AB134" s="130" cm="1">
        <f t="array" ref="AB134">_xlfn.IFS(AND(L134=0,M134=0),VLOOKUP(D134,Datos!$F$31:$I$33,2,0),AND(L134=0,M134&gt;0),VLOOKUP(D134,Datos!$F$32:$I$33,2,0),AND(L134&gt;0,M134=0),VLOOKUP(D134,Datos!$F$32:$I$33,3,0),AND(L134&gt;0,M134&gt;0),VLOOKUP(D134,Datos!$F$31:$I$33,4,0))</f>
        <v>550000</v>
      </c>
      <c r="AC134" s="55">
        <f ca="1">(S134*PMT(Datos!$G$15,Datos!$G$14,-O134,,)*VLOOKUP(TODAY(),'UF HOY'!$A$2:$B$36,2,0)/12)+VLOOKUP(TODAY(),'UF HOY'!$A$2:$B$36,2,0)</f>
        <v>685420.71065703756</v>
      </c>
      <c r="AD134" s="55">
        <f t="shared" ca="1" si="34"/>
        <v>-135420.71065703756</v>
      </c>
      <c r="AE134" s="93">
        <f t="shared" ca="1" si="35"/>
        <v>2741682.8426281502</v>
      </c>
    </row>
    <row r="135" spans="1:31" s="3" customFormat="1" x14ac:dyDescent="0.35">
      <c r="A135" s="94" t="s">
        <v>346</v>
      </c>
      <c r="B135" s="80">
        <v>2606</v>
      </c>
      <c r="C135" s="48" t="s">
        <v>36</v>
      </c>
      <c r="D135" s="48" t="s">
        <v>37</v>
      </c>
      <c r="E135" s="48"/>
      <c r="F135" s="48">
        <v>34.19</v>
      </c>
      <c r="G135" s="48">
        <v>2.8</v>
      </c>
      <c r="H135" s="82">
        <f t="shared" si="24"/>
        <v>35.589999999999996</v>
      </c>
      <c r="I135" s="82">
        <f t="shared" si="25"/>
        <v>36.989999999999995</v>
      </c>
      <c r="J135" s="49">
        <v>4215</v>
      </c>
      <c r="K135" s="304">
        <v>0</v>
      </c>
      <c r="L135" s="48">
        <v>0</v>
      </c>
      <c r="M135" s="48">
        <v>0</v>
      </c>
      <c r="N135" s="49">
        <f t="shared" si="26"/>
        <v>3793.5</v>
      </c>
      <c r="O135" s="52">
        <f t="shared" si="27"/>
        <v>4215</v>
      </c>
      <c r="P135" s="79">
        <f t="shared" si="28"/>
        <v>106.58892947457151</v>
      </c>
      <c r="Q135" s="53">
        <f t="shared" si="29"/>
        <v>0.1</v>
      </c>
      <c r="R135" s="54">
        <f t="shared" si="30"/>
        <v>421.5</v>
      </c>
      <c r="S135" s="53">
        <v>0.8</v>
      </c>
      <c r="T135" s="54">
        <f t="shared" si="31"/>
        <v>3372</v>
      </c>
      <c r="U135" s="53">
        <f t="shared" si="32"/>
        <v>9.9999999999999978E-2</v>
      </c>
      <c r="V135" s="54">
        <f t="shared" si="33"/>
        <v>421.49999999999989</v>
      </c>
      <c r="W135" s="55">
        <f ca="1">V135*VLOOKUP(TODAY(),'UF HOY'!$A$2:$B$36,2,0)</f>
        <v>16747855.709999997</v>
      </c>
      <c r="X135" s="56">
        <f>Datos!$K$5</f>
        <v>36</v>
      </c>
      <c r="Y135" s="55">
        <f ca="1">IF((W135-Datos!$U$5-1000000)/X135&gt;0,(W135-Datos!$U$5-1000000)/X135,0)</f>
        <v>434662.65861111105</v>
      </c>
      <c r="Z135" s="56">
        <f>Datos!$K$5</f>
        <v>36</v>
      </c>
      <c r="AA135" s="55">
        <f ca="1">IF((W135-Datos!$U$5-1000000-O135*3%*VLOOKUP(TODAY(),'UF HOY'!$A$2:$B$36,2,0))/Z135&gt;0,(W135-Datos!$U$5-1000000-O135*3%*VLOOKUP(TODAY(),'UF HOY'!$A$2:$B$36,2,0))/Z135,0)</f>
        <v>295097.19436111103</v>
      </c>
      <c r="AB135" s="130" cm="1">
        <f t="array" ref="AB135">_xlfn.IFS(AND(L135=0,M135=0),VLOOKUP(D135,Datos!$F$31:$I$33,2,0),AND(L135=0,M135&gt;0),VLOOKUP(D135,Datos!$F$32:$I$33,2,0),AND(L135&gt;0,M135=0),VLOOKUP(D135,Datos!$F$32:$I$33,3,0),AND(L135&gt;0,M135&gt;0),VLOOKUP(D135,Datos!$F$31:$I$33,4,0))</f>
        <v>550000</v>
      </c>
      <c r="AC135" s="55">
        <f ca="1">(S135*PMT(Datos!$G$15,Datos!$G$14,-O135,,)*VLOOKUP(TODAY(),'UF HOY'!$A$2:$B$36,2,0)/12)+VLOOKUP(TODAY(),'UF HOY'!$A$2:$B$36,2,0)</f>
        <v>685420.71065703756</v>
      </c>
      <c r="AD135" s="55">
        <f t="shared" ca="1" si="34"/>
        <v>-135420.71065703756</v>
      </c>
      <c r="AE135" s="93">
        <f t="shared" ca="1" si="35"/>
        <v>2741682.8426281502</v>
      </c>
    </row>
    <row r="136" spans="1:31" s="3" customFormat="1" x14ac:dyDescent="0.35">
      <c r="A136" s="94" t="s">
        <v>346</v>
      </c>
      <c r="B136" s="80">
        <v>2607</v>
      </c>
      <c r="C136" s="48" t="s">
        <v>36</v>
      </c>
      <c r="D136" s="48" t="s">
        <v>37</v>
      </c>
      <c r="E136" s="48"/>
      <c r="F136" s="48">
        <v>34.17</v>
      </c>
      <c r="G136" s="48">
        <v>2.8</v>
      </c>
      <c r="H136" s="82">
        <f t="shared" si="24"/>
        <v>35.57</v>
      </c>
      <c r="I136" s="82">
        <f t="shared" si="25"/>
        <v>36.97</v>
      </c>
      <c r="J136" s="49">
        <v>4215</v>
      </c>
      <c r="K136" s="304">
        <v>0</v>
      </c>
      <c r="L136" s="48">
        <v>0</v>
      </c>
      <c r="M136" s="48">
        <v>0</v>
      </c>
      <c r="N136" s="49">
        <f t="shared" si="26"/>
        <v>3793.5</v>
      </c>
      <c r="O136" s="52">
        <f t="shared" si="27"/>
        <v>4215</v>
      </c>
      <c r="P136" s="79">
        <f t="shared" si="28"/>
        <v>106.64886140005622</v>
      </c>
      <c r="Q136" s="53">
        <f t="shared" si="29"/>
        <v>0.1</v>
      </c>
      <c r="R136" s="54">
        <f t="shared" si="30"/>
        <v>421.5</v>
      </c>
      <c r="S136" s="53">
        <v>0.8</v>
      </c>
      <c r="T136" s="54">
        <f t="shared" si="31"/>
        <v>3372</v>
      </c>
      <c r="U136" s="53">
        <f t="shared" si="32"/>
        <v>9.9999999999999978E-2</v>
      </c>
      <c r="V136" s="54">
        <f t="shared" si="33"/>
        <v>421.49999999999989</v>
      </c>
      <c r="W136" s="55">
        <f ca="1">V136*VLOOKUP(TODAY(),'UF HOY'!$A$2:$B$36,2,0)</f>
        <v>16747855.709999997</v>
      </c>
      <c r="X136" s="56">
        <f>Datos!$K$5</f>
        <v>36</v>
      </c>
      <c r="Y136" s="55">
        <f ca="1">IF((W136-Datos!$U$5-1000000)/X136&gt;0,(W136-Datos!$U$5-1000000)/X136,0)</f>
        <v>434662.65861111105</v>
      </c>
      <c r="Z136" s="56">
        <f>Datos!$K$5</f>
        <v>36</v>
      </c>
      <c r="AA136" s="55">
        <f ca="1">IF((W136-Datos!$U$5-1000000-O136*3%*VLOOKUP(TODAY(),'UF HOY'!$A$2:$B$36,2,0))/Z136&gt;0,(W136-Datos!$U$5-1000000-O136*3%*VLOOKUP(TODAY(),'UF HOY'!$A$2:$B$36,2,0))/Z136,0)</f>
        <v>295097.19436111103</v>
      </c>
      <c r="AB136" s="130" cm="1">
        <f t="array" ref="AB136">_xlfn.IFS(AND(L136=0,M136=0),VLOOKUP(D136,Datos!$F$31:$I$33,2,0),AND(L136=0,M136&gt;0),VLOOKUP(D136,Datos!$F$32:$I$33,2,0),AND(L136&gt;0,M136=0),VLOOKUP(D136,Datos!$F$32:$I$33,3,0),AND(L136&gt;0,M136&gt;0),VLOOKUP(D136,Datos!$F$31:$I$33,4,0))</f>
        <v>550000</v>
      </c>
      <c r="AC136" s="55">
        <f ca="1">(S136*PMT(Datos!$G$15,Datos!$G$14,-O136,,)*VLOOKUP(TODAY(),'UF HOY'!$A$2:$B$36,2,0)/12)+VLOOKUP(TODAY(),'UF HOY'!$A$2:$B$36,2,0)</f>
        <v>685420.71065703756</v>
      </c>
      <c r="AD136" s="55">
        <f t="shared" ca="1" si="34"/>
        <v>-135420.71065703756</v>
      </c>
      <c r="AE136" s="93">
        <f t="shared" ca="1" si="35"/>
        <v>2741682.8426281502</v>
      </c>
    </row>
    <row r="137" spans="1:31" s="3" customFormat="1" x14ac:dyDescent="0.35">
      <c r="A137" s="94" t="s">
        <v>346</v>
      </c>
      <c r="B137" s="80">
        <v>601</v>
      </c>
      <c r="C137" s="48" t="s">
        <v>41</v>
      </c>
      <c r="D137" s="48" t="s">
        <v>37</v>
      </c>
      <c r="E137" s="48"/>
      <c r="F137" s="48">
        <v>35.619999999999997</v>
      </c>
      <c r="G137" s="48">
        <v>2.96</v>
      </c>
      <c r="H137" s="82">
        <f t="shared" si="24"/>
        <v>37.099999999999994</v>
      </c>
      <c r="I137" s="82">
        <f t="shared" si="25"/>
        <v>38.58</v>
      </c>
      <c r="J137" s="49">
        <v>4220</v>
      </c>
      <c r="K137" s="304">
        <v>0</v>
      </c>
      <c r="L137" s="48">
        <v>0</v>
      </c>
      <c r="M137" s="48">
        <v>0</v>
      </c>
      <c r="N137" s="49">
        <f t="shared" si="26"/>
        <v>3798</v>
      </c>
      <c r="O137" s="52">
        <f t="shared" si="27"/>
        <v>4220</v>
      </c>
      <c r="P137" s="79">
        <f t="shared" si="28"/>
        <v>102.37196765498653</v>
      </c>
      <c r="Q137" s="53">
        <f t="shared" si="29"/>
        <v>0.1</v>
      </c>
      <c r="R137" s="54">
        <f t="shared" si="30"/>
        <v>422</v>
      </c>
      <c r="S137" s="53">
        <v>0.8</v>
      </c>
      <c r="T137" s="54">
        <f t="shared" si="31"/>
        <v>3376</v>
      </c>
      <c r="U137" s="53">
        <f t="shared" si="32"/>
        <v>9.9999999999999978E-2</v>
      </c>
      <c r="V137" s="54">
        <f t="shared" si="33"/>
        <v>421.99999999999989</v>
      </c>
      <c r="W137" s="55">
        <f ca="1">V137*VLOOKUP(TODAY(),'UF HOY'!$A$2:$B$36,2,0)</f>
        <v>16767722.679999996</v>
      </c>
      <c r="X137" s="56">
        <f>Datos!$K$5</f>
        <v>36</v>
      </c>
      <c r="Y137" s="55">
        <f ca="1">IF((W137-Datos!$U$5-1000000)/X137&gt;0,(W137-Datos!$U$5-1000000)/X137,0)</f>
        <v>435214.51888888876</v>
      </c>
      <c r="Z137" s="56">
        <f>Datos!$K$5</f>
        <v>36</v>
      </c>
      <c r="AA137" s="55">
        <f ca="1">IF((W137-Datos!$U$5-1000000-O137*3%*VLOOKUP(TODAY(),'UF HOY'!$A$2:$B$36,2,0))/Z137&gt;0,(W137-Datos!$U$5-1000000-O137*3%*VLOOKUP(TODAY(),'UF HOY'!$A$2:$B$36,2,0))/Z137,0)</f>
        <v>295483.49655555538</v>
      </c>
      <c r="AB137" s="130" cm="1">
        <f t="array" ref="AB137">_xlfn.IFS(AND(L137=0,M137=0),VLOOKUP(D137,Datos!$F$31:$I$33,2,0),AND(L137=0,M137&gt;0),VLOOKUP(D137,Datos!$F$32:$I$33,2,0),AND(L137&gt;0,M137=0),VLOOKUP(D137,Datos!$F$32:$I$33,3,0),AND(L137&gt;0,M137&gt;0),VLOOKUP(D137,Datos!$F$31:$I$33,4,0))</f>
        <v>550000</v>
      </c>
      <c r="AC137" s="55">
        <f ca="1">(S137*PMT(Datos!$G$15,Datos!$G$14,-O137,,)*VLOOKUP(TODAY(),'UF HOY'!$A$2:$B$36,2,0)/12)+VLOOKUP(TODAY(),'UF HOY'!$A$2:$B$36,2,0)</f>
        <v>686186.64988676109</v>
      </c>
      <c r="AD137" s="55">
        <f t="shared" ca="1" si="34"/>
        <v>-136186.64988676109</v>
      </c>
      <c r="AE137" s="93">
        <f t="shared" ca="1" si="35"/>
        <v>2744746.5995470444</v>
      </c>
    </row>
    <row r="138" spans="1:31" s="3" customFormat="1" x14ac:dyDescent="0.35">
      <c r="A138" s="94" t="s">
        <v>346</v>
      </c>
      <c r="B138" s="80">
        <v>1109</v>
      </c>
      <c r="C138" s="48" t="s">
        <v>40</v>
      </c>
      <c r="D138" s="48" t="s">
        <v>37</v>
      </c>
      <c r="E138" s="48"/>
      <c r="F138" s="48">
        <v>34.369999999999997</v>
      </c>
      <c r="G138" s="48">
        <v>3.28</v>
      </c>
      <c r="H138" s="82">
        <f t="shared" si="24"/>
        <v>36.01</v>
      </c>
      <c r="I138" s="82">
        <f t="shared" si="25"/>
        <v>37.65</v>
      </c>
      <c r="J138" s="49">
        <v>4220</v>
      </c>
      <c r="K138" s="304">
        <v>0</v>
      </c>
      <c r="L138" s="48">
        <v>0</v>
      </c>
      <c r="M138" s="48">
        <v>0</v>
      </c>
      <c r="N138" s="49">
        <f t="shared" si="26"/>
        <v>3798</v>
      </c>
      <c r="O138" s="52">
        <f t="shared" si="27"/>
        <v>4220</v>
      </c>
      <c r="P138" s="79">
        <f t="shared" si="28"/>
        <v>105.47070258261594</v>
      </c>
      <c r="Q138" s="53">
        <f t="shared" si="29"/>
        <v>0.1</v>
      </c>
      <c r="R138" s="54">
        <f t="shared" si="30"/>
        <v>422</v>
      </c>
      <c r="S138" s="53">
        <v>0.8</v>
      </c>
      <c r="T138" s="54">
        <f t="shared" si="31"/>
        <v>3376</v>
      </c>
      <c r="U138" s="53">
        <f t="shared" si="32"/>
        <v>9.9999999999999978E-2</v>
      </c>
      <c r="V138" s="54">
        <f t="shared" si="33"/>
        <v>421.99999999999989</v>
      </c>
      <c r="W138" s="55">
        <f ca="1">V138*VLOOKUP(TODAY(),'UF HOY'!$A$2:$B$36,2,0)</f>
        <v>16767722.679999996</v>
      </c>
      <c r="X138" s="56">
        <f>Datos!$K$5</f>
        <v>36</v>
      </c>
      <c r="Y138" s="55">
        <f ca="1">IF((W138-Datos!$U$5-1000000)/X138&gt;0,(W138-Datos!$U$5-1000000)/X138,0)</f>
        <v>435214.51888888876</v>
      </c>
      <c r="Z138" s="56">
        <f>Datos!$K$5</f>
        <v>36</v>
      </c>
      <c r="AA138" s="55">
        <f ca="1">IF((W138-Datos!$U$5-1000000-O138*3%*VLOOKUP(TODAY(),'UF HOY'!$A$2:$B$36,2,0))/Z138&gt;0,(W138-Datos!$U$5-1000000-O138*3%*VLOOKUP(TODAY(),'UF HOY'!$A$2:$B$36,2,0))/Z138,0)</f>
        <v>295483.49655555538</v>
      </c>
      <c r="AB138" s="130" cm="1">
        <f t="array" ref="AB138">_xlfn.IFS(AND(L138=0,M138=0),VLOOKUP(D138,Datos!$F$31:$I$33,2,0),AND(L138=0,M138&gt;0),VLOOKUP(D138,Datos!$F$32:$I$33,2,0),AND(L138&gt;0,M138=0),VLOOKUP(D138,Datos!$F$32:$I$33,3,0),AND(L138&gt;0,M138&gt;0),VLOOKUP(D138,Datos!$F$31:$I$33,4,0))</f>
        <v>550000</v>
      </c>
      <c r="AC138" s="55">
        <f ca="1">(S138*PMT(Datos!$G$15,Datos!$G$14,-O138,,)*VLOOKUP(TODAY(),'UF HOY'!$A$2:$B$36,2,0)/12)+VLOOKUP(TODAY(),'UF HOY'!$A$2:$B$36,2,0)</f>
        <v>686186.64988676109</v>
      </c>
      <c r="AD138" s="55">
        <f t="shared" ca="1" si="34"/>
        <v>-136186.64988676109</v>
      </c>
      <c r="AE138" s="93">
        <f t="shared" ca="1" si="35"/>
        <v>2744746.5995470444</v>
      </c>
    </row>
    <row r="139" spans="1:31" s="3" customFormat="1" x14ac:dyDescent="0.35">
      <c r="A139" s="94" t="s">
        <v>346</v>
      </c>
      <c r="B139" s="80">
        <v>1110</v>
      </c>
      <c r="C139" s="48" t="s">
        <v>40</v>
      </c>
      <c r="D139" s="48" t="s">
        <v>37</v>
      </c>
      <c r="E139" s="48"/>
      <c r="F139" s="48">
        <v>34.369999999999997</v>
      </c>
      <c r="G139" s="48">
        <v>3.28</v>
      </c>
      <c r="H139" s="82">
        <f t="shared" si="24"/>
        <v>36.01</v>
      </c>
      <c r="I139" s="82">
        <f t="shared" si="25"/>
        <v>37.65</v>
      </c>
      <c r="J139" s="49">
        <v>4220</v>
      </c>
      <c r="K139" s="304">
        <v>0</v>
      </c>
      <c r="L139" s="48">
        <v>0</v>
      </c>
      <c r="M139" s="48">
        <v>0</v>
      </c>
      <c r="N139" s="49">
        <f t="shared" si="26"/>
        <v>3798</v>
      </c>
      <c r="O139" s="52">
        <f t="shared" si="27"/>
        <v>4220</v>
      </c>
      <c r="P139" s="79">
        <f t="shared" si="28"/>
        <v>105.47070258261594</v>
      </c>
      <c r="Q139" s="53">
        <f t="shared" si="29"/>
        <v>0.1</v>
      </c>
      <c r="R139" s="54">
        <f t="shared" si="30"/>
        <v>422</v>
      </c>
      <c r="S139" s="53">
        <v>0.8</v>
      </c>
      <c r="T139" s="54">
        <f t="shared" si="31"/>
        <v>3376</v>
      </c>
      <c r="U139" s="53">
        <f t="shared" si="32"/>
        <v>9.9999999999999978E-2</v>
      </c>
      <c r="V139" s="54">
        <f t="shared" si="33"/>
        <v>421.99999999999989</v>
      </c>
      <c r="W139" s="55">
        <f ca="1">V139*VLOOKUP(TODAY(),'UF HOY'!$A$2:$B$36,2,0)</f>
        <v>16767722.679999996</v>
      </c>
      <c r="X139" s="56">
        <f>Datos!$K$5</f>
        <v>36</v>
      </c>
      <c r="Y139" s="55">
        <f ca="1">IF((W139-Datos!$U$5-1000000)/X139&gt;0,(W139-Datos!$U$5-1000000)/X139,0)</f>
        <v>435214.51888888876</v>
      </c>
      <c r="Z139" s="56">
        <f>Datos!$K$5</f>
        <v>36</v>
      </c>
      <c r="AA139" s="55">
        <f ca="1">IF((W139-Datos!$U$5-1000000-O139*3%*VLOOKUP(TODAY(),'UF HOY'!$A$2:$B$36,2,0))/Z139&gt;0,(W139-Datos!$U$5-1000000-O139*3%*VLOOKUP(TODAY(),'UF HOY'!$A$2:$B$36,2,0))/Z139,0)</f>
        <v>295483.49655555538</v>
      </c>
      <c r="AB139" s="130" cm="1">
        <f t="array" ref="AB139">_xlfn.IFS(AND(L139=0,M139=0),VLOOKUP(D139,Datos!$F$31:$I$33,2,0),AND(L139=0,M139&gt;0),VLOOKUP(D139,Datos!$F$32:$I$33,2,0),AND(L139&gt;0,M139=0),VLOOKUP(D139,Datos!$F$32:$I$33,3,0),AND(L139&gt;0,M139&gt;0),VLOOKUP(D139,Datos!$F$31:$I$33,4,0))</f>
        <v>550000</v>
      </c>
      <c r="AC139" s="55">
        <f ca="1">(S139*PMT(Datos!$G$15,Datos!$G$14,-O139,,)*VLOOKUP(TODAY(),'UF HOY'!$A$2:$B$36,2,0)/12)+VLOOKUP(TODAY(),'UF HOY'!$A$2:$B$36,2,0)</f>
        <v>686186.64988676109</v>
      </c>
      <c r="AD139" s="55">
        <f t="shared" ca="1" si="34"/>
        <v>-136186.64988676109</v>
      </c>
      <c r="AE139" s="93">
        <f t="shared" ca="1" si="35"/>
        <v>2744746.5995470444</v>
      </c>
    </row>
    <row r="140" spans="1:31" s="3" customFormat="1" x14ac:dyDescent="0.35">
      <c r="A140" s="94" t="s">
        <v>346</v>
      </c>
      <c r="B140" s="80">
        <v>1604</v>
      </c>
      <c r="C140" s="48" t="s">
        <v>38</v>
      </c>
      <c r="D140" s="48" t="s">
        <v>37</v>
      </c>
      <c r="E140" s="48"/>
      <c r="F140" s="48">
        <v>34.74</v>
      </c>
      <c r="G140" s="48">
        <v>2.86</v>
      </c>
      <c r="H140" s="82">
        <f t="shared" si="24"/>
        <v>36.17</v>
      </c>
      <c r="I140" s="82">
        <f t="shared" si="25"/>
        <v>37.6</v>
      </c>
      <c r="J140" s="49">
        <v>4220</v>
      </c>
      <c r="K140" s="304">
        <v>0</v>
      </c>
      <c r="L140" s="48">
        <v>0</v>
      </c>
      <c r="M140" s="48">
        <v>0</v>
      </c>
      <c r="N140" s="49">
        <f t="shared" si="26"/>
        <v>3798</v>
      </c>
      <c r="O140" s="52">
        <f t="shared" si="27"/>
        <v>4220</v>
      </c>
      <c r="P140" s="79">
        <f t="shared" si="28"/>
        <v>105.00414708321813</v>
      </c>
      <c r="Q140" s="53">
        <f t="shared" si="29"/>
        <v>0.1</v>
      </c>
      <c r="R140" s="54">
        <f t="shared" si="30"/>
        <v>422</v>
      </c>
      <c r="S140" s="53">
        <v>0.8</v>
      </c>
      <c r="T140" s="54">
        <f t="shared" si="31"/>
        <v>3376</v>
      </c>
      <c r="U140" s="53">
        <f t="shared" si="32"/>
        <v>9.9999999999999978E-2</v>
      </c>
      <c r="V140" s="54">
        <f t="shared" si="33"/>
        <v>421.99999999999989</v>
      </c>
      <c r="W140" s="55">
        <f ca="1">V140*VLOOKUP(TODAY(),'UF HOY'!$A$2:$B$36,2,0)</f>
        <v>16767722.679999996</v>
      </c>
      <c r="X140" s="56">
        <f>Datos!$K$5</f>
        <v>36</v>
      </c>
      <c r="Y140" s="55">
        <f ca="1">IF((W140-Datos!$U$5-1000000)/X140&gt;0,(W140-Datos!$U$5-1000000)/X140,0)</f>
        <v>435214.51888888876</v>
      </c>
      <c r="Z140" s="56">
        <f>Datos!$K$5</f>
        <v>36</v>
      </c>
      <c r="AA140" s="55">
        <f ca="1">IF((W140-Datos!$U$5-1000000-O140*3%*VLOOKUP(TODAY(),'UF HOY'!$A$2:$B$36,2,0))/Z140&gt;0,(W140-Datos!$U$5-1000000-O140*3%*VLOOKUP(TODAY(),'UF HOY'!$A$2:$B$36,2,0))/Z140,0)</f>
        <v>295483.49655555538</v>
      </c>
      <c r="AB140" s="130" cm="1">
        <f t="array" ref="AB140">_xlfn.IFS(AND(L140=0,M140=0),VLOOKUP(D140,Datos!$F$31:$I$33,2,0),AND(L140=0,M140&gt;0),VLOOKUP(D140,Datos!$F$32:$I$33,2,0),AND(L140&gt;0,M140=0),VLOOKUP(D140,Datos!$F$32:$I$33,3,0),AND(L140&gt;0,M140&gt;0),VLOOKUP(D140,Datos!$F$31:$I$33,4,0))</f>
        <v>550000</v>
      </c>
      <c r="AC140" s="55">
        <f ca="1">(S140*PMT(Datos!$G$15,Datos!$G$14,-O140,,)*VLOOKUP(TODAY(),'UF HOY'!$A$2:$B$36,2,0)/12)+VLOOKUP(TODAY(),'UF HOY'!$A$2:$B$36,2,0)</f>
        <v>686186.64988676109</v>
      </c>
      <c r="AD140" s="55">
        <f t="shared" ca="1" si="34"/>
        <v>-136186.64988676109</v>
      </c>
      <c r="AE140" s="93">
        <f t="shared" ca="1" si="35"/>
        <v>2744746.5995470444</v>
      </c>
    </row>
    <row r="141" spans="1:31" s="3" customFormat="1" x14ac:dyDescent="0.35">
      <c r="A141" s="94" t="s">
        <v>346</v>
      </c>
      <c r="B141" s="80">
        <v>1502</v>
      </c>
      <c r="C141" s="48" t="s">
        <v>38</v>
      </c>
      <c r="D141" s="48" t="s">
        <v>37</v>
      </c>
      <c r="E141" s="48"/>
      <c r="F141" s="48">
        <v>34.89</v>
      </c>
      <c r="G141" s="48">
        <v>2.83</v>
      </c>
      <c r="H141" s="82">
        <f t="shared" si="24"/>
        <v>36.305</v>
      </c>
      <c r="I141" s="82">
        <f t="shared" si="25"/>
        <v>37.72</v>
      </c>
      <c r="J141" s="49">
        <v>4225</v>
      </c>
      <c r="K141" s="304">
        <v>0</v>
      </c>
      <c r="L141" s="48">
        <v>0</v>
      </c>
      <c r="M141" s="48">
        <v>0</v>
      </c>
      <c r="N141" s="49">
        <f t="shared" si="26"/>
        <v>3802.5</v>
      </c>
      <c r="O141" s="52">
        <f t="shared" si="27"/>
        <v>4225</v>
      </c>
      <c r="P141" s="79">
        <f t="shared" si="28"/>
        <v>104.73763944360282</v>
      </c>
      <c r="Q141" s="53">
        <f t="shared" si="29"/>
        <v>0.1</v>
      </c>
      <c r="R141" s="54">
        <f t="shared" si="30"/>
        <v>422.5</v>
      </c>
      <c r="S141" s="53">
        <v>0.8</v>
      </c>
      <c r="T141" s="54">
        <f t="shared" si="31"/>
        <v>3380</v>
      </c>
      <c r="U141" s="53">
        <f t="shared" si="32"/>
        <v>9.9999999999999978E-2</v>
      </c>
      <c r="V141" s="54">
        <f t="shared" si="33"/>
        <v>422.49999999999989</v>
      </c>
      <c r="W141" s="55">
        <f ca="1">V141*VLOOKUP(TODAY(),'UF HOY'!$A$2:$B$36,2,0)</f>
        <v>16787589.649999995</v>
      </c>
      <c r="X141" s="56">
        <f>Datos!$K$5</f>
        <v>36</v>
      </c>
      <c r="Y141" s="55">
        <f ca="1">IF((W141-Datos!$U$5-1000000)/X141&gt;0,(W141-Datos!$U$5-1000000)/X141,0)</f>
        <v>435766.37916666653</v>
      </c>
      <c r="Z141" s="56">
        <f>Datos!$K$5</f>
        <v>36</v>
      </c>
      <c r="AA141" s="55">
        <f ca="1">IF((W141-Datos!$U$5-1000000-O141*3%*VLOOKUP(TODAY(),'UF HOY'!$A$2:$B$36,2,0))/Z141&gt;0,(W141-Datos!$U$5-1000000-O141*3%*VLOOKUP(TODAY(),'UF HOY'!$A$2:$B$36,2,0))/Z141,0)</f>
        <v>295869.79874999984</v>
      </c>
      <c r="AB141" s="130" cm="1">
        <f t="array" ref="AB141">_xlfn.IFS(AND(L141=0,M141=0),VLOOKUP(D141,Datos!$F$31:$I$33,2,0),AND(L141=0,M141&gt;0),VLOOKUP(D141,Datos!$F$32:$I$33,2,0),AND(L141&gt;0,M141=0),VLOOKUP(D141,Datos!$F$32:$I$33,3,0),AND(L141&gt;0,M141&gt;0),VLOOKUP(D141,Datos!$F$31:$I$33,4,0))</f>
        <v>550000</v>
      </c>
      <c r="AC141" s="55">
        <f ca="1">(S141*PMT(Datos!$G$15,Datos!$G$14,-O141,,)*VLOOKUP(TODAY(),'UF HOY'!$A$2:$B$36,2,0)/12)+VLOOKUP(TODAY(),'UF HOY'!$A$2:$B$36,2,0)</f>
        <v>686952.58911648486</v>
      </c>
      <c r="AD141" s="55">
        <f t="shared" ca="1" si="34"/>
        <v>-136952.58911648486</v>
      </c>
      <c r="AE141" s="93">
        <f t="shared" ca="1" si="35"/>
        <v>2747810.3564659394</v>
      </c>
    </row>
    <row r="142" spans="1:31" s="3" customFormat="1" x14ac:dyDescent="0.35">
      <c r="A142" s="94" t="s">
        <v>346</v>
      </c>
      <c r="B142" s="80">
        <v>1603</v>
      </c>
      <c r="C142" s="48" t="s">
        <v>38</v>
      </c>
      <c r="D142" s="48" t="s">
        <v>37</v>
      </c>
      <c r="E142" s="48"/>
      <c r="F142" s="48">
        <v>34.79</v>
      </c>
      <c r="G142" s="48">
        <v>2.83</v>
      </c>
      <c r="H142" s="82">
        <f t="shared" si="24"/>
        <v>36.204999999999998</v>
      </c>
      <c r="I142" s="82">
        <f t="shared" si="25"/>
        <v>37.619999999999997</v>
      </c>
      <c r="J142" s="49">
        <v>4225</v>
      </c>
      <c r="K142" s="304">
        <v>0</v>
      </c>
      <c r="L142" s="48">
        <v>0</v>
      </c>
      <c r="M142" s="48">
        <v>0</v>
      </c>
      <c r="N142" s="49">
        <f t="shared" si="26"/>
        <v>3802.5</v>
      </c>
      <c r="O142" s="52">
        <f t="shared" si="27"/>
        <v>4225</v>
      </c>
      <c r="P142" s="79">
        <f t="shared" si="28"/>
        <v>105.02692998204668</v>
      </c>
      <c r="Q142" s="53">
        <f t="shared" si="29"/>
        <v>0.1</v>
      </c>
      <c r="R142" s="54">
        <f t="shared" si="30"/>
        <v>422.5</v>
      </c>
      <c r="S142" s="53">
        <v>0.8</v>
      </c>
      <c r="T142" s="54">
        <f t="shared" si="31"/>
        <v>3380</v>
      </c>
      <c r="U142" s="53">
        <f t="shared" si="32"/>
        <v>9.9999999999999978E-2</v>
      </c>
      <c r="V142" s="54">
        <f t="shared" si="33"/>
        <v>422.49999999999989</v>
      </c>
      <c r="W142" s="55">
        <f ca="1">V142*VLOOKUP(TODAY(),'UF HOY'!$A$2:$B$36,2,0)</f>
        <v>16787589.649999995</v>
      </c>
      <c r="X142" s="56">
        <f>Datos!$K$5</f>
        <v>36</v>
      </c>
      <c r="Y142" s="55">
        <f ca="1">IF((W142-Datos!$U$5-1000000)/X142&gt;0,(W142-Datos!$U$5-1000000)/X142,0)</f>
        <v>435766.37916666653</v>
      </c>
      <c r="Z142" s="56">
        <f>Datos!$K$5</f>
        <v>36</v>
      </c>
      <c r="AA142" s="55">
        <f ca="1">IF((W142-Datos!$U$5-1000000-O142*3%*VLOOKUP(TODAY(),'UF HOY'!$A$2:$B$36,2,0))/Z142&gt;0,(W142-Datos!$U$5-1000000-O142*3%*VLOOKUP(TODAY(),'UF HOY'!$A$2:$B$36,2,0))/Z142,0)</f>
        <v>295869.79874999984</v>
      </c>
      <c r="AB142" s="130" cm="1">
        <f t="array" ref="AB142">_xlfn.IFS(AND(L142=0,M142=0),VLOOKUP(D142,Datos!$F$31:$I$33,2,0),AND(L142=0,M142&gt;0),VLOOKUP(D142,Datos!$F$32:$I$33,2,0),AND(L142&gt;0,M142=0),VLOOKUP(D142,Datos!$F$32:$I$33,3,0),AND(L142&gt;0,M142&gt;0),VLOOKUP(D142,Datos!$F$31:$I$33,4,0))</f>
        <v>550000</v>
      </c>
      <c r="AC142" s="55">
        <f ca="1">(S142*PMT(Datos!$G$15,Datos!$G$14,-O142,,)*VLOOKUP(TODAY(),'UF HOY'!$A$2:$B$36,2,0)/12)+VLOOKUP(TODAY(),'UF HOY'!$A$2:$B$36,2,0)</f>
        <v>686952.58911648486</v>
      </c>
      <c r="AD142" s="55">
        <f t="shared" ca="1" si="34"/>
        <v>-136952.58911648486</v>
      </c>
      <c r="AE142" s="93">
        <f t="shared" ca="1" si="35"/>
        <v>2747810.3564659394</v>
      </c>
    </row>
    <row r="143" spans="1:31" s="3" customFormat="1" x14ac:dyDescent="0.35">
      <c r="A143" s="94" t="s">
        <v>346</v>
      </c>
      <c r="B143" s="80">
        <v>2013</v>
      </c>
      <c r="C143" s="48" t="s">
        <v>41</v>
      </c>
      <c r="D143" s="48" t="s">
        <v>37</v>
      </c>
      <c r="E143" s="48"/>
      <c r="F143" s="48">
        <v>34.69</v>
      </c>
      <c r="G143" s="48">
        <v>2.93</v>
      </c>
      <c r="H143" s="82">
        <f t="shared" si="24"/>
        <v>36.155000000000001</v>
      </c>
      <c r="I143" s="82">
        <f t="shared" si="25"/>
        <v>37.619999999999997</v>
      </c>
      <c r="J143" s="49">
        <v>4225</v>
      </c>
      <c r="K143" s="304">
        <v>0</v>
      </c>
      <c r="L143" s="48">
        <v>0</v>
      </c>
      <c r="M143" s="48">
        <v>0</v>
      </c>
      <c r="N143" s="49">
        <f t="shared" si="26"/>
        <v>3802.5</v>
      </c>
      <c r="O143" s="52">
        <f t="shared" si="27"/>
        <v>4225</v>
      </c>
      <c r="P143" s="79">
        <f t="shared" si="28"/>
        <v>105.17217535610565</v>
      </c>
      <c r="Q143" s="53">
        <f t="shared" si="29"/>
        <v>0.1</v>
      </c>
      <c r="R143" s="54">
        <f t="shared" si="30"/>
        <v>422.5</v>
      </c>
      <c r="S143" s="53">
        <v>0.8</v>
      </c>
      <c r="T143" s="54">
        <f t="shared" si="31"/>
        <v>3380</v>
      </c>
      <c r="U143" s="53">
        <f t="shared" si="32"/>
        <v>9.9999999999999978E-2</v>
      </c>
      <c r="V143" s="54">
        <f t="shared" si="33"/>
        <v>422.49999999999989</v>
      </c>
      <c r="W143" s="55">
        <f ca="1">V143*VLOOKUP(TODAY(),'UF HOY'!$A$2:$B$36,2,0)</f>
        <v>16787589.649999995</v>
      </c>
      <c r="X143" s="56">
        <f>Datos!$K$5</f>
        <v>36</v>
      </c>
      <c r="Y143" s="55">
        <f ca="1">IF((W143-Datos!$U$5-1000000)/X143&gt;0,(W143-Datos!$U$5-1000000)/X143,0)</f>
        <v>435766.37916666653</v>
      </c>
      <c r="Z143" s="56">
        <f>Datos!$K$5</f>
        <v>36</v>
      </c>
      <c r="AA143" s="55">
        <f ca="1">IF((W143-Datos!$U$5-1000000-O143*3%*VLOOKUP(TODAY(),'UF HOY'!$A$2:$B$36,2,0))/Z143&gt;0,(W143-Datos!$U$5-1000000-O143*3%*VLOOKUP(TODAY(),'UF HOY'!$A$2:$B$36,2,0))/Z143,0)</f>
        <v>295869.79874999984</v>
      </c>
      <c r="AB143" s="130" cm="1">
        <f t="array" ref="AB143">_xlfn.IFS(AND(L143=0,M143=0),VLOOKUP(D143,Datos!$F$31:$I$33,2,0),AND(L143=0,M143&gt;0),VLOOKUP(D143,Datos!$F$32:$I$33,2,0),AND(L143&gt;0,M143=0),VLOOKUP(D143,Datos!$F$32:$I$33,3,0),AND(L143&gt;0,M143&gt;0),VLOOKUP(D143,Datos!$F$31:$I$33,4,0))</f>
        <v>550000</v>
      </c>
      <c r="AC143" s="55">
        <f ca="1">(S143*PMT(Datos!$G$15,Datos!$G$14,-O143,,)*VLOOKUP(TODAY(),'UF HOY'!$A$2:$B$36,2,0)/12)+VLOOKUP(TODAY(),'UF HOY'!$A$2:$B$36,2,0)</f>
        <v>686952.58911648486</v>
      </c>
      <c r="AD143" s="55">
        <f t="shared" ca="1" si="34"/>
        <v>-136952.58911648486</v>
      </c>
      <c r="AE143" s="93">
        <f t="shared" ca="1" si="35"/>
        <v>2747810.3564659394</v>
      </c>
    </row>
    <row r="144" spans="1:31" s="3" customFormat="1" x14ac:dyDescent="0.35">
      <c r="A144" s="94" t="s">
        <v>346</v>
      </c>
      <c r="B144" s="80">
        <v>2706</v>
      </c>
      <c r="C144" s="48" t="s">
        <v>36</v>
      </c>
      <c r="D144" s="48" t="s">
        <v>37</v>
      </c>
      <c r="E144" s="48"/>
      <c r="F144" s="48">
        <v>34.19</v>
      </c>
      <c r="G144" s="48">
        <v>2.8</v>
      </c>
      <c r="H144" s="82">
        <f t="shared" si="24"/>
        <v>35.589999999999996</v>
      </c>
      <c r="I144" s="82">
        <f t="shared" si="25"/>
        <v>36.989999999999995</v>
      </c>
      <c r="J144" s="49">
        <v>4225</v>
      </c>
      <c r="K144" s="304">
        <v>0</v>
      </c>
      <c r="L144" s="48">
        <v>0</v>
      </c>
      <c r="M144" s="48">
        <v>0</v>
      </c>
      <c r="N144" s="49">
        <f t="shared" si="26"/>
        <v>3802.5</v>
      </c>
      <c r="O144" s="52">
        <f t="shared" si="27"/>
        <v>4225</v>
      </c>
      <c r="P144" s="79">
        <f t="shared" si="28"/>
        <v>106.84180949704974</v>
      </c>
      <c r="Q144" s="53">
        <f t="shared" si="29"/>
        <v>0.1</v>
      </c>
      <c r="R144" s="54">
        <f t="shared" si="30"/>
        <v>422.5</v>
      </c>
      <c r="S144" s="53">
        <v>0.8</v>
      </c>
      <c r="T144" s="54">
        <f t="shared" si="31"/>
        <v>3380</v>
      </c>
      <c r="U144" s="53">
        <f t="shared" si="32"/>
        <v>9.9999999999999978E-2</v>
      </c>
      <c r="V144" s="54">
        <f t="shared" si="33"/>
        <v>422.49999999999989</v>
      </c>
      <c r="W144" s="55">
        <f ca="1">V144*VLOOKUP(TODAY(),'UF HOY'!$A$2:$B$36,2,0)</f>
        <v>16787589.649999995</v>
      </c>
      <c r="X144" s="56">
        <f>Datos!$K$5</f>
        <v>36</v>
      </c>
      <c r="Y144" s="55">
        <f ca="1">IF((W144-Datos!$U$5-1000000)/X144&gt;0,(W144-Datos!$U$5-1000000)/X144,0)</f>
        <v>435766.37916666653</v>
      </c>
      <c r="Z144" s="56">
        <f>Datos!$K$5</f>
        <v>36</v>
      </c>
      <c r="AA144" s="55">
        <f ca="1">IF((W144-Datos!$U$5-1000000-O144*3%*VLOOKUP(TODAY(),'UF HOY'!$A$2:$B$36,2,0))/Z144&gt;0,(W144-Datos!$U$5-1000000-O144*3%*VLOOKUP(TODAY(),'UF HOY'!$A$2:$B$36,2,0))/Z144,0)</f>
        <v>295869.79874999984</v>
      </c>
      <c r="AB144" s="130" cm="1">
        <f t="array" ref="AB144">_xlfn.IFS(AND(L144=0,M144=0),VLOOKUP(D144,Datos!$F$31:$I$33,2,0),AND(L144=0,M144&gt;0),VLOOKUP(D144,Datos!$F$32:$I$33,2,0),AND(L144&gt;0,M144=0),VLOOKUP(D144,Datos!$F$32:$I$33,3,0),AND(L144&gt;0,M144&gt;0),VLOOKUP(D144,Datos!$F$31:$I$33,4,0))</f>
        <v>550000</v>
      </c>
      <c r="AC144" s="55">
        <f ca="1">(S144*PMT(Datos!$G$15,Datos!$G$14,-O144,,)*VLOOKUP(TODAY(),'UF HOY'!$A$2:$B$36,2,0)/12)+VLOOKUP(TODAY(),'UF HOY'!$A$2:$B$36,2,0)</f>
        <v>686952.58911648486</v>
      </c>
      <c r="AD144" s="55">
        <f t="shared" ca="1" si="34"/>
        <v>-136952.58911648486</v>
      </c>
      <c r="AE144" s="93">
        <f t="shared" ca="1" si="35"/>
        <v>2747810.3564659394</v>
      </c>
    </row>
    <row r="145" spans="1:31" s="3" customFormat="1" x14ac:dyDescent="0.35">
      <c r="A145" s="94" t="s">
        <v>346</v>
      </c>
      <c r="B145" s="80">
        <v>2707</v>
      </c>
      <c r="C145" s="48" t="s">
        <v>36</v>
      </c>
      <c r="D145" s="48" t="s">
        <v>37</v>
      </c>
      <c r="E145" s="48"/>
      <c r="F145" s="48">
        <v>34.17</v>
      </c>
      <c r="G145" s="48">
        <v>2.8</v>
      </c>
      <c r="H145" s="82">
        <f t="shared" si="24"/>
        <v>35.57</v>
      </c>
      <c r="I145" s="82">
        <f t="shared" si="25"/>
        <v>36.97</v>
      </c>
      <c r="J145" s="49">
        <v>4225</v>
      </c>
      <c r="K145" s="304">
        <v>0</v>
      </c>
      <c r="L145" s="48">
        <v>0</v>
      </c>
      <c r="M145" s="48">
        <v>0</v>
      </c>
      <c r="N145" s="49">
        <f t="shared" si="26"/>
        <v>3802.5</v>
      </c>
      <c r="O145" s="52">
        <f t="shared" si="27"/>
        <v>4225</v>
      </c>
      <c r="P145" s="79">
        <f t="shared" si="28"/>
        <v>106.90188360978352</v>
      </c>
      <c r="Q145" s="53">
        <f t="shared" si="29"/>
        <v>0.1</v>
      </c>
      <c r="R145" s="54">
        <f t="shared" si="30"/>
        <v>422.5</v>
      </c>
      <c r="S145" s="53">
        <v>0.8</v>
      </c>
      <c r="T145" s="54">
        <f t="shared" si="31"/>
        <v>3380</v>
      </c>
      <c r="U145" s="53">
        <f t="shared" si="32"/>
        <v>9.9999999999999978E-2</v>
      </c>
      <c r="V145" s="54">
        <f t="shared" si="33"/>
        <v>422.49999999999989</v>
      </c>
      <c r="W145" s="55">
        <f ca="1">V145*VLOOKUP(TODAY(),'UF HOY'!$A$2:$B$36,2,0)</f>
        <v>16787589.649999995</v>
      </c>
      <c r="X145" s="56">
        <f>Datos!$K$5</f>
        <v>36</v>
      </c>
      <c r="Y145" s="55">
        <f ca="1">IF((W145-Datos!$U$5-1000000)/X145&gt;0,(W145-Datos!$U$5-1000000)/X145,0)</f>
        <v>435766.37916666653</v>
      </c>
      <c r="Z145" s="56">
        <f>Datos!$K$5</f>
        <v>36</v>
      </c>
      <c r="AA145" s="55">
        <f ca="1">IF((W145-Datos!$U$5-1000000-O145*3%*VLOOKUP(TODAY(),'UF HOY'!$A$2:$B$36,2,0))/Z145&gt;0,(W145-Datos!$U$5-1000000-O145*3%*VLOOKUP(TODAY(),'UF HOY'!$A$2:$B$36,2,0))/Z145,0)</f>
        <v>295869.79874999984</v>
      </c>
      <c r="AB145" s="130" cm="1">
        <f t="array" ref="AB145">_xlfn.IFS(AND(L145=0,M145=0),VLOOKUP(D145,Datos!$F$31:$I$33,2,0),AND(L145=0,M145&gt;0),VLOOKUP(D145,Datos!$F$32:$I$33,2,0),AND(L145&gt;0,M145=0),VLOOKUP(D145,Datos!$F$32:$I$33,3,0),AND(L145&gt;0,M145&gt;0),VLOOKUP(D145,Datos!$F$31:$I$33,4,0))</f>
        <v>550000</v>
      </c>
      <c r="AC145" s="55">
        <f ca="1">(S145*PMT(Datos!$G$15,Datos!$G$14,-O145,,)*VLOOKUP(TODAY(),'UF HOY'!$A$2:$B$36,2,0)/12)+VLOOKUP(TODAY(),'UF HOY'!$A$2:$B$36,2,0)</f>
        <v>686952.58911648486</v>
      </c>
      <c r="AD145" s="55">
        <f t="shared" ca="1" si="34"/>
        <v>-136952.58911648486</v>
      </c>
      <c r="AE145" s="93">
        <f t="shared" ca="1" si="35"/>
        <v>2747810.3564659394</v>
      </c>
    </row>
    <row r="146" spans="1:31" s="3" customFormat="1" x14ac:dyDescent="0.35">
      <c r="A146" s="94" t="s">
        <v>346</v>
      </c>
      <c r="B146" s="80">
        <v>2906</v>
      </c>
      <c r="C146" s="48" t="s">
        <v>36</v>
      </c>
      <c r="D146" s="48" t="s">
        <v>37</v>
      </c>
      <c r="E146" s="48"/>
      <c r="F146" s="48">
        <v>34.19</v>
      </c>
      <c r="G146" s="48">
        <v>2.8</v>
      </c>
      <c r="H146" s="82">
        <f t="shared" si="24"/>
        <v>35.589999999999996</v>
      </c>
      <c r="I146" s="82">
        <f t="shared" si="25"/>
        <v>36.989999999999995</v>
      </c>
      <c r="J146" s="49">
        <v>4225</v>
      </c>
      <c r="K146" s="304">
        <v>0</v>
      </c>
      <c r="L146" s="48">
        <v>0</v>
      </c>
      <c r="M146" s="48">
        <v>0</v>
      </c>
      <c r="N146" s="49">
        <f t="shared" si="26"/>
        <v>3802.5</v>
      </c>
      <c r="O146" s="52">
        <f t="shared" si="27"/>
        <v>4225</v>
      </c>
      <c r="P146" s="79">
        <f t="shared" si="28"/>
        <v>106.84180949704974</v>
      </c>
      <c r="Q146" s="53">
        <f t="shared" si="29"/>
        <v>0.1</v>
      </c>
      <c r="R146" s="54">
        <f t="shared" si="30"/>
        <v>422.5</v>
      </c>
      <c r="S146" s="53">
        <v>0.8</v>
      </c>
      <c r="T146" s="54">
        <f t="shared" si="31"/>
        <v>3380</v>
      </c>
      <c r="U146" s="53">
        <f t="shared" si="32"/>
        <v>9.9999999999999978E-2</v>
      </c>
      <c r="V146" s="54">
        <f t="shared" si="33"/>
        <v>422.49999999999989</v>
      </c>
      <c r="W146" s="55">
        <f ca="1">V146*VLOOKUP(TODAY(),'UF HOY'!$A$2:$B$36,2,0)</f>
        <v>16787589.649999995</v>
      </c>
      <c r="X146" s="56">
        <f>Datos!$K$5</f>
        <v>36</v>
      </c>
      <c r="Y146" s="55">
        <f ca="1">IF((W146-Datos!$U$5-1000000)/X146&gt;0,(W146-Datos!$U$5-1000000)/X146,0)</f>
        <v>435766.37916666653</v>
      </c>
      <c r="Z146" s="56">
        <f>Datos!$K$5</f>
        <v>36</v>
      </c>
      <c r="AA146" s="55">
        <f ca="1">IF((W146-Datos!$U$5-1000000-O146*3%*VLOOKUP(TODAY(),'UF HOY'!$A$2:$B$36,2,0))/Z146&gt;0,(W146-Datos!$U$5-1000000-O146*3%*VLOOKUP(TODAY(),'UF HOY'!$A$2:$B$36,2,0))/Z146,0)</f>
        <v>295869.79874999984</v>
      </c>
      <c r="AB146" s="130" cm="1">
        <f t="array" ref="AB146">_xlfn.IFS(AND(L146=0,M146=0),VLOOKUP(D146,Datos!$F$31:$I$33,2,0),AND(L146=0,M146&gt;0),VLOOKUP(D146,Datos!$F$32:$I$33,2,0),AND(L146&gt;0,M146=0),VLOOKUP(D146,Datos!$F$32:$I$33,3,0),AND(L146&gt;0,M146&gt;0),VLOOKUP(D146,Datos!$F$31:$I$33,4,0))</f>
        <v>550000</v>
      </c>
      <c r="AC146" s="55">
        <f ca="1">(S146*PMT(Datos!$G$15,Datos!$G$14,-O146,,)*VLOOKUP(TODAY(),'UF HOY'!$A$2:$B$36,2,0)/12)+VLOOKUP(TODAY(),'UF HOY'!$A$2:$B$36,2,0)</f>
        <v>686952.58911648486</v>
      </c>
      <c r="AD146" s="55">
        <f t="shared" ca="1" si="34"/>
        <v>-136952.58911648486</v>
      </c>
      <c r="AE146" s="93">
        <f t="shared" ca="1" si="35"/>
        <v>2747810.3564659394</v>
      </c>
    </row>
    <row r="147" spans="1:31" s="3" customFormat="1" x14ac:dyDescent="0.35">
      <c r="A147" s="94" t="s">
        <v>346</v>
      </c>
      <c r="B147" s="80">
        <v>2907</v>
      </c>
      <c r="C147" s="48" t="s">
        <v>36</v>
      </c>
      <c r="D147" s="48" t="s">
        <v>37</v>
      </c>
      <c r="E147" s="48"/>
      <c r="F147" s="48">
        <v>34.17</v>
      </c>
      <c r="G147" s="48">
        <v>2.8</v>
      </c>
      <c r="H147" s="82">
        <f t="shared" si="24"/>
        <v>35.57</v>
      </c>
      <c r="I147" s="82">
        <f t="shared" si="25"/>
        <v>36.97</v>
      </c>
      <c r="J147" s="49">
        <v>4225</v>
      </c>
      <c r="K147" s="304">
        <v>0</v>
      </c>
      <c r="L147" s="48">
        <v>0</v>
      </c>
      <c r="M147" s="48">
        <v>0</v>
      </c>
      <c r="N147" s="49">
        <f t="shared" si="26"/>
        <v>3802.5</v>
      </c>
      <c r="O147" s="52">
        <f t="shared" si="27"/>
        <v>4225</v>
      </c>
      <c r="P147" s="79">
        <f t="shared" si="28"/>
        <v>106.90188360978352</v>
      </c>
      <c r="Q147" s="53">
        <f t="shared" si="29"/>
        <v>0.1</v>
      </c>
      <c r="R147" s="54">
        <f t="shared" si="30"/>
        <v>422.5</v>
      </c>
      <c r="S147" s="53">
        <v>0.8</v>
      </c>
      <c r="T147" s="54">
        <f t="shared" si="31"/>
        <v>3380</v>
      </c>
      <c r="U147" s="53">
        <f t="shared" si="32"/>
        <v>9.9999999999999978E-2</v>
      </c>
      <c r="V147" s="54">
        <f t="shared" si="33"/>
        <v>422.49999999999989</v>
      </c>
      <c r="W147" s="55">
        <f ca="1">V147*VLOOKUP(TODAY(),'UF HOY'!$A$2:$B$36,2,0)</f>
        <v>16787589.649999995</v>
      </c>
      <c r="X147" s="56">
        <f>Datos!$K$5</f>
        <v>36</v>
      </c>
      <c r="Y147" s="55">
        <f ca="1">IF((W147-Datos!$U$5-1000000)/X147&gt;0,(W147-Datos!$U$5-1000000)/X147,0)</f>
        <v>435766.37916666653</v>
      </c>
      <c r="Z147" s="56">
        <f>Datos!$K$5</f>
        <v>36</v>
      </c>
      <c r="AA147" s="55">
        <f ca="1">IF((W147-Datos!$U$5-1000000-O147*3%*VLOOKUP(TODAY(),'UF HOY'!$A$2:$B$36,2,0))/Z147&gt;0,(W147-Datos!$U$5-1000000-O147*3%*VLOOKUP(TODAY(),'UF HOY'!$A$2:$B$36,2,0))/Z147,0)</f>
        <v>295869.79874999984</v>
      </c>
      <c r="AB147" s="130" cm="1">
        <f t="array" ref="AB147">_xlfn.IFS(AND(L147=0,M147=0),VLOOKUP(D147,Datos!$F$31:$I$33,2,0),AND(L147=0,M147&gt;0),VLOOKUP(D147,Datos!$F$32:$I$33,2,0),AND(L147&gt;0,M147=0),VLOOKUP(D147,Datos!$F$32:$I$33,3,0),AND(L147&gt;0,M147&gt;0),VLOOKUP(D147,Datos!$F$31:$I$33,4,0))</f>
        <v>550000</v>
      </c>
      <c r="AC147" s="55">
        <f ca="1">(S147*PMT(Datos!$G$15,Datos!$G$14,-O147,,)*VLOOKUP(TODAY(),'UF HOY'!$A$2:$B$36,2,0)/12)+VLOOKUP(TODAY(),'UF HOY'!$A$2:$B$36,2,0)</f>
        <v>686952.58911648486</v>
      </c>
      <c r="AD147" s="55">
        <f t="shared" ca="1" si="34"/>
        <v>-136952.58911648486</v>
      </c>
      <c r="AE147" s="93">
        <f t="shared" ca="1" si="35"/>
        <v>2747810.3564659394</v>
      </c>
    </row>
    <row r="148" spans="1:31" s="3" customFormat="1" x14ac:dyDescent="0.35">
      <c r="A148" s="94" t="s">
        <v>346</v>
      </c>
      <c r="B148" s="80">
        <v>1704</v>
      </c>
      <c r="C148" s="48" t="s">
        <v>38</v>
      </c>
      <c r="D148" s="48" t="s">
        <v>37</v>
      </c>
      <c r="E148" s="48"/>
      <c r="F148" s="48">
        <v>34.74</v>
      </c>
      <c r="G148" s="48">
        <v>2.86</v>
      </c>
      <c r="H148" s="82">
        <f t="shared" si="24"/>
        <v>36.17</v>
      </c>
      <c r="I148" s="82">
        <f t="shared" si="25"/>
        <v>37.6</v>
      </c>
      <c r="J148" s="49">
        <v>4230</v>
      </c>
      <c r="K148" s="304">
        <v>0</v>
      </c>
      <c r="L148" s="48">
        <v>0</v>
      </c>
      <c r="M148" s="48">
        <v>0</v>
      </c>
      <c r="N148" s="49">
        <f t="shared" si="26"/>
        <v>3807</v>
      </c>
      <c r="O148" s="52">
        <f t="shared" si="27"/>
        <v>4230</v>
      </c>
      <c r="P148" s="79">
        <f t="shared" si="28"/>
        <v>105.25297207630632</v>
      </c>
      <c r="Q148" s="53">
        <f t="shared" si="29"/>
        <v>0.1</v>
      </c>
      <c r="R148" s="54">
        <f t="shared" si="30"/>
        <v>423</v>
      </c>
      <c r="S148" s="53">
        <v>0.8</v>
      </c>
      <c r="T148" s="54">
        <f t="shared" si="31"/>
        <v>3384</v>
      </c>
      <c r="U148" s="53">
        <f t="shared" si="32"/>
        <v>9.9999999999999978E-2</v>
      </c>
      <c r="V148" s="54">
        <f t="shared" si="33"/>
        <v>422.99999999999989</v>
      </c>
      <c r="W148" s="55">
        <f ca="1">V148*VLOOKUP(TODAY(),'UF HOY'!$A$2:$B$36,2,0)</f>
        <v>16807456.619999997</v>
      </c>
      <c r="X148" s="56">
        <f>Datos!$K$5</f>
        <v>36</v>
      </c>
      <c r="Y148" s="55">
        <f ca="1">IF((W148-Datos!$U$5-1000000)/X148&gt;0,(W148-Datos!$U$5-1000000)/X148,0)</f>
        <v>436318.23944444436</v>
      </c>
      <c r="Z148" s="56">
        <f>Datos!$K$5</f>
        <v>36</v>
      </c>
      <c r="AA148" s="55">
        <f ca="1">IF((W148-Datos!$U$5-1000000-O148*3%*VLOOKUP(TODAY(),'UF HOY'!$A$2:$B$36,2,0))/Z148&gt;0,(W148-Datos!$U$5-1000000-O148*3%*VLOOKUP(TODAY(),'UF HOY'!$A$2:$B$36,2,0))/Z148,0)</f>
        <v>296256.10094444436</v>
      </c>
      <c r="AB148" s="130" cm="1">
        <f t="array" ref="AB148">_xlfn.IFS(AND(L148=0,M148=0),VLOOKUP(D148,Datos!$F$31:$I$33,2,0),AND(L148=0,M148&gt;0),VLOOKUP(D148,Datos!$F$32:$I$33,2,0),AND(L148&gt;0,M148=0),VLOOKUP(D148,Datos!$F$32:$I$33,3,0),AND(L148&gt;0,M148&gt;0),VLOOKUP(D148,Datos!$F$31:$I$33,4,0))</f>
        <v>550000</v>
      </c>
      <c r="AC148" s="55">
        <f ca="1">(S148*PMT(Datos!$G$15,Datos!$G$14,-O148,,)*VLOOKUP(TODAY(),'UF HOY'!$A$2:$B$36,2,0)/12)+VLOOKUP(TODAY(),'UF HOY'!$A$2:$B$36,2,0)</f>
        <v>687718.52834620839</v>
      </c>
      <c r="AD148" s="55">
        <f t="shared" ca="1" si="34"/>
        <v>-137718.52834620839</v>
      </c>
      <c r="AE148" s="93">
        <f t="shared" ca="1" si="35"/>
        <v>2750874.1133848336</v>
      </c>
    </row>
    <row r="149" spans="1:31" s="3" customFormat="1" x14ac:dyDescent="0.35">
      <c r="A149" s="94" t="s">
        <v>346</v>
      </c>
      <c r="B149" s="80">
        <v>2112</v>
      </c>
      <c r="C149" s="48" t="s">
        <v>41</v>
      </c>
      <c r="D149" s="48" t="s">
        <v>37</v>
      </c>
      <c r="E149" s="48"/>
      <c r="F149" s="48">
        <v>34.630000000000003</v>
      </c>
      <c r="G149" s="48">
        <v>2.93</v>
      </c>
      <c r="H149" s="82">
        <f t="shared" si="24"/>
        <v>36.095000000000006</v>
      </c>
      <c r="I149" s="82">
        <f t="shared" si="25"/>
        <v>37.56</v>
      </c>
      <c r="J149" s="49">
        <v>4230</v>
      </c>
      <c r="K149" s="304">
        <v>0</v>
      </c>
      <c r="L149" s="48">
        <v>0</v>
      </c>
      <c r="M149" s="48">
        <v>0</v>
      </c>
      <c r="N149" s="49">
        <f t="shared" si="26"/>
        <v>3807</v>
      </c>
      <c r="O149" s="52">
        <f t="shared" si="27"/>
        <v>4230</v>
      </c>
      <c r="P149" s="79">
        <f t="shared" si="28"/>
        <v>105.47167197672806</v>
      </c>
      <c r="Q149" s="53">
        <f t="shared" si="29"/>
        <v>0.1</v>
      </c>
      <c r="R149" s="54">
        <f t="shared" si="30"/>
        <v>423</v>
      </c>
      <c r="S149" s="53">
        <v>0.8</v>
      </c>
      <c r="T149" s="54">
        <f t="shared" si="31"/>
        <v>3384</v>
      </c>
      <c r="U149" s="53">
        <f t="shared" si="32"/>
        <v>9.9999999999999978E-2</v>
      </c>
      <c r="V149" s="54">
        <f t="shared" si="33"/>
        <v>422.99999999999989</v>
      </c>
      <c r="W149" s="55">
        <f ca="1">V149*VLOOKUP(TODAY(),'UF HOY'!$A$2:$B$36,2,0)</f>
        <v>16807456.619999997</v>
      </c>
      <c r="X149" s="56">
        <f>Datos!$K$5</f>
        <v>36</v>
      </c>
      <c r="Y149" s="55">
        <f ca="1">IF((W149-Datos!$U$5-1000000)/X149&gt;0,(W149-Datos!$U$5-1000000)/X149,0)</f>
        <v>436318.23944444436</v>
      </c>
      <c r="Z149" s="56">
        <f>Datos!$K$5</f>
        <v>36</v>
      </c>
      <c r="AA149" s="55">
        <f ca="1">IF((W149-Datos!$U$5-1000000-O149*3%*VLOOKUP(TODAY(),'UF HOY'!$A$2:$B$36,2,0))/Z149&gt;0,(W149-Datos!$U$5-1000000-O149*3%*VLOOKUP(TODAY(),'UF HOY'!$A$2:$B$36,2,0))/Z149,0)</f>
        <v>296256.10094444436</v>
      </c>
      <c r="AB149" s="130" cm="1">
        <f t="array" ref="AB149">_xlfn.IFS(AND(L149=0,M149=0),VLOOKUP(D149,Datos!$F$31:$I$33,2,0),AND(L149=0,M149&gt;0),VLOOKUP(D149,Datos!$F$32:$I$33,2,0),AND(L149&gt;0,M149=0),VLOOKUP(D149,Datos!$F$32:$I$33,3,0),AND(L149&gt;0,M149&gt;0),VLOOKUP(D149,Datos!$F$31:$I$33,4,0))</f>
        <v>550000</v>
      </c>
      <c r="AC149" s="55">
        <f ca="1">(S149*PMT(Datos!$G$15,Datos!$G$14,-O149,,)*VLOOKUP(TODAY(),'UF HOY'!$A$2:$B$36,2,0)/12)+VLOOKUP(TODAY(),'UF HOY'!$A$2:$B$36,2,0)</f>
        <v>687718.52834620839</v>
      </c>
      <c r="AD149" s="55">
        <f t="shared" ca="1" si="34"/>
        <v>-137718.52834620839</v>
      </c>
      <c r="AE149" s="93">
        <f t="shared" ca="1" si="35"/>
        <v>2750874.1133848336</v>
      </c>
    </row>
    <row r="150" spans="1:31" s="3" customFormat="1" x14ac:dyDescent="0.35">
      <c r="A150" s="94" t="s">
        <v>346</v>
      </c>
      <c r="B150" s="80">
        <v>2807</v>
      </c>
      <c r="C150" s="48" t="s">
        <v>36</v>
      </c>
      <c r="D150" s="48" t="s">
        <v>37</v>
      </c>
      <c r="E150" s="48"/>
      <c r="F150" s="48">
        <v>34.17</v>
      </c>
      <c r="G150" s="48">
        <v>2.8</v>
      </c>
      <c r="H150" s="82">
        <f t="shared" si="24"/>
        <v>35.57</v>
      </c>
      <c r="I150" s="82">
        <f t="shared" si="25"/>
        <v>36.97</v>
      </c>
      <c r="J150" s="49">
        <v>4230</v>
      </c>
      <c r="K150" s="304">
        <v>0</v>
      </c>
      <c r="L150" s="48">
        <v>0</v>
      </c>
      <c r="M150" s="48">
        <v>0</v>
      </c>
      <c r="N150" s="49">
        <f t="shared" si="26"/>
        <v>3807</v>
      </c>
      <c r="O150" s="52">
        <f t="shared" si="27"/>
        <v>4230</v>
      </c>
      <c r="P150" s="79">
        <f t="shared" si="28"/>
        <v>107.02839471464718</v>
      </c>
      <c r="Q150" s="53">
        <f t="shared" si="29"/>
        <v>0.1</v>
      </c>
      <c r="R150" s="54">
        <f t="shared" si="30"/>
        <v>423</v>
      </c>
      <c r="S150" s="53">
        <v>0.8</v>
      </c>
      <c r="T150" s="54">
        <f t="shared" si="31"/>
        <v>3384</v>
      </c>
      <c r="U150" s="53">
        <f t="shared" si="32"/>
        <v>9.9999999999999978E-2</v>
      </c>
      <c r="V150" s="54">
        <f t="shared" si="33"/>
        <v>422.99999999999989</v>
      </c>
      <c r="W150" s="55">
        <f ca="1">V150*VLOOKUP(TODAY(),'UF HOY'!$A$2:$B$36,2,0)</f>
        <v>16807456.619999997</v>
      </c>
      <c r="X150" s="56">
        <f>Datos!$K$5</f>
        <v>36</v>
      </c>
      <c r="Y150" s="55">
        <f ca="1">IF((W150-Datos!$U$5-1000000)/X150&gt;0,(W150-Datos!$U$5-1000000)/X150,0)</f>
        <v>436318.23944444436</v>
      </c>
      <c r="Z150" s="56">
        <f>Datos!$K$5</f>
        <v>36</v>
      </c>
      <c r="AA150" s="55">
        <f ca="1">IF((W150-Datos!$U$5-1000000-O150*3%*VLOOKUP(TODAY(),'UF HOY'!$A$2:$B$36,2,0))/Z150&gt;0,(W150-Datos!$U$5-1000000-O150*3%*VLOOKUP(TODAY(),'UF HOY'!$A$2:$B$36,2,0))/Z150,0)</f>
        <v>296256.10094444436</v>
      </c>
      <c r="AB150" s="130" cm="1">
        <f t="array" ref="AB150">_xlfn.IFS(AND(L150=0,M150=0),VLOOKUP(D150,Datos!$F$31:$I$33,2,0),AND(L150=0,M150&gt;0),VLOOKUP(D150,Datos!$F$32:$I$33,2,0),AND(L150&gt;0,M150=0),VLOOKUP(D150,Datos!$F$32:$I$33,3,0),AND(L150&gt;0,M150&gt;0),VLOOKUP(D150,Datos!$F$31:$I$33,4,0))</f>
        <v>550000</v>
      </c>
      <c r="AC150" s="55">
        <f ca="1">(S150*PMT(Datos!$G$15,Datos!$G$14,-O150,,)*VLOOKUP(TODAY(),'UF HOY'!$A$2:$B$36,2,0)/12)+VLOOKUP(TODAY(),'UF HOY'!$A$2:$B$36,2,0)</f>
        <v>687718.52834620839</v>
      </c>
      <c r="AD150" s="55">
        <f t="shared" ca="1" si="34"/>
        <v>-137718.52834620839</v>
      </c>
      <c r="AE150" s="93">
        <f t="shared" ca="1" si="35"/>
        <v>2750874.1133848336</v>
      </c>
    </row>
    <row r="151" spans="1:31" s="3" customFormat="1" x14ac:dyDescent="0.35">
      <c r="A151" s="94" t="s">
        <v>346</v>
      </c>
      <c r="B151" s="80">
        <v>1209</v>
      </c>
      <c r="C151" s="48" t="s">
        <v>40</v>
      </c>
      <c r="D151" s="48" t="s">
        <v>37</v>
      </c>
      <c r="E151" s="48"/>
      <c r="F151" s="48">
        <v>34.369999999999997</v>
      </c>
      <c r="G151" s="48">
        <v>3.28</v>
      </c>
      <c r="H151" s="82">
        <f t="shared" si="24"/>
        <v>36.01</v>
      </c>
      <c r="I151" s="82">
        <f t="shared" si="25"/>
        <v>37.65</v>
      </c>
      <c r="J151" s="49">
        <v>4235</v>
      </c>
      <c r="K151" s="304">
        <v>0</v>
      </c>
      <c r="L151" s="48">
        <v>0</v>
      </c>
      <c r="M151" s="48">
        <v>0</v>
      </c>
      <c r="N151" s="49">
        <f t="shared" si="26"/>
        <v>3811.5</v>
      </c>
      <c r="O151" s="52">
        <f t="shared" si="27"/>
        <v>4235</v>
      </c>
      <c r="P151" s="79">
        <f t="shared" si="28"/>
        <v>105.84559844487643</v>
      </c>
      <c r="Q151" s="53">
        <f t="shared" si="29"/>
        <v>0.1</v>
      </c>
      <c r="R151" s="54">
        <f t="shared" si="30"/>
        <v>423.5</v>
      </c>
      <c r="S151" s="53">
        <v>0.8</v>
      </c>
      <c r="T151" s="54">
        <f t="shared" si="31"/>
        <v>3388</v>
      </c>
      <c r="U151" s="53">
        <f t="shared" si="32"/>
        <v>9.9999999999999978E-2</v>
      </c>
      <c r="V151" s="54">
        <f t="shared" si="33"/>
        <v>423.49999999999989</v>
      </c>
      <c r="W151" s="55">
        <f ca="1">V151*VLOOKUP(TODAY(),'UF HOY'!$A$2:$B$36,2,0)</f>
        <v>16827323.589999996</v>
      </c>
      <c r="X151" s="56">
        <f>Datos!$K$5</f>
        <v>36</v>
      </c>
      <c r="Y151" s="55">
        <f ca="1">IF((W151-Datos!$U$5-1000000)/X151&gt;0,(W151-Datos!$U$5-1000000)/X151,0)</f>
        <v>436870.09972222213</v>
      </c>
      <c r="Z151" s="56">
        <f>Datos!$K$5</f>
        <v>36</v>
      </c>
      <c r="AA151" s="55">
        <f ca="1">IF((W151-Datos!$U$5-1000000-O151*3%*VLOOKUP(TODAY(),'UF HOY'!$A$2:$B$36,2,0))/Z151&gt;0,(W151-Datos!$U$5-1000000-O151*3%*VLOOKUP(TODAY(),'UF HOY'!$A$2:$B$36,2,0))/Z151,0)</f>
        <v>296642.40313888877</v>
      </c>
      <c r="AB151" s="130" cm="1">
        <f t="array" ref="AB151">_xlfn.IFS(AND(L151=0,M151=0),VLOOKUP(D151,Datos!$F$31:$I$33,2,0),AND(L151=0,M151&gt;0),VLOOKUP(D151,Datos!$F$32:$I$33,2,0),AND(L151&gt;0,M151=0),VLOOKUP(D151,Datos!$F$32:$I$33,3,0),AND(L151&gt;0,M151&gt;0),VLOOKUP(D151,Datos!$F$31:$I$33,4,0))</f>
        <v>550000</v>
      </c>
      <c r="AC151" s="55">
        <f ca="1">(S151*PMT(Datos!$G$15,Datos!$G$14,-O151,,)*VLOOKUP(TODAY(),'UF HOY'!$A$2:$B$36,2,0)/12)+VLOOKUP(TODAY(),'UF HOY'!$A$2:$B$36,2,0)</f>
        <v>688484.46757593215</v>
      </c>
      <c r="AD151" s="55">
        <f t="shared" ca="1" si="34"/>
        <v>-138484.46757593215</v>
      </c>
      <c r="AE151" s="93">
        <f t="shared" ca="1" si="35"/>
        <v>2753937.8703037286</v>
      </c>
    </row>
    <row r="152" spans="1:31" s="3" customFormat="1" x14ac:dyDescent="0.35">
      <c r="A152" s="94" t="s">
        <v>346</v>
      </c>
      <c r="B152" s="80">
        <v>1210</v>
      </c>
      <c r="C152" s="48" t="s">
        <v>40</v>
      </c>
      <c r="D152" s="48" t="s">
        <v>37</v>
      </c>
      <c r="E152" s="48"/>
      <c r="F152" s="48">
        <v>34.369999999999997</v>
      </c>
      <c r="G152" s="48">
        <v>3.28</v>
      </c>
      <c r="H152" s="82">
        <f t="shared" si="24"/>
        <v>36.01</v>
      </c>
      <c r="I152" s="82">
        <f t="shared" si="25"/>
        <v>37.65</v>
      </c>
      <c r="J152" s="49">
        <v>4235</v>
      </c>
      <c r="K152" s="304">
        <v>0</v>
      </c>
      <c r="L152" s="48">
        <v>0</v>
      </c>
      <c r="M152" s="48">
        <v>0</v>
      </c>
      <c r="N152" s="49">
        <f t="shared" si="26"/>
        <v>3811.5</v>
      </c>
      <c r="O152" s="52">
        <f t="shared" si="27"/>
        <v>4235</v>
      </c>
      <c r="P152" s="79">
        <f t="shared" si="28"/>
        <v>105.84559844487643</v>
      </c>
      <c r="Q152" s="53">
        <f t="shared" si="29"/>
        <v>0.1</v>
      </c>
      <c r="R152" s="54">
        <f t="shared" si="30"/>
        <v>423.5</v>
      </c>
      <c r="S152" s="53">
        <v>0.8</v>
      </c>
      <c r="T152" s="54">
        <f t="shared" si="31"/>
        <v>3388</v>
      </c>
      <c r="U152" s="53">
        <f t="shared" si="32"/>
        <v>9.9999999999999978E-2</v>
      </c>
      <c r="V152" s="54">
        <f t="shared" si="33"/>
        <v>423.49999999999989</v>
      </c>
      <c r="W152" s="55">
        <f ca="1">V152*VLOOKUP(TODAY(),'UF HOY'!$A$2:$B$36,2,0)</f>
        <v>16827323.589999996</v>
      </c>
      <c r="X152" s="56">
        <f>Datos!$K$5</f>
        <v>36</v>
      </c>
      <c r="Y152" s="55">
        <f ca="1">IF((W152-Datos!$U$5-1000000)/X152&gt;0,(W152-Datos!$U$5-1000000)/X152,0)</f>
        <v>436870.09972222213</v>
      </c>
      <c r="Z152" s="56">
        <f>Datos!$K$5</f>
        <v>36</v>
      </c>
      <c r="AA152" s="55">
        <f ca="1">IF((W152-Datos!$U$5-1000000-O152*3%*VLOOKUP(TODAY(),'UF HOY'!$A$2:$B$36,2,0))/Z152&gt;0,(W152-Datos!$U$5-1000000-O152*3%*VLOOKUP(TODAY(),'UF HOY'!$A$2:$B$36,2,0))/Z152,0)</f>
        <v>296642.40313888877</v>
      </c>
      <c r="AB152" s="130" cm="1">
        <f t="array" ref="AB152">_xlfn.IFS(AND(L152=0,M152=0),VLOOKUP(D152,Datos!$F$31:$I$33,2,0),AND(L152=0,M152&gt;0),VLOOKUP(D152,Datos!$F$32:$I$33,2,0),AND(L152&gt;0,M152=0),VLOOKUP(D152,Datos!$F$32:$I$33,3,0),AND(L152&gt;0,M152&gt;0),VLOOKUP(D152,Datos!$F$31:$I$33,4,0))</f>
        <v>550000</v>
      </c>
      <c r="AC152" s="55">
        <f ca="1">(S152*PMT(Datos!$G$15,Datos!$G$14,-O152,,)*VLOOKUP(TODAY(),'UF HOY'!$A$2:$B$36,2,0)/12)+VLOOKUP(TODAY(),'UF HOY'!$A$2:$B$36,2,0)</f>
        <v>688484.46757593215</v>
      </c>
      <c r="AD152" s="55">
        <f t="shared" ca="1" si="34"/>
        <v>-138484.46757593215</v>
      </c>
      <c r="AE152" s="93">
        <f t="shared" ca="1" si="35"/>
        <v>2753937.8703037286</v>
      </c>
    </row>
    <row r="153" spans="1:31" s="3" customFormat="1" x14ac:dyDescent="0.35">
      <c r="A153" s="94" t="s">
        <v>346</v>
      </c>
      <c r="B153" s="80">
        <v>1602</v>
      </c>
      <c r="C153" s="48" t="s">
        <v>38</v>
      </c>
      <c r="D153" s="48" t="s">
        <v>37</v>
      </c>
      <c r="E153" s="48"/>
      <c r="F153" s="48">
        <v>34.89</v>
      </c>
      <c r="G153" s="48">
        <v>2.83</v>
      </c>
      <c r="H153" s="82">
        <f t="shared" si="24"/>
        <v>36.305</v>
      </c>
      <c r="I153" s="82">
        <f t="shared" si="25"/>
        <v>37.72</v>
      </c>
      <c r="J153" s="49">
        <v>4235</v>
      </c>
      <c r="K153" s="304">
        <v>0</v>
      </c>
      <c r="L153" s="48">
        <v>0</v>
      </c>
      <c r="M153" s="48">
        <v>0</v>
      </c>
      <c r="N153" s="49">
        <f t="shared" si="26"/>
        <v>3811.5</v>
      </c>
      <c r="O153" s="52">
        <f t="shared" si="27"/>
        <v>4235</v>
      </c>
      <c r="P153" s="79">
        <f t="shared" si="28"/>
        <v>104.98553918193086</v>
      </c>
      <c r="Q153" s="53">
        <f t="shared" si="29"/>
        <v>0.1</v>
      </c>
      <c r="R153" s="54">
        <f t="shared" si="30"/>
        <v>423.5</v>
      </c>
      <c r="S153" s="53">
        <v>0.8</v>
      </c>
      <c r="T153" s="54">
        <f t="shared" si="31"/>
        <v>3388</v>
      </c>
      <c r="U153" s="53">
        <f t="shared" si="32"/>
        <v>9.9999999999999978E-2</v>
      </c>
      <c r="V153" s="54">
        <f t="shared" si="33"/>
        <v>423.49999999999989</v>
      </c>
      <c r="W153" s="55">
        <f ca="1">V153*VLOOKUP(TODAY(),'UF HOY'!$A$2:$B$36,2,0)</f>
        <v>16827323.589999996</v>
      </c>
      <c r="X153" s="56">
        <f>Datos!$K$5</f>
        <v>36</v>
      </c>
      <c r="Y153" s="55">
        <f ca="1">IF((W153-Datos!$U$5-1000000)/X153&gt;0,(W153-Datos!$U$5-1000000)/X153,0)</f>
        <v>436870.09972222213</v>
      </c>
      <c r="Z153" s="56">
        <f>Datos!$K$5</f>
        <v>36</v>
      </c>
      <c r="AA153" s="55">
        <f ca="1">IF((W153-Datos!$U$5-1000000-O153*3%*VLOOKUP(TODAY(),'UF HOY'!$A$2:$B$36,2,0))/Z153&gt;0,(W153-Datos!$U$5-1000000-O153*3%*VLOOKUP(TODAY(),'UF HOY'!$A$2:$B$36,2,0))/Z153,0)</f>
        <v>296642.40313888877</v>
      </c>
      <c r="AB153" s="130" cm="1">
        <f t="array" ref="AB153">_xlfn.IFS(AND(L153=0,M153=0),VLOOKUP(D153,Datos!$F$31:$I$33,2,0),AND(L153=0,M153&gt;0),VLOOKUP(D153,Datos!$F$32:$I$33,2,0),AND(L153&gt;0,M153=0),VLOOKUP(D153,Datos!$F$32:$I$33,3,0),AND(L153&gt;0,M153&gt;0),VLOOKUP(D153,Datos!$F$31:$I$33,4,0))</f>
        <v>550000</v>
      </c>
      <c r="AC153" s="55">
        <f ca="1">(S153*PMT(Datos!$G$15,Datos!$G$14,-O153,,)*VLOOKUP(TODAY(),'UF HOY'!$A$2:$B$36,2,0)/12)+VLOOKUP(TODAY(),'UF HOY'!$A$2:$B$36,2,0)</f>
        <v>688484.46757593215</v>
      </c>
      <c r="AD153" s="55">
        <f t="shared" ca="1" si="34"/>
        <v>-138484.46757593215</v>
      </c>
      <c r="AE153" s="93">
        <f t="shared" ca="1" si="35"/>
        <v>2753937.8703037286</v>
      </c>
    </row>
    <row r="154" spans="1:31" s="3" customFormat="1" x14ac:dyDescent="0.35">
      <c r="A154" s="94" t="s">
        <v>346</v>
      </c>
      <c r="B154" s="80">
        <v>1703</v>
      </c>
      <c r="C154" s="48" t="s">
        <v>38</v>
      </c>
      <c r="D154" s="48" t="s">
        <v>37</v>
      </c>
      <c r="E154" s="48"/>
      <c r="F154" s="48">
        <v>34.79</v>
      </c>
      <c r="G154" s="48">
        <v>2.83</v>
      </c>
      <c r="H154" s="82">
        <f t="shared" si="24"/>
        <v>36.204999999999998</v>
      </c>
      <c r="I154" s="82">
        <f t="shared" si="25"/>
        <v>37.619999999999997</v>
      </c>
      <c r="J154" s="49">
        <v>4235</v>
      </c>
      <c r="K154" s="304">
        <v>0</v>
      </c>
      <c r="L154" s="48">
        <v>0</v>
      </c>
      <c r="M154" s="48">
        <v>0</v>
      </c>
      <c r="N154" s="49">
        <f t="shared" si="26"/>
        <v>3811.5</v>
      </c>
      <c r="O154" s="52">
        <f t="shared" si="27"/>
        <v>4235</v>
      </c>
      <c r="P154" s="79">
        <f t="shared" si="28"/>
        <v>105.27551443170833</v>
      </c>
      <c r="Q154" s="53">
        <f t="shared" si="29"/>
        <v>0.1</v>
      </c>
      <c r="R154" s="54">
        <f t="shared" si="30"/>
        <v>423.5</v>
      </c>
      <c r="S154" s="53">
        <v>0.8</v>
      </c>
      <c r="T154" s="54">
        <f t="shared" si="31"/>
        <v>3388</v>
      </c>
      <c r="U154" s="53">
        <f t="shared" si="32"/>
        <v>9.9999999999999978E-2</v>
      </c>
      <c r="V154" s="54">
        <f t="shared" si="33"/>
        <v>423.49999999999989</v>
      </c>
      <c r="W154" s="55">
        <f ca="1">V154*VLOOKUP(TODAY(),'UF HOY'!$A$2:$B$36,2,0)</f>
        <v>16827323.589999996</v>
      </c>
      <c r="X154" s="56">
        <f>Datos!$K$5</f>
        <v>36</v>
      </c>
      <c r="Y154" s="55">
        <f ca="1">IF((W154-Datos!$U$5-1000000)/X154&gt;0,(W154-Datos!$U$5-1000000)/X154,0)</f>
        <v>436870.09972222213</v>
      </c>
      <c r="Z154" s="56">
        <f>Datos!$K$5</f>
        <v>36</v>
      </c>
      <c r="AA154" s="55">
        <f ca="1">IF((W154-Datos!$U$5-1000000-O154*3%*VLOOKUP(TODAY(),'UF HOY'!$A$2:$B$36,2,0))/Z154&gt;0,(W154-Datos!$U$5-1000000-O154*3%*VLOOKUP(TODAY(),'UF HOY'!$A$2:$B$36,2,0))/Z154,0)</f>
        <v>296642.40313888877</v>
      </c>
      <c r="AB154" s="130" cm="1">
        <f t="array" ref="AB154">_xlfn.IFS(AND(L154=0,M154=0),VLOOKUP(D154,Datos!$F$31:$I$33,2,0),AND(L154=0,M154&gt;0),VLOOKUP(D154,Datos!$F$32:$I$33,2,0),AND(L154&gt;0,M154=0),VLOOKUP(D154,Datos!$F$32:$I$33,3,0),AND(L154&gt;0,M154&gt;0),VLOOKUP(D154,Datos!$F$31:$I$33,4,0))</f>
        <v>550000</v>
      </c>
      <c r="AC154" s="55">
        <f ca="1">(S154*PMT(Datos!$G$15,Datos!$G$14,-O154,,)*VLOOKUP(TODAY(),'UF HOY'!$A$2:$B$36,2,0)/12)+VLOOKUP(TODAY(),'UF HOY'!$A$2:$B$36,2,0)</f>
        <v>688484.46757593215</v>
      </c>
      <c r="AD154" s="55">
        <f t="shared" ca="1" si="34"/>
        <v>-138484.46757593215</v>
      </c>
      <c r="AE154" s="93">
        <f t="shared" ca="1" si="35"/>
        <v>2753937.8703037286</v>
      </c>
    </row>
    <row r="155" spans="1:31" s="3" customFormat="1" x14ac:dyDescent="0.35">
      <c r="A155" s="94" t="s">
        <v>346</v>
      </c>
      <c r="B155" s="80">
        <v>2113</v>
      </c>
      <c r="C155" s="48" t="s">
        <v>41</v>
      </c>
      <c r="D155" s="48" t="s">
        <v>37</v>
      </c>
      <c r="E155" s="48"/>
      <c r="F155" s="48">
        <v>34.69</v>
      </c>
      <c r="G155" s="48">
        <v>2.93</v>
      </c>
      <c r="H155" s="82">
        <f t="shared" si="24"/>
        <v>36.155000000000001</v>
      </c>
      <c r="I155" s="82">
        <f t="shared" si="25"/>
        <v>37.619999999999997</v>
      </c>
      <c r="J155" s="49">
        <v>4235</v>
      </c>
      <c r="K155" s="304">
        <v>0</v>
      </c>
      <c r="L155" s="48">
        <v>0</v>
      </c>
      <c r="M155" s="48">
        <v>0</v>
      </c>
      <c r="N155" s="49">
        <f t="shared" si="26"/>
        <v>3811.5</v>
      </c>
      <c r="O155" s="52">
        <f t="shared" si="27"/>
        <v>4235</v>
      </c>
      <c r="P155" s="79">
        <f t="shared" si="28"/>
        <v>105.42110358180058</v>
      </c>
      <c r="Q155" s="53">
        <f t="shared" si="29"/>
        <v>0.1</v>
      </c>
      <c r="R155" s="54">
        <f t="shared" si="30"/>
        <v>423.5</v>
      </c>
      <c r="S155" s="53">
        <v>0.8</v>
      </c>
      <c r="T155" s="54">
        <f t="shared" si="31"/>
        <v>3388</v>
      </c>
      <c r="U155" s="53">
        <f t="shared" si="32"/>
        <v>9.9999999999999978E-2</v>
      </c>
      <c r="V155" s="54">
        <f t="shared" si="33"/>
        <v>423.49999999999989</v>
      </c>
      <c r="W155" s="55">
        <f ca="1">V155*VLOOKUP(TODAY(),'UF HOY'!$A$2:$B$36,2,0)</f>
        <v>16827323.589999996</v>
      </c>
      <c r="X155" s="56">
        <f>Datos!$K$5</f>
        <v>36</v>
      </c>
      <c r="Y155" s="55">
        <f ca="1">IF((W155-Datos!$U$5-1000000)/X155&gt;0,(W155-Datos!$U$5-1000000)/X155,0)</f>
        <v>436870.09972222213</v>
      </c>
      <c r="Z155" s="56">
        <f>Datos!$K$5</f>
        <v>36</v>
      </c>
      <c r="AA155" s="55">
        <f ca="1">IF((W155-Datos!$U$5-1000000-O155*3%*VLOOKUP(TODAY(),'UF HOY'!$A$2:$B$36,2,0))/Z155&gt;0,(W155-Datos!$U$5-1000000-O155*3%*VLOOKUP(TODAY(),'UF HOY'!$A$2:$B$36,2,0))/Z155,0)</f>
        <v>296642.40313888877</v>
      </c>
      <c r="AB155" s="130" cm="1">
        <f t="array" ref="AB155">_xlfn.IFS(AND(L155=0,M155=0),VLOOKUP(D155,Datos!$F$31:$I$33,2,0),AND(L155=0,M155&gt;0),VLOOKUP(D155,Datos!$F$32:$I$33,2,0),AND(L155&gt;0,M155=0),VLOOKUP(D155,Datos!$F$32:$I$33,3,0),AND(L155&gt;0,M155&gt;0),VLOOKUP(D155,Datos!$F$31:$I$33,4,0))</f>
        <v>550000</v>
      </c>
      <c r="AC155" s="55">
        <f ca="1">(S155*PMT(Datos!$G$15,Datos!$G$14,-O155,,)*VLOOKUP(TODAY(),'UF HOY'!$A$2:$B$36,2,0)/12)+VLOOKUP(TODAY(),'UF HOY'!$A$2:$B$36,2,0)</f>
        <v>688484.46757593215</v>
      </c>
      <c r="AD155" s="55">
        <f t="shared" ca="1" si="34"/>
        <v>-138484.46757593215</v>
      </c>
      <c r="AE155" s="93">
        <f t="shared" ca="1" si="35"/>
        <v>2753937.8703037286</v>
      </c>
    </row>
    <row r="156" spans="1:31" s="3" customFormat="1" x14ac:dyDescent="0.35">
      <c r="A156" s="94" t="s">
        <v>346</v>
      </c>
      <c r="B156" s="80">
        <v>2806</v>
      </c>
      <c r="C156" s="48" t="s">
        <v>36</v>
      </c>
      <c r="D156" s="48" t="s">
        <v>37</v>
      </c>
      <c r="E156" s="48"/>
      <c r="F156" s="48">
        <v>34.19</v>
      </c>
      <c r="G156" s="48">
        <v>2.8</v>
      </c>
      <c r="H156" s="82">
        <f t="shared" si="24"/>
        <v>35.589999999999996</v>
      </c>
      <c r="I156" s="82">
        <f t="shared" si="25"/>
        <v>36.989999999999995</v>
      </c>
      <c r="J156" s="49">
        <v>4235</v>
      </c>
      <c r="K156" s="304">
        <v>0</v>
      </c>
      <c r="L156" s="48">
        <v>0</v>
      </c>
      <c r="M156" s="48">
        <v>0</v>
      </c>
      <c r="N156" s="49">
        <f t="shared" si="26"/>
        <v>3811.5</v>
      </c>
      <c r="O156" s="52">
        <f t="shared" si="27"/>
        <v>4235</v>
      </c>
      <c r="P156" s="79">
        <f t="shared" si="28"/>
        <v>107.09468951952798</v>
      </c>
      <c r="Q156" s="53">
        <f t="shared" si="29"/>
        <v>0.1</v>
      </c>
      <c r="R156" s="54">
        <f t="shared" si="30"/>
        <v>423.5</v>
      </c>
      <c r="S156" s="53">
        <v>0.8</v>
      </c>
      <c r="T156" s="54">
        <f t="shared" si="31"/>
        <v>3388</v>
      </c>
      <c r="U156" s="53">
        <f t="shared" si="32"/>
        <v>9.9999999999999978E-2</v>
      </c>
      <c r="V156" s="54">
        <f t="shared" si="33"/>
        <v>423.49999999999989</v>
      </c>
      <c r="W156" s="55">
        <f ca="1">V156*VLOOKUP(TODAY(),'UF HOY'!$A$2:$B$36,2,0)</f>
        <v>16827323.589999996</v>
      </c>
      <c r="X156" s="56">
        <f>Datos!$K$5</f>
        <v>36</v>
      </c>
      <c r="Y156" s="55">
        <f ca="1">IF((W156-Datos!$U$5-1000000)/X156&gt;0,(W156-Datos!$U$5-1000000)/X156,0)</f>
        <v>436870.09972222213</v>
      </c>
      <c r="Z156" s="56">
        <f>Datos!$K$5</f>
        <v>36</v>
      </c>
      <c r="AA156" s="55">
        <f ca="1">IF((W156-Datos!$U$5-1000000-O156*3%*VLOOKUP(TODAY(),'UF HOY'!$A$2:$B$36,2,0))/Z156&gt;0,(W156-Datos!$U$5-1000000-O156*3%*VLOOKUP(TODAY(),'UF HOY'!$A$2:$B$36,2,0))/Z156,0)</f>
        <v>296642.40313888877</v>
      </c>
      <c r="AB156" s="130" cm="1">
        <f t="array" ref="AB156">_xlfn.IFS(AND(L156=0,M156=0),VLOOKUP(D156,Datos!$F$31:$I$33,2,0),AND(L156=0,M156&gt;0),VLOOKUP(D156,Datos!$F$32:$I$33,2,0),AND(L156&gt;0,M156=0),VLOOKUP(D156,Datos!$F$32:$I$33,3,0),AND(L156&gt;0,M156&gt;0),VLOOKUP(D156,Datos!$F$31:$I$33,4,0))</f>
        <v>550000</v>
      </c>
      <c r="AC156" s="55">
        <f ca="1">(S156*PMT(Datos!$G$15,Datos!$G$14,-O156,,)*VLOOKUP(TODAY(),'UF HOY'!$A$2:$B$36,2,0)/12)+VLOOKUP(TODAY(),'UF HOY'!$A$2:$B$36,2,0)</f>
        <v>688484.46757593215</v>
      </c>
      <c r="AD156" s="55">
        <f t="shared" ca="1" si="34"/>
        <v>-138484.46757593215</v>
      </c>
      <c r="AE156" s="93">
        <f t="shared" ca="1" si="35"/>
        <v>2753937.8703037286</v>
      </c>
    </row>
    <row r="157" spans="1:31" s="3" customFormat="1" x14ac:dyDescent="0.35">
      <c r="A157" s="94" t="s">
        <v>346</v>
      </c>
      <c r="B157" s="80">
        <v>405</v>
      </c>
      <c r="C157" s="48" t="s">
        <v>38</v>
      </c>
      <c r="D157" s="48" t="s">
        <v>37</v>
      </c>
      <c r="E157" s="48"/>
      <c r="F157" s="48">
        <v>36.15</v>
      </c>
      <c r="G157" s="48">
        <v>2.82</v>
      </c>
      <c r="H157" s="82">
        <f t="shared" si="24"/>
        <v>37.559999999999995</v>
      </c>
      <c r="I157" s="82">
        <f t="shared" si="25"/>
        <v>38.97</v>
      </c>
      <c r="J157" s="49">
        <v>4240</v>
      </c>
      <c r="K157" s="304">
        <v>0</v>
      </c>
      <c r="L157" s="48">
        <v>0</v>
      </c>
      <c r="M157" s="48">
        <v>0</v>
      </c>
      <c r="N157" s="49">
        <f t="shared" si="26"/>
        <v>3816</v>
      </c>
      <c r="O157" s="52">
        <f t="shared" si="27"/>
        <v>4240</v>
      </c>
      <c r="P157" s="79">
        <f t="shared" si="28"/>
        <v>101.59744408945689</v>
      </c>
      <c r="Q157" s="53">
        <f t="shared" si="29"/>
        <v>0.1</v>
      </c>
      <c r="R157" s="54">
        <f t="shared" si="30"/>
        <v>424</v>
      </c>
      <c r="S157" s="53">
        <v>0.8</v>
      </c>
      <c r="T157" s="54">
        <f t="shared" si="31"/>
        <v>3392</v>
      </c>
      <c r="U157" s="53">
        <f t="shared" si="32"/>
        <v>9.9999999999999978E-2</v>
      </c>
      <c r="V157" s="54">
        <f t="shared" si="33"/>
        <v>423.99999999999989</v>
      </c>
      <c r="W157" s="55">
        <f ca="1">V157*VLOOKUP(TODAY(),'UF HOY'!$A$2:$B$36,2,0)</f>
        <v>16847190.559999995</v>
      </c>
      <c r="X157" s="56">
        <f>Datos!$K$5</f>
        <v>36</v>
      </c>
      <c r="Y157" s="55">
        <f ca="1">IF((W157-Datos!$U$5-1000000)/X157&gt;0,(W157-Datos!$U$5-1000000)/X157,0)</f>
        <v>437421.95999999985</v>
      </c>
      <c r="Z157" s="56">
        <f>Datos!$K$5</f>
        <v>36</v>
      </c>
      <c r="AA157" s="55">
        <f ca="1">IF((W157-Datos!$U$5-1000000-O157*3%*VLOOKUP(TODAY(),'UF HOY'!$A$2:$B$36,2,0))/Z157&gt;0,(W157-Datos!$U$5-1000000-O157*3%*VLOOKUP(TODAY(),'UF HOY'!$A$2:$B$36,2,0))/Z157,0)</f>
        <v>297028.70533333323</v>
      </c>
      <c r="AB157" s="130" cm="1">
        <f t="array" ref="AB157">_xlfn.IFS(AND(L157=0,M157=0),VLOOKUP(D157,Datos!$F$31:$I$33,2,0),AND(L157=0,M157&gt;0),VLOOKUP(D157,Datos!$F$32:$I$33,2,0),AND(L157&gt;0,M157=0),VLOOKUP(D157,Datos!$F$32:$I$33,3,0),AND(L157&gt;0,M157&gt;0),VLOOKUP(D157,Datos!$F$31:$I$33,4,0))</f>
        <v>550000</v>
      </c>
      <c r="AC157" s="55">
        <f ca="1">(S157*PMT(Datos!$G$15,Datos!$G$14,-O157,,)*VLOOKUP(TODAY(),'UF HOY'!$A$2:$B$36,2,0)/12)+VLOOKUP(TODAY(),'UF HOY'!$A$2:$B$36,2,0)</f>
        <v>689250.40680565569</v>
      </c>
      <c r="AD157" s="55">
        <f t="shared" ca="1" si="34"/>
        <v>-139250.40680565569</v>
      </c>
      <c r="AE157" s="93">
        <f t="shared" ca="1" si="35"/>
        <v>2757001.6272226227</v>
      </c>
    </row>
    <row r="158" spans="1:31" s="3" customFormat="1" x14ac:dyDescent="0.35">
      <c r="A158" s="94" t="s">
        <v>346</v>
      </c>
      <c r="B158" s="80">
        <v>701</v>
      </c>
      <c r="C158" s="48" t="s">
        <v>41</v>
      </c>
      <c r="D158" s="48" t="s">
        <v>37</v>
      </c>
      <c r="E158" s="48"/>
      <c r="F158" s="48">
        <v>35.619999999999997</v>
      </c>
      <c r="G158" s="48">
        <v>2.96</v>
      </c>
      <c r="H158" s="82">
        <f t="shared" si="24"/>
        <v>37.099999999999994</v>
      </c>
      <c r="I158" s="82">
        <f t="shared" si="25"/>
        <v>38.58</v>
      </c>
      <c r="J158" s="49">
        <v>4240</v>
      </c>
      <c r="K158" s="304">
        <v>0</v>
      </c>
      <c r="L158" s="48">
        <v>0</v>
      </c>
      <c r="M158" s="48">
        <v>0</v>
      </c>
      <c r="N158" s="49">
        <f t="shared" si="26"/>
        <v>3816</v>
      </c>
      <c r="O158" s="52">
        <f t="shared" si="27"/>
        <v>4240</v>
      </c>
      <c r="P158" s="79">
        <f t="shared" si="28"/>
        <v>102.85714285714288</v>
      </c>
      <c r="Q158" s="53">
        <f t="shared" si="29"/>
        <v>0.1</v>
      </c>
      <c r="R158" s="54">
        <f t="shared" si="30"/>
        <v>424</v>
      </c>
      <c r="S158" s="53">
        <v>0.8</v>
      </c>
      <c r="T158" s="54">
        <f t="shared" si="31"/>
        <v>3392</v>
      </c>
      <c r="U158" s="53">
        <f t="shared" si="32"/>
        <v>9.9999999999999978E-2</v>
      </c>
      <c r="V158" s="54">
        <f t="shared" si="33"/>
        <v>423.99999999999989</v>
      </c>
      <c r="W158" s="55">
        <f ca="1">V158*VLOOKUP(TODAY(),'UF HOY'!$A$2:$B$36,2,0)</f>
        <v>16847190.559999995</v>
      </c>
      <c r="X158" s="56">
        <f>Datos!$K$5</f>
        <v>36</v>
      </c>
      <c r="Y158" s="55">
        <f ca="1">IF((W158-Datos!$U$5-1000000)/X158&gt;0,(W158-Datos!$U$5-1000000)/X158,0)</f>
        <v>437421.95999999985</v>
      </c>
      <c r="Z158" s="56">
        <f>Datos!$K$5</f>
        <v>36</v>
      </c>
      <c r="AA158" s="55">
        <f ca="1">IF((W158-Datos!$U$5-1000000-O158*3%*VLOOKUP(TODAY(),'UF HOY'!$A$2:$B$36,2,0))/Z158&gt;0,(W158-Datos!$U$5-1000000-O158*3%*VLOOKUP(TODAY(),'UF HOY'!$A$2:$B$36,2,0))/Z158,0)</f>
        <v>297028.70533333323</v>
      </c>
      <c r="AB158" s="130" cm="1">
        <f t="array" ref="AB158">_xlfn.IFS(AND(L158=0,M158=0),VLOOKUP(D158,Datos!$F$31:$I$33,2,0),AND(L158=0,M158&gt;0),VLOOKUP(D158,Datos!$F$32:$I$33,2,0),AND(L158&gt;0,M158=0),VLOOKUP(D158,Datos!$F$32:$I$33,3,0),AND(L158&gt;0,M158&gt;0),VLOOKUP(D158,Datos!$F$31:$I$33,4,0))</f>
        <v>550000</v>
      </c>
      <c r="AC158" s="55">
        <f ca="1">(S158*PMT(Datos!$G$15,Datos!$G$14,-O158,,)*VLOOKUP(TODAY(),'UF HOY'!$A$2:$B$36,2,0)/12)+VLOOKUP(TODAY(),'UF HOY'!$A$2:$B$36,2,0)</f>
        <v>689250.40680565569</v>
      </c>
      <c r="AD158" s="55">
        <f t="shared" ca="1" si="34"/>
        <v>-139250.40680565569</v>
      </c>
      <c r="AE158" s="93">
        <f t="shared" ca="1" si="35"/>
        <v>2757001.6272226227</v>
      </c>
    </row>
    <row r="159" spans="1:31" s="3" customFormat="1" x14ac:dyDescent="0.35">
      <c r="A159" s="94" t="s">
        <v>346</v>
      </c>
      <c r="B159" s="80">
        <v>2212</v>
      </c>
      <c r="C159" s="48" t="s">
        <v>41</v>
      </c>
      <c r="D159" s="48" t="s">
        <v>37</v>
      </c>
      <c r="E159" s="48"/>
      <c r="F159" s="48">
        <v>34.630000000000003</v>
      </c>
      <c r="G159" s="48">
        <v>2.93</v>
      </c>
      <c r="H159" s="82">
        <f t="shared" si="24"/>
        <v>36.095000000000006</v>
      </c>
      <c r="I159" s="82">
        <f t="shared" si="25"/>
        <v>37.56</v>
      </c>
      <c r="J159" s="49">
        <v>4240</v>
      </c>
      <c r="K159" s="304">
        <v>0</v>
      </c>
      <c r="L159" s="48">
        <v>0</v>
      </c>
      <c r="M159" s="48">
        <v>0</v>
      </c>
      <c r="N159" s="49">
        <f t="shared" si="26"/>
        <v>3816</v>
      </c>
      <c r="O159" s="52">
        <f t="shared" si="27"/>
        <v>4240</v>
      </c>
      <c r="P159" s="79">
        <f t="shared" si="28"/>
        <v>105.72101399085744</v>
      </c>
      <c r="Q159" s="53">
        <f t="shared" si="29"/>
        <v>0.1</v>
      </c>
      <c r="R159" s="54">
        <f t="shared" si="30"/>
        <v>424</v>
      </c>
      <c r="S159" s="53">
        <v>0.8</v>
      </c>
      <c r="T159" s="54">
        <f t="shared" si="31"/>
        <v>3392</v>
      </c>
      <c r="U159" s="53">
        <f t="shared" si="32"/>
        <v>9.9999999999999978E-2</v>
      </c>
      <c r="V159" s="54">
        <f t="shared" si="33"/>
        <v>423.99999999999989</v>
      </c>
      <c r="W159" s="55">
        <f ca="1">V159*VLOOKUP(TODAY(),'UF HOY'!$A$2:$B$36,2,0)</f>
        <v>16847190.559999995</v>
      </c>
      <c r="X159" s="56">
        <f>Datos!$K$5</f>
        <v>36</v>
      </c>
      <c r="Y159" s="55">
        <f ca="1">IF((W159-Datos!$U$5-1000000)/X159&gt;0,(W159-Datos!$U$5-1000000)/X159,0)</f>
        <v>437421.95999999985</v>
      </c>
      <c r="Z159" s="56">
        <f>Datos!$K$5</f>
        <v>36</v>
      </c>
      <c r="AA159" s="55">
        <f ca="1">IF((W159-Datos!$U$5-1000000-O159*3%*VLOOKUP(TODAY(),'UF HOY'!$A$2:$B$36,2,0))/Z159&gt;0,(W159-Datos!$U$5-1000000-O159*3%*VLOOKUP(TODAY(),'UF HOY'!$A$2:$B$36,2,0))/Z159,0)</f>
        <v>297028.70533333323</v>
      </c>
      <c r="AB159" s="130" cm="1">
        <f t="array" ref="AB159">_xlfn.IFS(AND(L159=0,M159=0),VLOOKUP(D159,Datos!$F$31:$I$33,2,0),AND(L159=0,M159&gt;0),VLOOKUP(D159,Datos!$F$32:$I$33,2,0),AND(L159&gt;0,M159=0),VLOOKUP(D159,Datos!$F$32:$I$33,3,0),AND(L159&gt;0,M159&gt;0),VLOOKUP(D159,Datos!$F$31:$I$33,4,0))</f>
        <v>550000</v>
      </c>
      <c r="AC159" s="55">
        <f ca="1">(S159*PMT(Datos!$G$15,Datos!$G$14,-O159,,)*VLOOKUP(TODAY(),'UF HOY'!$A$2:$B$36,2,0)/12)+VLOOKUP(TODAY(),'UF HOY'!$A$2:$B$36,2,0)</f>
        <v>689250.40680565569</v>
      </c>
      <c r="AD159" s="55">
        <f t="shared" ca="1" si="34"/>
        <v>-139250.40680565569</v>
      </c>
      <c r="AE159" s="93">
        <f t="shared" ca="1" si="35"/>
        <v>2757001.6272226227</v>
      </c>
    </row>
    <row r="160" spans="1:31" s="3" customFormat="1" x14ac:dyDescent="0.35">
      <c r="A160" s="94" t="s">
        <v>346</v>
      </c>
      <c r="B160" s="80">
        <v>1309</v>
      </c>
      <c r="C160" s="48" t="s">
        <v>40</v>
      </c>
      <c r="D160" s="48" t="s">
        <v>37</v>
      </c>
      <c r="E160" s="48"/>
      <c r="F160" s="48">
        <v>34.369999999999997</v>
      </c>
      <c r="G160" s="48">
        <v>3.28</v>
      </c>
      <c r="H160" s="82">
        <f t="shared" si="24"/>
        <v>36.01</v>
      </c>
      <c r="I160" s="82">
        <f t="shared" si="25"/>
        <v>37.65</v>
      </c>
      <c r="J160" s="49">
        <v>4245</v>
      </c>
      <c r="K160" s="304">
        <v>0</v>
      </c>
      <c r="L160" s="48">
        <v>0</v>
      </c>
      <c r="M160" s="48">
        <v>0</v>
      </c>
      <c r="N160" s="49">
        <f t="shared" si="26"/>
        <v>3820.5</v>
      </c>
      <c r="O160" s="52">
        <f t="shared" si="27"/>
        <v>4245</v>
      </c>
      <c r="P160" s="79">
        <f t="shared" si="28"/>
        <v>106.09552901971675</v>
      </c>
      <c r="Q160" s="53">
        <f t="shared" si="29"/>
        <v>0.1</v>
      </c>
      <c r="R160" s="54">
        <f t="shared" si="30"/>
        <v>424.5</v>
      </c>
      <c r="S160" s="53">
        <v>0.8</v>
      </c>
      <c r="T160" s="54">
        <f t="shared" si="31"/>
        <v>3396</v>
      </c>
      <c r="U160" s="53">
        <f t="shared" si="32"/>
        <v>9.9999999999999978E-2</v>
      </c>
      <c r="V160" s="54">
        <f t="shared" si="33"/>
        <v>424.49999999999989</v>
      </c>
      <c r="W160" s="55">
        <f ca="1">V160*VLOOKUP(TODAY(),'UF HOY'!$A$2:$B$36,2,0)</f>
        <v>16867057.529999997</v>
      </c>
      <c r="X160" s="56">
        <f>Datos!$K$5</f>
        <v>36</v>
      </c>
      <c r="Y160" s="55">
        <f ca="1">IF((W160-Datos!$U$5-1000000)/X160&gt;0,(W160-Datos!$U$5-1000000)/X160,0)</f>
        <v>437973.82027777773</v>
      </c>
      <c r="Z160" s="56">
        <f>Datos!$K$5</f>
        <v>36</v>
      </c>
      <c r="AA160" s="55">
        <f ca="1">IF((W160-Datos!$U$5-1000000-O160*3%*VLOOKUP(TODAY(),'UF HOY'!$A$2:$B$36,2,0))/Z160&gt;0,(W160-Datos!$U$5-1000000-O160*3%*VLOOKUP(TODAY(),'UF HOY'!$A$2:$B$36,2,0))/Z160,0)</f>
        <v>297415.00752777769</v>
      </c>
      <c r="AB160" s="130" cm="1">
        <f t="array" ref="AB160">_xlfn.IFS(AND(L160=0,M160=0),VLOOKUP(D160,Datos!$F$31:$I$33,2,0),AND(L160=0,M160&gt;0),VLOOKUP(D160,Datos!$F$32:$I$33,2,0),AND(L160&gt;0,M160=0),VLOOKUP(D160,Datos!$F$32:$I$33,3,0),AND(L160&gt;0,M160&gt;0),VLOOKUP(D160,Datos!$F$31:$I$33,4,0))</f>
        <v>550000</v>
      </c>
      <c r="AC160" s="55">
        <f ca="1">(S160*PMT(Datos!$G$15,Datos!$G$14,-O160,,)*VLOOKUP(TODAY(),'UF HOY'!$A$2:$B$36,2,0)/12)+VLOOKUP(TODAY(),'UF HOY'!$A$2:$B$36,2,0)</f>
        <v>690016.34603537945</v>
      </c>
      <c r="AD160" s="55">
        <f t="shared" ca="1" si="34"/>
        <v>-140016.34603537945</v>
      </c>
      <c r="AE160" s="93">
        <f t="shared" ca="1" si="35"/>
        <v>2760065.3841415178</v>
      </c>
    </row>
    <row r="161" spans="1:31" s="3" customFormat="1" x14ac:dyDescent="0.35">
      <c r="A161" s="94" t="s">
        <v>346</v>
      </c>
      <c r="B161" s="80">
        <v>1310</v>
      </c>
      <c r="C161" s="48" t="s">
        <v>40</v>
      </c>
      <c r="D161" s="48" t="s">
        <v>37</v>
      </c>
      <c r="E161" s="48"/>
      <c r="F161" s="48">
        <v>34.369999999999997</v>
      </c>
      <c r="G161" s="48">
        <v>3.28</v>
      </c>
      <c r="H161" s="82">
        <f t="shared" si="24"/>
        <v>36.01</v>
      </c>
      <c r="I161" s="82">
        <f t="shared" si="25"/>
        <v>37.65</v>
      </c>
      <c r="J161" s="49">
        <v>4245</v>
      </c>
      <c r="K161" s="304">
        <v>0</v>
      </c>
      <c r="L161" s="48">
        <v>0</v>
      </c>
      <c r="M161" s="48">
        <v>0</v>
      </c>
      <c r="N161" s="49">
        <f t="shared" si="26"/>
        <v>3820.5</v>
      </c>
      <c r="O161" s="52">
        <f t="shared" si="27"/>
        <v>4245</v>
      </c>
      <c r="P161" s="79">
        <f t="shared" si="28"/>
        <v>106.09552901971675</v>
      </c>
      <c r="Q161" s="53">
        <f t="shared" si="29"/>
        <v>0.1</v>
      </c>
      <c r="R161" s="54">
        <f t="shared" si="30"/>
        <v>424.5</v>
      </c>
      <c r="S161" s="53">
        <v>0.8</v>
      </c>
      <c r="T161" s="54">
        <f t="shared" si="31"/>
        <v>3396</v>
      </c>
      <c r="U161" s="53">
        <f t="shared" si="32"/>
        <v>9.9999999999999978E-2</v>
      </c>
      <c r="V161" s="54">
        <f t="shared" si="33"/>
        <v>424.49999999999989</v>
      </c>
      <c r="W161" s="55">
        <f ca="1">V161*VLOOKUP(TODAY(),'UF HOY'!$A$2:$B$36,2,0)</f>
        <v>16867057.529999997</v>
      </c>
      <c r="X161" s="56">
        <f>Datos!$K$5</f>
        <v>36</v>
      </c>
      <c r="Y161" s="55">
        <f ca="1">IF((W161-Datos!$U$5-1000000)/X161&gt;0,(W161-Datos!$U$5-1000000)/X161,0)</f>
        <v>437973.82027777773</v>
      </c>
      <c r="Z161" s="56">
        <f>Datos!$K$5</f>
        <v>36</v>
      </c>
      <c r="AA161" s="55">
        <f ca="1">IF((W161-Datos!$U$5-1000000-O161*3%*VLOOKUP(TODAY(),'UF HOY'!$A$2:$B$36,2,0))/Z161&gt;0,(W161-Datos!$U$5-1000000-O161*3%*VLOOKUP(TODAY(),'UF HOY'!$A$2:$B$36,2,0))/Z161,0)</f>
        <v>297415.00752777769</v>
      </c>
      <c r="AB161" s="130" cm="1">
        <f t="array" ref="AB161">_xlfn.IFS(AND(L161=0,M161=0),VLOOKUP(D161,Datos!$F$31:$I$33,2,0),AND(L161=0,M161&gt;0),VLOOKUP(D161,Datos!$F$32:$I$33,2,0),AND(L161&gt;0,M161=0),VLOOKUP(D161,Datos!$F$32:$I$33,3,0),AND(L161&gt;0,M161&gt;0),VLOOKUP(D161,Datos!$F$31:$I$33,4,0))</f>
        <v>550000</v>
      </c>
      <c r="AC161" s="55">
        <f ca="1">(S161*PMT(Datos!$G$15,Datos!$G$14,-O161,,)*VLOOKUP(TODAY(),'UF HOY'!$A$2:$B$36,2,0)/12)+VLOOKUP(TODAY(),'UF HOY'!$A$2:$B$36,2,0)</f>
        <v>690016.34603537945</v>
      </c>
      <c r="AD161" s="55">
        <f t="shared" ca="1" si="34"/>
        <v>-140016.34603537945</v>
      </c>
      <c r="AE161" s="93">
        <f t="shared" ca="1" si="35"/>
        <v>2760065.3841415178</v>
      </c>
    </row>
    <row r="162" spans="1:31" s="3" customFormat="1" x14ac:dyDescent="0.35">
      <c r="A162" s="94" t="s">
        <v>346</v>
      </c>
      <c r="B162" s="80">
        <v>1804</v>
      </c>
      <c r="C162" s="48" t="s">
        <v>38</v>
      </c>
      <c r="D162" s="48" t="s">
        <v>37</v>
      </c>
      <c r="E162" s="48"/>
      <c r="F162" s="48">
        <v>34.74</v>
      </c>
      <c r="G162" s="48">
        <v>2.86</v>
      </c>
      <c r="H162" s="82">
        <f t="shared" si="24"/>
        <v>36.17</v>
      </c>
      <c r="I162" s="82">
        <f t="shared" si="25"/>
        <v>37.6</v>
      </c>
      <c r="J162" s="49">
        <v>4245</v>
      </c>
      <c r="K162" s="304">
        <v>0</v>
      </c>
      <c r="L162" s="48">
        <v>0</v>
      </c>
      <c r="M162" s="48">
        <v>0</v>
      </c>
      <c r="N162" s="49">
        <f t="shared" si="26"/>
        <v>3820.5</v>
      </c>
      <c r="O162" s="52">
        <f t="shared" si="27"/>
        <v>4245</v>
      </c>
      <c r="P162" s="79">
        <f t="shared" si="28"/>
        <v>105.62620956593862</v>
      </c>
      <c r="Q162" s="53">
        <f t="shared" si="29"/>
        <v>0.1</v>
      </c>
      <c r="R162" s="54">
        <f t="shared" si="30"/>
        <v>424.5</v>
      </c>
      <c r="S162" s="53">
        <v>0.8</v>
      </c>
      <c r="T162" s="54">
        <f t="shared" si="31"/>
        <v>3396</v>
      </c>
      <c r="U162" s="53">
        <f t="shared" si="32"/>
        <v>9.9999999999999978E-2</v>
      </c>
      <c r="V162" s="54">
        <f t="shared" si="33"/>
        <v>424.49999999999989</v>
      </c>
      <c r="W162" s="55">
        <f ca="1">V162*VLOOKUP(TODAY(),'UF HOY'!$A$2:$B$36,2,0)</f>
        <v>16867057.529999997</v>
      </c>
      <c r="X162" s="56">
        <f>Datos!$K$5</f>
        <v>36</v>
      </c>
      <c r="Y162" s="55">
        <f ca="1">IF((W162-Datos!$U$5-1000000)/X162&gt;0,(W162-Datos!$U$5-1000000)/X162,0)</f>
        <v>437973.82027777773</v>
      </c>
      <c r="Z162" s="56">
        <f>Datos!$K$5</f>
        <v>36</v>
      </c>
      <c r="AA162" s="55">
        <f ca="1">IF((W162-Datos!$U$5-1000000-O162*3%*VLOOKUP(TODAY(),'UF HOY'!$A$2:$B$36,2,0))/Z162&gt;0,(W162-Datos!$U$5-1000000-O162*3%*VLOOKUP(TODAY(),'UF HOY'!$A$2:$B$36,2,0))/Z162,0)</f>
        <v>297415.00752777769</v>
      </c>
      <c r="AB162" s="130" cm="1">
        <f t="array" ref="AB162">_xlfn.IFS(AND(L162=0,M162=0),VLOOKUP(D162,Datos!$F$31:$I$33,2,0),AND(L162=0,M162&gt;0),VLOOKUP(D162,Datos!$F$32:$I$33,2,0),AND(L162&gt;0,M162=0),VLOOKUP(D162,Datos!$F$32:$I$33,3,0),AND(L162&gt;0,M162&gt;0),VLOOKUP(D162,Datos!$F$31:$I$33,4,0))</f>
        <v>550000</v>
      </c>
      <c r="AC162" s="55">
        <f ca="1">(S162*PMT(Datos!$G$15,Datos!$G$14,-O162,,)*VLOOKUP(TODAY(),'UF HOY'!$A$2:$B$36,2,0)/12)+VLOOKUP(TODAY(),'UF HOY'!$A$2:$B$36,2,0)</f>
        <v>690016.34603537945</v>
      </c>
      <c r="AD162" s="55">
        <f t="shared" ca="1" si="34"/>
        <v>-140016.34603537945</v>
      </c>
      <c r="AE162" s="93">
        <f t="shared" ca="1" si="35"/>
        <v>2760065.3841415178</v>
      </c>
    </row>
    <row r="163" spans="1:31" s="3" customFormat="1" x14ac:dyDescent="0.35">
      <c r="A163" s="94" t="s">
        <v>346</v>
      </c>
      <c r="B163" s="80">
        <v>1702</v>
      </c>
      <c r="C163" s="48" t="s">
        <v>38</v>
      </c>
      <c r="D163" s="48" t="s">
        <v>37</v>
      </c>
      <c r="E163" s="48"/>
      <c r="F163" s="48">
        <v>34.89</v>
      </c>
      <c r="G163" s="48">
        <v>2.83</v>
      </c>
      <c r="H163" s="82">
        <f t="shared" si="24"/>
        <v>36.305</v>
      </c>
      <c r="I163" s="82">
        <f t="shared" si="25"/>
        <v>37.72</v>
      </c>
      <c r="J163" s="49">
        <v>4250</v>
      </c>
      <c r="K163" s="304">
        <v>0</v>
      </c>
      <c r="L163" s="48">
        <v>0</v>
      </c>
      <c r="M163" s="48">
        <v>0</v>
      </c>
      <c r="N163" s="49">
        <f t="shared" si="26"/>
        <v>3825</v>
      </c>
      <c r="O163" s="52">
        <f t="shared" si="27"/>
        <v>4250</v>
      </c>
      <c r="P163" s="79">
        <f t="shared" si="28"/>
        <v>105.35738878942294</v>
      </c>
      <c r="Q163" s="53">
        <f t="shared" si="29"/>
        <v>0.1</v>
      </c>
      <c r="R163" s="54">
        <f t="shared" si="30"/>
        <v>425</v>
      </c>
      <c r="S163" s="53">
        <v>0.8</v>
      </c>
      <c r="T163" s="54">
        <f t="shared" si="31"/>
        <v>3400</v>
      </c>
      <c r="U163" s="53">
        <f t="shared" si="32"/>
        <v>9.9999999999999978E-2</v>
      </c>
      <c r="V163" s="54">
        <f t="shared" si="33"/>
        <v>424.99999999999989</v>
      </c>
      <c r="W163" s="55">
        <f ca="1">V163*VLOOKUP(TODAY(),'UF HOY'!$A$2:$B$36,2,0)</f>
        <v>16886924.499999996</v>
      </c>
      <c r="X163" s="56">
        <f>Datos!$K$5</f>
        <v>36</v>
      </c>
      <c r="Y163" s="55">
        <f ca="1">IF((W163-Datos!$U$5-1000000)/X163&gt;0,(W163-Datos!$U$5-1000000)/X163,0)</f>
        <v>438525.68055555545</v>
      </c>
      <c r="Z163" s="56">
        <f>Datos!$K$5</f>
        <v>36</v>
      </c>
      <c r="AA163" s="55">
        <f ca="1">IF((W163-Datos!$U$5-1000000-O163*3%*VLOOKUP(TODAY(),'UF HOY'!$A$2:$B$36,2,0))/Z163&gt;0,(W163-Datos!$U$5-1000000-O163*3%*VLOOKUP(TODAY(),'UF HOY'!$A$2:$B$36,2,0))/Z163,0)</f>
        <v>297801.3097222221</v>
      </c>
      <c r="AB163" s="130" cm="1">
        <f t="array" ref="AB163">_xlfn.IFS(AND(L163=0,M163=0),VLOOKUP(D163,Datos!$F$31:$I$33,2,0),AND(L163=0,M163&gt;0),VLOOKUP(D163,Datos!$F$32:$I$33,2,0),AND(L163&gt;0,M163=0),VLOOKUP(D163,Datos!$F$32:$I$33,3,0),AND(L163&gt;0,M163&gt;0),VLOOKUP(D163,Datos!$F$31:$I$33,4,0))</f>
        <v>550000</v>
      </c>
      <c r="AC163" s="55">
        <f ca="1">(S163*PMT(Datos!$G$15,Datos!$G$14,-O163,,)*VLOOKUP(TODAY(),'UF HOY'!$A$2:$B$36,2,0)/12)+VLOOKUP(TODAY(),'UF HOY'!$A$2:$B$36,2,0)</f>
        <v>690782.28526510298</v>
      </c>
      <c r="AD163" s="55">
        <f t="shared" ca="1" si="34"/>
        <v>-140782.28526510298</v>
      </c>
      <c r="AE163" s="93">
        <f t="shared" ca="1" si="35"/>
        <v>2763129.1410604119</v>
      </c>
    </row>
    <row r="164" spans="1:31" s="3" customFormat="1" x14ac:dyDescent="0.35">
      <c r="A164" s="94" t="s">
        <v>346</v>
      </c>
      <c r="B164" s="80">
        <v>1803</v>
      </c>
      <c r="C164" s="48" t="s">
        <v>38</v>
      </c>
      <c r="D164" s="48" t="s">
        <v>37</v>
      </c>
      <c r="E164" s="48"/>
      <c r="F164" s="48">
        <v>34.79</v>
      </c>
      <c r="G164" s="48">
        <v>2.83</v>
      </c>
      <c r="H164" s="82">
        <f t="shared" si="24"/>
        <v>36.204999999999998</v>
      </c>
      <c r="I164" s="82">
        <f t="shared" si="25"/>
        <v>37.619999999999997</v>
      </c>
      <c r="J164" s="49">
        <v>4250</v>
      </c>
      <c r="K164" s="304">
        <v>0</v>
      </c>
      <c r="L164" s="48">
        <v>0</v>
      </c>
      <c r="M164" s="48">
        <v>0</v>
      </c>
      <c r="N164" s="49">
        <f t="shared" si="26"/>
        <v>3825</v>
      </c>
      <c r="O164" s="52">
        <f t="shared" si="27"/>
        <v>4250</v>
      </c>
      <c r="P164" s="79">
        <f t="shared" si="28"/>
        <v>105.6483911062008</v>
      </c>
      <c r="Q164" s="53">
        <f t="shared" si="29"/>
        <v>0.1</v>
      </c>
      <c r="R164" s="54">
        <f t="shared" si="30"/>
        <v>425</v>
      </c>
      <c r="S164" s="53">
        <v>0.8</v>
      </c>
      <c r="T164" s="54">
        <f t="shared" si="31"/>
        <v>3400</v>
      </c>
      <c r="U164" s="53">
        <f t="shared" si="32"/>
        <v>9.9999999999999978E-2</v>
      </c>
      <c r="V164" s="54">
        <f t="shared" si="33"/>
        <v>424.99999999999989</v>
      </c>
      <c r="W164" s="55">
        <f ca="1">V164*VLOOKUP(TODAY(),'UF HOY'!$A$2:$B$36,2,0)</f>
        <v>16886924.499999996</v>
      </c>
      <c r="X164" s="56">
        <f>Datos!$K$5</f>
        <v>36</v>
      </c>
      <c r="Y164" s="55">
        <f ca="1">IF((W164-Datos!$U$5-1000000)/X164&gt;0,(W164-Datos!$U$5-1000000)/X164,0)</f>
        <v>438525.68055555545</v>
      </c>
      <c r="Z164" s="56">
        <f>Datos!$K$5</f>
        <v>36</v>
      </c>
      <c r="AA164" s="55">
        <f ca="1">IF((W164-Datos!$U$5-1000000-O164*3%*VLOOKUP(TODAY(),'UF HOY'!$A$2:$B$36,2,0))/Z164&gt;0,(W164-Datos!$U$5-1000000-O164*3%*VLOOKUP(TODAY(),'UF HOY'!$A$2:$B$36,2,0))/Z164,0)</f>
        <v>297801.3097222221</v>
      </c>
      <c r="AB164" s="130" cm="1">
        <f t="array" ref="AB164">_xlfn.IFS(AND(L164=0,M164=0),VLOOKUP(D164,Datos!$F$31:$I$33,2,0),AND(L164=0,M164&gt;0),VLOOKUP(D164,Datos!$F$32:$I$33,2,0),AND(L164&gt;0,M164=0),VLOOKUP(D164,Datos!$F$32:$I$33,3,0),AND(L164&gt;0,M164&gt;0),VLOOKUP(D164,Datos!$F$31:$I$33,4,0))</f>
        <v>550000</v>
      </c>
      <c r="AC164" s="55">
        <f ca="1">(S164*PMT(Datos!$G$15,Datos!$G$14,-O164,,)*VLOOKUP(TODAY(),'UF HOY'!$A$2:$B$36,2,0)/12)+VLOOKUP(TODAY(),'UF HOY'!$A$2:$B$36,2,0)</f>
        <v>690782.28526510298</v>
      </c>
      <c r="AD164" s="55">
        <f t="shared" ca="1" si="34"/>
        <v>-140782.28526510298</v>
      </c>
      <c r="AE164" s="93">
        <f t="shared" ca="1" si="35"/>
        <v>2763129.1410604119</v>
      </c>
    </row>
    <row r="165" spans="1:31" s="3" customFormat="1" x14ac:dyDescent="0.35">
      <c r="A165" s="94" t="s">
        <v>346</v>
      </c>
      <c r="B165" s="80">
        <v>2213</v>
      </c>
      <c r="C165" s="48" t="s">
        <v>41</v>
      </c>
      <c r="D165" s="48" t="s">
        <v>37</v>
      </c>
      <c r="E165" s="48"/>
      <c r="F165" s="48">
        <v>34.69</v>
      </c>
      <c r="G165" s="48">
        <v>2.93</v>
      </c>
      <c r="H165" s="82">
        <f t="shared" si="24"/>
        <v>36.155000000000001</v>
      </c>
      <c r="I165" s="82">
        <f t="shared" si="25"/>
        <v>37.619999999999997</v>
      </c>
      <c r="J165" s="49">
        <v>4250</v>
      </c>
      <c r="K165" s="304">
        <v>0</v>
      </c>
      <c r="L165" s="48">
        <v>0</v>
      </c>
      <c r="M165" s="48">
        <v>0</v>
      </c>
      <c r="N165" s="49">
        <f t="shared" si="26"/>
        <v>3825</v>
      </c>
      <c r="O165" s="52">
        <f t="shared" si="27"/>
        <v>4250</v>
      </c>
      <c r="P165" s="79">
        <f t="shared" si="28"/>
        <v>105.79449592034297</v>
      </c>
      <c r="Q165" s="53">
        <f t="shared" si="29"/>
        <v>0.1</v>
      </c>
      <c r="R165" s="54">
        <f t="shared" si="30"/>
        <v>425</v>
      </c>
      <c r="S165" s="53">
        <v>0.8</v>
      </c>
      <c r="T165" s="54">
        <f t="shared" si="31"/>
        <v>3400</v>
      </c>
      <c r="U165" s="53">
        <f t="shared" si="32"/>
        <v>9.9999999999999978E-2</v>
      </c>
      <c r="V165" s="54">
        <f t="shared" si="33"/>
        <v>424.99999999999989</v>
      </c>
      <c r="W165" s="55">
        <f ca="1">V165*VLOOKUP(TODAY(),'UF HOY'!$A$2:$B$36,2,0)</f>
        <v>16886924.499999996</v>
      </c>
      <c r="X165" s="56">
        <f>Datos!$K$5</f>
        <v>36</v>
      </c>
      <c r="Y165" s="55">
        <f ca="1">IF((W165-Datos!$U$5-1000000)/X165&gt;0,(W165-Datos!$U$5-1000000)/X165,0)</f>
        <v>438525.68055555545</v>
      </c>
      <c r="Z165" s="56">
        <f>Datos!$K$5</f>
        <v>36</v>
      </c>
      <c r="AA165" s="55">
        <f ca="1">IF((W165-Datos!$U$5-1000000-O165*3%*VLOOKUP(TODAY(),'UF HOY'!$A$2:$B$36,2,0))/Z165&gt;0,(W165-Datos!$U$5-1000000-O165*3%*VLOOKUP(TODAY(),'UF HOY'!$A$2:$B$36,2,0))/Z165,0)</f>
        <v>297801.3097222221</v>
      </c>
      <c r="AB165" s="130" cm="1">
        <f t="array" ref="AB165">_xlfn.IFS(AND(L165=0,M165=0),VLOOKUP(D165,Datos!$F$31:$I$33,2,0),AND(L165=0,M165&gt;0),VLOOKUP(D165,Datos!$F$32:$I$33,2,0),AND(L165&gt;0,M165=0),VLOOKUP(D165,Datos!$F$32:$I$33,3,0),AND(L165&gt;0,M165&gt;0),VLOOKUP(D165,Datos!$F$31:$I$33,4,0))</f>
        <v>550000</v>
      </c>
      <c r="AC165" s="55">
        <f ca="1">(S165*PMT(Datos!$G$15,Datos!$G$14,-O165,,)*VLOOKUP(TODAY(),'UF HOY'!$A$2:$B$36,2,0)/12)+VLOOKUP(TODAY(),'UF HOY'!$A$2:$B$36,2,0)</f>
        <v>690782.28526510298</v>
      </c>
      <c r="AD165" s="55">
        <f t="shared" ca="1" si="34"/>
        <v>-140782.28526510298</v>
      </c>
      <c r="AE165" s="93">
        <f t="shared" ca="1" si="35"/>
        <v>2763129.1410604119</v>
      </c>
    </row>
    <row r="166" spans="1:31" s="3" customFormat="1" x14ac:dyDescent="0.35">
      <c r="A166" s="94" t="s">
        <v>346</v>
      </c>
      <c r="B166" s="80">
        <v>801</v>
      </c>
      <c r="C166" s="48" t="s">
        <v>41</v>
      </c>
      <c r="D166" s="48" t="s">
        <v>37</v>
      </c>
      <c r="E166" s="48"/>
      <c r="F166" s="48">
        <v>35.619999999999997</v>
      </c>
      <c r="G166" s="48">
        <v>2.96</v>
      </c>
      <c r="H166" s="82">
        <f t="shared" si="24"/>
        <v>37.099999999999994</v>
      </c>
      <c r="I166" s="82">
        <f t="shared" si="25"/>
        <v>38.58</v>
      </c>
      <c r="J166" s="49">
        <v>4255</v>
      </c>
      <c r="K166" s="304">
        <v>0</v>
      </c>
      <c r="L166" s="48">
        <v>0</v>
      </c>
      <c r="M166" s="48">
        <v>0</v>
      </c>
      <c r="N166" s="49">
        <f t="shared" si="26"/>
        <v>3829.5</v>
      </c>
      <c r="O166" s="52">
        <f t="shared" si="27"/>
        <v>4255</v>
      </c>
      <c r="P166" s="79">
        <f t="shared" si="28"/>
        <v>103.22102425876012</v>
      </c>
      <c r="Q166" s="53">
        <f t="shared" si="29"/>
        <v>0.1</v>
      </c>
      <c r="R166" s="54">
        <f t="shared" si="30"/>
        <v>425.5</v>
      </c>
      <c r="S166" s="53">
        <v>0.8</v>
      </c>
      <c r="T166" s="54">
        <f t="shared" si="31"/>
        <v>3404</v>
      </c>
      <c r="U166" s="53">
        <f t="shared" si="32"/>
        <v>9.9999999999999978E-2</v>
      </c>
      <c r="V166" s="54">
        <f t="shared" si="33"/>
        <v>425.49999999999989</v>
      </c>
      <c r="W166" s="55">
        <f ca="1">V166*VLOOKUP(TODAY(),'UF HOY'!$A$2:$B$36,2,0)</f>
        <v>16906791.469999995</v>
      </c>
      <c r="X166" s="56">
        <f>Datos!$K$5</f>
        <v>36</v>
      </c>
      <c r="Y166" s="55">
        <f ca="1">IF((W166-Datos!$U$5-1000000)/X166&gt;0,(W166-Datos!$U$5-1000000)/X166,0)</f>
        <v>439077.54083333322</v>
      </c>
      <c r="Z166" s="56">
        <f>Datos!$K$5</f>
        <v>36</v>
      </c>
      <c r="AA166" s="55">
        <f ca="1">IF((W166-Datos!$U$5-1000000-O166*3%*VLOOKUP(TODAY(),'UF HOY'!$A$2:$B$36,2,0))/Z166&gt;0,(W166-Datos!$U$5-1000000-O166*3%*VLOOKUP(TODAY(),'UF HOY'!$A$2:$B$36,2,0))/Z166,0)</f>
        <v>298187.61191666656</v>
      </c>
      <c r="AB166" s="130" cm="1">
        <f t="array" ref="AB166">_xlfn.IFS(AND(L166=0,M166=0),VLOOKUP(D166,Datos!$F$31:$I$33,2,0),AND(L166=0,M166&gt;0),VLOOKUP(D166,Datos!$F$32:$I$33,2,0),AND(L166&gt;0,M166=0),VLOOKUP(D166,Datos!$F$32:$I$33,3,0),AND(L166&gt;0,M166&gt;0),VLOOKUP(D166,Datos!$F$31:$I$33,4,0))</f>
        <v>550000</v>
      </c>
      <c r="AC166" s="55">
        <f ca="1">(S166*PMT(Datos!$G$15,Datos!$G$14,-O166,,)*VLOOKUP(TODAY(),'UF HOY'!$A$2:$B$36,2,0)/12)+VLOOKUP(TODAY(),'UF HOY'!$A$2:$B$36,2,0)</f>
        <v>691548.22449482651</v>
      </c>
      <c r="AD166" s="55">
        <f t="shared" ca="1" si="34"/>
        <v>-141548.22449482651</v>
      </c>
      <c r="AE166" s="93">
        <f t="shared" ca="1" si="35"/>
        <v>2766192.8979793061</v>
      </c>
    </row>
    <row r="167" spans="1:31" s="3" customFormat="1" x14ac:dyDescent="0.35">
      <c r="A167" s="94" t="s">
        <v>346</v>
      </c>
      <c r="B167" s="80">
        <v>1904</v>
      </c>
      <c r="C167" s="48" t="s">
        <v>38</v>
      </c>
      <c r="D167" s="48" t="s">
        <v>37</v>
      </c>
      <c r="E167" s="48"/>
      <c r="F167" s="48">
        <v>34.74</v>
      </c>
      <c r="G167" s="48">
        <v>2.86</v>
      </c>
      <c r="H167" s="82">
        <f t="shared" si="24"/>
        <v>36.17</v>
      </c>
      <c r="I167" s="82">
        <f t="shared" si="25"/>
        <v>37.6</v>
      </c>
      <c r="J167" s="49">
        <v>4255</v>
      </c>
      <c r="K167" s="304">
        <v>0</v>
      </c>
      <c r="L167" s="48">
        <v>0</v>
      </c>
      <c r="M167" s="48">
        <v>0</v>
      </c>
      <c r="N167" s="49">
        <f t="shared" si="26"/>
        <v>3829.5</v>
      </c>
      <c r="O167" s="52">
        <f t="shared" si="27"/>
        <v>4255</v>
      </c>
      <c r="P167" s="79">
        <f t="shared" si="28"/>
        <v>105.87503455902682</v>
      </c>
      <c r="Q167" s="53">
        <f t="shared" si="29"/>
        <v>0.1</v>
      </c>
      <c r="R167" s="54">
        <f t="shared" si="30"/>
        <v>425.5</v>
      </c>
      <c r="S167" s="53">
        <v>0.8</v>
      </c>
      <c r="T167" s="54">
        <f t="shared" si="31"/>
        <v>3404</v>
      </c>
      <c r="U167" s="53">
        <f t="shared" si="32"/>
        <v>9.9999999999999978E-2</v>
      </c>
      <c r="V167" s="54">
        <f t="shared" si="33"/>
        <v>425.49999999999989</v>
      </c>
      <c r="W167" s="55">
        <f ca="1">V167*VLOOKUP(TODAY(),'UF HOY'!$A$2:$B$36,2,0)</f>
        <v>16906791.469999995</v>
      </c>
      <c r="X167" s="56">
        <f>Datos!$K$5</f>
        <v>36</v>
      </c>
      <c r="Y167" s="55">
        <f ca="1">IF((W167-Datos!$U$5-1000000)/X167&gt;0,(W167-Datos!$U$5-1000000)/X167,0)</f>
        <v>439077.54083333322</v>
      </c>
      <c r="Z167" s="56">
        <f>Datos!$K$5</f>
        <v>36</v>
      </c>
      <c r="AA167" s="55">
        <f ca="1">IF((W167-Datos!$U$5-1000000-O167*3%*VLOOKUP(TODAY(),'UF HOY'!$A$2:$B$36,2,0))/Z167&gt;0,(W167-Datos!$U$5-1000000-O167*3%*VLOOKUP(TODAY(),'UF HOY'!$A$2:$B$36,2,0))/Z167,0)</f>
        <v>298187.61191666656</v>
      </c>
      <c r="AB167" s="130" cm="1">
        <f t="array" ref="AB167">_xlfn.IFS(AND(L167=0,M167=0),VLOOKUP(D167,Datos!$F$31:$I$33,2,0),AND(L167=0,M167&gt;0),VLOOKUP(D167,Datos!$F$32:$I$33,2,0),AND(L167&gt;0,M167=0),VLOOKUP(D167,Datos!$F$32:$I$33,3,0),AND(L167&gt;0,M167&gt;0),VLOOKUP(D167,Datos!$F$31:$I$33,4,0))</f>
        <v>550000</v>
      </c>
      <c r="AC167" s="55">
        <f ca="1">(S167*PMT(Datos!$G$15,Datos!$G$14,-O167,,)*VLOOKUP(TODAY(),'UF HOY'!$A$2:$B$36,2,0)/12)+VLOOKUP(TODAY(),'UF HOY'!$A$2:$B$36,2,0)</f>
        <v>691548.22449482651</v>
      </c>
      <c r="AD167" s="55">
        <f t="shared" ca="1" si="34"/>
        <v>-141548.22449482651</v>
      </c>
      <c r="AE167" s="93">
        <f t="shared" ca="1" si="35"/>
        <v>2766192.8979793061</v>
      </c>
    </row>
    <row r="168" spans="1:31" s="3" customFormat="1" x14ac:dyDescent="0.35">
      <c r="A168" s="94" t="s">
        <v>346</v>
      </c>
      <c r="B168" s="80">
        <v>2312</v>
      </c>
      <c r="C168" s="48" t="s">
        <v>41</v>
      </c>
      <c r="D168" s="48" t="s">
        <v>37</v>
      </c>
      <c r="E168" s="48"/>
      <c r="F168" s="48">
        <v>34.630000000000003</v>
      </c>
      <c r="G168" s="48">
        <v>2.93</v>
      </c>
      <c r="H168" s="82">
        <f t="shared" si="24"/>
        <v>36.095000000000006</v>
      </c>
      <c r="I168" s="82">
        <f t="shared" si="25"/>
        <v>37.56</v>
      </c>
      <c r="J168" s="49">
        <v>4255</v>
      </c>
      <c r="K168" s="304">
        <v>0</v>
      </c>
      <c r="L168" s="48">
        <v>0</v>
      </c>
      <c r="M168" s="48">
        <v>0</v>
      </c>
      <c r="N168" s="49">
        <f t="shared" si="26"/>
        <v>3829.5</v>
      </c>
      <c r="O168" s="52">
        <f t="shared" si="27"/>
        <v>4255</v>
      </c>
      <c r="P168" s="79">
        <f t="shared" si="28"/>
        <v>106.09502701205152</v>
      </c>
      <c r="Q168" s="53">
        <f t="shared" si="29"/>
        <v>0.1</v>
      </c>
      <c r="R168" s="54">
        <f t="shared" si="30"/>
        <v>425.5</v>
      </c>
      <c r="S168" s="53">
        <v>0.8</v>
      </c>
      <c r="T168" s="54">
        <f t="shared" si="31"/>
        <v>3404</v>
      </c>
      <c r="U168" s="53">
        <f t="shared" si="32"/>
        <v>9.9999999999999978E-2</v>
      </c>
      <c r="V168" s="54">
        <f t="shared" si="33"/>
        <v>425.49999999999989</v>
      </c>
      <c r="W168" s="55">
        <f ca="1">V168*VLOOKUP(TODAY(),'UF HOY'!$A$2:$B$36,2,0)</f>
        <v>16906791.469999995</v>
      </c>
      <c r="X168" s="56">
        <f>Datos!$K$5</f>
        <v>36</v>
      </c>
      <c r="Y168" s="55">
        <f ca="1">IF((W168-Datos!$U$5-1000000)/X168&gt;0,(W168-Datos!$U$5-1000000)/X168,0)</f>
        <v>439077.54083333322</v>
      </c>
      <c r="Z168" s="56">
        <f>Datos!$K$5</f>
        <v>36</v>
      </c>
      <c r="AA168" s="55">
        <f ca="1">IF((W168-Datos!$U$5-1000000-O168*3%*VLOOKUP(TODAY(),'UF HOY'!$A$2:$B$36,2,0))/Z168&gt;0,(W168-Datos!$U$5-1000000-O168*3%*VLOOKUP(TODAY(),'UF HOY'!$A$2:$B$36,2,0))/Z168,0)</f>
        <v>298187.61191666656</v>
      </c>
      <c r="AB168" s="130" cm="1">
        <f t="array" ref="AB168">_xlfn.IFS(AND(L168=0,M168=0),VLOOKUP(D168,Datos!$F$31:$I$33,2,0),AND(L168=0,M168&gt;0),VLOOKUP(D168,Datos!$F$32:$I$33,2,0),AND(L168&gt;0,M168=0),VLOOKUP(D168,Datos!$F$32:$I$33,3,0),AND(L168&gt;0,M168&gt;0),VLOOKUP(D168,Datos!$F$31:$I$33,4,0))</f>
        <v>550000</v>
      </c>
      <c r="AC168" s="55">
        <f ca="1">(S168*PMT(Datos!$G$15,Datos!$G$14,-O168,,)*VLOOKUP(TODAY(),'UF HOY'!$A$2:$B$36,2,0)/12)+VLOOKUP(TODAY(),'UF HOY'!$A$2:$B$36,2,0)</f>
        <v>691548.22449482651</v>
      </c>
      <c r="AD168" s="55">
        <f t="shared" ca="1" si="34"/>
        <v>-141548.22449482651</v>
      </c>
      <c r="AE168" s="93">
        <f t="shared" ca="1" si="35"/>
        <v>2766192.8979793061</v>
      </c>
    </row>
    <row r="169" spans="1:31" s="3" customFormat="1" x14ac:dyDescent="0.35">
      <c r="A169" s="94" t="s">
        <v>346</v>
      </c>
      <c r="B169" s="80">
        <v>1409</v>
      </c>
      <c r="C169" s="48" t="s">
        <v>40</v>
      </c>
      <c r="D169" s="48" t="s">
        <v>37</v>
      </c>
      <c r="E169" s="48"/>
      <c r="F169" s="48">
        <v>34.369999999999997</v>
      </c>
      <c r="G169" s="48">
        <v>3.28</v>
      </c>
      <c r="H169" s="82">
        <f t="shared" si="24"/>
        <v>36.01</v>
      </c>
      <c r="I169" s="82">
        <f t="shared" si="25"/>
        <v>37.65</v>
      </c>
      <c r="J169" s="49">
        <v>4260</v>
      </c>
      <c r="K169" s="304">
        <v>0</v>
      </c>
      <c r="L169" s="48">
        <v>0</v>
      </c>
      <c r="M169" s="48">
        <v>0</v>
      </c>
      <c r="N169" s="49">
        <f t="shared" si="26"/>
        <v>3834</v>
      </c>
      <c r="O169" s="52">
        <f t="shared" si="27"/>
        <v>4260</v>
      </c>
      <c r="P169" s="79">
        <f t="shared" si="28"/>
        <v>106.47042488197724</v>
      </c>
      <c r="Q169" s="53">
        <f t="shared" si="29"/>
        <v>0.1</v>
      </c>
      <c r="R169" s="54">
        <f t="shared" si="30"/>
        <v>426</v>
      </c>
      <c r="S169" s="53">
        <v>0.8</v>
      </c>
      <c r="T169" s="54">
        <f t="shared" si="31"/>
        <v>3408</v>
      </c>
      <c r="U169" s="53">
        <f t="shared" si="32"/>
        <v>9.9999999999999978E-2</v>
      </c>
      <c r="V169" s="54">
        <f t="shared" si="33"/>
        <v>425.99999999999989</v>
      </c>
      <c r="W169" s="55">
        <f ca="1">V169*VLOOKUP(TODAY(),'UF HOY'!$A$2:$B$36,2,0)</f>
        <v>16926658.439999998</v>
      </c>
      <c r="X169" s="56">
        <f>Datos!$K$5</f>
        <v>36</v>
      </c>
      <c r="Y169" s="55">
        <f ca="1">IF((W169-Datos!$U$5-1000000)/X169&gt;0,(W169-Datos!$U$5-1000000)/X169,0)</f>
        <v>439629.40111111104</v>
      </c>
      <c r="Z169" s="56">
        <f>Datos!$K$5</f>
        <v>36</v>
      </c>
      <c r="AA169" s="55">
        <f ca="1">IF((W169-Datos!$U$5-1000000-O169*3%*VLOOKUP(TODAY(),'UF HOY'!$A$2:$B$36,2,0))/Z169&gt;0,(W169-Datos!$U$5-1000000-O169*3%*VLOOKUP(TODAY(),'UF HOY'!$A$2:$B$36,2,0))/Z169,0)</f>
        <v>298573.91411111102</v>
      </c>
      <c r="AB169" s="130" cm="1">
        <f t="array" ref="AB169">_xlfn.IFS(AND(L169=0,M169=0),VLOOKUP(D169,Datos!$F$31:$I$33,2,0),AND(L169=0,M169&gt;0),VLOOKUP(D169,Datos!$F$32:$I$33,2,0),AND(L169&gt;0,M169=0),VLOOKUP(D169,Datos!$F$32:$I$33,3,0),AND(L169&gt;0,M169&gt;0),VLOOKUP(D169,Datos!$F$31:$I$33,4,0))</f>
        <v>550000</v>
      </c>
      <c r="AC169" s="55">
        <f ca="1">(S169*PMT(Datos!$G$15,Datos!$G$14,-O169,,)*VLOOKUP(TODAY(),'UF HOY'!$A$2:$B$36,2,0)/12)+VLOOKUP(TODAY(),'UF HOY'!$A$2:$B$36,2,0)</f>
        <v>692314.16372455028</v>
      </c>
      <c r="AD169" s="55">
        <f t="shared" ca="1" si="34"/>
        <v>-142314.16372455028</v>
      </c>
      <c r="AE169" s="93">
        <f t="shared" ca="1" si="35"/>
        <v>2769256.6548982011</v>
      </c>
    </row>
    <row r="170" spans="1:31" s="3" customFormat="1" x14ac:dyDescent="0.35">
      <c r="A170" s="94" t="s">
        <v>346</v>
      </c>
      <c r="B170" s="80">
        <v>1410</v>
      </c>
      <c r="C170" s="48" t="s">
        <v>40</v>
      </c>
      <c r="D170" s="48" t="s">
        <v>37</v>
      </c>
      <c r="E170" s="48"/>
      <c r="F170" s="48">
        <v>34.369999999999997</v>
      </c>
      <c r="G170" s="48">
        <v>3.28</v>
      </c>
      <c r="H170" s="82">
        <f t="shared" si="24"/>
        <v>36.01</v>
      </c>
      <c r="I170" s="82">
        <f t="shared" si="25"/>
        <v>37.65</v>
      </c>
      <c r="J170" s="49">
        <v>4260</v>
      </c>
      <c r="K170" s="304">
        <v>0</v>
      </c>
      <c r="L170" s="48">
        <v>0</v>
      </c>
      <c r="M170" s="48">
        <v>0</v>
      </c>
      <c r="N170" s="49">
        <f t="shared" si="26"/>
        <v>3834</v>
      </c>
      <c r="O170" s="52">
        <f t="shared" si="27"/>
        <v>4260</v>
      </c>
      <c r="P170" s="79">
        <f t="shared" si="28"/>
        <v>106.47042488197724</v>
      </c>
      <c r="Q170" s="53">
        <f t="shared" si="29"/>
        <v>0.1</v>
      </c>
      <c r="R170" s="54">
        <f t="shared" si="30"/>
        <v>426</v>
      </c>
      <c r="S170" s="53">
        <v>0.8</v>
      </c>
      <c r="T170" s="54">
        <f t="shared" si="31"/>
        <v>3408</v>
      </c>
      <c r="U170" s="53">
        <f t="shared" si="32"/>
        <v>9.9999999999999978E-2</v>
      </c>
      <c r="V170" s="54">
        <f t="shared" si="33"/>
        <v>425.99999999999989</v>
      </c>
      <c r="W170" s="55">
        <f ca="1">V170*VLOOKUP(TODAY(),'UF HOY'!$A$2:$B$36,2,0)</f>
        <v>16926658.439999998</v>
      </c>
      <c r="X170" s="56">
        <f>Datos!$K$5</f>
        <v>36</v>
      </c>
      <c r="Y170" s="55">
        <f ca="1">IF((W170-Datos!$U$5-1000000)/X170&gt;0,(W170-Datos!$U$5-1000000)/X170,0)</f>
        <v>439629.40111111104</v>
      </c>
      <c r="Z170" s="56">
        <f>Datos!$K$5</f>
        <v>36</v>
      </c>
      <c r="AA170" s="55">
        <f ca="1">IF((W170-Datos!$U$5-1000000-O170*3%*VLOOKUP(TODAY(),'UF HOY'!$A$2:$B$36,2,0))/Z170&gt;0,(W170-Datos!$U$5-1000000-O170*3%*VLOOKUP(TODAY(),'UF HOY'!$A$2:$B$36,2,0))/Z170,0)</f>
        <v>298573.91411111102</v>
      </c>
      <c r="AB170" s="130" cm="1">
        <f t="array" ref="AB170">_xlfn.IFS(AND(L170=0,M170=0),VLOOKUP(D170,Datos!$F$31:$I$33,2,0),AND(L170=0,M170&gt;0),VLOOKUP(D170,Datos!$F$32:$I$33,2,0),AND(L170&gt;0,M170=0),VLOOKUP(D170,Datos!$F$32:$I$33,3,0),AND(L170&gt;0,M170&gt;0),VLOOKUP(D170,Datos!$F$31:$I$33,4,0))</f>
        <v>550000</v>
      </c>
      <c r="AC170" s="55">
        <f ca="1">(S170*PMT(Datos!$G$15,Datos!$G$14,-O170,,)*VLOOKUP(TODAY(),'UF HOY'!$A$2:$B$36,2,0)/12)+VLOOKUP(TODAY(),'UF HOY'!$A$2:$B$36,2,0)</f>
        <v>692314.16372455028</v>
      </c>
      <c r="AD170" s="55">
        <f t="shared" ca="1" si="34"/>
        <v>-142314.16372455028</v>
      </c>
      <c r="AE170" s="93">
        <f t="shared" ca="1" si="35"/>
        <v>2769256.6548982011</v>
      </c>
    </row>
    <row r="171" spans="1:31" s="3" customFormat="1" x14ac:dyDescent="0.35">
      <c r="A171" s="94" t="s">
        <v>346</v>
      </c>
      <c r="B171" s="80">
        <v>1802</v>
      </c>
      <c r="C171" s="48" t="s">
        <v>38</v>
      </c>
      <c r="D171" s="48" t="s">
        <v>37</v>
      </c>
      <c r="E171" s="48"/>
      <c r="F171" s="48">
        <v>34.89</v>
      </c>
      <c r="G171" s="48">
        <v>2.83</v>
      </c>
      <c r="H171" s="82">
        <f t="shared" si="24"/>
        <v>36.305</v>
      </c>
      <c r="I171" s="82">
        <f t="shared" si="25"/>
        <v>37.72</v>
      </c>
      <c r="J171" s="49">
        <v>4260</v>
      </c>
      <c r="K171" s="304">
        <v>0</v>
      </c>
      <c r="L171" s="48">
        <v>0</v>
      </c>
      <c r="M171" s="48">
        <v>0</v>
      </c>
      <c r="N171" s="49">
        <f t="shared" si="26"/>
        <v>3834</v>
      </c>
      <c r="O171" s="52">
        <f t="shared" si="27"/>
        <v>4260</v>
      </c>
      <c r="P171" s="79">
        <f t="shared" si="28"/>
        <v>105.605288527751</v>
      </c>
      <c r="Q171" s="53">
        <f t="shared" si="29"/>
        <v>0.1</v>
      </c>
      <c r="R171" s="54">
        <f t="shared" si="30"/>
        <v>426</v>
      </c>
      <c r="S171" s="53">
        <v>0.8</v>
      </c>
      <c r="T171" s="54">
        <f t="shared" si="31"/>
        <v>3408</v>
      </c>
      <c r="U171" s="53">
        <f t="shared" si="32"/>
        <v>9.9999999999999978E-2</v>
      </c>
      <c r="V171" s="54">
        <f t="shared" si="33"/>
        <v>425.99999999999989</v>
      </c>
      <c r="W171" s="55">
        <f ca="1">V171*VLOOKUP(TODAY(),'UF HOY'!$A$2:$B$36,2,0)</f>
        <v>16926658.439999998</v>
      </c>
      <c r="X171" s="56">
        <f>Datos!$K$5</f>
        <v>36</v>
      </c>
      <c r="Y171" s="55">
        <f ca="1">IF((W171-Datos!$U$5-1000000)/X171&gt;0,(W171-Datos!$U$5-1000000)/X171,0)</f>
        <v>439629.40111111104</v>
      </c>
      <c r="Z171" s="56">
        <f>Datos!$K$5</f>
        <v>36</v>
      </c>
      <c r="AA171" s="55">
        <f ca="1">IF((W171-Datos!$U$5-1000000-O171*3%*VLOOKUP(TODAY(),'UF HOY'!$A$2:$B$36,2,0))/Z171&gt;0,(W171-Datos!$U$5-1000000-O171*3%*VLOOKUP(TODAY(),'UF HOY'!$A$2:$B$36,2,0))/Z171,0)</f>
        <v>298573.91411111102</v>
      </c>
      <c r="AB171" s="130" cm="1">
        <f t="array" ref="AB171">_xlfn.IFS(AND(L171=0,M171=0),VLOOKUP(D171,Datos!$F$31:$I$33,2,0),AND(L171=0,M171&gt;0),VLOOKUP(D171,Datos!$F$32:$I$33,2,0),AND(L171&gt;0,M171=0),VLOOKUP(D171,Datos!$F$32:$I$33,3,0),AND(L171&gt;0,M171&gt;0),VLOOKUP(D171,Datos!$F$31:$I$33,4,0))</f>
        <v>550000</v>
      </c>
      <c r="AC171" s="55">
        <f ca="1">(S171*PMT(Datos!$G$15,Datos!$G$14,-O171,,)*VLOOKUP(TODAY(),'UF HOY'!$A$2:$B$36,2,0)/12)+VLOOKUP(TODAY(),'UF HOY'!$A$2:$B$36,2,0)</f>
        <v>692314.16372455028</v>
      </c>
      <c r="AD171" s="55">
        <f t="shared" ca="1" si="34"/>
        <v>-142314.16372455028</v>
      </c>
      <c r="AE171" s="93">
        <f t="shared" ca="1" si="35"/>
        <v>2769256.6548982011</v>
      </c>
    </row>
    <row r="172" spans="1:31" s="3" customFormat="1" x14ac:dyDescent="0.35">
      <c r="A172" s="94" t="s">
        <v>346</v>
      </c>
      <c r="B172" s="80">
        <v>1903</v>
      </c>
      <c r="C172" s="48" t="s">
        <v>38</v>
      </c>
      <c r="D172" s="48" t="s">
        <v>37</v>
      </c>
      <c r="E172" s="48"/>
      <c r="F172" s="48">
        <v>34.79</v>
      </c>
      <c r="G172" s="48">
        <v>2.83</v>
      </c>
      <c r="H172" s="82">
        <f t="shared" si="24"/>
        <v>36.204999999999998</v>
      </c>
      <c r="I172" s="82">
        <f t="shared" si="25"/>
        <v>37.619999999999997</v>
      </c>
      <c r="J172" s="49">
        <v>4260</v>
      </c>
      <c r="K172" s="304">
        <v>0</v>
      </c>
      <c r="L172" s="48">
        <v>0</v>
      </c>
      <c r="M172" s="48">
        <v>0</v>
      </c>
      <c r="N172" s="49">
        <f t="shared" si="26"/>
        <v>3834</v>
      </c>
      <c r="O172" s="52">
        <f t="shared" si="27"/>
        <v>4260</v>
      </c>
      <c r="P172" s="79">
        <f t="shared" si="28"/>
        <v>105.89697555586245</v>
      </c>
      <c r="Q172" s="53">
        <f t="shared" si="29"/>
        <v>0.1</v>
      </c>
      <c r="R172" s="54">
        <f t="shared" si="30"/>
        <v>426</v>
      </c>
      <c r="S172" s="53">
        <v>0.8</v>
      </c>
      <c r="T172" s="54">
        <f t="shared" si="31"/>
        <v>3408</v>
      </c>
      <c r="U172" s="53">
        <f t="shared" si="32"/>
        <v>9.9999999999999978E-2</v>
      </c>
      <c r="V172" s="54">
        <f t="shared" si="33"/>
        <v>425.99999999999989</v>
      </c>
      <c r="W172" s="55">
        <f ca="1">V172*VLOOKUP(TODAY(),'UF HOY'!$A$2:$B$36,2,0)</f>
        <v>16926658.439999998</v>
      </c>
      <c r="X172" s="56">
        <f>Datos!$K$5</f>
        <v>36</v>
      </c>
      <c r="Y172" s="55">
        <f ca="1">IF((W172-Datos!$U$5-1000000)/X172&gt;0,(W172-Datos!$U$5-1000000)/X172,0)</f>
        <v>439629.40111111104</v>
      </c>
      <c r="Z172" s="56">
        <f>Datos!$K$5</f>
        <v>36</v>
      </c>
      <c r="AA172" s="55">
        <f ca="1">IF((W172-Datos!$U$5-1000000-O172*3%*VLOOKUP(TODAY(),'UF HOY'!$A$2:$B$36,2,0))/Z172&gt;0,(W172-Datos!$U$5-1000000-O172*3%*VLOOKUP(TODAY(),'UF HOY'!$A$2:$B$36,2,0))/Z172,0)</f>
        <v>298573.91411111102</v>
      </c>
      <c r="AB172" s="130" cm="1">
        <f t="array" ref="AB172">_xlfn.IFS(AND(L172=0,M172=0),VLOOKUP(D172,Datos!$F$31:$I$33,2,0),AND(L172=0,M172&gt;0),VLOOKUP(D172,Datos!$F$32:$I$33,2,0),AND(L172&gt;0,M172=0),VLOOKUP(D172,Datos!$F$32:$I$33,3,0),AND(L172&gt;0,M172&gt;0),VLOOKUP(D172,Datos!$F$31:$I$33,4,0))</f>
        <v>550000</v>
      </c>
      <c r="AC172" s="55">
        <f ca="1">(S172*PMT(Datos!$G$15,Datos!$G$14,-O172,,)*VLOOKUP(TODAY(),'UF HOY'!$A$2:$B$36,2,0)/12)+VLOOKUP(TODAY(),'UF HOY'!$A$2:$B$36,2,0)</f>
        <v>692314.16372455028</v>
      </c>
      <c r="AD172" s="55">
        <f t="shared" ca="1" si="34"/>
        <v>-142314.16372455028</v>
      </c>
      <c r="AE172" s="93">
        <f t="shared" ca="1" si="35"/>
        <v>2769256.6548982011</v>
      </c>
    </row>
    <row r="173" spans="1:31" s="3" customFormat="1" x14ac:dyDescent="0.35">
      <c r="A173" s="94" t="s">
        <v>346</v>
      </c>
      <c r="B173" s="80">
        <v>2313</v>
      </c>
      <c r="C173" s="48" t="s">
        <v>41</v>
      </c>
      <c r="D173" s="48" t="s">
        <v>37</v>
      </c>
      <c r="E173" s="48"/>
      <c r="F173" s="48">
        <v>34.69</v>
      </c>
      <c r="G173" s="48">
        <v>2.93</v>
      </c>
      <c r="H173" s="82">
        <f t="shared" si="24"/>
        <v>36.155000000000001</v>
      </c>
      <c r="I173" s="82">
        <f t="shared" si="25"/>
        <v>37.619999999999997</v>
      </c>
      <c r="J173" s="49">
        <v>4260</v>
      </c>
      <c r="K173" s="304">
        <v>0</v>
      </c>
      <c r="L173" s="48">
        <v>0</v>
      </c>
      <c r="M173" s="48">
        <v>0</v>
      </c>
      <c r="N173" s="49">
        <f t="shared" si="26"/>
        <v>3834</v>
      </c>
      <c r="O173" s="52">
        <f t="shared" si="27"/>
        <v>4260</v>
      </c>
      <c r="P173" s="79">
        <f t="shared" si="28"/>
        <v>106.04342414603789</v>
      </c>
      <c r="Q173" s="53">
        <f t="shared" si="29"/>
        <v>0.1</v>
      </c>
      <c r="R173" s="54">
        <f t="shared" si="30"/>
        <v>426</v>
      </c>
      <c r="S173" s="53">
        <v>0.8</v>
      </c>
      <c r="T173" s="54">
        <f t="shared" si="31"/>
        <v>3408</v>
      </c>
      <c r="U173" s="53">
        <f t="shared" si="32"/>
        <v>9.9999999999999978E-2</v>
      </c>
      <c r="V173" s="54">
        <f t="shared" si="33"/>
        <v>425.99999999999989</v>
      </c>
      <c r="W173" s="55">
        <f ca="1">V173*VLOOKUP(TODAY(),'UF HOY'!$A$2:$B$36,2,0)</f>
        <v>16926658.439999998</v>
      </c>
      <c r="X173" s="56">
        <f>Datos!$K$5</f>
        <v>36</v>
      </c>
      <c r="Y173" s="55">
        <f ca="1">IF((W173-Datos!$U$5-1000000)/X173&gt;0,(W173-Datos!$U$5-1000000)/X173,0)</f>
        <v>439629.40111111104</v>
      </c>
      <c r="Z173" s="56">
        <f>Datos!$K$5</f>
        <v>36</v>
      </c>
      <c r="AA173" s="55">
        <f ca="1">IF((W173-Datos!$U$5-1000000-O173*3%*VLOOKUP(TODAY(),'UF HOY'!$A$2:$B$36,2,0))/Z173&gt;0,(W173-Datos!$U$5-1000000-O173*3%*VLOOKUP(TODAY(),'UF HOY'!$A$2:$B$36,2,0))/Z173,0)</f>
        <v>298573.91411111102</v>
      </c>
      <c r="AB173" s="130" cm="1">
        <f t="array" ref="AB173">_xlfn.IFS(AND(L173=0,M173=0),VLOOKUP(D173,Datos!$F$31:$I$33,2,0),AND(L173=0,M173&gt;0),VLOOKUP(D173,Datos!$F$32:$I$33,2,0),AND(L173&gt;0,M173=0),VLOOKUP(D173,Datos!$F$32:$I$33,3,0),AND(L173&gt;0,M173&gt;0),VLOOKUP(D173,Datos!$F$31:$I$33,4,0))</f>
        <v>550000</v>
      </c>
      <c r="AC173" s="55">
        <f ca="1">(S173*PMT(Datos!$G$15,Datos!$G$14,-O173,,)*VLOOKUP(TODAY(),'UF HOY'!$A$2:$B$36,2,0)/12)+VLOOKUP(TODAY(),'UF HOY'!$A$2:$B$36,2,0)</f>
        <v>692314.16372455028</v>
      </c>
      <c r="AD173" s="55">
        <f t="shared" ca="1" si="34"/>
        <v>-142314.16372455028</v>
      </c>
      <c r="AE173" s="93">
        <f t="shared" ca="1" si="35"/>
        <v>2769256.6548982011</v>
      </c>
    </row>
    <row r="174" spans="1:31" s="3" customFormat="1" x14ac:dyDescent="0.35">
      <c r="A174" s="94" t="s">
        <v>346</v>
      </c>
      <c r="B174" s="80">
        <v>2412</v>
      </c>
      <c r="C174" s="48" t="s">
        <v>41</v>
      </c>
      <c r="D174" s="48" t="s">
        <v>37</v>
      </c>
      <c r="E174" s="48"/>
      <c r="F174" s="48">
        <v>34.630000000000003</v>
      </c>
      <c r="G174" s="48">
        <v>2.93</v>
      </c>
      <c r="H174" s="82">
        <f t="shared" si="24"/>
        <v>36.095000000000006</v>
      </c>
      <c r="I174" s="82">
        <f t="shared" si="25"/>
        <v>37.56</v>
      </c>
      <c r="J174" s="49">
        <v>4260</v>
      </c>
      <c r="K174" s="304">
        <v>0</v>
      </c>
      <c r="L174" s="48">
        <v>0</v>
      </c>
      <c r="M174" s="48">
        <v>0</v>
      </c>
      <c r="N174" s="49">
        <f t="shared" si="26"/>
        <v>3834</v>
      </c>
      <c r="O174" s="52">
        <f t="shared" si="27"/>
        <v>4260</v>
      </c>
      <c r="P174" s="79">
        <f t="shared" si="28"/>
        <v>106.21969801911621</v>
      </c>
      <c r="Q174" s="53">
        <f t="shared" si="29"/>
        <v>0.1</v>
      </c>
      <c r="R174" s="54">
        <f t="shared" si="30"/>
        <v>426</v>
      </c>
      <c r="S174" s="53">
        <v>0.8</v>
      </c>
      <c r="T174" s="54">
        <f t="shared" si="31"/>
        <v>3408</v>
      </c>
      <c r="U174" s="53">
        <f t="shared" si="32"/>
        <v>9.9999999999999978E-2</v>
      </c>
      <c r="V174" s="54">
        <f t="shared" si="33"/>
        <v>425.99999999999989</v>
      </c>
      <c r="W174" s="55">
        <f ca="1">V174*VLOOKUP(TODAY(),'UF HOY'!$A$2:$B$36,2,0)</f>
        <v>16926658.439999998</v>
      </c>
      <c r="X174" s="56">
        <f>Datos!$K$5</f>
        <v>36</v>
      </c>
      <c r="Y174" s="55">
        <f ca="1">IF((W174-Datos!$U$5-1000000)/X174&gt;0,(W174-Datos!$U$5-1000000)/X174,0)</f>
        <v>439629.40111111104</v>
      </c>
      <c r="Z174" s="56">
        <f>Datos!$K$5</f>
        <v>36</v>
      </c>
      <c r="AA174" s="55">
        <f ca="1">IF((W174-Datos!$U$5-1000000-O174*3%*VLOOKUP(TODAY(),'UF HOY'!$A$2:$B$36,2,0))/Z174&gt;0,(W174-Datos!$U$5-1000000-O174*3%*VLOOKUP(TODAY(),'UF HOY'!$A$2:$B$36,2,0))/Z174,0)</f>
        <v>298573.91411111102</v>
      </c>
      <c r="AB174" s="130" cm="1">
        <f t="array" ref="AB174">_xlfn.IFS(AND(L174=0,M174=0),VLOOKUP(D174,Datos!$F$31:$I$33,2,0),AND(L174=0,M174&gt;0),VLOOKUP(D174,Datos!$F$32:$I$33,2,0),AND(L174&gt;0,M174=0),VLOOKUP(D174,Datos!$F$32:$I$33,3,0),AND(L174&gt;0,M174&gt;0),VLOOKUP(D174,Datos!$F$31:$I$33,4,0))</f>
        <v>550000</v>
      </c>
      <c r="AC174" s="55">
        <f ca="1">(S174*PMT(Datos!$G$15,Datos!$G$14,-O174,,)*VLOOKUP(TODAY(),'UF HOY'!$A$2:$B$36,2,0)/12)+VLOOKUP(TODAY(),'UF HOY'!$A$2:$B$36,2,0)</f>
        <v>692314.16372455028</v>
      </c>
      <c r="AD174" s="55">
        <f t="shared" ca="1" si="34"/>
        <v>-142314.16372455028</v>
      </c>
      <c r="AE174" s="93">
        <f t="shared" ca="1" si="35"/>
        <v>2769256.6548982011</v>
      </c>
    </row>
    <row r="175" spans="1:31" s="3" customFormat="1" x14ac:dyDescent="0.35">
      <c r="A175" s="94" t="s">
        <v>346</v>
      </c>
      <c r="B175" s="80">
        <v>901</v>
      </c>
      <c r="C175" s="48" t="s">
        <v>41</v>
      </c>
      <c r="D175" s="48" t="s">
        <v>37</v>
      </c>
      <c r="E175" s="48"/>
      <c r="F175" s="48">
        <v>35.619999999999997</v>
      </c>
      <c r="G175" s="48">
        <v>2.96</v>
      </c>
      <c r="H175" s="82">
        <f t="shared" si="24"/>
        <v>37.099999999999994</v>
      </c>
      <c r="I175" s="82">
        <f t="shared" si="25"/>
        <v>38.58</v>
      </c>
      <c r="J175" s="49">
        <v>4270</v>
      </c>
      <c r="K175" s="304">
        <v>0</v>
      </c>
      <c r="L175" s="48">
        <v>0</v>
      </c>
      <c r="M175" s="48">
        <v>0</v>
      </c>
      <c r="N175" s="49">
        <f t="shared" si="26"/>
        <v>3843</v>
      </c>
      <c r="O175" s="52">
        <f t="shared" si="27"/>
        <v>4270</v>
      </c>
      <c r="P175" s="79">
        <f t="shared" si="28"/>
        <v>103.58490566037737</v>
      </c>
      <c r="Q175" s="53">
        <f t="shared" si="29"/>
        <v>0.1</v>
      </c>
      <c r="R175" s="54">
        <f t="shared" si="30"/>
        <v>427</v>
      </c>
      <c r="S175" s="53">
        <v>0.8</v>
      </c>
      <c r="T175" s="54">
        <f t="shared" si="31"/>
        <v>3416</v>
      </c>
      <c r="U175" s="53">
        <f t="shared" si="32"/>
        <v>9.9999999999999978E-2</v>
      </c>
      <c r="V175" s="54">
        <f t="shared" si="33"/>
        <v>426.99999999999989</v>
      </c>
      <c r="W175" s="55">
        <f ca="1">V175*VLOOKUP(TODAY(),'UF HOY'!$A$2:$B$36,2,0)</f>
        <v>16966392.379999995</v>
      </c>
      <c r="X175" s="56">
        <f>Datos!$K$5</f>
        <v>36</v>
      </c>
      <c r="Y175" s="55">
        <f ca="1">IF((W175-Datos!$U$5-1000000)/X175&gt;0,(W175-Datos!$U$5-1000000)/X175,0)</f>
        <v>440733.12166666653</v>
      </c>
      <c r="Z175" s="56">
        <f>Datos!$K$5</f>
        <v>36</v>
      </c>
      <c r="AA175" s="55">
        <f ca="1">IF((W175-Datos!$U$5-1000000-O175*3%*VLOOKUP(TODAY(),'UF HOY'!$A$2:$B$36,2,0))/Z175&gt;0,(W175-Datos!$U$5-1000000-O175*3%*VLOOKUP(TODAY(),'UF HOY'!$A$2:$B$36,2,0))/Z175,0)</f>
        <v>299346.51849999989</v>
      </c>
      <c r="AB175" s="130" cm="1">
        <f t="array" ref="AB175">_xlfn.IFS(AND(L175=0,M175=0),VLOOKUP(D175,Datos!$F$31:$I$33,2,0),AND(L175=0,M175&gt;0),VLOOKUP(D175,Datos!$F$32:$I$33,2,0),AND(L175&gt;0,M175=0),VLOOKUP(D175,Datos!$F$32:$I$33,3,0),AND(L175&gt;0,M175&gt;0),VLOOKUP(D175,Datos!$F$31:$I$33,4,0))</f>
        <v>550000</v>
      </c>
      <c r="AC175" s="55">
        <f ca="1">(S175*PMT(Datos!$G$15,Datos!$G$14,-O175,,)*VLOOKUP(TODAY(),'UF HOY'!$A$2:$B$36,2,0)/12)+VLOOKUP(TODAY(),'UF HOY'!$A$2:$B$36,2,0)</f>
        <v>693846.04218399781</v>
      </c>
      <c r="AD175" s="55">
        <f t="shared" ca="1" si="34"/>
        <v>-143846.04218399781</v>
      </c>
      <c r="AE175" s="93">
        <f t="shared" ca="1" si="35"/>
        <v>2775384.1687359912</v>
      </c>
    </row>
    <row r="176" spans="1:31" s="3" customFormat="1" x14ac:dyDescent="0.35">
      <c r="A176" s="94" t="s">
        <v>346</v>
      </c>
      <c r="B176" s="80">
        <v>1509</v>
      </c>
      <c r="C176" s="48" t="s">
        <v>40</v>
      </c>
      <c r="D176" s="48" t="s">
        <v>37</v>
      </c>
      <c r="E176" s="48"/>
      <c r="F176" s="48">
        <v>34.369999999999997</v>
      </c>
      <c r="G176" s="48">
        <v>3.28</v>
      </c>
      <c r="H176" s="82">
        <f t="shared" si="24"/>
        <v>36.01</v>
      </c>
      <c r="I176" s="82">
        <f t="shared" si="25"/>
        <v>37.65</v>
      </c>
      <c r="J176" s="49">
        <v>4270</v>
      </c>
      <c r="K176" s="304">
        <v>0</v>
      </c>
      <c r="L176" s="48">
        <v>0</v>
      </c>
      <c r="M176" s="48">
        <v>0</v>
      </c>
      <c r="N176" s="49">
        <f t="shared" si="26"/>
        <v>3843</v>
      </c>
      <c r="O176" s="52">
        <f t="shared" si="27"/>
        <v>4270</v>
      </c>
      <c r="P176" s="79">
        <f t="shared" si="28"/>
        <v>106.72035545681756</v>
      </c>
      <c r="Q176" s="53">
        <f t="shared" si="29"/>
        <v>0.1</v>
      </c>
      <c r="R176" s="54">
        <f t="shared" si="30"/>
        <v>427</v>
      </c>
      <c r="S176" s="53">
        <v>0.8</v>
      </c>
      <c r="T176" s="54">
        <f t="shared" si="31"/>
        <v>3416</v>
      </c>
      <c r="U176" s="53">
        <f t="shared" si="32"/>
        <v>9.9999999999999978E-2</v>
      </c>
      <c r="V176" s="54">
        <f t="shared" si="33"/>
        <v>426.99999999999989</v>
      </c>
      <c r="W176" s="55">
        <f ca="1">V176*VLOOKUP(TODAY(),'UF HOY'!$A$2:$B$36,2,0)</f>
        <v>16966392.379999995</v>
      </c>
      <c r="X176" s="56">
        <f>Datos!$K$5</f>
        <v>36</v>
      </c>
      <c r="Y176" s="55">
        <f ca="1">IF((W176-Datos!$U$5-1000000)/X176&gt;0,(W176-Datos!$U$5-1000000)/X176,0)</f>
        <v>440733.12166666653</v>
      </c>
      <c r="Z176" s="56">
        <f>Datos!$K$5</f>
        <v>36</v>
      </c>
      <c r="AA176" s="55">
        <f ca="1">IF((W176-Datos!$U$5-1000000-O176*3%*VLOOKUP(TODAY(),'UF HOY'!$A$2:$B$36,2,0))/Z176&gt;0,(W176-Datos!$U$5-1000000-O176*3%*VLOOKUP(TODAY(),'UF HOY'!$A$2:$B$36,2,0))/Z176,0)</f>
        <v>299346.51849999989</v>
      </c>
      <c r="AB176" s="130" cm="1">
        <f t="array" ref="AB176">_xlfn.IFS(AND(L176=0,M176=0),VLOOKUP(D176,Datos!$F$31:$I$33,2,0),AND(L176=0,M176&gt;0),VLOOKUP(D176,Datos!$F$32:$I$33,2,0),AND(L176&gt;0,M176=0),VLOOKUP(D176,Datos!$F$32:$I$33,3,0),AND(L176&gt;0,M176&gt;0),VLOOKUP(D176,Datos!$F$31:$I$33,4,0))</f>
        <v>550000</v>
      </c>
      <c r="AC176" s="55">
        <f ca="1">(S176*PMT(Datos!$G$15,Datos!$G$14,-O176,,)*VLOOKUP(TODAY(),'UF HOY'!$A$2:$B$36,2,0)/12)+VLOOKUP(TODAY(),'UF HOY'!$A$2:$B$36,2,0)</f>
        <v>693846.04218399781</v>
      </c>
      <c r="AD176" s="55">
        <f t="shared" ca="1" si="34"/>
        <v>-143846.04218399781</v>
      </c>
      <c r="AE176" s="93">
        <f t="shared" ca="1" si="35"/>
        <v>2775384.1687359912</v>
      </c>
    </row>
    <row r="177" spans="1:31" s="3" customFormat="1" hidden="1" x14ac:dyDescent="0.35">
      <c r="A177" s="94" t="s">
        <v>342</v>
      </c>
      <c r="B177" s="80">
        <v>1510</v>
      </c>
      <c r="C177" s="48" t="s">
        <v>40</v>
      </c>
      <c r="D177" s="48" t="s">
        <v>37</v>
      </c>
      <c r="E177" s="48"/>
      <c r="F177" s="48">
        <v>34.369999999999997</v>
      </c>
      <c r="G177" s="48">
        <v>3.28</v>
      </c>
      <c r="H177" s="82">
        <f t="shared" si="24"/>
        <v>36.01</v>
      </c>
      <c r="I177" s="82">
        <f t="shared" si="25"/>
        <v>37.65</v>
      </c>
      <c r="J177" s="49">
        <v>4270</v>
      </c>
      <c r="K177" s="305">
        <v>0.02</v>
      </c>
      <c r="L177" s="48">
        <v>0</v>
      </c>
      <c r="M177" s="48">
        <v>0</v>
      </c>
      <c r="N177" s="49">
        <f t="shared" si="26"/>
        <v>3766.1400000000003</v>
      </c>
      <c r="O177" s="52">
        <f t="shared" si="27"/>
        <v>4184.6000000000004</v>
      </c>
      <c r="P177" s="79">
        <f t="shared" si="28"/>
        <v>104.58594834768121</v>
      </c>
      <c r="Q177" s="53">
        <f t="shared" si="29"/>
        <v>0.1</v>
      </c>
      <c r="R177" s="54">
        <f t="shared" si="30"/>
        <v>418.46000000000004</v>
      </c>
      <c r="S177" s="53">
        <v>0.8</v>
      </c>
      <c r="T177" s="54">
        <f t="shared" si="31"/>
        <v>3347.6800000000003</v>
      </c>
      <c r="U177" s="53">
        <f t="shared" si="32"/>
        <v>9.9999999999999978E-2</v>
      </c>
      <c r="V177" s="54">
        <f t="shared" si="33"/>
        <v>418.45999999999992</v>
      </c>
      <c r="W177" s="55">
        <f ca="1">V177*VLOOKUP(TODAY(),'UF HOY'!$A$2:$B$36,2,0)</f>
        <v>16627064.532399997</v>
      </c>
      <c r="X177" s="56">
        <f>Datos!$K$5</f>
        <v>36</v>
      </c>
      <c r="Y177" s="55">
        <f ca="1">IF((W177-Datos!$U$5-1000000)/X177&gt;0,(W177-Datos!$U$5-1000000)/X177,0)</f>
        <v>431307.34812222212</v>
      </c>
      <c r="Z177" s="56">
        <f>Datos!$K$5</f>
        <v>36</v>
      </c>
      <c r="AA177" s="55">
        <f ca="1">IF((W177-Datos!$U$5-1000000-O177*3%*VLOOKUP(TODAY(),'UF HOY'!$A$2:$B$36,2,0))/Z177&gt;0,(W177-Datos!$U$5-1000000-O177*3%*VLOOKUP(TODAY(),'UF HOY'!$A$2:$B$36,2,0))/Z177,0)</f>
        <v>292748.47701888881</v>
      </c>
      <c r="AB177" s="130" cm="1">
        <f t="array" ref="AB177">_xlfn.IFS(AND(L177=0,M177=0),VLOOKUP(D177,Datos!$F$31:$I$33,2,0),AND(L177=0,M177&gt;0),VLOOKUP(D177,Datos!$F$32:$I$33,2,0),AND(L177&gt;0,M177=0),VLOOKUP(D177,Datos!$F$32:$I$33,3,0),AND(L177&gt;0,M177&gt;0),VLOOKUP(D177,Datos!$F$31:$I$33,4,0))</f>
        <v>550000</v>
      </c>
      <c r="AC177" s="55">
        <f ca="1">(S177*PMT(Datos!$G$15,Datos!$G$14,-O177,,)*VLOOKUP(TODAY(),'UF HOY'!$A$2:$B$36,2,0)/12)+VLOOKUP(TODAY(),'UF HOY'!$A$2:$B$36,2,0)</f>
        <v>680763.80014031776</v>
      </c>
      <c r="AD177" s="55">
        <f t="shared" ca="1" si="34"/>
        <v>-130763.80014031776</v>
      </c>
      <c r="AE177" s="93">
        <f t="shared" ca="1" si="35"/>
        <v>2723055.200561271</v>
      </c>
    </row>
    <row r="178" spans="1:31" s="3" customFormat="1" x14ac:dyDescent="0.35">
      <c r="A178" s="94" t="s">
        <v>346</v>
      </c>
      <c r="B178" s="80">
        <v>1902</v>
      </c>
      <c r="C178" s="48" t="s">
        <v>38</v>
      </c>
      <c r="D178" s="48" t="s">
        <v>37</v>
      </c>
      <c r="E178" s="48"/>
      <c r="F178" s="48">
        <v>34.89</v>
      </c>
      <c r="G178" s="48">
        <v>2.83</v>
      </c>
      <c r="H178" s="82">
        <f t="shared" si="24"/>
        <v>36.305</v>
      </c>
      <c r="I178" s="82">
        <f t="shared" si="25"/>
        <v>37.72</v>
      </c>
      <c r="J178" s="49">
        <v>4270</v>
      </c>
      <c r="K178" s="304">
        <v>0</v>
      </c>
      <c r="L178" s="48">
        <v>0</v>
      </c>
      <c r="M178" s="48">
        <v>0</v>
      </c>
      <c r="N178" s="49">
        <f t="shared" si="26"/>
        <v>3843</v>
      </c>
      <c r="O178" s="52">
        <f t="shared" si="27"/>
        <v>4270</v>
      </c>
      <c r="P178" s="79">
        <f t="shared" si="28"/>
        <v>105.85318826607906</v>
      </c>
      <c r="Q178" s="53">
        <f t="shared" si="29"/>
        <v>0.1</v>
      </c>
      <c r="R178" s="54">
        <f t="shared" si="30"/>
        <v>427</v>
      </c>
      <c r="S178" s="53">
        <v>0.8</v>
      </c>
      <c r="T178" s="54">
        <f t="shared" si="31"/>
        <v>3416</v>
      </c>
      <c r="U178" s="53">
        <f t="shared" si="32"/>
        <v>9.9999999999999978E-2</v>
      </c>
      <c r="V178" s="54">
        <f t="shared" si="33"/>
        <v>426.99999999999989</v>
      </c>
      <c r="W178" s="55">
        <f ca="1">V178*VLOOKUP(TODAY(),'UF HOY'!$A$2:$B$36,2,0)</f>
        <v>16966392.379999995</v>
      </c>
      <c r="X178" s="56">
        <f>Datos!$K$5</f>
        <v>36</v>
      </c>
      <c r="Y178" s="55">
        <f ca="1">IF((W178-Datos!$U$5-1000000)/X178&gt;0,(W178-Datos!$U$5-1000000)/X178,0)</f>
        <v>440733.12166666653</v>
      </c>
      <c r="Z178" s="56">
        <f>Datos!$K$5</f>
        <v>36</v>
      </c>
      <c r="AA178" s="55">
        <f ca="1">IF((W178-Datos!$U$5-1000000-O178*3%*VLOOKUP(TODAY(),'UF HOY'!$A$2:$B$36,2,0))/Z178&gt;0,(W178-Datos!$U$5-1000000-O178*3%*VLOOKUP(TODAY(),'UF HOY'!$A$2:$B$36,2,0))/Z178,0)</f>
        <v>299346.51849999989</v>
      </c>
      <c r="AB178" s="130" cm="1">
        <f t="array" ref="AB178">_xlfn.IFS(AND(L178=0,M178=0),VLOOKUP(D178,Datos!$F$31:$I$33,2,0),AND(L178=0,M178&gt;0),VLOOKUP(D178,Datos!$F$32:$I$33,2,0),AND(L178&gt;0,M178=0),VLOOKUP(D178,Datos!$F$32:$I$33,3,0),AND(L178&gt;0,M178&gt;0),VLOOKUP(D178,Datos!$F$31:$I$33,4,0))</f>
        <v>550000</v>
      </c>
      <c r="AC178" s="55">
        <f ca="1">(S178*PMT(Datos!$G$15,Datos!$G$14,-O178,,)*VLOOKUP(TODAY(),'UF HOY'!$A$2:$B$36,2,0)/12)+VLOOKUP(TODAY(),'UF HOY'!$A$2:$B$36,2,0)</f>
        <v>693846.04218399781</v>
      </c>
      <c r="AD178" s="55">
        <f t="shared" ca="1" si="34"/>
        <v>-143846.04218399781</v>
      </c>
      <c r="AE178" s="93">
        <f t="shared" ca="1" si="35"/>
        <v>2775384.1687359912</v>
      </c>
    </row>
    <row r="179" spans="1:31" s="3" customFormat="1" x14ac:dyDescent="0.35">
      <c r="A179" s="94" t="s">
        <v>346</v>
      </c>
      <c r="B179" s="80">
        <v>2003</v>
      </c>
      <c r="C179" s="48" t="s">
        <v>38</v>
      </c>
      <c r="D179" s="48" t="s">
        <v>37</v>
      </c>
      <c r="E179" s="48"/>
      <c r="F179" s="48">
        <v>34.79</v>
      </c>
      <c r="G179" s="48">
        <v>2.83</v>
      </c>
      <c r="H179" s="82">
        <f t="shared" si="24"/>
        <v>36.204999999999998</v>
      </c>
      <c r="I179" s="82">
        <f t="shared" si="25"/>
        <v>37.619999999999997</v>
      </c>
      <c r="J179" s="49">
        <v>4270</v>
      </c>
      <c r="K179" s="304">
        <v>0</v>
      </c>
      <c r="L179" s="48">
        <v>0</v>
      </c>
      <c r="M179" s="48">
        <v>0</v>
      </c>
      <c r="N179" s="49">
        <f t="shared" si="26"/>
        <v>3843</v>
      </c>
      <c r="O179" s="52">
        <f t="shared" si="27"/>
        <v>4270</v>
      </c>
      <c r="P179" s="79">
        <f t="shared" si="28"/>
        <v>106.1455600055241</v>
      </c>
      <c r="Q179" s="53">
        <f t="shared" si="29"/>
        <v>0.1</v>
      </c>
      <c r="R179" s="54">
        <f t="shared" si="30"/>
        <v>427</v>
      </c>
      <c r="S179" s="53">
        <v>0.8</v>
      </c>
      <c r="T179" s="54">
        <f t="shared" si="31"/>
        <v>3416</v>
      </c>
      <c r="U179" s="53">
        <f t="shared" si="32"/>
        <v>9.9999999999999978E-2</v>
      </c>
      <c r="V179" s="54">
        <f t="shared" si="33"/>
        <v>426.99999999999989</v>
      </c>
      <c r="W179" s="55">
        <f ca="1">V179*VLOOKUP(TODAY(),'UF HOY'!$A$2:$B$36,2,0)</f>
        <v>16966392.379999995</v>
      </c>
      <c r="X179" s="56">
        <f>Datos!$K$5</f>
        <v>36</v>
      </c>
      <c r="Y179" s="55">
        <f ca="1">IF((W179-Datos!$U$5-1000000)/X179&gt;0,(W179-Datos!$U$5-1000000)/X179,0)</f>
        <v>440733.12166666653</v>
      </c>
      <c r="Z179" s="56">
        <f>Datos!$K$5</f>
        <v>36</v>
      </c>
      <c r="AA179" s="55">
        <f ca="1">IF((W179-Datos!$U$5-1000000-O179*3%*VLOOKUP(TODAY(),'UF HOY'!$A$2:$B$36,2,0))/Z179&gt;0,(W179-Datos!$U$5-1000000-O179*3%*VLOOKUP(TODAY(),'UF HOY'!$A$2:$B$36,2,0))/Z179,0)</f>
        <v>299346.51849999989</v>
      </c>
      <c r="AB179" s="130" cm="1">
        <f t="array" ref="AB179">_xlfn.IFS(AND(L179=0,M179=0),VLOOKUP(D179,Datos!$F$31:$I$33,2,0),AND(L179=0,M179&gt;0),VLOOKUP(D179,Datos!$F$32:$I$33,2,0),AND(L179&gt;0,M179=0),VLOOKUP(D179,Datos!$F$32:$I$33,3,0),AND(L179&gt;0,M179&gt;0),VLOOKUP(D179,Datos!$F$31:$I$33,4,0))</f>
        <v>550000</v>
      </c>
      <c r="AC179" s="55">
        <f ca="1">(S179*PMT(Datos!$G$15,Datos!$G$14,-O179,,)*VLOOKUP(TODAY(),'UF HOY'!$A$2:$B$36,2,0)/12)+VLOOKUP(TODAY(),'UF HOY'!$A$2:$B$36,2,0)</f>
        <v>693846.04218399781</v>
      </c>
      <c r="AD179" s="55">
        <f t="shared" ca="1" si="34"/>
        <v>-143846.04218399781</v>
      </c>
      <c r="AE179" s="93">
        <f t="shared" ca="1" si="35"/>
        <v>2775384.1687359912</v>
      </c>
    </row>
    <row r="180" spans="1:31" s="3" customFormat="1" x14ac:dyDescent="0.35">
      <c r="A180" s="94" t="s">
        <v>346</v>
      </c>
      <c r="B180" s="80">
        <v>2004</v>
      </c>
      <c r="C180" s="48" t="s">
        <v>38</v>
      </c>
      <c r="D180" s="48" t="s">
        <v>37</v>
      </c>
      <c r="E180" s="48"/>
      <c r="F180" s="48">
        <v>34.74</v>
      </c>
      <c r="G180" s="48">
        <v>2.86</v>
      </c>
      <c r="H180" s="82">
        <f t="shared" si="24"/>
        <v>36.17</v>
      </c>
      <c r="I180" s="82">
        <f t="shared" si="25"/>
        <v>37.6</v>
      </c>
      <c r="J180" s="49">
        <v>4270</v>
      </c>
      <c r="K180" s="304">
        <v>0</v>
      </c>
      <c r="L180" s="48">
        <v>0</v>
      </c>
      <c r="M180" s="48">
        <v>0</v>
      </c>
      <c r="N180" s="49">
        <f t="shared" si="26"/>
        <v>3843</v>
      </c>
      <c r="O180" s="52">
        <f t="shared" si="27"/>
        <v>4270</v>
      </c>
      <c r="P180" s="79">
        <f t="shared" si="28"/>
        <v>106.2482720486591</v>
      </c>
      <c r="Q180" s="53">
        <f t="shared" si="29"/>
        <v>0.1</v>
      </c>
      <c r="R180" s="54">
        <f t="shared" si="30"/>
        <v>427</v>
      </c>
      <c r="S180" s="53">
        <v>0.8</v>
      </c>
      <c r="T180" s="54">
        <f t="shared" si="31"/>
        <v>3416</v>
      </c>
      <c r="U180" s="53">
        <f t="shared" si="32"/>
        <v>9.9999999999999978E-2</v>
      </c>
      <c r="V180" s="54">
        <f t="shared" si="33"/>
        <v>426.99999999999989</v>
      </c>
      <c r="W180" s="55">
        <f ca="1">V180*VLOOKUP(TODAY(),'UF HOY'!$A$2:$B$36,2,0)</f>
        <v>16966392.379999995</v>
      </c>
      <c r="X180" s="56">
        <f>Datos!$K$5</f>
        <v>36</v>
      </c>
      <c r="Y180" s="55">
        <f ca="1">IF((W180-Datos!$U$5-1000000)/X180&gt;0,(W180-Datos!$U$5-1000000)/X180,0)</f>
        <v>440733.12166666653</v>
      </c>
      <c r="Z180" s="56">
        <f>Datos!$K$5</f>
        <v>36</v>
      </c>
      <c r="AA180" s="55">
        <f ca="1">IF((W180-Datos!$U$5-1000000-O180*3%*VLOOKUP(TODAY(),'UF HOY'!$A$2:$B$36,2,0))/Z180&gt;0,(W180-Datos!$U$5-1000000-O180*3%*VLOOKUP(TODAY(),'UF HOY'!$A$2:$B$36,2,0))/Z180,0)</f>
        <v>299346.51849999989</v>
      </c>
      <c r="AB180" s="130" cm="1">
        <f t="array" ref="AB180">_xlfn.IFS(AND(L180=0,M180=0),VLOOKUP(D180,Datos!$F$31:$I$33,2,0),AND(L180=0,M180&gt;0),VLOOKUP(D180,Datos!$F$32:$I$33,2,0),AND(L180&gt;0,M180=0),VLOOKUP(D180,Datos!$F$32:$I$33,3,0),AND(L180&gt;0,M180&gt;0),VLOOKUP(D180,Datos!$F$31:$I$33,4,0))</f>
        <v>550000</v>
      </c>
      <c r="AC180" s="55">
        <f ca="1">(S180*PMT(Datos!$G$15,Datos!$G$14,-O180,,)*VLOOKUP(TODAY(),'UF HOY'!$A$2:$B$36,2,0)/12)+VLOOKUP(TODAY(),'UF HOY'!$A$2:$B$36,2,0)</f>
        <v>693846.04218399781</v>
      </c>
      <c r="AD180" s="55">
        <f t="shared" ca="1" si="34"/>
        <v>-143846.04218399781</v>
      </c>
      <c r="AE180" s="93">
        <f t="shared" ca="1" si="35"/>
        <v>2775384.1687359912</v>
      </c>
    </row>
    <row r="181" spans="1:31" s="3" customFormat="1" x14ac:dyDescent="0.35">
      <c r="A181" s="94" t="s">
        <v>346</v>
      </c>
      <c r="B181" s="80">
        <v>2413</v>
      </c>
      <c r="C181" s="48" t="s">
        <v>41</v>
      </c>
      <c r="D181" s="48" t="s">
        <v>37</v>
      </c>
      <c r="E181" s="48"/>
      <c r="F181" s="48">
        <v>34.69</v>
      </c>
      <c r="G181" s="48">
        <v>2.93</v>
      </c>
      <c r="H181" s="82">
        <f t="shared" si="24"/>
        <v>36.155000000000001</v>
      </c>
      <c r="I181" s="82">
        <f t="shared" si="25"/>
        <v>37.619999999999997</v>
      </c>
      <c r="J181" s="49">
        <v>4270</v>
      </c>
      <c r="K181" s="304">
        <v>0</v>
      </c>
      <c r="L181" s="48">
        <v>0</v>
      </c>
      <c r="M181" s="48">
        <v>0</v>
      </c>
      <c r="N181" s="49">
        <f t="shared" si="26"/>
        <v>3843</v>
      </c>
      <c r="O181" s="52">
        <f t="shared" si="27"/>
        <v>4270</v>
      </c>
      <c r="P181" s="79">
        <f t="shared" si="28"/>
        <v>106.29235237173282</v>
      </c>
      <c r="Q181" s="53">
        <f t="shared" si="29"/>
        <v>0.1</v>
      </c>
      <c r="R181" s="54">
        <f t="shared" si="30"/>
        <v>427</v>
      </c>
      <c r="S181" s="53">
        <v>0.8</v>
      </c>
      <c r="T181" s="54">
        <f t="shared" si="31"/>
        <v>3416</v>
      </c>
      <c r="U181" s="53">
        <f t="shared" si="32"/>
        <v>9.9999999999999978E-2</v>
      </c>
      <c r="V181" s="54">
        <f t="shared" si="33"/>
        <v>426.99999999999989</v>
      </c>
      <c r="W181" s="55">
        <f ca="1">V181*VLOOKUP(TODAY(),'UF HOY'!$A$2:$B$36,2,0)</f>
        <v>16966392.379999995</v>
      </c>
      <c r="X181" s="56">
        <f>Datos!$K$5</f>
        <v>36</v>
      </c>
      <c r="Y181" s="55">
        <f ca="1">IF((W181-Datos!$U$5-1000000)/X181&gt;0,(W181-Datos!$U$5-1000000)/X181,0)</f>
        <v>440733.12166666653</v>
      </c>
      <c r="Z181" s="56">
        <f>Datos!$K$5</f>
        <v>36</v>
      </c>
      <c r="AA181" s="55">
        <f ca="1">IF((W181-Datos!$U$5-1000000-O181*3%*VLOOKUP(TODAY(),'UF HOY'!$A$2:$B$36,2,0))/Z181&gt;0,(W181-Datos!$U$5-1000000-O181*3%*VLOOKUP(TODAY(),'UF HOY'!$A$2:$B$36,2,0))/Z181,0)</f>
        <v>299346.51849999989</v>
      </c>
      <c r="AB181" s="130" cm="1">
        <f t="array" ref="AB181">_xlfn.IFS(AND(L181=0,M181=0),VLOOKUP(D181,Datos!$F$31:$I$33,2,0),AND(L181=0,M181&gt;0),VLOOKUP(D181,Datos!$F$32:$I$33,2,0),AND(L181&gt;0,M181=0),VLOOKUP(D181,Datos!$F$32:$I$33,3,0),AND(L181&gt;0,M181&gt;0),VLOOKUP(D181,Datos!$F$31:$I$33,4,0))</f>
        <v>550000</v>
      </c>
      <c r="AC181" s="55">
        <f ca="1">(S181*PMT(Datos!$G$15,Datos!$G$14,-O181,,)*VLOOKUP(TODAY(),'UF HOY'!$A$2:$B$36,2,0)/12)+VLOOKUP(TODAY(),'UF HOY'!$A$2:$B$36,2,0)</f>
        <v>693846.04218399781</v>
      </c>
      <c r="AD181" s="55">
        <f t="shared" ca="1" si="34"/>
        <v>-143846.04218399781</v>
      </c>
      <c r="AE181" s="93">
        <f t="shared" ca="1" si="35"/>
        <v>2775384.1687359912</v>
      </c>
    </row>
    <row r="182" spans="1:31" s="3" customFormat="1" x14ac:dyDescent="0.35">
      <c r="A182" s="94" t="s">
        <v>346</v>
      </c>
      <c r="B182" s="80">
        <v>2512</v>
      </c>
      <c r="C182" s="48" t="s">
        <v>41</v>
      </c>
      <c r="D182" s="48" t="s">
        <v>37</v>
      </c>
      <c r="E182" s="48"/>
      <c r="F182" s="48">
        <v>34.630000000000003</v>
      </c>
      <c r="G182" s="48">
        <v>2.93</v>
      </c>
      <c r="H182" s="82">
        <f t="shared" si="24"/>
        <v>36.095000000000006</v>
      </c>
      <c r="I182" s="82">
        <f t="shared" si="25"/>
        <v>37.56</v>
      </c>
      <c r="J182" s="49">
        <v>4270</v>
      </c>
      <c r="K182" s="304">
        <v>0</v>
      </c>
      <c r="L182" s="48">
        <v>0</v>
      </c>
      <c r="M182" s="48">
        <v>0</v>
      </c>
      <c r="N182" s="49">
        <f t="shared" si="26"/>
        <v>3843</v>
      </c>
      <c r="O182" s="52">
        <f t="shared" si="27"/>
        <v>4270</v>
      </c>
      <c r="P182" s="79">
        <f t="shared" si="28"/>
        <v>106.46904003324559</v>
      </c>
      <c r="Q182" s="53">
        <f t="shared" si="29"/>
        <v>0.1</v>
      </c>
      <c r="R182" s="54">
        <f t="shared" si="30"/>
        <v>427</v>
      </c>
      <c r="S182" s="53">
        <v>0.8</v>
      </c>
      <c r="T182" s="54">
        <f t="shared" si="31"/>
        <v>3416</v>
      </c>
      <c r="U182" s="53">
        <f t="shared" si="32"/>
        <v>9.9999999999999978E-2</v>
      </c>
      <c r="V182" s="54">
        <f t="shared" si="33"/>
        <v>426.99999999999989</v>
      </c>
      <c r="W182" s="55">
        <f ca="1">V182*VLOOKUP(TODAY(),'UF HOY'!$A$2:$B$36,2,0)</f>
        <v>16966392.379999995</v>
      </c>
      <c r="X182" s="56">
        <f>Datos!$K$5</f>
        <v>36</v>
      </c>
      <c r="Y182" s="55">
        <f ca="1">IF((W182-Datos!$U$5-1000000)/X182&gt;0,(W182-Datos!$U$5-1000000)/X182,0)</f>
        <v>440733.12166666653</v>
      </c>
      <c r="Z182" s="56">
        <f>Datos!$K$5</f>
        <v>36</v>
      </c>
      <c r="AA182" s="55">
        <f ca="1">IF((W182-Datos!$U$5-1000000-O182*3%*VLOOKUP(TODAY(),'UF HOY'!$A$2:$B$36,2,0))/Z182&gt;0,(W182-Datos!$U$5-1000000-O182*3%*VLOOKUP(TODAY(),'UF HOY'!$A$2:$B$36,2,0))/Z182,0)</f>
        <v>299346.51849999989</v>
      </c>
      <c r="AB182" s="130" cm="1">
        <f t="array" ref="AB182">_xlfn.IFS(AND(L182=0,M182=0),VLOOKUP(D182,Datos!$F$31:$I$33,2,0),AND(L182=0,M182&gt;0),VLOOKUP(D182,Datos!$F$32:$I$33,2,0),AND(L182&gt;0,M182=0),VLOOKUP(D182,Datos!$F$32:$I$33,3,0),AND(L182&gt;0,M182&gt;0),VLOOKUP(D182,Datos!$F$31:$I$33,4,0))</f>
        <v>550000</v>
      </c>
      <c r="AC182" s="55">
        <f ca="1">(S182*PMT(Datos!$G$15,Datos!$G$14,-O182,,)*VLOOKUP(TODAY(),'UF HOY'!$A$2:$B$36,2,0)/12)+VLOOKUP(TODAY(),'UF HOY'!$A$2:$B$36,2,0)</f>
        <v>693846.04218399781</v>
      </c>
      <c r="AD182" s="55">
        <f t="shared" ca="1" si="34"/>
        <v>-143846.04218399781</v>
      </c>
      <c r="AE182" s="93">
        <f t="shared" ca="1" si="35"/>
        <v>2775384.1687359912</v>
      </c>
    </row>
    <row r="183" spans="1:31" s="3" customFormat="1" x14ac:dyDescent="0.35">
      <c r="A183" s="94" t="s">
        <v>346</v>
      </c>
      <c r="B183" s="80">
        <v>2513</v>
      </c>
      <c r="C183" s="48" t="s">
        <v>41</v>
      </c>
      <c r="D183" s="48" t="s">
        <v>37</v>
      </c>
      <c r="E183" s="48"/>
      <c r="F183" s="48">
        <v>34.69</v>
      </c>
      <c r="G183" s="48">
        <v>2.93</v>
      </c>
      <c r="H183" s="82">
        <f t="shared" si="24"/>
        <v>36.155000000000001</v>
      </c>
      <c r="I183" s="82">
        <f t="shared" si="25"/>
        <v>37.619999999999997</v>
      </c>
      <c r="J183" s="49">
        <v>4275</v>
      </c>
      <c r="K183" s="304">
        <v>0</v>
      </c>
      <c r="L183" s="48">
        <v>0</v>
      </c>
      <c r="M183" s="48">
        <v>0</v>
      </c>
      <c r="N183" s="49">
        <f t="shared" si="26"/>
        <v>3847.5</v>
      </c>
      <c r="O183" s="52">
        <f t="shared" si="27"/>
        <v>4275</v>
      </c>
      <c r="P183" s="79">
        <f t="shared" si="28"/>
        <v>106.41681648458028</v>
      </c>
      <c r="Q183" s="53">
        <f t="shared" si="29"/>
        <v>0.1</v>
      </c>
      <c r="R183" s="54">
        <f t="shared" si="30"/>
        <v>427.5</v>
      </c>
      <c r="S183" s="53">
        <v>0.8</v>
      </c>
      <c r="T183" s="54">
        <f t="shared" si="31"/>
        <v>3420</v>
      </c>
      <c r="U183" s="53">
        <f t="shared" si="32"/>
        <v>9.9999999999999978E-2</v>
      </c>
      <c r="V183" s="54">
        <f t="shared" si="33"/>
        <v>427.49999999999989</v>
      </c>
      <c r="W183" s="55">
        <f ca="1">V183*VLOOKUP(TODAY(),'UF HOY'!$A$2:$B$36,2,0)</f>
        <v>16986259.349999998</v>
      </c>
      <c r="X183" s="56">
        <f>Datos!$K$5</f>
        <v>36</v>
      </c>
      <c r="Y183" s="55">
        <f ca="1">IF((W183-Datos!$U$5-1000000)/X183&gt;0,(W183-Datos!$U$5-1000000)/X183,0)</f>
        <v>441284.98194444436</v>
      </c>
      <c r="Z183" s="56">
        <f>Datos!$K$5</f>
        <v>36</v>
      </c>
      <c r="AA183" s="55">
        <f ca="1">IF((W183-Datos!$U$5-1000000-O183*3%*VLOOKUP(TODAY(),'UF HOY'!$A$2:$B$36,2,0))/Z183&gt;0,(W183-Datos!$U$5-1000000-O183*3%*VLOOKUP(TODAY(),'UF HOY'!$A$2:$B$36,2,0))/Z183,0)</f>
        <v>299732.82069444441</v>
      </c>
      <c r="AB183" s="130" cm="1">
        <f t="array" ref="AB183">_xlfn.IFS(AND(L183=0,M183=0),VLOOKUP(D183,Datos!$F$31:$I$33,2,0),AND(L183=0,M183&gt;0),VLOOKUP(D183,Datos!$F$32:$I$33,2,0),AND(L183&gt;0,M183=0),VLOOKUP(D183,Datos!$F$32:$I$33,3,0),AND(L183&gt;0,M183&gt;0),VLOOKUP(D183,Datos!$F$31:$I$33,4,0))</f>
        <v>550000</v>
      </c>
      <c r="AC183" s="55">
        <f ca="1">(S183*PMT(Datos!$G$15,Datos!$G$14,-O183,,)*VLOOKUP(TODAY(),'UF HOY'!$A$2:$B$36,2,0)/12)+VLOOKUP(TODAY(),'UF HOY'!$A$2:$B$36,2,0)</f>
        <v>694611.98141372134</v>
      </c>
      <c r="AD183" s="55">
        <f t="shared" ca="1" si="34"/>
        <v>-144611.98141372134</v>
      </c>
      <c r="AE183" s="93">
        <f t="shared" ca="1" si="35"/>
        <v>2778447.9256548854</v>
      </c>
    </row>
    <row r="184" spans="1:31" s="3" customFormat="1" x14ac:dyDescent="0.35">
      <c r="A184" s="94" t="s">
        <v>346</v>
      </c>
      <c r="B184" s="80">
        <v>2612</v>
      </c>
      <c r="C184" s="48" t="s">
        <v>41</v>
      </c>
      <c r="D184" s="48" t="s">
        <v>37</v>
      </c>
      <c r="E184" s="48"/>
      <c r="F184" s="48">
        <v>34.630000000000003</v>
      </c>
      <c r="G184" s="48">
        <v>2.93</v>
      </c>
      <c r="H184" s="82">
        <f t="shared" si="24"/>
        <v>36.095000000000006</v>
      </c>
      <c r="I184" s="82">
        <f t="shared" si="25"/>
        <v>37.56</v>
      </c>
      <c r="J184" s="49">
        <v>4275</v>
      </c>
      <c r="K184" s="304">
        <v>0</v>
      </c>
      <c r="L184" s="48">
        <v>0</v>
      </c>
      <c r="M184" s="48">
        <v>0</v>
      </c>
      <c r="N184" s="49">
        <f t="shared" si="26"/>
        <v>3847.5</v>
      </c>
      <c r="O184" s="52">
        <f t="shared" si="27"/>
        <v>4275</v>
      </c>
      <c r="P184" s="79">
        <f t="shared" si="28"/>
        <v>106.59371104031027</v>
      </c>
      <c r="Q184" s="53">
        <f t="shared" si="29"/>
        <v>0.1</v>
      </c>
      <c r="R184" s="54">
        <f t="shared" si="30"/>
        <v>427.5</v>
      </c>
      <c r="S184" s="53">
        <v>0.8</v>
      </c>
      <c r="T184" s="54">
        <f t="shared" si="31"/>
        <v>3420</v>
      </c>
      <c r="U184" s="53">
        <f t="shared" si="32"/>
        <v>9.9999999999999978E-2</v>
      </c>
      <c r="V184" s="54">
        <f t="shared" si="33"/>
        <v>427.49999999999989</v>
      </c>
      <c r="W184" s="55">
        <f ca="1">V184*VLOOKUP(TODAY(),'UF HOY'!$A$2:$B$36,2,0)</f>
        <v>16986259.349999998</v>
      </c>
      <c r="X184" s="56">
        <f>Datos!$K$5</f>
        <v>36</v>
      </c>
      <c r="Y184" s="55">
        <f ca="1">IF((W184-Datos!$U$5-1000000)/X184&gt;0,(W184-Datos!$U$5-1000000)/X184,0)</f>
        <v>441284.98194444436</v>
      </c>
      <c r="Z184" s="56">
        <f>Datos!$K$5</f>
        <v>36</v>
      </c>
      <c r="AA184" s="55">
        <f ca="1">IF((W184-Datos!$U$5-1000000-O184*3%*VLOOKUP(TODAY(),'UF HOY'!$A$2:$B$36,2,0))/Z184&gt;0,(W184-Datos!$U$5-1000000-O184*3%*VLOOKUP(TODAY(),'UF HOY'!$A$2:$B$36,2,0))/Z184,0)</f>
        <v>299732.82069444441</v>
      </c>
      <c r="AB184" s="130" cm="1">
        <f t="array" ref="AB184">_xlfn.IFS(AND(L184=0,M184=0),VLOOKUP(D184,Datos!$F$31:$I$33,2,0),AND(L184=0,M184&gt;0),VLOOKUP(D184,Datos!$F$32:$I$33,2,0),AND(L184&gt;0,M184=0),VLOOKUP(D184,Datos!$F$32:$I$33,3,0),AND(L184&gt;0,M184&gt;0),VLOOKUP(D184,Datos!$F$31:$I$33,4,0))</f>
        <v>550000</v>
      </c>
      <c r="AC184" s="55">
        <f ca="1">(S184*PMT(Datos!$G$15,Datos!$G$14,-O184,,)*VLOOKUP(TODAY(),'UF HOY'!$A$2:$B$36,2,0)/12)+VLOOKUP(TODAY(),'UF HOY'!$A$2:$B$36,2,0)</f>
        <v>694611.98141372134</v>
      </c>
      <c r="AD184" s="55">
        <f t="shared" ca="1" si="34"/>
        <v>-144611.98141372134</v>
      </c>
      <c r="AE184" s="93">
        <f t="shared" ca="1" si="35"/>
        <v>2778447.9256548854</v>
      </c>
    </row>
    <row r="185" spans="1:31" s="3" customFormat="1" x14ac:dyDescent="0.35">
      <c r="A185" s="94" t="s">
        <v>346</v>
      </c>
      <c r="B185" s="80">
        <v>2104</v>
      </c>
      <c r="C185" s="48" t="s">
        <v>38</v>
      </c>
      <c r="D185" s="48" t="s">
        <v>37</v>
      </c>
      <c r="E185" s="48"/>
      <c r="F185" s="48">
        <v>34.74</v>
      </c>
      <c r="G185" s="48">
        <v>2.86</v>
      </c>
      <c r="H185" s="82">
        <f t="shared" si="24"/>
        <v>36.17</v>
      </c>
      <c r="I185" s="82">
        <f t="shared" si="25"/>
        <v>37.6</v>
      </c>
      <c r="J185" s="49">
        <v>4280</v>
      </c>
      <c r="K185" s="304">
        <v>0</v>
      </c>
      <c r="L185" s="48">
        <v>0</v>
      </c>
      <c r="M185" s="48">
        <v>0</v>
      </c>
      <c r="N185" s="49">
        <f t="shared" si="26"/>
        <v>3852</v>
      </c>
      <c r="O185" s="52">
        <f t="shared" si="27"/>
        <v>4280</v>
      </c>
      <c r="P185" s="79">
        <f t="shared" si="28"/>
        <v>106.4970970417473</v>
      </c>
      <c r="Q185" s="53">
        <f t="shared" si="29"/>
        <v>0.1</v>
      </c>
      <c r="R185" s="54">
        <f t="shared" si="30"/>
        <v>428</v>
      </c>
      <c r="S185" s="53">
        <v>0.8</v>
      </c>
      <c r="T185" s="54">
        <f t="shared" si="31"/>
        <v>3424</v>
      </c>
      <c r="U185" s="53">
        <f t="shared" si="32"/>
        <v>9.9999999999999978E-2</v>
      </c>
      <c r="V185" s="54">
        <f t="shared" si="33"/>
        <v>427.99999999999989</v>
      </c>
      <c r="W185" s="55">
        <f ca="1">V185*VLOOKUP(TODAY(),'UF HOY'!$A$2:$B$36,2,0)</f>
        <v>17006126.319999997</v>
      </c>
      <c r="X185" s="56">
        <f>Datos!$K$5</f>
        <v>36</v>
      </c>
      <c r="Y185" s="55">
        <f ca="1">IF((W185-Datos!$U$5-1000000)/X185&gt;0,(W185-Datos!$U$5-1000000)/X185,0)</f>
        <v>441836.84222222213</v>
      </c>
      <c r="Z185" s="56">
        <f>Datos!$K$5</f>
        <v>36</v>
      </c>
      <c r="AA185" s="55">
        <f ca="1">IF((W185-Datos!$U$5-1000000-O185*3%*VLOOKUP(TODAY(),'UF HOY'!$A$2:$B$36,2,0))/Z185&gt;0,(W185-Datos!$U$5-1000000-O185*3%*VLOOKUP(TODAY(),'UF HOY'!$A$2:$B$36,2,0))/Z185,0)</f>
        <v>300119.12288888876</v>
      </c>
      <c r="AB185" s="130" cm="1">
        <f t="array" ref="AB185">_xlfn.IFS(AND(L185=0,M185=0),VLOOKUP(D185,Datos!$F$31:$I$33,2,0),AND(L185=0,M185&gt;0),VLOOKUP(D185,Datos!$F$32:$I$33,2,0),AND(L185&gt;0,M185=0),VLOOKUP(D185,Datos!$F$32:$I$33,3,0),AND(L185&gt;0,M185&gt;0),VLOOKUP(D185,Datos!$F$31:$I$33,4,0))</f>
        <v>550000</v>
      </c>
      <c r="AC185" s="55">
        <f ca="1">(S185*PMT(Datos!$G$15,Datos!$G$14,-O185,,)*VLOOKUP(TODAY(),'UF HOY'!$A$2:$B$36,2,0)/12)+VLOOKUP(TODAY(),'UF HOY'!$A$2:$B$36,2,0)</f>
        <v>695377.92064344487</v>
      </c>
      <c r="AD185" s="55">
        <f t="shared" ca="1" si="34"/>
        <v>-145377.92064344487</v>
      </c>
      <c r="AE185" s="93">
        <f t="shared" ca="1" si="35"/>
        <v>2781511.6825737795</v>
      </c>
    </row>
    <row r="186" spans="1:31" s="3" customFormat="1" x14ac:dyDescent="0.35">
      <c r="A186" s="94" t="s">
        <v>346</v>
      </c>
      <c r="B186" s="80">
        <v>505</v>
      </c>
      <c r="C186" s="48" t="s">
        <v>38</v>
      </c>
      <c r="D186" s="48" t="s">
        <v>37</v>
      </c>
      <c r="E186" s="48"/>
      <c r="F186" s="48">
        <v>36.42</v>
      </c>
      <c r="G186" s="48">
        <v>2.81</v>
      </c>
      <c r="H186" s="82">
        <f t="shared" si="24"/>
        <v>37.825000000000003</v>
      </c>
      <c r="I186" s="82">
        <f t="shared" si="25"/>
        <v>39.230000000000004</v>
      </c>
      <c r="J186" s="49">
        <v>4285</v>
      </c>
      <c r="K186" s="304">
        <v>0</v>
      </c>
      <c r="L186" s="48">
        <v>0</v>
      </c>
      <c r="M186" s="48">
        <v>0</v>
      </c>
      <c r="N186" s="49">
        <f t="shared" si="26"/>
        <v>3856.5</v>
      </c>
      <c r="O186" s="52">
        <f t="shared" si="27"/>
        <v>4285</v>
      </c>
      <c r="P186" s="79">
        <f t="shared" si="28"/>
        <v>101.95637805684071</v>
      </c>
      <c r="Q186" s="53">
        <f t="shared" si="29"/>
        <v>0.1</v>
      </c>
      <c r="R186" s="54">
        <f t="shared" si="30"/>
        <v>428.5</v>
      </c>
      <c r="S186" s="53">
        <v>0.8</v>
      </c>
      <c r="T186" s="54">
        <f t="shared" si="31"/>
        <v>3428</v>
      </c>
      <c r="U186" s="53">
        <f t="shared" si="32"/>
        <v>9.9999999999999978E-2</v>
      </c>
      <c r="V186" s="54">
        <f t="shared" si="33"/>
        <v>428.49999999999989</v>
      </c>
      <c r="W186" s="55">
        <f ca="1">V186*VLOOKUP(TODAY(),'UF HOY'!$A$2:$B$36,2,0)</f>
        <v>17025993.289999995</v>
      </c>
      <c r="X186" s="56">
        <f>Datos!$K$5</f>
        <v>36</v>
      </c>
      <c r="Y186" s="55">
        <f ca="1">IF((W186-Datos!$U$5-1000000)/X186&gt;0,(W186-Datos!$U$5-1000000)/X186,0)</f>
        <v>442388.7024999999</v>
      </c>
      <c r="Z186" s="56">
        <f>Datos!$K$5</f>
        <v>36</v>
      </c>
      <c r="AA186" s="55">
        <f ca="1">IF((W186-Datos!$U$5-1000000-O186*3%*VLOOKUP(TODAY(),'UF HOY'!$A$2:$B$36,2,0))/Z186&gt;0,(W186-Datos!$U$5-1000000-O186*3%*VLOOKUP(TODAY(),'UF HOY'!$A$2:$B$36,2,0))/Z186,0)</f>
        <v>300505.42508333322</v>
      </c>
      <c r="AB186" s="130" cm="1">
        <f t="array" ref="AB186">_xlfn.IFS(AND(L186=0,M186=0),VLOOKUP(D186,Datos!$F$31:$I$33,2,0),AND(L186=0,M186&gt;0),VLOOKUP(D186,Datos!$F$32:$I$33,2,0),AND(L186&gt;0,M186=0),VLOOKUP(D186,Datos!$F$32:$I$33,3,0),AND(L186&gt;0,M186&gt;0),VLOOKUP(D186,Datos!$F$31:$I$33,4,0))</f>
        <v>550000</v>
      </c>
      <c r="AC186" s="55">
        <f ca="1">(S186*PMT(Datos!$G$15,Datos!$G$14,-O186,,)*VLOOKUP(TODAY(),'UF HOY'!$A$2:$B$36,2,0)/12)+VLOOKUP(TODAY(),'UF HOY'!$A$2:$B$36,2,0)</f>
        <v>696143.85987316864</v>
      </c>
      <c r="AD186" s="55">
        <f t="shared" ca="1" si="34"/>
        <v>-146143.85987316864</v>
      </c>
      <c r="AE186" s="93">
        <f t="shared" ca="1" si="35"/>
        <v>2784575.4394926745</v>
      </c>
    </row>
    <row r="187" spans="1:31" s="3" customFormat="1" x14ac:dyDescent="0.35">
      <c r="A187" s="94" t="s">
        <v>346</v>
      </c>
      <c r="B187" s="80">
        <v>1609</v>
      </c>
      <c r="C187" s="48" t="s">
        <v>40</v>
      </c>
      <c r="D187" s="48" t="s">
        <v>37</v>
      </c>
      <c r="E187" s="48"/>
      <c r="F187" s="48">
        <v>34.369999999999997</v>
      </c>
      <c r="G187" s="48">
        <v>3.28</v>
      </c>
      <c r="H187" s="82">
        <f t="shared" si="24"/>
        <v>36.01</v>
      </c>
      <c r="I187" s="82">
        <f t="shared" si="25"/>
        <v>37.65</v>
      </c>
      <c r="J187" s="49">
        <v>4285</v>
      </c>
      <c r="K187" s="304">
        <v>0</v>
      </c>
      <c r="L187" s="48">
        <v>0</v>
      </c>
      <c r="M187" s="48">
        <v>0</v>
      </c>
      <c r="N187" s="49">
        <f t="shared" si="26"/>
        <v>3856.5</v>
      </c>
      <c r="O187" s="52">
        <f t="shared" si="27"/>
        <v>4285</v>
      </c>
      <c r="P187" s="79">
        <f t="shared" si="28"/>
        <v>107.09525131907805</v>
      </c>
      <c r="Q187" s="53">
        <f t="shared" si="29"/>
        <v>0.1</v>
      </c>
      <c r="R187" s="54">
        <f t="shared" si="30"/>
        <v>428.5</v>
      </c>
      <c r="S187" s="53">
        <v>0.8</v>
      </c>
      <c r="T187" s="54">
        <f t="shared" si="31"/>
        <v>3428</v>
      </c>
      <c r="U187" s="53">
        <f t="shared" si="32"/>
        <v>9.9999999999999978E-2</v>
      </c>
      <c r="V187" s="54">
        <f t="shared" si="33"/>
        <v>428.49999999999989</v>
      </c>
      <c r="W187" s="55">
        <f ca="1">V187*VLOOKUP(TODAY(),'UF HOY'!$A$2:$B$36,2,0)</f>
        <v>17025993.289999995</v>
      </c>
      <c r="X187" s="56">
        <f>Datos!$K$5</f>
        <v>36</v>
      </c>
      <c r="Y187" s="55">
        <f ca="1">IF((W187-Datos!$U$5-1000000)/X187&gt;0,(W187-Datos!$U$5-1000000)/X187,0)</f>
        <v>442388.7024999999</v>
      </c>
      <c r="Z187" s="56">
        <f>Datos!$K$5</f>
        <v>36</v>
      </c>
      <c r="AA187" s="55">
        <f ca="1">IF((W187-Datos!$U$5-1000000-O187*3%*VLOOKUP(TODAY(),'UF HOY'!$A$2:$B$36,2,0))/Z187&gt;0,(W187-Datos!$U$5-1000000-O187*3%*VLOOKUP(TODAY(),'UF HOY'!$A$2:$B$36,2,0))/Z187,0)</f>
        <v>300505.42508333322</v>
      </c>
      <c r="AB187" s="130" cm="1">
        <f t="array" ref="AB187">_xlfn.IFS(AND(L187=0,M187=0),VLOOKUP(D187,Datos!$F$31:$I$33,2,0),AND(L187=0,M187&gt;0),VLOOKUP(D187,Datos!$F$32:$I$33,2,0),AND(L187&gt;0,M187=0),VLOOKUP(D187,Datos!$F$32:$I$33,3,0),AND(L187&gt;0,M187&gt;0),VLOOKUP(D187,Datos!$F$31:$I$33,4,0))</f>
        <v>550000</v>
      </c>
      <c r="AC187" s="55">
        <f ca="1">(S187*PMT(Datos!$G$15,Datos!$G$14,-O187,,)*VLOOKUP(TODAY(),'UF HOY'!$A$2:$B$36,2,0)/12)+VLOOKUP(TODAY(),'UF HOY'!$A$2:$B$36,2,0)</f>
        <v>696143.85987316864</v>
      </c>
      <c r="AD187" s="55">
        <f t="shared" ca="1" si="34"/>
        <v>-146143.85987316864</v>
      </c>
      <c r="AE187" s="93">
        <f t="shared" ca="1" si="35"/>
        <v>2784575.4394926745</v>
      </c>
    </row>
    <row r="188" spans="1:31" s="3" customFormat="1" x14ac:dyDescent="0.35">
      <c r="A188" s="94" t="s">
        <v>346</v>
      </c>
      <c r="B188" s="80">
        <v>1610</v>
      </c>
      <c r="C188" s="48" t="s">
        <v>40</v>
      </c>
      <c r="D188" s="48" t="s">
        <v>37</v>
      </c>
      <c r="E188" s="48"/>
      <c r="F188" s="48">
        <v>34.369999999999997</v>
      </c>
      <c r="G188" s="48">
        <v>3.28</v>
      </c>
      <c r="H188" s="82">
        <f t="shared" si="24"/>
        <v>36.01</v>
      </c>
      <c r="I188" s="82">
        <f t="shared" si="25"/>
        <v>37.65</v>
      </c>
      <c r="J188" s="49">
        <v>4285</v>
      </c>
      <c r="K188" s="304">
        <v>0</v>
      </c>
      <c r="L188" s="48">
        <v>0</v>
      </c>
      <c r="M188" s="48">
        <v>0</v>
      </c>
      <c r="N188" s="49">
        <f t="shared" si="26"/>
        <v>3856.5</v>
      </c>
      <c r="O188" s="52">
        <f t="shared" si="27"/>
        <v>4285</v>
      </c>
      <c r="P188" s="79">
        <f t="shared" si="28"/>
        <v>107.09525131907805</v>
      </c>
      <c r="Q188" s="53">
        <f t="shared" si="29"/>
        <v>0.1</v>
      </c>
      <c r="R188" s="54">
        <f t="shared" si="30"/>
        <v>428.5</v>
      </c>
      <c r="S188" s="53">
        <v>0.8</v>
      </c>
      <c r="T188" s="54">
        <f t="shared" si="31"/>
        <v>3428</v>
      </c>
      <c r="U188" s="53">
        <f t="shared" si="32"/>
        <v>9.9999999999999978E-2</v>
      </c>
      <c r="V188" s="54">
        <f t="shared" si="33"/>
        <v>428.49999999999989</v>
      </c>
      <c r="W188" s="55">
        <f ca="1">V188*VLOOKUP(TODAY(),'UF HOY'!$A$2:$B$36,2,0)</f>
        <v>17025993.289999995</v>
      </c>
      <c r="X188" s="56">
        <f>Datos!$K$5</f>
        <v>36</v>
      </c>
      <c r="Y188" s="55">
        <f ca="1">IF((W188-Datos!$U$5-1000000)/X188&gt;0,(W188-Datos!$U$5-1000000)/X188,0)</f>
        <v>442388.7024999999</v>
      </c>
      <c r="Z188" s="56">
        <f>Datos!$K$5</f>
        <v>36</v>
      </c>
      <c r="AA188" s="55">
        <f ca="1">IF((W188-Datos!$U$5-1000000-O188*3%*VLOOKUP(TODAY(),'UF HOY'!$A$2:$B$36,2,0))/Z188&gt;0,(W188-Datos!$U$5-1000000-O188*3%*VLOOKUP(TODAY(),'UF HOY'!$A$2:$B$36,2,0))/Z188,0)</f>
        <v>300505.42508333322</v>
      </c>
      <c r="AB188" s="130" cm="1">
        <f t="array" ref="AB188">_xlfn.IFS(AND(L188=0,M188=0),VLOOKUP(D188,Datos!$F$31:$I$33,2,0),AND(L188=0,M188&gt;0),VLOOKUP(D188,Datos!$F$32:$I$33,2,0),AND(L188&gt;0,M188=0),VLOOKUP(D188,Datos!$F$32:$I$33,3,0),AND(L188&gt;0,M188&gt;0),VLOOKUP(D188,Datos!$F$31:$I$33,4,0))</f>
        <v>550000</v>
      </c>
      <c r="AC188" s="55">
        <f ca="1">(S188*PMT(Datos!$G$15,Datos!$G$14,-O188,,)*VLOOKUP(TODAY(),'UF HOY'!$A$2:$B$36,2,0)/12)+VLOOKUP(TODAY(),'UF HOY'!$A$2:$B$36,2,0)</f>
        <v>696143.85987316864</v>
      </c>
      <c r="AD188" s="55">
        <f t="shared" ca="1" si="34"/>
        <v>-146143.85987316864</v>
      </c>
      <c r="AE188" s="93">
        <f t="shared" ca="1" si="35"/>
        <v>2784575.4394926745</v>
      </c>
    </row>
    <row r="189" spans="1:31" s="3" customFormat="1" x14ac:dyDescent="0.35">
      <c r="A189" s="94" t="s">
        <v>346</v>
      </c>
      <c r="B189" s="80">
        <v>2002</v>
      </c>
      <c r="C189" s="48" t="s">
        <v>38</v>
      </c>
      <c r="D189" s="48" t="s">
        <v>37</v>
      </c>
      <c r="E189" s="48"/>
      <c r="F189" s="48">
        <v>34.89</v>
      </c>
      <c r="G189" s="48">
        <v>2.83</v>
      </c>
      <c r="H189" s="82">
        <f t="shared" si="24"/>
        <v>36.305</v>
      </c>
      <c r="I189" s="82">
        <f t="shared" si="25"/>
        <v>37.72</v>
      </c>
      <c r="J189" s="49">
        <v>4285</v>
      </c>
      <c r="K189" s="304">
        <v>0</v>
      </c>
      <c r="L189" s="48">
        <v>0</v>
      </c>
      <c r="M189" s="48">
        <v>0</v>
      </c>
      <c r="N189" s="49">
        <f t="shared" si="26"/>
        <v>3856.5</v>
      </c>
      <c r="O189" s="52">
        <f t="shared" si="27"/>
        <v>4285</v>
      </c>
      <c r="P189" s="79">
        <f t="shared" si="28"/>
        <v>106.22503787357114</v>
      </c>
      <c r="Q189" s="53">
        <f t="shared" si="29"/>
        <v>0.1</v>
      </c>
      <c r="R189" s="54">
        <f t="shared" si="30"/>
        <v>428.5</v>
      </c>
      <c r="S189" s="53">
        <v>0.8</v>
      </c>
      <c r="T189" s="54">
        <f t="shared" si="31"/>
        <v>3428</v>
      </c>
      <c r="U189" s="53">
        <f t="shared" si="32"/>
        <v>9.9999999999999978E-2</v>
      </c>
      <c r="V189" s="54">
        <f t="shared" si="33"/>
        <v>428.49999999999989</v>
      </c>
      <c r="W189" s="55">
        <f ca="1">V189*VLOOKUP(TODAY(),'UF HOY'!$A$2:$B$36,2,0)</f>
        <v>17025993.289999995</v>
      </c>
      <c r="X189" s="56">
        <f>Datos!$K$5</f>
        <v>36</v>
      </c>
      <c r="Y189" s="55">
        <f ca="1">IF((W189-Datos!$U$5-1000000)/X189&gt;0,(W189-Datos!$U$5-1000000)/X189,0)</f>
        <v>442388.7024999999</v>
      </c>
      <c r="Z189" s="56">
        <f>Datos!$K$5</f>
        <v>36</v>
      </c>
      <c r="AA189" s="55">
        <f ca="1">IF((W189-Datos!$U$5-1000000-O189*3%*VLOOKUP(TODAY(),'UF HOY'!$A$2:$B$36,2,0))/Z189&gt;0,(W189-Datos!$U$5-1000000-O189*3%*VLOOKUP(TODAY(),'UF HOY'!$A$2:$B$36,2,0))/Z189,0)</f>
        <v>300505.42508333322</v>
      </c>
      <c r="AB189" s="130" cm="1">
        <f t="array" ref="AB189">_xlfn.IFS(AND(L189=0,M189=0),VLOOKUP(D189,Datos!$F$31:$I$33,2,0),AND(L189=0,M189&gt;0),VLOOKUP(D189,Datos!$F$32:$I$33,2,0),AND(L189&gt;0,M189=0),VLOOKUP(D189,Datos!$F$32:$I$33,3,0),AND(L189&gt;0,M189&gt;0),VLOOKUP(D189,Datos!$F$31:$I$33,4,0))</f>
        <v>550000</v>
      </c>
      <c r="AC189" s="55">
        <f ca="1">(S189*PMT(Datos!$G$15,Datos!$G$14,-O189,,)*VLOOKUP(TODAY(),'UF HOY'!$A$2:$B$36,2,0)/12)+VLOOKUP(TODAY(),'UF HOY'!$A$2:$B$36,2,0)</f>
        <v>696143.85987316864</v>
      </c>
      <c r="AD189" s="55">
        <f t="shared" ca="1" si="34"/>
        <v>-146143.85987316864</v>
      </c>
      <c r="AE189" s="93">
        <f t="shared" ca="1" si="35"/>
        <v>2784575.4394926745</v>
      </c>
    </row>
    <row r="190" spans="1:31" s="3" customFormat="1" x14ac:dyDescent="0.35">
      <c r="A190" s="94" t="s">
        <v>346</v>
      </c>
      <c r="B190" s="80">
        <v>2103</v>
      </c>
      <c r="C190" s="48" t="s">
        <v>38</v>
      </c>
      <c r="D190" s="48" t="s">
        <v>37</v>
      </c>
      <c r="E190" s="48"/>
      <c r="F190" s="48">
        <v>34.79</v>
      </c>
      <c r="G190" s="48">
        <v>2.83</v>
      </c>
      <c r="H190" s="82">
        <f t="shared" si="24"/>
        <v>36.204999999999998</v>
      </c>
      <c r="I190" s="82">
        <f t="shared" si="25"/>
        <v>37.619999999999997</v>
      </c>
      <c r="J190" s="49">
        <v>4285</v>
      </c>
      <c r="K190" s="304">
        <v>0</v>
      </c>
      <c r="L190" s="48">
        <v>0</v>
      </c>
      <c r="M190" s="48">
        <v>0</v>
      </c>
      <c r="N190" s="49">
        <f t="shared" si="26"/>
        <v>3856.5</v>
      </c>
      <c r="O190" s="52">
        <f t="shared" si="27"/>
        <v>4285</v>
      </c>
      <c r="P190" s="79">
        <f t="shared" si="28"/>
        <v>106.51843668001658</v>
      </c>
      <c r="Q190" s="53">
        <f t="shared" si="29"/>
        <v>0.1</v>
      </c>
      <c r="R190" s="54">
        <f t="shared" si="30"/>
        <v>428.5</v>
      </c>
      <c r="S190" s="53">
        <v>0.8</v>
      </c>
      <c r="T190" s="54">
        <f t="shared" si="31"/>
        <v>3428</v>
      </c>
      <c r="U190" s="53">
        <f t="shared" si="32"/>
        <v>9.9999999999999978E-2</v>
      </c>
      <c r="V190" s="54">
        <f t="shared" si="33"/>
        <v>428.49999999999989</v>
      </c>
      <c r="W190" s="55">
        <f ca="1">V190*VLOOKUP(TODAY(),'UF HOY'!$A$2:$B$36,2,0)</f>
        <v>17025993.289999995</v>
      </c>
      <c r="X190" s="56">
        <f>Datos!$K$5</f>
        <v>36</v>
      </c>
      <c r="Y190" s="55">
        <f ca="1">IF((W190-Datos!$U$5-1000000)/X190&gt;0,(W190-Datos!$U$5-1000000)/X190,0)</f>
        <v>442388.7024999999</v>
      </c>
      <c r="Z190" s="56">
        <f>Datos!$K$5</f>
        <v>36</v>
      </c>
      <c r="AA190" s="55">
        <f ca="1">IF((W190-Datos!$U$5-1000000-O190*3%*VLOOKUP(TODAY(),'UF HOY'!$A$2:$B$36,2,0))/Z190&gt;0,(W190-Datos!$U$5-1000000-O190*3%*VLOOKUP(TODAY(),'UF HOY'!$A$2:$B$36,2,0))/Z190,0)</f>
        <v>300505.42508333322</v>
      </c>
      <c r="AB190" s="130" cm="1">
        <f t="array" ref="AB190">_xlfn.IFS(AND(L190=0,M190=0),VLOOKUP(D190,Datos!$F$31:$I$33,2,0),AND(L190=0,M190&gt;0),VLOOKUP(D190,Datos!$F$32:$I$33,2,0),AND(L190&gt;0,M190=0),VLOOKUP(D190,Datos!$F$32:$I$33,3,0),AND(L190&gt;0,M190&gt;0),VLOOKUP(D190,Datos!$F$31:$I$33,4,0))</f>
        <v>550000</v>
      </c>
      <c r="AC190" s="55">
        <f ca="1">(S190*PMT(Datos!$G$15,Datos!$G$14,-O190,,)*VLOOKUP(TODAY(),'UF HOY'!$A$2:$B$36,2,0)/12)+VLOOKUP(TODAY(),'UF HOY'!$A$2:$B$36,2,0)</f>
        <v>696143.85987316864</v>
      </c>
      <c r="AD190" s="55">
        <f t="shared" ca="1" si="34"/>
        <v>-146143.85987316864</v>
      </c>
      <c r="AE190" s="93">
        <f t="shared" ca="1" si="35"/>
        <v>2784575.4394926745</v>
      </c>
    </row>
    <row r="191" spans="1:31" s="3" customFormat="1" x14ac:dyDescent="0.35">
      <c r="A191" s="94" t="s">
        <v>346</v>
      </c>
      <c r="B191" s="80">
        <v>2613</v>
      </c>
      <c r="C191" s="48" t="s">
        <v>41</v>
      </c>
      <c r="D191" s="48" t="s">
        <v>37</v>
      </c>
      <c r="E191" s="48"/>
      <c r="F191" s="48">
        <v>34.69</v>
      </c>
      <c r="G191" s="48">
        <v>2.93</v>
      </c>
      <c r="H191" s="82">
        <f t="shared" si="24"/>
        <v>36.155000000000001</v>
      </c>
      <c r="I191" s="82">
        <f t="shared" si="25"/>
        <v>37.619999999999997</v>
      </c>
      <c r="J191" s="49">
        <v>4285</v>
      </c>
      <c r="K191" s="304">
        <v>0</v>
      </c>
      <c r="L191" s="48">
        <v>0</v>
      </c>
      <c r="M191" s="48">
        <v>0</v>
      </c>
      <c r="N191" s="49">
        <f t="shared" si="26"/>
        <v>3856.5</v>
      </c>
      <c r="O191" s="52">
        <f t="shared" si="27"/>
        <v>4285</v>
      </c>
      <c r="P191" s="79">
        <f t="shared" si="28"/>
        <v>106.66574471027521</v>
      </c>
      <c r="Q191" s="53">
        <f t="shared" si="29"/>
        <v>0.1</v>
      </c>
      <c r="R191" s="54">
        <f t="shared" si="30"/>
        <v>428.5</v>
      </c>
      <c r="S191" s="53">
        <v>0.8</v>
      </c>
      <c r="T191" s="54">
        <f t="shared" si="31"/>
        <v>3428</v>
      </c>
      <c r="U191" s="53">
        <f t="shared" si="32"/>
        <v>9.9999999999999978E-2</v>
      </c>
      <c r="V191" s="54">
        <f t="shared" si="33"/>
        <v>428.49999999999989</v>
      </c>
      <c r="W191" s="55">
        <f ca="1">V191*VLOOKUP(TODAY(),'UF HOY'!$A$2:$B$36,2,0)</f>
        <v>17025993.289999995</v>
      </c>
      <c r="X191" s="56">
        <f>Datos!$K$5</f>
        <v>36</v>
      </c>
      <c r="Y191" s="55">
        <f ca="1">IF((W191-Datos!$U$5-1000000)/X191&gt;0,(W191-Datos!$U$5-1000000)/X191,0)</f>
        <v>442388.7024999999</v>
      </c>
      <c r="Z191" s="56">
        <f>Datos!$K$5</f>
        <v>36</v>
      </c>
      <c r="AA191" s="55">
        <f ca="1">IF((W191-Datos!$U$5-1000000-O191*3%*VLOOKUP(TODAY(),'UF HOY'!$A$2:$B$36,2,0))/Z191&gt;0,(W191-Datos!$U$5-1000000-O191*3%*VLOOKUP(TODAY(),'UF HOY'!$A$2:$B$36,2,0))/Z191,0)</f>
        <v>300505.42508333322</v>
      </c>
      <c r="AB191" s="130" cm="1">
        <f t="array" ref="AB191">_xlfn.IFS(AND(L191=0,M191=0),VLOOKUP(D191,Datos!$F$31:$I$33,2,0),AND(L191=0,M191&gt;0),VLOOKUP(D191,Datos!$F$32:$I$33,2,0),AND(L191&gt;0,M191=0),VLOOKUP(D191,Datos!$F$32:$I$33,3,0),AND(L191&gt;0,M191&gt;0),VLOOKUP(D191,Datos!$F$31:$I$33,4,0))</f>
        <v>550000</v>
      </c>
      <c r="AC191" s="55">
        <f ca="1">(S191*PMT(Datos!$G$15,Datos!$G$14,-O191,,)*VLOOKUP(TODAY(),'UF HOY'!$A$2:$B$36,2,0)/12)+VLOOKUP(TODAY(),'UF HOY'!$A$2:$B$36,2,0)</f>
        <v>696143.85987316864</v>
      </c>
      <c r="AD191" s="55">
        <f t="shared" ca="1" si="34"/>
        <v>-146143.85987316864</v>
      </c>
      <c r="AE191" s="93">
        <f t="shared" ca="1" si="35"/>
        <v>2784575.4394926745</v>
      </c>
    </row>
    <row r="192" spans="1:31" s="3" customFormat="1" x14ac:dyDescent="0.35">
      <c r="A192" s="94" t="s">
        <v>346</v>
      </c>
      <c r="B192" s="80">
        <v>2712</v>
      </c>
      <c r="C192" s="48" t="s">
        <v>41</v>
      </c>
      <c r="D192" s="48" t="s">
        <v>37</v>
      </c>
      <c r="E192" s="48"/>
      <c r="F192" s="48">
        <v>34.630000000000003</v>
      </c>
      <c r="G192" s="48">
        <v>2.93</v>
      </c>
      <c r="H192" s="82">
        <f t="shared" si="24"/>
        <v>36.095000000000006</v>
      </c>
      <c r="I192" s="82">
        <f t="shared" si="25"/>
        <v>37.56</v>
      </c>
      <c r="J192" s="49">
        <v>4285</v>
      </c>
      <c r="K192" s="304">
        <v>0</v>
      </c>
      <c r="L192" s="48">
        <v>0</v>
      </c>
      <c r="M192" s="48">
        <v>0</v>
      </c>
      <c r="N192" s="49">
        <f t="shared" si="26"/>
        <v>3856.5</v>
      </c>
      <c r="O192" s="52">
        <f t="shared" si="27"/>
        <v>4285</v>
      </c>
      <c r="P192" s="79">
        <f t="shared" si="28"/>
        <v>106.84305305443965</v>
      </c>
      <c r="Q192" s="53">
        <f t="shared" si="29"/>
        <v>0.1</v>
      </c>
      <c r="R192" s="54">
        <f t="shared" si="30"/>
        <v>428.5</v>
      </c>
      <c r="S192" s="53">
        <v>0.8</v>
      </c>
      <c r="T192" s="54">
        <f t="shared" si="31"/>
        <v>3428</v>
      </c>
      <c r="U192" s="53">
        <f t="shared" si="32"/>
        <v>9.9999999999999978E-2</v>
      </c>
      <c r="V192" s="54">
        <f t="shared" si="33"/>
        <v>428.49999999999989</v>
      </c>
      <c r="W192" s="55">
        <f ca="1">V192*VLOOKUP(TODAY(),'UF HOY'!$A$2:$B$36,2,0)</f>
        <v>17025993.289999995</v>
      </c>
      <c r="X192" s="56">
        <f>Datos!$K$5</f>
        <v>36</v>
      </c>
      <c r="Y192" s="55">
        <f ca="1">IF((W192-Datos!$U$5-1000000)/X192&gt;0,(W192-Datos!$U$5-1000000)/X192,0)</f>
        <v>442388.7024999999</v>
      </c>
      <c r="Z192" s="56">
        <f>Datos!$K$5</f>
        <v>36</v>
      </c>
      <c r="AA192" s="55">
        <f ca="1">IF((W192-Datos!$U$5-1000000-O192*3%*VLOOKUP(TODAY(),'UF HOY'!$A$2:$B$36,2,0))/Z192&gt;0,(W192-Datos!$U$5-1000000-O192*3%*VLOOKUP(TODAY(),'UF HOY'!$A$2:$B$36,2,0))/Z192,0)</f>
        <v>300505.42508333322</v>
      </c>
      <c r="AB192" s="130" cm="1">
        <f t="array" ref="AB192">_xlfn.IFS(AND(L192=0,M192=0),VLOOKUP(D192,Datos!$F$31:$I$33,2,0),AND(L192=0,M192&gt;0),VLOOKUP(D192,Datos!$F$32:$I$33,2,0),AND(L192&gt;0,M192=0),VLOOKUP(D192,Datos!$F$32:$I$33,3,0),AND(L192&gt;0,M192&gt;0),VLOOKUP(D192,Datos!$F$31:$I$33,4,0))</f>
        <v>550000</v>
      </c>
      <c r="AC192" s="55">
        <f ca="1">(S192*PMT(Datos!$G$15,Datos!$G$14,-O192,,)*VLOOKUP(TODAY(),'UF HOY'!$A$2:$B$36,2,0)/12)+VLOOKUP(TODAY(),'UF HOY'!$A$2:$B$36,2,0)</f>
        <v>696143.85987316864</v>
      </c>
      <c r="AD192" s="55">
        <f t="shared" ca="1" si="34"/>
        <v>-146143.85987316864</v>
      </c>
      <c r="AE192" s="93">
        <f t="shared" ca="1" si="35"/>
        <v>2784575.4394926745</v>
      </c>
    </row>
    <row r="193" spans="1:31" s="3" customFormat="1" x14ac:dyDescent="0.35">
      <c r="A193" s="94" t="s">
        <v>346</v>
      </c>
      <c r="B193" s="80">
        <v>2912</v>
      </c>
      <c r="C193" s="48" t="s">
        <v>41</v>
      </c>
      <c r="D193" s="48" t="s">
        <v>37</v>
      </c>
      <c r="E193" s="48"/>
      <c r="F193" s="48">
        <v>34.630000000000003</v>
      </c>
      <c r="G193" s="48">
        <v>2.93</v>
      </c>
      <c r="H193" s="82">
        <f t="shared" si="24"/>
        <v>36.095000000000006</v>
      </c>
      <c r="I193" s="82">
        <f t="shared" si="25"/>
        <v>37.56</v>
      </c>
      <c r="J193" s="49">
        <v>4285</v>
      </c>
      <c r="K193" s="304">
        <v>0</v>
      </c>
      <c r="L193" s="48">
        <v>0</v>
      </c>
      <c r="M193" s="48">
        <v>0</v>
      </c>
      <c r="N193" s="49">
        <f t="shared" si="26"/>
        <v>3856.5</v>
      </c>
      <c r="O193" s="52">
        <f t="shared" si="27"/>
        <v>4285</v>
      </c>
      <c r="P193" s="79">
        <f t="shared" si="28"/>
        <v>106.84305305443965</v>
      </c>
      <c r="Q193" s="53">
        <f t="shared" si="29"/>
        <v>0.1</v>
      </c>
      <c r="R193" s="54">
        <f t="shared" si="30"/>
        <v>428.5</v>
      </c>
      <c r="S193" s="53">
        <v>0.8</v>
      </c>
      <c r="T193" s="54">
        <f t="shared" si="31"/>
        <v>3428</v>
      </c>
      <c r="U193" s="53">
        <f t="shared" si="32"/>
        <v>9.9999999999999978E-2</v>
      </c>
      <c r="V193" s="54">
        <f t="shared" si="33"/>
        <v>428.49999999999989</v>
      </c>
      <c r="W193" s="55">
        <f ca="1">V193*VLOOKUP(TODAY(),'UF HOY'!$A$2:$B$36,2,0)</f>
        <v>17025993.289999995</v>
      </c>
      <c r="X193" s="56">
        <f>Datos!$K$5</f>
        <v>36</v>
      </c>
      <c r="Y193" s="55">
        <f ca="1">IF((W193-Datos!$U$5-1000000)/X193&gt;0,(W193-Datos!$U$5-1000000)/X193,0)</f>
        <v>442388.7024999999</v>
      </c>
      <c r="Z193" s="56">
        <f>Datos!$K$5</f>
        <v>36</v>
      </c>
      <c r="AA193" s="55">
        <f ca="1">IF((W193-Datos!$U$5-1000000-O193*3%*VLOOKUP(TODAY(),'UF HOY'!$A$2:$B$36,2,0))/Z193&gt;0,(W193-Datos!$U$5-1000000-O193*3%*VLOOKUP(TODAY(),'UF HOY'!$A$2:$B$36,2,0))/Z193,0)</f>
        <v>300505.42508333322</v>
      </c>
      <c r="AB193" s="130" cm="1">
        <f t="array" ref="AB193">_xlfn.IFS(AND(L193=0,M193=0),VLOOKUP(D193,Datos!$F$31:$I$33,2,0),AND(L193=0,M193&gt;0),VLOOKUP(D193,Datos!$F$32:$I$33,2,0),AND(L193&gt;0,M193=0),VLOOKUP(D193,Datos!$F$32:$I$33,3,0),AND(L193&gt;0,M193&gt;0),VLOOKUP(D193,Datos!$F$31:$I$33,4,0))</f>
        <v>550000</v>
      </c>
      <c r="AC193" s="55">
        <f ca="1">(S193*PMT(Datos!$G$15,Datos!$G$14,-O193,,)*VLOOKUP(TODAY(),'UF HOY'!$A$2:$B$36,2,0)/12)+VLOOKUP(TODAY(),'UF HOY'!$A$2:$B$36,2,0)</f>
        <v>696143.85987316864</v>
      </c>
      <c r="AD193" s="55">
        <f t="shared" ca="1" si="34"/>
        <v>-146143.85987316864</v>
      </c>
      <c r="AE193" s="93">
        <f t="shared" ca="1" si="35"/>
        <v>2784575.4394926745</v>
      </c>
    </row>
    <row r="194" spans="1:31" s="3" customFormat="1" x14ac:dyDescent="0.35">
      <c r="A194" s="94" t="s">
        <v>346</v>
      </c>
      <c r="B194" s="80">
        <v>1001</v>
      </c>
      <c r="C194" s="48" t="s">
        <v>41</v>
      </c>
      <c r="D194" s="48" t="s">
        <v>37</v>
      </c>
      <c r="E194" s="48"/>
      <c r="F194" s="48">
        <v>35.619999999999997</v>
      </c>
      <c r="G194" s="48">
        <v>2.96</v>
      </c>
      <c r="H194" s="82">
        <f t="shared" ref="H194:H257" si="36">F194+(G194/2)</f>
        <v>37.099999999999994</v>
      </c>
      <c r="I194" s="82">
        <f t="shared" ref="I194:I257" si="37">F194+G194</f>
        <v>38.58</v>
      </c>
      <c r="J194" s="49">
        <v>4290</v>
      </c>
      <c r="K194" s="304">
        <v>0</v>
      </c>
      <c r="L194" s="48">
        <v>0</v>
      </c>
      <c r="M194" s="48">
        <v>0</v>
      </c>
      <c r="N194" s="49">
        <f t="shared" ref="N194:N257" si="38">O194-R194</f>
        <v>3861</v>
      </c>
      <c r="O194" s="52">
        <f t="shared" ref="O194:O257" si="39">J194*(100%-K194)+L194+M194</f>
        <v>4290</v>
      </c>
      <c r="P194" s="79">
        <f t="shared" ref="P194:P257" si="40">(N194-L194-M194)/H194</f>
        <v>104.07008086253371</v>
      </c>
      <c r="Q194" s="53">
        <f t="shared" ref="Q194:Q257" si="41">IF((O194-N194)/O194&gt;10%,10%,ROUND(IF(O194&gt;N194,(O194-N194)/O194,0),4))</f>
        <v>0.1</v>
      </c>
      <c r="R194" s="54">
        <f t="shared" ref="R194:R257" si="42">(J194-J194*K194)*0.1</f>
        <v>429</v>
      </c>
      <c r="S194" s="53">
        <v>0.8</v>
      </c>
      <c r="T194" s="54">
        <f t="shared" ref="T194:T257" si="43">S194*O194</f>
        <v>3432</v>
      </c>
      <c r="U194" s="53">
        <f t="shared" ref="U194:U257" si="44">100%-Q194-S194</f>
        <v>9.9999999999999978E-2</v>
      </c>
      <c r="V194" s="54">
        <f t="shared" ref="V194:V257" si="45">O194*U194</f>
        <v>428.99999999999989</v>
      </c>
      <c r="W194" s="55">
        <f ca="1">V194*VLOOKUP(TODAY(),'UF HOY'!$A$2:$B$36,2,0)</f>
        <v>17045860.259999998</v>
      </c>
      <c r="X194" s="56">
        <f>Datos!$K$5</f>
        <v>36</v>
      </c>
      <c r="Y194" s="55">
        <f ca="1">IF((W194-Datos!$U$5-1000000)/X194&gt;0,(W194-Datos!$U$5-1000000)/X194,0)</f>
        <v>442940.56277777773</v>
      </c>
      <c r="Z194" s="56">
        <f>Datos!$K$5</f>
        <v>36</v>
      </c>
      <c r="AA194" s="55">
        <f ca="1">IF((W194-Datos!$U$5-1000000-O194*3%*VLOOKUP(TODAY(),'UF HOY'!$A$2:$B$36,2,0))/Z194&gt;0,(W194-Datos!$U$5-1000000-O194*3%*VLOOKUP(TODAY(),'UF HOY'!$A$2:$B$36,2,0))/Z194,0)</f>
        <v>300891.72727777774</v>
      </c>
      <c r="AB194" s="130" cm="1">
        <f t="array" ref="AB194">_xlfn.IFS(AND(L194=0,M194=0),VLOOKUP(D194,Datos!$F$31:$I$33,2,0),AND(L194=0,M194&gt;0),VLOOKUP(D194,Datos!$F$32:$I$33,2,0),AND(L194&gt;0,M194=0),VLOOKUP(D194,Datos!$F$32:$I$33,3,0),AND(L194&gt;0,M194&gt;0),VLOOKUP(D194,Datos!$F$31:$I$33,4,0))</f>
        <v>550000</v>
      </c>
      <c r="AC194" s="55">
        <f ca="1">(S194*PMT(Datos!$G$15,Datos!$G$14,-O194,,)*VLOOKUP(TODAY(),'UF HOY'!$A$2:$B$36,2,0)/12)+VLOOKUP(TODAY(),'UF HOY'!$A$2:$B$36,2,0)</f>
        <v>696909.79910289217</v>
      </c>
      <c r="AD194" s="55">
        <f t="shared" ref="AD194:AD257" ca="1" si="46">AB194-AC194</f>
        <v>-146909.79910289217</v>
      </c>
      <c r="AE194" s="93">
        <f t="shared" ca="1" si="35"/>
        <v>2787639.1964115687</v>
      </c>
    </row>
    <row r="195" spans="1:31" s="3" customFormat="1" x14ac:dyDescent="0.35">
      <c r="A195" s="94" t="s">
        <v>346</v>
      </c>
      <c r="B195" s="80">
        <v>2204</v>
      </c>
      <c r="C195" s="48" t="s">
        <v>38</v>
      </c>
      <c r="D195" s="48" t="s">
        <v>37</v>
      </c>
      <c r="E195" s="48"/>
      <c r="F195" s="48">
        <v>34.74</v>
      </c>
      <c r="G195" s="48">
        <v>2.86</v>
      </c>
      <c r="H195" s="82">
        <f t="shared" si="36"/>
        <v>36.17</v>
      </c>
      <c r="I195" s="82">
        <f t="shared" si="37"/>
        <v>37.6</v>
      </c>
      <c r="J195" s="49">
        <v>4290</v>
      </c>
      <c r="K195" s="304">
        <v>0</v>
      </c>
      <c r="L195" s="48">
        <v>0</v>
      </c>
      <c r="M195" s="48">
        <v>0</v>
      </c>
      <c r="N195" s="49">
        <f t="shared" si="38"/>
        <v>3861</v>
      </c>
      <c r="O195" s="52">
        <f t="shared" si="39"/>
        <v>4290</v>
      </c>
      <c r="P195" s="79">
        <f t="shared" si="40"/>
        <v>106.74592203483549</v>
      </c>
      <c r="Q195" s="53">
        <f t="shared" si="41"/>
        <v>0.1</v>
      </c>
      <c r="R195" s="54">
        <f t="shared" si="42"/>
        <v>429</v>
      </c>
      <c r="S195" s="53">
        <v>0.8</v>
      </c>
      <c r="T195" s="54">
        <f t="shared" si="43"/>
        <v>3432</v>
      </c>
      <c r="U195" s="53">
        <f t="shared" si="44"/>
        <v>9.9999999999999978E-2</v>
      </c>
      <c r="V195" s="54">
        <f t="shared" si="45"/>
        <v>428.99999999999989</v>
      </c>
      <c r="W195" s="55">
        <f ca="1">V195*VLOOKUP(TODAY(),'UF HOY'!$A$2:$B$36,2,0)</f>
        <v>17045860.259999998</v>
      </c>
      <c r="X195" s="56">
        <f>Datos!$K$5</f>
        <v>36</v>
      </c>
      <c r="Y195" s="55">
        <f ca="1">IF((W195-Datos!$U$5-1000000)/X195&gt;0,(W195-Datos!$U$5-1000000)/X195,0)</f>
        <v>442940.56277777773</v>
      </c>
      <c r="Z195" s="56">
        <f>Datos!$K$5</f>
        <v>36</v>
      </c>
      <c r="AA195" s="55">
        <f ca="1">IF((W195-Datos!$U$5-1000000-O195*3%*VLOOKUP(TODAY(),'UF HOY'!$A$2:$B$36,2,0))/Z195&gt;0,(W195-Datos!$U$5-1000000-O195*3%*VLOOKUP(TODAY(),'UF HOY'!$A$2:$B$36,2,0))/Z195,0)</f>
        <v>300891.72727777774</v>
      </c>
      <c r="AB195" s="130" cm="1">
        <f t="array" ref="AB195">_xlfn.IFS(AND(L195=0,M195=0),VLOOKUP(D195,Datos!$F$31:$I$33,2,0),AND(L195=0,M195&gt;0),VLOOKUP(D195,Datos!$F$32:$I$33,2,0),AND(L195&gt;0,M195=0),VLOOKUP(D195,Datos!$F$32:$I$33,3,0),AND(L195&gt;0,M195&gt;0),VLOOKUP(D195,Datos!$F$31:$I$33,4,0))</f>
        <v>550000</v>
      </c>
      <c r="AC195" s="55">
        <f ca="1">(S195*PMT(Datos!$G$15,Datos!$G$14,-O195,,)*VLOOKUP(TODAY(),'UF HOY'!$A$2:$B$36,2,0)/12)+VLOOKUP(TODAY(),'UF HOY'!$A$2:$B$36,2,0)</f>
        <v>696909.79910289217</v>
      </c>
      <c r="AD195" s="55">
        <f t="shared" ca="1" si="46"/>
        <v>-146909.79910289217</v>
      </c>
      <c r="AE195" s="93">
        <f t="shared" ref="AE195:AE258" ca="1" si="47">IF((AC195/0.25)&lt;=1600000,1600000,(AC195/0.25))</f>
        <v>2787639.1964115687</v>
      </c>
    </row>
    <row r="196" spans="1:31" s="3" customFormat="1" x14ac:dyDescent="0.35">
      <c r="A196" s="94" t="s">
        <v>346</v>
      </c>
      <c r="B196" s="80">
        <v>2713</v>
      </c>
      <c r="C196" s="48" t="s">
        <v>41</v>
      </c>
      <c r="D196" s="48" t="s">
        <v>37</v>
      </c>
      <c r="E196" s="48"/>
      <c r="F196" s="48">
        <v>34.69</v>
      </c>
      <c r="G196" s="48">
        <v>2.93</v>
      </c>
      <c r="H196" s="82">
        <f t="shared" si="36"/>
        <v>36.155000000000001</v>
      </c>
      <c r="I196" s="82">
        <f t="shared" si="37"/>
        <v>37.619999999999997</v>
      </c>
      <c r="J196" s="49">
        <v>4290</v>
      </c>
      <c r="K196" s="304">
        <v>0</v>
      </c>
      <c r="L196" s="48">
        <v>0</v>
      </c>
      <c r="M196" s="48">
        <v>0</v>
      </c>
      <c r="N196" s="49">
        <f t="shared" si="38"/>
        <v>3861</v>
      </c>
      <c r="O196" s="52">
        <f t="shared" si="39"/>
        <v>4290</v>
      </c>
      <c r="P196" s="79">
        <f t="shared" si="40"/>
        <v>106.79020882312267</v>
      </c>
      <c r="Q196" s="53">
        <f t="shared" si="41"/>
        <v>0.1</v>
      </c>
      <c r="R196" s="54">
        <f t="shared" si="42"/>
        <v>429</v>
      </c>
      <c r="S196" s="53">
        <v>0.8</v>
      </c>
      <c r="T196" s="54">
        <f t="shared" si="43"/>
        <v>3432</v>
      </c>
      <c r="U196" s="53">
        <f t="shared" si="44"/>
        <v>9.9999999999999978E-2</v>
      </c>
      <c r="V196" s="54">
        <f t="shared" si="45"/>
        <v>428.99999999999989</v>
      </c>
      <c r="W196" s="55">
        <f ca="1">V196*VLOOKUP(TODAY(),'UF HOY'!$A$2:$B$36,2,0)</f>
        <v>17045860.259999998</v>
      </c>
      <c r="X196" s="56">
        <f>Datos!$K$5</f>
        <v>36</v>
      </c>
      <c r="Y196" s="55">
        <f ca="1">IF((W196-Datos!$U$5-1000000)/X196&gt;0,(W196-Datos!$U$5-1000000)/X196,0)</f>
        <v>442940.56277777773</v>
      </c>
      <c r="Z196" s="56">
        <f>Datos!$K$5</f>
        <v>36</v>
      </c>
      <c r="AA196" s="55">
        <f ca="1">IF((W196-Datos!$U$5-1000000-O196*3%*VLOOKUP(TODAY(),'UF HOY'!$A$2:$B$36,2,0))/Z196&gt;0,(W196-Datos!$U$5-1000000-O196*3%*VLOOKUP(TODAY(),'UF HOY'!$A$2:$B$36,2,0))/Z196,0)</f>
        <v>300891.72727777774</v>
      </c>
      <c r="AB196" s="130" cm="1">
        <f t="array" ref="AB196">_xlfn.IFS(AND(L196=0,M196=0),VLOOKUP(D196,Datos!$F$31:$I$33,2,0),AND(L196=0,M196&gt;0),VLOOKUP(D196,Datos!$F$32:$I$33,2,0),AND(L196&gt;0,M196=0),VLOOKUP(D196,Datos!$F$32:$I$33,3,0),AND(L196&gt;0,M196&gt;0),VLOOKUP(D196,Datos!$F$31:$I$33,4,0))</f>
        <v>550000</v>
      </c>
      <c r="AC196" s="55">
        <f ca="1">(S196*PMT(Datos!$G$15,Datos!$G$14,-O196,,)*VLOOKUP(TODAY(),'UF HOY'!$A$2:$B$36,2,0)/12)+VLOOKUP(TODAY(),'UF HOY'!$A$2:$B$36,2,0)</f>
        <v>696909.79910289217</v>
      </c>
      <c r="AD196" s="55">
        <f t="shared" ca="1" si="46"/>
        <v>-146909.79910289217</v>
      </c>
      <c r="AE196" s="93">
        <f t="shared" ca="1" si="47"/>
        <v>2787639.1964115687</v>
      </c>
    </row>
    <row r="197" spans="1:31" s="3" customFormat="1" x14ac:dyDescent="0.35">
      <c r="A197" s="94" t="s">
        <v>346</v>
      </c>
      <c r="B197" s="80">
        <v>2913</v>
      </c>
      <c r="C197" s="48" t="s">
        <v>41</v>
      </c>
      <c r="D197" s="48" t="s">
        <v>37</v>
      </c>
      <c r="E197" s="48"/>
      <c r="F197" s="48">
        <v>34.69</v>
      </c>
      <c r="G197" s="48">
        <v>2.93</v>
      </c>
      <c r="H197" s="82">
        <f t="shared" si="36"/>
        <v>36.155000000000001</v>
      </c>
      <c r="I197" s="82">
        <f t="shared" si="37"/>
        <v>37.619999999999997</v>
      </c>
      <c r="J197" s="49">
        <v>4290</v>
      </c>
      <c r="K197" s="304">
        <v>0</v>
      </c>
      <c r="L197" s="48">
        <v>0</v>
      </c>
      <c r="M197" s="48">
        <v>0</v>
      </c>
      <c r="N197" s="49">
        <f t="shared" si="38"/>
        <v>3861</v>
      </c>
      <c r="O197" s="52">
        <f t="shared" si="39"/>
        <v>4290</v>
      </c>
      <c r="P197" s="79">
        <f t="shared" si="40"/>
        <v>106.79020882312267</v>
      </c>
      <c r="Q197" s="53">
        <f t="shared" si="41"/>
        <v>0.1</v>
      </c>
      <c r="R197" s="54">
        <f t="shared" si="42"/>
        <v>429</v>
      </c>
      <c r="S197" s="53">
        <v>0.8</v>
      </c>
      <c r="T197" s="54">
        <f t="shared" si="43"/>
        <v>3432</v>
      </c>
      <c r="U197" s="53">
        <f t="shared" si="44"/>
        <v>9.9999999999999978E-2</v>
      </c>
      <c r="V197" s="54">
        <f t="shared" si="45"/>
        <v>428.99999999999989</v>
      </c>
      <c r="W197" s="55">
        <f ca="1">V197*VLOOKUP(TODAY(),'UF HOY'!$A$2:$B$36,2,0)</f>
        <v>17045860.259999998</v>
      </c>
      <c r="X197" s="56">
        <f>Datos!$K$5</f>
        <v>36</v>
      </c>
      <c r="Y197" s="55">
        <f ca="1">IF((W197-Datos!$U$5-1000000)/X197&gt;0,(W197-Datos!$U$5-1000000)/X197,0)</f>
        <v>442940.56277777773</v>
      </c>
      <c r="Z197" s="56">
        <f>Datos!$K$5</f>
        <v>36</v>
      </c>
      <c r="AA197" s="55">
        <f ca="1">IF((W197-Datos!$U$5-1000000-O197*3%*VLOOKUP(TODAY(),'UF HOY'!$A$2:$B$36,2,0))/Z197&gt;0,(W197-Datos!$U$5-1000000-O197*3%*VLOOKUP(TODAY(),'UF HOY'!$A$2:$B$36,2,0))/Z197,0)</f>
        <v>300891.72727777774</v>
      </c>
      <c r="AB197" s="130" cm="1">
        <f t="array" ref="AB197">_xlfn.IFS(AND(L197=0,M197=0),VLOOKUP(D197,Datos!$F$31:$I$33,2,0),AND(L197=0,M197&gt;0),VLOOKUP(D197,Datos!$F$32:$I$33,2,0),AND(L197&gt;0,M197=0),VLOOKUP(D197,Datos!$F$32:$I$33,3,0),AND(L197&gt;0,M197&gt;0),VLOOKUP(D197,Datos!$F$31:$I$33,4,0))</f>
        <v>550000</v>
      </c>
      <c r="AC197" s="55">
        <f ca="1">(S197*PMT(Datos!$G$15,Datos!$G$14,-O197,,)*VLOOKUP(TODAY(),'UF HOY'!$A$2:$B$36,2,0)/12)+VLOOKUP(TODAY(),'UF HOY'!$A$2:$B$36,2,0)</f>
        <v>696909.79910289217</v>
      </c>
      <c r="AD197" s="55">
        <f t="shared" ca="1" si="46"/>
        <v>-146909.79910289217</v>
      </c>
      <c r="AE197" s="93">
        <f t="shared" ca="1" si="47"/>
        <v>2787639.1964115687</v>
      </c>
    </row>
    <row r="198" spans="1:31" s="3" customFormat="1" x14ac:dyDescent="0.35">
      <c r="A198" s="94" t="s">
        <v>346</v>
      </c>
      <c r="B198" s="80">
        <v>1709</v>
      </c>
      <c r="C198" s="48" t="s">
        <v>40</v>
      </c>
      <c r="D198" s="48" t="s">
        <v>37</v>
      </c>
      <c r="E198" s="48"/>
      <c r="F198" s="48">
        <v>34.369999999999997</v>
      </c>
      <c r="G198" s="48">
        <v>3.28</v>
      </c>
      <c r="H198" s="82">
        <f t="shared" si="36"/>
        <v>36.01</v>
      </c>
      <c r="I198" s="82">
        <f t="shared" si="37"/>
        <v>37.65</v>
      </c>
      <c r="J198" s="49">
        <v>4295</v>
      </c>
      <c r="K198" s="304">
        <v>0</v>
      </c>
      <c r="L198" s="48">
        <v>0</v>
      </c>
      <c r="M198" s="48">
        <v>0</v>
      </c>
      <c r="N198" s="49">
        <f t="shared" si="38"/>
        <v>3865.5</v>
      </c>
      <c r="O198" s="52">
        <f t="shared" si="39"/>
        <v>4295</v>
      </c>
      <c r="P198" s="79">
        <f t="shared" si="40"/>
        <v>107.34518189391837</v>
      </c>
      <c r="Q198" s="53">
        <f t="shared" si="41"/>
        <v>0.1</v>
      </c>
      <c r="R198" s="54">
        <f t="shared" si="42"/>
        <v>429.5</v>
      </c>
      <c r="S198" s="53">
        <v>0.8</v>
      </c>
      <c r="T198" s="54">
        <f t="shared" si="43"/>
        <v>3436</v>
      </c>
      <c r="U198" s="53">
        <f t="shared" si="44"/>
        <v>9.9999999999999978E-2</v>
      </c>
      <c r="V198" s="54">
        <f t="shared" si="45"/>
        <v>429.49999999999989</v>
      </c>
      <c r="W198" s="55">
        <f ca="1">V198*VLOOKUP(TODAY(),'UF HOY'!$A$2:$B$36,2,0)</f>
        <v>17065727.229999997</v>
      </c>
      <c r="X198" s="56">
        <f>Datos!$K$5</f>
        <v>36</v>
      </c>
      <c r="Y198" s="55">
        <f ca="1">IF((W198-Datos!$U$5-1000000)/X198&gt;0,(W198-Datos!$U$5-1000000)/X198,0)</f>
        <v>443492.42305555544</v>
      </c>
      <c r="Z198" s="56">
        <f>Datos!$K$5</f>
        <v>36</v>
      </c>
      <c r="AA198" s="55">
        <f ca="1">IF((W198-Datos!$U$5-1000000-O198*3%*VLOOKUP(TODAY(),'UF HOY'!$A$2:$B$36,2,0))/Z198&gt;0,(W198-Datos!$U$5-1000000-O198*3%*VLOOKUP(TODAY(),'UF HOY'!$A$2:$B$36,2,0))/Z198,0)</f>
        <v>301278.02947222214</v>
      </c>
      <c r="AB198" s="130" cm="1">
        <f t="array" ref="AB198">_xlfn.IFS(AND(L198=0,M198=0),VLOOKUP(D198,Datos!$F$31:$I$33,2,0),AND(L198=0,M198&gt;0),VLOOKUP(D198,Datos!$F$32:$I$33,2,0),AND(L198&gt;0,M198=0),VLOOKUP(D198,Datos!$F$32:$I$33,3,0),AND(L198&gt;0,M198&gt;0),VLOOKUP(D198,Datos!$F$31:$I$33,4,0))</f>
        <v>550000</v>
      </c>
      <c r="AC198" s="55">
        <f ca="1">(S198*PMT(Datos!$G$15,Datos!$G$14,-O198,,)*VLOOKUP(TODAY(),'UF HOY'!$A$2:$B$36,2,0)/12)+VLOOKUP(TODAY(),'UF HOY'!$A$2:$B$36,2,0)</f>
        <v>697675.73833261593</v>
      </c>
      <c r="AD198" s="55">
        <f t="shared" ca="1" si="46"/>
        <v>-147675.73833261593</v>
      </c>
      <c r="AE198" s="93">
        <f t="shared" ca="1" si="47"/>
        <v>2790702.9533304637</v>
      </c>
    </row>
    <row r="199" spans="1:31" s="3" customFormat="1" x14ac:dyDescent="0.35">
      <c r="A199" s="94" t="s">
        <v>346</v>
      </c>
      <c r="B199" s="80">
        <v>1710</v>
      </c>
      <c r="C199" s="48" t="s">
        <v>40</v>
      </c>
      <c r="D199" s="48" t="s">
        <v>37</v>
      </c>
      <c r="E199" s="48"/>
      <c r="F199" s="48">
        <v>34.369999999999997</v>
      </c>
      <c r="G199" s="48">
        <v>3.28</v>
      </c>
      <c r="H199" s="82">
        <f t="shared" si="36"/>
        <v>36.01</v>
      </c>
      <c r="I199" s="82">
        <f t="shared" si="37"/>
        <v>37.65</v>
      </c>
      <c r="J199" s="49">
        <v>4295</v>
      </c>
      <c r="K199" s="304">
        <v>0</v>
      </c>
      <c r="L199" s="48">
        <v>0</v>
      </c>
      <c r="M199" s="48">
        <v>0</v>
      </c>
      <c r="N199" s="49">
        <f t="shared" si="38"/>
        <v>3865.5</v>
      </c>
      <c r="O199" s="52">
        <f t="shared" si="39"/>
        <v>4295</v>
      </c>
      <c r="P199" s="79">
        <f t="shared" si="40"/>
        <v>107.34518189391837</v>
      </c>
      <c r="Q199" s="53">
        <f t="shared" si="41"/>
        <v>0.1</v>
      </c>
      <c r="R199" s="54">
        <f t="shared" si="42"/>
        <v>429.5</v>
      </c>
      <c r="S199" s="53">
        <v>0.8</v>
      </c>
      <c r="T199" s="54">
        <f t="shared" si="43"/>
        <v>3436</v>
      </c>
      <c r="U199" s="53">
        <f t="shared" si="44"/>
        <v>9.9999999999999978E-2</v>
      </c>
      <c r="V199" s="54">
        <f t="shared" si="45"/>
        <v>429.49999999999989</v>
      </c>
      <c r="W199" s="55">
        <f ca="1">V199*VLOOKUP(TODAY(),'UF HOY'!$A$2:$B$36,2,0)</f>
        <v>17065727.229999997</v>
      </c>
      <c r="X199" s="56">
        <f>Datos!$K$5</f>
        <v>36</v>
      </c>
      <c r="Y199" s="55">
        <f ca="1">IF((W199-Datos!$U$5-1000000)/X199&gt;0,(W199-Datos!$U$5-1000000)/X199,0)</f>
        <v>443492.42305555544</v>
      </c>
      <c r="Z199" s="56">
        <f>Datos!$K$5</f>
        <v>36</v>
      </c>
      <c r="AA199" s="55">
        <f ca="1">IF((W199-Datos!$U$5-1000000-O199*3%*VLOOKUP(TODAY(),'UF HOY'!$A$2:$B$36,2,0))/Z199&gt;0,(W199-Datos!$U$5-1000000-O199*3%*VLOOKUP(TODAY(),'UF HOY'!$A$2:$B$36,2,0))/Z199,0)</f>
        <v>301278.02947222214</v>
      </c>
      <c r="AB199" s="130" cm="1">
        <f t="array" ref="AB199">_xlfn.IFS(AND(L199=0,M199=0),VLOOKUP(D199,Datos!$F$31:$I$33,2,0),AND(L199=0,M199&gt;0),VLOOKUP(D199,Datos!$F$32:$I$33,2,0),AND(L199&gt;0,M199=0),VLOOKUP(D199,Datos!$F$32:$I$33,3,0),AND(L199&gt;0,M199&gt;0),VLOOKUP(D199,Datos!$F$31:$I$33,4,0))</f>
        <v>550000</v>
      </c>
      <c r="AC199" s="55">
        <f ca="1">(S199*PMT(Datos!$G$15,Datos!$G$14,-O199,,)*VLOOKUP(TODAY(),'UF HOY'!$A$2:$B$36,2,0)/12)+VLOOKUP(TODAY(),'UF HOY'!$A$2:$B$36,2,0)</f>
        <v>697675.73833261593</v>
      </c>
      <c r="AD199" s="55">
        <f t="shared" ca="1" si="46"/>
        <v>-147675.73833261593</v>
      </c>
      <c r="AE199" s="93">
        <f t="shared" ca="1" si="47"/>
        <v>2790702.9533304637</v>
      </c>
    </row>
    <row r="200" spans="1:31" s="3" customFormat="1" x14ac:dyDescent="0.35">
      <c r="A200" s="94" t="s">
        <v>346</v>
      </c>
      <c r="B200" s="80">
        <v>2102</v>
      </c>
      <c r="C200" s="48" t="s">
        <v>38</v>
      </c>
      <c r="D200" s="48" t="s">
        <v>37</v>
      </c>
      <c r="E200" s="48"/>
      <c r="F200" s="48">
        <v>34.89</v>
      </c>
      <c r="G200" s="48">
        <v>2.83</v>
      </c>
      <c r="H200" s="82">
        <f t="shared" si="36"/>
        <v>36.305</v>
      </c>
      <c r="I200" s="82">
        <f t="shared" si="37"/>
        <v>37.72</v>
      </c>
      <c r="J200" s="49">
        <v>4295</v>
      </c>
      <c r="K200" s="304">
        <v>0</v>
      </c>
      <c r="L200" s="48">
        <v>0</v>
      </c>
      <c r="M200" s="48">
        <v>0</v>
      </c>
      <c r="N200" s="49">
        <f t="shared" si="38"/>
        <v>3865.5</v>
      </c>
      <c r="O200" s="52">
        <f t="shared" si="39"/>
        <v>4295</v>
      </c>
      <c r="P200" s="79">
        <f t="shared" si="40"/>
        <v>106.47293761189918</v>
      </c>
      <c r="Q200" s="53">
        <f t="shared" si="41"/>
        <v>0.1</v>
      </c>
      <c r="R200" s="54">
        <f t="shared" si="42"/>
        <v>429.5</v>
      </c>
      <c r="S200" s="53">
        <v>0.8</v>
      </c>
      <c r="T200" s="54">
        <f t="shared" si="43"/>
        <v>3436</v>
      </c>
      <c r="U200" s="53">
        <f t="shared" si="44"/>
        <v>9.9999999999999978E-2</v>
      </c>
      <c r="V200" s="54">
        <f t="shared" si="45"/>
        <v>429.49999999999989</v>
      </c>
      <c r="W200" s="55">
        <f ca="1">V200*VLOOKUP(TODAY(),'UF HOY'!$A$2:$B$36,2,0)</f>
        <v>17065727.229999997</v>
      </c>
      <c r="X200" s="56">
        <f>Datos!$K$5</f>
        <v>36</v>
      </c>
      <c r="Y200" s="55">
        <f ca="1">IF((W200-Datos!$U$5-1000000)/X200&gt;0,(W200-Datos!$U$5-1000000)/X200,0)</f>
        <v>443492.42305555544</v>
      </c>
      <c r="Z200" s="56">
        <f>Datos!$K$5</f>
        <v>36</v>
      </c>
      <c r="AA200" s="55">
        <f ca="1">IF((W200-Datos!$U$5-1000000-O200*3%*VLOOKUP(TODAY(),'UF HOY'!$A$2:$B$36,2,0))/Z200&gt;0,(W200-Datos!$U$5-1000000-O200*3%*VLOOKUP(TODAY(),'UF HOY'!$A$2:$B$36,2,0))/Z200,0)</f>
        <v>301278.02947222214</v>
      </c>
      <c r="AB200" s="130" cm="1">
        <f t="array" ref="AB200">_xlfn.IFS(AND(L200=0,M200=0),VLOOKUP(D200,Datos!$F$31:$I$33,2,0),AND(L200=0,M200&gt;0),VLOOKUP(D200,Datos!$F$32:$I$33,2,0),AND(L200&gt;0,M200=0),VLOOKUP(D200,Datos!$F$32:$I$33,3,0),AND(L200&gt;0,M200&gt;0),VLOOKUP(D200,Datos!$F$31:$I$33,4,0))</f>
        <v>550000</v>
      </c>
      <c r="AC200" s="55">
        <f ca="1">(S200*PMT(Datos!$G$15,Datos!$G$14,-O200,,)*VLOOKUP(TODAY(),'UF HOY'!$A$2:$B$36,2,0)/12)+VLOOKUP(TODAY(),'UF HOY'!$A$2:$B$36,2,0)</f>
        <v>697675.73833261593</v>
      </c>
      <c r="AD200" s="55">
        <f t="shared" ca="1" si="46"/>
        <v>-147675.73833261593</v>
      </c>
      <c r="AE200" s="93">
        <f t="shared" ca="1" si="47"/>
        <v>2790702.9533304637</v>
      </c>
    </row>
    <row r="201" spans="1:31" s="3" customFormat="1" x14ac:dyDescent="0.35">
      <c r="A201" s="94" t="s">
        <v>346</v>
      </c>
      <c r="B201" s="80">
        <v>2203</v>
      </c>
      <c r="C201" s="48" t="s">
        <v>38</v>
      </c>
      <c r="D201" s="48" t="s">
        <v>37</v>
      </c>
      <c r="E201" s="48"/>
      <c r="F201" s="48">
        <v>34.79</v>
      </c>
      <c r="G201" s="48">
        <v>2.83</v>
      </c>
      <c r="H201" s="82">
        <f t="shared" si="36"/>
        <v>36.204999999999998</v>
      </c>
      <c r="I201" s="82">
        <f t="shared" si="37"/>
        <v>37.619999999999997</v>
      </c>
      <c r="J201" s="49">
        <v>4295</v>
      </c>
      <c r="K201" s="304">
        <v>0</v>
      </c>
      <c r="L201" s="48">
        <v>0</v>
      </c>
      <c r="M201" s="48">
        <v>0</v>
      </c>
      <c r="N201" s="49">
        <f t="shared" si="38"/>
        <v>3865.5</v>
      </c>
      <c r="O201" s="52">
        <f t="shared" si="39"/>
        <v>4295</v>
      </c>
      <c r="P201" s="79">
        <f t="shared" si="40"/>
        <v>106.76702112967823</v>
      </c>
      <c r="Q201" s="53">
        <f t="shared" si="41"/>
        <v>0.1</v>
      </c>
      <c r="R201" s="54">
        <f t="shared" si="42"/>
        <v>429.5</v>
      </c>
      <c r="S201" s="53">
        <v>0.8</v>
      </c>
      <c r="T201" s="54">
        <f t="shared" si="43"/>
        <v>3436</v>
      </c>
      <c r="U201" s="53">
        <f t="shared" si="44"/>
        <v>9.9999999999999978E-2</v>
      </c>
      <c r="V201" s="54">
        <f t="shared" si="45"/>
        <v>429.49999999999989</v>
      </c>
      <c r="W201" s="55">
        <f ca="1">V201*VLOOKUP(TODAY(),'UF HOY'!$A$2:$B$36,2,0)</f>
        <v>17065727.229999997</v>
      </c>
      <c r="X201" s="56">
        <f>Datos!$K$5</f>
        <v>36</v>
      </c>
      <c r="Y201" s="55">
        <f ca="1">IF((W201-Datos!$U$5-1000000)/X201&gt;0,(W201-Datos!$U$5-1000000)/X201,0)</f>
        <v>443492.42305555544</v>
      </c>
      <c r="Z201" s="56">
        <f>Datos!$K$5</f>
        <v>36</v>
      </c>
      <c r="AA201" s="55">
        <f ca="1">IF((W201-Datos!$U$5-1000000-O201*3%*VLOOKUP(TODAY(),'UF HOY'!$A$2:$B$36,2,0))/Z201&gt;0,(W201-Datos!$U$5-1000000-O201*3%*VLOOKUP(TODAY(),'UF HOY'!$A$2:$B$36,2,0))/Z201,0)</f>
        <v>301278.02947222214</v>
      </c>
      <c r="AB201" s="130" cm="1">
        <f t="array" ref="AB201">_xlfn.IFS(AND(L201=0,M201=0),VLOOKUP(D201,Datos!$F$31:$I$33,2,0),AND(L201=0,M201&gt;0),VLOOKUP(D201,Datos!$F$32:$I$33,2,0),AND(L201&gt;0,M201=0),VLOOKUP(D201,Datos!$F$32:$I$33,3,0),AND(L201&gt;0,M201&gt;0),VLOOKUP(D201,Datos!$F$31:$I$33,4,0))</f>
        <v>550000</v>
      </c>
      <c r="AC201" s="55">
        <f ca="1">(S201*PMT(Datos!$G$15,Datos!$G$14,-O201,,)*VLOOKUP(TODAY(),'UF HOY'!$A$2:$B$36,2,0)/12)+VLOOKUP(TODAY(),'UF HOY'!$A$2:$B$36,2,0)</f>
        <v>697675.73833261593</v>
      </c>
      <c r="AD201" s="55">
        <f t="shared" ca="1" si="46"/>
        <v>-147675.73833261593</v>
      </c>
      <c r="AE201" s="93">
        <f t="shared" ca="1" si="47"/>
        <v>2790702.9533304637</v>
      </c>
    </row>
    <row r="202" spans="1:31" s="3" customFormat="1" x14ac:dyDescent="0.35">
      <c r="A202" s="94" t="s">
        <v>346</v>
      </c>
      <c r="B202" s="80">
        <v>2812</v>
      </c>
      <c r="C202" s="48" t="s">
        <v>41</v>
      </c>
      <c r="D202" s="48" t="s">
        <v>37</v>
      </c>
      <c r="E202" s="48"/>
      <c r="F202" s="48">
        <v>34.630000000000003</v>
      </c>
      <c r="G202" s="48">
        <v>2.93</v>
      </c>
      <c r="H202" s="82">
        <f t="shared" si="36"/>
        <v>36.095000000000006</v>
      </c>
      <c r="I202" s="82">
        <f t="shared" si="37"/>
        <v>37.56</v>
      </c>
      <c r="J202" s="49">
        <v>4295</v>
      </c>
      <c r="K202" s="304">
        <v>0</v>
      </c>
      <c r="L202" s="48">
        <v>0</v>
      </c>
      <c r="M202" s="48">
        <v>0</v>
      </c>
      <c r="N202" s="49">
        <f t="shared" si="38"/>
        <v>3865.5</v>
      </c>
      <c r="O202" s="52">
        <f t="shared" si="39"/>
        <v>4295</v>
      </c>
      <c r="P202" s="79">
        <f t="shared" si="40"/>
        <v>107.09239506856903</v>
      </c>
      <c r="Q202" s="53">
        <f t="shared" si="41"/>
        <v>0.1</v>
      </c>
      <c r="R202" s="54">
        <f t="shared" si="42"/>
        <v>429.5</v>
      </c>
      <c r="S202" s="53">
        <v>0.8</v>
      </c>
      <c r="T202" s="54">
        <f t="shared" si="43"/>
        <v>3436</v>
      </c>
      <c r="U202" s="53">
        <f t="shared" si="44"/>
        <v>9.9999999999999978E-2</v>
      </c>
      <c r="V202" s="54">
        <f t="shared" si="45"/>
        <v>429.49999999999989</v>
      </c>
      <c r="W202" s="55">
        <f ca="1">V202*VLOOKUP(TODAY(),'UF HOY'!$A$2:$B$36,2,0)</f>
        <v>17065727.229999997</v>
      </c>
      <c r="X202" s="56">
        <f>Datos!$K$5</f>
        <v>36</v>
      </c>
      <c r="Y202" s="55">
        <f ca="1">IF((W202-Datos!$U$5-1000000)/X202&gt;0,(W202-Datos!$U$5-1000000)/X202,0)</f>
        <v>443492.42305555544</v>
      </c>
      <c r="Z202" s="56">
        <f>Datos!$K$5</f>
        <v>36</v>
      </c>
      <c r="AA202" s="55">
        <f ca="1">IF((W202-Datos!$U$5-1000000-O202*3%*VLOOKUP(TODAY(),'UF HOY'!$A$2:$B$36,2,0))/Z202&gt;0,(W202-Datos!$U$5-1000000-O202*3%*VLOOKUP(TODAY(),'UF HOY'!$A$2:$B$36,2,0))/Z202,0)</f>
        <v>301278.02947222214</v>
      </c>
      <c r="AB202" s="130" cm="1">
        <f t="array" ref="AB202">_xlfn.IFS(AND(L202=0,M202=0),VLOOKUP(D202,Datos!$F$31:$I$33,2,0),AND(L202=0,M202&gt;0),VLOOKUP(D202,Datos!$F$32:$I$33,2,0),AND(L202&gt;0,M202=0),VLOOKUP(D202,Datos!$F$32:$I$33,3,0),AND(L202&gt;0,M202&gt;0),VLOOKUP(D202,Datos!$F$31:$I$33,4,0))</f>
        <v>550000</v>
      </c>
      <c r="AC202" s="55">
        <f ca="1">(S202*PMT(Datos!$G$15,Datos!$G$14,-O202,,)*VLOOKUP(TODAY(),'UF HOY'!$A$2:$B$36,2,0)/12)+VLOOKUP(TODAY(),'UF HOY'!$A$2:$B$36,2,0)</f>
        <v>697675.73833261593</v>
      </c>
      <c r="AD202" s="55">
        <f t="shared" ca="1" si="46"/>
        <v>-147675.73833261593</v>
      </c>
      <c r="AE202" s="93">
        <f t="shared" ca="1" si="47"/>
        <v>2790702.9533304637</v>
      </c>
    </row>
    <row r="203" spans="1:31" s="3" customFormat="1" x14ac:dyDescent="0.35">
      <c r="A203" s="94" t="s">
        <v>346</v>
      </c>
      <c r="B203" s="80">
        <v>2813</v>
      </c>
      <c r="C203" s="48" t="s">
        <v>41</v>
      </c>
      <c r="D203" s="48" t="s">
        <v>37</v>
      </c>
      <c r="E203" s="48"/>
      <c r="F203" s="48">
        <v>34.69</v>
      </c>
      <c r="G203" s="48">
        <v>2.93</v>
      </c>
      <c r="H203" s="82">
        <f t="shared" si="36"/>
        <v>36.155000000000001</v>
      </c>
      <c r="I203" s="82">
        <f t="shared" si="37"/>
        <v>37.619999999999997</v>
      </c>
      <c r="J203" s="49">
        <v>4300</v>
      </c>
      <c r="K203" s="304">
        <v>0</v>
      </c>
      <c r="L203" s="48">
        <v>0</v>
      </c>
      <c r="M203" s="48">
        <v>0</v>
      </c>
      <c r="N203" s="49">
        <f t="shared" si="38"/>
        <v>3870</v>
      </c>
      <c r="O203" s="52">
        <f t="shared" si="39"/>
        <v>4300</v>
      </c>
      <c r="P203" s="79">
        <f t="shared" si="40"/>
        <v>107.03913704881759</v>
      </c>
      <c r="Q203" s="53">
        <f t="shared" si="41"/>
        <v>0.1</v>
      </c>
      <c r="R203" s="54">
        <f t="shared" si="42"/>
        <v>430</v>
      </c>
      <c r="S203" s="53">
        <v>0.8</v>
      </c>
      <c r="T203" s="54">
        <f t="shared" si="43"/>
        <v>3440</v>
      </c>
      <c r="U203" s="53">
        <f t="shared" si="44"/>
        <v>9.9999999999999978E-2</v>
      </c>
      <c r="V203" s="54">
        <f t="shared" si="45"/>
        <v>429.99999999999989</v>
      </c>
      <c r="W203" s="55">
        <f ca="1">V203*VLOOKUP(TODAY(),'UF HOY'!$A$2:$B$36,2,0)</f>
        <v>17085594.199999996</v>
      </c>
      <c r="X203" s="56">
        <f>Datos!$K$5</f>
        <v>36</v>
      </c>
      <c r="Y203" s="55">
        <f ca="1">IF((W203-Datos!$U$5-1000000)/X203&gt;0,(W203-Datos!$U$5-1000000)/X203,0)</f>
        <v>444044.28333333321</v>
      </c>
      <c r="Z203" s="56">
        <f>Datos!$K$5</f>
        <v>36</v>
      </c>
      <c r="AA203" s="55">
        <f ca="1">IF((W203-Datos!$U$5-1000000-O203*3%*VLOOKUP(TODAY(),'UF HOY'!$A$2:$B$36,2,0))/Z203&gt;0,(W203-Datos!$U$5-1000000-O203*3%*VLOOKUP(TODAY(),'UF HOY'!$A$2:$B$36,2,0))/Z203,0)</f>
        <v>301664.33166666649</v>
      </c>
      <c r="AB203" s="130" cm="1">
        <f t="array" ref="AB203">_xlfn.IFS(AND(L203=0,M203=0),VLOOKUP(D203,Datos!$F$31:$I$33,2,0),AND(L203=0,M203&gt;0),VLOOKUP(D203,Datos!$F$32:$I$33,2,0),AND(L203&gt;0,M203=0),VLOOKUP(D203,Datos!$F$32:$I$33,3,0),AND(L203&gt;0,M203&gt;0),VLOOKUP(D203,Datos!$F$31:$I$33,4,0))</f>
        <v>550000</v>
      </c>
      <c r="AC203" s="55">
        <f ca="1">(S203*PMT(Datos!$G$15,Datos!$G$14,-O203,,)*VLOOKUP(TODAY(),'UF HOY'!$A$2:$B$36,2,0)/12)+VLOOKUP(TODAY(),'UF HOY'!$A$2:$B$36,2,0)</f>
        <v>698441.67756233946</v>
      </c>
      <c r="AD203" s="55">
        <f t="shared" ca="1" si="46"/>
        <v>-148441.67756233946</v>
      </c>
      <c r="AE203" s="93">
        <f t="shared" ca="1" si="47"/>
        <v>2793766.7102493579</v>
      </c>
    </row>
    <row r="204" spans="1:31" s="3" customFormat="1" x14ac:dyDescent="0.35">
      <c r="A204" s="94" t="s">
        <v>346</v>
      </c>
      <c r="B204" s="80">
        <v>605</v>
      </c>
      <c r="C204" s="48" t="s">
        <v>38</v>
      </c>
      <c r="D204" s="48" t="s">
        <v>37</v>
      </c>
      <c r="E204" s="48"/>
      <c r="F204" s="48">
        <v>36.42</v>
      </c>
      <c r="G204" s="48">
        <v>2.81</v>
      </c>
      <c r="H204" s="82">
        <f t="shared" si="36"/>
        <v>37.825000000000003</v>
      </c>
      <c r="I204" s="82">
        <f t="shared" si="37"/>
        <v>39.230000000000004</v>
      </c>
      <c r="J204" s="49">
        <v>4305</v>
      </c>
      <c r="K204" s="304">
        <v>0</v>
      </c>
      <c r="L204" s="48">
        <v>0</v>
      </c>
      <c r="M204" s="48">
        <v>0</v>
      </c>
      <c r="N204" s="49">
        <f t="shared" si="38"/>
        <v>3874.5</v>
      </c>
      <c r="O204" s="52">
        <f t="shared" si="39"/>
        <v>4305</v>
      </c>
      <c r="P204" s="79">
        <f t="shared" si="40"/>
        <v>102.43225380039655</v>
      </c>
      <c r="Q204" s="53">
        <f t="shared" si="41"/>
        <v>0.1</v>
      </c>
      <c r="R204" s="54">
        <f t="shared" si="42"/>
        <v>430.5</v>
      </c>
      <c r="S204" s="53">
        <v>0.8</v>
      </c>
      <c r="T204" s="54">
        <f t="shared" si="43"/>
        <v>3444</v>
      </c>
      <c r="U204" s="53">
        <f t="shared" si="44"/>
        <v>9.9999999999999978E-2</v>
      </c>
      <c r="V204" s="54">
        <f t="shared" si="45"/>
        <v>430.49999999999989</v>
      </c>
      <c r="W204" s="55">
        <f ca="1">V204*VLOOKUP(TODAY(),'UF HOY'!$A$2:$B$36,2,0)</f>
        <v>17105461.169999998</v>
      </c>
      <c r="X204" s="56">
        <f>Datos!$K$5</f>
        <v>36</v>
      </c>
      <c r="Y204" s="55">
        <f ca="1">IF((W204-Datos!$U$5-1000000)/X204&gt;0,(W204-Datos!$U$5-1000000)/X204,0)</f>
        <v>444596.14361111104</v>
      </c>
      <c r="Z204" s="56">
        <f>Datos!$K$5</f>
        <v>36</v>
      </c>
      <c r="AA204" s="55">
        <f ca="1">IF((W204-Datos!$U$5-1000000-O204*3%*VLOOKUP(TODAY(),'UF HOY'!$A$2:$B$36,2,0))/Z204&gt;0,(W204-Datos!$U$5-1000000-O204*3%*VLOOKUP(TODAY(),'UF HOY'!$A$2:$B$36,2,0))/Z204,0)</f>
        <v>302050.63386111107</v>
      </c>
      <c r="AB204" s="130" cm="1">
        <f t="array" ref="AB204">_xlfn.IFS(AND(L204=0,M204=0),VLOOKUP(D204,Datos!$F$31:$I$33,2,0),AND(L204=0,M204&gt;0),VLOOKUP(D204,Datos!$F$32:$I$33,2,0),AND(L204&gt;0,M204=0),VLOOKUP(D204,Datos!$F$32:$I$33,3,0),AND(L204&gt;0,M204&gt;0),VLOOKUP(D204,Datos!$F$31:$I$33,4,0))</f>
        <v>550000</v>
      </c>
      <c r="AC204" s="55">
        <f ca="1">(S204*PMT(Datos!$G$15,Datos!$G$14,-O204,,)*VLOOKUP(TODAY(),'UF HOY'!$A$2:$B$36,2,0)/12)+VLOOKUP(TODAY(),'UF HOY'!$A$2:$B$36,2,0)</f>
        <v>699207.61679206323</v>
      </c>
      <c r="AD204" s="55">
        <f t="shared" ca="1" si="46"/>
        <v>-149207.61679206323</v>
      </c>
      <c r="AE204" s="93">
        <f t="shared" ca="1" si="47"/>
        <v>2796830.4671682529</v>
      </c>
    </row>
    <row r="205" spans="1:31" s="3" customFormat="1" x14ac:dyDescent="0.35">
      <c r="A205" s="94" t="s">
        <v>346</v>
      </c>
      <c r="B205" s="80">
        <v>1101</v>
      </c>
      <c r="C205" s="48" t="s">
        <v>41</v>
      </c>
      <c r="D205" s="48" t="s">
        <v>37</v>
      </c>
      <c r="E205" s="48"/>
      <c r="F205" s="48">
        <v>35.619999999999997</v>
      </c>
      <c r="G205" s="48">
        <v>2.96</v>
      </c>
      <c r="H205" s="82">
        <f t="shared" si="36"/>
        <v>37.099999999999994</v>
      </c>
      <c r="I205" s="82">
        <f t="shared" si="37"/>
        <v>38.58</v>
      </c>
      <c r="J205" s="49">
        <v>4305</v>
      </c>
      <c r="K205" s="304">
        <v>0</v>
      </c>
      <c r="L205" s="48">
        <v>0</v>
      </c>
      <c r="M205" s="48">
        <v>0</v>
      </c>
      <c r="N205" s="49">
        <f t="shared" si="38"/>
        <v>3874.5</v>
      </c>
      <c r="O205" s="52">
        <f t="shared" si="39"/>
        <v>4305</v>
      </c>
      <c r="P205" s="79">
        <f t="shared" si="40"/>
        <v>104.43396226415096</v>
      </c>
      <c r="Q205" s="53">
        <f t="shared" si="41"/>
        <v>0.1</v>
      </c>
      <c r="R205" s="54">
        <f t="shared" si="42"/>
        <v>430.5</v>
      </c>
      <c r="S205" s="53">
        <v>0.8</v>
      </c>
      <c r="T205" s="54">
        <f t="shared" si="43"/>
        <v>3444</v>
      </c>
      <c r="U205" s="53">
        <f t="shared" si="44"/>
        <v>9.9999999999999978E-2</v>
      </c>
      <c r="V205" s="54">
        <f t="shared" si="45"/>
        <v>430.49999999999989</v>
      </c>
      <c r="W205" s="55">
        <f ca="1">V205*VLOOKUP(TODAY(),'UF HOY'!$A$2:$B$36,2,0)</f>
        <v>17105461.169999998</v>
      </c>
      <c r="X205" s="56">
        <f>Datos!$K$5</f>
        <v>36</v>
      </c>
      <c r="Y205" s="55">
        <f ca="1">IF((W205-Datos!$U$5-1000000)/X205&gt;0,(W205-Datos!$U$5-1000000)/X205,0)</f>
        <v>444596.14361111104</v>
      </c>
      <c r="Z205" s="56">
        <f>Datos!$K$5</f>
        <v>36</v>
      </c>
      <c r="AA205" s="55">
        <f ca="1">IF((W205-Datos!$U$5-1000000-O205*3%*VLOOKUP(TODAY(),'UF HOY'!$A$2:$B$36,2,0))/Z205&gt;0,(W205-Datos!$U$5-1000000-O205*3%*VLOOKUP(TODAY(),'UF HOY'!$A$2:$B$36,2,0))/Z205,0)</f>
        <v>302050.63386111107</v>
      </c>
      <c r="AB205" s="130" cm="1">
        <f t="array" ref="AB205">_xlfn.IFS(AND(L205=0,M205=0),VLOOKUP(D205,Datos!$F$31:$I$33,2,0),AND(L205=0,M205&gt;0),VLOOKUP(D205,Datos!$F$32:$I$33,2,0),AND(L205&gt;0,M205=0),VLOOKUP(D205,Datos!$F$32:$I$33,3,0),AND(L205&gt;0,M205&gt;0),VLOOKUP(D205,Datos!$F$31:$I$33,4,0))</f>
        <v>550000</v>
      </c>
      <c r="AC205" s="55">
        <f ca="1">(S205*PMT(Datos!$G$15,Datos!$G$14,-O205,,)*VLOOKUP(TODAY(),'UF HOY'!$A$2:$B$36,2,0)/12)+VLOOKUP(TODAY(),'UF HOY'!$A$2:$B$36,2,0)</f>
        <v>699207.61679206323</v>
      </c>
      <c r="AD205" s="55">
        <f t="shared" ca="1" si="46"/>
        <v>-149207.61679206323</v>
      </c>
      <c r="AE205" s="93">
        <f t="shared" ca="1" si="47"/>
        <v>2796830.4671682529</v>
      </c>
    </row>
    <row r="206" spans="1:31" s="3" customFormat="1" x14ac:dyDescent="0.35">
      <c r="A206" s="94" t="s">
        <v>346</v>
      </c>
      <c r="B206" s="80">
        <v>2304</v>
      </c>
      <c r="C206" s="48" t="s">
        <v>38</v>
      </c>
      <c r="D206" s="48" t="s">
        <v>37</v>
      </c>
      <c r="E206" s="48"/>
      <c r="F206" s="48">
        <v>34.74</v>
      </c>
      <c r="G206" s="48">
        <v>2.86</v>
      </c>
      <c r="H206" s="82">
        <f t="shared" si="36"/>
        <v>36.17</v>
      </c>
      <c r="I206" s="82">
        <f t="shared" si="37"/>
        <v>37.6</v>
      </c>
      <c r="J206" s="49">
        <v>4305</v>
      </c>
      <c r="K206" s="304">
        <v>0</v>
      </c>
      <c r="L206" s="48">
        <v>0</v>
      </c>
      <c r="M206" s="48">
        <v>0</v>
      </c>
      <c r="N206" s="49">
        <f t="shared" si="38"/>
        <v>3874.5</v>
      </c>
      <c r="O206" s="52">
        <f t="shared" si="39"/>
        <v>4305</v>
      </c>
      <c r="P206" s="79">
        <f t="shared" si="40"/>
        <v>107.11915952446779</v>
      </c>
      <c r="Q206" s="53">
        <f t="shared" si="41"/>
        <v>0.1</v>
      </c>
      <c r="R206" s="54">
        <f t="shared" si="42"/>
        <v>430.5</v>
      </c>
      <c r="S206" s="53">
        <v>0.8</v>
      </c>
      <c r="T206" s="54">
        <f t="shared" si="43"/>
        <v>3444</v>
      </c>
      <c r="U206" s="53">
        <f t="shared" si="44"/>
        <v>9.9999999999999978E-2</v>
      </c>
      <c r="V206" s="54">
        <f t="shared" si="45"/>
        <v>430.49999999999989</v>
      </c>
      <c r="W206" s="55">
        <f ca="1">V206*VLOOKUP(TODAY(),'UF HOY'!$A$2:$B$36,2,0)</f>
        <v>17105461.169999998</v>
      </c>
      <c r="X206" s="56">
        <f>Datos!$K$5</f>
        <v>36</v>
      </c>
      <c r="Y206" s="55">
        <f ca="1">IF((W206-Datos!$U$5-1000000)/X206&gt;0,(W206-Datos!$U$5-1000000)/X206,0)</f>
        <v>444596.14361111104</v>
      </c>
      <c r="Z206" s="56">
        <f>Datos!$K$5</f>
        <v>36</v>
      </c>
      <c r="AA206" s="55">
        <f ca="1">IF((W206-Datos!$U$5-1000000-O206*3%*VLOOKUP(TODAY(),'UF HOY'!$A$2:$B$36,2,0))/Z206&gt;0,(W206-Datos!$U$5-1000000-O206*3%*VLOOKUP(TODAY(),'UF HOY'!$A$2:$B$36,2,0))/Z206,0)</f>
        <v>302050.63386111107</v>
      </c>
      <c r="AB206" s="130" cm="1">
        <f t="array" ref="AB206">_xlfn.IFS(AND(L206=0,M206=0),VLOOKUP(D206,Datos!$F$31:$I$33,2,0),AND(L206=0,M206&gt;0),VLOOKUP(D206,Datos!$F$32:$I$33,2,0),AND(L206&gt;0,M206=0),VLOOKUP(D206,Datos!$F$32:$I$33,3,0),AND(L206&gt;0,M206&gt;0),VLOOKUP(D206,Datos!$F$31:$I$33,4,0))</f>
        <v>550000</v>
      </c>
      <c r="AC206" s="55">
        <f ca="1">(S206*PMT(Datos!$G$15,Datos!$G$14,-O206,,)*VLOOKUP(TODAY(),'UF HOY'!$A$2:$B$36,2,0)/12)+VLOOKUP(TODAY(),'UF HOY'!$A$2:$B$36,2,0)</f>
        <v>699207.61679206323</v>
      </c>
      <c r="AD206" s="55">
        <f t="shared" ca="1" si="46"/>
        <v>-149207.61679206323</v>
      </c>
      <c r="AE206" s="93">
        <f t="shared" ca="1" si="47"/>
        <v>2796830.4671682529</v>
      </c>
    </row>
    <row r="207" spans="1:31" s="3" customFormat="1" x14ac:dyDescent="0.35">
      <c r="A207" s="94" t="s">
        <v>346</v>
      </c>
      <c r="B207" s="80">
        <v>1809</v>
      </c>
      <c r="C207" s="48" t="s">
        <v>40</v>
      </c>
      <c r="D207" s="48" t="s">
        <v>37</v>
      </c>
      <c r="E207" s="48"/>
      <c r="F207" s="48">
        <v>34.369999999999997</v>
      </c>
      <c r="G207" s="48">
        <v>3.28</v>
      </c>
      <c r="H207" s="82">
        <f t="shared" si="36"/>
        <v>36.01</v>
      </c>
      <c r="I207" s="82">
        <f t="shared" si="37"/>
        <v>37.65</v>
      </c>
      <c r="J207" s="49">
        <v>4310</v>
      </c>
      <c r="K207" s="304">
        <v>0</v>
      </c>
      <c r="L207" s="48">
        <v>0</v>
      </c>
      <c r="M207" s="48">
        <v>0</v>
      </c>
      <c r="N207" s="49">
        <f t="shared" si="38"/>
        <v>3879</v>
      </c>
      <c r="O207" s="52">
        <f t="shared" si="39"/>
        <v>4310</v>
      </c>
      <c r="P207" s="79">
        <f t="shared" si="40"/>
        <v>107.72007775617884</v>
      </c>
      <c r="Q207" s="53">
        <f t="shared" si="41"/>
        <v>0.1</v>
      </c>
      <c r="R207" s="54">
        <f t="shared" si="42"/>
        <v>431</v>
      </c>
      <c r="S207" s="53">
        <v>0.8</v>
      </c>
      <c r="T207" s="54">
        <f t="shared" si="43"/>
        <v>3448</v>
      </c>
      <c r="U207" s="53">
        <f t="shared" si="44"/>
        <v>9.9999999999999978E-2</v>
      </c>
      <c r="V207" s="54">
        <f t="shared" si="45"/>
        <v>430.99999999999989</v>
      </c>
      <c r="W207" s="55">
        <f ca="1">V207*VLOOKUP(TODAY(),'UF HOY'!$A$2:$B$36,2,0)</f>
        <v>17125328.139999997</v>
      </c>
      <c r="X207" s="56">
        <f>Datos!$K$5</f>
        <v>36</v>
      </c>
      <c r="Y207" s="55">
        <f ca="1">IF((W207-Datos!$U$5-1000000)/X207&gt;0,(W207-Datos!$U$5-1000000)/X207,0)</f>
        <v>445148.00388888881</v>
      </c>
      <c r="Z207" s="56">
        <f>Datos!$K$5</f>
        <v>36</v>
      </c>
      <c r="AA207" s="55">
        <f ca="1">IF((W207-Datos!$U$5-1000000-O207*3%*VLOOKUP(TODAY(),'UF HOY'!$A$2:$B$36,2,0))/Z207&gt;0,(W207-Datos!$U$5-1000000-O207*3%*VLOOKUP(TODAY(),'UF HOY'!$A$2:$B$36,2,0))/Z207,0)</f>
        <v>302436.93605555547</v>
      </c>
      <c r="AB207" s="130" cm="1">
        <f t="array" ref="AB207">_xlfn.IFS(AND(L207=0,M207=0),VLOOKUP(D207,Datos!$F$31:$I$33,2,0),AND(L207=0,M207&gt;0),VLOOKUP(D207,Datos!$F$32:$I$33,2,0),AND(L207&gt;0,M207=0),VLOOKUP(D207,Datos!$F$32:$I$33,3,0),AND(L207&gt;0,M207&gt;0),VLOOKUP(D207,Datos!$F$31:$I$33,4,0))</f>
        <v>550000</v>
      </c>
      <c r="AC207" s="55">
        <f ca="1">(S207*PMT(Datos!$G$15,Datos!$G$14,-O207,,)*VLOOKUP(TODAY(),'UF HOY'!$A$2:$B$36,2,0)/12)+VLOOKUP(TODAY(),'UF HOY'!$A$2:$B$36,2,0)</f>
        <v>699973.55602178699</v>
      </c>
      <c r="AD207" s="55">
        <f t="shared" ca="1" si="46"/>
        <v>-149973.55602178699</v>
      </c>
      <c r="AE207" s="93">
        <f t="shared" ca="1" si="47"/>
        <v>2799894.224087148</v>
      </c>
    </row>
    <row r="208" spans="1:31" s="3" customFormat="1" x14ac:dyDescent="0.35">
      <c r="A208" s="94" t="s">
        <v>346</v>
      </c>
      <c r="B208" s="80">
        <v>1810</v>
      </c>
      <c r="C208" s="48" t="s">
        <v>40</v>
      </c>
      <c r="D208" s="48" t="s">
        <v>37</v>
      </c>
      <c r="E208" s="48"/>
      <c r="F208" s="48">
        <v>34.369999999999997</v>
      </c>
      <c r="G208" s="48">
        <v>3.28</v>
      </c>
      <c r="H208" s="82">
        <f t="shared" si="36"/>
        <v>36.01</v>
      </c>
      <c r="I208" s="82">
        <f t="shared" si="37"/>
        <v>37.65</v>
      </c>
      <c r="J208" s="49">
        <v>4310</v>
      </c>
      <c r="K208" s="304">
        <v>0</v>
      </c>
      <c r="L208" s="48">
        <v>0</v>
      </c>
      <c r="M208" s="48">
        <v>0</v>
      </c>
      <c r="N208" s="49">
        <f t="shared" si="38"/>
        <v>3879</v>
      </c>
      <c r="O208" s="52">
        <f t="shared" si="39"/>
        <v>4310</v>
      </c>
      <c r="P208" s="79">
        <f t="shared" si="40"/>
        <v>107.72007775617884</v>
      </c>
      <c r="Q208" s="53">
        <f t="shared" si="41"/>
        <v>0.1</v>
      </c>
      <c r="R208" s="54">
        <f t="shared" si="42"/>
        <v>431</v>
      </c>
      <c r="S208" s="53">
        <v>0.8</v>
      </c>
      <c r="T208" s="54">
        <f t="shared" si="43"/>
        <v>3448</v>
      </c>
      <c r="U208" s="53">
        <f t="shared" si="44"/>
        <v>9.9999999999999978E-2</v>
      </c>
      <c r="V208" s="54">
        <f t="shared" si="45"/>
        <v>430.99999999999989</v>
      </c>
      <c r="W208" s="55">
        <f ca="1">V208*VLOOKUP(TODAY(),'UF HOY'!$A$2:$B$36,2,0)</f>
        <v>17125328.139999997</v>
      </c>
      <c r="X208" s="56">
        <f>Datos!$K$5</f>
        <v>36</v>
      </c>
      <c r="Y208" s="55">
        <f ca="1">IF((W208-Datos!$U$5-1000000)/X208&gt;0,(W208-Datos!$U$5-1000000)/X208,0)</f>
        <v>445148.00388888881</v>
      </c>
      <c r="Z208" s="56">
        <f>Datos!$K$5</f>
        <v>36</v>
      </c>
      <c r="AA208" s="55">
        <f ca="1">IF((W208-Datos!$U$5-1000000-O208*3%*VLOOKUP(TODAY(),'UF HOY'!$A$2:$B$36,2,0))/Z208&gt;0,(W208-Datos!$U$5-1000000-O208*3%*VLOOKUP(TODAY(),'UF HOY'!$A$2:$B$36,2,0))/Z208,0)</f>
        <v>302436.93605555547</v>
      </c>
      <c r="AB208" s="130" cm="1">
        <f t="array" ref="AB208">_xlfn.IFS(AND(L208=0,M208=0),VLOOKUP(D208,Datos!$F$31:$I$33,2,0),AND(L208=0,M208&gt;0),VLOOKUP(D208,Datos!$F$32:$I$33,2,0),AND(L208&gt;0,M208=0),VLOOKUP(D208,Datos!$F$32:$I$33,3,0),AND(L208&gt;0,M208&gt;0),VLOOKUP(D208,Datos!$F$31:$I$33,4,0))</f>
        <v>550000</v>
      </c>
      <c r="AC208" s="55">
        <f ca="1">(S208*PMT(Datos!$G$15,Datos!$G$14,-O208,,)*VLOOKUP(TODAY(),'UF HOY'!$A$2:$B$36,2,0)/12)+VLOOKUP(TODAY(),'UF HOY'!$A$2:$B$36,2,0)</f>
        <v>699973.55602178699</v>
      </c>
      <c r="AD208" s="55">
        <f t="shared" ca="1" si="46"/>
        <v>-149973.55602178699</v>
      </c>
      <c r="AE208" s="93">
        <f t="shared" ca="1" si="47"/>
        <v>2799894.224087148</v>
      </c>
    </row>
    <row r="209" spans="1:31" s="3" customFormat="1" x14ac:dyDescent="0.35">
      <c r="A209" s="94" t="s">
        <v>346</v>
      </c>
      <c r="B209" s="80">
        <v>2202</v>
      </c>
      <c r="C209" s="48" t="s">
        <v>38</v>
      </c>
      <c r="D209" s="48" t="s">
        <v>37</v>
      </c>
      <c r="E209" s="48"/>
      <c r="F209" s="48">
        <v>34.89</v>
      </c>
      <c r="G209" s="48">
        <v>2.83</v>
      </c>
      <c r="H209" s="82">
        <f t="shared" si="36"/>
        <v>36.305</v>
      </c>
      <c r="I209" s="82">
        <f t="shared" si="37"/>
        <v>37.72</v>
      </c>
      <c r="J209" s="49">
        <v>4310</v>
      </c>
      <c r="K209" s="304">
        <v>0</v>
      </c>
      <c r="L209" s="48">
        <v>0</v>
      </c>
      <c r="M209" s="48">
        <v>0</v>
      </c>
      <c r="N209" s="49">
        <f t="shared" si="38"/>
        <v>3879</v>
      </c>
      <c r="O209" s="52">
        <f t="shared" si="39"/>
        <v>4310</v>
      </c>
      <c r="P209" s="79">
        <f t="shared" si="40"/>
        <v>106.84478721939126</v>
      </c>
      <c r="Q209" s="53">
        <f t="shared" si="41"/>
        <v>0.1</v>
      </c>
      <c r="R209" s="54">
        <f t="shared" si="42"/>
        <v>431</v>
      </c>
      <c r="S209" s="53">
        <v>0.8</v>
      </c>
      <c r="T209" s="54">
        <f t="shared" si="43"/>
        <v>3448</v>
      </c>
      <c r="U209" s="53">
        <f t="shared" si="44"/>
        <v>9.9999999999999978E-2</v>
      </c>
      <c r="V209" s="54">
        <f t="shared" si="45"/>
        <v>430.99999999999989</v>
      </c>
      <c r="W209" s="55">
        <f ca="1">V209*VLOOKUP(TODAY(),'UF HOY'!$A$2:$B$36,2,0)</f>
        <v>17125328.139999997</v>
      </c>
      <c r="X209" s="56">
        <f>Datos!$K$5</f>
        <v>36</v>
      </c>
      <c r="Y209" s="55">
        <f ca="1">IF((W209-Datos!$U$5-1000000)/X209&gt;0,(W209-Datos!$U$5-1000000)/X209,0)</f>
        <v>445148.00388888881</v>
      </c>
      <c r="Z209" s="56">
        <f>Datos!$K$5</f>
        <v>36</v>
      </c>
      <c r="AA209" s="55">
        <f ca="1">IF((W209-Datos!$U$5-1000000-O209*3%*VLOOKUP(TODAY(),'UF HOY'!$A$2:$B$36,2,0))/Z209&gt;0,(W209-Datos!$U$5-1000000-O209*3%*VLOOKUP(TODAY(),'UF HOY'!$A$2:$B$36,2,0))/Z209,0)</f>
        <v>302436.93605555547</v>
      </c>
      <c r="AB209" s="130" cm="1">
        <f t="array" ref="AB209">_xlfn.IFS(AND(L209=0,M209=0),VLOOKUP(D209,Datos!$F$31:$I$33,2,0),AND(L209=0,M209&gt;0),VLOOKUP(D209,Datos!$F$32:$I$33,2,0),AND(L209&gt;0,M209=0),VLOOKUP(D209,Datos!$F$32:$I$33,3,0),AND(L209&gt;0,M209&gt;0),VLOOKUP(D209,Datos!$F$31:$I$33,4,0))</f>
        <v>550000</v>
      </c>
      <c r="AC209" s="55">
        <f ca="1">(S209*PMT(Datos!$G$15,Datos!$G$14,-O209,,)*VLOOKUP(TODAY(),'UF HOY'!$A$2:$B$36,2,0)/12)+VLOOKUP(TODAY(),'UF HOY'!$A$2:$B$36,2,0)</f>
        <v>699973.55602178699</v>
      </c>
      <c r="AD209" s="55">
        <f t="shared" ca="1" si="46"/>
        <v>-149973.55602178699</v>
      </c>
      <c r="AE209" s="93">
        <f t="shared" ca="1" si="47"/>
        <v>2799894.224087148</v>
      </c>
    </row>
    <row r="210" spans="1:31" s="3" customFormat="1" x14ac:dyDescent="0.35">
      <c r="A210" s="94" t="s">
        <v>346</v>
      </c>
      <c r="B210" s="80">
        <v>2303</v>
      </c>
      <c r="C210" s="48" t="s">
        <v>38</v>
      </c>
      <c r="D210" s="48" t="s">
        <v>37</v>
      </c>
      <c r="E210" s="48"/>
      <c r="F210" s="48">
        <v>34.79</v>
      </c>
      <c r="G210" s="48">
        <v>2.83</v>
      </c>
      <c r="H210" s="82">
        <f t="shared" si="36"/>
        <v>36.204999999999998</v>
      </c>
      <c r="I210" s="82">
        <f t="shared" si="37"/>
        <v>37.619999999999997</v>
      </c>
      <c r="J210" s="49">
        <v>4310</v>
      </c>
      <c r="K210" s="304">
        <v>0</v>
      </c>
      <c r="L210" s="48">
        <v>0</v>
      </c>
      <c r="M210" s="48">
        <v>0</v>
      </c>
      <c r="N210" s="49">
        <f t="shared" si="38"/>
        <v>3879</v>
      </c>
      <c r="O210" s="52">
        <f t="shared" si="39"/>
        <v>4310</v>
      </c>
      <c r="P210" s="79">
        <f t="shared" si="40"/>
        <v>107.1398978041707</v>
      </c>
      <c r="Q210" s="53">
        <f t="shared" si="41"/>
        <v>0.1</v>
      </c>
      <c r="R210" s="54">
        <f t="shared" si="42"/>
        <v>431</v>
      </c>
      <c r="S210" s="53">
        <v>0.8</v>
      </c>
      <c r="T210" s="54">
        <f t="shared" si="43"/>
        <v>3448</v>
      </c>
      <c r="U210" s="53">
        <f t="shared" si="44"/>
        <v>9.9999999999999978E-2</v>
      </c>
      <c r="V210" s="54">
        <f t="shared" si="45"/>
        <v>430.99999999999989</v>
      </c>
      <c r="W210" s="55">
        <f ca="1">V210*VLOOKUP(TODAY(),'UF HOY'!$A$2:$B$36,2,0)</f>
        <v>17125328.139999997</v>
      </c>
      <c r="X210" s="56">
        <f>Datos!$K$5</f>
        <v>36</v>
      </c>
      <c r="Y210" s="55">
        <f ca="1">IF((W210-Datos!$U$5-1000000)/X210&gt;0,(W210-Datos!$U$5-1000000)/X210,0)</f>
        <v>445148.00388888881</v>
      </c>
      <c r="Z210" s="56">
        <f>Datos!$K$5</f>
        <v>36</v>
      </c>
      <c r="AA210" s="55">
        <f ca="1">IF((W210-Datos!$U$5-1000000-O210*3%*VLOOKUP(TODAY(),'UF HOY'!$A$2:$B$36,2,0))/Z210&gt;0,(W210-Datos!$U$5-1000000-O210*3%*VLOOKUP(TODAY(),'UF HOY'!$A$2:$B$36,2,0))/Z210,0)</f>
        <v>302436.93605555547</v>
      </c>
      <c r="AB210" s="130" cm="1">
        <f t="array" ref="AB210">_xlfn.IFS(AND(L210=0,M210=0),VLOOKUP(D210,Datos!$F$31:$I$33,2,0),AND(L210=0,M210&gt;0),VLOOKUP(D210,Datos!$F$32:$I$33,2,0),AND(L210&gt;0,M210=0),VLOOKUP(D210,Datos!$F$32:$I$33,3,0),AND(L210&gt;0,M210&gt;0),VLOOKUP(D210,Datos!$F$31:$I$33,4,0))</f>
        <v>550000</v>
      </c>
      <c r="AC210" s="55">
        <f ca="1">(S210*PMT(Datos!$G$15,Datos!$G$14,-O210,,)*VLOOKUP(TODAY(),'UF HOY'!$A$2:$B$36,2,0)/12)+VLOOKUP(TODAY(),'UF HOY'!$A$2:$B$36,2,0)</f>
        <v>699973.55602178699</v>
      </c>
      <c r="AD210" s="55">
        <f t="shared" ca="1" si="46"/>
        <v>-149973.55602178699</v>
      </c>
      <c r="AE210" s="93">
        <f t="shared" ca="1" si="47"/>
        <v>2799894.224087148</v>
      </c>
    </row>
    <row r="211" spans="1:31" s="3" customFormat="1" x14ac:dyDescent="0.35">
      <c r="A211" s="94" t="s">
        <v>346</v>
      </c>
      <c r="B211" s="80">
        <v>2403</v>
      </c>
      <c r="C211" s="48" t="s">
        <v>38</v>
      </c>
      <c r="D211" s="48" t="s">
        <v>37</v>
      </c>
      <c r="E211" s="48"/>
      <c r="F211" s="48">
        <v>34.79</v>
      </c>
      <c r="G211" s="48">
        <v>2.83</v>
      </c>
      <c r="H211" s="82">
        <f t="shared" si="36"/>
        <v>36.204999999999998</v>
      </c>
      <c r="I211" s="82">
        <f t="shared" si="37"/>
        <v>37.619999999999997</v>
      </c>
      <c r="J211" s="49">
        <v>4315</v>
      </c>
      <c r="K211" s="304">
        <v>0</v>
      </c>
      <c r="L211" s="48">
        <v>0</v>
      </c>
      <c r="M211" s="48">
        <v>0</v>
      </c>
      <c r="N211" s="49">
        <f t="shared" si="38"/>
        <v>3883.5</v>
      </c>
      <c r="O211" s="52">
        <f t="shared" si="39"/>
        <v>4315</v>
      </c>
      <c r="P211" s="79">
        <f t="shared" si="40"/>
        <v>107.26419002900153</v>
      </c>
      <c r="Q211" s="53">
        <f t="shared" si="41"/>
        <v>0.1</v>
      </c>
      <c r="R211" s="54">
        <f t="shared" si="42"/>
        <v>431.5</v>
      </c>
      <c r="S211" s="53">
        <v>0.8</v>
      </c>
      <c r="T211" s="54">
        <f t="shared" si="43"/>
        <v>3452</v>
      </c>
      <c r="U211" s="53">
        <f t="shared" si="44"/>
        <v>9.9999999999999978E-2</v>
      </c>
      <c r="V211" s="54">
        <f t="shared" si="45"/>
        <v>431.49999999999989</v>
      </c>
      <c r="W211" s="55">
        <f ca="1">V211*VLOOKUP(TODAY(),'UF HOY'!$A$2:$B$36,2,0)</f>
        <v>17145195.109999996</v>
      </c>
      <c r="X211" s="56">
        <f>Datos!$K$5</f>
        <v>36</v>
      </c>
      <c r="Y211" s="55">
        <f ca="1">IF((W211-Datos!$U$5-1000000)/X211&gt;0,(W211-Datos!$U$5-1000000)/X211,0)</f>
        <v>445699.86416666652</v>
      </c>
      <c r="Z211" s="56">
        <f>Datos!$K$5</f>
        <v>36</v>
      </c>
      <c r="AA211" s="55">
        <f ca="1">IF((W211-Datos!$U$5-1000000-O211*3%*VLOOKUP(TODAY(),'UF HOY'!$A$2:$B$36,2,0))/Z211&gt;0,(W211-Datos!$U$5-1000000-O211*3%*VLOOKUP(TODAY(),'UF HOY'!$A$2:$B$36,2,0))/Z211,0)</f>
        <v>302823.23824999988</v>
      </c>
      <c r="AB211" s="130" cm="1">
        <f t="array" ref="AB211">_xlfn.IFS(AND(L211=0,M211=0),VLOOKUP(D211,Datos!$F$31:$I$33,2,0),AND(L211=0,M211&gt;0),VLOOKUP(D211,Datos!$F$32:$I$33,2,0),AND(L211&gt;0,M211=0),VLOOKUP(D211,Datos!$F$32:$I$33,3,0),AND(L211&gt;0,M211&gt;0),VLOOKUP(D211,Datos!$F$31:$I$33,4,0))</f>
        <v>550000</v>
      </c>
      <c r="AC211" s="55">
        <f ca="1">(S211*PMT(Datos!$G$15,Datos!$G$14,-O211,,)*VLOOKUP(TODAY(),'UF HOY'!$A$2:$B$36,2,0)/12)+VLOOKUP(TODAY(),'UF HOY'!$A$2:$B$36,2,0)</f>
        <v>700739.49525151053</v>
      </c>
      <c r="AD211" s="55">
        <f t="shared" ca="1" si="46"/>
        <v>-150739.49525151053</v>
      </c>
      <c r="AE211" s="93">
        <f t="shared" ca="1" si="47"/>
        <v>2802957.9810060421</v>
      </c>
    </row>
    <row r="212" spans="1:31" s="3" customFormat="1" x14ac:dyDescent="0.35">
      <c r="A212" s="94" t="s">
        <v>346</v>
      </c>
      <c r="B212" s="80">
        <v>2404</v>
      </c>
      <c r="C212" s="48" t="s">
        <v>38</v>
      </c>
      <c r="D212" s="48" t="s">
        <v>37</v>
      </c>
      <c r="E212" s="48"/>
      <c r="F212" s="48">
        <v>34.74</v>
      </c>
      <c r="G212" s="48">
        <v>2.86</v>
      </c>
      <c r="H212" s="82">
        <f t="shared" si="36"/>
        <v>36.17</v>
      </c>
      <c r="I212" s="82">
        <f t="shared" si="37"/>
        <v>37.6</v>
      </c>
      <c r="J212" s="49">
        <v>4315</v>
      </c>
      <c r="K212" s="304">
        <v>0</v>
      </c>
      <c r="L212" s="48">
        <v>0</v>
      </c>
      <c r="M212" s="48">
        <v>0</v>
      </c>
      <c r="N212" s="49">
        <f t="shared" si="38"/>
        <v>3883.5</v>
      </c>
      <c r="O212" s="52">
        <f t="shared" si="39"/>
        <v>4315</v>
      </c>
      <c r="P212" s="79">
        <f t="shared" si="40"/>
        <v>107.36798451755598</v>
      </c>
      <c r="Q212" s="53">
        <f t="shared" si="41"/>
        <v>0.1</v>
      </c>
      <c r="R212" s="54">
        <f t="shared" si="42"/>
        <v>431.5</v>
      </c>
      <c r="S212" s="53">
        <v>0.8</v>
      </c>
      <c r="T212" s="54">
        <f t="shared" si="43"/>
        <v>3452</v>
      </c>
      <c r="U212" s="53">
        <f t="shared" si="44"/>
        <v>9.9999999999999978E-2</v>
      </c>
      <c r="V212" s="54">
        <f t="shared" si="45"/>
        <v>431.49999999999989</v>
      </c>
      <c r="W212" s="55">
        <f ca="1">V212*VLOOKUP(TODAY(),'UF HOY'!$A$2:$B$36,2,0)</f>
        <v>17145195.109999996</v>
      </c>
      <c r="X212" s="56">
        <f>Datos!$K$5</f>
        <v>36</v>
      </c>
      <c r="Y212" s="55">
        <f ca="1">IF((W212-Datos!$U$5-1000000)/X212&gt;0,(W212-Datos!$U$5-1000000)/X212,0)</f>
        <v>445699.86416666652</v>
      </c>
      <c r="Z212" s="56">
        <f>Datos!$K$5</f>
        <v>36</v>
      </c>
      <c r="AA212" s="55">
        <f ca="1">IF((W212-Datos!$U$5-1000000-O212*3%*VLOOKUP(TODAY(),'UF HOY'!$A$2:$B$36,2,0))/Z212&gt;0,(W212-Datos!$U$5-1000000-O212*3%*VLOOKUP(TODAY(),'UF HOY'!$A$2:$B$36,2,0))/Z212,0)</f>
        <v>302823.23824999988</v>
      </c>
      <c r="AB212" s="130" cm="1">
        <f t="array" ref="AB212">_xlfn.IFS(AND(L212=0,M212=0),VLOOKUP(D212,Datos!$F$31:$I$33,2,0),AND(L212=0,M212&gt;0),VLOOKUP(D212,Datos!$F$32:$I$33,2,0),AND(L212&gt;0,M212=0),VLOOKUP(D212,Datos!$F$32:$I$33,3,0),AND(L212&gt;0,M212&gt;0),VLOOKUP(D212,Datos!$F$31:$I$33,4,0))</f>
        <v>550000</v>
      </c>
      <c r="AC212" s="55">
        <f ca="1">(S212*PMT(Datos!$G$15,Datos!$G$14,-O212,,)*VLOOKUP(TODAY(),'UF HOY'!$A$2:$B$36,2,0)/12)+VLOOKUP(TODAY(),'UF HOY'!$A$2:$B$36,2,0)</f>
        <v>700739.49525151053</v>
      </c>
      <c r="AD212" s="55">
        <f t="shared" ca="1" si="46"/>
        <v>-150739.49525151053</v>
      </c>
      <c r="AE212" s="93">
        <f t="shared" ca="1" si="47"/>
        <v>2802957.9810060421</v>
      </c>
    </row>
    <row r="213" spans="1:31" s="3" customFormat="1" x14ac:dyDescent="0.35">
      <c r="A213" s="94" t="s">
        <v>346</v>
      </c>
      <c r="B213" s="80">
        <v>705</v>
      </c>
      <c r="C213" s="48" t="s">
        <v>38</v>
      </c>
      <c r="D213" s="48" t="s">
        <v>37</v>
      </c>
      <c r="E213" s="48"/>
      <c r="F213" s="48">
        <v>36.42</v>
      </c>
      <c r="G213" s="48">
        <v>2.81</v>
      </c>
      <c r="H213" s="82">
        <f t="shared" si="36"/>
        <v>37.825000000000003</v>
      </c>
      <c r="I213" s="82">
        <f t="shared" si="37"/>
        <v>39.230000000000004</v>
      </c>
      <c r="J213" s="49">
        <v>4320</v>
      </c>
      <c r="K213" s="304">
        <v>0</v>
      </c>
      <c r="L213" s="48">
        <v>0</v>
      </c>
      <c r="M213" s="48">
        <v>0</v>
      </c>
      <c r="N213" s="49">
        <f t="shared" si="38"/>
        <v>3888</v>
      </c>
      <c r="O213" s="52">
        <f t="shared" si="39"/>
        <v>4320</v>
      </c>
      <c r="P213" s="79">
        <f t="shared" si="40"/>
        <v>102.78916060806344</v>
      </c>
      <c r="Q213" s="53">
        <f t="shared" si="41"/>
        <v>0.1</v>
      </c>
      <c r="R213" s="54">
        <f t="shared" si="42"/>
        <v>432</v>
      </c>
      <c r="S213" s="53">
        <v>0.8</v>
      </c>
      <c r="T213" s="54">
        <f t="shared" si="43"/>
        <v>3456</v>
      </c>
      <c r="U213" s="53">
        <f t="shared" si="44"/>
        <v>9.9999999999999978E-2</v>
      </c>
      <c r="V213" s="54">
        <f t="shared" si="45"/>
        <v>431.99999999999989</v>
      </c>
      <c r="W213" s="55">
        <f ca="1">V213*VLOOKUP(TODAY(),'UF HOY'!$A$2:$B$36,2,0)</f>
        <v>17165062.079999998</v>
      </c>
      <c r="X213" s="56">
        <f>Datos!$K$5</f>
        <v>36</v>
      </c>
      <c r="Y213" s="55">
        <f ca="1">IF((W213-Datos!$U$5-1000000)/X213&gt;0,(W213-Datos!$U$5-1000000)/X213,0)</f>
        <v>446251.72444444441</v>
      </c>
      <c r="Z213" s="56">
        <f>Datos!$K$5</f>
        <v>36</v>
      </c>
      <c r="AA213" s="55">
        <f ca="1">IF((W213-Datos!$U$5-1000000-O213*3%*VLOOKUP(TODAY(),'UF HOY'!$A$2:$B$36,2,0))/Z213&gt;0,(W213-Datos!$U$5-1000000-O213*3%*VLOOKUP(TODAY(),'UF HOY'!$A$2:$B$36,2,0))/Z213,0)</f>
        <v>303209.5404444444</v>
      </c>
      <c r="AB213" s="130" cm="1">
        <f t="array" ref="AB213">_xlfn.IFS(AND(L213=0,M213=0),VLOOKUP(D213,Datos!$F$31:$I$33,2,0),AND(L213=0,M213&gt;0),VLOOKUP(D213,Datos!$F$32:$I$33,2,0),AND(L213&gt;0,M213=0),VLOOKUP(D213,Datos!$F$32:$I$33,3,0),AND(L213&gt;0,M213&gt;0),VLOOKUP(D213,Datos!$F$31:$I$33,4,0))</f>
        <v>550000</v>
      </c>
      <c r="AC213" s="55">
        <f ca="1">(S213*PMT(Datos!$G$15,Datos!$G$14,-O213,,)*VLOOKUP(TODAY(),'UF HOY'!$A$2:$B$36,2,0)/12)+VLOOKUP(TODAY(),'UF HOY'!$A$2:$B$36,2,0)</f>
        <v>701505.43448123429</v>
      </c>
      <c r="AD213" s="55">
        <f t="shared" ca="1" si="46"/>
        <v>-151505.43448123429</v>
      </c>
      <c r="AE213" s="93">
        <f t="shared" ca="1" si="47"/>
        <v>2806021.7379249372</v>
      </c>
    </row>
    <row r="214" spans="1:31" s="3" customFormat="1" x14ac:dyDescent="0.35">
      <c r="A214" s="94" t="s">
        <v>346</v>
      </c>
      <c r="B214" s="80">
        <v>1201</v>
      </c>
      <c r="C214" s="48" t="s">
        <v>41</v>
      </c>
      <c r="D214" s="48" t="s">
        <v>37</v>
      </c>
      <c r="E214" s="48"/>
      <c r="F214" s="48">
        <v>35.619999999999997</v>
      </c>
      <c r="G214" s="48">
        <v>2.96</v>
      </c>
      <c r="H214" s="82">
        <f t="shared" si="36"/>
        <v>37.099999999999994</v>
      </c>
      <c r="I214" s="82">
        <f t="shared" si="37"/>
        <v>38.58</v>
      </c>
      <c r="J214" s="49">
        <v>4320</v>
      </c>
      <c r="K214" s="304">
        <v>0</v>
      </c>
      <c r="L214" s="48">
        <v>0</v>
      </c>
      <c r="M214" s="48">
        <v>0</v>
      </c>
      <c r="N214" s="49">
        <f t="shared" si="38"/>
        <v>3888</v>
      </c>
      <c r="O214" s="52">
        <f t="shared" si="39"/>
        <v>4320</v>
      </c>
      <c r="P214" s="79">
        <f t="shared" si="40"/>
        <v>104.79784366576821</v>
      </c>
      <c r="Q214" s="53">
        <f t="shared" si="41"/>
        <v>0.1</v>
      </c>
      <c r="R214" s="54">
        <f t="shared" si="42"/>
        <v>432</v>
      </c>
      <c r="S214" s="53">
        <v>0.8</v>
      </c>
      <c r="T214" s="54">
        <f t="shared" si="43"/>
        <v>3456</v>
      </c>
      <c r="U214" s="53">
        <f t="shared" si="44"/>
        <v>9.9999999999999978E-2</v>
      </c>
      <c r="V214" s="54">
        <f t="shared" si="45"/>
        <v>431.99999999999989</v>
      </c>
      <c r="W214" s="55">
        <f ca="1">V214*VLOOKUP(TODAY(),'UF HOY'!$A$2:$B$36,2,0)</f>
        <v>17165062.079999998</v>
      </c>
      <c r="X214" s="56">
        <f>Datos!$K$5</f>
        <v>36</v>
      </c>
      <c r="Y214" s="55">
        <f ca="1">IF((W214-Datos!$U$5-1000000)/X214&gt;0,(W214-Datos!$U$5-1000000)/X214,0)</f>
        <v>446251.72444444441</v>
      </c>
      <c r="Z214" s="56">
        <f>Datos!$K$5</f>
        <v>36</v>
      </c>
      <c r="AA214" s="55">
        <f ca="1">IF((W214-Datos!$U$5-1000000-O214*3%*VLOOKUP(TODAY(),'UF HOY'!$A$2:$B$36,2,0))/Z214&gt;0,(W214-Datos!$U$5-1000000-O214*3%*VLOOKUP(TODAY(),'UF HOY'!$A$2:$B$36,2,0))/Z214,0)</f>
        <v>303209.5404444444</v>
      </c>
      <c r="AB214" s="130" cm="1">
        <f t="array" ref="AB214">_xlfn.IFS(AND(L214=0,M214=0),VLOOKUP(D214,Datos!$F$31:$I$33,2,0),AND(L214=0,M214&gt;0),VLOOKUP(D214,Datos!$F$32:$I$33,2,0),AND(L214&gt;0,M214=0),VLOOKUP(D214,Datos!$F$32:$I$33,3,0),AND(L214&gt;0,M214&gt;0),VLOOKUP(D214,Datos!$F$31:$I$33,4,0))</f>
        <v>550000</v>
      </c>
      <c r="AC214" s="55">
        <f ca="1">(S214*PMT(Datos!$G$15,Datos!$G$14,-O214,,)*VLOOKUP(TODAY(),'UF HOY'!$A$2:$B$36,2,0)/12)+VLOOKUP(TODAY(),'UF HOY'!$A$2:$B$36,2,0)</f>
        <v>701505.43448123429</v>
      </c>
      <c r="AD214" s="55">
        <f t="shared" ca="1" si="46"/>
        <v>-151505.43448123429</v>
      </c>
      <c r="AE214" s="93">
        <f t="shared" ca="1" si="47"/>
        <v>2806021.7379249372</v>
      </c>
    </row>
    <row r="215" spans="1:31" s="3" customFormat="1" x14ac:dyDescent="0.35">
      <c r="A215" s="94" t="s">
        <v>346</v>
      </c>
      <c r="B215" s="80">
        <v>1909</v>
      </c>
      <c r="C215" s="48" t="s">
        <v>40</v>
      </c>
      <c r="D215" s="48" t="s">
        <v>37</v>
      </c>
      <c r="E215" s="48"/>
      <c r="F215" s="48">
        <v>34.369999999999997</v>
      </c>
      <c r="G215" s="48">
        <v>3.28</v>
      </c>
      <c r="H215" s="82">
        <f t="shared" si="36"/>
        <v>36.01</v>
      </c>
      <c r="I215" s="82">
        <f t="shared" si="37"/>
        <v>37.65</v>
      </c>
      <c r="J215" s="49">
        <v>4320</v>
      </c>
      <c r="K215" s="304">
        <v>0</v>
      </c>
      <c r="L215" s="48">
        <v>0</v>
      </c>
      <c r="M215" s="48">
        <v>0</v>
      </c>
      <c r="N215" s="49">
        <f t="shared" si="38"/>
        <v>3888</v>
      </c>
      <c r="O215" s="52">
        <f t="shared" si="39"/>
        <v>4320</v>
      </c>
      <c r="P215" s="79">
        <f t="shared" si="40"/>
        <v>107.97000833101917</v>
      </c>
      <c r="Q215" s="53">
        <f t="shared" si="41"/>
        <v>0.1</v>
      </c>
      <c r="R215" s="54">
        <f t="shared" si="42"/>
        <v>432</v>
      </c>
      <c r="S215" s="53">
        <v>0.8</v>
      </c>
      <c r="T215" s="54">
        <f t="shared" si="43"/>
        <v>3456</v>
      </c>
      <c r="U215" s="53">
        <f t="shared" si="44"/>
        <v>9.9999999999999978E-2</v>
      </c>
      <c r="V215" s="54">
        <f t="shared" si="45"/>
        <v>431.99999999999989</v>
      </c>
      <c r="W215" s="55">
        <f ca="1">V215*VLOOKUP(TODAY(),'UF HOY'!$A$2:$B$36,2,0)</f>
        <v>17165062.079999998</v>
      </c>
      <c r="X215" s="56">
        <f>Datos!$K$5</f>
        <v>36</v>
      </c>
      <c r="Y215" s="55">
        <f ca="1">IF((W215-Datos!$U$5-1000000)/X215&gt;0,(W215-Datos!$U$5-1000000)/X215,0)</f>
        <v>446251.72444444441</v>
      </c>
      <c r="Z215" s="56">
        <f>Datos!$K$5</f>
        <v>36</v>
      </c>
      <c r="AA215" s="55">
        <f ca="1">IF((W215-Datos!$U$5-1000000-O215*3%*VLOOKUP(TODAY(),'UF HOY'!$A$2:$B$36,2,0))/Z215&gt;0,(W215-Datos!$U$5-1000000-O215*3%*VLOOKUP(TODAY(),'UF HOY'!$A$2:$B$36,2,0))/Z215,0)</f>
        <v>303209.5404444444</v>
      </c>
      <c r="AB215" s="130" cm="1">
        <f t="array" ref="AB215">_xlfn.IFS(AND(L215=0,M215=0),VLOOKUP(D215,Datos!$F$31:$I$33,2,0),AND(L215=0,M215&gt;0),VLOOKUP(D215,Datos!$F$32:$I$33,2,0),AND(L215&gt;0,M215=0),VLOOKUP(D215,Datos!$F$32:$I$33,3,0),AND(L215&gt;0,M215&gt;0),VLOOKUP(D215,Datos!$F$31:$I$33,4,0))</f>
        <v>550000</v>
      </c>
      <c r="AC215" s="55">
        <f ca="1">(S215*PMT(Datos!$G$15,Datos!$G$14,-O215,,)*VLOOKUP(TODAY(),'UF HOY'!$A$2:$B$36,2,0)/12)+VLOOKUP(TODAY(),'UF HOY'!$A$2:$B$36,2,0)</f>
        <v>701505.43448123429</v>
      </c>
      <c r="AD215" s="55">
        <f t="shared" ca="1" si="46"/>
        <v>-151505.43448123429</v>
      </c>
      <c r="AE215" s="93">
        <f t="shared" ca="1" si="47"/>
        <v>2806021.7379249372</v>
      </c>
    </row>
    <row r="216" spans="1:31" s="3" customFormat="1" x14ac:dyDescent="0.35">
      <c r="A216" s="94" t="s">
        <v>346</v>
      </c>
      <c r="B216" s="80">
        <v>1910</v>
      </c>
      <c r="C216" s="48" t="s">
        <v>40</v>
      </c>
      <c r="D216" s="48" t="s">
        <v>37</v>
      </c>
      <c r="E216" s="48"/>
      <c r="F216" s="48">
        <v>34.369999999999997</v>
      </c>
      <c r="G216" s="48">
        <v>3.28</v>
      </c>
      <c r="H216" s="82">
        <f t="shared" si="36"/>
        <v>36.01</v>
      </c>
      <c r="I216" s="82">
        <f t="shared" si="37"/>
        <v>37.65</v>
      </c>
      <c r="J216" s="49">
        <v>4320</v>
      </c>
      <c r="K216" s="304">
        <v>0</v>
      </c>
      <c r="L216" s="48">
        <v>0</v>
      </c>
      <c r="M216" s="48">
        <v>0</v>
      </c>
      <c r="N216" s="49">
        <f t="shared" si="38"/>
        <v>3888</v>
      </c>
      <c r="O216" s="52">
        <f t="shared" si="39"/>
        <v>4320</v>
      </c>
      <c r="P216" s="79">
        <f t="shared" si="40"/>
        <v>107.97000833101917</v>
      </c>
      <c r="Q216" s="53">
        <f t="shared" si="41"/>
        <v>0.1</v>
      </c>
      <c r="R216" s="54">
        <f t="shared" si="42"/>
        <v>432</v>
      </c>
      <c r="S216" s="53">
        <v>0.8</v>
      </c>
      <c r="T216" s="54">
        <f t="shared" si="43"/>
        <v>3456</v>
      </c>
      <c r="U216" s="53">
        <f t="shared" si="44"/>
        <v>9.9999999999999978E-2</v>
      </c>
      <c r="V216" s="54">
        <f t="shared" si="45"/>
        <v>431.99999999999989</v>
      </c>
      <c r="W216" s="55">
        <f ca="1">V216*VLOOKUP(TODAY(),'UF HOY'!$A$2:$B$36,2,0)</f>
        <v>17165062.079999998</v>
      </c>
      <c r="X216" s="56">
        <f>Datos!$K$5</f>
        <v>36</v>
      </c>
      <c r="Y216" s="55">
        <f ca="1">IF((W216-Datos!$U$5-1000000)/X216&gt;0,(W216-Datos!$U$5-1000000)/X216,0)</f>
        <v>446251.72444444441</v>
      </c>
      <c r="Z216" s="56">
        <f>Datos!$K$5</f>
        <v>36</v>
      </c>
      <c r="AA216" s="55">
        <f ca="1">IF((W216-Datos!$U$5-1000000-O216*3%*VLOOKUP(TODAY(),'UF HOY'!$A$2:$B$36,2,0))/Z216&gt;0,(W216-Datos!$U$5-1000000-O216*3%*VLOOKUP(TODAY(),'UF HOY'!$A$2:$B$36,2,0))/Z216,0)</f>
        <v>303209.5404444444</v>
      </c>
      <c r="AB216" s="130" cm="1">
        <f t="array" ref="AB216">_xlfn.IFS(AND(L216=0,M216=0),VLOOKUP(D216,Datos!$F$31:$I$33,2,0),AND(L216=0,M216&gt;0),VLOOKUP(D216,Datos!$F$32:$I$33,2,0),AND(L216&gt;0,M216=0),VLOOKUP(D216,Datos!$F$32:$I$33,3,0),AND(L216&gt;0,M216&gt;0),VLOOKUP(D216,Datos!$F$31:$I$33,4,0))</f>
        <v>550000</v>
      </c>
      <c r="AC216" s="55">
        <f ca="1">(S216*PMT(Datos!$G$15,Datos!$G$14,-O216,,)*VLOOKUP(TODAY(),'UF HOY'!$A$2:$B$36,2,0)/12)+VLOOKUP(TODAY(),'UF HOY'!$A$2:$B$36,2,0)</f>
        <v>701505.43448123429</v>
      </c>
      <c r="AD216" s="55">
        <f t="shared" ca="1" si="46"/>
        <v>-151505.43448123429</v>
      </c>
      <c r="AE216" s="93">
        <f t="shared" ca="1" si="47"/>
        <v>2806021.7379249372</v>
      </c>
    </row>
    <row r="217" spans="1:31" s="3" customFormat="1" x14ac:dyDescent="0.35">
      <c r="A217" s="94" t="s">
        <v>346</v>
      </c>
      <c r="B217" s="80">
        <v>2302</v>
      </c>
      <c r="C217" s="48" t="s">
        <v>38</v>
      </c>
      <c r="D217" s="48" t="s">
        <v>37</v>
      </c>
      <c r="E217" s="48"/>
      <c r="F217" s="48">
        <v>34.89</v>
      </c>
      <c r="G217" s="48">
        <v>2.83</v>
      </c>
      <c r="H217" s="82">
        <f t="shared" si="36"/>
        <v>36.305</v>
      </c>
      <c r="I217" s="82">
        <f t="shared" si="37"/>
        <v>37.72</v>
      </c>
      <c r="J217" s="49">
        <v>4320</v>
      </c>
      <c r="K217" s="304">
        <v>0</v>
      </c>
      <c r="L217" s="48">
        <v>0</v>
      </c>
      <c r="M217" s="48">
        <v>0</v>
      </c>
      <c r="N217" s="49">
        <f t="shared" si="38"/>
        <v>3888</v>
      </c>
      <c r="O217" s="52">
        <f t="shared" si="39"/>
        <v>4320</v>
      </c>
      <c r="P217" s="79">
        <f t="shared" si="40"/>
        <v>107.09268695771932</v>
      </c>
      <c r="Q217" s="53">
        <f t="shared" si="41"/>
        <v>0.1</v>
      </c>
      <c r="R217" s="54">
        <f t="shared" si="42"/>
        <v>432</v>
      </c>
      <c r="S217" s="53">
        <v>0.8</v>
      </c>
      <c r="T217" s="54">
        <f t="shared" si="43"/>
        <v>3456</v>
      </c>
      <c r="U217" s="53">
        <f t="shared" si="44"/>
        <v>9.9999999999999978E-2</v>
      </c>
      <c r="V217" s="54">
        <f t="shared" si="45"/>
        <v>431.99999999999989</v>
      </c>
      <c r="W217" s="55">
        <f ca="1">V217*VLOOKUP(TODAY(),'UF HOY'!$A$2:$B$36,2,0)</f>
        <v>17165062.079999998</v>
      </c>
      <c r="X217" s="56">
        <f>Datos!$K$5</f>
        <v>36</v>
      </c>
      <c r="Y217" s="55">
        <f ca="1">IF((W217-Datos!$U$5-1000000)/X217&gt;0,(W217-Datos!$U$5-1000000)/X217,0)</f>
        <v>446251.72444444441</v>
      </c>
      <c r="Z217" s="56">
        <f>Datos!$K$5</f>
        <v>36</v>
      </c>
      <c r="AA217" s="55">
        <f ca="1">IF((W217-Datos!$U$5-1000000-O217*3%*VLOOKUP(TODAY(),'UF HOY'!$A$2:$B$36,2,0))/Z217&gt;0,(W217-Datos!$U$5-1000000-O217*3%*VLOOKUP(TODAY(),'UF HOY'!$A$2:$B$36,2,0))/Z217,0)</f>
        <v>303209.5404444444</v>
      </c>
      <c r="AB217" s="130" cm="1">
        <f t="array" ref="AB217">_xlfn.IFS(AND(L217=0,M217=0),VLOOKUP(D217,Datos!$F$31:$I$33,2,0),AND(L217=0,M217&gt;0),VLOOKUP(D217,Datos!$F$32:$I$33,2,0),AND(L217&gt;0,M217=0),VLOOKUP(D217,Datos!$F$32:$I$33,3,0),AND(L217&gt;0,M217&gt;0),VLOOKUP(D217,Datos!$F$31:$I$33,4,0))</f>
        <v>550000</v>
      </c>
      <c r="AC217" s="55">
        <f ca="1">(S217*PMT(Datos!$G$15,Datos!$G$14,-O217,,)*VLOOKUP(TODAY(),'UF HOY'!$A$2:$B$36,2,0)/12)+VLOOKUP(TODAY(),'UF HOY'!$A$2:$B$36,2,0)</f>
        <v>701505.43448123429</v>
      </c>
      <c r="AD217" s="55">
        <f t="shared" ca="1" si="46"/>
        <v>-151505.43448123429</v>
      </c>
      <c r="AE217" s="93">
        <f t="shared" ca="1" si="47"/>
        <v>2806021.7379249372</v>
      </c>
    </row>
    <row r="218" spans="1:31" s="3" customFormat="1" x14ac:dyDescent="0.35">
      <c r="A218" s="94" t="s">
        <v>346</v>
      </c>
      <c r="B218" s="80">
        <v>2504</v>
      </c>
      <c r="C218" s="48" t="s">
        <v>38</v>
      </c>
      <c r="D218" s="48" t="s">
        <v>37</v>
      </c>
      <c r="E218" s="48"/>
      <c r="F218" s="48">
        <v>34.74</v>
      </c>
      <c r="G218" s="48">
        <v>2.86</v>
      </c>
      <c r="H218" s="82">
        <f t="shared" si="36"/>
        <v>36.17</v>
      </c>
      <c r="I218" s="82">
        <f t="shared" si="37"/>
        <v>37.6</v>
      </c>
      <c r="J218" s="49">
        <v>4320</v>
      </c>
      <c r="K218" s="304">
        <v>0</v>
      </c>
      <c r="L218" s="48">
        <v>0</v>
      </c>
      <c r="M218" s="48">
        <v>0</v>
      </c>
      <c r="N218" s="49">
        <f t="shared" si="38"/>
        <v>3888</v>
      </c>
      <c r="O218" s="52">
        <f t="shared" si="39"/>
        <v>4320</v>
      </c>
      <c r="P218" s="79">
        <f t="shared" si="40"/>
        <v>107.49239701410008</v>
      </c>
      <c r="Q218" s="53">
        <f t="shared" si="41"/>
        <v>0.1</v>
      </c>
      <c r="R218" s="54">
        <f t="shared" si="42"/>
        <v>432</v>
      </c>
      <c r="S218" s="53">
        <v>0.8</v>
      </c>
      <c r="T218" s="54">
        <f t="shared" si="43"/>
        <v>3456</v>
      </c>
      <c r="U218" s="53">
        <f t="shared" si="44"/>
        <v>9.9999999999999978E-2</v>
      </c>
      <c r="V218" s="54">
        <f t="shared" si="45"/>
        <v>431.99999999999989</v>
      </c>
      <c r="W218" s="55">
        <f ca="1">V218*VLOOKUP(TODAY(),'UF HOY'!$A$2:$B$36,2,0)</f>
        <v>17165062.079999998</v>
      </c>
      <c r="X218" s="56">
        <f>Datos!$K$5</f>
        <v>36</v>
      </c>
      <c r="Y218" s="55">
        <f ca="1">IF((W218-Datos!$U$5-1000000)/X218&gt;0,(W218-Datos!$U$5-1000000)/X218,0)</f>
        <v>446251.72444444441</v>
      </c>
      <c r="Z218" s="56">
        <f>Datos!$K$5</f>
        <v>36</v>
      </c>
      <c r="AA218" s="55">
        <f ca="1">IF((W218-Datos!$U$5-1000000-O218*3%*VLOOKUP(TODAY(),'UF HOY'!$A$2:$B$36,2,0))/Z218&gt;0,(W218-Datos!$U$5-1000000-O218*3%*VLOOKUP(TODAY(),'UF HOY'!$A$2:$B$36,2,0))/Z218,0)</f>
        <v>303209.5404444444</v>
      </c>
      <c r="AB218" s="130" cm="1">
        <f t="array" ref="AB218">_xlfn.IFS(AND(L218=0,M218=0),VLOOKUP(D218,Datos!$F$31:$I$33,2,0),AND(L218=0,M218&gt;0),VLOOKUP(D218,Datos!$F$32:$I$33,2,0),AND(L218&gt;0,M218=0),VLOOKUP(D218,Datos!$F$32:$I$33,3,0),AND(L218&gt;0,M218&gt;0),VLOOKUP(D218,Datos!$F$31:$I$33,4,0))</f>
        <v>550000</v>
      </c>
      <c r="AC218" s="55">
        <f ca="1">(S218*PMT(Datos!$G$15,Datos!$G$14,-O218,,)*VLOOKUP(TODAY(),'UF HOY'!$A$2:$B$36,2,0)/12)+VLOOKUP(TODAY(),'UF HOY'!$A$2:$B$36,2,0)</f>
        <v>701505.43448123429</v>
      </c>
      <c r="AD218" s="55">
        <f t="shared" ca="1" si="46"/>
        <v>-151505.43448123429</v>
      </c>
      <c r="AE218" s="93">
        <f t="shared" ca="1" si="47"/>
        <v>2806021.7379249372</v>
      </c>
    </row>
    <row r="219" spans="1:31" s="3" customFormat="1" x14ac:dyDescent="0.35">
      <c r="A219" s="94" t="s">
        <v>346</v>
      </c>
      <c r="B219" s="80">
        <v>2503</v>
      </c>
      <c r="C219" s="48" t="s">
        <v>38</v>
      </c>
      <c r="D219" s="48" t="s">
        <v>37</v>
      </c>
      <c r="E219" s="48"/>
      <c r="F219" s="48">
        <v>34.79</v>
      </c>
      <c r="G219" s="48">
        <v>2.83</v>
      </c>
      <c r="H219" s="82">
        <f t="shared" si="36"/>
        <v>36.204999999999998</v>
      </c>
      <c r="I219" s="82">
        <f t="shared" si="37"/>
        <v>37.619999999999997</v>
      </c>
      <c r="J219" s="49">
        <v>4325</v>
      </c>
      <c r="K219" s="304">
        <v>0</v>
      </c>
      <c r="L219" s="48">
        <v>0</v>
      </c>
      <c r="M219" s="48">
        <v>0</v>
      </c>
      <c r="N219" s="49">
        <f t="shared" si="38"/>
        <v>3892.5</v>
      </c>
      <c r="O219" s="52">
        <f t="shared" si="39"/>
        <v>4325</v>
      </c>
      <c r="P219" s="79">
        <f t="shared" si="40"/>
        <v>107.51277447866318</v>
      </c>
      <c r="Q219" s="53">
        <f t="shared" si="41"/>
        <v>0.1</v>
      </c>
      <c r="R219" s="54">
        <f t="shared" si="42"/>
        <v>432.5</v>
      </c>
      <c r="S219" s="53">
        <v>0.8</v>
      </c>
      <c r="T219" s="54">
        <f t="shared" si="43"/>
        <v>3460</v>
      </c>
      <c r="U219" s="53">
        <f t="shared" si="44"/>
        <v>9.9999999999999978E-2</v>
      </c>
      <c r="V219" s="54">
        <f t="shared" si="45"/>
        <v>432.49999999999989</v>
      </c>
      <c r="W219" s="55">
        <f ca="1">V219*VLOOKUP(TODAY(),'UF HOY'!$A$2:$B$36,2,0)</f>
        <v>17184929.049999997</v>
      </c>
      <c r="X219" s="56">
        <f>Datos!$K$5</f>
        <v>36</v>
      </c>
      <c r="Y219" s="55">
        <f ca="1">IF((W219-Datos!$U$5-1000000)/X219&gt;0,(W219-Datos!$U$5-1000000)/X219,0)</f>
        <v>446803.58472222212</v>
      </c>
      <c r="Z219" s="56">
        <f>Datos!$K$5</f>
        <v>36</v>
      </c>
      <c r="AA219" s="55">
        <f ca="1">IF((W219-Datos!$U$5-1000000-O219*3%*VLOOKUP(TODAY(),'UF HOY'!$A$2:$B$36,2,0))/Z219&gt;0,(W219-Datos!$U$5-1000000-O219*3%*VLOOKUP(TODAY(),'UF HOY'!$A$2:$B$36,2,0))/Z219,0)</f>
        <v>303595.8426388888</v>
      </c>
      <c r="AB219" s="130" cm="1">
        <f t="array" ref="AB219">_xlfn.IFS(AND(L219=0,M219=0),VLOOKUP(D219,Datos!$F$31:$I$33,2,0),AND(L219=0,M219&gt;0),VLOOKUP(D219,Datos!$F$32:$I$33,2,0),AND(L219&gt;0,M219=0),VLOOKUP(D219,Datos!$F$32:$I$33,3,0),AND(L219&gt;0,M219&gt;0),VLOOKUP(D219,Datos!$F$31:$I$33,4,0))</f>
        <v>550000</v>
      </c>
      <c r="AC219" s="55">
        <f ca="1">(S219*PMT(Datos!$G$15,Datos!$G$14,-O219,,)*VLOOKUP(TODAY(),'UF HOY'!$A$2:$B$36,2,0)/12)+VLOOKUP(TODAY(),'UF HOY'!$A$2:$B$36,2,0)</f>
        <v>702271.37371095782</v>
      </c>
      <c r="AD219" s="55">
        <f t="shared" ca="1" si="46"/>
        <v>-152271.37371095782</v>
      </c>
      <c r="AE219" s="93">
        <f t="shared" ca="1" si="47"/>
        <v>2809085.4948438313</v>
      </c>
    </row>
    <row r="220" spans="1:31" s="3" customFormat="1" x14ac:dyDescent="0.35">
      <c r="A220" s="94" t="s">
        <v>346</v>
      </c>
      <c r="B220" s="80">
        <v>2402</v>
      </c>
      <c r="C220" s="48" t="s">
        <v>38</v>
      </c>
      <c r="D220" s="48" t="s">
        <v>37</v>
      </c>
      <c r="E220" s="48"/>
      <c r="F220" s="48">
        <v>34.89</v>
      </c>
      <c r="G220" s="48">
        <v>2.83</v>
      </c>
      <c r="H220" s="82">
        <f t="shared" si="36"/>
        <v>36.305</v>
      </c>
      <c r="I220" s="82">
        <f t="shared" si="37"/>
        <v>37.72</v>
      </c>
      <c r="J220" s="49">
        <v>4330</v>
      </c>
      <c r="K220" s="304">
        <v>0</v>
      </c>
      <c r="L220" s="48">
        <v>0</v>
      </c>
      <c r="M220" s="48">
        <v>0</v>
      </c>
      <c r="N220" s="49">
        <f t="shared" si="38"/>
        <v>3897</v>
      </c>
      <c r="O220" s="52">
        <f t="shared" si="39"/>
        <v>4330</v>
      </c>
      <c r="P220" s="79">
        <f t="shared" si="40"/>
        <v>107.34058669604738</v>
      </c>
      <c r="Q220" s="53">
        <f t="shared" si="41"/>
        <v>0.1</v>
      </c>
      <c r="R220" s="54">
        <f t="shared" si="42"/>
        <v>433</v>
      </c>
      <c r="S220" s="53">
        <v>0.8</v>
      </c>
      <c r="T220" s="54">
        <f t="shared" si="43"/>
        <v>3464</v>
      </c>
      <c r="U220" s="53">
        <f t="shared" si="44"/>
        <v>9.9999999999999978E-2</v>
      </c>
      <c r="V220" s="54">
        <f t="shared" si="45"/>
        <v>432.99999999999989</v>
      </c>
      <c r="W220" s="55">
        <f ca="1">V220*VLOOKUP(TODAY(),'UF HOY'!$A$2:$B$36,2,0)</f>
        <v>17204796.019999996</v>
      </c>
      <c r="X220" s="56">
        <f>Datos!$K$5</f>
        <v>36</v>
      </c>
      <c r="Y220" s="55">
        <f ca="1">IF((W220-Datos!$U$5-1000000)/X220&gt;0,(W220-Datos!$U$5-1000000)/X220,0)</f>
        <v>447355.44499999989</v>
      </c>
      <c r="Z220" s="56">
        <f>Datos!$K$5</f>
        <v>36</v>
      </c>
      <c r="AA220" s="55">
        <f ca="1">IF((W220-Datos!$U$5-1000000-O220*3%*VLOOKUP(TODAY(),'UF HOY'!$A$2:$B$36,2,0))/Z220&gt;0,(W220-Datos!$U$5-1000000-O220*3%*VLOOKUP(TODAY(),'UF HOY'!$A$2:$B$36,2,0))/Z220,0)</f>
        <v>303982.14483333315</v>
      </c>
      <c r="AB220" s="130" cm="1">
        <f t="array" ref="AB220">_xlfn.IFS(AND(L220=0,M220=0),VLOOKUP(D220,Datos!$F$31:$I$33,2,0),AND(L220=0,M220&gt;0),VLOOKUP(D220,Datos!$F$32:$I$33,2,0),AND(L220&gt;0,M220=0),VLOOKUP(D220,Datos!$F$32:$I$33,3,0),AND(L220&gt;0,M220&gt;0),VLOOKUP(D220,Datos!$F$31:$I$33,4,0))</f>
        <v>550000</v>
      </c>
      <c r="AC220" s="55">
        <f ca="1">(S220*PMT(Datos!$G$15,Datos!$G$14,-O220,,)*VLOOKUP(TODAY(),'UF HOY'!$A$2:$B$36,2,0)/12)+VLOOKUP(TODAY(),'UF HOY'!$A$2:$B$36,2,0)</f>
        <v>703037.31294068135</v>
      </c>
      <c r="AD220" s="55">
        <f t="shared" ca="1" si="46"/>
        <v>-153037.31294068135</v>
      </c>
      <c r="AE220" s="93">
        <f t="shared" ca="1" si="47"/>
        <v>2812149.2517627254</v>
      </c>
    </row>
    <row r="221" spans="1:31" s="3" customFormat="1" x14ac:dyDescent="0.35">
      <c r="A221" s="94" t="s">
        <v>346</v>
      </c>
      <c r="B221" s="80">
        <v>2604</v>
      </c>
      <c r="C221" s="48" t="s">
        <v>38</v>
      </c>
      <c r="D221" s="48" t="s">
        <v>37</v>
      </c>
      <c r="E221" s="48"/>
      <c r="F221" s="48">
        <v>34.74</v>
      </c>
      <c r="G221" s="48">
        <v>2.86</v>
      </c>
      <c r="H221" s="82">
        <f t="shared" si="36"/>
        <v>36.17</v>
      </c>
      <c r="I221" s="82">
        <f t="shared" si="37"/>
        <v>37.6</v>
      </c>
      <c r="J221" s="49">
        <v>4330</v>
      </c>
      <c r="K221" s="304">
        <v>0</v>
      </c>
      <c r="L221" s="48">
        <v>0</v>
      </c>
      <c r="M221" s="48">
        <v>0</v>
      </c>
      <c r="N221" s="49">
        <f t="shared" si="38"/>
        <v>3897</v>
      </c>
      <c r="O221" s="52">
        <f t="shared" si="39"/>
        <v>4330</v>
      </c>
      <c r="P221" s="79">
        <f t="shared" si="40"/>
        <v>107.74122200718827</v>
      </c>
      <c r="Q221" s="53">
        <f t="shared" si="41"/>
        <v>0.1</v>
      </c>
      <c r="R221" s="54">
        <f t="shared" si="42"/>
        <v>433</v>
      </c>
      <c r="S221" s="53">
        <v>0.8</v>
      </c>
      <c r="T221" s="54">
        <f t="shared" si="43"/>
        <v>3464</v>
      </c>
      <c r="U221" s="53">
        <f t="shared" si="44"/>
        <v>9.9999999999999978E-2</v>
      </c>
      <c r="V221" s="54">
        <f t="shared" si="45"/>
        <v>432.99999999999989</v>
      </c>
      <c r="W221" s="55">
        <f ca="1">V221*VLOOKUP(TODAY(),'UF HOY'!$A$2:$B$36,2,0)</f>
        <v>17204796.019999996</v>
      </c>
      <c r="X221" s="56">
        <f>Datos!$K$5</f>
        <v>36</v>
      </c>
      <c r="Y221" s="55">
        <f ca="1">IF((W221-Datos!$U$5-1000000)/X221&gt;0,(W221-Datos!$U$5-1000000)/X221,0)</f>
        <v>447355.44499999989</v>
      </c>
      <c r="Z221" s="56">
        <f>Datos!$K$5</f>
        <v>36</v>
      </c>
      <c r="AA221" s="55">
        <f ca="1">IF((W221-Datos!$U$5-1000000-O221*3%*VLOOKUP(TODAY(),'UF HOY'!$A$2:$B$36,2,0))/Z221&gt;0,(W221-Datos!$U$5-1000000-O221*3%*VLOOKUP(TODAY(),'UF HOY'!$A$2:$B$36,2,0))/Z221,0)</f>
        <v>303982.14483333315</v>
      </c>
      <c r="AB221" s="130" cm="1">
        <f t="array" ref="AB221">_xlfn.IFS(AND(L221=0,M221=0),VLOOKUP(D221,Datos!$F$31:$I$33,2,0),AND(L221=0,M221&gt;0),VLOOKUP(D221,Datos!$F$32:$I$33,2,0),AND(L221&gt;0,M221=0),VLOOKUP(D221,Datos!$F$32:$I$33,3,0),AND(L221&gt;0,M221&gt;0),VLOOKUP(D221,Datos!$F$31:$I$33,4,0))</f>
        <v>550000</v>
      </c>
      <c r="AC221" s="55">
        <f ca="1">(S221*PMT(Datos!$G$15,Datos!$G$14,-O221,,)*VLOOKUP(TODAY(),'UF HOY'!$A$2:$B$36,2,0)/12)+VLOOKUP(TODAY(),'UF HOY'!$A$2:$B$36,2,0)</f>
        <v>703037.31294068135</v>
      </c>
      <c r="AD221" s="55">
        <f t="shared" ca="1" si="46"/>
        <v>-153037.31294068135</v>
      </c>
      <c r="AE221" s="93">
        <f t="shared" ca="1" si="47"/>
        <v>2812149.2517627254</v>
      </c>
    </row>
    <row r="222" spans="1:31" s="3" customFormat="1" x14ac:dyDescent="0.35">
      <c r="A222" s="94" t="s">
        <v>346</v>
      </c>
      <c r="B222" s="80">
        <v>805</v>
      </c>
      <c r="C222" s="48" t="s">
        <v>38</v>
      </c>
      <c r="D222" s="48" t="s">
        <v>37</v>
      </c>
      <c r="E222" s="48"/>
      <c r="F222" s="48">
        <v>36.42</v>
      </c>
      <c r="G222" s="48">
        <v>2.81</v>
      </c>
      <c r="H222" s="82">
        <f t="shared" si="36"/>
        <v>37.825000000000003</v>
      </c>
      <c r="I222" s="82">
        <f t="shared" si="37"/>
        <v>39.230000000000004</v>
      </c>
      <c r="J222" s="49">
        <v>4335</v>
      </c>
      <c r="K222" s="304">
        <v>0</v>
      </c>
      <c r="L222" s="48">
        <v>0</v>
      </c>
      <c r="M222" s="48">
        <v>0</v>
      </c>
      <c r="N222" s="49">
        <f t="shared" si="38"/>
        <v>3901.5</v>
      </c>
      <c r="O222" s="52">
        <f t="shared" si="39"/>
        <v>4335</v>
      </c>
      <c r="P222" s="79">
        <f t="shared" si="40"/>
        <v>103.14606741573033</v>
      </c>
      <c r="Q222" s="53">
        <f t="shared" si="41"/>
        <v>0.1</v>
      </c>
      <c r="R222" s="54">
        <f t="shared" si="42"/>
        <v>433.5</v>
      </c>
      <c r="S222" s="53">
        <v>0.8</v>
      </c>
      <c r="T222" s="54">
        <f t="shared" si="43"/>
        <v>3468</v>
      </c>
      <c r="U222" s="53">
        <f t="shared" si="44"/>
        <v>9.9999999999999978E-2</v>
      </c>
      <c r="V222" s="54">
        <f t="shared" si="45"/>
        <v>433.49999999999989</v>
      </c>
      <c r="W222" s="55">
        <f ca="1">V222*VLOOKUP(TODAY(),'UF HOY'!$A$2:$B$36,2,0)</f>
        <v>17224662.989999995</v>
      </c>
      <c r="X222" s="56">
        <f>Datos!$K$5</f>
        <v>36</v>
      </c>
      <c r="Y222" s="55">
        <f ca="1">IF((W222-Datos!$U$5-1000000)/X222&gt;0,(W222-Datos!$U$5-1000000)/X222,0)</f>
        <v>447907.3052777776</v>
      </c>
      <c r="Z222" s="56">
        <f>Datos!$K$5</f>
        <v>36</v>
      </c>
      <c r="AA222" s="55">
        <f ca="1">IF((W222-Datos!$U$5-1000000-O222*3%*VLOOKUP(TODAY(),'UF HOY'!$A$2:$B$36,2,0))/Z222&gt;0,(W222-Datos!$U$5-1000000-O222*3%*VLOOKUP(TODAY(),'UF HOY'!$A$2:$B$36,2,0))/Z222,0)</f>
        <v>304368.44702777761</v>
      </c>
      <c r="AB222" s="130" cm="1">
        <f t="array" ref="AB222">_xlfn.IFS(AND(L222=0,M222=0),VLOOKUP(D222,Datos!$F$31:$I$33,2,0),AND(L222=0,M222&gt;0),VLOOKUP(D222,Datos!$F$32:$I$33,2,0),AND(L222&gt;0,M222=0),VLOOKUP(D222,Datos!$F$32:$I$33,3,0),AND(L222&gt;0,M222&gt;0),VLOOKUP(D222,Datos!$F$31:$I$33,4,0))</f>
        <v>550000</v>
      </c>
      <c r="AC222" s="55">
        <f ca="1">(S222*PMT(Datos!$G$15,Datos!$G$14,-O222,,)*VLOOKUP(TODAY(),'UF HOY'!$A$2:$B$36,2,0)/12)+VLOOKUP(TODAY(),'UF HOY'!$A$2:$B$36,2,0)</f>
        <v>703803.25217040512</v>
      </c>
      <c r="AD222" s="55">
        <f t="shared" ca="1" si="46"/>
        <v>-153803.25217040512</v>
      </c>
      <c r="AE222" s="93">
        <f t="shared" ca="1" si="47"/>
        <v>2815213.0086816205</v>
      </c>
    </row>
    <row r="223" spans="1:31" s="3" customFormat="1" x14ac:dyDescent="0.35">
      <c r="A223" s="94" t="s">
        <v>346</v>
      </c>
      <c r="B223" s="80">
        <v>1301</v>
      </c>
      <c r="C223" s="48" t="s">
        <v>41</v>
      </c>
      <c r="D223" s="48" t="s">
        <v>37</v>
      </c>
      <c r="E223" s="48"/>
      <c r="F223" s="48">
        <v>35.619999999999997</v>
      </c>
      <c r="G223" s="48">
        <v>2.96</v>
      </c>
      <c r="H223" s="82">
        <f t="shared" si="36"/>
        <v>37.099999999999994</v>
      </c>
      <c r="I223" s="82">
        <f t="shared" si="37"/>
        <v>38.58</v>
      </c>
      <c r="J223" s="49">
        <v>4335</v>
      </c>
      <c r="K223" s="304">
        <v>0</v>
      </c>
      <c r="L223" s="48">
        <v>0</v>
      </c>
      <c r="M223" s="48">
        <v>0</v>
      </c>
      <c r="N223" s="49">
        <f t="shared" si="38"/>
        <v>3901.5</v>
      </c>
      <c r="O223" s="52">
        <f t="shared" si="39"/>
        <v>4335</v>
      </c>
      <c r="P223" s="79">
        <f t="shared" si="40"/>
        <v>105.16172506738546</v>
      </c>
      <c r="Q223" s="53">
        <f t="shared" si="41"/>
        <v>0.1</v>
      </c>
      <c r="R223" s="54">
        <f t="shared" si="42"/>
        <v>433.5</v>
      </c>
      <c r="S223" s="53">
        <v>0.8</v>
      </c>
      <c r="T223" s="54">
        <f t="shared" si="43"/>
        <v>3468</v>
      </c>
      <c r="U223" s="53">
        <f t="shared" si="44"/>
        <v>9.9999999999999978E-2</v>
      </c>
      <c r="V223" s="54">
        <f t="shared" si="45"/>
        <v>433.49999999999989</v>
      </c>
      <c r="W223" s="55">
        <f ca="1">V223*VLOOKUP(TODAY(),'UF HOY'!$A$2:$B$36,2,0)</f>
        <v>17224662.989999995</v>
      </c>
      <c r="X223" s="56">
        <f>Datos!$K$5</f>
        <v>36</v>
      </c>
      <c r="Y223" s="55">
        <f ca="1">IF((W223-Datos!$U$5-1000000)/X223&gt;0,(W223-Datos!$U$5-1000000)/X223,0)</f>
        <v>447907.3052777776</v>
      </c>
      <c r="Z223" s="56">
        <f>Datos!$K$5</f>
        <v>36</v>
      </c>
      <c r="AA223" s="55">
        <f ca="1">IF((W223-Datos!$U$5-1000000-O223*3%*VLOOKUP(TODAY(),'UF HOY'!$A$2:$B$36,2,0))/Z223&gt;0,(W223-Datos!$U$5-1000000-O223*3%*VLOOKUP(TODAY(),'UF HOY'!$A$2:$B$36,2,0))/Z223,0)</f>
        <v>304368.44702777761</v>
      </c>
      <c r="AB223" s="130" cm="1">
        <f t="array" ref="AB223">_xlfn.IFS(AND(L223=0,M223=0),VLOOKUP(D223,Datos!$F$31:$I$33,2,0),AND(L223=0,M223&gt;0),VLOOKUP(D223,Datos!$F$32:$I$33,2,0),AND(L223&gt;0,M223=0),VLOOKUP(D223,Datos!$F$32:$I$33,3,0),AND(L223&gt;0,M223&gt;0),VLOOKUP(D223,Datos!$F$31:$I$33,4,0))</f>
        <v>550000</v>
      </c>
      <c r="AC223" s="55">
        <f ca="1">(S223*PMT(Datos!$G$15,Datos!$G$14,-O223,,)*VLOOKUP(TODAY(),'UF HOY'!$A$2:$B$36,2,0)/12)+VLOOKUP(TODAY(),'UF HOY'!$A$2:$B$36,2,0)</f>
        <v>703803.25217040512</v>
      </c>
      <c r="AD223" s="55">
        <f t="shared" ca="1" si="46"/>
        <v>-153803.25217040512</v>
      </c>
      <c r="AE223" s="93">
        <f t="shared" ca="1" si="47"/>
        <v>2815213.0086816205</v>
      </c>
    </row>
    <row r="224" spans="1:31" s="3" customFormat="1" x14ac:dyDescent="0.35">
      <c r="A224" s="94" t="s">
        <v>346</v>
      </c>
      <c r="B224" s="80">
        <v>2009</v>
      </c>
      <c r="C224" s="48" t="s">
        <v>40</v>
      </c>
      <c r="D224" s="48" t="s">
        <v>37</v>
      </c>
      <c r="E224" s="48"/>
      <c r="F224" s="48">
        <v>34.369999999999997</v>
      </c>
      <c r="G224" s="48">
        <v>3.28</v>
      </c>
      <c r="H224" s="82">
        <f t="shared" si="36"/>
        <v>36.01</v>
      </c>
      <c r="I224" s="82">
        <f t="shared" si="37"/>
        <v>37.65</v>
      </c>
      <c r="J224" s="49">
        <v>4335</v>
      </c>
      <c r="K224" s="304">
        <v>0</v>
      </c>
      <c r="L224" s="48">
        <v>0</v>
      </c>
      <c r="M224" s="48">
        <v>0</v>
      </c>
      <c r="N224" s="49">
        <f t="shared" si="38"/>
        <v>3901.5</v>
      </c>
      <c r="O224" s="52">
        <f t="shared" si="39"/>
        <v>4335</v>
      </c>
      <c r="P224" s="79">
        <f t="shared" si="40"/>
        <v>108.34490419327965</v>
      </c>
      <c r="Q224" s="53">
        <f t="shared" si="41"/>
        <v>0.1</v>
      </c>
      <c r="R224" s="54">
        <f t="shared" si="42"/>
        <v>433.5</v>
      </c>
      <c r="S224" s="53">
        <v>0.8</v>
      </c>
      <c r="T224" s="54">
        <f t="shared" si="43"/>
        <v>3468</v>
      </c>
      <c r="U224" s="53">
        <f t="shared" si="44"/>
        <v>9.9999999999999978E-2</v>
      </c>
      <c r="V224" s="54">
        <f t="shared" si="45"/>
        <v>433.49999999999989</v>
      </c>
      <c r="W224" s="55">
        <f ca="1">V224*VLOOKUP(TODAY(),'UF HOY'!$A$2:$B$36,2,0)</f>
        <v>17224662.989999995</v>
      </c>
      <c r="X224" s="56">
        <f>Datos!$K$5</f>
        <v>36</v>
      </c>
      <c r="Y224" s="55">
        <f ca="1">IF((W224-Datos!$U$5-1000000)/X224&gt;0,(W224-Datos!$U$5-1000000)/X224,0)</f>
        <v>447907.3052777776</v>
      </c>
      <c r="Z224" s="56">
        <f>Datos!$K$5</f>
        <v>36</v>
      </c>
      <c r="AA224" s="55">
        <f ca="1">IF((W224-Datos!$U$5-1000000-O224*3%*VLOOKUP(TODAY(),'UF HOY'!$A$2:$B$36,2,0))/Z224&gt;0,(W224-Datos!$U$5-1000000-O224*3%*VLOOKUP(TODAY(),'UF HOY'!$A$2:$B$36,2,0))/Z224,0)</f>
        <v>304368.44702777761</v>
      </c>
      <c r="AB224" s="130" cm="1">
        <f t="array" ref="AB224">_xlfn.IFS(AND(L224=0,M224=0),VLOOKUP(D224,Datos!$F$31:$I$33,2,0),AND(L224=0,M224&gt;0),VLOOKUP(D224,Datos!$F$32:$I$33,2,0),AND(L224&gt;0,M224=0),VLOOKUP(D224,Datos!$F$32:$I$33,3,0),AND(L224&gt;0,M224&gt;0),VLOOKUP(D224,Datos!$F$31:$I$33,4,0))</f>
        <v>550000</v>
      </c>
      <c r="AC224" s="55">
        <f ca="1">(S224*PMT(Datos!$G$15,Datos!$G$14,-O224,,)*VLOOKUP(TODAY(),'UF HOY'!$A$2:$B$36,2,0)/12)+VLOOKUP(TODAY(),'UF HOY'!$A$2:$B$36,2,0)</f>
        <v>703803.25217040512</v>
      </c>
      <c r="AD224" s="55">
        <f t="shared" ca="1" si="46"/>
        <v>-153803.25217040512</v>
      </c>
      <c r="AE224" s="93">
        <f t="shared" ca="1" si="47"/>
        <v>2815213.0086816205</v>
      </c>
    </row>
    <row r="225" spans="1:31" s="3" customFormat="1" x14ac:dyDescent="0.35">
      <c r="A225" s="94" t="s">
        <v>346</v>
      </c>
      <c r="B225" s="80">
        <v>2010</v>
      </c>
      <c r="C225" s="48" t="s">
        <v>40</v>
      </c>
      <c r="D225" s="48" t="s">
        <v>37</v>
      </c>
      <c r="E225" s="48"/>
      <c r="F225" s="48">
        <v>34.369999999999997</v>
      </c>
      <c r="G225" s="48">
        <v>3.28</v>
      </c>
      <c r="H225" s="82">
        <f t="shared" si="36"/>
        <v>36.01</v>
      </c>
      <c r="I225" s="82">
        <f t="shared" si="37"/>
        <v>37.65</v>
      </c>
      <c r="J225" s="49">
        <v>4335</v>
      </c>
      <c r="K225" s="304">
        <v>0</v>
      </c>
      <c r="L225" s="48">
        <v>0</v>
      </c>
      <c r="M225" s="48">
        <v>0</v>
      </c>
      <c r="N225" s="49">
        <f t="shared" si="38"/>
        <v>3901.5</v>
      </c>
      <c r="O225" s="52">
        <f t="shared" si="39"/>
        <v>4335</v>
      </c>
      <c r="P225" s="79">
        <f t="shared" si="40"/>
        <v>108.34490419327965</v>
      </c>
      <c r="Q225" s="53">
        <f t="shared" si="41"/>
        <v>0.1</v>
      </c>
      <c r="R225" s="54">
        <f t="shared" si="42"/>
        <v>433.5</v>
      </c>
      <c r="S225" s="53">
        <v>0.8</v>
      </c>
      <c r="T225" s="54">
        <f t="shared" si="43"/>
        <v>3468</v>
      </c>
      <c r="U225" s="53">
        <f t="shared" si="44"/>
        <v>9.9999999999999978E-2</v>
      </c>
      <c r="V225" s="54">
        <f t="shared" si="45"/>
        <v>433.49999999999989</v>
      </c>
      <c r="W225" s="55">
        <f ca="1">V225*VLOOKUP(TODAY(),'UF HOY'!$A$2:$B$36,2,0)</f>
        <v>17224662.989999995</v>
      </c>
      <c r="X225" s="56">
        <f>Datos!$K$5</f>
        <v>36</v>
      </c>
      <c r="Y225" s="55">
        <f ca="1">IF((W225-Datos!$U$5-1000000)/X225&gt;0,(W225-Datos!$U$5-1000000)/X225,0)</f>
        <v>447907.3052777776</v>
      </c>
      <c r="Z225" s="56">
        <f>Datos!$K$5</f>
        <v>36</v>
      </c>
      <c r="AA225" s="55">
        <f ca="1">IF((W225-Datos!$U$5-1000000-O225*3%*VLOOKUP(TODAY(),'UF HOY'!$A$2:$B$36,2,0))/Z225&gt;0,(W225-Datos!$U$5-1000000-O225*3%*VLOOKUP(TODAY(),'UF HOY'!$A$2:$B$36,2,0))/Z225,0)</f>
        <v>304368.44702777761</v>
      </c>
      <c r="AB225" s="130" cm="1">
        <f t="array" ref="AB225">_xlfn.IFS(AND(L225=0,M225=0),VLOOKUP(D225,Datos!$F$31:$I$33,2,0),AND(L225=0,M225&gt;0),VLOOKUP(D225,Datos!$F$32:$I$33,2,0),AND(L225&gt;0,M225=0),VLOOKUP(D225,Datos!$F$32:$I$33,3,0),AND(L225&gt;0,M225&gt;0),VLOOKUP(D225,Datos!$F$31:$I$33,4,0))</f>
        <v>550000</v>
      </c>
      <c r="AC225" s="55">
        <f ca="1">(S225*PMT(Datos!$G$15,Datos!$G$14,-O225,,)*VLOOKUP(TODAY(),'UF HOY'!$A$2:$B$36,2,0)/12)+VLOOKUP(TODAY(),'UF HOY'!$A$2:$B$36,2,0)</f>
        <v>703803.25217040512</v>
      </c>
      <c r="AD225" s="55">
        <f t="shared" ca="1" si="46"/>
        <v>-153803.25217040512</v>
      </c>
      <c r="AE225" s="93">
        <f t="shared" ca="1" si="47"/>
        <v>2815213.0086816205</v>
      </c>
    </row>
    <row r="226" spans="1:31" s="3" customFormat="1" x14ac:dyDescent="0.35">
      <c r="A226" s="94" t="s">
        <v>346</v>
      </c>
      <c r="B226" s="80">
        <v>2502</v>
      </c>
      <c r="C226" s="48" t="s">
        <v>38</v>
      </c>
      <c r="D226" s="48" t="s">
        <v>37</v>
      </c>
      <c r="E226" s="48"/>
      <c r="F226" s="48">
        <v>34.89</v>
      </c>
      <c r="G226" s="48">
        <v>2.83</v>
      </c>
      <c r="H226" s="82">
        <f t="shared" si="36"/>
        <v>36.305</v>
      </c>
      <c r="I226" s="82">
        <f t="shared" si="37"/>
        <v>37.72</v>
      </c>
      <c r="J226" s="49">
        <v>4335</v>
      </c>
      <c r="K226" s="304">
        <v>0</v>
      </c>
      <c r="L226" s="48">
        <v>0</v>
      </c>
      <c r="M226" s="48">
        <v>0</v>
      </c>
      <c r="N226" s="49">
        <f t="shared" si="38"/>
        <v>3901.5</v>
      </c>
      <c r="O226" s="52">
        <f t="shared" si="39"/>
        <v>4335</v>
      </c>
      <c r="P226" s="79">
        <f t="shared" si="40"/>
        <v>107.4645365652114</v>
      </c>
      <c r="Q226" s="53">
        <f t="shared" si="41"/>
        <v>0.1</v>
      </c>
      <c r="R226" s="54">
        <f t="shared" si="42"/>
        <v>433.5</v>
      </c>
      <c r="S226" s="53">
        <v>0.8</v>
      </c>
      <c r="T226" s="54">
        <f t="shared" si="43"/>
        <v>3468</v>
      </c>
      <c r="U226" s="53">
        <f t="shared" si="44"/>
        <v>9.9999999999999978E-2</v>
      </c>
      <c r="V226" s="54">
        <f t="shared" si="45"/>
        <v>433.49999999999989</v>
      </c>
      <c r="W226" s="55">
        <f ca="1">V226*VLOOKUP(TODAY(),'UF HOY'!$A$2:$B$36,2,0)</f>
        <v>17224662.989999995</v>
      </c>
      <c r="X226" s="56">
        <f>Datos!$K$5</f>
        <v>36</v>
      </c>
      <c r="Y226" s="55">
        <f ca="1">IF((W226-Datos!$U$5-1000000)/X226&gt;0,(W226-Datos!$U$5-1000000)/X226,0)</f>
        <v>447907.3052777776</v>
      </c>
      <c r="Z226" s="56">
        <f>Datos!$K$5</f>
        <v>36</v>
      </c>
      <c r="AA226" s="55">
        <f ca="1">IF((W226-Datos!$U$5-1000000-O226*3%*VLOOKUP(TODAY(),'UF HOY'!$A$2:$B$36,2,0))/Z226&gt;0,(W226-Datos!$U$5-1000000-O226*3%*VLOOKUP(TODAY(),'UF HOY'!$A$2:$B$36,2,0))/Z226,0)</f>
        <v>304368.44702777761</v>
      </c>
      <c r="AB226" s="130" cm="1">
        <f t="array" ref="AB226">_xlfn.IFS(AND(L226=0,M226=0),VLOOKUP(D226,Datos!$F$31:$I$33,2,0),AND(L226=0,M226&gt;0),VLOOKUP(D226,Datos!$F$32:$I$33,2,0),AND(L226&gt;0,M226=0),VLOOKUP(D226,Datos!$F$32:$I$33,3,0),AND(L226&gt;0,M226&gt;0),VLOOKUP(D226,Datos!$F$31:$I$33,4,0))</f>
        <v>550000</v>
      </c>
      <c r="AC226" s="55">
        <f ca="1">(S226*PMT(Datos!$G$15,Datos!$G$14,-O226,,)*VLOOKUP(TODAY(),'UF HOY'!$A$2:$B$36,2,0)/12)+VLOOKUP(TODAY(),'UF HOY'!$A$2:$B$36,2,0)</f>
        <v>703803.25217040512</v>
      </c>
      <c r="AD226" s="55">
        <f t="shared" ca="1" si="46"/>
        <v>-153803.25217040512</v>
      </c>
      <c r="AE226" s="93">
        <f t="shared" ca="1" si="47"/>
        <v>2815213.0086816205</v>
      </c>
    </row>
    <row r="227" spans="1:31" s="3" customFormat="1" x14ac:dyDescent="0.35">
      <c r="A227" s="94" t="s">
        <v>346</v>
      </c>
      <c r="B227" s="80">
        <v>2603</v>
      </c>
      <c r="C227" s="48" t="s">
        <v>38</v>
      </c>
      <c r="D227" s="48" t="s">
        <v>37</v>
      </c>
      <c r="E227" s="48"/>
      <c r="F227" s="48">
        <v>34.79</v>
      </c>
      <c r="G227" s="48">
        <v>2.83</v>
      </c>
      <c r="H227" s="82">
        <f t="shared" si="36"/>
        <v>36.204999999999998</v>
      </c>
      <c r="I227" s="82">
        <f t="shared" si="37"/>
        <v>37.619999999999997</v>
      </c>
      <c r="J227" s="49">
        <v>4335</v>
      </c>
      <c r="K227" s="304">
        <v>0</v>
      </c>
      <c r="L227" s="48">
        <v>0</v>
      </c>
      <c r="M227" s="48">
        <v>0</v>
      </c>
      <c r="N227" s="49">
        <f t="shared" si="38"/>
        <v>3901.5</v>
      </c>
      <c r="O227" s="52">
        <f t="shared" si="39"/>
        <v>4335</v>
      </c>
      <c r="P227" s="79">
        <f t="shared" si="40"/>
        <v>107.76135892832482</v>
      </c>
      <c r="Q227" s="53">
        <f t="shared" si="41"/>
        <v>0.1</v>
      </c>
      <c r="R227" s="54">
        <f t="shared" si="42"/>
        <v>433.5</v>
      </c>
      <c r="S227" s="53">
        <v>0.8</v>
      </c>
      <c r="T227" s="54">
        <f t="shared" si="43"/>
        <v>3468</v>
      </c>
      <c r="U227" s="53">
        <f t="shared" si="44"/>
        <v>9.9999999999999978E-2</v>
      </c>
      <c r="V227" s="54">
        <f t="shared" si="45"/>
        <v>433.49999999999989</v>
      </c>
      <c r="W227" s="55">
        <f ca="1">V227*VLOOKUP(TODAY(),'UF HOY'!$A$2:$B$36,2,0)</f>
        <v>17224662.989999995</v>
      </c>
      <c r="X227" s="56">
        <f>Datos!$K$5</f>
        <v>36</v>
      </c>
      <c r="Y227" s="55">
        <f ca="1">IF((W227-Datos!$U$5-1000000)/X227&gt;0,(W227-Datos!$U$5-1000000)/X227,0)</f>
        <v>447907.3052777776</v>
      </c>
      <c r="Z227" s="56">
        <f>Datos!$K$5</f>
        <v>36</v>
      </c>
      <c r="AA227" s="55">
        <f ca="1">IF((W227-Datos!$U$5-1000000-O227*3%*VLOOKUP(TODAY(),'UF HOY'!$A$2:$B$36,2,0))/Z227&gt;0,(W227-Datos!$U$5-1000000-O227*3%*VLOOKUP(TODAY(),'UF HOY'!$A$2:$B$36,2,0))/Z227,0)</f>
        <v>304368.44702777761</v>
      </c>
      <c r="AB227" s="130" cm="1">
        <f t="array" ref="AB227">_xlfn.IFS(AND(L227=0,M227=0),VLOOKUP(D227,Datos!$F$31:$I$33,2,0),AND(L227=0,M227&gt;0),VLOOKUP(D227,Datos!$F$32:$I$33,2,0),AND(L227&gt;0,M227=0),VLOOKUP(D227,Datos!$F$32:$I$33,3,0),AND(L227&gt;0,M227&gt;0),VLOOKUP(D227,Datos!$F$31:$I$33,4,0))</f>
        <v>550000</v>
      </c>
      <c r="AC227" s="55">
        <f ca="1">(S227*PMT(Datos!$G$15,Datos!$G$14,-O227,,)*VLOOKUP(TODAY(),'UF HOY'!$A$2:$B$36,2,0)/12)+VLOOKUP(TODAY(),'UF HOY'!$A$2:$B$36,2,0)</f>
        <v>703803.25217040512</v>
      </c>
      <c r="AD227" s="55">
        <f t="shared" ca="1" si="46"/>
        <v>-153803.25217040512</v>
      </c>
      <c r="AE227" s="93">
        <f t="shared" ca="1" si="47"/>
        <v>2815213.0086816205</v>
      </c>
    </row>
    <row r="228" spans="1:31" s="3" customFormat="1" x14ac:dyDescent="0.35">
      <c r="A228" s="94" t="s">
        <v>346</v>
      </c>
      <c r="B228" s="80">
        <v>2704</v>
      </c>
      <c r="C228" s="48" t="s">
        <v>38</v>
      </c>
      <c r="D228" s="48" t="s">
        <v>37</v>
      </c>
      <c r="E228" s="48"/>
      <c r="F228" s="48">
        <v>34.74</v>
      </c>
      <c r="G228" s="48">
        <v>2.86</v>
      </c>
      <c r="H228" s="82">
        <f t="shared" si="36"/>
        <v>36.17</v>
      </c>
      <c r="I228" s="82">
        <f t="shared" si="37"/>
        <v>37.6</v>
      </c>
      <c r="J228" s="49">
        <v>4335</v>
      </c>
      <c r="K228" s="304">
        <v>0</v>
      </c>
      <c r="L228" s="48">
        <v>0</v>
      </c>
      <c r="M228" s="48">
        <v>0</v>
      </c>
      <c r="N228" s="49">
        <f t="shared" si="38"/>
        <v>3901.5</v>
      </c>
      <c r="O228" s="52">
        <f t="shared" si="39"/>
        <v>4335</v>
      </c>
      <c r="P228" s="79">
        <f t="shared" si="40"/>
        <v>107.86563450373237</v>
      </c>
      <c r="Q228" s="53">
        <f t="shared" si="41"/>
        <v>0.1</v>
      </c>
      <c r="R228" s="54">
        <f t="shared" si="42"/>
        <v>433.5</v>
      </c>
      <c r="S228" s="53">
        <v>0.8</v>
      </c>
      <c r="T228" s="54">
        <f t="shared" si="43"/>
        <v>3468</v>
      </c>
      <c r="U228" s="53">
        <f t="shared" si="44"/>
        <v>9.9999999999999978E-2</v>
      </c>
      <c r="V228" s="54">
        <f t="shared" si="45"/>
        <v>433.49999999999989</v>
      </c>
      <c r="W228" s="55">
        <f ca="1">V228*VLOOKUP(TODAY(),'UF HOY'!$A$2:$B$36,2,0)</f>
        <v>17224662.989999995</v>
      </c>
      <c r="X228" s="56">
        <f>Datos!$K$5</f>
        <v>36</v>
      </c>
      <c r="Y228" s="55">
        <f ca="1">IF((W228-Datos!$U$5-1000000)/X228&gt;0,(W228-Datos!$U$5-1000000)/X228,0)</f>
        <v>447907.3052777776</v>
      </c>
      <c r="Z228" s="56">
        <f>Datos!$K$5</f>
        <v>36</v>
      </c>
      <c r="AA228" s="55">
        <f ca="1">IF((W228-Datos!$U$5-1000000-O228*3%*VLOOKUP(TODAY(),'UF HOY'!$A$2:$B$36,2,0))/Z228&gt;0,(W228-Datos!$U$5-1000000-O228*3%*VLOOKUP(TODAY(),'UF HOY'!$A$2:$B$36,2,0))/Z228,0)</f>
        <v>304368.44702777761</v>
      </c>
      <c r="AB228" s="130" cm="1">
        <f t="array" ref="AB228">_xlfn.IFS(AND(L228=0,M228=0),VLOOKUP(D228,Datos!$F$31:$I$33,2,0),AND(L228=0,M228&gt;0),VLOOKUP(D228,Datos!$F$32:$I$33,2,0),AND(L228&gt;0,M228=0),VLOOKUP(D228,Datos!$F$32:$I$33,3,0),AND(L228&gt;0,M228&gt;0),VLOOKUP(D228,Datos!$F$31:$I$33,4,0))</f>
        <v>550000</v>
      </c>
      <c r="AC228" s="55">
        <f ca="1">(S228*PMT(Datos!$G$15,Datos!$G$14,-O228,,)*VLOOKUP(TODAY(),'UF HOY'!$A$2:$B$36,2,0)/12)+VLOOKUP(TODAY(),'UF HOY'!$A$2:$B$36,2,0)</f>
        <v>703803.25217040512</v>
      </c>
      <c r="AD228" s="55">
        <f t="shared" ca="1" si="46"/>
        <v>-153803.25217040512</v>
      </c>
      <c r="AE228" s="93">
        <f t="shared" ca="1" si="47"/>
        <v>2815213.0086816205</v>
      </c>
    </row>
    <row r="229" spans="1:31" s="3" customFormat="1" x14ac:dyDescent="0.35">
      <c r="A229" s="94" t="s">
        <v>346</v>
      </c>
      <c r="B229" s="80">
        <v>2904</v>
      </c>
      <c r="C229" s="48" t="s">
        <v>38</v>
      </c>
      <c r="D229" s="48" t="s">
        <v>37</v>
      </c>
      <c r="E229" s="48"/>
      <c r="F229" s="48">
        <v>34.74</v>
      </c>
      <c r="G229" s="48">
        <v>2.86</v>
      </c>
      <c r="H229" s="82">
        <f t="shared" si="36"/>
        <v>36.17</v>
      </c>
      <c r="I229" s="82">
        <f t="shared" si="37"/>
        <v>37.6</v>
      </c>
      <c r="J229" s="49">
        <v>4335</v>
      </c>
      <c r="K229" s="304">
        <v>0</v>
      </c>
      <c r="L229" s="48">
        <v>0</v>
      </c>
      <c r="M229" s="48">
        <v>0</v>
      </c>
      <c r="N229" s="49">
        <f t="shared" si="38"/>
        <v>3901.5</v>
      </c>
      <c r="O229" s="52">
        <f t="shared" si="39"/>
        <v>4335</v>
      </c>
      <c r="P229" s="79">
        <f t="shared" si="40"/>
        <v>107.86563450373237</v>
      </c>
      <c r="Q229" s="53">
        <f t="shared" si="41"/>
        <v>0.1</v>
      </c>
      <c r="R229" s="54">
        <f t="shared" si="42"/>
        <v>433.5</v>
      </c>
      <c r="S229" s="53">
        <v>0.8</v>
      </c>
      <c r="T229" s="54">
        <f t="shared" si="43"/>
        <v>3468</v>
      </c>
      <c r="U229" s="53">
        <f t="shared" si="44"/>
        <v>9.9999999999999978E-2</v>
      </c>
      <c r="V229" s="54">
        <f t="shared" si="45"/>
        <v>433.49999999999989</v>
      </c>
      <c r="W229" s="55">
        <f ca="1">V229*VLOOKUP(TODAY(),'UF HOY'!$A$2:$B$36,2,0)</f>
        <v>17224662.989999995</v>
      </c>
      <c r="X229" s="56">
        <f>Datos!$K$5</f>
        <v>36</v>
      </c>
      <c r="Y229" s="55">
        <f ca="1">IF((W229-Datos!$U$5-1000000)/X229&gt;0,(W229-Datos!$U$5-1000000)/X229,0)</f>
        <v>447907.3052777776</v>
      </c>
      <c r="Z229" s="56">
        <f>Datos!$K$5</f>
        <v>36</v>
      </c>
      <c r="AA229" s="55">
        <f ca="1">IF((W229-Datos!$U$5-1000000-O229*3%*VLOOKUP(TODAY(),'UF HOY'!$A$2:$B$36,2,0))/Z229&gt;0,(W229-Datos!$U$5-1000000-O229*3%*VLOOKUP(TODAY(),'UF HOY'!$A$2:$B$36,2,0))/Z229,0)</f>
        <v>304368.44702777761</v>
      </c>
      <c r="AB229" s="130" cm="1">
        <f t="array" ref="AB229">_xlfn.IFS(AND(L229=0,M229=0),VLOOKUP(D229,Datos!$F$31:$I$33,2,0),AND(L229=0,M229&gt;0),VLOOKUP(D229,Datos!$F$32:$I$33,2,0),AND(L229&gt;0,M229=0),VLOOKUP(D229,Datos!$F$32:$I$33,3,0),AND(L229&gt;0,M229&gt;0),VLOOKUP(D229,Datos!$F$31:$I$33,4,0))</f>
        <v>550000</v>
      </c>
      <c r="AC229" s="55">
        <f ca="1">(S229*PMT(Datos!$G$15,Datos!$G$14,-O229,,)*VLOOKUP(TODAY(),'UF HOY'!$A$2:$B$36,2,0)/12)+VLOOKUP(TODAY(),'UF HOY'!$A$2:$B$36,2,0)</f>
        <v>703803.25217040512</v>
      </c>
      <c r="AD229" s="55">
        <f t="shared" ca="1" si="46"/>
        <v>-153803.25217040512</v>
      </c>
      <c r="AE229" s="93">
        <f t="shared" ca="1" si="47"/>
        <v>2815213.0086816205</v>
      </c>
    </row>
    <row r="230" spans="1:31" s="3" customFormat="1" x14ac:dyDescent="0.35">
      <c r="A230" s="94" t="s">
        <v>346</v>
      </c>
      <c r="B230" s="80">
        <v>2703</v>
      </c>
      <c r="C230" s="48" t="s">
        <v>38</v>
      </c>
      <c r="D230" s="48" t="s">
        <v>37</v>
      </c>
      <c r="E230" s="48"/>
      <c r="F230" s="48">
        <v>34.79</v>
      </c>
      <c r="G230" s="48">
        <v>2.83</v>
      </c>
      <c r="H230" s="82">
        <f t="shared" si="36"/>
        <v>36.204999999999998</v>
      </c>
      <c r="I230" s="82">
        <f t="shared" si="37"/>
        <v>37.619999999999997</v>
      </c>
      <c r="J230" s="49">
        <v>4340</v>
      </c>
      <c r="K230" s="304">
        <v>0</v>
      </c>
      <c r="L230" s="48">
        <v>0</v>
      </c>
      <c r="M230" s="48">
        <v>0</v>
      </c>
      <c r="N230" s="49">
        <f t="shared" si="38"/>
        <v>3906</v>
      </c>
      <c r="O230" s="52">
        <f t="shared" si="39"/>
        <v>4340</v>
      </c>
      <c r="P230" s="79">
        <f t="shared" si="40"/>
        <v>107.88565115315565</v>
      </c>
      <c r="Q230" s="53">
        <f t="shared" si="41"/>
        <v>0.1</v>
      </c>
      <c r="R230" s="54">
        <f t="shared" si="42"/>
        <v>434</v>
      </c>
      <c r="S230" s="53">
        <v>0.8</v>
      </c>
      <c r="T230" s="54">
        <f t="shared" si="43"/>
        <v>3472</v>
      </c>
      <c r="U230" s="53">
        <f t="shared" si="44"/>
        <v>9.9999999999999978E-2</v>
      </c>
      <c r="V230" s="54">
        <f t="shared" si="45"/>
        <v>433.99999999999989</v>
      </c>
      <c r="W230" s="55">
        <f ca="1">V230*VLOOKUP(TODAY(),'UF HOY'!$A$2:$B$36,2,0)</f>
        <v>17244529.959999997</v>
      </c>
      <c r="X230" s="56">
        <f>Datos!$K$5</f>
        <v>36</v>
      </c>
      <c r="Y230" s="55">
        <f ca="1">IF((W230-Datos!$U$5-1000000)/X230&gt;0,(W230-Datos!$U$5-1000000)/X230,0)</f>
        <v>448459.16555555549</v>
      </c>
      <c r="Z230" s="56">
        <f>Datos!$K$5</f>
        <v>36</v>
      </c>
      <c r="AA230" s="55">
        <f ca="1">IF((W230-Datos!$U$5-1000000-O230*3%*VLOOKUP(TODAY(),'UF HOY'!$A$2:$B$36,2,0))/Z230&gt;0,(W230-Datos!$U$5-1000000-O230*3%*VLOOKUP(TODAY(),'UF HOY'!$A$2:$B$36,2,0))/Z230,0)</f>
        <v>304754.74922222213</v>
      </c>
      <c r="AB230" s="130" cm="1">
        <f t="array" ref="AB230">_xlfn.IFS(AND(L230=0,M230=0),VLOOKUP(D230,Datos!$F$31:$I$33,2,0),AND(L230=0,M230&gt;0),VLOOKUP(D230,Datos!$F$32:$I$33,2,0),AND(L230&gt;0,M230=0),VLOOKUP(D230,Datos!$F$32:$I$33,3,0),AND(L230&gt;0,M230&gt;0),VLOOKUP(D230,Datos!$F$31:$I$33,4,0))</f>
        <v>550000</v>
      </c>
      <c r="AC230" s="55">
        <f ca="1">(S230*PMT(Datos!$G$15,Datos!$G$14,-O230,,)*VLOOKUP(TODAY(),'UF HOY'!$A$2:$B$36,2,0)/12)+VLOOKUP(TODAY(),'UF HOY'!$A$2:$B$36,2,0)</f>
        <v>704569.19140012888</v>
      </c>
      <c r="AD230" s="55">
        <f t="shared" ca="1" si="46"/>
        <v>-154569.19140012888</v>
      </c>
      <c r="AE230" s="93">
        <f t="shared" ca="1" si="47"/>
        <v>2818276.7656005155</v>
      </c>
    </row>
    <row r="231" spans="1:31" s="3" customFormat="1" x14ac:dyDescent="0.35">
      <c r="A231" s="94" t="s">
        <v>346</v>
      </c>
      <c r="B231" s="80">
        <v>2903</v>
      </c>
      <c r="C231" s="48" t="s">
        <v>38</v>
      </c>
      <c r="D231" s="48" t="s">
        <v>37</v>
      </c>
      <c r="E231" s="48"/>
      <c r="F231" s="48">
        <v>34.79</v>
      </c>
      <c r="G231" s="48">
        <v>2.83</v>
      </c>
      <c r="H231" s="82">
        <f t="shared" si="36"/>
        <v>36.204999999999998</v>
      </c>
      <c r="I231" s="82">
        <f t="shared" si="37"/>
        <v>37.619999999999997</v>
      </c>
      <c r="J231" s="49">
        <v>4340</v>
      </c>
      <c r="K231" s="304">
        <v>0</v>
      </c>
      <c r="L231" s="48">
        <v>0</v>
      </c>
      <c r="M231" s="48">
        <v>0</v>
      </c>
      <c r="N231" s="49">
        <f t="shared" si="38"/>
        <v>3906</v>
      </c>
      <c r="O231" s="52">
        <f t="shared" si="39"/>
        <v>4340</v>
      </c>
      <c r="P231" s="79">
        <f t="shared" si="40"/>
        <v>107.88565115315565</v>
      </c>
      <c r="Q231" s="53">
        <f t="shared" si="41"/>
        <v>0.1</v>
      </c>
      <c r="R231" s="54">
        <f t="shared" si="42"/>
        <v>434</v>
      </c>
      <c r="S231" s="53">
        <v>0.8</v>
      </c>
      <c r="T231" s="54">
        <f t="shared" si="43"/>
        <v>3472</v>
      </c>
      <c r="U231" s="53">
        <f t="shared" si="44"/>
        <v>9.9999999999999978E-2</v>
      </c>
      <c r="V231" s="54">
        <f t="shared" si="45"/>
        <v>433.99999999999989</v>
      </c>
      <c r="W231" s="55">
        <f ca="1">V231*VLOOKUP(TODAY(),'UF HOY'!$A$2:$B$36,2,0)</f>
        <v>17244529.959999997</v>
      </c>
      <c r="X231" s="56">
        <f>Datos!$K$5</f>
        <v>36</v>
      </c>
      <c r="Y231" s="55">
        <f ca="1">IF((W231-Datos!$U$5-1000000)/X231&gt;0,(W231-Datos!$U$5-1000000)/X231,0)</f>
        <v>448459.16555555549</v>
      </c>
      <c r="Z231" s="56">
        <f>Datos!$K$5</f>
        <v>36</v>
      </c>
      <c r="AA231" s="55">
        <f ca="1">IF((W231-Datos!$U$5-1000000-O231*3%*VLOOKUP(TODAY(),'UF HOY'!$A$2:$B$36,2,0))/Z231&gt;0,(W231-Datos!$U$5-1000000-O231*3%*VLOOKUP(TODAY(),'UF HOY'!$A$2:$B$36,2,0))/Z231,0)</f>
        <v>304754.74922222213</v>
      </c>
      <c r="AB231" s="130" cm="1">
        <f t="array" ref="AB231">_xlfn.IFS(AND(L231=0,M231=0),VLOOKUP(D231,Datos!$F$31:$I$33,2,0),AND(L231=0,M231&gt;0),VLOOKUP(D231,Datos!$F$32:$I$33,2,0),AND(L231&gt;0,M231=0),VLOOKUP(D231,Datos!$F$32:$I$33,3,0),AND(L231&gt;0,M231&gt;0),VLOOKUP(D231,Datos!$F$31:$I$33,4,0))</f>
        <v>550000</v>
      </c>
      <c r="AC231" s="55">
        <f ca="1">(S231*PMT(Datos!$G$15,Datos!$G$14,-O231,,)*VLOOKUP(TODAY(),'UF HOY'!$A$2:$B$36,2,0)/12)+VLOOKUP(TODAY(),'UF HOY'!$A$2:$B$36,2,0)</f>
        <v>704569.19140012888</v>
      </c>
      <c r="AD231" s="55">
        <f t="shared" ca="1" si="46"/>
        <v>-154569.19140012888</v>
      </c>
      <c r="AE231" s="93">
        <f t="shared" ca="1" si="47"/>
        <v>2818276.7656005155</v>
      </c>
    </row>
    <row r="232" spans="1:31" s="3" customFormat="1" x14ac:dyDescent="0.35">
      <c r="A232" s="94" t="s">
        <v>346</v>
      </c>
      <c r="B232" s="80">
        <v>1401</v>
      </c>
      <c r="C232" s="48" t="s">
        <v>41</v>
      </c>
      <c r="D232" s="48" t="s">
        <v>37</v>
      </c>
      <c r="E232" s="48"/>
      <c r="F232" s="48">
        <v>35.619999999999997</v>
      </c>
      <c r="G232" s="48">
        <v>2.96</v>
      </c>
      <c r="H232" s="82">
        <f t="shared" si="36"/>
        <v>37.099999999999994</v>
      </c>
      <c r="I232" s="82">
        <f t="shared" si="37"/>
        <v>38.58</v>
      </c>
      <c r="J232" s="49">
        <v>4345</v>
      </c>
      <c r="K232" s="304">
        <v>0</v>
      </c>
      <c r="L232" s="48">
        <v>0</v>
      </c>
      <c r="M232" s="48">
        <v>0</v>
      </c>
      <c r="N232" s="49">
        <f t="shared" si="38"/>
        <v>3910.5</v>
      </c>
      <c r="O232" s="52">
        <f t="shared" si="39"/>
        <v>4345</v>
      </c>
      <c r="P232" s="79">
        <f t="shared" si="40"/>
        <v>105.40431266846363</v>
      </c>
      <c r="Q232" s="53">
        <f t="shared" si="41"/>
        <v>0.1</v>
      </c>
      <c r="R232" s="54">
        <f t="shared" si="42"/>
        <v>434.5</v>
      </c>
      <c r="S232" s="53">
        <v>0.8</v>
      </c>
      <c r="T232" s="54">
        <f t="shared" si="43"/>
        <v>3476</v>
      </c>
      <c r="U232" s="53">
        <f t="shared" si="44"/>
        <v>9.9999999999999978E-2</v>
      </c>
      <c r="V232" s="54">
        <f t="shared" si="45"/>
        <v>434.49999999999989</v>
      </c>
      <c r="W232" s="55">
        <f ca="1">V232*VLOOKUP(TODAY(),'UF HOY'!$A$2:$B$36,2,0)</f>
        <v>17264396.929999996</v>
      </c>
      <c r="X232" s="56">
        <f>Datos!$K$5</f>
        <v>36</v>
      </c>
      <c r="Y232" s="55">
        <f ca="1">IF((W232-Datos!$U$5-1000000)/X232&gt;0,(W232-Datos!$U$5-1000000)/X232,0)</f>
        <v>449011.0258333332</v>
      </c>
      <c r="Z232" s="56">
        <f>Datos!$K$5</f>
        <v>36</v>
      </c>
      <c r="AA232" s="55">
        <f ca="1">IF((W232-Datos!$U$5-1000000-O232*3%*VLOOKUP(TODAY(),'UF HOY'!$A$2:$B$36,2,0))/Z232&gt;0,(W232-Datos!$U$5-1000000-O232*3%*VLOOKUP(TODAY(),'UF HOY'!$A$2:$B$36,2,0))/Z232,0)</f>
        <v>305141.05141666654</v>
      </c>
      <c r="AB232" s="130" cm="1">
        <f t="array" ref="AB232">_xlfn.IFS(AND(L232=0,M232=0),VLOOKUP(D232,Datos!$F$31:$I$33,2,0),AND(L232=0,M232&gt;0),VLOOKUP(D232,Datos!$F$32:$I$33,2,0),AND(L232&gt;0,M232=0),VLOOKUP(D232,Datos!$F$32:$I$33,3,0),AND(L232&gt;0,M232&gt;0),VLOOKUP(D232,Datos!$F$31:$I$33,4,0))</f>
        <v>550000</v>
      </c>
      <c r="AC232" s="55">
        <f ca="1">(S232*PMT(Datos!$G$15,Datos!$G$14,-O232,,)*VLOOKUP(TODAY(),'UF HOY'!$A$2:$B$36,2,0)/12)+VLOOKUP(TODAY(),'UF HOY'!$A$2:$B$36,2,0)</f>
        <v>705335.13062985241</v>
      </c>
      <c r="AD232" s="55">
        <f t="shared" ca="1" si="46"/>
        <v>-155335.13062985241</v>
      </c>
      <c r="AE232" s="93">
        <f t="shared" ca="1" si="47"/>
        <v>2821340.5225194097</v>
      </c>
    </row>
    <row r="233" spans="1:31" s="3" customFormat="1" x14ac:dyDescent="0.35">
      <c r="A233" s="94" t="s">
        <v>346</v>
      </c>
      <c r="B233" s="80">
        <v>2109</v>
      </c>
      <c r="C233" s="48" t="s">
        <v>40</v>
      </c>
      <c r="D233" s="48" t="s">
        <v>37</v>
      </c>
      <c r="E233" s="48"/>
      <c r="F233" s="48">
        <v>34.369999999999997</v>
      </c>
      <c r="G233" s="48">
        <v>3.28</v>
      </c>
      <c r="H233" s="82">
        <f t="shared" si="36"/>
        <v>36.01</v>
      </c>
      <c r="I233" s="82">
        <f t="shared" si="37"/>
        <v>37.65</v>
      </c>
      <c r="J233" s="49">
        <v>4345</v>
      </c>
      <c r="K233" s="304">
        <v>0</v>
      </c>
      <c r="L233" s="48">
        <v>0</v>
      </c>
      <c r="M233" s="48">
        <v>0</v>
      </c>
      <c r="N233" s="49">
        <f t="shared" si="38"/>
        <v>3910.5</v>
      </c>
      <c r="O233" s="52">
        <f t="shared" si="39"/>
        <v>4345</v>
      </c>
      <c r="P233" s="79">
        <f t="shared" si="40"/>
        <v>108.59483476811997</v>
      </c>
      <c r="Q233" s="53">
        <f t="shared" si="41"/>
        <v>0.1</v>
      </c>
      <c r="R233" s="54">
        <f t="shared" si="42"/>
        <v>434.5</v>
      </c>
      <c r="S233" s="53">
        <v>0.8</v>
      </c>
      <c r="T233" s="54">
        <f t="shared" si="43"/>
        <v>3476</v>
      </c>
      <c r="U233" s="53">
        <f t="shared" si="44"/>
        <v>9.9999999999999978E-2</v>
      </c>
      <c r="V233" s="54">
        <f t="shared" si="45"/>
        <v>434.49999999999989</v>
      </c>
      <c r="W233" s="55">
        <f ca="1">V233*VLOOKUP(TODAY(),'UF HOY'!$A$2:$B$36,2,0)</f>
        <v>17264396.929999996</v>
      </c>
      <c r="X233" s="56">
        <f>Datos!$K$5</f>
        <v>36</v>
      </c>
      <c r="Y233" s="55">
        <f ca="1">IF((W233-Datos!$U$5-1000000)/X233&gt;0,(W233-Datos!$U$5-1000000)/X233,0)</f>
        <v>449011.0258333332</v>
      </c>
      <c r="Z233" s="56">
        <f>Datos!$K$5</f>
        <v>36</v>
      </c>
      <c r="AA233" s="55">
        <f ca="1">IF((W233-Datos!$U$5-1000000-O233*3%*VLOOKUP(TODAY(),'UF HOY'!$A$2:$B$36,2,0))/Z233&gt;0,(W233-Datos!$U$5-1000000-O233*3%*VLOOKUP(TODAY(),'UF HOY'!$A$2:$B$36,2,0))/Z233,0)</f>
        <v>305141.05141666654</v>
      </c>
      <c r="AB233" s="130" cm="1">
        <f t="array" ref="AB233">_xlfn.IFS(AND(L233=0,M233=0),VLOOKUP(D233,Datos!$F$31:$I$33,2,0),AND(L233=0,M233&gt;0),VLOOKUP(D233,Datos!$F$32:$I$33,2,0),AND(L233&gt;0,M233=0),VLOOKUP(D233,Datos!$F$32:$I$33,3,0),AND(L233&gt;0,M233&gt;0),VLOOKUP(D233,Datos!$F$31:$I$33,4,0))</f>
        <v>550000</v>
      </c>
      <c r="AC233" s="55">
        <f ca="1">(S233*PMT(Datos!$G$15,Datos!$G$14,-O233,,)*VLOOKUP(TODAY(),'UF HOY'!$A$2:$B$36,2,0)/12)+VLOOKUP(TODAY(),'UF HOY'!$A$2:$B$36,2,0)</f>
        <v>705335.13062985241</v>
      </c>
      <c r="AD233" s="55">
        <f t="shared" ca="1" si="46"/>
        <v>-155335.13062985241</v>
      </c>
      <c r="AE233" s="93">
        <f t="shared" ca="1" si="47"/>
        <v>2821340.5225194097</v>
      </c>
    </row>
    <row r="234" spans="1:31" s="3" customFormat="1" x14ac:dyDescent="0.35">
      <c r="A234" s="94" t="s">
        <v>346</v>
      </c>
      <c r="B234" s="80">
        <v>2110</v>
      </c>
      <c r="C234" s="48" t="s">
        <v>40</v>
      </c>
      <c r="D234" s="48" t="s">
        <v>37</v>
      </c>
      <c r="E234" s="48"/>
      <c r="F234" s="48">
        <v>34.369999999999997</v>
      </c>
      <c r="G234" s="48">
        <v>3.28</v>
      </c>
      <c r="H234" s="82">
        <f t="shared" si="36"/>
        <v>36.01</v>
      </c>
      <c r="I234" s="82">
        <f t="shared" si="37"/>
        <v>37.65</v>
      </c>
      <c r="J234" s="49">
        <v>4345</v>
      </c>
      <c r="K234" s="304">
        <v>0</v>
      </c>
      <c r="L234" s="48">
        <v>0</v>
      </c>
      <c r="M234" s="48">
        <v>0</v>
      </c>
      <c r="N234" s="49">
        <f t="shared" si="38"/>
        <v>3910.5</v>
      </c>
      <c r="O234" s="52">
        <f t="shared" si="39"/>
        <v>4345</v>
      </c>
      <c r="P234" s="79">
        <f t="shared" si="40"/>
        <v>108.59483476811997</v>
      </c>
      <c r="Q234" s="53">
        <f t="shared" si="41"/>
        <v>0.1</v>
      </c>
      <c r="R234" s="54">
        <f t="shared" si="42"/>
        <v>434.5</v>
      </c>
      <c r="S234" s="53">
        <v>0.8</v>
      </c>
      <c r="T234" s="54">
        <f t="shared" si="43"/>
        <v>3476</v>
      </c>
      <c r="U234" s="53">
        <f t="shared" si="44"/>
        <v>9.9999999999999978E-2</v>
      </c>
      <c r="V234" s="54">
        <f t="shared" si="45"/>
        <v>434.49999999999989</v>
      </c>
      <c r="W234" s="55">
        <f ca="1">V234*VLOOKUP(TODAY(),'UF HOY'!$A$2:$B$36,2,0)</f>
        <v>17264396.929999996</v>
      </c>
      <c r="X234" s="56">
        <f>Datos!$K$5</f>
        <v>36</v>
      </c>
      <c r="Y234" s="55">
        <f ca="1">IF((W234-Datos!$U$5-1000000)/X234&gt;0,(W234-Datos!$U$5-1000000)/X234,0)</f>
        <v>449011.0258333332</v>
      </c>
      <c r="Z234" s="56">
        <f>Datos!$K$5</f>
        <v>36</v>
      </c>
      <c r="AA234" s="55">
        <f ca="1">IF((W234-Datos!$U$5-1000000-O234*3%*VLOOKUP(TODAY(),'UF HOY'!$A$2:$B$36,2,0))/Z234&gt;0,(W234-Datos!$U$5-1000000-O234*3%*VLOOKUP(TODAY(),'UF HOY'!$A$2:$B$36,2,0))/Z234,0)</f>
        <v>305141.05141666654</v>
      </c>
      <c r="AB234" s="130" cm="1">
        <f t="array" ref="AB234">_xlfn.IFS(AND(L234=0,M234=0),VLOOKUP(D234,Datos!$F$31:$I$33,2,0),AND(L234=0,M234&gt;0),VLOOKUP(D234,Datos!$F$32:$I$33,2,0),AND(L234&gt;0,M234=0),VLOOKUP(D234,Datos!$F$32:$I$33,3,0),AND(L234&gt;0,M234&gt;0),VLOOKUP(D234,Datos!$F$31:$I$33,4,0))</f>
        <v>550000</v>
      </c>
      <c r="AC234" s="55">
        <f ca="1">(S234*PMT(Datos!$G$15,Datos!$G$14,-O234,,)*VLOOKUP(TODAY(),'UF HOY'!$A$2:$B$36,2,0)/12)+VLOOKUP(TODAY(),'UF HOY'!$A$2:$B$36,2,0)</f>
        <v>705335.13062985241</v>
      </c>
      <c r="AD234" s="55">
        <f t="shared" ca="1" si="46"/>
        <v>-155335.13062985241</v>
      </c>
      <c r="AE234" s="93">
        <f t="shared" ca="1" si="47"/>
        <v>2821340.5225194097</v>
      </c>
    </row>
    <row r="235" spans="1:31" s="3" customFormat="1" x14ac:dyDescent="0.35">
      <c r="A235" s="94" t="s">
        <v>346</v>
      </c>
      <c r="B235" s="80">
        <v>2602</v>
      </c>
      <c r="C235" s="48" t="s">
        <v>38</v>
      </c>
      <c r="D235" s="48" t="s">
        <v>37</v>
      </c>
      <c r="E235" s="48"/>
      <c r="F235" s="48">
        <v>34.89</v>
      </c>
      <c r="G235" s="48">
        <v>2.83</v>
      </c>
      <c r="H235" s="82">
        <f t="shared" si="36"/>
        <v>36.305</v>
      </c>
      <c r="I235" s="82">
        <f t="shared" si="37"/>
        <v>37.72</v>
      </c>
      <c r="J235" s="49">
        <v>4345</v>
      </c>
      <c r="K235" s="304">
        <v>0</v>
      </c>
      <c r="L235" s="48">
        <v>0</v>
      </c>
      <c r="M235" s="48">
        <v>0</v>
      </c>
      <c r="N235" s="49">
        <f t="shared" si="38"/>
        <v>3910.5</v>
      </c>
      <c r="O235" s="52">
        <f t="shared" si="39"/>
        <v>4345</v>
      </c>
      <c r="P235" s="79">
        <f t="shared" si="40"/>
        <v>107.71243630353946</v>
      </c>
      <c r="Q235" s="53">
        <f t="shared" si="41"/>
        <v>0.1</v>
      </c>
      <c r="R235" s="54">
        <f t="shared" si="42"/>
        <v>434.5</v>
      </c>
      <c r="S235" s="53">
        <v>0.8</v>
      </c>
      <c r="T235" s="54">
        <f t="shared" si="43"/>
        <v>3476</v>
      </c>
      <c r="U235" s="53">
        <f t="shared" si="44"/>
        <v>9.9999999999999978E-2</v>
      </c>
      <c r="V235" s="54">
        <f t="shared" si="45"/>
        <v>434.49999999999989</v>
      </c>
      <c r="W235" s="55">
        <f ca="1">V235*VLOOKUP(TODAY(),'UF HOY'!$A$2:$B$36,2,0)</f>
        <v>17264396.929999996</v>
      </c>
      <c r="X235" s="56">
        <f>Datos!$K$5</f>
        <v>36</v>
      </c>
      <c r="Y235" s="55">
        <f ca="1">IF((W235-Datos!$U$5-1000000)/X235&gt;0,(W235-Datos!$U$5-1000000)/X235,0)</f>
        <v>449011.0258333332</v>
      </c>
      <c r="Z235" s="56">
        <f>Datos!$K$5</f>
        <v>36</v>
      </c>
      <c r="AA235" s="55">
        <f ca="1">IF((W235-Datos!$U$5-1000000-O235*3%*VLOOKUP(TODAY(),'UF HOY'!$A$2:$B$36,2,0))/Z235&gt;0,(W235-Datos!$U$5-1000000-O235*3%*VLOOKUP(TODAY(),'UF HOY'!$A$2:$B$36,2,0))/Z235,0)</f>
        <v>305141.05141666654</v>
      </c>
      <c r="AB235" s="130" cm="1">
        <f t="array" ref="AB235">_xlfn.IFS(AND(L235=0,M235=0),VLOOKUP(D235,Datos!$F$31:$I$33,2,0),AND(L235=0,M235&gt;0),VLOOKUP(D235,Datos!$F$32:$I$33,2,0),AND(L235&gt;0,M235=0),VLOOKUP(D235,Datos!$F$32:$I$33,3,0),AND(L235&gt;0,M235&gt;0),VLOOKUP(D235,Datos!$F$31:$I$33,4,0))</f>
        <v>550000</v>
      </c>
      <c r="AC235" s="55">
        <f ca="1">(S235*PMT(Datos!$G$15,Datos!$G$14,-O235,,)*VLOOKUP(TODAY(),'UF HOY'!$A$2:$B$36,2,0)/12)+VLOOKUP(TODAY(),'UF HOY'!$A$2:$B$36,2,0)</f>
        <v>705335.13062985241</v>
      </c>
      <c r="AD235" s="55">
        <f t="shared" ca="1" si="46"/>
        <v>-155335.13062985241</v>
      </c>
      <c r="AE235" s="93">
        <f t="shared" ca="1" si="47"/>
        <v>2821340.5225194097</v>
      </c>
    </row>
    <row r="236" spans="1:31" s="3" customFormat="1" x14ac:dyDescent="0.35">
      <c r="A236" s="94" t="s">
        <v>346</v>
      </c>
      <c r="B236" s="80">
        <v>2804</v>
      </c>
      <c r="C236" s="48" t="s">
        <v>38</v>
      </c>
      <c r="D236" s="48" t="s">
        <v>37</v>
      </c>
      <c r="E236" s="48"/>
      <c r="F236" s="48">
        <v>34.74</v>
      </c>
      <c r="G236" s="48">
        <v>2.86</v>
      </c>
      <c r="H236" s="82">
        <f t="shared" si="36"/>
        <v>36.17</v>
      </c>
      <c r="I236" s="82">
        <f t="shared" si="37"/>
        <v>37.6</v>
      </c>
      <c r="J236" s="49">
        <v>4345</v>
      </c>
      <c r="K236" s="304">
        <v>0</v>
      </c>
      <c r="L236" s="48">
        <v>0</v>
      </c>
      <c r="M236" s="48">
        <v>0</v>
      </c>
      <c r="N236" s="49">
        <f t="shared" si="38"/>
        <v>3910.5</v>
      </c>
      <c r="O236" s="52">
        <f t="shared" si="39"/>
        <v>4345</v>
      </c>
      <c r="P236" s="79">
        <f t="shared" si="40"/>
        <v>108.11445949682056</v>
      </c>
      <c r="Q236" s="53">
        <f t="shared" si="41"/>
        <v>0.1</v>
      </c>
      <c r="R236" s="54">
        <f t="shared" si="42"/>
        <v>434.5</v>
      </c>
      <c r="S236" s="53">
        <v>0.8</v>
      </c>
      <c r="T236" s="54">
        <f t="shared" si="43"/>
        <v>3476</v>
      </c>
      <c r="U236" s="53">
        <f t="shared" si="44"/>
        <v>9.9999999999999978E-2</v>
      </c>
      <c r="V236" s="54">
        <f t="shared" si="45"/>
        <v>434.49999999999989</v>
      </c>
      <c r="W236" s="55">
        <f ca="1">V236*VLOOKUP(TODAY(),'UF HOY'!$A$2:$B$36,2,0)</f>
        <v>17264396.929999996</v>
      </c>
      <c r="X236" s="56">
        <f>Datos!$K$5</f>
        <v>36</v>
      </c>
      <c r="Y236" s="55">
        <f ca="1">IF((W236-Datos!$U$5-1000000)/X236&gt;0,(W236-Datos!$U$5-1000000)/X236,0)</f>
        <v>449011.0258333332</v>
      </c>
      <c r="Z236" s="56">
        <f>Datos!$K$5</f>
        <v>36</v>
      </c>
      <c r="AA236" s="55">
        <f ca="1">IF((W236-Datos!$U$5-1000000-O236*3%*VLOOKUP(TODAY(),'UF HOY'!$A$2:$B$36,2,0))/Z236&gt;0,(W236-Datos!$U$5-1000000-O236*3%*VLOOKUP(TODAY(),'UF HOY'!$A$2:$B$36,2,0))/Z236,0)</f>
        <v>305141.05141666654</v>
      </c>
      <c r="AB236" s="130" cm="1">
        <f t="array" ref="AB236">_xlfn.IFS(AND(L236=0,M236=0),VLOOKUP(D236,Datos!$F$31:$I$33,2,0),AND(L236=0,M236&gt;0),VLOOKUP(D236,Datos!$F$32:$I$33,2,0),AND(L236&gt;0,M236=0),VLOOKUP(D236,Datos!$F$32:$I$33,3,0),AND(L236&gt;0,M236&gt;0),VLOOKUP(D236,Datos!$F$31:$I$33,4,0))</f>
        <v>550000</v>
      </c>
      <c r="AC236" s="55">
        <f ca="1">(S236*PMT(Datos!$G$15,Datos!$G$14,-O236,,)*VLOOKUP(TODAY(),'UF HOY'!$A$2:$B$36,2,0)/12)+VLOOKUP(TODAY(),'UF HOY'!$A$2:$B$36,2,0)</f>
        <v>705335.13062985241</v>
      </c>
      <c r="AD236" s="55">
        <f t="shared" ca="1" si="46"/>
        <v>-155335.13062985241</v>
      </c>
      <c r="AE236" s="93">
        <f t="shared" ca="1" si="47"/>
        <v>2821340.5225194097</v>
      </c>
    </row>
    <row r="237" spans="1:31" s="3" customFormat="1" x14ac:dyDescent="0.35">
      <c r="A237" s="94" t="s">
        <v>346</v>
      </c>
      <c r="B237" s="80">
        <v>2803</v>
      </c>
      <c r="C237" s="48" t="s">
        <v>38</v>
      </c>
      <c r="D237" s="48" t="s">
        <v>37</v>
      </c>
      <c r="E237" s="48"/>
      <c r="F237" s="48">
        <v>34.79</v>
      </c>
      <c r="G237" s="48">
        <v>2.83</v>
      </c>
      <c r="H237" s="82">
        <f t="shared" si="36"/>
        <v>36.204999999999998</v>
      </c>
      <c r="I237" s="82">
        <f t="shared" si="37"/>
        <v>37.619999999999997</v>
      </c>
      <c r="J237" s="49">
        <v>4350</v>
      </c>
      <c r="K237" s="304">
        <v>0</v>
      </c>
      <c r="L237" s="48">
        <v>0</v>
      </c>
      <c r="M237" s="48">
        <v>0</v>
      </c>
      <c r="N237" s="49">
        <f t="shared" si="38"/>
        <v>3915</v>
      </c>
      <c r="O237" s="52">
        <f t="shared" si="39"/>
        <v>4350</v>
      </c>
      <c r="P237" s="79">
        <f t="shared" si="40"/>
        <v>108.1342356028173</v>
      </c>
      <c r="Q237" s="53">
        <f t="shared" si="41"/>
        <v>0.1</v>
      </c>
      <c r="R237" s="54">
        <f t="shared" si="42"/>
        <v>435</v>
      </c>
      <c r="S237" s="53">
        <v>0.8</v>
      </c>
      <c r="T237" s="54">
        <f t="shared" si="43"/>
        <v>3480</v>
      </c>
      <c r="U237" s="53">
        <f t="shared" si="44"/>
        <v>9.9999999999999978E-2</v>
      </c>
      <c r="V237" s="54">
        <f t="shared" si="45"/>
        <v>434.99999999999989</v>
      </c>
      <c r="W237" s="55">
        <f ca="1">V237*VLOOKUP(TODAY(),'UF HOY'!$A$2:$B$36,2,0)</f>
        <v>17284263.899999995</v>
      </c>
      <c r="X237" s="56">
        <f>Datos!$K$5</f>
        <v>36</v>
      </c>
      <c r="Y237" s="55">
        <f ca="1">IF((W237-Datos!$U$5-1000000)/X237&gt;0,(W237-Datos!$U$5-1000000)/X237,0)</f>
        <v>449562.88611111097</v>
      </c>
      <c r="Z237" s="56">
        <f>Datos!$K$5</f>
        <v>36</v>
      </c>
      <c r="AA237" s="55">
        <f ca="1">IF((W237-Datos!$U$5-1000000-O237*3%*VLOOKUP(TODAY(),'UF HOY'!$A$2:$B$36,2,0))/Z237&gt;0,(W237-Datos!$U$5-1000000-O237*3%*VLOOKUP(TODAY(),'UF HOY'!$A$2:$B$36,2,0))/Z237,0)</f>
        <v>305527.35361111094</v>
      </c>
      <c r="AB237" s="130" cm="1">
        <f t="array" ref="AB237">_xlfn.IFS(AND(L237=0,M237=0),VLOOKUP(D237,Datos!$F$31:$I$33,2,0),AND(L237=0,M237&gt;0),VLOOKUP(D237,Datos!$F$32:$I$33,2,0),AND(L237&gt;0,M237=0),VLOOKUP(D237,Datos!$F$32:$I$33,3,0),AND(L237&gt;0,M237&gt;0),VLOOKUP(D237,Datos!$F$31:$I$33,4,0))</f>
        <v>550000</v>
      </c>
      <c r="AC237" s="55">
        <f ca="1">(S237*PMT(Datos!$G$15,Datos!$G$14,-O237,,)*VLOOKUP(TODAY(),'UF HOY'!$A$2:$B$36,2,0)/12)+VLOOKUP(TODAY(),'UF HOY'!$A$2:$B$36,2,0)</f>
        <v>706101.06985957618</v>
      </c>
      <c r="AD237" s="55">
        <f t="shared" ca="1" si="46"/>
        <v>-156101.06985957618</v>
      </c>
      <c r="AE237" s="93">
        <f t="shared" ca="1" si="47"/>
        <v>2824404.2794383047</v>
      </c>
    </row>
    <row r="238" spans="1:31" s="3" customFormat="1" x14ac:dyDescent="0.35">
      <c r="A238" s="94" t="s">
        <v>346</v>
      </c>
      <c r="B238" s="80">
        <v>905</v>
      </c>
      <c r="C238" s="48" t="s">
        <v>38</v>
      </c>
      <c r="D238" s="48" t="s">
        <v>37</v>
      </c>
      <c r="E238" s="48"/>
      <c r="F238" s="48">
        <v>36.42</v>
      </c>
      <c r="G238" s="48">
        <v>2.81</v>
      </c>
      <c r="H238" s="82">
        <f t="shared" si="36"/>
        <v>37.825000000000003</v>
      </c>
      <c r="I238" s="82">
        <f t="shared" si="37"/>
        <v>39.230000000000004</v>
      </c>
      <c r="J238" s="49">
        <v>4355</v>
      </c>
      <c r="K238" s="304">
        <v>0</v>
      </c>
      <c r="L238" s="48">
        <v>0</v>
      </c>
      <c r="M238" s="48">
        <v>0</v>
      </c>
      <c r="N238" s="49">
        <f t="shared" si="38"/>
        <v>3919.5</v>
      </c>
      <c r="O238" s="52">
        <f t="shared" si="39"/>
        <v>4355</v>
      </c>
      <c r="P238" s="79">
        <f t="shared" si="40"/>
        <v>103.62194315928618</v>
      </c>
      <c r="Q238" s="53">
        <f t="shared" si="41"/>
        <v>0.1</v>
      </c>
      <c r="R238" s="54">
        <f t="shared" si="42"/>
        <v>435.5</v>
      </c>
      <c r="S238" s="53">
        <v>0.8</v>
      </c>
      <c r="T238" s="54">
        <f t="shared" si="43"/>
        <v>3484</v>
      </c>
      <c r="U238" s="53">
        <f t="shared" si="44"/>
        <v>9.9999999999999978E-2</v>
      </c>
      <c r="V238" s="54">
        <f t="shared" si="45"/>
        <v>435.49999999999989</v>
      </c>
      <c r="W238" s="55">
        <f ca="1">V238*VLOOKUP(TODAY(),'UF HOY'!$A$2:$B$36,2,0)</f>
        <v>17304130.869999997</v>
      </c>
      <c r="X238" s="56">
        <f>Datos!$K$5</f>
        <v>36</v>
      </c>
      <c r="Y238" s="55">
        <f ca="1">IF((W238-Datos!$U$5-1000000)/X238&gt;0,(W238-Datos!$U$5-1000000)/X238,0)</f>
        <v>450114.7463888888</v>
      </c>
      <c r="Z238" s="56">
        <f>Datos!$K$5</f>
        <v>36</v>
      </c>
      <c r="AA238" s="55">
        <f ca="1">IF((W238-Datos!$U$5-1000000-O238*3%*VLOOKUP(TODAY(),'UF HOY'!$A$2:$B$36,2,0))/Z238&gt;0,(W238-Datos!$U$5-1000000-O238*3%*VLOOKUP(TODAY(),'UF HOY'!$A$2:$B$36,2,0))/Z238,0)</f>
        <v>305913.65580555546</v>
      </c>
      <c r="AB238" s="130" cm="1">
        <f t="array" ref="AB238">_xlfn.IFS(AND(L238=0,M238=0),VLOOKUP(D238,Datos!$F$31:$I$33,2,0),AND(L238=0,M238&gt;0),VLOOKUP(D238,Datos!$F$32:$I$33,2,0),AND(L238&gt;0,M238=0),VLOOKUP(D238,Datos!$F$32:$I$33,3,0),AND(L238&gt;0,M238&gt;0),VLOOKUP(D238,Datos!$F$31:$I$33,4,0))</f>
        <v>550000</v>
      </c>
      <c r="AC238" s="55">
        <f ca="1">(S238*PMT(Datos!$G$15,Datos!$G$14,-O238,,)*VLOOKUP(TODAY(),'UF HOY'!$A$2:$B$36,2,0)/12)+VLOOKUP(TODAY(),'UF HOY'!$A$2:$B$36,2,0)</f>
        <v>706867.00908929971</v>
      </c>
      <c r="AD238" s="55">
        <f t="shared" ca="1" si="46"/>
        <v>-156867.00908929971</v>
      </c>
      <c r="AE238" s="93">
        <f t="shared" ca="1" si="47"/>
        <v>2827468.0363571988</v>
      </c>
    </row>
    <row r="239" spans="1:31" s="3" customFormat="1" x14ac:dyDescent="0.35">
      <c r="A239" s="94" t="s">
        <v>346</v>
      </c>
      <c r="B239" s="80">
        <v>2702</v>
      </c>
      <c r="C239" s="48" t="s">
        <v>38</v>
      </c>
      <c r="D239" s="48" t="s">
        <v>37</v>
      </c>
      <c r="E239" s="48"/>
      <c r="F239" s="48">
        <v>34.89</v>
      </c>
      <c r="G239" s="48">
        <v>2.83</v>
      </c>
      <c r="H239" s="82">
        <f t="shared" si="36"/>
        <v>36.305</v>
      </c>
      <c r="I239" s="82">
        <f t="shared" si="37"/>
        <v>37.72</v>
      </c>
      <c r="J239" s="49">
        <v>4355</v>
      </c>
      <c r="K239" s="304">
        <v>0</v>
      </c>
      <c r="L239" s="48">
        <v>0</v>
      </c>
      <c r="M239" s="48">
        <v>0</v>
      </c>
      <c r="N239" s="49">
        <f t="shared" si="38"/>
        <v>3919.5</v>
      </c>
      <c r="O239" s="52">
        <f t="shared" si="39"/>
        <v>4355</v>
      </c>
      <c r="P239" s="79">
        <f t="shared" si="40"/>
        <v>107.96033604186751</v>
      </c>
      <c r="Q239" s="53">
        <f t="shared" si="41"/>
        <v>0.1</v>
      </c>
      <c r="R239" s="54">
        <f t="shared" si="42"/>
        <v>435.5</v>
      </c>
      <c r="S239" s="53">
        <v>0.8</v>
      </c>
      <c r="T239" s="54">
        <f t="shared" si="43"/>
        <v>3484</v>
      </c>
      <c r="U239" s="53">
        <f t="shared" si="44"/>
        <v>9.9999999999999978E-2</v>
      </c>
      <c r="V239" s="54">
        <f t="shared" si="45"/>
        <v>435.49999999999989</v>
      </c>
      <c r="W239" s="55">
        <f ca="1">V239*VLOOKUP(TODAY(),'UF HOY'!$A$2:$B$36,2,0)</f>
        <v>17304130.869999997</v>
      </c>
      <c r="X239" s="56">
        <f>Datos!$K$5</f>
        <v>36</v>
      </c>
      <c r="Y239" s="55">
        <f ca="1">IF((W239-Datos!$U$5-1000000)/X239&gt;0,(W239-Datos!$U$5-1000000)/X239,0)</f>
        <v>450114.7463888888</v>
      </c>
      <c r="Z239" s="56">
        <f>Datos!$K$5</f>
        <v>36</v>
      </c>
      <c r="AA239" s="55">
        <f ca="1">IF((W239-Datos!$U$5-1000000-O239*3%*VLOOKUP(TODAY(),'UF HOY'!$A$2:$B$36,2,0))/Z239&gt;0,(W239-Datos!$U$5-1000000-O239*3%*VLOOKUP(TODAY(),'UF HOY'!$A$2:$B$36,2,0))/Z239,0)</f>
        <v>305913.65580555546</v>
      </c>
      <c r="AB239" s="130" cm="1">
        <f t="array" ref="AB239">_xlfn.IFS(AND(L239=0,M239=0),VLOOKUP(D239,Datos!$F$31:$I$33,2,0),AND(L239=0,M239&gt;0),VLOOKUP(D239,Datos!$F$32:$I$33,2,0),AND(L239&gt;0,M239=0),VLOOKUP(D239,Datos!$F$32:$I$33,3,0),AND(L239&gt;0,M239&gt;0),VLOOKUP(D239,Datos!$F$31:$I$33,4,0))</f>
        <v>550000</v>
      </c>
      <c r="AC239" s="55">
        <f ca="1">(S239*PMT(Datos!$G$15,Datos!$G$14,-O239,,)*VLOOKUP(TODAY(),'UF HOY'!$A$2:$B$36,2,0)/12)+VLOOKUP(TODAY(),'UF HOY'!$A$2:$B$36,2,0)</f>
        <v>706867.00908929971</v>
      </c>
      <c r="AD239" s="55">
        <f t="shared" ca="1" si="46"/>
        <v>-156867.00908929971</v>
      </c>
      <c r="AE239" s="93">
        <f t="shared" ca="1" si="47"/>
        <v>2827468.0363571988</v>
      </c>
    </row>
    <row r="240" spans="1:31" s="3" customFormat="1" x14ac:dyDescent="0.35">
      <c r="A240" s="94" t="s">
        <v>346</v>
      </c>
      <c r="B240" s="80">
        <v>2902</v>
      </c>
      <c r="C240" s="48" t="s">
        <v>38</v>
      </c>
      <c r="D240" s="48" t="s">
        <v>37</v>
      </c>
      <c r="E240" s="48"/>
      <c r="F240" s="48">
        <v>34.89</v>
      </c>
      <c r="G240" s="48">
        <v>2.83</v>
      </c>
      <c r="H240" s="82">
        <f t="shared" si="36"/>
        <v>36.305</v>
      </c>
      <c r="I240" s="82">
        <f t="shared" si="37"/>
        <v>37.72</v>
      </c>
      <c r="J240" s="49">
        <v>4355</v>
      </c>
      <c r="K240" s="304">
        <v>0</v>
      </c>
      <c r="L240" s="48">
        <v>0</v>
      </c>
      <c r="M240" s="48">
        <v>0</v>
      </c>
      <c r="N240" s="49">
        <f t="shared" si="38"/>
        <v>3919.5</v>
      </c>
      <c r="O240" s="52">
        <f t="shared" si="39"/>
        <v>4355</v>
      </c>
      <c r="P240" s="79">
        <f t="shared" si="40"/>
        <v>107.96033604186751</v>
      </c>
      <c r="Q240" s="53">
        <f t="shared" si="41"/>
        <v>0.1</v>
      </c>
      <c r="R240" s="54">
        <f t="shared" si="42"/>
        <v>435.5</v>
      </c>
      <c r="S240" s="53">
        <v>0.8</v>
      </c>
      <c r="T240" s="54">
        <f t="shared" si="43"/>
        <v>3484</v>
      </c>
      <c r="U240" s="53">
        <f t="shared" si="44"/>
        <v>9.9999999999999978E-2</v>
      </c>
      <c r="V240" s="54">
        <f t="shared" si="45"/>
        <v>435.49999999999989</v>
      </c>
      <c r="W240" s="55">
        <f ca="1">V240*VLOOKUP(TODAY(),'UF HOY'!$A$2:$B$36,2,0)</f>
        <v>17304130.869999997</v>
      </c>
      <c r="X240" s="56">
        <f>Datos!$K$5</f>
        <v>36</v>
      </c>
      <c r="Y240" s="55">
        <f ca="1">IF((W240-Datos!$U$5-1000000)/X240&gt;0,(W240-Datos!$U$5-1000000)/X240,0)</f>
        <v>450114.7463888888</v>
      </c>
      <c r="Z240" s="56">
        <f>Datos!$K$5</f>
        <v>36</v>
      </c>
      <c r="AA240" s="55">
        <f ca="1">IF((W240-Datos!$U$5-1000000-O240*3%*VLOOKUP(TODAY(),'UF HOY'!$A$2:$B$36,2,0))/Z240&gt;0,(W240-Datos!$U$5-1000000-O240*3%*VLOOKUP(TODAY(),'UF HOY'!$A$2:$B$36,2,0))/Z240,0)</f>
        <v>305913.65580555546</v>
      </c>
      <c r="AB240" s="130" cm="1">
        <f t="array" ref="AB240">_xlfn.IFS(AND(L240=0,M240=0),VLOOKUP(D240,Datos!$F$31:$I$33,2,0),AND(L240=0,M240&gt;0),VLOOKUP(D240,Datos!$F$32:$I$33,2,0),AND(L240&gt;0,M240=0),VLOOKUP(D240,Datos!$F$32:$I$33,3,0),AND(L240&gt;0,M240&gt;0),VLOOKUP(D240,Datos!$F$31:$I$33,4,0))</f>
        <v>550000</v>
      </c>
      <c r="AC240" s="55">
        <f ca="1">(S240*PMT(Datos!$G$15,Datos!$G$14,-O240,,)*VLOOKUP(TODAY(),'UF HOY'!$A$2:$B$36,2,0)/12)+VLOOKUP(TODAY(),'UF HOY'!$A$2:$B$36,2,0)</f>
        <v>706867.00908929971</v>
      </c>
      <c r="AD240" s="55">
        <f t="shared" ca="1" si="46"/>
        <v>-156867.00908929971</v>
      </c>
      <c r="AE240" s="93">
        <f t="shared" ca="1" si="47"/>
        <v>2827468.0363571988</v>
      </c>
    </row>
    <row r="241" spans="1:31" s="3" customFormat="1" x14ac:dyDescent="0.35">
      <c r="A241" s="94" t="s">
        <v>346</v>
      </c>
      <c r="B241" s="80">
        <v>1501</v>
      </c>
      <c r="C241" s="48" t="s">
        <v>41</v>
      </c>
      <c r="D241" s="48" t="s">
        <v>37</v>
      </c>
      <c r="E241" s="48"/>
      <c r="F241" s="48">
        <v>35.619999999999997</v>
      </c>
      <c r="G241" s="48">
        <v>2.96</v>
      </c>
      <c r="H241" s="82">
        <f t="shared" si="36"/>
        <v>37.099999999999994</v>
      </c>
      <c r="I241" s="82">
        <f t="shared" si="37"/>
        <v>38.58</v>
      </c>
      <c r="J241" s="49">
        <v>4360</v>
      </c>
      <c r="K241" s="304">
        <v>0</v>
      </c>
      <c r="L241" s="48">
        <v>0</v>
      </c>
      <c r="M241" s="48">
        <v>0</v>
      </c>
      <c r="N241" s="49">
        <f t="shared" si="38"/>
        <v>3924</v>
      </c>
      <c r="O241" s="52">
        <f t="shared" si="39"/>
        <v>4360</v>
      </c>
      <c r="P241" s="79">
        <f t="shared" si="40"/>
        <v>105.76819407008088</v>
      </c>
      <c r="Q241" s="53">
        <f t="shared" si="41"/>
        <v>0.1</v>
      </c>
      <c r="R241" s="54">
        <f t="shared" si="42"/>
        <v>436</v>
      </c>
      <c r="S241" s="53">
        <v>0.8</v>
      </c>
      <c r="T241" s="54">
        <f t="shared" si="43"/>
        <v>3488</v>
      </c>
      <c r="U241" s="53">
        <f t="shared" si="44"/>
        <v>9.9999999999999978E-2</v>
      </c>
      <c r="V241" s="54">
        <f t="shared" si="45"/>
        <v>435.99999999999989</v>
      </c>
      <c r="W241" s="55">
        <f ca="1">V241*VLOOKUP(TODAY(),'UF HOY'!$A$2:$B$36,2,0)</f>
        <v>17323997.839999996</v>
      </c>
      <c r="X241" s="56">
        <f>Datos!$K$5</f>
        <v>36</v>
      </c>
      <c r="Y241" s="55">
        <f ca="1">IF((W241-Datos!$U$5-1000000)/X241&gt;0,(W241-Datos!$U$5-1000000)/X241,0)</f>
        <v>450666.60666666657</v>
      </c>
      <c r="Z241" s="56">
        <f>Datos!$K$5</f>
        <v>36</v>
      </c>
      <c r="AA241" s="55">
        <f ca="1">IF((W241-Datos!$U$5-1000000-O241*3%*VLOOKUP(TODAY(),'UF HOY'!$A$2:$B$36,2,0))/Z241&gt;0,(W241-Datos!$U$5-1000000-O241*3%*VLOOKUP(TODAY(),'UF HOY'!$A$2:$B$36,2,0))/Z241,0)</f>
        <v>306299.95799999987</v>
      </c>
      <c r="AB241" s="130" cm="1">
        <f t="array" ref="AB241">_xlfn.IFS(AND(L241=0,M241=0),VLOOKUP(D241,Datos!$F$31:$I$33,2,0),AND(L241=0,M241&gt;0),VLOOKUP(D241,Datos!$F$32:$I$33,2,0),AND(L241&gt;0,M241=0),VLOOKUP(D241,Datos!$F$32:$I$33,3,0),AND(L241&gt;0,M241&gt;0),VLOOKUP(D241,Datos!$F$31:$I$33,4,0))</f>
        <v>550000</v>
      </c>
      <c r="AC241" s="55">
        <f ca="1">(S241*PMT(Datos!$G$15,Datos!$G$14,-O241,,)*VLOOKUP(TODAY(),'UF HOY'!$A$2:$B$36,2,0)/12)+VLOOKUP(TODAY(),'UF HOY'!$A$2:$B$36,2,0)</f>
        <v>707632.94831902348</v>
      </c>
      <c r="AD241" s="55">
        <f t="shared" ca="1" si="46"/>
        <v>-157632.94831902348</v>
      </c>
      <c r="AE241" s="93">
        <f t="shared" ca="1" si="47"/>
        <v>2830531.7932760939</v>
      </c>
    </row>
    <row r="242" spans="1:31" s="3" customFormat="1" x14ac:dyDescent="0.35">
      <c r="A242" s="94" t="s">
        <v>346</v>
      </c>
      <c r="B242" s="80">
        <v>2209</v>
      </c>
      <c r="C242" s="48" t="s">
        <v>40</v>
      </c>
      <c r="D242" s="48" t="s">
        <v>37</v>
      </c>
      <c r="E242" s="48"/>
      <c r="F242" s="48">
        <v>34.369999999999997</v>
      </c>
      <c r="G242" s="48">
        <v>3.28</v>
      </c>
      <c r="H242" s="82">
        <f t="shared" si="36"/>
        <v>36.01</v>
      </c>
      <c r="I242" s="82">
        <f t="shared" si="37"/>
        <v>37.65</v>
      </c>
      <c r="J242" s="49">
        <v>4360</v>
      </c>
      <c r="K242" s="304">
        <v>0</v>
      </c>
      <c r="L242" s="48">
        <v>0</v>
      </c>
      <c r="M242" s="48">
        <v>0</v>
      </c>
      <c r="N242" s="49">
        <f t="shared" si="38"/>
        <v>3924</v>
      </c>
      <c r="O242" s="52">
        <f t="shared" si="39"/>
        <v>4360</v>
      </c>
      <c r="P242" s="79">
        <f t="shared" si="40"/>
        <v>108.96973063038045</v>
      </c>
      <c r="Q242" s="53">
        <f t="shared" si="41"/>
        <v>0.1</v>
      </c>
      <c r="R242" s="54">
        <f t="shared" si="42"/>
        <v>436</v>
      </c>
      <c r="S242" s="53">
        <v>0.8</v>
      </c>
      <c r="T242" s="54">
        <f t="shared" si="43"/>
        <v>3488</v>
      </c>
      <c r="U242" s="53">
        <f t="shared" si="44"/>
        <v>9.9999999999999978E-2</v>
      </c>
      <c r="V242" s="54">
        <f t="shared" si="45"/>
        <v>435.99999999999989</v>
      </c>
      <c r="W242" s="55">
        <f ca="1">V242*VLOOKUP(TODAY(),'UF HOY'!$A$2:$B$36,2,0)</f>
        <v>17323997.839999996</v>
      </c>
      <c r="X242" s="56">
        <f>Datos!$K$5</f>
        <v>36</v>
      </c>
      <c r="Y242" s="55">
        <f ca="1">IF((W242-Datos!$U$5-1000000)/X242&gt;0,(W242-Datos!$U$5-1000000)/X242,0)</f>
        <v>450666.60666666657</v>
      </c>
      <c r="Z242" s="56">
        <f>Datos!$K$5</f>
        <v>36</v>
      </c>
      <c r="AA242" s="55">
        <f ca="1">IF((W242-Datos!$U$5-1000000-O242*3%*VLOOKUP(TODAY(),'UF HOY'!$A$2:$B$36,2,0))/Z242&gt;0,(W242-Datos!$U$5-1000000-O242*3%*VLOOKUP(TODAY(),'UF HOY'!$A$2:$B$36,2,0))/Z242,0)</f>
        <v>306299.95799999987</v>
      </c>
      <c r="AB242" s="130" cm="1">
        <f t="array" ref="AB242">_xlfn.IFS(AND(L242=0,M242=0),VLOOKUP(D242,Datos!$F$31:$I$33,2,0),AND(L242=0,M242&gt;0),VLOOKUP(D242,Datos!$F$32:$I$33,2,0),AND(L242&gt;0,M242=0),VLOOKUP(D242,Datos!$F$32:$I$33,3,0),AND(L242&gt;0,M242&gt;0),VLOOKUP(D242,Datos!$F$31:$I$33,4,0))</f>
        <v>550000</v>
      </c>
      <c r="AC242" s="55">
        <f ca="1">(S242*PMT(Datos!$G$15,Datos!$G$14,-O242,,)*VLOOKUP(TODAY(),'UF HOY'!$A$2:$B$36,2,0)/12)+VLOOKUP(TODAY(),'UF HOY'!$A$2:$B$36,2,0)</f>
        <v>707632.94831902348</v>
      </c>
      <c r="AD242" s="55">
        <f t="shared" ca="1" si="46"/>
        <v>-157632.94831902348</v>
      </c>
      <c r="AE242" s="93">
        <f t="shared" ca="1" si="47"/>
        <v>2830531.7932760939</v>
      </c>
    </row>
    <row r="243" spans="1:31" s="3" customFormat="1" x14ac:dyDescent="0.35">
      <c r="A243" s="94" t="s">
        <v>346</v>
      </c>
      <c r="B243" s="80">
        <v>2210</v>
      </c>
      <c r="C243" s="48" t="s">
        <v>40</v>
      </c>
      <c r="D243" s="48" t="s">
        <v>37</v>
      </c>
      <c r="E243" s="48"/>
      <c r="F243" s="48">
        <v>34.369999999999997</v>
      </c>
      <c r="G243" s="48">
        <v>3.28</v>
      </c>
      <c r="H243" s="82">
        <f t="shared" si="36"/>
        <v>36.01</v>
      </c>
      <c r="I243" s="82">
        <f t="shared" si="37"/>
        <v>37.65</v>
      </c>
      <c r="J243" s="49">
        <v>4360</v>
      </c>
      <c r="K243" s="304">
        <v>0</v>
      </c>
      <c r="L243" s="48">
        <v>0</v>
      </c>
      <c r="M243" s="48">
        <v>0</v>
      </c>
      <c r="N243" s="49">
        <f t="shared" si="38"/>
        <v>3924</v>
      </c>
      <c r="O243" s="52">
        <f t="shared" si="39"/>
        <v>4360</v>
      </c>
      <c r="P243" s="79">
        <f t="shared" si="40"/>
        <v>108.96973063038045</v>
      </c>
      <c r="Q243" s="53">
        <f t="shared" si="41"/>
        <v>0.1</v>
      </c>
      <c r="R243" s="54">
        <f t="shared" si="42"/>
        <v>436</v>
      </c>
      <c r="S243" s="53">
        <v>0.8</v>
      </c>
      <c r="T243" s="54">
        <f t="shared" si="43"/>
        <v>3488</v>
      </c>
      <c r="U243" s="53">
        <f t="shared" si="44"/>
        <v>9.9999999999999978E-2</v>
      </c>
      <c r="V243" s="54">
        <f t="shared" si="45"/>
        <v>435.99999999999989</v>
      </c>
      <c r="W243" s="55">
        <f ca="1">V243*VLOOKUP(TODAY(),'UF HOY'!$A$2:$B$36,2,0)</f>
        <v>17323997.839999996</v>
      </c>
      <c r="X243" s="56">
        <f>Datos!$K$5</f>
        <v>36</v>
      </c>
      <c r="Y243" s="55">
        <f ca="1">IF((W243-Datos!$U$5-1000000)/X243&gt;0,(W243-Datos!$U$5-1000000)/X243,0)</f>
        <v>450666.60666666657</v>
      </c>
      <c r="Z243" s="56">
        <f>Datos!$K$5</f>
        <v>36</v>
      </c>
      <c r="AA243" s="55">
        <f ca="1">IF((W243-Datos!$U$5-1000000-O243*3%*VLOOKUP(TODAY(),'UF HOY'!$A$2:$B$36,2,0))/Z243&gt;0,(W243-Datos!$U$5-1000000-O243*3%*VLOOKUP(TODAY(),'UF HOY'!$A$2:$B$36,2,0))/Z243,0)</f>
        <v>306299.95799999987</v>
      </c>
      <c r="AB243" s="130" cm="1">
        <f t="array" ref="AB243">_xlfn.IFS(AND(L243=0,M243=0),VLOOKUP(D243,Datos!$F$31:$I$33,2,0),AND(L243=0,M243&gt;0),VLOOKUP(D243,Datos!$F$32:$I$33,2,0),AND(L243&gt;0,M243=0),VLOOKUP(D243,Datos!$F$32:$I$33,3,0),AND(L243&gt;0,M243&gt;0),VLOOKUP(D243,Datos!$F$31:$I$33,4,0))</f>
        <v>550000</v>
      </c>
      <c r="AC243" s="55">
        <f ca="1">(S243*PMT(Datos!$G$15,Datos!$G$14,-O243,,)*VLOOKUP(TODAY(),'UF HOY'!$A$2:$B$36,2,0)/12)+VLOOKUP(TODAY(),'UF HOY'!$A$2:$B$36,2,0)</f>
        <v>707632.94831902348</v>
      </c>
      <c r="AD243" s="55">
        <f t="shared" ca="1" si="46"/>
        <v>-157632.94831902348</v>
      </c>
      <c r="AE243" s="93">
        <f t="shared" ca="1" si="47"/>
        <v>2830531.7932760939</v>
      </c>
    </row>
    <row r="244" spans="1:31" s="3" customFormat="1" x14ac:dyDescent="0.35">
      <c r="A244" s="94" t="s">
        <v>346</v>
      </c>
      <c r="B244" s="80">
        <v>2802</v>
      </c>
      <c r="C244" s="48" t="s">
        <v>38</v>
      </c>
      <c r="D244" s="48" t="s">
        <v>37</v>
      </c>
      <c r="E244" s="48"/>
      <c r="F244" s="48">
        <v>34.89</v>
      </c>
      <c r="G244" s="48">
        <v>2.83</v>
      </c>
      <c r="H244" s="82">
        <f t="shared" si="36"/>
        <v>36.305</v>
      </c>
      <c r="I244" s="82">
        <f t="shared" si="37"/>
        <v>37.72</v>
      </c>
      <c r="J244" s="49">
        <v>4360</v>
      </c>
      <c r="K244" s="304">
        <v>0</v>
      </c>
      <c r="L244" s="48">
        <v>0</v>
      </c>
      <c r="M244" s="48">
        <v>0</v>
      </c>
      <c r="N244" s="49">
        <f t="shared" si="38"/>
        <v>3924</v>
      </c>
      <c r="O244" s="52">
        <f t="shared" si="39"/>
        <v>4360</v>
      </c>
      <c r="P244" s="79">
        <f t="shared" si="40"/>
        <v>108.08428591103154</v>
      </c>
      <c r="Q244" s="53">
        <f t="shared" si="41"/>
        <v>0.1</v>
      </c>
      <c r="R244" s="54">
        <f t="shared" si="42"/>
        <v>436</v>
      </c>
      <c r="S244" s="53">
        <v>0.8</v>
      </c>
      <c r="T244" s="54">
        <f t="shared" si="43"/>
        <v>3488</v>
      </c>
      <c r="U244" s="53">
        <f t="shared" si="44"/>
        <v>9.9999999999999978E-2</v>
      </c>
      <c r="V244" s="54">
        <f t="shared" si="45"/>
        <v>435.99999999999989</v>
      </c>
      <c r="W244" s="55">
        <f ca="1">V244*VLOOKUP(TODAY(),'UF HOY'!$A$2:$B$36,2,0)</f>
        <v>17323997.839999996</v>
      </c>
      <c r="X244" s="56">
        <f>Datos!$K$5</f>
        <v>36</v>
      </c>
      <c r="Y244" s="55">
        <f ca="1">IF((W244-Datos!$U$5-1000000)/X244&gt;0,(W244-Datos!$U$5-1000000)/X244,0)</f>
        <v>450666.60666666657</v>
      </c>
      <c r="Z244" s="56">
        <f>Datos!$K$5</f>
        <v>36</v>
      </c>
      <c r="AA244" s="55">
        <f ca="1">IF((W244-Datos!$U$5-1000000-O244*3%*VLOOKUP(TODAY(),'UF HOY'!$A$2:$B$36,2,0))/Z244&gt;0,(W244-Datos!$U$5-1000000-O244*3%*VLOOKUP(TODAY(),'UF HOY'!$A$2:$B$36,2,0))/Z244,0)</f>
        <v>306299.95799999987</v>
      </c>
      <c r="AB244" s="130" cm="1">
        <f t="array" ref="AB244">_xlfn.IFS(AND(L244=0,M244=0),VLOOKUP(D244,Datos!$F$31:$I$33,2,0),AND(L244=0,M244&gt;0),VLOOKUP(D244,Datos!$F$32:$I$33,2,0),AND(L244&gt;0,M244=0),VLOOKUP(D244,Datos!$F$32:$I$33,3,0),AND(L244&gt;0,M244&gt;0),VLOOKUP(D244,Datos!$F$31:$I$33,4,0))</f>
        <v>550000</v>
      </c>
      <c r="AC244" s="55">
        <f ca="1">(S244*PMT(Datos!$G$15,Datos!$G$14,-O244,,)*VLOOKUP(TODAY(),'UF HOY'!$A$2:$B$36,2,0)/12)+VLOOKUP(TODAY(),'UF HOY'!$A$2:$B$36,2,0)</f>
        <v>707632.94831902348</v>
      </c>
      <c r="AD244" s="55">
        <f t="shared" ca="1" si="46"/>
        <v>-157632.94831902348</v>
      </c>
      <c r="AE244" s="93">
        <f t="shared" ca="1" si="47"/>
        <v>2830531.7932760939</v>
      </c>
    </row>
    <row r="245" spans="1:31" s="3" customFormat="1" x14ac:dyDescent="0.35">
      <c r="A245" s="94" t="s">
        <v>346</v>
      </c>
      <c r="B245" s="80">
        <v>1005</v>
      </c>
      <c r="C245" s="48" t="s">
        <v>38</v>
      </c>
      <c r="D245" s="48" t="s">
        <v>37</v>
      </c>
      <c r="E245" s="48"/>
      <c r="F245" s="48">
        <v>36.42</v>
      </c>
      <c r="G245" s="48">
        <v>2.81</v>
      </c>
      <c r="H245" s="82">
        <f t="shared" si="36"/>
        <v>37.825000000000003</v>
      </c>
      <c r="I245" s="82">
        <f t="shared" si="37"/>
        <v>39.230000000000004</v>
      </c>
      <c r="J245" s="49">
        <v>4370</v>
      </c>
      <c r="K245" s="304">
        <v>0</v>
      </c>
      <c r="L245" s="48">
        <v>0</v>
      </c>
      <c r="M245" s="48">
        <v>0</v>
      </c>
      <c r="N245" s="49">
        <f t="shared" si="38"/>
        <v>3933</v>
      </c>
      <c r="O245" s="52">
        <f t="shared" si="39"/>
        <v>4370</v>
      </c>
      <c r="P245" s="79">
        <f t="shared" si="40"/>
        <v>103.97884996695306</v>
      </c>
      <c r="Q245" s="53">
        <f t="shared" si="41"/>
        <v>0.1</v>
      </c>
      <c r="R245" s="54">
        <f t="shared" si="42"/>
        <v>437</v>
      </c>
      <c r="S245" s="53">
        <v>0.8</v>
      </c>
      <c r="T245" s="54">
        <f t="shared" si="43"/>
        <v>3496</v>
      </c>
      <c r="U245" s="53">
        <f t="shared" si="44"/>
        <v>9.9999999999999978E-2</v>
      </c>
      <c r="V245" s="54">
        <f t="shared" si="45"/>
        <v>436.99999999999989</v>
      </c>
      <c r="W245" s="55">
        <f ca="1">V245*VLOOKUP(TODAY(),'UF HOY'!$A$2:$B$36,2,0)</f>
        <v>17363731.779999997</v>
      </c>
      <c r="X245" s="56">
        <f>Datos!$K$5</f>
        <v>36</v>
      </c>
      <c r="Y245" s="55">
        <f ca="1">IF((W245-Datos!$U$5-1000000)/X245&gt;0,(W245-Datos!$U$5-1000000)/X245,0)</f>
        <v>451770.32722222217</v>
      </c>
      <c r="Z245" s="56">
        <f>Datos!$K$5</f>
        <v>36</v>
      </c>
      <c r="AA245" s="55">
        <f ca="1">IF((W245-Datos!$U$5-1000000-O245*3%*VLOOKUP(TODAY(),'UF HOY'!$A$2:$B$36,2,0))/Z245&gt;0,(W245-Datos!$U$5-1000000-O245*3%*VLOOKUP(TODAY(),'UF HOY'!$A$2:$B$36,2,0))/Z245,0)</f>
        <v>307072.56238888879</v>
      </c>
      <c r="AB245" s="130" cm="1">
        <f t="array" ref="AB245">_xlfn.IFS(AND(L245=0,M245=0),VLOOKUP(D245,Datos!$F$31:$I$33,2,0),AND(L245=0,M245&gt;0),VLOOKUP(D245,Datos!$F$32:$I$33,2,0),AND(L245&gt;0,M245=0),VLOOKUP(D245,Datos!$F$32:$I$33,3,0),AND(L245&gt;0,M245&gt;0),VLOOKUP(D245,Datos!$F$31:$I$33,4,0))</f>
        <v>550000</v>
      </c>
      <c r="AC245" s="55">
        <f ca="1">(S245*PMT(Datos!$G$15,Datos!$G$14,-O245,,)*VLOOKUP(TODAY(),'UF HOY'!$A$2:$B$36,2,0)/12)+VLOOKUP(TODAY(),'UF HOY'!$A$2:$B$36,2,0)</f>
        <v>709164.82677847077</v>
      </c>
      <c r="AD245" s="55">
        <f t="shared" ca="1" si="46"/>
        <v>-159164.82677847077</v>
      </c>
      <c r="AE245" s="93">
        <f t="shared" ca="1" si="47"/>
        <v>2836659.3071138831</v>
      </c>
    </row>
    <row r="246" spans="1:31" s="3" customFormat="1" x14ac:dyDescent="0.35">
      <c r="A246" s="94" t="s">
        <v>346</v>
      </c>
      <c r="B246" s="80">
        <v>1601</v>
      </c>
      <c r="C246" s="48" t="s">
        <v>41</v>
      </c>
      <c r="D246" s="48" t="s">
        <v>37</v>
      </c>
      <c r="E246" s="48"/>
      <c r="F246" s="48">
        <v>35.619999999999997</v>
      </c>
      <c r="G246" s="48">
        <v>2.96</v>
      </c>
      <c r="H246" s="82">
        <f t="shared" si="36"/>
        <v>37.099999999999994</v>
      </c>
      <c r="I246" s="82">
        <f t="shared" si="37"/>
        <v>38.58</v>
      </c>
      <c r="J246" s="49">
        <v>4370</v>
      </c>
      <c r="K246" s="304">
        <v>0</v>
      </c>
      <c r="L246" s="48">
        <v>0</v>
      </c>
      <c r="M246" s="48">
        <v>0</v>
      </c>
      <c r="N246" s="49">
        <f t="shared" si="38"/>
        <v>3933</v>
      </c>
      <c r="O246" s="52">
        <f t="shared" si="39"/>
        <v>4370</v>
      </c>
      <c r="P246" s="79">
        <f t="shared" si="40"/>
        <v>106.01078167115905</v>
      </c>
      <c r="Q246" s="53">
        <f t="shared" si="41"/>
        <v>0.1</v>
      </c>
      <c r="R246" s="54">
        <f t="shared" si="42"/>
        <v>437</v>
      </c>
      <c r="S246" s="53">
        <v>0.8</v>
      </c>
      <c r="T246" s="54">
        <f t="shared" si="43"/>
        <v>3496</v>
      </c>
      <c r="U246" s="53">
        <f t="shared" si="44"/>
        <v>9.9999999999999978E-2</v>
      </c>
      <c r="V246" s="54">
        <f t="shared" si="45"/>
        <v>436.99999999999989</v>
      </c>
      <c r="W246" s="55">
        <f ca="1">V246*VLOOKUP(TODAY(),'UF HOY'!$A$2:$B$36,2,0)</f>
        <v>17363731.779999997</v>
      </c>
      <c r="X246" s="56">
        <f>Datos!$K$5</f>
        <v>36</v>
      </c>
      <c r="Y246" s="55">
        <f ca="1">IF((W246-Datos!$U$5-1000000)/X246&gt;0,(W246-Datos!$U$5-1000000)/X246,0)</f>
        <v>451770.32722222217</v>
      </c>
      <c r="Z246" s="56">
        <f>Datos!$K$5</f>
        <v>36</v>
      </c>
      <c r="AA246" s="55">
        <f ca="1">IF((W246-Datos!$U$5-1000000-O246*3%*VLOOKUP(TODAY(),'UF HOY'!$A$2:$B$36,2,0))/Z246&gt;0,(W246-Datos!$U$5-1000000-O246*3%*VLOOKUP(TODAY(),'UF HOY'!$A$2:$B$36,2,0))/Z246,0)</f>
        <v>307072.56238888879</v>
      </c>
      <c r="AB246" s="130" cm="1">
        <f t="array" ref="AB246">_xlfn.IFS(AND(L246=0,M246=0),VLOOKUP(D246,Datos!$F$31:$I$33,2,0),AND(L246=0,M246&gt;0),VLOOKUP(D246,Datos!$F$32:$I$33,2,0),AND(L246&gt;0,M246=0),VLOOKUP(D246,Datos!$F$32:$I$33,3,0),AND(L246&gt;0,M246&gt;0),VLOOKUP(D246,Datos!$F$31:$I$33,4,0))</f>
        <v>550000</v>
      </c>
      <c r="AC246" s="55">
        <f ca="1">(S246*PMT(Datos!$G$15,Datos!$G$14,-O246,,)*VLOOKUP(TODAY(),'UF HOY'!$A$2:$B$36,2,0)/12)+VLOOKUP(TODAY(),'UF HOY'!$A$2:$B$36,2,0)</f>
        <v>709164.82677847077</v>
      </c>
      <c r="AD246" s="55">
        <f t="shared" ca="1" si="46"/>
        <v>-159164.82677847077</v>
      </c>
      <c r="AE246" s="93">
        <f t="shared" ca="1" si="47"/>
        <v>2836659.3071138831</v>
      </c>
    </row>
    <row r="247" spans="1:31" s="3" customFormat="1" x14ac:dyDescent="0.35">
      <c r="A247" s="94" t="s">
        <v>346</v>
      </c>
      <c r="B247" s="80">
        <v>2309</v>
      </c>
      <c r="C247" s="48" t="s">
        <v>40</v>
      </c>
      <c r="D247" s="48" t="s">
        <v>37</v>
      </c>
      <c r="E247" s="48"/>
      <c r="F247" s="48">
        <v>34.369999999999997</v>
      </c>
      <c r="G247" s="48">
        <v>3.28</v>
      </c>
      <c r="H247" s="82">
        <f t="shared" si="36"/>
        <v>36.01</v>
      </c>
      <c r="I247" s="82">
        <f t="shared" si="37"/>
        <v>37.65</v>
      </c>
      <c r="J247" s="49">
        <v>4370</v>
      </c>
      <c r="K247" s="304">
        <v>0</v>
      </c>
      <c r="L247" s="48">
        <v>0</v>
      </c>
      <c r="M247" s="48">
        <v>0</v>
      </c>
      <c r="N247" s="49">
        <f t="shared" si="38"/>
        <v>3933</v>
      </c>
      <c r="O247" s="52">
        <f t="shared" si="39"/>
        <v>4370</v>
      </c>
      <c r="P247" s="79">
        <f t="shared" si="40"/>
        <v>109.21966120522077</v>
      </c>
      <c r="Q247" s="53">
        <f t="shared" si="41"/>
        <v>0.1</v>
      </c>
      <c r="R247" s="54">
        <f t="shared" si="42"/>
        <v>437</v>
      </c>
      <c r="S247" s="53">
        <v>0.8</v>
      </c>
      <c r="T247" s="54">
        <f t="shared" si="43"/>
        <v>3496</v>
      </c>
      <c r="U247" s="53">
        <f t="shared" si="44"/>
        <v>9.9999999999999978E-2</v>
      </c>
      <c r="V247" s="54">
        <f t="shared" si="45"/>
        <v>436.99999999999989</v>
      </c>
      <c r="W247" s="55">
        <f ca="1">V247*VLOOKUP(TODAY(),'UF HOY'!$A$2:$B$36,2,0)</f>
        <v>17363731.779999997</v>
      </c>
      <c r="X247" s="56">
        <f>Datos!$K$5</f>
        <v>36</v>
      </c>
      <c r="Y247" s="55">
        <f ca="1">IF((W247-Datos!$U$5-1000000)/X247&gt;0,(W247-Datos!$U$5-1000000)/X247,0)</f>
        <v>451770.32722222217</v>
      </c>
      <c r="Z247" s="56">
        <f>Datos!$K$5</f>
        <v>36</v>
      </c>
      <c r="AA247" s="55">
        <f ca="1">IF((W247-Datos!$U$5-1000000-O247*3%*VLOOKUP(TODAY(),'UF HOY'!$A$2:$B$36,2,0))/Z247&gt;0,(W247-Datos!$U$5-1000000-O247*3%*VLOOKUP(TODAY(),'UF HOY'!$A$2:$B$36,2,0))/Z247,0)</f>
        <v>307072.56238888879</v>
      </c>
      <c r="AB247" s="130" cm="1">
        <f t="array" ref="AB247">_xlfn.IFS(AND(L247=0,M247=0),VLOOKUP(D247,Datos!$F$31:$I$33,2,0),AND(L247=0,M247&gt;0),VLOOKUP(D247,Datos!$F$32:$I$33,2,0),AND(L247&gt;0,M247=0),VLOOKUP(D247,Datos!$F$32:$I$33,3,0),AND(L247&gt;0,M247&gt;0),VLOOKUP(D247,Datos!$F$31:$I$33,4,0))</f>
        <v>550000</v>
      </c>
      <c r="AC247" s="55">
        <f ca="1">(S247*PMT(Datos!$G$15,Datos!$G$14,-O247,,)*VLOOKUP(TODAY(),'UF HOY'!$A$2:$B$36,2,0)/12)+VLOOKUP(TODAY(),'UF HOY'!$A$2:$B$36,2,0)</f>
        <v>709164.82677847077</v>
      </c>
      <c r="AD247" s="55">
        <f t="shared" ca="1" si="46"/>
        <v>-159164.82677847077</v>
      </c>
      <c r="AE247" s="93">
        <f t="shared" ca="1" si="47"/>
        <v>2836659.3071138831</v>
      </c>
    </row>
    <row r="248" spans="1:31" s="3" customFormat="1" x14ac:dyDescent="0.35">
      <c r="A248" s="94" t="s">
        <v>346</v>
      </c>
      <c r="B248" s="80">
        <v>2310</v>
      </c>
      <c r="C248" s="48" t="s">
        <v>40</v>
      </c>
      <c r="D248" s="48" t="s">
        <v>37</v>
      </c>
      <c r="E248" s="48"/>
      <c r="F248" s="48">
        <v>34.369999999999997</v>
      </c>
      <c r="G248" s="48">
        <v>3.28</v>
      </c>
      <c r="H248" s="82">
        <f t="shared" si="36"/>
        <v>36.01</v>
      </c>
      <c r="I248" s="82">
        <f t="shared" si="37"/>
        <v>37.65</v>
      </c>
      <c r="J248" s="49">
        <v>4370</v>
      </c>
      <c r="K248" s="304">
        <v>0</v>
      </c>
      <c r="L248" s="48">
        <v>0</v>
      </c>
      <c r="M248" s="48">
        <v>0</v>
      </c>
      <c r="N248" s="49">
        <f t="shared" si="38"/>
        <v>3933</v>
      </c>
      <c r="O248" s="52">
        <f t="shared" si="39"/>
        <v>4370</v>
      </c>
      <c r="P248" s="79">
        <f t="shared" si="40"/>
        <v>109.21966120522077</v>
      </c>
      <c r="Q248" s="53">
        <f t="shared" si="41"/>
        <v>0.1</v>
      </c>
      <c r="R248" s="54">
        <f t="shared" si="42"/>
        <v>437</v>
      </c>
      <c r="S248" s="53">
        <v>0.8</v>
      </c>
      <c r="T248" s="54">
        <f t="shared" si="43"/>
        <v>3496</v>
      </c>
      <c r="U248" s="53">
        <f t="shared" si="44"/>
        <v>9.9999999999999978E-2</v>
      </c>
      <c r="V248" s="54">
        <f t="shared" si="45"/>
        <v>436.99999999999989</v>
      </c>
      <c r="W248" s="55">
        <f ca="1">V248*VLOOKUP(TODAY(),'UF HOY'!$A$2:$B$36,2,0)</f>
        <v>17363731.779999997</v>
      </c>
      <c r="X248" s="56">
        <f>Datos!$K$5</f>
        <v>36</v>
      </c>
      <c r="Y248" s="55">
        <f ca="1">IF((W248-Datos!$U$5-1000000)/X248&gt;0,(W248-Datos!$U$5-1000000)/X248,0)</f>
        <v>451770.32722222217</v>
      </c>
      <c r="Z248" s="56">
        <f>Datos!$K$5</f>
        <v>36</v>
      </c>
      <c r="AA248" s="55">
        <f ca="1">IF((W248-Datos!$U$5-1000000-O248*3%*VLOOKUP(TODAY(),'UF HOY'!$A$2:$B$36,2,0))/Z248&gt;0,(W248-Datos!$U$5-1000000-O248*3%*VLOOKUP(TODAY(),'UF HOY'!$A$2:$B$36,2,0))/Z248,0)</f>
        <v>307072.56238888879</v>
      </c>
      <c r="AB248" s="130" cm="1">
        <f t="array" ref="AB248">_xlfn.IFS(AND(L248=0,M248=0),VLOOKUP(D248,Datos!$F$31:$I$33,2,0),AND(L248=0,M248&gt;0),VLOOKUP(D248,Datos!$F$32:$I$33,2,0),AND(L248&gt;0,M248=0),VLOOKUP(D248,Datos!$F$32:$I$33,3,0),AND(L248&gt;0,M248&gt;0),VLOOKUP(D248,Datos!$F$31:$I$33,4,0))</f>
        <v>550000</v>
      </c>
      <c r="AC248" s="55">
        <f ca="1">(S248*PMT(Datos!$G$15,Datos!$G$14,-O248,,)*VLOOKUP(TODAY(),'UF HOY'!$A$2:$B$36,2,0)/12)+VLOOKUP(TODAY(),'UF HOY'!$A$2:$B$36,2,0)</f>
        <v>709164.82677847077</v>
      </c>
      <c r="AD248" s="55">
        <f t="shared" ca="1" si="46"/>
        <v>-159164.82677847077</v>
      </c>
      <c r="AE248" s="93">
        <f t="shared" ca="1" si="47"/>
        <v>2836659.3071138831</v>
      </c>
    </row>
    <row r="249" spans="1:31" s="3" customFormat="1" x14ac:dyDescent="0.35">
      <c r="A249" s="94" t="s">
        <v>346</v>
      </c>
      <c r="B249" s="80">
        <v>2409</v>
      </c>
      <c r="C249" s="48" t="s">
        <v>40</v>
      </c>
      <c r="D249" s="48" t="s">
        <v>37</v>
      </c>
      <c r="E249" s="48"/>
      <c r="F249" s="48">
        <v>34.369999999999997</v>
      </c>
      <c r="G249" s="48">
        <v>3.28</v>
      </c>
      <c r="H249" s="82">
        <f t="shared" si="36"/>
        <v>36.01</v>
      </c>
      <c r="I249" s="82">
        <f t="shared" si="37"/>
        <v>37.65</v>
      </c>
      <c r="J249" s="49">
        <v>4380</v>
      </c>
      <c r="K249" s="304">
        <v>0</v>
      </c>
      <c r="L249" s="48">
        <v>0</v>
      </c>
      <c r="M249" s="48">
        <v>0</v>
      </c>
      <c r="N249" s="49">
        <f t="shared" si="38"/>
        <v>3942</v>
      </c>
      <c r="O249" s="52">
        <f t="shared" si="39"/>
        <v>4380</v>
      </c>
      <c r="P249" s="79">
        <f t="shared" si="40"/>
        <v>109.46959178006109</v>
      </c>
      <c r="Q249" s="53">
        <f t="shared" si="41"/>
        <v>0.1</v>
      </c>
      <c r="R249" s="54">
        <f t="shared" si="42"/>
        <v>438</v>
      </c>
      <c r="S249" s="53">
        <v>0.8</v>
      </c>
      <c r="T249" s="54">
        <f t="shared" si="43"/>
        <v>3504</v>
      </c>
      <c r="U249" s="53">
        <f t="shared" si="44"/>
        <v>9.9999999999999978E-2</v>
      </c>
      <c r="V249" s="54">
        <f t="shared" si="45"/>
        <v>437.99999999999989</v>
      </c>
      <c r="W249" s="55">
        <f ca="1">V249*VLOOKUP(TODAY(),'UF HOY'!$A$2:$B$36,2,0)</f>
        <v>17403465.719999995</v>
      </c>
      <c r="X249" s="56">
        <f>Datos!$K$5</f>
        <v>36</v>
      </c>
      <c r="Y249" s="55">
        <f ca="1">IF((W249-Datos!$U$5-1000000)/X249&gt;0,(W249-Datos!$U$5-1000000)/X249,0)</f>
        <v>452874.04777777765</v>
      </c>
      <c r="Z249" s="56">
        <f>Datos!$K$5</f>
        <v>36</v>
      </c>
      <c r="AA249" s="55">
        <f ca="1">IF((W249-Datos!$U$5-1000000-O249*3%*VLOOKUP(TODAY(),'UF HOY'!$A$2:$B$36,2,0))/Z249&gt;0,(W249-Datos!$U$5-1000000-O249*3%*VLOOKUP(TODAY(),'UF HOY'!$A$2:$B$36,2,0))/Z249,0)</f>
        <v>307845.1667777776</v>
      </c>
      <c r="AB249" s="130" cm="1">
        <f t="array" ref="AB249">_xlfn.IFS(AND(L249=0,M249=0),VLOOKUP(D249,Datos!$F$31:$I$33,2,0),AND(L249=0,M249&gt;0),VLOOKUP(D249,Datos!$F$32:$I$33,2,0),AND(L249&gt;0,M249=0),VLOOKUP(D249,Datos!$F$32:$I$33,3,0),AND(L249&gt;0,M249&gt;0),VLOOKUP(D249,Datos!$F$31:$I$33,4,0))</f>
        <v>550000</v>
      </c>
      <c r="AC249" s="55">
        <f ca="1">(S249*PMT(Datos!$G$15,Datos!$G$14,-O249,,)*VLOOKUP(TODAY(),'UF HOY'!$A$2:$B$36,2,0)/12)+VLOOKUP(TODAY(),'UF HOY'!$A$2:$B$36,2,0)</f>
        <v>710696.70523791807</v>
      </c>
      <c r="AD249" s="55">
        <f t="shared" ca="1" si="46"/>
        <v>-160696.70523791807</v>
      </c>
      <c r="AE249" s="93">
        <f t="shared" ca="1" si="47"/>
        <v>2842786.8209516723</v>
      </c>
    </row>
    <row r="250" spans="1:31" s="3" customFormat="1" x14ac:dyDescent="0.35">
      <c r="A250" s="94" t="s">
        <v>346</v>
      </c>
      <c r="B250" s="80">
        <v>2410</v>
      </c>
      <c r="C250" s="48" t="s">
        <v>40</v>
      </c>
      <c r="D250" s="48" t="s">
        <v>37</v>
      </c>
      <c r="E250" s="48"/>
      <c r="F250" s="48">
        <v>34.369999999999997</v>
      </c>
      <c r="G250" s="48">
        <v>3.28</v>
      </c>
      <c r="H250" s="82">
        <f t="shared" si="36"/>
        <v>36.01</v>
      </c>
      <c r="I250" s="82">
        <f t="shared" si="37"/>
        <v>37.65</v>
      </c>
      <c r="J250" s="49">
        <v>4380</v>
      </c>
      <c r="K250" s="304">
        <v>0</v>
      </c>
      <c r="L250" s="48">
        <v>0</v>
      </c>
      <c r="M250" s="48">
        <v>0</v>
      </c>
      <c r="N250" s="49">
        <f t="shared" si="38"/>
        <v>3942</v>
      </c>
      <c r="O250" s="52">
        <f t="shared" si="39"/>
        <v>4380</v>
      </c>
      <c r="P250" s="79">
        <f t="shared" si="40"/>
        <v>109.46959178006109</v>
      </c>
      <c r="Q250" s="53">
        <f t="shared" si="41"/>
        <v>0.1</v>
      </c>
      <c r="R250" s="54">
        <f t="shared" si="42"/>
        <v>438</v>
      </c>
      <c r="S250" s="53">
        <v>0.8</v>
      </c>
      <c r="T250" s="54">
        <f t="shared" si="43"/>
        <v>3504</v>
      </c>
      <c r="U250" s="53">
        <f t="shared" si="44"/>
        <v>9.9999999999999978E-2</v>
      </c>
      <c r="V250" s="54">
        <f t="shared" si="45"/>
        <v>437.99999999999989</v>
      </c>
      <c r="W250" s="55">
        <f ca="1">V250*VLOOKUP(TODAY(),'UF HOY'!$A$2:$B$36,2,0)</f>
        <v>17403465.719999995</v>
      </c>
      <c r="X250" s="56">
        <f>Datos!$K$5</f>
        <v>36</v>
      </c>
      <c r="Y250" s="55">
        <f ca="1">IF((W250-Datos!$U$5-1000000)/X250&gt;0,(W250-Datos!$U$5-1000000)/X250,0)</f>
        <v>452874.04777777765</v>
      </c>
      <c r="Z250" s="56">
        <f>Datos!$K$5</f>
        <v>36</v>
      </c>
      <c r="AA250" s="55">
        <f ca="1">IF((W250-Datos!$U$5-1000000-O250*3%*VLOOKUP(TODAY(),'UF HOY'!$A$2:$B$36,2,0))/Z250&gt;0,(W250-Datos!$U$5-1000000-O250*3%*VLOOKUP(TODAY(),'UF HOY'!$A$2:$B$36,2,0))/Z250,0)</f>
        <v>307845.1667777776</v>
      </c>
      <c r="AB250" s="130" cm="1">
        <f t="array" ref="AB250">_xlfn.IFS(AND(L250=0,M250=0),VLOOKUP(D250,Datos!$F$31:$I$33,2,0),AND(L250=0,M250&gt;0),VLOOKUP(D250,Datos!$F$32:$I$33,2,0),AND(L250&gt;0,M250=0),VLOOKUP(D250,Datos!$F$32:$I$33,3,0),AND(L250&gt;0,M250&gt;0),VLOOKUP(D250,Datos!$F$31:$I$33,4,0))</f>
        <v>550000</v>
      </c>
      <c r="AC250" s="55">
        <f ca="1">(S250*PMT(Datos!$G$15,Datos!$G$14,-O250,,)*VLOOKUP(TODAY(),'UF HOY'!$A$2:$B$36,2,0)/12)+VLOOKUP(TODAY(),'UF HOY'!$A$2:$B$36,2,0)</f>
        <v>710696.70523791807</v>
      </c>
      <c r="AD250" s="55">
        <f t="shared" ca="1" si="46"/>
        <v>-160696.70523791807</v>
      </c>
      <c r="AE250" s="93">
        <f t="shared" ca="1" si="47"/>
        <v>2842786.8209516723</v>
      </c>
    </row>
    <row r="251" spans="1:31" s="3" customFormat="1" x14ac:dyDescent="0.35">
      <c r="A251" s="94" t="s">
        <v>346</v>
      </c>
      <c r="B251" s="80">
        <v>1701</v>
      </c>
      <c r="C251" s="48" t="s">
        <v>41</v>
      </c>
      <c r="D251" s="48" t="s">
        <v>37</v>
      </c>
      <c r="E251" s="48"/>
      <c r="F251" s="48">
        <v>35.619999999999997</v>
      </c>
      <c r="G251" s="48">
        <v>2.96</v>
      </c>
      <c r="H251" s="82">
        <f t="shared" si="36"/>
        <v>37.099999999999994</v>
      </c>
      <c r="I251" s="82">
        <f t="shared" si="37"/>
        <v>38.58</v>
      </c>
      <c r="J251" s="49">
        <v>4385</v>
      </c>
      <c r="K251" s="304">
        <v>0</v>
      </c>
      <c r="L251" s="48">
        <v>0</v>
      </c>
      <c r="M251" s="48">
        <v>0</v>
      </c>
      <c r="N251" s="49">
        <f t="shared" si="38"/>
        <v>3946.5</v>
      </c>
      <c r="O251" s="52">
        <f t="shared" si="39"/>
        <v>4385</v>
      </c>
      <c r="P251" s="79">
        <f t="shared" si="40"/>
        <v>106.3746630727763</v>
      </c>
      <c r="Q251" s="53">
        <f t="shared" si="41"/>
        <v>0.1</v>
      </c>
      <c r="R251" s="54">
        <f t="shared" si="42"/>
        <v>438.5</v>
      </c>
      <c r="S251" s="53">
        <v>0.8</v>
      </c>
      <c r="T251" s="54">
        <f t="shared" si="43"/>
        <v>3508</v>
      </c>
      <c r="U251" s="53">
        <f t="shared" si="44"/>
        <v>9.9999999999999978E-2</v>
      </c>
      <c r="V251" s="54">
        <f t="shared" si="45"/>
        <v>438.49999999999989</v>
      </c>
      <c r="W251" s="55">
        <f ca="1">V251*VLOOKUP(TODAY(),'UF HOY'!$A$2:$B$36,2,0)</f>
        <v>17423332.689999998</v>
      </c>
      <c r="X251" s="56">
        <f>Datos!$K$5</f>
        <v>36</v>
      </c>
      <c r="Y251" s="55">
        <f ca="1">IF((W251-Datos!$U$5-1000000)/X251&gt;0,(W251-Datos!$U$5-1000000)/X251,0)</f>
        <v>453425.90805555548</v>
      </c>
      <c r="Z251" s="56">
        <f>Datos!$K$5</f>
        <v>36</v>
      </c>
      <c r="AA251" s="55">
        <f ca="1">IF((W251-Datos!$U$5-1000000-O251*3%*VLOOKUP(TODAY(),'UF HOY'!$A$2:$B$36,2,0))/Z251&gt;0,(W251-Datos!$U$5-1000000-O251*3%*VLOOKUP(TODAY(),'UF HOY'!$A$2:$B$36,2,0))/Z251,0)</f>
        <v>308231.46897222218</v>
      </c>
      <c r="AB251" s="130" cm="1">
        <f t="array" ref="AB251">_xlfn.IFS(AND(L251=0,M251=0),VLOOKUP(D251,Datos!$F$31:$I$33,2,0),AND(L251=0,M251&gt;0),VLOOKUP(D251,Datos!$F$32:$I$33,2,0),AND(L251&gt;0,M251=0),VLOOKUP(D251,Datos!$F$32:$I$33,3,0),AND(L251&gt;0,M251&gt;0),VLOOKUP(D251,Datos!$F$31:$I$33,4,0))</f>
        <v>550000</v>
      </c>
      <c r="AC251" s="55">
        <f ca="1">(S251*PMT(Datos!$G$15,Datos!$G$14,-O251,,)*VLOOKUP(TODAY(),'UF HOY'!$A$2:$B$36,2,0)/12)+VLOOKUP(TODAY(),'UF HOY'!$A$2:$B$36,2,0)</f>
        <v>711462.6444676416</v>
      </c>
      <c r="AD251" s="55">
        <f t="shared" ca="1" si="46"/>
        <v>-161462.6444676416</v>
      </c>
      <c r="AE251" s="93">
        <f t="shared" ca="1" si="47"/>
        <v>2845850.5778705664</v>
      </c>
    </row>
    <row r="252" spans="1:31" s="3" customFormat="1" x14ac:dyDescent="0.35">
      <c r="A252" s="94" t="s">
        <v>346</v>
      </c>
      <c r="B252" s="80">
        <v>2509</v>
      </c>
      <c r="C252" s="48" t="s">
        <v>40</v>
      </c>
      <c r="D252" s="48" t="s">
        <v>37</v>
      </c>
      <c r="E252" s="48"/>
      <c r="F252" s="48">
        <v>34.369999999999997</v>
      </c>
      <c r="G252" s="48">
        <v>3.28</v>
      </c>
      <c r="H252" s="82">
        <f t="shared" si="36"/>
        <v>36.01</v>
      </c>
      <c r="I252" s="82">
        <f t="shared" si="37"/>
        <v>37.65</v>
      </c>
      <c r="J252" s="49">
        <v>4385</v>
      </c>
      <c r="K252" s="304">
        <v>0</v>
      </c>
      <c r="L252" s="48">
        <v>0</v>
      </c>
      <c r="M252" s="48">
        <v>0</v>
      </c>
      <c r="N252" s="49">
        <f t="shared" si="38"/>
        <v>3946.5</v>
      </c>
      <c r="O252" s="52">
        <f t="shared" si="39"/>
        <v>4385</v>
      </c>
      <c r="P252" s="79">
        <f t="shared" si="40"/>
        <v>109.59455706748126</v>
      </c>
      <c r="Q252" s="53">
        <f t="shared" si="41"/>
        <v>0.1</v>
      </c>
      <c r="R252" s="54">
        <f t="shared" si="42"/>
        <v>438.5</v>
      </c>
      <c r="S252" s="53">
        <v>0.8</v>
      </c>
      <c r="T252" s="54">
        <f t="shared" si="43"/>
        <v>3508</v>
      </c>
      <c r="U252" s="53">
        <f t="shared" si="44"/>
        <v>9.9999999999999978E-2</v>
      </c>
      <c r="V252" s="54">
        <f t="shared" si="45"/>
        <v>438.49999999999989</v>
      </c>
      <c r="W252" s="55">
        <f ca="1">V252*VLOOKUP(TODAY(),'UF HOY'!$A$2:$B$36,2,0)</f>
        <v>17423332.689999998</v>
      </c>
      <c r="X252" s="56">
        <f>Datos!$K$5</f>
        <v>36</v>
      </c>
      <c r="Y252" s="55">
        <f ca="1">IF((W252-Datos!$U$5-1000000)/X252&gt;0,(W252-Datos!$U$5-1000000)/X252,0)</f>
        <v>453425.90805555548</v>
      </c>
      <c r="Z252" s="56">
        <f>Datos!$K$5</f>
        <v>36</v>
      </c>
      <c r="AA252" s="55">
        <f ca="1">IF((W252-Datos!$U$5-1000000-O252*3%*VLOOKUP(TODAY(),'UF HOY'!$A$2:$B$36,2,0))/Z252&gt;0,(W252-Datos!$U$5-1000000-O252*3%*VLOOKUP(TODAY(),'UF HOY'!$A$2:$B$36,2,0))/Z252,0)</f>
        <v>308231.46897222218</v>
      </c>
      <c r="AB252" s="130" cm="1">
        <f t="array" ref="AB252">_xlfn.IFS(AND(L252=0,M252=0),VLOOKUP(D252,Datos!$F$31:$I$33,2,0),AND(L252=0,M252&gt;0),VLOOKUP(D252,Datos!$F$32:$I$33,2,0),AND(L252&gt;0,M252=0),VLOOKUP(D252,Datos!$F$32:$I$33,3,0),AND(L252&gt;0,M252&gt;0),VLOOKUP(D252,Datos!$F$31:$I$33,4,0))</f>
        <v>550000</v>
      </c>
      <c r="AC252" s="55">
        <f ca="1">(S252*PMT(Datos!$G$15,Datos!$G$14,-O252,,)*VLOOKUP(TODAY(),'UF HOY'!$A$2:$B$36,2,0)/12)+VLOOKUP(TODAY(),'UF HOY'!$A$2:$B$36,2,0)</f>
        <v>711462.6444676416</v>
      </c>
      <c r="AD252" s="55">
        <f t="shared" ca="1" si="46"/>
        <v>-161462.6444676416</v>
      </c>
      <c r="AE252" s="93">
        <f t="shared" ca="1" si="47"/>
        <v>2845850.5778705664</v>
      </c>
    </row>
    <row r="253" spans="1:31" s="3" customFormat="1" x14ac:dyDescent="0.35">
      <c r="A253" s="94" t="s">
        <v>346</v>
      </c>
      <c r="B253" s="80">
        <v>2510</v>
      </c>
      <c r="C253" s="48" t="s">
        <v>40</v>
      </c>
      <c r="D253" s="48" t="s">
        <v>37</v>
      </c>
      <c r="E253" s="48"/>
      <c r="F253" s="48">
        <v>34.369999999999997</v>
      </c>
      <c r="G253" s="48">
        <v>3.28</v>
      </c>
      <c r="H253" s="82">
        <f t="shared" si="36"/>
        <v>36.01</v>
      </c>
      <c r="I253" s="82">
        <f t="shared" si="37"/>
        <v>37.65</v>
      </c>
      <c r="J253" s="49">
        <v>4385</v>
      </c>
      <c r="K253" s="304">
        <v>0</v>
      </c>
      <c r="L253" s="48">
        <v>0</v>
      </c>
      <c r="M253" s="48">
        <v>0</v>
      </c>
      <c r="N253" s="49">
        <f t="shared" si="38"/>
        <v>3946.5</v>
      </c>
      <c r="O253" s="52">
        <f t="shared" si="39"/>
        <v>4385</v>
      </c>
      <c r="P253" s="79">
        <f t="shared" si="40"/>
        <v>109.59455706748126</v>
      </c>
      <c r="Q253" s="53">
        <f t="shared" si="41"/>
        <v>0.1</v>
      </c>
      <c r="R253" s="54">
        <f t="shared" si="42"/>
        <v>438.5</v>
      </c>
      <c r="S253" s="53">
        <v>0.8</v>
      </c>
      <c r="T253" s="54">
        <f t="shared" si="43"/>
        <v>3508</v>
      </c>
      <c r="U253" s="53">
        <f t="shared" si="44"/>
        <v>9.9999999999999978E-2</v>
      </c>
      <c r="V253" s="54">
        <f t="shared" si="45"/>
        <v>438.49999999999989</v>
      </c>
      <c r="W253" s="55">
        <f ca="1">V253*VLOOKUP(TODAY(),'UF HOY'!$A$2:$B$36,2,0)</f>
        <v>17423332.689999998</v>
      </c>
      <c r="X253" s="56">
        <f>Datos!$K$5</f>
        <v>36</v>
      </c>
      <c r="Y253" s="55">
        <f ca="1">IF((W253-Datos!$U$5-1000000)/X253&gt;0,(W253-Datos!$U$5-1000000)/X253,0)</f>
        <v>453425.90805555548</v>
      </c>
      <c r="Z253" s="56">
        <f>Datos!$K$5</f>
        <v>36</v>
      </c>
      <c r="AA253" s="55">
        <f ca="1">IF((W253-Datos!$U$5-1000000-O253*3%*VLOOKUP(TODAY(),'UF HOY'!$A$2:$B$36,2,0))/Z253&gt;0,(W253-Datos!$U$5-1000000-O253*3%*VLOOKUP(TODAY(),'UF HOY'!$A$2:$B$36,2,0))/Z253,0)</f>
        <v>308231.46897222218</v>
      </c>
      <c r="AB253" s="130" cm="1">
        <f t="array" ref="AB253">_xlfn.IFS(AND(L253=0,M253=0),VLOOKUP(D253,Datos!$F$31:$I$33,2,0),AND(L253=0,M253&gt;0),VLOOKUP(D253,Datos!$F$32:$I$33,2,0),AND(L253&gt;0,M253=0),VLOOKUP(D253,Datos!$F$32:$I$33,3,0),AND(L253&gt;0,M253&gt;0),VLOOKUP(D253,Datos!$F$31:$I$33,4,0))</f>
        <v>550000</v>
      </c>
      <c r="AC253" s="55">
        <f ca="1">(S253*PMT(Datos!$G$15,Datos!$G$14,-O253,,)*VLOOKUP(TODAY(),'UF HOY'!$A$2:$B$36,2,0)/12)+VLOOKUP(TODAY(),'UF HOY'!$A$2:$B$36,2,0)</f>
        <v>711462.6444676416</v>
      </c>
      <c r="AD253" s="55">
        <f t="shared" ca="1" si="46"/>
        <v>-161462.6444676416</v>
      </c>
      <c r="AE253" s="93">
        <f t="shared" ca="1" si="47"/>
        <v>2845850.5778705664</v>
      </c>
    </row>
    <row r="254" spans="1:31" s="3" customFormat="1" x14ac:dyDescent="0.35">
      <c r="A254" s="94" t="s">
        <v>346</v>
      </c>
      <c r="B254" s="80">
        <v>1105</v>
      </c>
      <c r="C254" s="48" t="s">
        <v>38</v>
      </c>
      <c r="D254" s="48" t="s">
        <v>37</v>
      </c>
      <c r="E254" s="48"/>
      <c r="F254" s="48">
        <v>36.42</v>
      </c>
      <c r="G254" s="48">
        <v>2.81</v>
      </c>
      <c r="H254" s="82">
        <f t="shared" si="36"/>
        <v>37.825000000000003</v>
      </c>
      <c r="I254" s="82">
        <f t="shared" si="37"/>
        <v>39.230000000000004</v>
      </c>
      <c r="J254" s="49">
        <v>4390</v>
      </c>
      <c r="K254" s="304">
        <v>0</v>
      </c>
      <c r="L254" s="48">
        <v>0</v>
      </c>
      <c r="M254" s="48">
        <v>0</v>
      </c>
      <c r="N254" s="49">
        <f t="shared" si="38"/>
        <v>3951</v>
      </c>
      <c r="O254" s="52">
        <f t="shared" si="39"/>
        <v>4390</v>
      </c>
      <c r="P254" s="79">
        <f t="shared" si="40"/>
        <v>104.45472571050891</v>
      </c>
      <c r="Q254" s="53">
        <f t="shared" si="41"/>
        <v>0.1</v>
      </c>
      <c r="R254" s="54">
        <f t="shared" si="42"/>
        <v>439</v>
      </c>
      <c r="S254" s="53">
        <v>0.8</v>
      </c>
      <c r="T254" s="54">
        <f t="shared" si="43"/>
        <v>3512</v>
      </c>
      <c r="U254" s="53">
        <f t="shared" si="44"/>
        <v>9.9999999999999978E-2</v>
      </c>
      <c r="V254" s="54">
        <f t="shared" si="45"/>
        <v>438.99999999999989</v>
      </c>
      <c r="W254" s="55">
        <f ca="1">V254*VLOOKUP(TODAY(),'UF HOY'!$A$2:$B$36,2,0)</f>
        <v>17443199.659999996</v>
      </c>
      <c r="X254" s="56">
        <f>Datos!$K$5</f>
        <v>36</v>
      </c>
      <c r="Y254" s="55">
        <f ca="1">IF((W254-Datos!$U$5-1000000)/X254&gt;0,(W254-Datos!$U$5-1000000)/X254,0)</f>
        <v>453977.76833333325</v>
      </c>
      <c r="Z254" s="56">
        <f>Datos!$K$5</f>
        <v>36</v>
      </c>
      <c r="AA254" s="55">
        <f ca="1">IF((W254-Datos!$U$5-1000000-O254*3%*VLOOKUP(TODAY(),'UF HOY'!$A$2:$B$36,2,0))/Z254&gt;0,(W254-Datos!$U$5-1000000-O254*3%*VLOOKUP(TODAY(),'UF HOY'!$A$2:$B$36,2,0))/Z254,0)</f>
        <v>308617.77116666659</v>
      </c>
      <c r="AB254" s="130" cm="1">
        <f t="array" ref="AB254">_xlfn.IFS(AND(L254=0,M254=0),VLOOKUP(D254,Datos!$F$31:$I$33,2,0),AND(L254=0,M254&gt;0),VLOOKUP(D254,Datos!$F$32:$I$33,2,0),AND(L254&gt;0,M254=0),VLOOKUP(D254,Datos!$F$32:$I$33,3,0),AND(L254&gt;0,M254&gt;0),VLOOKUP(D254,Datos!$F$31:$I$33,4,0))</f>
        <v>550000</v>
      </c>
      <c r="AC254" s="55">
        <f ca="1">(S254*PMT(Datos!$G$15,Datos!$G$14,-O254,,)*VLOOKUP(TODAY(),'UF HOY'!$A$2:$B$36,2,0)/12)+VLOOKUP(TODAY(),'UF HOY'!$A$2:$B$36,2,0)</f>
        <v>712228.58369736536</v>
      </c>
      <c r="AD254" s="55">
        <f t="shared" ca="1" si="46"/>
        <v>-162228.58369736536</v>
      </c>
      <c r="AE254" s="93">
        <f t="shared" ca="1" si="47"/>
        <v>2848914.3347894615</v>
      </c>
    </row>
    <row r="255" spans="1:31" s="3" customFormat="1" x14ac:dyDescent="0.35">
      <c r="A255" s="94" t="s">
        <v>346</v>
      </c>
      <c r="B255" s="80">
        <v>1801</v>
      </c>
      <c r="C255" s="48" t="s">
        <v>41</v>
      </c>
      <c r="D255" s="48" t="s">
        <v>37</v>
      </c>
      <c r="E255" s="48"/>
      <c r="F255" s="48">
        <v>35.619999999999997</v>
      </c>
      <c r="G255" s="48">
        <v>2.96</v>
      </c>
      <c r="H255" s="82">
        <f t="shared" si="36"/>
        <v>37.099999999999994</v>
      </c>
      <c r="I255" s="82">
        <f t="shared" si="37"/>
        <v>38.58</v>
      </c>
      <c r="J255" s="49">
        <v>4395</v>
      </c>
      <c r="K255" s="304">
        <v>0</v>
      </c>
      <c r="L255" s="48">
        <v>0</v>
      </c>
      <c r="M255" s="48">
        <v>0</v>
      </c>
      <c r="N255" s="49">
        <f t="shared" si="38"/>
        <v>3955.5</v>
      </c>
      <c r="O255" s="52">
        <f t="shared" si="39"/>
        <v>4395</v>
      </c>
      <c r="P255" s="79">
        <f t="shared" si="40"/>
        <v>106.61725067385446</v>
      </c>
      <c r="Q255" s="53">
        <f t="shared" si="41"/>
        <v>0.1</v>
      </c>
      <c r="R255" s="54">
        <f t="shared" si="42"/>
        <v>439.5</v>
      </c>
      <c r="S255" s="53">
        <v>0.8</v>
      </c>
      <c r="T255" s="54">
        <f t="shared" si="43"/>
        <v>3516</v>
      </c>
      <c r="U255" s="53">
        <f t="shared" si="44"/>
        <v>9.9999999999999978E-2</v>
      </c>
      <c r="V255" s="54">
        <f t="shared" si="45"/>
        <v>439.49999999999989</v>
      </c>
      <c r="W255" s="55">
        <f ca="1">V255*VLOOKUP(TODAY(),'UF HOY'!$A$2:$B$36,2,0)</f>
        <v>17463066.629999995</v>
      </c>
      <c r="X255" s="56">
        <f>Datos!$K$5</f>
        <v>36</v>
      </c>
      <c r="Y255" s="55">
        <f ca="1">IF((W255-Datos!$U$5-1000000)/X255&gt;0,(W255-Datos!$U$5-1000000)/X255,0)</f>
        <v>454529.62861111097</v>
      </c>
      <c r="Z255" s="56">
        <f>Datos!$K$5</f>
        <v>36</v>
      </c>
      <c r="AA255" s="55">
        <f ca="1">IF((W255-Datos!$U$5-1000000-O255*3%*VLOOKUP(TODAY(),'UF HOY'!$A$2:$B$36,2,0))/Z255&gt;0,(W255-Datos!$U$5-1000000-O255*3%*VLOOKUP(TODAY(),'UF HOY'!$A$2:$B$36,2,0))/Z255,0)</f>
        <v>309004.07336111099</v>
      </c>
      <c r="AB255" s="130" cm="1">
        <f t="array" ref="AB255">_xlfn.IFS(AND(L255=0,M255=0),VLOOKUP(D255,Datos!$F$31:$I$33,2,0),AND(L255=0,M255&gt;0),VLOOKUP(D255,Datos!$F$32:$I$33,2,0),AND(L255&gt;0,M255=0),VLOOKUP(D255,Datos!$F$32:$I$33,3,0),AND(L255&gt;0,M255&gt;0),VLOOKUP(D255,Datos!$F$31:$I$33,4,0))</f>
        <v>550000</v>
      </c>
      <c r="AC255" s="55">
        <f ca="1">(S255*PMT(Datos!$G$15,Datos!$G$14,-O255,,)*VLOOKUP(TODAY(),'UF HOY'!$A$2:$B$36,2,0)/12)+VLOOKUP(TODAY(),'UF HOY'!$A$2:$B$36,2,0)</f>
        <v>712994.5229270889</v>
      </c>
      <c r="AD255" s="55">
        <f t="shared" ca="1" si="46"/>
        <v>-162994.5229270889</v>
      </c>
      <c r="AE255" s="93">
        <f t="shared" ca="1" si="47"/>
        <v>2851978.0917083556</v>
      </c>
    </row>
    <row r="256" spans="1:31" s="3" customFormat="1" x14ac:dyDescent="0.35">
      <c r="A256" s="94" t="s">
        <v>346</v>
      </c>
      <c r="B256" s="80">
        <v>2609</v>
      </c>
      <c r="C256" s="48" t="s">
        <v>40</v>
      </c>
      <c r="D256" s="48" t="s">
        <v>37</v>
      </c>
      <c r="E256" s="48"/>
      <c r="F256" s="48">
        <v>34.369999999999997</v>
      </c>
      <c r="G256" s="48">
        <v>3.28</v>
      </c>
      <c r="H256" s="82">
        <f t="shared" si="36"/>
        <v>36.01</v>
      </c>
      <c r="I256" s="82">
        <f t="shared" si="37"/>
        <v>37.65</v>
      </c>
      <c r="J256" s="49">
        <v>4395</v>
      </c>
      <c r="K256" s="304">
        <v>0</v>
      </c>
      <c r="L256" s="48">
        <v>0</v>
      </c>
      <c r="M256" s="48">
        <v>0</v>
      </c>
      <c r="N256" s="49">
        <f t="shared" si="38"/>
        <v>3955.5</v>
      </c>
      <c r="O256" s="52">
        <f t="shared" si="39"/>
        <v>4395</v>
      </c>
      <c r="P256" s="79">
        <f t="shared" si="40"/>
        <v>109.84448764232158</v>
      </c>
      <c r="Q256" s="53">
        <f t="shared" si="41"/>
        <v>0.1</v>
      </c>
      <c r="R256" s="54">
        <f t="shared" si="42"/>
        <v>439.5</v>
      </c>
      <c r="S256" s="53">
        <v>0.8</v>
      </c>
      <c r="T256" s="54">
        <f t="shared" si="43"/>
        <v>3516</v>
      </c>
      <c r="U256" s="53">
        <f t="shared" si="44"/>
        <v>9.9999999999999978E-2</v>
      </c>
      <c r="V256" s="54">
        <f t="shared" si="45"/>
        <v>439.49999999999989</v>
      </c>
      <c r="W256" s="55">
        <f ca="1">V256*VLOOKUP(TODAY(),'UF HOY'!$A$2:$B$36,2,0)</f>
        <v>17463066.629999995</v>
      </c>
      <c r="X256" s="56">
        <f>Datos!$K$5</f>
        <v>36</v>
      </c>
      <c r="Y256" s="55">
        <f ca="1">IF((W256-Datos!$U$5-1000000)/X256&gt;0,(W256-Datos!$U$5-1000000)/X256,0)</f>
        <v>454529.62861111097</v>
      </c>
      <c r="Z256" s="56">
        <f>Datos!$K$5</f>
        <v>36</v>
      </c>
      <c r="AA256" s="55">
        <f ca="1">IF((W256-Datos!$U$5-1000000-O256*3%*VLOOKUP(TODAY(),'UF HOY'!$A$2:$B$36,2,0))/Z256&gt;0,(W256-Datos!$U$5-1000000-O256*3%*VLOOKUP(TODAY(),'UF HOY'!$A$2:$B$36,2,0))/Z256,0)</f>
        <v>309004.07336111099</v>
      </c>
      <c r="AB256" s="130" cm="1">
        <f t="array" ref="AB256">_xlfn.IFS(AND(L256=0,M256=0),VLOOKUP(D256,Datos!$F$31:$I$33,2,0),AND(L256=0,M256&gt;0),VLOOKUP(D256,Datos!$F$32:$I$33,2,0),AND(L256&gt;0,M256=0),VLOOKUP(D256,Datos!$F$32:$I$33,3,0),AND(L256&gt;0,M256&gt;0),VLOOKUP(D256,Datos!$F$31:$I$33,4,0))</f>
        <v>550000</v>
      </c>
      <c r="AC256" s="55">
        <f ca="1">(S256*PMT(Datos!$G$15,Datos!$G$14,-O256,,)*VLOOKUP(TODAY(),'UF HOY'!$A$2:$B$36,2,0)/12)+VLOOKUP(TODAY(),'UF HOY'!$A$2:$B$36,2,0)</f>
        <v>712994.5229270889</v>
      </c>
      <c r="AD256" s="55">
        <f t="shared" ca="1" si="46"/>
        <v>-162994.5229270889</v>
      </c>
      <c r="AE256" s="93">
        <f t="shared" ca="1" si="47"/>
        <v>2851978.0917083556</v>
      </c>
    </row>
    <row r="257" spans="1:31" s="3" customFormat="1" x14ac:dyDescent="0.35">
      <c r="A257" s="94" t="s">
        <v>346</v>
      </c>
      <c r="B257" s="80">
        <v>2610</v>
      </c>
      <c r="C257" s="48" t="s">
        <v>40</v>
      </c>
      <c r="D257" s="48" t="s">
        <v>37</v>
      </c>
      <c r="E257" s="48"/>
      <c r="F257" s="48">
        <v>34.369999999999997</v>
      </c>
      <c r="G257" s="48">
        <v>3.28</v>
      </c>
      <c r="H257" s="82">
        <f t="shared" si="36"/>
        <v>36.01</v>
      </c>
      <c r="I257" s="82">
        <f t="shared" si="37"/>
        <v>37.65</v>
      </c>
      <c r="J257" s="49">
        <v>4395</v>
      </c>
      <c r="K257" s="304">
        <v>0</v>
      </c>
      <c r="L257" s="48">
        <v>0</v>
      </c>
      <c r="M257" s="48">
        <v>0</v>
      </c>
      <c r="N257" s="49">
        <f t="shared" si="38"/>
        <v>3955.5</v>
      </c>
      <c r="O257" s="52">
        <f t="shared" si="39"/>
        <v>4395</v>
      </c>
      <c r="P257" s="79">
        <f t="shared" si="40"/>
        <v>109.84448764232158</v>
      </c>
      <c r="Q257" s="53">
        <f t="shared" si="41"/>
        <v>0.1</v>
      </c>
      <c r="R257" s="54">
        <f t="shared" si="42"/>
        <v>439.5</v>
      </c>
      <c r="S257" s="53">
        <v>0.8</v>
      </c>
      <c r="T257" s="54">
        <f t="shared" si="43"/>
        <v>3516</v>
      </c>
      <c r="U257" s="53">
        <f t="shared" si="44"/>
        <v>9.9999999999999978E-2</v>
      </c>
      <c r="V257" s="54">
        <f t="shared" si="45"/>
        <v>439.49999999999989</v>
      </c>
      <c r="W257" s="55">
        <f ca="1">V257*VLOOKUP(TODAY(),'UF HOY'!$A$2:$B$36,2,0)</f>
        <v>17463066.629999995</v>
      </c>
      <c r="X257" s="56">
        <f>Datos!$K$5</f>
        <v>36</v>
      </c>
      <c r="Y257" s="55">
        <f ca="1">IF((W257-Datos!$U$5-1000000)/X257&gt;0,(W257-Datos!$U$5-1000000)/X257,0)</f>
        <v>454529.62861111097</v>
      </c>
      <c r="Z257" s="56">
        <f>Datos!$K$5</f>
        <v>36</v>
      </c>
      <c r="AA257" s="55">
        <f ca="1">IF((W257-Datos!$U$5-1000000-O257*3%*VLOOKUP(TODAY(),'UF HOY'!$A$2:$B$36,2,0))/Z257&gt;0,(W257-Datos!$U$5-1000000-O257*3%*VLOOKUP(TODAY(),'UF HOY'!$A$2:$B$36,2,0))/Z257,0)</f>
        <v>309004.07336111099</v>
      </c>
      <c r="AB257" s="130" cm="1">
        <f t="array" ref="AB257">_xlfn.IFS(AND(L257=0,M257=0),VLOOKUP(D257,Datos!$F$31:$I$33,2,0),AND(L257=0,M257&gt;0),VLOOKUP(D257,Datos!$F$32:$I$33,2,0),AND(L257&gt;0,M257=0),VLOOKUP(D257,Datos!$F$32:$I$33,3,0),AND(L257&gt;0,M257&gt;0),VLOOKUP(D257,Datos!$F$31:$I$33,4,0))</f>
        <v>550000</v>
      </c>
      <c r="AC257" s="55">
        <f ca="1">(S257*PMT(Datos!$G$15,Datos!$G$14,-O257,,)*VLOOKUP(TODAY(),'UF HOY'!$A$2:$B$36,2,0)/12)+VLOOKUP(TODAY(),'UF HOY'!$A$2:$B$36,2,0)</f>
        <v>712994.5229270889</v>
      </c>
      <c r="AD257" s="55">
        <f t="shared" ca="1" si="46"/>
        <v>-162994.5229270889</v>
      </c>
      <c r="AE257" s="93">
        <f t="shared" ca="1" si="47"/>
        <v>2851978.0917083556</v>
      </c>
    </row>
    <row r="258" spans="1:31" s="3" customFormat="1" x14ac:dyDescent="0.35">
      <c r="A258" s="94" t="s">
        <v>346</v>
      </c>
      <c r="B258" s="80">
        <v>1205</v>
      </c>
      <c r="C258" s="48" t="s">
        <v>38</v>
      </c>
      <c r="D258" s="48" t="s">
        <v>37</v>
      </c>
      <c r="E258" s="48"/>
      <c r="F258" s="48">
        <v>36.42</v>
      </c>
      <c r="G258" s="48">
        <v>2.81</v>
      </c>
      <c r="H258" s="82">
        <f t="shared" ref="H258:H321" si="48">F258+(G258/2)</f>
        <v>37.825000000000003</v>
      </c>
      <c r="I258" s="82">
        <f t="shared" ref="I258:I321" si="49">F258+G258</f>
        <v>39.230000000000004</v>
      </c>
      <c r="J258" s="49">
        <v>4405</v>
      </c>
      <c r="K258" s="304">
        <v>0</v>
      </c>
      <c r="L258" s="48">
        <v>0</v>
      </c>
      <c r="M258" s="48">
        <v>0</v>
      </c>
      <c r="N258" s="49">
        <f t="shared" ref="N258:N321" si="50">O258-R258</f>
        <v>3964.5</v>
      </c>
      <c r="O258" s="52">
        <f t="shared" ref="O258:O321" si="51">J258*(100%-K258)+L258+M258</f>
        <v>4405</v>
      </c>
      <c r="P258" s="79">
        <f t="shared" ref="P258:P321" si="52">(N258-L258-M258)/H258</f>
        <v>104.8116325181758</v>
      </c>
      <c r="Q258" s="53">
        <f t="shared" ref="Q258:Q321" si="53">IF((O258-N258)/O258&gt;10%,10%,ROUND(IF(O258&gt;N258,(O258-N258)/O258,0),4))</f>
        <v>0.1</v>
      </c>
      <c r="R258" s="54">
        <f t="shared" ref="R258:R321" si="54">(J258-J258*K258)*0.1</f>
        <v>440.5</v>
      </c>
      <c r="S258" s="53">
        <v>0.8</v>
      </c>
      <c r="T258" s="54">
        <f t="shared" ref="T258:T321" si="55">S258*O258</f>
        <v>3524</v>
      </c>
      <c r="U258" s="53">
        <f t="shared" ref="U258:U321" si="56">100%-Q258-S258</f>
        <v>9.9999999999999978E-2</v>
      </c>
      <c r="V258" s="54">
        <f t="shared" ref="V258:V321" si="57">O258*U258</f>
        <v>440.49999999999989</v>
      </c>
      <c r="W258" s="55">
        <f ca="1">V258*VLOOKUP(TODAY(),'UF HOY'!$A$2:$B$36,2,0)</f>
        <v>17502800.569999997</v>
      </c>
      <c r="X258" s="56">
        <f>Datos!$K$5</f>
        <v>36</v>
      </c>
      <c r="Y258" s="55">
        <f ca="1">IF((W258-Datos!$U$5-1000000)/X258&gt;0,(W258-Datos!$U$5-1000000)/X258,0)</f>
        <v>455633.34916666656</v>
      </c>
      <c r="Z258" s="56">
        <f>Datos!$K$5</f>
        <v>36</v>
      </c>
      <c r="AA258" s="55">
        <f ca="1">IF((W258-Datos!$U$5-1000000-O258*3%*VLOOKUP(TODAY(),'UF HOY'!$A$2:$B$36,2,0))/Z258&gt;0,(W258-Datos!$U$5-1000000-O258*3%*VLOOKUP(TODAY(),'UF HOY'!$A$2:$B$36,2,0))/Z258,0)</f>
        <v>309776.67774999992</v>
      </c>
      <c r="AB258" s="130" cm="1">
        <f t="array" ref="AB258">_xlfn.IFS(AND(L258=0,M258=0),VLOOKUP(D258,Datos!$F$31:$I$33,2,0),AND(L258=0,M258&gt;0),VLOOKUP(D258,Datos!$F$32:$I$33,2,0),AND(L258&gt;0,M258=0),VLOOKUP(D258,Datos!$F$32:$I$33,3,0),AND(L258&gt;0,M258&gt;0),VLOOKUP(D258,Datos!$F$31:$I$33,4,0))</f>
        <v>550000</v>
      </c>
      <c r="AC258" s="55">
        <f ca="1">(S258*PMT(Datos!$G$15,Datos!$G$14,-O258,,)*VLOOKUP(TODAY(),'UF HOY'!$A$2:$B$36,2,0)/12)+VLOOKUP(TODAY(),'UF HOY'!$A$2:$B$36,2,0)</f>
        <v>714526.40138653619</v>
      </c>
      <c r="AD258" s="55">
        <f t="shared" ref="AD258:AD321" ca="1" si="58">AB258-AC258</f>
        <v>-164526.40138653619</v>
      </c>
      <c r="AE258" s="93">
        <f t="shared" ca="1" si="47"/>
        <v>2858105.6055461448</v>
      </c>
    </row>
    <row r="259" spans="1:31" s="3" customFormat="1" x14ac:dyDescent="0.35">
      <c r="A259" s="94" t="s">
        <v>346</v>
      </c>
      <c r="B259" s="80">
        <v>2709</v>
      </c>
      <c r="C259" s="48" t="s">
        <v>40</v>
      </c>
      <c r="D259" s="48" t="s">
        <v>37</v>
      </c>
      <c r="E259" s="48"/>
      <c r="F259" s="48">
        <v>34.369999999999997</v>
      </c>
      <c r="G259" s="48">
        <v>3.28</v>
      </c>
      <c r="H259" s="82">
        <f t="shared" si="48"/>
        <v>36.01</v>
      </c>
      <c r="I259" s="82">
        <f t="shared" si="49"/>
        <v>37.65</v>
      </c>
      <c r="J259" s="49">
        <v>4405</v>
      </c>
      <c r="K259" s="304">
        <v>0</v>
      </c>
      <c r="L259" s="48">
        <v>0</v>
      </c>
      <c r="M259" s="48">
        <v>0</v>
      </c>
      <c r="N259" s="49">
        <f t="shared" si="50"/>
        <v>3964.5</v>
      </c>
      <c r="O259" s="52">
        <f t="shared" si="51"/>
        <v>4405</v>
      </c>
      <c r="P259" s="79">
        <f t="shared" si="52"/>
        <v>110.0944182171619</v>
      </c>
      <c r="Q259" s="53">
        <f t="shared" si="53"/>
        <v>0.1</v>
      </c>
      <c r="R259" s="54">
        <f t="shared" si="54"/>
        <v>440.5</v>
      </c>
      <c r="S259" s="53">
        <v>0.8</v>
      </c>
      <c r="T259" s="54">
        <f t="shared" si="55"/>
        <v>3524</v>
      </c>
      <c r="U259" s="53">
        <f t="shared" si="56"/>
        <v>9.9999999999999978E-2</v>
      </c>
      <c r="V259" s="54">
        <f t="shared" si="57"/>
        <v>440.49999999999989</v>
      </c>
      <c r="W259" s="55">
        <f ca="1">V259*VLOOKUP(TODAY(),'UF HOY'!$A$2:$B$36,2,0)</f>
        <v>17502800.569999997</v>
      </c>
      <c r="X259" s="56">
        <f>Datos!$K$5</f>
        <v>36</v>
      </c>
      <c r="Y259" s="55">
        <f ca="1">IF((W259-Datos!$U$5-1000000)/X259&gt;0,(W259-Datos!$U$5-1000000)/X259,0)</f>
        <v>455633.34916666656</v>
      </c>
      <c r="Z259" s="56">
        <f>Datos!$K$5</f>
        <v>36</v>
      </c>
      <c r="AA259" s="55">
        <f ca="1">IF((W259-Datos!$U$5-1000000-O259*3%*VLOOKUP(TODAY(),'UF HOY'!$A$2:$B$36,2,0))/Z259&gt;0,(W259-Datos!$U$5-1000000-O259*3%*VLOOKUP(TODAY(),'UF HOY'!$A$2:$B$36,2,0))/Z259,0)</f>
        <v>309776.67774999992</v>
      </c>
      <c r="AB259" s="130" cm="1">
        <f t="array" ref="AB259">_xlfn.IFS(AND(L259=0,M259=0),VLOOKUP(D259,Datos!$F$31:$I$33,2,0),AND(L259=0,M259&gt;0),VLOOKUP(D259,Datos!$F$32:$I$33,2,0),AND(L259&gt;0,M259=0),VLOOKUP(D259,Datos!$F$32:$I$33,3,0),AND(L259&gt;0,M259&gt;0),VLOOKUP(D259,Datos!$F$31:$I$33,4,0))</f>
        <v>550000</v>
      </c>
      <c r="AC259" s="55">
        <f ca="1">(S259*PMT(Datos!$G$15,Datos!$G$14,-O259,,)*VLOOKUP(TODAY(),'UF HOY'!$A$2:$B$36,2,0)/12)+VLOOKUP(TODAY(),'UF HOY'!$A$2:$B$36,2,0)</f>
        <v>714526.40138653619</v>
      </c>
      <c r="AD259" s="55">
        <f t="shared" ca="1" si="58"/>
        <v>-164526.40138653619</v>
      </c>
      <c r="AE259" s="93">
        <f t="shared" ref="AE259:AE322" ca="1" si="59">IF((AC259/0.25)&lt;=1600000,1600000,(AC259/0.25))</f>
        <v>2858105.6055461448</v>
      </c>
    </row>
    <row r="260" spans="1:31" s="3" customFormat="1" x14ac:dyDescent="0.35">
      <c r="A260" s="94" t="s">
        <v>346</v>
      </c>
      <c r="B260" s="80">
        <v>2710</v>
      </c>
      <c r="C260" s="48" t="s">
        <v>40</v>
      </c>
      <c r="D260" s="48" t="s">
        <v>37</v>
      </c>
      <c r="E260" s="48"/>
      <c r="F260" s="48">
        <v>34.369999999999997</v>
      </c>
      <c r="G260" s="48">
        <v>3.28</v>
      </c>
      <c r="H260" s="82">
        <f t="shared" si="48"/>
        <v>36.01</v>
      </c>
      <c r="I260" s="82">
        <f t="shared" si="49"/>
        <v>37.65</v>
      </c>
      <c r="J260" s="49">
        <v>4405</v>
      </c>
      <c r="K260" s="304">
        <v>0</v>
      </c>
      <c r="L260" s="48">
        <v>0</v>
      </c>
      <c r="M260" s="48">
        <v>0</v>
      </c>
      <c r="N260" s="49">
        <f t="shared" si="50"/>
        <v>3964.5</v>
      </c>
      <c r="O260" s="52">
        <f t="shared" si="51"/>
        <v>4405</v>
      </c>
      <c r="P260" s="79">
        <f t="shared" si="52"/>
        <v>110.0944182171619</v>
      </c>
      <c r="Q260" s="53">
        <f t="shared" si="53"/>
        <v>0.1</v>
      </c>
      <c r="R260" s="54">
        <f t="shared" si="54"/>
        <v>440.5</v>
      </c>
      <c r="S260" s="53">
        <v>0.8</v>
      </c>
      <c r="T260" s="54">
        <f t="shared" si="55"/>
        <v>3524</v>
      </c>
      <c r="U260" s="53">
        <f t="shared" si="56"/>
        <v>9.9999999999999978E-2</v>
      </c>
      <c r="V260" s="54">
        <f t="shared" si="57"/>
        <v>440.49999999999989</v>
      </c>
      <c r="W260" s="55">
        <f ca="1">V260*VLOOKUP(TODAY(),'UF HOY'!$A$2:$B$36,2,0)</f>
        <v>17502800.569999997</v>
      </c>
      <c r="X260" s="56">
        <f>Datos!$K$5</f>
        <v>36</v>
      </c>
      <c r="Y260" s="55">
        <f ca="1">IF((W260-Datos!$U$5-1000000)/X260&gt;0,(W260-Datos!$U$5-1000000)/X260,0)</f>
        <v>455633.34916666656</v>
      </c>
      <c r="Z260" s="56">
        <f>Datos!$K$5</f>
        <v>36</v>
      </c>
      <c r="AA260" s="55">
        <f ca="1">IF((W260-Datos!$U$5-1000000-O260*3%*VLOOKUP(TODAY(),'UF HOY'!$A$2:$B$36,2,0))/Z260&gt;0,(W260-Datos!$U$5-1000000-O260*3%*VLOOKUP(TODAY(),'UF HOY'!$A$2:$B$36,2,0))/Z260,0)</f>
        <v>309776.67774999992</v>
      </c>
      <c r="AB260" s="130" cm="1">
        <f t="array" ref="AB260">_xlfn.IFS(AND(L260=0,M260=0),VLOOKUP(D260,Datos!$F$31:$I$33,2,0),AND(L260=0,M260&gt;0),VLOOKUP(D260,Datos!$F$32:$I$33,2,0),AND(L260&gt;0,M260=0),VLOOKUP(D260,Datos!$F$32:$I$33,3,0),AND(L260&gt;0,M260&gt;0),VLOOKUP(D260,Datos!$F$31:$I$33,4,0))</f>
        <v>550000</v>
      </c>
      <c r="AC260" s="55">
        <f ca="1">(S260*PMT(Datos!$G$15,Datos!$G$14,-O260,,)*VLOOKUP(TODAY(),'UF HOY'!$A$2:$B$36,2,0)/12)+VLOOKUP(TODAY(),'UF HOY'!$A$2:$B$36,2,0)</f>
        <v>714526.40138653619</v>
      </c>
      <c r="AD260" s="55">
        <f t="shared" ca="1" si="58"/>
        <v>-164526.40138653619</v>
      </c>
      <c r="AE260" s="93">
        <f t="shared" ca="1" si="59"/>
        <v>2858105.6055461448</v>
      </c>
    </row>
    <row r="261" spans="1:31" s="3" customFormat="1" x14ac:dyDescent="0.35">
      <c r="A261" s="94" t="s">
        <v>346</v>
      </c>
      <c r="B261" s="80">
        <v>2909</v>
      </c>
      <c r="C261" s="48" t="s">
        <v>40</v>
      </c>
      <c r="D261" s="48" t="s">
        <v>37</v>
      </c>
      <c r="E261" s="48"/>
      <c r="F261" s="48">
        <v>34.369999999999997</v>
      </c>
      <c r="G261" s="48">
        <v>3.28</v>
      </c>
      <c r="H261" s="82">
        <f t="shared" si="48"/>
        <v>36.01</v>
      </c>
      <c r="I261" s="82">
        <f t="shared" si="49"/>
        <v>37.65</v>
      </c>
      <c r="J261" s="49">
        <v>4405</v>
      </c>
      <c r="K261" s="304">
        <v>0</v>
      </c>
      <c r="L261" s="48">
        <v>0</v>
      </c>
      <c r="M261" s="48">
        <v>0</v>
      </c>
      <c r="N261" s="49">
        <f t="shared" si="50"/>
        <v>3964.5</v>
      </c>
      <c r="O261" s="52">
        <f t="shared" si="51"/>
        <v>4405</v>
      </c>
      <c r="P261" s="79">
        <f t="shared" si="52"/>
        <v>110.0944182171619</v>
      </c>
      <c r="Q261" s="53">
        <f t="shared" si="53"/>
        <v>0.1</v>
      </c>
      <c r="R261" s="54">
        <f t="shared" si="54"/>
        <v>440.5</v>
      </c>
      <c r="S261" s="53">
        <v>0.8</v>
      </c>
      <c r="T261" s="54">
        <f t="shared" si="55"/>
        <v>3524</v>
      </c>
      <c r="U261" s="53">
        <f t="shared" si="56"/>
        <v>9.9999999999999978E-2</v>
      </c>
      <c r="V261" s="54">
        <f t="shared" si="57"/>
        <v>440.49999999999989</v>
      </c>
      <c r="W261" s="55">
        <f ca="1">V261*VLOOKUP(TODAY(),'UF HOY'!$A$2:$B$36,2,0)</f>
        <v>17502800.569999997</v>
      </c>
      <c r="X261" s="56">
        <f>Datos!$K$5</f>
        <v>36</v>
      </c>
      <c r="Y261" s="55">
        <f ca="1">IF((W261-Datos!$U$5-1000000)/X261&gt;0,(W261-Datos!$U$5-1000000)/X261,0)</f>
        <v>455633.34916666656</v>
      </c>
      <c r="Z261" s="56">
        <f>Datos!$K$5</f>
        <v>36</v>
      </c>
      <c r="AA261" s="55">
        <f ca="1">IF((W261-Datos!$U$5-1000000-O261*3%*VLOOKUP(TODAY(),'UF HOY'!$A$2:$B$36,2,0))/Z261&gt;0,(W261-Datos!$U$5-1000000-O261*3%*VLOOKUP(TODAY(),'UF HOY'!$A$2:$B$36,2,0))/Z261,0)</f>
        <v>309776.67774999992</v>
      </c>
      <c r="AB261" s="130" cm="1">
        <f t="array" ref="AB261">_xlfn.IFS(AND(L261=0,M261=0),VLOOKUP(D261,Datos!$F$31:$I$33,2,0),AND(L261=0,M261&gt;0),VLOOKUP(D261,Datos!$F$32:$I$33,2,0),AND(L261&gt;0,M261=0),VLOOKUP(D261,Datos!$F$32:$I$33,3,0),AND(L261&gt;0,M261&gt;0),VLOOKUP(D261,Datos!$F$31:$I$33,4,0))</f>
        <v>550000</v>
      </c>
      <c r="AC261" s="55">
        <f ca="1">(S261*PMT(Datos!$G$15,Datos!$G$14,-O261,,)*VLOOKUP(TODAY(),'UF HOY'!$A$2:$B$36,2,0)/12)+VLOOKUP(TODAY(),'UF HOY'!$A$2:$B$36,2,0)</f>
        <v>714526.40138653619</v>
      </c>
      <c r="AD261" s="55">
        <f t="shared" ca="1" si="58"/>
        <v>-164526.40138653619</v>
      </c>
      <c r="AE261" s="93">
        <f t="shared" ca="1" si="59"/>
        <v>2858105.6055461448</v>
      </c>
    </row>
    <row r="262" spans="1:31" s="3" customFormat="1" x14ac:dyDescent="0.35">
      <c r="A262" s="94" t="s">
        <v>346</v>
      </c>
      <c r="B262" s="80">
        <v>2910</v>
      </c>
      <c r="C262" s="48" t="s">
        <v>40</v>
      </c>
      <c r="D262" s="48" t="s">
        <v>37</v>
      </c>
      <c r="E262" s="48"/>
      <c r="F262" s="48">
        <v>34.369999999999997</v>
      </c>
      <c r="G262" s="48">
        <v>3.28</v>
      </c>
      <c r="H262" s="82">
        <f t="shared" si="48"/>
        <v>36.01</v>
      </c>
      <c r="I262" s="82">
        <f t="shared" si="49"/>
        <v>37.65</v>
      </c>
      <c r="J262" s="49">
        <v>4405</v>
      </c>
      <c r="K262" s="304">
        <v>0</v>
      </c>
      <c r="L262" s="48">
        <v>0</v>
      </c>
      <c r="M262" s="48">
        <v>0</v>
      </c>
      <c r="N262" s="49">
        <f t="shared" si="50"/>
        <v>3964.5</v>
      </c>
      <c r="O262" s="52">
        <f t="shared" si="51"/>
        <v>4405</v>
      </c>
      <c r="P262" s="79">
        <f t="shared" si="52"/>
        <v>110.0944182171619</v>
      </c>
      <c r="Q262" s="53">
        <f t="shared" si="53"/>
        <v>0.1</v>
      </c>
      <c r="R262" s="54">
        <f t="shared" si="54"/>
        <v>440.5</v>
      </c>
      <c r="S262" s="53">
        <v>0.8</v>
      </c>
      <c r="T262" s="54">
        <f t="shared" si="55"/>
        <v>3524</v>
      </c>
      <c r="U262" s="53">
        <f t="shared" si="56"/>
        <v>9.9999999999999978E-2</v>
      </c>
      <c r="V262" s="54">
        <f t="shared" si="57"/>
        <v>440.49999999999989</v>
      </c>
      <c r="W262" s="55">
        <f ca="1">V262*VLOOKUP(TODAY(),'UF HOY'!$A$2:$B$36,2,0)</f>
        <v>17502800.569999997</v>
      </c>
      <c r="X262" s="56">
        <f>Datos!$K$5</f>
        <v>36</v>
      </c>
      <c r="Y262" s="55">
        <f ca="1">IF((W262-Datos!$U$5-1000000)/X262&gt;0,(W262-Datos!$U$5-1000000)/X262,0)</f>
        <v>455633.34916666656</v>
      </c>
      <c r="Z262" s="56">
        <f>Datos!$K$5</f>
        <v>36</v>
      </c>
      <c r="AA262" s="55">
        <f ca="1">IF((W262-Datos!$U$5-1000000-O262*3%*VLOOKUP(TODAY(),'UF HOY'!$A$2:$B$36,2,0))/Z262&gt;0,(W262-Datos!$U$5-1000000-O262*3%*VLOOKUP(TODAY(),'UF HOY'!$A$2:$B$36,2,0))/Z262,0)</f>
        <v>309776.67774999992</v>
      </c>
      <c r="AB262" s="130" cm="1">
        <f t="array" ref="AB262">_xlfn.IFS(AND(L262=0,M262=0),VLOOKUP(D262,Datos!$F$31:$I$33,2,0),AND(L262=0,M262&gt;0),VLOOKUP(D262,Datos!$F$32:$I$33,2,0),AND(L262&gt;0,M262=0),VLOOKUP(D262,Datos!$F$32:$I$33,3,0),AND(L262&gt;0,M262&gt;0),VLOOKUP(D262,Datos!$F$31:$I$33,4,0))</f>
        <v>550000</v>
      </c>
      <c r="AC262" s="55">
        <f ca="1">(S262*PMT(Datos!$G$15,Datos!$G$14,-O262,,)*VLOOKUP(TODAY(),'UF HOY'!$A$2:$B$36,2,0)/12)+VLOOKUP(TODAY(),'UF HOY'!$A$2:$B$36,2,0)</f>
        <v>714526.40138653619</v>
      </c>
      <c r="AD262" s="55">
        <f t="shared" ca="1" si="58"/>
        <v>-164526.40138653619</v>
      </c>
      <c r="AE262" s="93">
        <f t="shared" ca="1" si="59"/>
        <v>2858105.6055461448</v>
      </c>
    </row>
    <row r="263" spans="1:31" s="3" customFormat="1" x14ac:dyDescent="0.35">
      <c r="A263" s="94" t="s">
        <v>346</v>
      </c>
      <c r="B263" s="80">
        <v>1901</v>
      </c>
      <c r="C263" s="48" t="s">
        <v>41</v>
      </c>
      <c r="D263" s="48" t="s">
        <v>37</v>
      </c>
      <c r="E263" s="48"/>
      <c r="F263" s="48">
        <v>35.619999999999997</v>
      </c>
      <c r="G263" s="48">
        <v>2.96</v>
      </c>
      <c r="H263" s="82">
        <f t="shared" si="48"/>
        <v>37.099999999999994</v>
      </c>
      <c r="I263" s="82">
        <f t="shared" si="49"/>
        <v>38.58</v>
      </c>
      <c r="J263" s="49">
        <v>4410</v>
      </c>
      <c r="K263" s="304">
        <v>0</v>
      </c>
      <c r="L263" s="48">
        <v>0</v>
      </c>
      <c r="M263" s="48">
        <v>0</v>
      </c>
      <c r="N263" s="49">
        <f t="shared" si="50"/>
        <v>3969</v>
      </c>
      <c r="O263" s="52">
        <f t="shared" si="51"/>
        <v>4410</v>
      </c>
      <c r="P263" s="79">
        <f t="shared" si="52"/>
        <v>106.98113207547172</v>
      </c>
      <c r="Q263" s="53">
        <f t="shared" si="53"/>
        <v>0.1</v>
      </c>
      <c r="R263" s="54">
        <f t="shared" si="54"/>
        <v>441</v>
      </c>
      <c r="S263" s="53">
        <v>0.8</v>
      </c>
      <c r="T263" s="54">
        <f t="shared" si="55"/>
        <v>3528</v>
      </c>
      <c r="U263" s="53">
        <f t="shared" si="56"/>
        <v>9.9999999999999978E-2</v>
      </c>
      <c r="V263" s="54">
        <f t="shared" si="57"/>
        <v>440.99999999999989</v>
      </c>
      <c r="W263" s="55">
        <f ca="1">V263*VLOOKUP(TODAY(),'UF HOY'!$A$2:$B$36,2,0)</f>
        <v>17522667.539999995</v>
      </c>
      <c r="X263" s="56">
        <f>Datos!$K$5</f>
        <v>36</v>
      </c>
      <c r="Y263" s="55">
        <f ca="1">IF((W263-Datos!$U$5-1000000)/X263&gt;0,(W263-Datos!$U$5-1000000)/X263,0)</f>
        <v>456185.20944444434</v>
      </c>
      <c r="Z263" s="56">
        <f>Datos!$K$5</f>
        <v>36</v>
      </c>
      <c r="AA263" s="55">
        <f ca="1">IF((W263-Datos!$U$5-1000000-O263*3%*VLOOKUP(TODAY(),'UF HOY'!$A$2:$B$36,2,0))/Z263&gt;0,(W263-Datos!$U$5-1000000-O263*3%*VLOOKUP(TODAY(),'UF HOY'!$A$2:$B$36,2,0))/Z263,0)</f>
        <v>310162.97994444438</v>
      </c>
      <c r="AB263" s="130" cm="1">
        <f t="array" ref="AB263">_xlfn.IFS(AND(L263=0,M263=0),VLOOKUP(D263,Datos!$F$31:$I$33,2,0),AND(L263=0,M263&gt;0),VLOOKUP(D263,Datos!$F$32:$I$33,2,0),AND(L263&gt;0,M263=0),VLOOKUP(D263,Datos!$F$32:$I$33,3,0),AND(L263&gt;0,M263&gt;0),VLOOKUP(D263,Datos!$F$31:$I$33,4,0))</f>
        <v>550000</v>
      </c>
      <c r="AC263" s="55">
        <f ca="1">(S263*PMT(Datos!$G$15,Datos!$G$14,-O263,,)*VLOOKUP(TODAY(),'UF HOY'!$A$2:$B$36,2,0)/12)+VLOOKUP(TODAY(),'UF HOY'!$A$2:$B$36,2,0)</f>
        <v>715292.34061625996</v>
      </c>
      <c r="AD263" s="55">
        <f t="shared" ca="1" si="58"/>
        <v>-165292.34061625996</v>
      </c>
      <c r="AE263" s="93">
        <f t="shared" ca="1" si="59"/>
        <v>2861169.3624650398</v>
      </c>
    </row>
    <row r="264" spans="1:31" s="3" customFormat="1" x14ac:dyDescent="0.35">
      <c r="A264" s="94" t="s">
        <v>346</v>
      </c>
      <c r="B264" s="80">
        <v>2809</v>
      </c>
      <c r="C264" s="48" t="s">
        <v>40</v>
      </c>
      <c r="D264" s="48" t="s">
        <v>37</v>
      </c>
      <c r="E264" s="48"/>
      <c r="F264" s="48">
        <v>34.369999999999997</v>
      </c>
      <c r="G264" s="48">
        <v>3.28</v>
      </c>
      <c r="H264" s="82">
        <f t="shared" si="48"/>
        <v>36.01</v>
      </c>
      <c r="I264" s="82">
        <f t="shared" si="49"/>
        <v>37.65</v>
      </c>
      <c r="J264" s="49">
        <v>4410</v>
      </c>
      <c r="K264" s="304">
        <v>0</v>
      </c>
      <c r="L264" s="48">
        <v>0</v>
      </c>
      <c r="M264" s="48">
        <v>0</v>
      </c>
      <c r="N264" s="49">
        <f t="shared" si="50"/>
        <v>3969</v>
      </c>
      <c r="O264" s="52">
        <f t="shared" si="51"/>
        <v>4410</v>
      </c>
      <c r="P264" s="79">
        <f t="shared" si="52"/>
        <v>110.21938350458207</v>
      </c>
      <c r="Q264" s="53">
        <f t="shared" si="53"/>
        <v>0.1</v>
      </c>
      <c r="R264" s="54">
        <f t="shared" si="54"/>
        <v>441</v>
      </c>
      <c r="S264" s="53">
        <v>0.8</v>
      </c>
      <c r="T264" s="54">
        <f t="shared" si="55"/>
        <v>3528</v>
      </c>
      <c r="U264" s="53">
        <f t="shared" si="56"/>
        <v>9.9999999999999978E-2</v>
      </c>
      <c r="V264" s="54">
        <f t="shared" si="57"/>
        <v>440.99999999999989</v>
      </c>
      <c r="W264" s="55">
        <f ca="1">V264*VLOOKUP(TODAY(),'UF HOY'!$A$2:$B$36,2,0)</f>
        <v>17522667.539999995</v>
      </c>
      <c r="X264" s="56">
        <f>Datos!$K$5</f>
        <v>36</v>
      </c>
      <c r="Y264" s="55">
        <f ca="1">IF((W264-Datos!$U$5-1000000)/X264&gt;0,(W264-Datos!$U$5-1000000)/X264,0)</f>
        <v>456185.20944444434</v>
      </c>
      <c r="Z264" s="56">
        <f>Datos!$K$5</f>
        <v>36</v>
      </c>
      <c r="AA264" s="55">
        <f ca="1">IF((W264-Datos!$U$5-1000000-O264*3%*VLOOKUP(TODAY(),'UF HOY'!$A$2:$B$36,2,0))/Z264&gt;0,(W264-Datos!$U$5-1000000-O264*3%*VLOOKUP(TODAY(),'UF HOY'!$A$2:$B$36,2,0))/Z264,0)</f>
        <v>310162.97994444438</v>
      </c>
      <c r="AB264" s="130" cm="1">
        <f t="array" ref="AB264">_xlfn.IFS(AND(L264=0,M264=0),VLOOKUP(D264,Datos!$F$31:$I$33,2,0),AND(L264=0,M264&gt;0),VLOOKUP(D264,Datos!$F$32:$I$33,2,0),AND(L264&gt;0,M264=0),VLOOKUP(D264,Datos!$F$32:$I$33,3,0),AND(L264&gt;0,M264&gt;0),VLOOKUP(D264,Datos!$F$31:$I$33,4,0))</f>
        <v>550000</v>
      </c>
      <c r="AC264" s="55">
        <f ca="1">(S264*PMT(Datos!$G$15,Datos!$G$14,-O264,,)*VLOOKUP(TODAY(),'UF HOY'!$A$2:$B$36,2,0)/12)+VLOOKUP(TODAY(),'UF HOY'!$A$2:$B$36,2,0)</f>
        <v>715292.34061625996</v>
      </c>
      <c r="AD264" s="55">
        <f t="shared" ca="1" si="58"/>
        <v>-165292.34061625996</v>
      </c>
      <c r="AE264" s="93">
        <f t="shared" ca="1" si="59"/>
        <v>2861169.3624650398</v>
      </c>
    </row>
    <row r="265" spans="1:31" s="3" customFormat="1" x14ac:dyDescent="0.35">
      <c r="A265" s="94" t="s">
        <v>346</v>
      </c>
      <c r="B265" s="80">
        <v>2810</v>
      </c>
      <c r="C265" s="48" t="s">
        <v>40</v>
      </c>
      <c r="D265" s="48" t="s">
        <v>37</v>
      </c>
      <c r="E265" s="48"/>
      <c r="F265" s="48">
        <v>34.369999999999997</v>
      </c>
      <c r="G265" s="48">
        <v>3.28</v>
      </c>
      <c r="H265" s="82">
        <f t="shared" si="48"/>
        <v>36.01</v>
      </c>
      <c r="I265" s="82">
        <f t="shared" si="49"/>
        <v>37.65</v>
      </c>
      <c r="J265" s="49">
        <v>4410</v>
      </c>
      <c r="K265" s="304">
        <v>0</v>
      </c>
      <c r="L265" s="48">
        <v>0</v>
      </c>
      <c r="M265" s="48">
        <v>0</v>
      </c>
      <c r="N265" s="49">
        <f t="shared" si="50"/>
        <v>3969</v>
      </c>
      <c r="O265" s="52">
        <f t="shared" si="51"/>
        <v>4410</v>
      </c>
      <c r="P265" s="79">
        <f t="shared" si="52"/>
        <v>110.21938350458207</v>
      </c>
      <c r="Q265" s="53">
        <f t="shared" si="53"/>
        <v>0.1</v>
      </c>
      <c r="R265" s="54">
        <f t="shared" si="54"/>
        <v>441</v>
      </c>
      <c r="S265" s="53">
        <v>0.8</v>
      </c>
      <c r="T265" s="54">
        <f t="shared" si="55"/>
        <v>3528</v>
      </c>
      <c r="U265" s="53">
        <f t="shared" si="56"/>
        <v>9.9999999999999978E-2</v>
      </c>
      <c r="V265" s="54">
        <f t="shared" si="57"/>
        <v>440.99999999999989</v>
      </c>
      <c r="W265" s="55">
        <f ca="1">V265*VLOOKUP(TODAY(),'UF HOY'!$A$2:$B$36,2,0)</f>
        <v>17522667.539999995</v>
      </c>
      <c r="X265" s="56">
        <f>Datos!$K$5</f>
        <v>36</v>
      </c>
      <c r="Y265" s="55">
        <f ca="1">IF((W265-Datos!$U$5-1000000)/X265&gt;0,(W265-Datos!$U$5-1000000)/X265,0)</f>
        <v>456185.20944444434</v>
      </c>
      <c r="Z265" s="56">
        <f>Datos!$K$5</f>
        <v>36</v>
      </c>
      <c r="AA265" s="55">
        <f ca="1">IF((W265-Datos!$U$5-1000000-O265*3%*VLOOKUP(TODAY(),'UF HOY'!$A$2:$B$36,2,0))/Z265&gt;0,(W265-Datos!$U$5-1000000-O265*3%*VLOOKUP(TODAY(),'UF HOY'!$A$2:$B$36,2,0))/Z265,0)</f>
        <v>310162.97994444438</v>
      </c>
      <c r="AB265" s="130" cm="1">
        <f t="array" ref="AB265">_xlfn.IFS(AND(L265=0,M265=0),VLOOKUP(D265,Datos!$F$31:$I$33,2,0),AND(L265=0,M265&gt;0),VLOOKUP(D265,Datos!$F$32:$I$33,2,0),AND(L265&gt;0,M265=0),VLOOKUP(D265,Datos!$F$32:$I$33,3,0),AND(L265&gt;0,M265&gt;0),VLOOKUP(D265,Datos!$F$31:$I$33,4,0))</f>
        <v>550000</v>
      </c>
      <c r="AC265" s="55">
        <f ca="1">(S265*PMT(Datos!$G$15,Datos!$G$14,-O265,,)*VLOOKUP(TODAY(),'UF HOY'!$A$2:$B$36,2,0)/12)+VLOOKUP(TODAY(),'UF HOY'!$A$2:$B$36,2,0)</f>
        <v>715292.34061625996</v>
      </c>
      <c r="AD265" s="55">
        <f t="shared" ca="1" si="58"/>
        <v>-165292.34061625996</v>
      </c>
      <c r="AE265" s="93">
        <f t="shared" ca="1" si="59"/>
        <v>2861169.3624650398</v>
      </c>
    </row>
    <row r="266" spans="1:31" s="3" customFormat="1" x14ac:dyDescent="0.35">
      <c r="A266" s="94" t="s">
        <v>346</v>
      </c>
      <c r="B266" s="80">
        <v>1305</v>
      </c>
      <c r="C266" s="48" t="s">
        <v>38</v>
      </c>
      <c r="D266" s="48" t="s">
        <v>37</v>
      </c>
      <c r="E266" s="48"/>
      <c r="F266" s="48">
        <v>36.42</v>
      </c>
      <c r="G266" s="48">
        <v>2.81</v>
      </c>
      <c r="H266" s="82">
        <f t="shared" si="48"/>
        <v>37.825000000000003</v>
      </c>
      <c r="I266" s="82">
        <f t="shared" si="49"/>
        <v>39.230000000000004</v>
      </c>
      <c r="J266" s="49">
        <v>4420</v>
      </c>
      <c r="K266" s="304">
        <v>0</v>
      </c>
      <c r="L266" s="48">
        <v>0</v>
      </c>
      <c r="M266" s="48">
        <v>0</v>
      </c>
      <c r="N266" s="49">
        <f t="shared" si="50"/>
        <v>3978</v>
      </c>
      <c r="O266" s="52">
        <f t="shared" si="51"/>
        <v>4420</v>
      </c>
      <c r="P266" s="79">
        <f t="shared" si="52"/>
        <v>105.16853932584269</v>
      </c>
      <c r="Q266" s="53">
        <f t="shared" si="53"/>
        <v>0.1</v>
      </c>
      <c r="R266" s="54">
        <f t="shared" si="54"/>
        <v>442</v>
      </c>
      <c r="S266" s="53">
        <v>0.8</v>
      </c>
      <c r="T266" s="54">
        <f t="shared" si="55"/>
        <v>3536</v>
      </c>
      <c r="U266" s="53">
        <f t="shared" si="56"/>
        <v>9.9999999999999978E-2</v>
      </c>
      <c r="V266" s="54">
        <f t="shared" si="57"/>
        <v>441.99999999999989</v>
      </c>
      <c r="W266" s="55">
        <f ca="1">V266*VLOOKUP(TODAY(),'UF HOY'!$A$2:$B$36,2,0)</f>
        <v>17562401.479999997</v>
      </c>
      <c r="X266" s="56">
        <f>Datos!$K$5</f>
        <v>36</v>
      </c>
      <c r="Y266" s="55">
        <f ca="1">IF((W266-Datos!$U$5-1000000)/X266&gt;0,(W266-Datos!$U$5-1000000)/X266,0)</f>
        <v>457288.92999999993</v>
      </c>
      <c r="Z266" s="56">
        <f>Datos!$K$5</f>
        <v>36</v>
      </c>
      <c r="AA266" s="55">
        <f ca="1">IF((W266-Datos!$U$5-1000000-O266*3%*VLOOKUP(TODAY(),'UF HOY'!$A$2:$B$36,2,0))/Z266&gt;0,(W266-Datos!$U$5-1000000-O266*3%*VLOOKUP(TODAY(),'UF HOY'!$A$2:$B$36,2,0))/Z266,0)</f>
        <v>310935.58433333325</v>
      </c>
      <c r="AB266" s="130" cm="1">
        <f t="array" ref="AB266">_xlfn.IFS(AND(L266=0,M266=0),VLOOKUP(D266,Datos!$F$31:$I$33,2,0),AND(L266=0,M266&gt;0),VLOOKUP(D266,Datos!$F$32:$I$33,2,0),AND(L266&gt;0,M266=0),VLOOKUP(D266,Datos!$F$32:$I$33,3,0),AND(L266&gt;0,M266&gt;0),VLOOKUP(D266,Datos!$F$31:$I$33,4,0))</f>
        <v>550000</v>
      </c>
      <c r="AC266" s="55">
        <f ca="1">(S266*PMT(Datos!$G$15,Datos!$G$14,-O266,,)*VLOOKUP(TODAY(),'UF HOY'!$A$2:$B$36,2,0)/12)+VLOOKUP(TODAY(),'UF HOY'!$A$2:$B$36,2,0)</f>
        <v>716824.21907570725</v>
      </c>
      <c r="AD266" s="55">
        <f t="shared" ca="1" si="58"/>
        <v>-166824.21907570725</v>
      </c>
      <c r="AE266" s="93">
        <f t="shared" ca="1" si="59"/>
        <v>2867296.876302829</v>
      </c>
    </row>
    <row r="267" spans="1:31" s="3" customFormat="1" x14ac:dyDescent="0.35">
      <c r="A267" s="94" t="s">
        <v>346</v>
      </c>
      <c r="B267" s="80">
        <v>2001</v>
      </c>
      <c r="C267" s="48" t="s">
        <v>41</v>
      </c>
      <c r="D267" s="48" t="s">
        <v>37</v>
      </c>
      <c r="E267" s="48"/>
      <c r="F267" s="48">
        <v>35.619999999999997</v>
      </c>
      <c r="G267" s="48">
        <v>2.96</v>
      </c>
      <c r="H267" s="82">
        <f t="shared" si="48"/>
        <v>37.099999999999994</v>
      </c>
      <c r="I267" s="82">
        <f t="shared" si="49"/>
        <v>38.58</v>
      </c>
      <c r="J267" s="49">
        <v>4420</v>
      </c>
      <c r="K267" s="304">
        <v>0</v>
      </c>
      <c r="L267" s="48">
        <v>0</v>
      </c>
      <c r="M267" s="48">
        <v>0</v>
      </c>
      <c r="N267" s="49">
        <f t="shared" si="50"/>
        <v>3978</v>
      </c>
      <c r="O267" s="52">
        <f t="shared" si="51"/>
        <v>4420</v>
      </c>
      <c r="P267" s="79">
        <f t="shared" si="52"/>
        <v>107.22371967654988</v>
      </c>
      <c r="Q267" s="53">
        <f t="shared" si="53"/>
        <v>0.1</v>
      </c>
      <c r="R267" s="54">
        <f t="shared" si="54"/>
        <v>442</v>
      </c>
      <c r="S267" s="53">
        <v>0.8</v>
      </c>
      <c r="T267" s="54">
        <f t="shared" si="55"/>
        <v>3536</v>
      </c>
      <c r="U267" s="53">
        <f t="shared" si="56"/>
        <v>9.9999999999999978E-2</v>
      </c>
      <c r="V267" s="54">
        <f t="shared" si="57"/>
        <v>441.99999999999989</v>
      </c>
      <c r="W267" s="55">
        <f ca="1">V267*VLOOKUP(TODAY(),'UF HOY'!$A$2:$B$36,2,0)</f>
        <v>17562401.479999997</v>
      </c>
      <c r="X267" s="56">
        <f>Datos!$K$5</f>
        <v>36</v>
      </c>
      <c r="Y267" s="55">
        <f ca="1">IF((W267-Datos!$U$5-1000000)/X267&gt;0,(W267-Datos!$U$5-1000000)/X267,0)</f>
        <v>457288.92999999993</v>
      </c>
      <c r="Z267" s="56">
        <f>Datos!$K$5</f>
        <v>36</v>
      </c>
      <c r="AA267" s="55">
        <f ca="1">IF((W267-Datos!$U$5-1000000-O267*3%*VLOOKUP(TODAY(),'UF HOY'!$A$2:$B$36,2,0))/Z267&gt;0,(W267-Datos!$U$5-1000000-O267*3%*VLOOKUP(TODAY(),'UF HOY'!$A$2:$B$36,2,0))/Z267,0)</f>
        <v>310935.58433333325</v>
      </c>
      <c r="AB267" s="130" cm="1">
        <f t="array" ref="AB267">_xlfn.IFS(AND(L267=0,M267=0),VLOOKUP(D267,Datos!$F$31:$I$33,2,0),AND(L267=0,M267&gt;0),VLOOKUP(D267,Datos!$F$32:$I$33,2,0),AND(L267&gt;0,M267=0),VLOOKUP(D267,Datos!$F$32:$I$33,3,0),AND(L267&gt;0,M267&gt;0),VLOOKUP(D267,Datos!$F$31:$I$33,4,0))</f>
        <v>550000</v>
      </c>
      <c r="AC267" s="55">
        <f ca="1">(S267*PMT(Datos!$G$15,Datos!$G$14,-O267,,)*VLOOKUP(TODAY(),'UF HOY'!$A$2:$B$36,2,0)/12)+VLOOKUP(TODAY(),'UF HOY'!$A$2:$B$36,2,0)</f>
        <v>716824.21907570725</v>
      </c>
      <c r="AD267" s="55">
        <f t="shared" ca="1" si="58"/>
        <v>-166824.21907570725</v>
      </c>
      <c r="AE267" s="93">
        <f t="shared" ca="1" si="59"/>
        <v>2867296.876302829</v>
      </c>
    </row>
    <row r="268" spans="1:31" s="3" customFormat="1" x14ac:dyDescent="0.35">
      <c r="A268" s="94" t="s">
        <v>346</v>
      </c>
      <c r="B268" s="80">
        <v>1405</v>
      </c>
      <c r="C268" s="48" t="s">
        <v>38</v>
      </c>
      <c r="D268" s="48" t="s">
        <v>37</v>
      </c>
      <c r="E268" s="48"/>
      <c r="F268" s="48">
        <v>36.42</v>
      </c>
      <c r="G268" s="48">
        <v>2.81</v>
      </c>
      <c r="H268" s="82">
        <f t="shared" si="48"/>
        <v>37.825000000000003</v>
      </c>
      <c r="I268" s="82">
        <f t="shared" si="49"/>
        <v>39.230000000000004</v>
      </c>
      <c r="J268" s="49">
        <v>4430</v>
      </c>
      <c r="K268" s="304">
        <v>0</v>
      </c>
      <c r="L268" s="48">
        <v>0</v>
      </c>
      <c r="M268" s="48">
        <v>0</v>
      </c>
      <c r="N268" s="49">
        <f t="shared" si="50"/>
        <v>3987</v>
      </c>
      <c r="O268" s="52">
        <f t="shared" si="51"/>
        <v>4430</v>
      </c>
      <c r="P268" s="79">
        <f t="shared" si="52"/>
        <v>105.40647719762062</v>
      </c>
      <c r="Q268" s="53">
        <f t="shared" si="53"/>
        <v>0.1</v>
      </c>
      <c r="R268" s="54">
        <f t="shared" si="54"/>
        <v>443</v>
      </c>
      <c r="S268" s="53">
        <v>0.8</v>
      </c>
      <c r="T268" s="54">
        <f t="shared" si="55"/>
        <v>3544</v>
      </c>
      <c r="U268" s="53">
        <f t="shared" si="56"/>
        <v>9.9999999999999978E-2</v>
      </c>
      <c r="V268" s="54">
        <f t="shared" si="57"/>
        <v>442.99999999999989</v>
      </c>
      <c r="W268" s="55">
        <f ca="1">V268*VLOOKUP(TODAY(),'UF HOY'!$A$2:$B$36,2,0)</f>
        <v>17602135.419999998</v>
      </c>
      <c r="X268" s="56">
        <f>Datos!$K$5</f>
        <v>36</v>
      </c>
      <c r="Y268" s="55">
        <f ca="1">IF((W268-Datos!$U$5-1000000)/X268&gt;0,(W268-Datos!$U$5-1000000)/X268,0)</f>
        <v>458392.65055555548</v>
      </c>
      <c r="Z268" s="56">
        <f>Datos!$K$5</f>
        <v>36</v>
      </c>
      <c r="AA268" s="55">
        <f ca="1">IF((W268-Datos!$U$5-1000000-O268*3%*VLOOKUP(TODAY(),'UF HOY'!$A$2:$B$36,2,0))/Z268&gt;0,(W268-Datos!$U$5-1000000-O268*3%*VLOOKUP(TODAY(),'UF HOY'!$A$2:$B$36,2,0))/Z268,0)</f>
        <v>311708.18872222217</v>
      </c>
      <c r="AB268" s="130" cm="1">
        <f t="array" ref="AB268">_xlfn.IFS(AND(L268=0,M268=0),VLOOKUP(D268,Datos!$F$31:$I$33,2,0),AND(L268=0,M268&gt;0),VLOOKUP(D268,Datos!$F$32:$I$33,2,0),AND(L268&gt;0,M268=0),VLOOKUP(D268,Datos!$F$32:$I$33,3,0),AND(L268&gt;0,M268&gt;0),VLOOKUP(D268,Datos!$F$31:$I$33,4,0))</f>
        <v>550000</v>
      </c>
      <c r="AC268" s="55">
        <f ca="1">(S268*PMT(Datos!$G$15,Datos!$G$14,-O268,,)*VLOOKUP(TODAY(),'UF HOY'!$A$2:$B$36,2,0)/12)+VLOOKUP(TODAY(),'UF HOY'!$A$2:$B$36,2,0)</f>
        <v>718356.09753515432</v>
      </c>
      <c r="AD268" s="55">
        <f t="shared" ca="1" si="58"/>
        <v>-168356.09753515432</v>
      </c>
      <c r="AE268" s="93">
        <f t="shared" ca="1" si="59"/>
        <v>2873424.3901406173</v>
      </c>
    </row>
    <row r="269" spans="1:31" s="3" customFormat="1" x14ac:dyDescent="0.35">
      <c r="A269" s="94" t="s">
        <v>346</v>
      </c>
      <c r="B269" s="80">
        <v>2101</v>
      </c>
      <c r="C269" s="48" t="s">
        <v>41</v>
      </c>
      <c r="D269" s="48" t="s">
        <v>37</v>
      </c>
      <c r="E269" s="48"/>
      <c r="F269" s="48">
        <v>35.619999999999997</v>
      </c>
      <c r="G269" s="48">
        <v>2.96</v>
      </c>
      <c r="H269" s="82">
        <f t="shared" si="48"/>
        <v>37.099999999999994</v>
      </c>
      <c r="I269" s="82">
        <f t="shared" si="49"/>
        <v>38.58</v>
      </c>
      <c r="J269" s="49">
        <v>4435</v>
      </c>
      <c r="K269" s="304">
        <v>0</v>
      </c>
      <c r="L269" s="48">
        <v>0</v>
      </c>
      <c r="M269" s="48">
        <v>0</v>
      </c>
      <c r="N269" s="49">
        <f t="shared" si="50"/>
        <v>3991.5</v>
      </c>
      <c r="O269" s="52">
        <f t="shared" si="51"/>
        <v>4435</v>
      </c>
      <c r="P269" s="79">
        <f t="shared" si="52"/>
        <v>107.58760107816713</v>
      </c>
      <c r="Q269" s="53">
        <f t="shared" si="53"/>
        <v>0.1</v>
      </c>
      <c r="R269" s="54">
        <f t="shared" si="54"/>
        <v>443.5</v>
      </c>
      <c r="S269" s="53">
        <v>0.8</v>
      </c>
      <c r="T269" s="54">
        <f t="shared" si="55"/>
        <v>3548</v>
      </c>
      <c r="U269" s="53">
        <f t="shared" si="56"/>
        <v>9.9999999999999978E-2</v>
      </c>
      <c r="V269" s="54">
        <f t="shared" si="57"/>
        <v>443.49999999999989</v>
      </c>
      <c r="W269" s="55">
        <f ca="1">V269*VLOOKUP(TODAY(),'UF HOY'!$A$2:$B$36,2,0)</f>
        <v>17622002.389999997</v>
      </c>
      <c r="X269" s="56">
        <f>Datos!$K$5</f>
        <v>36</v>
      </c>
      <c r="Y269" s="55">
        <f ca="1">IF((W269-Datos!$U$5-1000000)/X269&gt;0,(W269-Datos!$U$5-1000000)/X269,0)</f>
        <v>458944.51083333325</v>
      </c>
      <c r="Z269" s="56">
        <f>Datos!$K$5</f>
        <v>36</v>
      </c>
      <c r="AA269" s="55">
        <f ca="1">IF((W269-Datos!$U$5-1000000-O269*3%*VLOOKUP(TODAY(),'UF HOY'!$A$2:$B$36,2,0))/Z269&gt;0,(W269-Datos!$U$5-1000000-O269*3%*VLOOKUP(TODAY(),'UF HOY'!$A$2:$B$36,2,0))/Z269,0)</f>
        <v>312094.49091666657</v>
      </c>
      <c r="AB269" s="130" cm="1">
        <f t="array" ref="AB269">_xlfn.IFS(AND(L269=0,M269=0),VLOOKUP(D269,Datos!$F$31:$I$33,2,0),AND(L269=0,M269&gt;0),VLOOKUP(D269,Datos!$F$32:$I$33,2,0),AND(L269&gt;0,M269=0),VLOOKUP(D269,Datos!$F$32:$I$33,3,0),AND(L269&gt;0,M269&gt;0),VLOOKUP(D269,Datos!$F$31:$I$33,4,0))</f>
        <v>550000</v>
      </c>
      <c r="AC269" s="55">
        <f ca="1">(S269*PMT(Datos!$G$15,Datos!$G$14,-O269,,)*VLOOKUP(TODAY(),'UF HOY'!$A$2:$B$36,2,0)/12)+VLOOKUP(TODAY(),'UF HOY'!$A$2:$B$36,2,0)</f>
        <v>719122.03676487808</v>
      </c>
      <c r="AD269" s="55">
        <f t="shared" ca="1" si="58"/>
        <v>-169122.03676487808</v>
      </c>
      <c r="AE269" s="93">
        <f t="shared" ca="1" si="59"/>
        <v>2876488.1470595123</v>
      </c>
    </row>
    <row r="270" spans="1:31" s="3" customFormat="1" x14ac:dyDescent="0.35">
      <c r="A270" s="94" t="s">
        <v>346</v>
      </c>
      <c r="B270" s="80">
        <v>1505</v>
      </c>
      <c r="C270" s="48" t="s">
        <v>38</v>
      </c>
      <c r="D270" s="48" t="s">
        <v>37</v>
      </c>
      <c r="E270" s="48"/>
      <c r="F270" s="48">
        <v>36.42</v>
      </c>
      <c r="G270" s="48">
        <v>2.81</v>
      </c>
      <c r="H270" s="82">
        <f t="shared" si="48"/>
        <v>37.825000000000003</v>
      </c>
      <c r="I270" s="82">
        <f t="shared" si="49"/>
        <v>39.230000000000004</v>
      </c>
      <c r="J270" s="49">
        <v>4445</v>
      </c>
      <c r="K270" s="304">
        <v>0</v>
      </c>
      <c r="L270" s="48">
        <v>0</v>
      </c>
      <c r="M270" s="48">
        <v>0</v>
      </c>
      <c r="N270" s="49">
        <f t="shared" si="50"/>
        <v>4000.5</v>
      </c>
      <c r="O270" s="52">
        <f t="shared" si="51"/>
        <v>4445</v>
      </c>
      <c r="P270" s="79">
        <f t="shared" si="52"/>
        <v>105.76338400528751</v>
      </c>
      <c r="Q270" s="53">
        <f t="shared" si="53"/>
        <v>0.1</v>
      </c>
      <c r="R270" s="54">
        <f t="shared" si="54"/>
        <v>444.5</v>
      </c>
      <c r="S270" s="53">
        <v>0.8</v>
      </c>
      <c r="T270" s="54">
        <f t="shared" si="55"/>
        <v>3556</v>
      </c>
      <c r="U270" s="53">
        <f t="shared" si="56"/>
        <v>9.9999999999999978E-2</v>
      </c>
      <c r="V270" s="54">
        <f t="shared" si="57"/>
        <v>444.49999999999989</v>
      </c>
      <c r="W270" s="55">
        <f ca="1">V270*VLOOKUP(TODAY(),'UF HOY'!$A$2:$B$36,2,0)</f>
        <v>17661736.329999998</v>
      </c>
      <c r="X270" s="56">
        <f>Datos!$K$5</f>
        <v>36</v>
      </c>
      <c r="Y270" s="55">
        <f ca="1">IF((W270-Datos!$U$5-1000000)/X270&gt;0,(W270-Datos!$U$5-1000000)/X270,0)</f>
        <v>460048.23138888885</v>
      </c>
      <c r="Z270" s="56">
        <f>Datos!$K$5</f>
        <v>36</v>
      </c>
      <c r="AA270" s="55">
        <f ca="1">IF((W270-Datos!$U$5-1000000-O270*3%*VLOOKUP(TODAY(),'UF HOY'!$A$2:$B$36,2,0))/Z270&gt;0,(W270-Datos!$U$5-1000000-O270*3%*VLOOKUP(TODAY(),'UF HOY'!$A$2:$B$36,2,0))/Z270,0)</f>
        <v>312867.0953055555</v>
      </c>
      <c r="AB270" s="130" cm="1">
        <f t="array" ref="AB270">_xlfn.IFS(AND(L270=0,M270=0),VLOOKUP(D270,Datos!$F$31:$I$33,2,0),AND(L270=0,M270&gt;0),VLOOKUP(D270,Datos!$F$32:$I$33,2,0),AND(L270&gt;0,M270=0),VLOOKUP(D270,Datos!$F$32:$I$33,3,0),AND(L270&gt;0,M270&gt;0),VLOOKUP(D270,Datos!$F$31:$I$33,4,0))</f>
        <v>550000</v>
      </c>
      <c r="AC270" s="55">
        <f ca="1">(S270*PMT(Datos!$G$15,Datos!$G$14,-O270,,)*VLOOKUP(TODAY(),'UF HOY'!$A$2:$B$36,2,0)/12)+VLOOKUP(TODAY(),'UF HOY'!$A$2:$B$36,2,0)</f>
        <v>720653.91522432538</v>
      </c>
      <c r="AD270" s="55">
        <f t="shared" ca="1" si="58"/>
        <v>-170653.91522432538</v>
      </c>
      <c r="AE270" s="93">
        <f t="shared" ca="1" si="59"/>
        <v>2882615.6608973015</v>
      </c>
    </row>
    <row r="271" spans="1:31" s="3" customFormat="1" x14ac:dyDescent="0.35">
      <c r="A271" s="94" t="s">
        <v>346</v>
      </c>
      <c r="B271" s="80">
        <v>2201</v>
      </c>
      <c r="C271" s="48" t="s">
        <v>41</v>
      </c>
      <c r="D271" s="48" t="s">
        <v>37</v>
      </c>
      <c r="E271" s="48"/>
      <c r="F271" s="48">
        <v>35.619999999999997</v>
      </c>
      <c r="G271" s="48">
        <v>2.96</v>
      </c>
      <c r="H271" s="82">
        <f t="shared" si="48"/>
        <v>37.099999999999994</v>
      </c>
      <c r="I271" s="82">
        <f t="shared" si="49"/>
        <v>38.58</v>
      </c>
      <c r="J271" s="49">
        <v>4445</v>
      </c>
      <c r="K271" s="304">
        <v>0</v>
      </c>
      <c r="L271" s="48">
        <v>0</v>
      </c>
      <c r="M271" s="48">
        <v>0</v>
      </c>
      <c r="N271" s="49">
        <f t="shared" si="50"/>
        <v>4000.5</v>
      </c>
      <c r="O271" s="52">
        <f t="shared" si="51"/>
        <v>4445</v>
      </c>
      <c r="P271" s="79">
        <f t="shared" si="52"/>
        <v>107.8301886792453</v>
      </c>
      <c r="Q271" s="53">
        <f t="shared" si="53"/>
        <v>0.1</v>
      </c>
      <c r="R271" s="54">
        <f t="shared" si="54"/>
        <v>444.5</v>
      </c>
      <c r="S271" s="53">
        <v>0.8</v>
      </c>
      <c r="T271" s="54">
        <f t="shared" si="55"/>
        <v>3556</v>
      </c>
      <c r="U271" s="53">
        <f t="shared" si="56"/>
        <v>9.9999999999999978E-2</v>
      </c>
      <c r="V271" s="54">
        <f t="shared" si="57"/>
        <v>444.49999999999989</v>
      </c>
      <c r="W271" s="55">
        <f ca="1">V271*VLOOKUP(TODAY(),'UF HOY'!$A$2:$B$36,2,0)</f>
        <v>17661736.329999998</v>
      </c>
      <c r="X271" s="56">
        <f>Datos!$K$5</f>
        <v>36</v>
      </c>
      <c r="Y271" s="55">
        <f ca="1">IF((W271-Datos!$U$5-1000000)/X271&gt;0,(W271-Datos!$U$5-1000000)/X271,0)</f>
        <v>460048.23138888885</v>
      </c>
      <c r="Z271" s="56">
        <f>Datos!$K$5</f>
        <v>36</v>
      </c>
      <c r="AA271" s="55">
        <f ca="1">IF((W271-Datos!$U$5-1000000-O271*3%*VLOOKUP(TODAY(),'UF HOY'!$A$2:$B$36,2,0))/Z271&gt;0,(W271-Datos!$U$5-1000000-O271*3%*VLOOKUP(TODAY(),'UF HOY'!$A$2:$B$36,2,0))/Z271,0)</f>
        <v>312867.0953055555</v>
      </c>
      <c r="AB271" s="130" cm="1">
        <f t="array" ref="AB271">_xlfn.IFS(AND(L271=0,M271=0),VLOOKUP(D271,Datos!$F$31:$I$33,2,0),AND(L271=0,M271&gt;0),VLOOKUP(D271,Datos!$F$32:$I$33,2,0),AND(L271&gt;0,M271=0),VLOOKUP(D271,Datos!$F$32:$I$33,3,0),AND(L271&gt;0,M271&gt;0),VLOOKUP(D271,Datos!$F$31:$I$33,4,0))</f>
        <v>550000</v>
      </c>
      <c r="AC271" s="55">
        <f ca="1">(S271*PMT(Datos!$G$15,Datos!$G$14,-O271,,)*VLOOKUP(TODAY(),'UF HOY'!$A$2:$B$36,2,0)/12)+VLOOKUP(TODAY(),'UF HOY'!$A$2:$B$36,2,0)</f>
        <v>720653.91522432538</v>
      </c>
      <c r="AD271" s="55">
        <f t="shared" ca="1" si="58"/>
        <v>-170653.91522432538</v>
      </c>
      <c r="AE271" s="93">
        <f t="shared" ca="1" si="59"/>
        <v>2882615.6608973015</v>
      </c>
    </row>
    <row r="272" spans="1:31" s="3" customFormat="1" x14ac:dyDescent="0.35">
      <c r="A272" s="94" t="s">
        <v>346</v>
      </c>
      <c r="B272" s="80">
        <v>1605</v>
      </c>
      <c r="C272" s="48" t="s">
        <v>38</v>
      </c>
      <c r="D272" s="48" t="s">
        <v>37</v>
      </c>
      <c r="E272" s="48"/>
      <c r="F272" s="48">
        <v>36.42</v>
      </c>
      <c r="G272" s="48">
        <v>2.81</v>
      </c>
      <c r="H272" s="82">
        <f t="shared" si="48"/>
        <v>37.825000000000003</v>
      </c>
      <c r="I272" s="82">
        <f t="shared" si="49"/>
        <v>39.230000000000004</v>
      </c>
      <c r="J272" s="49">
        <v>4455</v>
      </c>
      <c r="K272" s="304">
        <v>0</v>
      </c>
      <c r="L272" s="48">
        <v>0</v>
      </c>
      <c r="M272" s="48">
        <v>0</v>
      </c>
      <c r="N272" s="49">
        <f t="shared" si="50"/>
        <v>4009.5</v>
      </c>
      <c r="O272" s="52">
        <f t="shared" si="51"/>
        <v>4455</v>
      </c>
      <c r="P272" s="79">
        <f t="shared" si="52"/>
        <v>106.00132187706542</v>
      </c>
      <c r="Q272" s="53">
        <f t="shared" si="53"/>
        <v>0.1</v>
      </c>
      <c r="R272" s="54">
        <f t="shared" si="54"/>
        <v>445.5</v>
      </c>
      <c r="S272" s="53">
        <v>0.8</v>
      </c>
      <c r="T272" s="54">
        <f t="shared" si="55"/>
        <v>3564</v>
      </c>
      <c r="U272" s="53">
        <f t="shared" si="56"/>
        <v>9.9999999999999978E-2</v>
      </c>
      <c r="V272" s="54">
        <f t="shared" si="57"/>
        <v>445.49999999999989</v>
      </c>
      <c r="W272" s="55">
        <f ca="1">V272*VLOOKUP(TODAY(),'UF HOY'!$A$2:$B$36,2,0)</f>
        <v>17701470.269999996</v>
      </c>
      <c r="X272" s="56">
        <f>Datos!$K$5</f>
        <v>36</v>
      </c>
      <c r="Y272" s="55">
        <f ca="1">IF((W272-Datos!$U$5-1000000)/X272&gt;0,(W272-Datos!$U$5-1000000)/X272,0)</f>
        <v>461151.95194444433</v>
      </c>
      <c r="Z272" s="56">
        <f>Datos!$K$5</f>
        <v>36</v>
      </c>
      <c r="AA272" s="55">
        <f ca="1">IF((W272-Datos!$U$5-1000000-O272*3%*VLOOKUP(TODAY(),'UF HOY'!$A$2:$B$36,2,0))/Z272&gt;0,(W272-Datos!$U$5-1000000-O272*3%*VLOOKUP(TODAY(),'UF HOY'!$A$2:$B$36,2,0))/Z272,0)</f>
        <v>313639.69969444431</v>
      </c>
      <c r="AB272" s="130" cm="1">
        <f t="array" ref="AB272">_xlfn.IFS(AND(L272=0,M272=0),VLOOKUP(D272,Datos!$F$31:$I$33,2,0),AND(L272=0,M272&gt;0),VLOOKUP(D272,Datos!$F$32:$I$33,2,0),AND(L272&gt;0,M272=0),VLOOKUP(D272,Datos!$F$32:$I$33,3,0),AND(L272&gt;0,M272&gt;0),VLOOKUP(D272,Datos!$F$31:$I$33,4,0))</f>
        <v>550000</v>
      </c>
      <c r="AC272" s="55">
        <f ca="1">(S272*PMT(Datos!$G$15,Datos!$G$14,-O272,,)*VLOOKUP(TODAY(),'UF HOY'!$A$2:$B$36,2,0)/12)+VLOOKUP(TODAY(),'UF HOY'!$A$2:$B$36,2,0)</f>
        <v>722185.79368377267</v>
      </c>
      <c r="AD272" s="55">
        <f t="shared" ca="1" si="58"/>
        <v>-172185.79368377267</v>
      </c>
      <c r="AE272" s="93">
        <f t="shared" ca="1" si="59"/>
        <v>2888743.1747350907</v>
      </c>
    </row>
    <row r="273" spans="1:31" s="3" customFormat="1" x14ac:dyDescent="0.35">
      <c r="A273" s="94" t="s">
        <v>346</v>
      </c>
      <c r="B273" s="80">
        <v>2301</v>
      </c>
      <c r="C273" s="48" t="s">
        <v>41</v>
      </c>
      <c r="D273" s="48" t="s">
        <v>37</v>
      </c>
      <c r="E273" s="48"/>
      <c r="F273" s="48">
        <v>35.619999999999997</v>
      </c>
      <c r="G273" s="48">
        <v>2.96</v>
      </c>
      <c r="H273" s="82">
        <f t="shared" si="48"/>
        <v>37.099999999999994</v>
      </c>
      <c r="I273" s="82">
        <f t="shared" si="49"/>
        <v>38.58</v>
      </c>
      <c r="J273" s="49">
        <v>4460</v>
      </c>
      <c r="K273" s="304">
        <v>0</v>
      </c>
      <c r="L273" s="48">
        <v>0</v>
      </c>
      <c r="M273" s="48">
        <v>0</v>
      </c>
      <c r="N273" s="49">
        <f t="shared" si="50"/>
        <v>4014</v>
      </c>
      <c r="O273" s="52">
        <f t="shared" si="51"/>
        <v>4460</v>
      </c>
      <c r="P273" s="79">
        <f t="shared" si="52"/>
        <v>108.19407008086255</v>
      </c>
      <c r="Q273" s="53">
        <f t="shared" si="53"/>
        <v>0.1</v>
      </c>
      <c r="R273" s="54">
        <f t="shared" si="54"/>
        <v>446</v>
      </c>
      <c r="S273" s="53">
        <v>0.8</v>
      </c>
      <c r="T273" s="54">
        <f t="shared" si="55"/>
        <v>3568</v>
      </c>
      <c r="U273" s="53">
        <f t="shared" si="56"/>
        <v>9.9999999999999978E-2</v>
      </c>
      <c r="V273" s="54">
        <f t="shared" si="57"/>
        <v>445.99999999999989</v>
      </c>
      <c r="W273" s="55">
        <f ca="1">V273*VLOOKUP(TODAY(),'UF HOY'!$A$2:$B$36,2,0)</f>
        <v>17721337.239999998</v>
      </c>
      <c r="X273" s="56">
        <f>Datos!$K$5</f>
        <v>36</v>
      </c>
      <c r="Y273" s="55">
        <f ca="1">IF((W273-Datos!$U$5-1000000)/X273&gt;0,(W273-Datos!$U$5-1000000)/X273,0)</f>
        <v>461703.81222222216</v>
      </c>
      <c r="Z273" s="56">
        <f>Datos!$K$5</f>
        <v>36</v>
      </c>
      <c r="AA273" s="55">
        <f ca="1">IF((W273-Datos!$U$5-1000000-O273*3%*VLOOKUP(TODAY(),'UF HOY'!$A$2:$B$36,2,0))/Z273&gt;0,(W273-Datos!$U$5-1000000-O273*3%*VLOOKUP(TODAY(),'UF HOY'!$A$2:$B$36,2,0))/Z273,0)</f>
        <v>314026.00188888889</v>
      </c>
      <c r="AB273" s="130" cm="1">
        <f t="array" ref="AB273">_xlfn.IFS(AND(L273=0,M273=0),VLOOKUP(D273,Datos!$F$31:$I$33,2,0),AND(L273=0,M273&gt;0),VLOOKUP(D273,Datos!$F$32:$I$33,2,0),AND(L273&gt;0,M273=0),VLOOKUP(D273,Datos!$F$32:$I$33,3,0),AND(L273&gt;0,M273&gt;0),VLOOKUP(D273,Datos!$F$31:$I$33,4,0))</f>
        <v>550000</v>
      </c>
      <c r="AC273" s="55">
        <f ca="1">(S273*PMT(Datos!$G$15,Datos!$G$14,-O273,,)*VLOOKUP(TODAY(),'UF HOY'!$A$2:$B$36,2,0)/12)+VLOOKUP(TODAY(),'UF HOY'!$A$2:$B$36,2,0)</f>
        <v>722951.73291349644</v>
      </c>
      <c r="AD273" s="55">
        <f t="shared" ca="1" si="58"/>
        <v>-172951.73291349644</v>
      </c>
      <c r="AE273" s="93">
        <f t="shared" ca="1" si="59"/>
        <v>2891806.9316539858</v>
      </c>
    </row>
    <row r="274" spans="1:31" s="3" customFormat="1" x14ac:dyDescent="0.35">
      <c r="A274" s="94" t="s">
        <v>346</v>
      </c>
      <c r="B274" s="80">
        <v>1705</v>
      </c>
      <c r="C274" s="48" t="s">
        <v>38</v>
      </c>
      <c r="D274" s="48" t="s">
        <v>37</v>
      </c>
      <c r="E274" s="48"/>
      <c r="F274" s="48">
        <v>36.42</v>
      </c>
      <c r="G274" s="48">
        <v>2.81</v>
      </c>
      <c r="H274" s="82">
        <f t="shared" si="48"/>
        <v>37.825000000000003</v>
      </c>
      <c r="I274" s="82">
        <f t="shared" si="49"/>
        <v>39.230000000000004</v>
      </c>
      <c r="J274" s="49">
        <v>4470</v>
      </c>
      <c r="K274" s="304">
        <v>0</v>
      </c>
      <c r="L274" s="48">
        <v>0</v>
      </c>
      <c r="M274" s="48">
        <v>0</v>
      </c>
      <c r="N274" s="49">
        <f t="shared" si="50"/>
        <v>4023</v>
      </c>
      <c r="O274" s="52">
        <f t="shared" si="51"/>
        <v>4470</v>
      </c>
      <c r="P274" s="79">
        <f t="shared" si="52"/>
        <v>106.35822868473231</v>
      </c>
      <c r="Q274" s="53">
        <f t="shared" si="53"/>
        <v>0.1</v>
      </c>
      <c r="R274" s="54">
        <f t="shared" si="54"/>
        <v>447</v>
      </c>
      <c r="S274" s="53">
        <v>0.8</v>
      </c>
      <c r="T274" s="54">
        <f t="shared" si="55"/>
        <v>3576</v>
      </c>
      <c r="U274" s="53">
        <f t="shared" si="56"/>
        <v>9.9999999999999978E-2</v>
      </c>
      <c r="V274" s="54">
        <f t="shared" si="57"/>
        <v>446.99999999999989</v>
      </c>
      <c r="W274" s="55">
        <f ca="1">V274*VLOOKUP(TODAY(),'UF HOY'!$A$2:$B$36,2,0)</f>
        <v>17761071.179999996</v>
      </c>
      <c r="X274" s="56">
        <f>Datos!$K$5</f>
        <v>36</v>
      </c>
      <c r="Y274" s="55">
        <f ca="1">IF((W274-Datos!$U$5-1000000)/X274&gt;0,(W274-Datos!$U$5-1000000)/X274,0)</f>
        <v>462807.53277777764</v>
      </c>
      <c r="Z274" s="56">
        <f>Datos!$K$5</f>
        <v>36</v>
      </c>
      <c r="AA274" s="55">
        <f ca="1">IF((W274-Datos!$U$5-1000000-O274*3%*VLOOKUP(TODAY(),'UF HOY'!$A$2:$B$36,2,0))/Z274&gt;0,(W274-Datos!$U$5-1000000-O274*3%*VLOOKUP(TODAY(),'UF HOY'!$A$2:$B$36,2,0))/Z274,0)</f>
        <v>314798.60627777764</v>
      </c>
      <c r="AB274" s="130" cm="1">
        <f t="array" ref="AB274">_xlfn.IFS(AND(L274=0,M274=0),VLOOKUP(D274,Datos!$F$31:$I$33,2,0),AND(L274=0,M274&gt;0),VLOOKUP(D274,Datos!$F$32:$I$33,2,0),AND(L274&gt;0,M274=0),VLOOKUP(D274,Datos!$F$32:$I$33,3,0),AND(L274&gt;0,M274&gt;0),VLOOKUP(D274,Datos!$F$31:$I$33,4,0))</f>
        <v>550000</v>
      </c>
      <c r="AC274" s="55">
        <f ca="1">(S274*PMT(Datos!$G$15,Datos!$G$14,-O274,,)*VLOOKUP(TODAY(),'UF HOY'!$A$2:$B$36,2,0)/12)+VLOOKUP(TODAY(),'UF HOY'!$A$2:$B$36,2,0)</f>
        <v>724483.61137294373</v>
      </c>
      <c r="AD274" s="55">
        <f t="shared" ca="1" si="58"/>
        <v>-174483.61137294373</v>
      </c>
      <c r="AE274" s="93">
        <f t="shared" ca="1" si="59"/>
        <v>2897934.4454917749</v>
      </c>
    </row>
    <row r="275" spans="1:31" s="3" customFormat="1" x14ac:dyDescent="0.35">
      <c r="A275" s="94" t="s">
        <v>346</v>
      </c>
      <c r="B275" s="80">
        <v>2401</v>
      </c>
      <c r="C275" s="48" t="s">
        <v>41</v>
      </c>
      <c r="D275" s="48" t="s">
        <v>37</v>
      </c>
      <c r="E275" s="48"/>
      <c r="F275" s="48">
        <v>35.619999999999997</v>
      </c>
      <c r="G275" s="48">
        <v>2.96</v>
      </c>
      <c r="H275" s="82">
        <f t="shared" si="48"/>
        <v>37.099999999999994</v>
      </c>
      <c r="I275" s="82">
        <f t="shared" si="49"/>
        <v>38.58</v>
      </c>
      <c r="J275" s="49">
        <v>4470</v>
      </c>
      <c r="K275" s="304">
        <v>0</v>
      </c>
      <c r="L275" s="48">
        <v>0</v>
      </c>
      <c r="M275" s="48">
        <v>0</v>
      </c>
      <c r="N275" s="49">
        <f t="shared" si="50"/>
        <v>4023</v>
      </c>
      <c r="O275" s="52">
        <f t="shared" si="51"/>
        <v>4470</v>
      </c>
      <c r="P275" s="79">
        <f t="shared" si="52"/>
        <v>108.43665768194072</v>
      </c>
      <c r="Q275" s="53">
        <f t="shared" si="53"/>
        <v>0.1</v>
      </c>
      <c r="R275" s="54">
        <f t="shared" si="54"/>
        <v>447</v>
      </c>
      <c r="S275" s="53">
        <v>0.8</v>
      </c>
      <c r="T275" s="54">
        <f t="shared" si="55"/>
        <v>3576</v>
      </c>
      <c r="U275" s="53">
        <f t="shared" si="56"/>
        <v>9.9999999999999978E-2</v>
      </c>
      <c r="V275" s="54">
        <f t="shared" si="57"/>
        <v>446.99999999999989</v>
      </c>
      <c r="W275" s="55">
        <f ca="1">V275*VLOOKUP(TODAY(),'UF HOY'!$A$2:$B$36,2,0)</f>
        <v>17761071.179999996</v>
      </c>
      <c r="X275" s="56">
        <f>Datos!$K$5</f>
        <v>36</v>
      </c>
      <c r="Y275" s="55">
        <f ca="1">IF((W275-Datos!$U$5-1000000)/X275&gt;0,(W275-Datos!$U$5-1000000)/X275,0)</f>
        <v>462807.53277777764</v>
      </c>
      <c r="Z275" s="56">
        <f>Datos!$K$5</f>
        <v>36</v>
      </c>
      <c r="AA275" s="55">
        <f ca="1">IF((W275-Datos!$U$5-1000000-O275*3%*VLOOKUP(TODAY(),'UF HOY'!$A$2:$B$36,2,0))/Z275&gt;0,(W275-Datos!$U$5-1000000-O275*3%*VLOOKUP(TODAY(),'UF HOY'!$A$2:$B$36,2,0))/Z275,0)</f>
        <v>314798.60627777764</v>
      </c>
      <c r="AB275" s="130" cm="1">
        <f t="array" ref="AB275">_xlfn.IFS(AND(L275=0,M275=0),VLOOKUP(D275,Datos!$F$31:$I$33,2,0),AND(L275=0,M275&gt;0),VLOOKUP(D275,Datos!$F$32:$I$33,2,0),AND(L275&gt;0,M275=0),VLOOKUP(D275,Datos!$F$32:$I$33,3,0),AND(L275&gt;0,M275&gt;0),VLOOKUP(D275,Datos!$F$31:$I$33,4,0))</f>
        <v>550000</v>
      </c>
      <c r="AC275" s="55">
        <f ca="1">(S275*PMT(Datos!$G$15,Datos!$G$14,-O275,,)*VLOOKUP(TODAY(),'UF HOY'!$A$2:$B$36,2,0)/12)+VLOOKUP(TODAY(),'UF HOY'!$A$2:$B$36,2,0)</f>
        <v>724483.61137294373</v>
      </c>
      <c r="AD275" s="55">
        <f t="shared" ca="1" si="58"/>
        <v>-174483.61137294373</v>
      </c>
      <c r="AE275" s="93">
        <f t="shared" ca="1" si="59"/>
        <v>2897934.4454917749</v>
      </c>
    </row>
    <row r="276" spans="1:31" s="3" customFormat="1" x14ac:dyDescent="0.35">
      <c r="A276" s="94" t="s">
        <v>346</v>
      </c>
      <c r="B276" s="80">
        <v>2501</v>
      </c>
      <c r="C276" s="48" t="s">
        <v>41</v>
      </c>
      <c r="D276" s="48" t="s">
        <v>37</v>
      </c>
      <c r="E276" s="48"/>
      <c r="F276" s="48">
        <v>35.619999999999997</v>
      </c>
      <c r="G276" s="48">
        <v>2.96</v>
      </c>
      <c r="H276" s="82">
        <f t="shared" si="48"/>
        <v>37.099999999999994</v>
      </c>
      <c r="I276" s="82">
        <f t="shared" si="49"/>
        <v>38.58</v>
      </c>
      <c r="J276" s="49">
        <v>4475</v>
      </c>
      <c r="K276" s="304">
        <v>0</v>
      </c>
      <c r="L276" s="48">
        <v>0</v>
      </c>
      <c r="M276" s="48">
        <v>0</v>
      </c>
      <c r="N276" s="49">
        <f t="shared" si="50"/>
        <v>4027.5</v>
      </c>
      <c r="O276" s="52">
        <f t="shared" si="51"/>
        <v>4475</v>
      </c>
      <c r="P276" s="79">
        <f t="shared" si="52"/>
        <v>108.55795148247979</v>
      </c>
      <c r="Q276" s="53">
        <f t="shared" si="53"/>
        <v>0.1</v>
      </c>
      <c r="R276" s="54">
        <f t="shared" si="54"/>
        <v>447.5</v>
      </c>
      <c r="S276" s="53">
        <v>0.8</v>
      </c>
      <c r="T276" s="54">
        <f t="shared" si="55"/>
        <v>3580</v>
      </c>
      <c r="U276" s="53">
        <f t="shared" si="56"/>
        <v>9.9999999999999978E-2</v>
      </c>
      <c r="V276" s="54">
        <f t="shared" si="57"/>
        <v>447.49999999999989</v>
      </c>
      <c r="W276" s="55">
        <f ca="1">V276*VLOOKUP(TODAY(),'UF HOY'!$A$2:$B$36,2,0)</f>
        <v>17780938.149999995</v>
      </c>
      <c r="X276" s="56">
        <f>Datos!$K$5</f>
        <v>36</v>
      </c>
      <c r="Y276" s="55">
        <f ca="1">IF((W276-Datos!$U$5-1000000)/X276&gt;0,(W276-Datos!$U$5-1000000)/X276,0)</f>
        <v>463359.39305555541</v>
      </c>
      <c r="Z276" s="56">
        <f>Datos!$K$5</f>
        <v>36</v>
      </c>
      <c r="AA276" s="55">
        <f ca="1">IF((W276-Datos!$U$5-1000000-O276*3%*VLOOKUP(TODAY(),'UF HOY'!$A$2:$B$36,2,0))/Z276&gt;0,(W276-Datos!$U$5-1000000-O276*3%*VLOOKUP(TODAY(),'UF HOY'!$A$2:$B$36,2,0))/Z276,0)</f>
        <v>315184.90847222204</v>
      </c>
      <c r="AB276" s="130" cm="1">
        <f t="array" ref="AB276">_xlfn.IFS(AND(L276=0,M276=0),VLOOKUP(D276,Datos!$F$31:$I$33,2,0),AND(L276=0,M276&gt;0),VLOOKUP(D276,Datos!$F$32:$I$33,2,0),AND(L276&gt;0,M276=0),VLOOKUP(D276,Datos!$F$32:$I$33,3,0),AND(L276&gt;0,M276&gt;0),VLOOKUP(D276,Datos!$F$31:$I$33,4,0))</f>
        <v>550000</v>
      </c>
      <c r="AC276" s="55">
        <f ca="1">(S276*PMT(Datos!$G$15,Datos!$G$14,-O276,,)*VLOOKUP(TODAY(),'UF HOY'!$A$2:$B$36,2,0)/12)+VLOOKUP(TODAY(),'UF HOY'!$A$2:$B$36,2,0)</f>
        <v>725249.55060266727</v>
      </c>
      <c r="AD276" s="55">
        <f t="shared" ca="1" si="58"/>
        <v>-175249.55060266727</v>
      </c>
      <c r="AE276" s="93">
        <f t="shared" ca="1" si="59"/>
        <v>2900998.2024106691</v>
      </c>
    </row>
    <row r="277" spans="1:31" s="3" customFormat="1" x14ac:dyDescent="0.35">
      <c r="A277" s="94" t="s">
        <v>346</v>
      </c>
      <c r="B277" s="80">
        <v>1805</v>
      </c>
      <c r="C277" s="48" t="s">
        <v>38</v>
      </c>
      <c r="D277" s="48" t="s">
        <v>37</v>
      </c>
      <c r="E277" s="48"/>
      <c r="F277" s="48">
        <v>36.42</v>
      </c>
      <c r="G277" s="48">
        <v>2.81</v>
      </c>
      <c r="H277" s="82">
        <f t="shared" si="48"/>
        <v>37.825000000000003</v>
      </c>
      <c r="I277" s="82">
        <f t="shared" si="49"/>
        <v>39.230000000000004</v>
      </c>
      <c r="J277" s="49">
        <v>4480</v>
      </c>
      <c r="K277" s="304">
        <v>0</v>
      </c>
      <c r="L277" s="48">
        <v>0</v>
      </c>
      <c r="M277" s="48">
        <v>0</v>
      </c>
      <c r="N277" s="49">
        <f t="shared" si="50"/>
        <v>4032</v>
      </c>
      <c r="O277" s="52">
        <f t="shared" si="51"/>
        <v>4480</v>
      </c>
      <c r="P277" s="79">
        <f t="shared" si="52"/>
        <v>106.59616655651024</v>
      </c>
      <c r="Q277" s="53">
        <f t="shared" si="53"/>
        <v>0.1</v>
      </c>
      <c r="R277" s="54">
        <f t="shared" si="54"/>
        <v>448</v>
      </c>
      <c r="S277" s="53">
        <v>0.8</v>
      </c>
      <c r="T277" s="54">
        <f t="shared" si="55"/>
        <v>3584</v>
      </c>
      <c r="U277" s="53">
        <f t="shared" si="56"/>
        <v>9.9999999999999978E-2</v>
      </c>
      <c r="V277" s="54">
        <f t="shared" si="57"/>
        <v>447.99999999999989</v>
      </c>
      <c r="W277" s="55">
        <f ca="1">V277*VLOOKUP(TODAY(),'UF HOY'!$A$2:$B$36,2,0)</f>
        <v>17800805.119999997</v>
      </c>
      <c r="X277" s="56">
        <f>Datos!$K$5</f>
        <v>36</v>
      </c>
      <c r="Y277" s="55">
        <f ca="1">IF((W277-Datos!$U$5-1000000)/X277&gt;0,(W277-Datos!$U$5-1000000)/X277,0)</f>
        <v>463911.25333333324</v>
      </c>
      <c r="Z277" s="56">
        <f>Datos!$K$5</f>
        <v>36</v>
      </c>
      <c r="AA277" s="55">
        <f ca="1">IF((W277-Datos!$U$5-1000000-O277*3%*VLOOKUP(TODAY(),'UF HOY'!$A$2:$B$36,2,0))/Z277&gt;0,(W277-Datos!$U$5-1000000-O277*3%*VLOOKUP(TODAY(),'UF HOY'!$A$2:$B$36,2,0))/Z277,0)</f>
        <v>315571.21066666656</v>
      </c>
      <c r="AB277" s="130" cm="1">
        <f t="array" ref="AB277">_xlfn.IFS(AND(L277=0,M277=0),VLOOKUP(D277,Datos!$F$31:$I$33,2,0),AND(L277=0,M277&gt;0),VLOOKUP(D277,Datos!$F$32:$I$33,2,0),AND(L277&gt;0,M277=0),VLOOKUP(D277,Datos!$F$32:$I$33,3,0),AND(L277&gt;0,M277&gt;0),VLOOKUP(D277,Datos!$F$31:$I$33,4,0))</f>
        <v>550000</v>
      </c>
      <c r="AC277" s="55">
        <f ca="1">(S277*PMT(Datos!$G$15,Datos!$G$14,-O277,,)*VLOOKUP(TODAY(),'UF HOY'!$A$2:$B$36,2,0)/12)+VLOOKUP(TODAY(),'UF HOY'!$A$2:$B$36,2,0)</f>
        <v>726015.48983239103</v>
      </c>
      <c r="AD277" s="55">
        <f t="shared" ca="1" si="58"/>
        <v>-176015.48983239103</v>
      </c>
      <c r="AE277" s="93">
        <f t="shared" ca="1" si="59"/>
        <v>2904061.9593295641</v>
      </c>
    </row>
    <row r="278" spans="1:31" s="3" customFormat="1" x14ac:dyDescent="0.35">
      <c r="A278" s="94" t="s">
        <v>346</v>
      </c>
      <c r="B278" s="80">
        <v>2601</v>
      </c>
      <c r="C278" s="48" t="s">
        <v>41</v>
      </c>
      <c r="D278" s="48" t="s">
        <v>37</v>
      </c>
      <c r="E278" s="48"/>
      <c r="F278" s="48">
        <v>35.619999999999997</v>
      </c>
      <c r="G278" s="48">
        <v>2.96</v>
      </c>
      <c r="H278" s="82">
        <f t="shared" si="48"/>
        <v>37.099999999999994</v>
      </c>
      <c r="I278" s="82">
        <f t="shared" si="49"/>
        <v>38.58</v>
      </c>
      <c r="J278" s="49">
        <v>4485</v>
      </c>
      <c r="K278" s="304">
        <v>0</v>
      </c>
      <c r="L278" s="48">
        <v>0</v>
      </c>
      <c r="M278" s="48">
        <v>0</v>
      </c>
      <c r="N278" s="49">
        <f t="shared" si="50"/>
        <v>4036.5</v>
      </c>
      <c r="O278" s="52">
        <f t="shared" si="51"/>
        <v>4485</v>
      </c>
      <c r="P278" s="79">
        <f t="shared" si="52"/>
        <v>108.80053908355796</v>
      </c>
      <c r="Q278" s="53">
        <f t="shared" si="53"/>
        <v>0.1</v>
      </c>
      <c r="R278" s="54">
        <f t="shared" si="54"/>
        <v>448.5</v>
      </c>
      <c r="S278" s="53">
        <v>0.8</v>
      </c>
      <c r="T278" s="54">
        <f t="shared" si="55"/>
        <v>3588</v>
      </c>
      <c r="U278" s="53">
        <f t="shared" si="56"/>
        <v>9.9999999999999978E-2</v>
      </c>
      <c r="V278" s="54">
        <f t="shared" si="57"/>
        <v>448.49999999999989</v>
      </c>
      <c r="W278" s="55">
        <f ca="1">V278*VLOOKUP(TODAY(),'UF HOY'!$A$2:$B$36,2,0)</f>
        <v>17820672.089999996</v>
      </c>
      <c r="X278" s="56">
        <f>Datos!$K$5</f>
        <v>36</v>
      </c>
      <c r="Y278" s="55">
        <f ca="1">IF((W278-Datos!$U$5-1000000)/X278&gt;0,(W278-Datos!$U$5-1000000)/X278,0)</f>
        <v>464463.11361111101</v>
      </c>
      <c r="Z278" s="56">
        <f>Datos!$K$5</f>
        <v>36</v>
      </c>
      <c r="AA278" s="55">
        <f ca="1">IF((W278-Datos!$U$5-1000000-O278*3%*VLOOKUP(TODAY(),'UF HOY'!$A$2:$B$36,2,0))/Z278&gt;0,(W278-Datos!$U$5-1000000-O278*3%*VLOOKUP(TODAY(),'UF HOY'!$A$2:$B$36,2,0))/Z278,0)</f>
        <v>315957.51286111097</v>
      </c>
      <c r="AB278" s="130" cm="1">
        <f t="array" ref="AB278">_xlfn.IFS(AND(L278=0,M278=0),VLOOKUP(D278,Datos!$F$31:$I$33,2,0),AND(L278=0,M278&gt;0),VLOOKUP(D278,Datos!$F$32:$I$33,2,0),AND(L278&gt;0,M278=0),VLOOKUP(D278,Datos!$F$32:$I$33,3,0),AND(L278&gt;0,M278&gt;0),VLOOKUP(D278,Datos!$F$31:$I$33,4,0))</f>
        <v>550000</v>
      </c>
      <c r="AC278" s="55">
        <f ca="1">(S278*PMT(Datos!$G$15,Datos!$G$14,-O278,,)*VLOOKUP(TODAY(),'UF HOY'!$A$2:$B$36,2,0)/12)+VLOOKUP(TODAY(),'UF HOY'!$A$2:$B$36,2,0)</f>
        <v>726781.42906211456</v>
      </c>
      <c r="AD278" s="55">
        <f t="shared" ca="1" si="58"/>
        <v>-176781.42906211456</v>
      </c>
      <c r="AE278" s="93">
        <f t="shared" ca="1" si="59"/>
        <v>2907125.7162484583</v>
      </c>
    </row>
    <row r="279" spans="1:31" s="3" customFormat="1" x14ac:dyDescent="0.35">
      <c r="A279" s="94" t="s">
        <v>346</v>
      </c>
      <c r="B279" s="80">
        <v>1905</v>
      </c>
      <c r="C279" s="48" t="s">
        <v>38</v>
      </c>
      <c r="D279" s="48" t="s">
        <v>37</v>
      </c>
      <c r="E279" s="48"/>
      <c r="F279" s="48">
        <v>36.42</v>
      </c>
      <c r="G279" s="48">
        <v>2.81</v>
      </c>
      <c r="H279" s="82">
        <f t="shared" si="48"/>
        <v>37.825000000000003</v>
      </c>
      <c r="I279" s="82">
        <f t="shared" si="49"/>
        <v>39.230000000000004</v>
      </c>
      <c r="J279" s="49">
        <v>4495</v>
      </c>
      <c r="K279" s="304">
        <v>0</v>
      </c>
      <c r="L279" s="48">
        <v>0</v>
      </c>
      <c r="M279" s="48">
        <v>0</v>
      </c>
      <c r="N279" s="49">
        <f t="shared" si="50"/>
        <v>4045.5</v>
      </c>
      <c r="O279" s="52">
        <f t="shared" si="51"/>
        <v>4495</v>
      </c>
      <c r="P279" s="79">
        <f t="shared" si="52"/>
        <v>106.95307336417713</v>
      </c>
      <c r="Q279" s="53">
        <f t="shared" si="53"/>
        <v>0.1</v>
      </c>
      <c r="R279" s="54">
        <f t="shared" si="54"/>
        <v>449.5</v>
      </c>
      <c r="S279" s="53">
        <v>0.8</v>
      </c>
      <c r="T279" s="54">
        <f t="shared" si="55"/>
        <v>3596</v>
      </c>
      <c r="U279" s="53">
        <f t="shared" si="56"/>
        <v>9.9999999999999978E-2</v>
      </c>
      <c r="V279" s="54">
        <f t="shared" si="57"/>
        <v>449.49999999999989</v>
      </c>
      <c r="W279" s="55">
        <f ca="1">V279*VLOOKUP(TODAY(),'UF HOY'!$A$2:$B$36,2,0)</f>
        <v>17860406.029999997</v>
      </c>
      <c r="X279" s="56">
        <f>Datos!$K$5</f>
        <v>36</v>
      </c>
      <c r="Y279" s="55">
        <f ca="1">IF((W279-Datos!$U$5-1000000)/X279&gt;0,(W279-Datos!$U$5-1000000)/X279,0)</f>
        <v>465566.83416666661</v>
      </c>
      <c r="Z279" s="56">
        <f>Datos!$K$5</f>
        <v>36</v>
      </c>
      <c r="AA279" s="55">
        <f ca="1">IF((W279-Datos!$U$5-1000000-O279*3%*VLOOKUP(TODAY(),'UF HOY'!$A$2:$B$36,2,0))/Z279&gt;0,(W279-Datos!$U$5-1000000-O279*3%*VLOOKUP(TODAY(),'UF HOY'!$A$2:$B$36,2,0))/Z279,0)</f>
        <v>316730.11724999989</v>
      </c>
      <c r="AB279" s="130" cm="1">
        <f t="array" ref="AB279">_xlfn.IFS(AND(L279=0,M279=0),VLOOKUP(D279,Datos!$F$31:$I$33,2,0),AND(L279=0,M279&gt;0),VLOOKUP(D279,Datos!$F$32:$I$33,2,0),AND(L279&gt;0,M279=0),VLOOKUP(D279,Datos!$F$32:$I$33,3,0),AND(L279&gt;0,M279&gt;0),VLOOKUP(D279,Datos!$F$31:$I$33,4,0))</f>
        <v>550000</v>
      </c>
      <c r="AC279" s="55">
        <f ca="1">(S279*PMT(Datos!$G$15,Datos!$G$14,-O279,,)*VLOOKUP(TODAY(),'UF HOY'!$A$2:$B$36,2,0)/12)+VLOOKUP(TODAY(),'UF HOY'!$A$2:$B$36,2,0)</f>
        <v>728313.30752156209</v>
      </c>
      <c r="AD279" s="55">
        <f t="shared" ca="1" si="58"/>
        <v>-178313.30752156209</v>
      </c>
      <c r="AE279" s="93">
        <f t="shared" ca="1" si="59"/>
        <v>2913253.2300862484</v>
      </c>
    </row>
    <row r="280" spans="1:31" s="3" customFormat="1" x14ac:dyDescent="0.35">
      <c r="A280" s="94" t="s">
        <v>346</v>
      </c>
      <c r="B280" s="80">
        <v>2701</v>
      </c>
      <c r="C280" s="48" t="s">
        <v>41</v>
      </c>
      <c r="D280" s="48" t="s">
        <v>37</v>
      </c>
      <c r="E280" s="48"/>
      <c r="F280" s="48">
        <v>35.619999999999997</v>
      </c>
      <c r="G280" s="48">
        <v>2.96</v>
      </c>
      <c r="H280" s="82">
        <f t="shared" si="48"/>
        <v>37.099999999999994</v>
      </c>
      <c r="I280" s="82">
        <f t="shared" si="49"/>
        <v>38.58</v>
      </c>
      <c r="J280" s="49">
        <v>4495</v>
      </c>
      <c r="K280" s="304">
        <v>0</v>
      </c>
      <c r="L280" s="48">
        <v>0</v>
      </c>
      <c r="M280" s="48">
        <v>0</v>
      </c>
      <c r="N280" s="49">
        <f t="shared" si="50"/>
        <v>4045.5</v>
      </c>
      <c r="O280" s="52">
        <f t="shared" si="51"/>
        <v>4495</v>
      </c>
      <c r="P280" s="79">
        <f t="shared" si="52"/>
        <v>109.04312668463614</v>
      </c>
      <c r="Q280" s="53">
        <f t="shared" si="53"/>
        <v>0.1</v>
      </c>
      <c r="R280" s="54">
        <f t="shared" si="54"/>
        <v>449.5</v>
      </c>
      <c r="S280" s="53">
        <v>0.8</v>
      </c>
      <c r="T280" s="54">
        <f t="shared" si="55"/>
        <v>3596</v>
      </c>
      <c r="U280" s="53">
        <f t="shared" si="56"/>
        <v>9.9999999999999978E-2</v>
      </c>
      <c r="V280" s="54">
        <f t="shared" si="57"/>
        <v>449.49999999999989</v>
      </c>
      <c r="W280" s="55">
        <f ca="1">V280*VLOOKUP(TODAY(),'UF HOY'!$A$2:$B$36,2,0)</f>
        <v>17860406.029999997</v>
      </c>
      <c r="X280" s="56">
        <f>Datos!$K$5</f>
        <v>36</v>
      </c>
      <c r="Y280" s="55">
        <f ca="1">IF((W280-Datos!$U$5-1000000)/X280&gt;0,(W280-Datos!$U$5-1000000)/X280,0)</f>
        <v>465566.83416666661</v>
      </c>
      <c r="Z280" s="56">
        <f>Datos!$K$5</f>
        <v>36</v>
      </c>
      <c r="AA280" s="55">
        <f ca="1">IF((W280-Datos!$U$5-1000000-O280*3%*VLOOKUP(TODAY(),'UF HOY'!$A$2:$B$36,2,0))/Z280&gt;0,(W280-Datos!$U$5-1000000-O280*3%*VLOOKUP(TODAY(),'UF HOY'!$A$2:$B$36,2,0))/Z280,0)</f>
        <v>316730.11724999989</v>
      </c>
      <c r="AB280" s="130" cm="1">
        <f t="array" ref="AB280">_xlfn.IFS(AND(L280=0,M280=0),VLOOKUP(D280,Datos!$F$31:$I$33,2,0),AND(L280=0,M280&gt;0),VLOOKUP(D280,Datos!$F$32:$I$33,2,0),AND(L280&gt;0,M280=0),VLOOKUP(D280,Datos!$F$32:$I$33,3,0),AND(L280&gt;0,M280&gt;0),VLOOKUP(D280,Datos!$F$31:$I$33,4,0))</f>
        <v>550000</v>
      </c>
      <c r="AC280" s="55">
        <f ca="1">(S280*PMT(Datos!$G$15,Datos!$G$14,-O280,,)*VLOOKUP(TODAY(),'UF HOY'!$A$2:$B$36,2,0)/12)+VLOOKUP(TODAY(),'UF HOY'!$A$2:$B$36,2,0)</f>
        <v>728313.30752156209</v>
      </c>
      <c r="AD280" s="55">
        <f t="shared" ca="1" si="58"/>
        <v>-178313.30752156209</v>
      </c>
      <c r="AE280" s="93">
        <f t="shared" ca="1" si="59"/>
        <v>2913253.2300862484</v>
      </c>
    </row>
    <row r="281" spans="1:31" s="3" customFormat="1" x14ac:dyDescent="0.35">
      <c r="A281" s="94" t="s">
        <v>346</v>
      </c>
      <c r="B281" s="80">
        <v>2901</v>
      </c>
      <c r="C281" s="48" t="s">
        <v>41</v>
      </c>
      <c r="D281" s="48" t="s">
        <v>37</v>
      </c>
      <c r="E281" s="48"/>
      <c r="F281" s="48">
        <v>35.619999999999997</v>
      </c>
      <c r="G281" s="48">
        <v>2.96</v>
      </c>
      <c r="H281" s="82">
        <f t="shared" si="48"/>
        <v>37.099999999999994</v>
      </c>
      <c r="I281" s="82">
        <f t="shared" si="49"/>
        <v>38.58</v>
      </c>
      <c r="J281" s="49">
        <v>4495</v>
      </c>
      <c r="K281" s="304">
        <v>0</v>
      </c>
      <c r="L281" s="48">
        <v>0</v>
      </c>
      <c r="M281" s="48">
        <v>0</v>
      </c>
      <c r="N281" s="49">
        <f t="shared" si="50"/>
        <v>4045.5</v>
      </c>
      <c r="O281" s="52">
        <f t="shared" si="51"/>
        <v>4495</v>
      </c>
      <c r="P281" s="79">
        <f t="shared" si="52"/>
        <v>109.04312668463614</v>
      </c>
      <c r="Q281" s="53">
        <f t="shared" si="53"/>
        <v>0.1</v>
      </c>
      <c r="R281" s="54">
        <f t="shared" si="54"/>
        <v>449.5</v>
      </c>
      <c r="S281" s="53">
        <v>0.8</v>
      </c>
      <c r="T281" s="54">
        <f t="shared" si="55"/>
        <v>3596</v>
      </c>
      <c r="U281" s="53">
        <f t="shared" si="56"/>
        <v>9.9999999999999978E-2</v>
      </c>
      <c r="V281" s="54">
        <f t="shared" si="57"/>
        <v>449.49999999999989</v>
      </c>
      <c r="W281" s="55">
        <f ca="1">V281*VLOOKUP(TODAY(),'UF HOY'!$A$2:$B$36,2,0)</f>
        <v>17860406.029999997</v>
      </c>
      <c r="X281" s="56">
        <f>Datos!$K$5</f>
        <v>36</v>
      </c>
      <c r="Y281" s="55">
        <f ca="1">IF((W281-Datos!$U$5-1000000)/X281&gt;0,(W281-Datos!$U$5-1000000)/X281,0)</f>
        <v>465566.83416666661</v>
      </c>
      <c r="Z281" s="56">
        <f>Datos!$K$5</f>
        <v>36</v>
      </c>
      <c r="AA281" s="55">
        <f ca="1">IF((W281-Datos!$U$5-1000000-O281*3%*VLOOKUP(TODAY(),'UF HOY'!$A$2:$B$36,2,0))/Z281&gt;0,(W281-Datos!$U$5-1000000-O281*3%*VLOOKUP(TODAY(),'UF HOY'!$A$2:$B$36,2,0))/Z281,0)</f>
        <v>316730.11724999989</v>
      </c>
      <c r="AB281" s="130" cm="1">
        <f t="array" ref="AB281">_xlfn.IFS(AND(L281=0,M281=0),VLOOKUP(D281,Datos!$F$31:$I$33,2,0),AND(L281=0,M281&gt;0),VLOOKUP(D281,Datos!$F$32:$I$33,2,0),AND(L281&gt;0,M281=0),VLOOKUP(D281,Datos!$F$32:$I$33,3,0),AND(L281&gt;0,M281&gt;0),VLOOKUP(D281,Datos!$F$31:$I$33,4,0))</f>
        <v>550000</v>
      </c>
      <c r="AC281" s="55">
        <f ca="1">(S281*PMT(Datos!$G$15,Datos!$G$14,-O281,,)*VLOOKUP(TODAY(),'UF HOY'!$A$2:$B$36,2,0)/12)+VLOOKUP(TODAY(),'UF HOY'!$A$2:$B$36,2,0)</f>
        <v>728313.30752156209</v>
      </c>
      <c r="AD281" s="55">
        <f t="shared" ca="1" si="58"/>
        <v>-178313.30752156209</v>
      </c>
      <c r="AE281" s="93">
        <f t="shared" ca="1" si="59"/>
        <v>2913253.2300862484</v>
      </c>
    </row>
    <row r="282" spans="1:31" s="3" customFormat="1" x14ac:dyDescent="0.35">
      <c r="A282" s="94" t="s">
        <v>346</v>
      </c>
      <c r="B282" s="80">
        <v>2801</v>
      </c>
      <c r="C282" s="48" t="s">
        <v>41</v>
      </c>
      <c r="D282" s="48" t="s">
        <v>37</v>
      </c>
      <c r="E282" s="48"/>
      <c r="F282" s="48">
        <v>35.619999999999997</v>
      </c>
      <c r="G282" s="48">
        <v>2.96</v>
      </c>
      <c r="H282" s="82">
        <f t="shared" si="48"/>
        <v>37.099999999999994</v>
      </c>
      <c r="I282" s="82">
        <f t="shared" si="49"/>
        <v>38.58</v>
      </c>
      <c r="J282" s="49">
        <v>4500</v>
      </c>
      <c r="K282" s="304">
        <v>0</v>
      </c>
      <c r="L282" s="48">
        <v>0</v>
      </c>
      <c r="M282" s="48">
        <v>0</v>
      </c>
      <c r="N282" s="49">
        <f t="shared" si="50"/>
        <v>4050</v>
      </c>
      <c r="O282" s="52">
        <f t="shared" si="51"/>
        <v>4500</v>
      </c>
      <c r="P282" s="79">
        <f t="shared" si="52"/>
        <v>109.16442048517521</v>
      </c>
      <c r="Q282" s="53">
        <f t="shared" si="53"/>
        <v>0.1</v>
      </c>
      <c r="R282" s="54">
        <f t="shared" si="54"/>
        <v>450</v>
      </c>
      <c r="S282" s="53">
        <v>0.8</v>
      </c>
      <c r="T282" s="54">
        <f t="shared" si="55"/>
        <v>3600</v>
      </c>
      <c r="U282" s="53">
        <f t="shared" si="56"/>
        <v>9.9999999999999978E-2</v>
      </c>
      <c r="V282" s="54">
        <f t="shared" si="57"/>
        <v>449.99999999999989</v>
      </c>
      <c r="W282" s="55">
        <f ca="1">V282*VLOOKUP(TODAY(),'UF HOY'!$A$2:$B$36,2,0)</f>
        <v>17880272.999999996</v>
      </c>
      <c r="X282" s="56">
        <f>Datos!$K$5</f>
        <v>36</v>
      </c>
      <c r="Y282" s="55">
        <f ca="1">IF((W282-Datos!$U$5-1000000)/X282&gt;0,(W282-Datos!$U$5-1000000)/X282,0)</f>
        <v>466118.69444444432</v>
      </c>
      <c r="Z282" s="56">
        <f>Datos!$K$5</f>
        <v>36</v>
      </c>
      <c r="AA282" s="55">
        <f ca="1">IF((W282-Datos!$U$5-1000000-O282*3%*VLOOKUP(TODAY(),'UF HOY'!$A$2:$B$36,2,0))/Z282&gt;0,(W282-Datos!$U$5-1000000-O282*3%*VLOOKUP(TODAY(),'UF HOY'!$A$2:$B$36,2,0))/Z282,0)</f>
        <v>317116.41944444436</v>
      </c>
      <c r="AB282" s="130" cm="1">
        <f t="array" ref="AB282">_xlfn.IFS(AND(L282=0,M282=0),VLOOKUP(D282,Datos!$F$31:$I$33,2,0),AND(L282=0,M282&gt;0),VLOOKUP(D282,Datos!$F$32:$I$33,2,0),AND(L282&gt;0,M282=0),VLOOKUP(D282,Datos!$F$32:$I$33,3,0),AND(L282&gt;0,M282&gt;0),VLOOKUP(D282,Datos!$F$31:$I$33,4,0))</f>
        <v>550000</v>
      </c>
      <c r="AC282" s="55">
        <f ca="1">(S282*PMT(Datos!$G$15,Datos!$G$14,-O282,,)*VLOOKUP(TODAY(),'UF HOY'!$A$2:$B$36,2,0)/12)+VLOOKUP(TODAY(),'UF HOY'!$A$2:$B$36,2,0)</f>
        <v>729079.24675128539</v>
      </c>
      <c r="AD282" s="55">
        <f t="shared" ca="1" si="58"/>
        <v>-179079.24675128539</v>
      </c>
      <c r="AE282" s="93">
        <f t="shared" ca="1" si="59"/>
        <v>2916316.9870051416</v>
      </c>
    </row>
    <row r="283" spans="1:31" s="3" customFormat="1" x14ac:dyDescent="0.35">
      <c r="A283" s="94" t="s">
        <v>346</v>
      </c>
      <c r="B283" s="80">
        <v>2005</v>
      </c>
      <c r="C283" s="48" t="s">
        <v>38</v>
      </c>
      <c r="D283" s="48" t="s">
        <v>37</v>
      </c>
      <c r="E283" s="48"/>
      <c r="F283" s="48">
        <v>36.42</v>
      </c>
      <c r="G283" s="48">
        <v>2.81</v>
      </c>
      <c r="H283" s="82">
        <f t="shared" si="48"/>
        <v>37.825000000000003</v>
      </c>
      <c r="I283" s="82">
        <f t="shared" si="49"/>
        <v>39.230000000000004</v>
      </c>
      <c r="J283" s="49">
        <v>4510</v>
      </c>
      <c r="K283" s="304">
        <v>0</v>
      </c>
      <c r="L283" s="48">
        <v>0</v>
      </c>
      <c r="M283" s="48">
        <v>0</v>
      </c>
      <c r="N283" s="49">
        <f t="shared" si="50"/>
        <v>4059</v>
      </c>
      <c r="O283" s="52">
        <f t="shared" si="51"/>
        <v>4510</v>
      </c>
      <c r="P283" s="79">
        <f t="shared" si="52"/>
        <v>107.309980171844</v>
      </c>
      <c r="Q283" s="53">
        <f t="shared" si="53"/>
        <v>0.1</v>
      </c>
      <c r="R283" s="54">
        <f t="shared" si="54"/>
        <v>451</v>
      </c>
      <c r="S283" s="53">
        <v>0.8</v>
      </c>
      <c r="T283" s="54">
        <f t="shared" si="55"/>
        <v>3608</v>
      </c>
      <c r="U283" s="53">
        <f t="shared" si="56"/>
        <v>9.9999999999999978E-2</v>
      </c>
      <c r="V283" s="54">
        <f t="shared" si="57"/>
        <v>450.99999999999989</v>
      </c>
      <c r="W283" s="55">
        <f ca="1">V283*VLOOKUP(TODAY(),'UF HOY'!$A$2:$B$36,2,0)</f>
        <v>17920006.939999998</v>
      </c>
      <c r="X283" s="56">
        <f>Datos!$K$5</f>
        <v>36</v>
      </c>
      <c r="Y283" s="55">
        <f ca="1">IF((W283-Datos!$U$5-1000000)/X283&gt;0,(W283-Datos!$U$5-1000000)/X283,0)</f>
        <v>467222.41499999992</v>
      </c>
      <c r="Z283" s="56">
        <f>Datos!$K$5</f>
        <v>36</v>
      </c>
      <c r="AA283" s="55">
        <f ca="1">IF((W283-Datos!$U$5-1000000-O283*3%*VLOOKUP(TODAY(),'UF HOY'!$A$2:$B$36,2,0))/Z283&gt;0,(W283-Datos!$U$5-1000000-O283*3%*VLOOKUP(TODAY(),'UF HOY'!$A$2:$B$36,2,0))/Z283,0)</f>
        <v>317889.02383333328</v>
      </c>
      <c r="AB283" s="130" cm="1">
        <f t="array" ref="AB283">_xlfn.IFS(AND(L283=0,M283=0),VLOOKUP(D283,Datos!$F$31:$I$33,2,0),AND(L283=0,M283&gt;0),VLOOKUP(D283,Datos!$F$32:$I$33,2,0),AND(L283&gt;0,M283=0),VLOOKUP(D283,Datos!$F$32:$I$33,3,0),AND(L283&gt;0,M283&gt;0),VLOOKUP(D283,Datos!$F$31:$I$33,4,0))</f>
        <v>550000</v>
      </c>
      <c r="AC283" s="55">
        <f ca="1">(S283*PMT(Datos!$G$15,Datos!$G$14,-O283,,)*VLOOKUP(TODAY(),'UF HOY'!$A$2:$B$36,2,0)/12)+VLOOKUP(TODAY(),'UF HOY'!$A$2:$B$36,2,0)</f>
        <v>730611.12521073292</v>
      </c>
      <c r="AD283" s="55">
        <f t="shared" ca="1" si="58"/>
        <v>-180611.12521073292</v>
      </c>
      <c r="AE283" s="93">
        <f t="shared" ca="1" si="59"/>
        <v>2922444.5008429317</v>
      </c>
    </row>
    <row r="284" spans="1:31" s="3" customFormat="1" x14ac:dyDescent="0.35">
      <c r="A284" s="94" t="s">
        <v>346</v>
      </c>
      <c r="B284" s="80">
        <v>2105</v>
      </c>
      <c r="C284" s="48" t="s">
        <v>38</v>
      </c>
      <c r="D284" s="48" t="s">
        <v>37</v>
      </c>
      <c r="E284" s="48"/>
      <c r="F284" s="48">
        <v>36.42</v>
      </c>
      <c r="G284" s="48">
        <v>2.81</v>
      </c>
      <c r="H284" s="82">
        <f t="shared" si="48"/>
        <v>37.825000000000003</v>
      </c>
      <c r="I284" s="82">
        <f t="shared" si="49"/>
        <v>39.230000000000004</v>
      </c>
      <c r="J284" s="49">
        <v>4520</v>
      </c>
      <c r="K284" s="304">
        <v>0</v>
      </c>
      <c r="L284" s="48">
        <v>0</v>
      </c>
      <c r="M284" s="48">
        <v>0</v>
      </c>
      <c r="N284" s="49">
        <f t="shared" si="50"/>
        <v>4068</v>
      </c>
      <c r="O284" s="52">
        <f t="shared" si="51"/>
        <v>4520</v>
      </c>
      <c r="P284" s="79">
        <f t="shared" si="52"/>
        <v>107.54791804362193</v>
      </c>
      <c r="Q284" s="53">
        <f t="shared" si="53"/>
        <v>0.1</v>
      </c>
      <c r="R284" s="54">
        <f t="shared" si="54"/>
        <v>452</v>
      </c>
      <c r="S284" s="53">
        <v>0.8</v>
      </c>
      <c r="T284" s="54">
        <f t="shared" si="55"/>
        <v>3616</v>
      </c>
      <c r="U284" s="53">
        <f t="shared" si="56"/>
        <v>9.9999999999999978E-2</v>
      </c>
      <c r="V284" s="54">
        <f t="shared" si="57"/>
        <v>451.99999999999989</v>
      </c>
      <c r="W284" s="55">
        <f ca="1">V284*VLOOKUP(TODAY(),'UF HOY'!$A$2:$B$36,2,0)</f>
        <v>17959740.879999995</v>
      </c>
      <c r="X284" s="56">
        <f>Datos!$K$5</f>
        <v>36</v>
      </c>
      <c r="Y284" s="55">
        <f ca="1">IF((W284-Datos!$U$5-1000000)/X284&gt;0,(W284-Datos!$U$5-1000000)/X284,0)</f>
        <v>468326.1355555554</v>
      </c>
      <c r="Z284" s="56">
        <f>Datos!$K$5</f>
        <v>36</v>
      </c>
      <c r="AA284" s="55">
        <f ca="1">IF((W284-Datos!$U$5-1000000-O284*3%*VLOOKUP(TODAY(),'UF HOY'!$A$2:$B$36,2,0))/Z284&gt;0,(W284-Datos!$U$5-1000000-O284*3%*VLOOKUP(TODAY(),'UF HOY'!$A$2:$B$36,2,0))/Z284,0)</f>
        <v>318661.62822222209</v>
      </c>
      <c r="AB284" s="130" cm="1">
        <f t="array" ref="AB284">_xlfn.IFS(AND(L284=0,M284=0),VLOOKUP(D284,Datos!$F$31:$I$33,2,0),AND(L284=0,M284&gt;0),VLOOKUP(D284,Datos!$F$32:$I$33,2,0),AND(L284&gt;0,M284=0),VLOOKUP(D284,Datos!$F$32:$I$33,3,0),AND(L284&gt;0,M284&gt;0),VLOOKUP(D284,Datos!$F$31:$I$33,4,0))</f>
        <v>550000</v>
      </c>
      <c r="AC284" s="55">
        <f ca="1">(S284*PMT(Datos!$G$15,Datos!$G$14,-O284,,)*VLOOKUP(TODAY(),'UF HOY'!$A$2:$B$36,2,0)/12)+VLOOKUP(TODAY(),'UF HOY'!$A$2:$B$36,2,0)</f>
        <v>732143.00367018022</v>
      </c>
      <c r="AD284" s="55">
        <f t="shared" ca="1" si="58"/>
        <v>-182143.00367018022</v>
      </c>
      <c r="AE284" s="93">
        <f t="shared" ca="1" si="59"/>
        <v>2928572.0146807209</v>
      </c>
    </row>
    <row r="285" spans="1:31" s="3" customFormat="1" x14ac:dyDescent="0.35">
      <c r="A285" s="94" t="s">
        <v>346</v>
      </c>
      <c r="B285" s="80">
        <v>2205</v>
      </c>
      <c r="C285" s="48" t="s">
        <v>38</v>
      </c>
      <c r="D285" s="48" t="s">
        <v>37</v>
      </c>
      <c r="E285" s="48"/>
      <c r="F285" s="48">
        <v>36.42</v>
      </c>
      <c r="G285" s="48">
        <v>2.81</v>
      </c>
      <c r="H285" s="82">
        <f t="shared" si="48"/>
        <v>37.825000000000003</v>
      </c>
      <c r="I285" s="82">
        <f t="shared" si="49"/>
        <v>39.230000000000004</v>
      </c>
      <c r="J285" s="49">
        <v>4535</v>
      </c>
      <c r="K285" s="304">
        <v>0</v>
      </c>
      <c r="L285" s="48">
        <v>0</v>
      </c>
      <c r="M285" s="48">
        <v>0</v>
      </c>
      <c r="N285" s="49">
        <f t="shared" si="50"/>
        <v>4081.5</v>
      </c>
      <c r="O285" s="52">
        <f t="shared" si="51"/>
        <v>4535</v>
      </c>
      <c r="P285" s="79">
        <f t="shared" si="52"/>
        <v>107.90482485128882</v>
      </c>
      <c r="Q285" s="53">
        <f t="shared" si="53"/>
        <v>0.1</v>
      </c>
      <c r="R285" s="54">
        <f t="shared" si="54"/>
        <v>453.5</v>
      </c>
      <c r="S285" s="53">
        <v>0.8</v>
      </c>
      <c r="T285" s="54">
        <f t="shared" si="55"/>
        <v>3628</v>
      </c>
      <c r="U285" s="53">
        <f t="shared" si="56"/>
        <v>9.9999999999999978E-2</v>
      </c>
      <c r="V285" s="54">
        <f t="shared" si="57"/>
        <v>453.49999999999989</v>
      </c>
      <c r="W285" s="55">
        <f ca="1">V285*VLOOKUP(TODAY(),'UF HOY'!$A$2:$B$36,2,0)</f>
        <v>18019341.789999995</v>
      </c>
      <c r="X285" s="56">
        <f>Datos!$K$5</f>
        <v>36</v>
      </c>
      <c r="Y285" s="55">
        <f ca="1">IF((W285-Datos!$U$5-1000000)/X285&gt;0,(W285-Datos!$U$5-1000000)/X285,0)</f>
        <v>469981.71638888877</v>
      </c>
      <c r="Z285" s="56">
        <f>Datos!$K$5</f>
        <v>36</v>
      </c>
      <c r="AA285" s="55">
        <f ca="1">IF((W285-Datos!$U$5-1000000-O285*3%*VLOOKUP(TODAY(),'UF HOY'!$A$2:$B$36,2,0))/Z285&gt;0,(W285-Datos!$U$5-1000000-O285*3%*VLOOKUP(TODAY(),'UF HOY'!$A$2:$B$36,2,0))/Z285,0)</f>
        <v>319820.53480555542</v>
      </c>
      <c r="AB285" s="130" cm="1">
        <f t="array" ref="AB285">_xlfn.IFS(AND(L285=0,M285=0),VLOOKUP(D285,Datos!$F$31:$I$33,2,0),AND(L285=0,M285&gt;0),VLOOKUP(D285,Datos!$F$32:$I$33,2,0),AND(L285&gt;0,M285=0),VLOOKUP(D285,Datos!$F$32:$I$33,3,0),AND(L285&gt;0,M285&gt;0),VLOOKUP(D285,Datos!$F$31:$I$33,4,0))</f>
        <v>550000</v>
      </c>
      <c r="AC285" s="55">
        <f ca="1">(S285*PMT(Datos!$G$15,Datos!$G$14,-O285,,)*VLOOKUP(TODAY(),'UF HOY'!$A$2:$B$36,2,0)/12)+VLOOKUP(TODAY(),'UF HOY'!$A$2:$B$36,2,0)</f>
        <v>734440.82135935104</v>
      </c>
      <c r="AD285" s="55">
        <f t="shared" ca="1" si="58"/>
        <v>-184440.82135935104</v>
      </c>
      <c r="AE285" s="93">
        <f t="shared" ca="1" si="59"/>
        <v>2937763.2854374042</v>
      </c>
    </row>
    <row r="286" spans="1:31" s="3" customFormat="1" x14ac:dyDescent="0.35">
      <c r="A286" s="94" t="s">
        <v>346</v>
      </c>
      <c r="B286" s="80">
        <v>2305</v>
      </c>
      <c r="C286" s="48" t="s">
        <v>38</v>
      </c>
      <c r="D286" s="48" t="s">
        <v>37</v>
      </c>
      <c r="E286" s="48"/>
      <c r="F286" s="48">
        <v>36.42</v>
      </c>
      <c r="G286" s="48">
        <v>2.81</v>
      </c>
      <c r="H286" s="82">
        <f t="shared" si="48"/>
        <v>37.825000000000003</v>
      </c>
      <c r="I286" s="82">
        <f t="shared" si="49"/>
        <v>39.230000000000004</v>
      </c>
      <c r="J286" s="49">
        <v>4545</v>
      </c>
      <c r="K286" s="304">
        <v>0</v>
      </c>
      <c r="L286" s="48">
        <v>0</v>
      </c>
      <c r="M286" s="48">
        <v>0</v>
      </c>
      <c r="N286" s="49">
        <f t="shared" si="50"/>
        <v>4090.5</v>
      </c>
      <c r="O286" s="52">
        <f t="shared" si="51"/>
        <v>4545</v>
      </c>
      <c r="P286" s="79">
        <f t="shared" si="52"/>
        <v>108.14276272306675</v>
      </c>
      <c r="Q286" s="53">
        <f t="shared" si="53"/>
        <v>0.1</v>
      </c>
      <c r="R286" s="54">
        <f t="shared" si="54"/>
        <v>454.5</v>
      </c>
      <c r="S286" s="53">
        <v>0.8</v>
      </c>
      <c r="T286" s="54">
        <f t="shared" si="55"/>
        <v>3636</v>
      </c>
      <c r="U286" s="53">
        <f t="shared" si="56"/>
        <v>9.9999999999999978E-2</v>
      </c>
      <c r="V286" s="54">
        <f t="shared" si="57"/>
        <v>454.49999999999989</v>
      </c>
      <c r="W286" s="55">
        <f ca="1">V286*VLOOKUP(TODAY(),'UF HOY'!$A$2:$B$36,2,0)</f>
        <v>18059075.729999997</v>
      </c>
      <c r="X286" s="56">
        <f>Datos!$K$5</f>
        <v>36</v>
      </c>
      <c r="Y286" s="55">
        <f ca="1">IF((W286-Datos!$U$5-1000000)/X286&gt;0,(W286-Datos!$U$5-1000000)/X286,0)</f>
        <v>471085.43694444437</v>
      </c>
      <c r="Z286" s="56">
        <f>Datos!$K$5</f>
        <v>36</v>
      </c>
      <c r="AA286" s="55">
        <f ca="1">IF((W286-Datos!$U$5-1000000-O286*3%*VLOOKUP(TODAY(),'UF HOY'!$A$2:$B$36,2,0))/Z286&gt;0,(W286-Datos!$U$5-1000000-O286*3%*VLOOKUP(TODAY(),'UF HOY'!$A$2:$B$36,2,0))/Z286,0)</f>
        <v>320593.13919444435</v>
      </c>
      <c r="AB286" s="130" cm="1">
        <f t="array" ref="AB286">_xlfn.IFS(AND(L286=0,M286=0),VLOOKUP(D286,Datos!$F$31:$I$33,2,0),AND(L286=0,M286&gt;0),VLOOKUP(D286,Datos!$F$32:$I$33,2,0),AND(L286&gt;0,M286=0),VLOOKUP(D286,Datos!$F$32:$I$33,3,0),AND(L286&gt;0,M286&gt;0),VLOOKUP(D286,Datos!$F$31:$I$33,4,0))</f>
        <v>550000</v>
      </c>
      <c r="AC286" s="55">
        <f ca="1">(S286*PMT(Datos!$G$15,Datos!$G$14,-O286,,)*VLOOKUP(TODAY(),'UF HOY'!$A$2:$B$36,2,0)/12)+VLOOKUP(TODAY(),'UF HOY'!$A$2:$B$36,2,0)</f>
        <v>735972.69981879834</v>
      </c>
      <c r="AD286" s="55">
        <f t="shared" ca="1" si="58"/>
        <v>-185972.69981879834</v>
      </c>
      <c r="AE286" s="93">
        <f t="shared" ca="1" si="59"/>
        <v>2943890.7992751934</v>
      </c>
    </row>
    <row r="287" spans="1:31" s="3" customFormat="1" x14ac:dyDescent="0.35">
      <c r="A287" s="94" t="s">
        <v>346</v>
      </c>
      <c r="B287" s="80">
        <v>2405</v>
      </c>
      <c r="C287" s="48" t="s">
        <v>38</v>
      </c>
      <c r="D287" s="48" t="s">
        <v>37</v>
      </c>
      <c r="E287" s="48"/>
      <c r="F287" s="48">
        <v>36.42</v>
      </c>
      <c r="G287" s="48">
        <v>2.81</v>
      </c>
      <c r="H287" s="82">
        <f t="shared" si="48"/>
        <v>37.825000000000003</v>
      </c>
      <c r="I287" s="82">
        <f t="shared" si="49"/>
        <v>39.230000000000004</v>
      </c>
      <c r="J287" s="49">
        <v>4555</v>
      </c>
      <c r="K287" s="304">
        <v>0</v>
      </c>
      <c r="L287" s="48">
        <v>0</v>
      </c>
      <c r="M287" s="48">
        <v>0</v>
      </c>
      <c r="N287" s="49">
        <f t="shared" si="50"/>
        <v>4099.5</v>
      </c>
      <c r="O287" s="52">
        <f t="shared" si="51"/>
        <v>4555</v>
      </c>
      <c r="P287" s="79">
        <f t="shared" si="52"/>
        <v>108.38070059484467</v>
      </c>
      <c r="Q287" s="53">
        <f t="shared" si="53"/>
        <v>0.1</v>
      </c>
      <c r="R287" s="54">
        <f t="shared" si="54"/>
        <v>455.5</v>
      </c>
      <c r="S287" s="53">
        <v>0.8</v>
      </c>
      <c r="T287" s="54">
        <f t="shared" si="55"/>
        <v>3644</v>
      </c>
      <c r="U287" s="53">
        <f t="shared" si="56"/>
        <v>9.9999999999999978E-2</v>
      </c>
      <c r="V287" s="54">
        <f t="shared" si="57"/>
        <v>455.49999999999989</v>
      </c>
      <c r="W287" s="55">
        <f ca="1">V287*VLOOKUP(TODAY(),'UF HOY'!$A$2:$B$36,2,0)</f>
        <v>18098809.669999998</v>
      </c>
      <c r="X287" s="56">
        <f>Datos!$K$5</f>
        <v>36</v>
      </c>
      <c r="Y287" s="55">
        <f ca="1">IF((W287-Datos!$U$5-1000000)/X287&gt;0,(W287-Datos!$U$5-1000000)/X287,0)</f>
        <v>472189.15749999997</v>
      </c>
      <c r="Z287" s="56">
        <f>Datos!$K$5</f>
        <v>36</v>
      </c>
      <c r="AA287" s="55">
        <f ca="1">IF((W287-Datos!$U$5-1000000-O287*3%*VLOOKUP(TODAY(),'UF HOY'!$A$2:$B$36,2,0))/Z287&gt;0,(W287-Datos!$U$5-1000000-O287*3%*VLOOKUP(TODAY(),'UF HOY'!$A$2:$B$36,2,0))/Z287,0)</f>
        <v>321365.74358333327</v>
      </c>
      <c r="AB287" s="130" cm="1">
        <f t="array" ref="AB287">_xlfn.IFS(AND(L287=0,M287=0),VLOOKUP(D287,Datos!$F$31:$I$33,2,0),AND(L287=0,M287&gt;0),VLOOKUP(D287,Datos!$F$32:$I$33,2,0),AND(L287&gt;0,M287=0),VLOOKUP(D287,Datos!$F$32:$I$33,3,0),AND(L287&gt;0,M287&gt;0),VLOOKUP(D287,Datos!$F$31:$I$33,4,0))</f>
        <v>550000</v>
      </c>
      <c r="AC287" s="55">
        <f ca="1">(S287*PMT(Datos!$G$15,Datos!$G$14,-O287,,)*VLOOKUP(TODAY(),'UF HOY'!$A$2:$B$36,2,0)/12)+VLOOKUP(TODAY(),'UF HOY'!$A$2:$B$36,2,0)</f>
        <v>737504.57827824564</v>
      </c>
      <c r="AD287" s="55">
        <f t="shared" ca="1" si="58"/>
        <v>-187504.57827824564</v>
      </c>
      <c r="AE287" s="93">
        <f t="shared" ca="1" si="59"/>
        <v>2950018.3131129825</v>
      </c>
    </row>
    <row r="288" spans="1:31" s="3" customFormat="1" x14ac:dyDescent="0.35">
      <c r="A288" s="94" t="s">
        <v>346</v>
      </c>
      <c r="B288" s="80">
        <v>2505</v>
      </c>
      <c r="C288" s="48" t="s">
        <v>38</v>
      </c>
      <c r="D288" s="48" t="s">
        <v>37</v>
      </c>
      <c r="E288" s="48"/>
      <c r="F288" s="48">
        <v>36.42</v>
      </c>
      <c r="G288" s="48">
        <v>2.81</v>
      </c>
      <c r="H288" s="82">
        <f t="shared" si="48"/>
        <v>37.825000000000003</v>
      </c>
      <c r="I288" s="82">
        <f t="shared" si="49"/>
        <v>39.230000000000004</v>
      </c>
      <c r="J288" s="49">
        <v>4565</v>
      </c>
      <c r="K288" s="304">
        <v>0</v>
      </c>
      <c r="L288" s="48">
        <v>0</v>
      </c>
      <c r="M288" s="48">
        <v>0</v>
      </c>
      <c r="N288" s="49">
        <f t="shared" si="50"/>
        <v>4108.5</v>
      </c>
      <c r="O288" s="52">
        <f t="shared" si="51"/>
        <v>4565</v>
      </c>
      <c r="P288" s="79">
        <f t="shared" si="52"/>
        <v>108.6186384666226</v>
      </c>
      <c r="Q288" s="53">
        <f t="shared" si="53"/>
        <v>0.1</v>
      </c>
      <c r="R288" s="54">
        <f t="shared" si="54"/>
        <v>456.5</v>
      </c>
      <c r="S288" s="53">
        <v>0.8</v>
      </c>
      <c r="T288" s="54">
        <f t="shared" si="55"/>
        <v>3652</v>
      </c>
      <c r="U288" s="53">
        <f t="shared" si="56"/>
        <v>9.9999999999999978E-2</v>
      </c>
      <c r="V288" s="54">
        <f t="shared" si="57"/>
        <v>456.49999999999989</v>
      </c>
      <c r="W288" s="55">
        <f ca="1">V288*VLOOKUP(TODAY(),'UF HOY'!$A$2:$B$36,2,0)</f>
        <v>18138543.609999996</v>
      </c>
      <c r="X288" s="56">
        <f>Datos!$K$5</f>
        <v>36</v>
      </c>
      <c r="Y288" s="55">
        <f ca="1">IF((W288-Datos!$U$5-1000000)/X288&gt;0,(W288-Datos!$U$5-1000000)/X288,0)</f>
        <v>473292.87805555545</v>
      </c>
      <c r="Z288" s="56">
        <f>Datos!$K$5</f>
        <v>36</v>
      </c>
      <c r="AA288" s="55">
        <f ca="1">IF((W288-Datos!$U$5-1000000-O288*3%*VLOOKUP(TODAY(),'UF HOY'!$A$2:$B$36,2,0))/Z288&gt;0,(W288-Datos!$U$5-1000000-O288*3%*VLOOKUP(TODAY(),'UF HOY'!$A$2:$B$36,2,0))/Z288,0)</f>
        <v>322138.34797222208</v>
      </c>
      <c r="AB288" s="130" cm="1">
        <f t="array" ref="AB288">_xlfn.IFS(AND(L288=0,M288=0),VLOOKUP(D288,Datos!$F$31:$I$33,2,0),AND(L288=0,M288&gt;0),VLOOKUP(D288,Datos!$F$32:$I$33,2,0),AND(L288&gt;0,M288=0),VLOOKUP(D288,Datos!$F$32:$I$33,3,0),AND(L288&gt;0,M288&gt;0),VLOOKUP(D288,Datos!$F$31:$I$33,4,0))</f>
        <v>550000</v>
      </c>
      <c r="AC288" s="55">
        <f ca="1">(S288*PMT(Datos!$G$15,Datos!$G$14,-O288,,)*VLOOKUP(TODAY(),'UF HOY'!$A$2:$B$36,2,0)/12)+VLOOKUP(TODAY(),'UF HOY'!$A$2:$B$36,2,0)</f>
        <v>739036.45673769293</v>
      </c>
      <c r="AD288" s="55">
        <f t="shared" ca="1" si="58"/>
        <v>-189036.45673769293</v>
      </c>
      <c r="AE288" s="93">
        <f t="shared" ca="1" si="59"/>
        <v>2956145.8269507717</v>
      </c>
    </row>
    <row r="289" spans="1:31" s="3" customFormat="1" x14ac:dyDescent="0.35">
      <c r="A289" s="94" t="s">
        <v>346</v>
      </c>
      <c r="B289" s="80">
        <v>2605</v>
      </c>
      <c r="C289" s="48" t="s">
        <v>38</v>
      </c>
      <c r="D289" s="48" t="s">
        <v>37</v>
      </c>
      <c r="E289" s="48"/>
      <c r="F289" s="48">
        <v>36.42</v>
      </c>
      <c r="G289" s="48">
        <v>2.81</v>
      </c>
      <c r="H289" s="82">
        <f t="shared" si="48"/>
        <v>37.825000000000003</v>
      </c>
      <c r="I289" s="82">
        <f t="shared" si="49"/>
        <v>39.230000000000004</v>
      </c>
      <c r="J289" s="49">
        <v>4570</v>
      </c>
      <c r="K289" s="304">
        <v>0</v>
      </c>
      <c r="L289" s="48">
        <v>0</v>
      </c>
      <c r="M289" s="48">
        <v>0</v>
      </c>
      <c r="N289" s="49">
        <f t="shared" si="50"/>
        <v>4113</v>
      </c>
      <c r="O289" s="52">
        <f t="shared" si="51"/>
        <v>4570</v>
      </c>
      <c r="P289" s="79">
        <f t="shared" si="52"/>
        <v>108.73760740251156</v>
      </c>
      <c r="Q289" s="53">
        <f t="shared" si="53"/>
        <v>0.1</v>
      </c>
      <c r="R289" s="54">
        <f t="shared" si="54"/>
        <v>457</v>
      </c>
      <c r="S289" s="53">
        <v>0.8</v>
      </c>
      <c r="T289" s="54">
        <f t="shared" si="55"/>
        <v>3656</v>
      </c>
      <c r="U289" s="53">
        <f t="shared" si="56"/>
        <v>9.9999999999999978E-2</v>
      </c>
      <c r="V289" s="54">
        <f t="shared" si="57"/>
        <v>456.99999999999989</v>
      </c>
      <c r="W289" s="55">
        <f ca="1">V289*VLOOKUP(TODAY(),'UF HOY'!$A$2:$B$36,2,0)</f>
        <v>18158410.579999998</v>
      </c>
      <c r="X289" s="56">
        <f>Datos!$K$5</f>
        <v>36</v>
      </c>
      <c r="Y289" s="55">
        <f ca="1">IF((W289-Datos!$U$5-1000000)/X289&gt;0,(W289-Datos!$U$5-1000000)/X289,0)</f>
        <v>473844.73833333328</v>
      </c>
      <c r="Z289" s="56">
        <f>Datos!$K$5</f>
        <v>36</v>
      </c>
      <c r="AA289" s="55">
        <f ca="1">IF((W289-Datos!$U$5-1000000-O289*3%*VLOOKUP(TODAY(),'UF HOY'!$A$2:$B$36,2,0))/Z289&gt;0,(W289-Datos!$U$5-1000000-O289*3%*VLOOKUP(TODAY(),'UF HOY'!$A$2:$B$36,2,0))/Z289,0)</f>
        <v>322524.65016666666</v>
      </c>
      <c r="AB289" s="130" cm="1">
        <f t="array" ref="AB289">_xlfn.IFS(AND(L289=0,M289=0),VLOOKUP(D289,Datos!$F$31:$I$33,2,0),AND(L289=0,M289&gt;0),VLOOKUP(D289,Datos!$F$32:$I$33,2,0),AND(L289&gt;0,M289=0),VLOOKUP(D289,Datos!$F$32:$I$33,3,0),AND(L289&gt;0,M289&gt;0),VLOOKUP(D289,Datos!$F$31:$I$33,4,0))</f>
        <v>550000</v>
      </c>
      <c r="AC289" s="55">
        <f ca="1">(S289*PMT(Datos!$G$15,Datos!$G$14,-O289,,)*VLOOKUP(TODAY(),'UF HOY'!$A$2:$B$36,2,0)/12)+VLOOKUP(TODAY(),'UF HOY'!$A$2:$B$36,2,0)</f>
        <v>739802.3959674167</v>
      </c>
      <c r="AD289" s="55">
        <f t="shared" ca="1" si="58"/>
        <v>-189802.3959674167</v>
      </c>
      <c r="AE289" s="93">
        <f t="shared" ca="1" si="59"/>
        <v>2959209.5838696668</v>
      </c>
    </row>
    <row r="290" spans="1:31" s="3" customFormat="1" x14ac:dyDescent="0.35">
      <c r="A290" s="94" t="s">
        <v>346</v>
      </c>
      <c r="B290" s="80">
        <v>2705</v>
      </c>
      <c r="C290" s="48" t="s">
        <v>38</v>
      </c>
      <c r="D290" s="48" t="s">
        <v>37</v>
      </c>
      <c r="E290" s="48"/>
      <c r="F290" s="48">
        <v>36.42</v>
      </c>
      <c r="G290" s="48">
        <v>2.81</v>
      </c>
      <c r="H290" s="82">
        <f t="shared" si="48"/>
        <v>37.825000000000003</v>
      </c>
      <c r="I290" s="82">
        <f t="shared" si="49"/>
        <v>39.230000000000004</v>
      </c>
      <c r="J290" s="49">
        <v>4580</v>
      </c>
      <c r="K290" s="304">
        <v>0</v>
      </c>
      <c r="L290" s="48">
        <v>0</v>
      </c>
      <c r="M290" s="48">
        <v>0</v>
      </c>
      <c r="N290" s="49">
        <f t="shared" si="50"/>
        <v>4122</v>
      </c>
      <c r="O290" s="52">
        <f t="shared" si="51"/>
        <v>4580</v>
      </c>
      <c r="P290" s="79">
        <f t="shared" si="52"/>
        <v>108.97554527428949</v>
      </c>
      <c r="Q290" s="53">
        <f t="shared" si="53"/>
        <v>0.1</v>
      </c>
      <c r="R290" s="54">
        <f t="shared" si="54"/>
        <v>458</v>
      </c>
      <c r="S290" s="53">
        <v>0.8</v>
      </c>
      <c r="T290" s="54">
        <f t="shared" si="55"/>
        <v>3664</v>
      </c>
      <c r="U290" s="53">
        <f t="shared" si="56"/>
        <v>9.9999999999999978E-2</v>
      </c>
      <c r="V290" s="54">
        <f t="shared" si="57"/>
        <v>457.99999999999989</v>
      </c>
      <c r="W290" s="55">
        <f ca="1">V290*VLOOKUP(TODAY(),'UF HOY'!$A$2:$B$36,2,0)</f>
        <v>18198144.519999996</v>
      </c>
      <c r="X290" s="56">
        <f>Datos!$K$5</f>
        <v>36</v>
      </c>
      <c r="Y290" s="55">
        <f ca="1">IF((W290-Datos!$U$5-1000000)/X290&gt;0,(W290-Datos!$U$5-1000000)/X290,0)</f>
        <v>474948.45888888877</v>
      </c>
      <c r="Z290" s="56">
        <f>Datos!$K$5</f>
        <v>36</v>
      </c>
      <c r="AA290" s="55">
        <f ca="1">IF((W290-Datos!$U$5-1000000-O290*3%*VLOOKUP(TODAY(),'UF HOY'!$A$2:$B$36,2,0))/Z290&gt;0,(W290-Datos!$U$5-1000000-O290*3%*VLOOKUP(TODAY(),'UF HOY'!$A$2:$B$36,2,0))/Z290,0)</f>
        <v>323297.25455555541</v>
      </c>
      <c r="AB290" s="130" cm="1">
        <f t="array" ref="AB290">_xlfn.IFS(AND(L290=0,M290=0),VLOOKUP(D290,Datos!$F$31:$I$33,2,0),AND(L290=0,M290&gt;0),VLOOKUP(D290,Datos!$F$32:$I$33,2,0),AND(L290&gt;0,M290=0),VLOOKUP(D290,Datos!$F$32:$I$33,3,0),AND(L290&gt;0,M290&gt;0),VLOOKUP(D290,Datos!$F$31:$I$33,4,0))</f>
        <v>550000</v>
      </c>
      <c r="AC290" s="55">
        <f ca="1">(S290*PMT(Datos!$G$15,Datos!$G$14,-O290,,)*VLOOKUP(TODAY(),'UF HOY'!$A$2:$B$36,2,0)/12)+VLOOKUP(TODAY(),'UF HOY'!$A$2:$B$36,2,0)</f>
        <v>741334.27442686399</v>
      </c>
      <c r="AD290" s="55">
        <f t="shared" ca="1" si="58"/>
        <v>-191334.27442686399</v>
      </c>
      <c r="AE290" s="93">
        <f t="shared" ca="1" si="59"/>
        <v>2965337.097707456</v>
      </c>
    </row>
    <row r="291" spans="1:31" s="3" customFormat="1" x14ac:dyDescent="0.35">
      <c r="A291" s="94" t="s">
        <v>346</v>
      </c>
      <c r="B291" s="80">
        <v>2905</v>
      </c>
      <c r="C291" s="48" t="s">
        <v>38</v>
      </c>
      <c r="D291" s="48" t="s">
        <v>37</v>
      </c>
      <c r="E291" s="48"/>
      <c r="F291" s="48">
        <v>36.42</v>
      </c>
      <c r="G291" s="48">
        <v>2.81</v>
      </c>
      <c r="H291" s="82">
        <f t="shared" si="48"/>
        <v>37.825000000000003</v>
      </c>
      <c r="I291" s="82">
        <f t="shared" si="49"/>
        <v>39.230000000000004</v>
      </c>
      <c r="J291" s="49">
        <v>4580</v>
      </c>
      <c r="K291" s="304">
        <v>0</v>
      </c>
      <c r="L291" s="48">
        <v>0</v>
      </c>
      <c r="M291" s="48">
        <v>0</v>
      </c>
      <c r="N291" s="49">
        <f t="shared" si="50"/>
        <v>4122</v>
      </c>
      <c r="O291" s="52">
        <f t="shared" si="51"/>
        <v>4580</v>
      </c>
      <c r="P291" s="79">
        <f t="shared" si="52"/>
        <v>108.97554527428949</v>
      </c>
      <c r="Q291" s="53">
        <f t="shared" si="53"/>
        <v>0.1</v>
      </c>
      <c r="R291" s="54">
        <f t="shared" si="54"/>
        <v>458</v>
      </c>
      <c r="S291" s="53">
        <v>0.8</v>
      </c>
      <c r="T291" s="54">
        <f t="shared" si="55"/>
        <v>3664</v>
      </c>
      <c r="U291" s="53">
        <f t="shared" si="56"/>
        <v>9.9999999999999978E-2</v>
      </c>
      <c r="V291" s="54">
        <f t="shared" si="57"/>
        <v>457.99999999999989</v>
      </c>
      <c r="W291" s="55">
        <f ca="1">V291*VLOOKUP(TODAY(),'UF HOY'!$A$2:$B$36,2,0)</f>
        <v>18198144.519999996</v>
      </c>
      <c r="X291" s="56">
        <f>Datos!$K$5</f>
        <v>36</v>
      </c>
      <c r="Y291" s="55">
        <f ca="1">IF((W291-Datos!$U$5-1000000)/X291&gt;0,(W291-Datos!$U$5-1000000)/X291,0)</f>
        <v>474948.45888888877</v>
      </c>
      <c r="Z291" s="56">
        <f>Datos!$K$5</f>
        <v>36</v>
      </c>
      <c r="AA291" s="55">
        <f ca="1">IF((W291-Datos!$U$5-1000000-O291*3%*VLOOKUP(TODAY(),'UF HOY'!$A$2:$B$36,2,0))/Z291&gt;0,(W291-Datos!$U$5-1000000-O291*3%*VLOOKUP(TODAY(),'UF HOY'!$A$2:$B$36,2,0))/Z291,0)</f>
        <v>323297.25455555541</v>
      </c>
      <c r="AB291" s="130" cm="1">
        <f t="array" ref="AB291">_xlfn.IFS(AND(L291=0,M291=0),VLOOKUP(D291,Datos!$F$31:$I$33,2,0),AND(L291=0,M291&gt;0),VLOOKUP(D291,Datos!$F$32:$I$33,2,0),AND(L291&gt;0,M291=0),VLOOKUP(D291,Datos!$F$32:$I$33,3,0),AND(L291&gt;0,M291&gt;0),VLOOKUP(D291,Datos!$F$31:$I$33,4,0))</f>
        <v>550000</v>
      </c>
      <c r="AC291" s="55">
        <f ca="1">(S291*PMT(Datos!$G$15,Datos!$G$14,-O291,,)*VLOOKUP(TODAY(),'UF HOY'!$A$2:$B$36,2,0)/12)+VLOOKUP(TODAY(),'UF HOY'!$A$2:$B$36,2,0)</f>
        <v>741334.27442686399</v>
      </c>
      <c r="AD291" s="55">
        <f t="shared" ca="1" si="58"/>
        <v>-191334.27442686399</v>
      </c>
      <c r="AE291" s="93">
        <f t="shared" ca="1" si="59"/>
        <v>2965337.097707456</v>
      </c>
    </row>
    <row r="292" spans="1:31" s="3" customFormat="1" x14ac:dyDescent="0.35">
      <c r="A292" s="94" t="s">
        <v>346</v>
      </c>
      <c r="B292" s="80">
        <v>2805</v>
      </c>
      <c r="C292" s="48" t="s">
        <v>38</v>
      </c>
      <c r="D292" s="48" t="s">
        <v>37</v>
      </c>
      <c r="E292" s="48"/>
      <c r="F292" s="48">
        <v>36.42</v>
      </c>
      <c r="G292" s="48">
        <v>2.81</v>
      </c>
      <c r="H292" s="82">
        <f t="shared" si="48"/>
        <v>37.825000000000003</v>
      </c>
      <c r="I292" s="82">
        <f t="shared" si="49"/>
        <v>39.230000000000004</v>
      </c>
      <c r="J292" s="49">
        <v>4590</v>
      </c>
      <c r="K292" s="304">
        <v>0</v>
      </c>
      <c r="L292" s="48">
        <v>0</v>
      </c>
      <c r="M292" s="48">
        <v>0</v>
      </c>
      <c r="N292" s="49">
        <f t="shared" si="50"/>
        <v>4131</v>
      </c>
      <c r="O292" s="52">
        <f t="shared" si="51"/>
        <v>4590</v>
      </c>
      <c r="P292" s="79">
        <f t="shared" si="52"/>
        <v>109.2134831460674</v>
      </c>
      <c r="Q292" s="53">
        <f t="shared" si="53"/>
        <v>0.1</v>
      </c>
      <c r="R292" s="54">
        <f t="shared" si="54"/>
        <v>459</v>
      </c>
      <c r="S292" s="53">
        <v>0.8</v>
      </c>
      <c r="T292" s="54">
        <f t="shared" si="55"/>
        <v>3672</v>
      </c>
      <c r="U292" s="53">
        <f t="shared" si="56"/>
        <v>9.9999999999999978E-2</v>
      </c>
      <c r="V292" s="54">
        <f t="shared" si="57"/>
        <v>458.99999999999989</v>
      </c>
      <c r="W292" s="55">
        <f ca="1">V292*VLOOKUP(TODAY(),'UF HOY'!$A$2:$B$36,2,0)</f>
        <v>18237878.459999997</v>
      </c>
      <c r="X292" s="56">
        <f>Datos!$K$5</f>
        <v>36</v>
      </c>
      <c r="Y292" s="55">
        <f ca="1">IF((W292-Datos!$U$5-1000000)/X292&gt;0,(W292-Datos!$U$5-1000000)/X292,0)</f>
        <v>476052.17944444437</v>
      </c>
      <c r="Z292" s="56">
        <f>Datos!$K$5</f>
        <v>36</v>
      </c>
      <c r="AA292" s="55">
        <f ca="1">IF((W292-Datos!$U$5-1000000-O292*3%*VLOOKUP(TODAY(),'UF HOY'!$A$2:$B$36,2,0))/Z292&gt;0,(W292-Datos!$U$5-1000000-O292*3%*VLOOKUP(TODAY(),'UF HOY'!$A$2:$B$36,2,0))/Z292,0)</f>
        <v>324069.85894444439</v>
      </c>
      <c r="AB292" s="130" cm="1">
        <f t="array" ref="AB292">_xlfn.IFS(AND(L292=0,M292=0),VLOOKUP(D292,Datos!$F$31:$I$33,2,0),AND(L292=0,M292&gt;0),VLOOKUP(D292,Datos!$F$32:$I$33,2,0),AND(L292&gt;0,M292=0),VLOOKUP(D292,Datos!$F$32:$I$33,3,0),AND(L292&gt;0,M292&gt;0),VLOOKUP(D292,Datos!$F$31:$I$33,4,0))</f>
        <v>550000</v>
      </c>
      <c r="AC292" s="55">
        <f ca="1">(S292*PMT(Datos!$G$15,Datos!$G$14,-O292,,)*VLOOKUP(TODAY(),'UF HOY'!$A$2:$B$36,2,0)/12)+VLOOKUP(TODAY(),'UF HOY'!$A$2:$B$36,2,0)</f>
        <v>742866.15288631129</v>
      </c>
      <c r="AD292" s="55">
        <f t="shared" ca="1" si="58"/>
        <v>-192866.15288631129</v>
      </c>
      <c r="AE292" s="93">
        <f t="shared" ca="1" si="59"/>
        <v>2971464.6115452452</v>
      </c>
    </row>
    <row r="293" spans="1:31" s="3" customFormat="1" hidden="1" x14ac:dyDescent="0.35">
      <c r="A293" s="94" t="s">
        <v>342</v>
      </c>
      <c r="B293" s="80">
        <v>411</v>
      </c>
      <c r="C293" s="48" t="s">
        <v>41</v>
      </c>
      <c r="D293" s="48" t="s">
        <v>39</v>
      </c>
      <c r="E293" s="48"/>
      <c r="F293" s="48">
        <v>53.74</v>
      </c>
      <c r="G293" s="48">
        <v>4.1399999999999997</v>
      </c>
      <c r="H293" s="82">
        <f t="shared" si="48"/>
        <v>55.81</v>
      </c>
      <c r="I293" s="82">
        <f t="shared" si="49"/>
        <v>57.88</v>
      </c>
      <c r="J293" s="49">
        <v>5770</v>
      </c>
      <c r="K293" s="305">
        <v>0.02</v>
      </c>
      <c r="L293" s="48">
        <v>400</v>
      </c>
      <c r="M293" s="48">
        <v>70</v>
      </c>
      <c r="N293" s="49">
        <f t="shared" si="50"/>
        <v>5559.1399999999994</v>
      </c>
      <c r="O293" s="52">
        <f t="shared" si="51"/>
        <v>6124.5999999999995</v>
      </c>
      <c r="P293" s="79">
        <f t="shared" si="52"/>
        <v>91.186884070955017</v>
      </c>
      <c r="Q293" s="53">
        <f t="shared" si="53"/>
        <v>9.2299999999999993E-2</v>
      </c>
      <c r="R293" s="54">
        <f t="shared" si="54"/>
        <v>565.46</v>
      </c>
      <c r="S293" s="53">
        <v>0.8</v>
      </c>
      <c r="T293" s="54">
        <f t="shared" si="55"/>
        <v>4899.6799999999994</v>
      </c>
      <c r="U293" s="53">
        <f t="shared" si="56"/>
        <v>0.10769999999999991</v>
      </c>
      <c r="V293" s="54">
        <f t="shared" si="57"/>
        <v>659.61941999999942</v>
      </c>
      <c r="W293" s="55">
        <f ca="1">V293*VLOOKUP(TODAY(),'UF HOY'!$A$2:$B$36,2,0)</f>
        <v>26209278.457114778</v>
      </c>
      <c r="X293" s="56">
        <f>Datos!$K$5</f>
        <v>36</v>
      </c>
      <c r="Y293" s="55">
        <f ca="1">IF((W293-Datos!$U$5-1000000)/X293&gt;0,(W293-Datos!$U$5-1000000)/X293,0)</f>
        <v>697479.95714207715</v>
      </c>
      <c r="Z293" s="56">
        <f>Datos!$K$5</f>
        <v>36</v>
      </c>
      <c r="AA293" s="55">
        <f ca="1">IF((W293-Datos!$U$5-1000000-O293*3%*VLOOKUP(TODAY(),'UF HOY'!$A$2:$B$36,2,0))/Z293&gt;0,(W293-Datos!$U$5-1000000-O293*3%*VLOOKUP(TODAY(),'UF HOY'!$A$2:$B$36,2,0))/Z293,0)</f>
        <v>494684.54970541061</v>
      </c>
      <c r="AB293" s="130" cm="1">
        <f t="array" ref="AB293">_xlfn.IFS(AND(L293=0,M293=0),VLOOKUP(D293,Datos!$F$31:$I$33,2,0),AND(L293=0,M293&gt;0),VLOOKUP(D293,Datos!$F$32:$I$33,2,0),AND(L293&gt;0,M293=0),VLOOKUP(D293,Datos!$F$32:$I$33,3,0),AND(L293&gt;0,M293&gt;0),VLOOKUP(D293,Datos!$F$31:$I$33,4,0))</f>
        <v>700000</v>
      </c>
      <c r="AC293" s="55">
        <f ca="1">(S293*PMT(Datos!$G$15,Datos!$G$14,-O293,,)*VLOOKUP(TODAY(),'UF HOY'!$A$2:$B$36,2,0)/12)+VLOOKUP(TODAY(),'UF HOY'!$A$2:$B$36,2,0)</f>
        <v>977948.22127309395</v>
      </c>
      <c r="AD293" s="55">
        <f t="shared" ca="1" si="58"/>
        <v>-277948.22127309395</v>
      </c>
      <c r="AE293" s="93">
        <f t="shared" ca="1" si="59"/>
        <v>3911792.8850923758</v>
      </c>
    </row>
    <row r="294" spans="1:31" s="3" customFormat="1" hidden="1" x14ac:dyDescent="0.35">
      <c r="A294" s="94" t="s">
        <v>342</v>
      </c>
      <c r="B294" s="80">
        <v>511</v>
      </c>
      <c r="C294" s="48" t="s">
        <v>41</v>
      </c>
      <c r="D294" s="48" t="s">
        <v>39</v>
      </c>
      <c r="E294" s="48"/>
      <c r="F294" s="48">
        <v>54.01</v>
      </c>
      <c r="G294" s="48">
        <v>4.04</v>
      </c>
      <c r="H294" s="82">
        <f t="shared" si="48"/>
        <v>56.03</v>
      </c>
      <c r="I294" s="82">
        <f t="shared" si="49"/>
        <v>58.05</v>
      </c>
      <c r="J294" s="49">
        <v>5875</v>
      </c>
      <c r="K294" s="305">
        <v>0.02</v>
      </c>
      <c r="L294" s="48">
        <v>400</v>
      </c>
      <c r="M294" s="48">
        <v>70</v>
      </c>
      <c r="N294" s="49">
        <f t="shared" si="50"/>
        <v>5651.75</v>
      </c>
      <c r="O294" s="52">
        <f t="shared" si="51"/>
        <v>6227.5</v>
      </c>
      <c r="P294" s="79">
        <f t="shared" si="52"/>
        <v>92.48170622880599</v>
      </c>
      <c r="Q294" s="53">
        <f t="shared" si="53"/>
        <v>9.2499999999999999E-2</v>
      </c>
      <c r="R294" s="54">
        <f t="shared" si="54"/>
        <v>575.75</v>
      </c>
      <c r="S294" s="53">
        <v>0.8</v>
      </c>
      <c r="T294" s="54">
        <f t="shared" si="55"/>
        <v>4982</v>
      </c>
      <c r="U294" s="53">
        <f t="shared" si="56"/>
        <v>0.10749999999999993</v>
      </c>
      <c r="V294" s="54">
        <f t="shared" si="57"/>
        <v>669.45624999999961</v>
      </c>
      <c r="W294" s="55">
        <f ca="1">V294*VLOOKUP(TODAY(),'UF HOY'!$A$2:$B$36,2,0)</f>
        <v>26600134.470124986</v>
      </c>
      <c r="X294" s="56">
        <f>Datos!$K$5</f>
        <v>36</v>
      </c>
      <c r="Y294" s="55">
        <f ca="1">IF((W294-Datos!$U$5-1000000)/X294&gt;0,(W294-Datos!$U$5-1000000)/X294,0)</f>
        <v>708337.068614583</v>
      </c>
      <c r="Z294" s="56">
        <f>Datos!$K$5</f>
        <v>36</v>
      </c>
      <c r="AA294" s="55">
        <f ca="1">IF((W294-Datos!$U$5-1000000-O294*3%*VLOOKUP(TODAY(),'UF HOY'!$A$2:$B$36,2,0))/Z294&gt;0,(W294-Datos!$U$5-1000000-O294*3%*VLOOKUP(TODAY(),'UF HOY'!$A$2:$B$36,2,0))/Z294,0)</f>
        <v>502134.47582291625</v>
      </c>
      <c r="AB294" s="130" cm="1">
        <f t="array" ref="AB294">_xlfn.IFS(AND(L294=0,M294=0),VLOOKUP(D294,Datos!$F$31:$I$33,2,0),AND(L294=0,M294&gt;0),VLOOKUP(D294,Datos!$F$32:$I$33,2,0),AND(L294&gt;0,M294=0),VLOOKUP(D294,Datos!$F$32:$I$33,3,0),AND(L294&gt;0,M294&gt;0),VLOOKUP(D294,Datos!$F$31:$I$33,4,0))</f>
        <v>700000</v>
      </c>
      <c r="AC294" s="55">
        <f ca="1">(S294*PMT(Datos!$G$15,Datos!$G$14,-O294,,)*VLOOKUP(TODAY(),'UF HOY'!$A$2:$B$36,2,0)/12)+VLOOKUP(TODAY(),'UF HOY'!$A$2:$B$36,2,0)</f>
        <v>993711.25062080682</v>
      </c>
      <c r="AD294" s="55">
        <f t="shared" ca="1" si="58"/>
        <v>-293711.25062080682</v>
      </c>
      <c r="AE294" s="93">
        <f t="shared" ca="1" si="59"/>
        <v>3974845.0024832273</v>
      </c>
    </row>
    <row r="295" spans="1:31" s="3" customFormat="1" hidden="1" x14ac:dyDescent="0.35">
      <c r="A295" s="94" t="s">
        <v>342</v>
      </c>
      <c r="B295" s="80">
        <v>408</v>
      </c>
      <c r="C295" s="48" t="s">
        <v>40</v>
      </c>
      <c r="D295" s="48" t="s">
        <v>39</v>
      </c>
      <c r="E295" s="48"/>
      <c r="F295" s="48">
        <v>52.93</v>
      </c>
      <c r="G295" s="48">
        <v>5.74</v>
      </c>
      <c r="H295" s="82">
        <f t="shared" si="48"/>
        <v>55.8</v>
      </c>
      <c r="I295" s="82">
        <f t="shared" si="49"/>
        <v>58.67</v>
      </c>
      <c r="J295" s="49">
        <v>5885</v>
      </c>
      <c r="K295" s="305">
        <v>0.02</v>
      </c>
      <c r="L295" s="48">
        <v>400</v>
      </c>
      <c r="M295" s="48">
        <v>70</v>
      </c>
      <c r="N295" s="49">
        <f t="shared" si="50"/>
        <v>5660.57</v>
      </c>
      <c r="O295" s="52">
        <f t="shared" si="51"/>
        <v>6237.3</v>
      </c>
      <c r="P295" s="79">
        <f t="shared" si="52"/>
        <v>93.020967741935479</v>
      </c>
      <c r="Q295" s="53">
        <f t="shared" si="53"/>
        <v>9.2499999999999999E-2</v>
      </c>
      <c r="R295" s="54">
        <f t="shared" si="54"/>
        <v>576.73</v>
      </c>
      <c r="S295" s="53">
        <v>0.8</v>
      </c>
      <c r="T295" s="54">
        <f t="shared" si="55"/>
        <v>4989.84</v>
      </c>
      <c r="U295" s="53">
        <f t="shared" si="56"/>
        <v>0.10749999999999993</v>
      </c>
      <c r="V295" s="54">
        <f t="shared" si="57"/>
        <v>670.5097499999996</v>
      </c>
      <c r="W295" s="55">
        <f ca="1">V295*VLOOKUP(TODAY(),'UF HOY'!$A$2:$B$36,2,0)</f>
        <v>26641994.175914984</v>
      </c>
      <c r="X295" s="56">
        <f>Datos!$K$5</f>
        <v>36</v>
      </c>
      <c r="Y295" s="55">
        <f ca="1">IF((W295-Datos!$U$5-1000000)/X295&gt;0,(W295-Datos!$U$5-1000000)/X295,0)</f>
        <v>709499.83821986069</v>
      </c>
      <c r="Z295" s="56">
        <f>Datos!$K$5</f>
        <v>36</v>
      </c>
      <c r="AA295" s="55">
        <f ca="1">IF((W295-Datos!$U$5-1000000-O295*3%*VLOOKUP(TODAY(),'UF HOY'!$A$2:$B$36,2,0))/Z295&gt;0,(W295-Datos!$U$5-1000000-O295*3%*VLOOKUP(TODAY(),'UF HOY'!$A$2:$B$36,2,0))/Z295,0)</f>
        <v>502972.75158486061</v>
      </c>
      <c r="AB295" s="130" cm="1">
        <f t="array" ref="AB295">_xlfn.IFS(AND(L295=0,M295=0),VLOOKUP(D295,Datos!$F$31:$I$33,2,0),AND(L295=0,M295&gt;0),VLOOKUP(D295,Datos!$F$32:$I$33,2,0),AND(L295&gt;0,M295=0),VLOOKUP(D295,Datos!$F$32:$I$33,3,0),AND(L295&gt;0,M295&gt;0),VLOOKUP(D295,Datos!$F$31:$I$33,4,0))</f>
        <v>700000</v>
      </c>
      <c r="AC295" s="55">
        <f ca="1">(S295*PMT(Datos!$G$15,Datos!$G$14,-O295,,)*VLOOKUP(TODAY(),'UF HOY'!$A$2:$B$36,2,0)/12)+VLOOKUP(TODAY(),'UF HOY'!$A$2:$B$36,2,0)</f>
        <v>995212.49151106551</v>
      </c>
      <c r="AD295" s="55">
        <f t="shared" ca="1" si="58"/>
        <v>-295212.49151106551</v>
      </c>
      <c r="AE295" s="93">
        <f t="shared" ca="1" si="59"/>
        <v>3980849.9660442621</v>
      </c>
    </row>
    <row r="296" spans="1:31" s="3" customFormat="1" hidden="1" x14ac:dyDescent="0.35">
      <c r="A296" s="94" t="s">
        <v>342</v>
      </c>
      <c r="B296" s="80">
        <v>611</v>
      </c>
      <c r="C296" s="48" t="s">
        <v>41</v>
      </c>
      <c r="D296" s="48" t="s">
        <v>39</v>
      </c>
      <c r="E296" s="48"/>
      <c r="F296" s="48">
        <v>54.01</v>
      </c>
      <c r="G296" s="48">
        <v>4.04</v>
      </c>
      <c r="H296" s="82">
        <f t="shared" si="48"/>
        <v>56.03</v>
      </c>
      <c r="I296" s="82">
        <f t="shared" si="49"/>
        <v>58.05</v>
      </c>
      <c r="J296" s="49">
        <v>5895</v>
      </c>
      <c r="K296" s="305">
        <v>0.02</v>
      </c>
      <c r="L296" s="48">
        <v>400</v>
      </c>
      <c r="M296" s="48">
        <v>70</v>
      </c>
      <c r="N296" s="49">
        <f t="shared" si="50"/>
        <v>5669.3899999999994</v>
      </c>
      <c r="O296" s="52">
        <f t="shared" si="51"/>
        <v>6247.0999999999995</v>
      </c>
      <c r="P296" s="79">
        <f t="shared" si="52"/>
        <v>92.796537569159369</v>
      </c>
      <c r="Q296" s="53">
        <f t="shared" si="53"/>
        <v>9.2499999999999999E-2</v>
      </c>
      <c r="R296" s="54">
        <f t="shared" si="54"/>
        <v>577.71</v>
      </c>
      <c r="S296" s="53">
        <v>0.8</v>
      </c>
      <c r="T296" s="54">
        <f t="shared" si="55"/>
        <v>4997.68</v>
      </c>
      <c r="U296" s="53">
        <f t="shared" si="56"/>
        <v>0.10749999999999993</v>
      </c>
      <c r="V296" s="54">
        <f t="shared" si="57"/>
        <v>671.56324999999947</v>
      </c>
      <c r="W296" s="55">
        <f ca="1">V296*VLOOKUP(TODAY(),'UF HOY'!$A$2:$B$36,2,0)</f>
        <v>26683853.881704982</v>
      </c>
      <c r="X296" s="56">
        <f>Datos!$K$5</f>
        <v>36</v>
      </c>
      <c r="Y296" s="55">
        <f ca="1">IF((W296-Datos!$U$5-1000000)/X296&gt;0,(W296-Datos!$U$5-1000000)/X296,0)</f>
        <v>710662.60782513837</v>
      </c>
      <c r="Z296" s="56">
        <f>Datos!$K$5</f>
        <v>36</v>
      </c>
      <c r="AA296" s="55">
        <f ca="1">IF((W296-Datos!$U$5-1000000-O296*3%*VLOOKUP(TODAY(),'UF HOY'!$A$2:$B$36,2,0))/Z296&gt;0,(W296-Datos!$U$5-1000000-O296*3%*VLOOKUP(TODAY(),'UF HOY'!$A$2:$B$36,2,0))/Z296,0)</f>
        <v>503811.02734680503</v>
      </c>
      <c r="AB296" s="130" cm="1">
        <f t="array" ref="AB296">_xlfn.IFS(AND(L296=0,M296=0),VLOOKUP(D296,Datos!$F$31:$I$33,2,0),AND(L296=0,M296&gt;0),VLOOKUP(D296,Datos!$F$32:$I$33,2,0),AND(L296&gt;0,M296=0),VLOOKUP(D296,Datos!$F$32:$I$33,3,0),AND(L296&gt;0,M296&gt;0),VLOOKUP(D296,Datos!$F$31:$I$33,4,0))</f>
        <v>700000</v>
      </c>
      <c r="AC296" s="55">
        <f ca="1">(S296*PMT(Datos!$G$15,Datos!$G$14,-O296,,)*VLOOKUP(TODAY(),'UF HOY'!$A$2:$B$36,2,0)/12)+VLOOKUP(TODAY(),'UF HOY'!$A$2:$B$36,2,0)</f>
        <v>996713.7324013235</v>
      </c>
      <c r="AD296" s="55">
        <f t="shared" ca="1" si="58"/>
        <v>-296713.7324013235</v>
      </c>
      <c r="AE296" s="93">
        <f t="shared" ca="1" si="59"/>
        <v>3986854.929605294</v>
      </c>
    </row>
    <row r="297" spans="1:31" s="3" customFormat="1" hidden="1" x14ac:dyDescent="0.35">
      <c r="A297" s="94" t="s">
        <v>342</v>
      </c>
      <c r="B297" s="80">
        <v>508</v>
      </c>
      <c r="C297" s="48" t="s">
        <v>40</v>
      </c>
      <c r="D297" s="48" t="s">
        <v>39</v>
      </c>
      <c r="E297" s="48"/>
      <c r="F297" s="48">
        <v>52.89</v>
      </c>
      <c r="G297" s="48">
        <v>5.74</v>
      </c>
      <c r="H297" s="82">
        <f t="shared" si="48"/>
        <v>55.76</v>
      </c>
      <c r="I297" s="82">
        <f t="shared" si="49"/>
        <v>58.63</v>
      </c>
      <c r="J297" s="49">
        <v>5900</v>
      </c>
      <c r="K297" s="305">
        <v>0.02</v>
      </c>
      <c r="L297" s="48">
        <v>400</v>
      </c>
      <c r="M297" s="48">
        <v>70</v>
      </c>
      <c r="N297" s="49">
        <f t="shared" si="50"/>
        <v>5673.8</v>
      </c>
      <c r="O297" s="52">
        <f t="shared" si="51"/>
        <v>6252</v>
      </c>
      <c r="P297" s="79">
        <f t="shared" si="52"/>
        <v>93.324964131994264</v>
      </c>
      <c r="Q297" s="53">
        <f t="shared" si="53"/>
        <v>9.2499999999999999E-2</v>
      </c>
      <c r="R297" s="54">
        <f t="shared" si="54"/>
        <v>578.20000000000005</v>
      </c>
      <c r="S297" s="53">
        <v>0.8</v>
      </c>
      <c r="T297" s="54">
        <f t="shared" si="55"/>
        <v>5001.6000000000004</v>
      </c>
      <c r="U297" s="53">
        <f t="shared" si="56"/>
        <v>0.10749999999999993</v>
      </c>
      <c r="V297" s="54">
        <f t="shared" si="57"/>
        <v>672.08999999999958</v>
      </c>
      <c r="W297" s="55">
        <f ca="1">V297*VLOOKUP(TODAY(),'UF HOY'!$A$2:$B$36,2,0)</f>
        <v>26704783.734599985</v>
      </c>
      <c r="X297" s="56">
        <f>Datos!$K$5</f>
        <v>36</v>
      </c>
      <c r="Y297" s="55">
        <f ca="1">IF((W297-Datos!$U$5-1000000)/X297&gt;0,(W297-Datos!$U$5-1000000)/X297,0)</f>
        <v>711243.99262777739</v>
      </c>
      <c r="Z297" s="56">
        <f>Datos!$K$5</f>
        <v>36</v>
      </c>
      <c r="AA297" s="55">
        <f ca="1">IF((W297-Datos!$U$5-1000000-O297*3%*VLOOKUP(TODAY(),'UF HOY'!$A$2:$B$36,2,0))/Z297&gt;0,(W297-Datos!$U$5-1000000-O297*3%*VLOOKUP(TODAY(),'UF HOY'!$A$2:$B$36,2,0))/Z297,0)</f>
        <v>504230.16522777732</v>
      </c>
      <c r="AB297" s="130" cm="1">
        <f t="array" ref="AB297">_xlfn.IFS(AND(L297=0,M297=0),VLOOKUP(D297,Datos!$F$31:$I$33,2,0),AND(L297=0,M297&gt;0),VLOOKUP(D297,Datos!$F$32:$I$33,2,0),AND(L297&gt;0,M297=0),VLOOKUP(D297,Datos!$F$32:$I$33,3,0),AND(L297&gt;0,M297&gt;0),VLOOKUP(D297,Datos!$F$31:$I$33,4,0))</f>
        <v>700000</v>
      </c>
      <c r="AC297" s="55">
        <f ca="1">(S297*PMT(Datos!$G$15,Datos!$G$14,-O297,,)*VLOOKUP(TODAY(),'UF HOY'!$A$2:$B$36,2,0)/12)+VLOOKUP(TODAY(),'UF HOY'!$A$2:$B$36,2,0)</f>
        <v>997464.3528464525</v>
      </c>
      <c r="AD297" s="55">
        <f t="shared" ca="1" si="58"/>
        <v>-297464.3528464525</v>
      </c>
      <c r="AE297" s="93">
        <f t="shared" ca="1" si="59"/>
        <v>3989857.41138581</v>
      </c>
    </row>
    <row r="298" spans="1:31" s="3" customFormat="1" hidden="1" x14ac:dyDescent="0.35">
      <c r="A298" s="94" t="s">
        <v>342</v>
      </c>
      <c r="B298" s="80">
        <v>711</v>
      </c>
      <c r="C298" s="48" t="s">
        <v>41</v>
      </c>
      <c r="D298" s="48" t="s">
        <v>39</v>
      </c>
      <c r="E298" s="48"/>
      <c r="F298" s="48">
        <v>54.01</v>
      </c>
      <c r="G298" s="48">
        <v>4.04</v>
      </c>
      <c r="H298" s="82">
        <f t="shared" si="48"/>
        <v>56.03</v>
      </c>
      <c r="I298" s="82">
        <f t="shared" si="49"/>
        <v>58.05</v>
      </c>
      <c r="J298" s="49">
        <v>5920</v>
      </c>
      <c r="K298" s="305">
        <v>0.02</v>
      </c>
      <c r="L298" s="48">
        <v>400</v>
      </c>
      <c r="M298" s="48">
        <v>70</v>
      </c>
      <c r="N298" s="49">
        <f t="shared" si="50"/>
        <v>5691.44</v>
      </c>
      <c r="O298" s="52">
        <f t="shared" si="51"/>
        <v>6271.5999999999995</v>
      </c>
      <c r="P298" s="79">
        <f t="shared" si="52"/>
        <v>93.1900767446011</v>
      </c>
      <c r="Q298" s="53">
        <f t="shared" si="53"/>
        <v>9.2499999999999999E-2</v>
      </c>
      <c r="R298" s="54">
        <f t="shared" si="54"/>
        <v>580.16000000000008</v>
      </c>
      <c r="S298" s="53">
        <v>0.8</v>
      </c>
      <c r="T298" s="54">
        <f t="shared" si="55"/>
        <v>5017.28</v>
      </c>
      <c r="U298" s="53">
        <f t="shared" si="56"/>
        <v>0.10749999999999993</v>
      </c>
      <c r="V298" s="54">
        <f t="shared" si="57"/>
        <v>674.19699999999955</v>
      </c>
      <c r="W298" s="55">
        <f ca="1">V298*VLOOKUP(TODAY(),'UF HOY'!$A$2:$B$36,2,0)</f>
        <v>26788503.146179985</v>
      </c>
      <c r="X298" s="56">
        <f>Datos!$K$5</f>
        <v>36</v>
      </c>
      <c r="Y298" s="55">
        <f ca="1">IF((W298-Datos!$U$5-1000000)/X298&gt;0,(W298-Datos!$U$5-1000000)/X298,0)</f>
        <v>713569.53183833288</v>
      </c>
      <c r="Z298" s="56">
        <f>Datos!$K$5</f>
        <v>36</v>
      </c>
      <c r="AA298" s="55">
        <f ca="1">IF((W298-Datos!$U$5-1000000-O298*3%*VLOOKUP(TODAY(),'UF HOY'!$A$2:$B$36,2,0))/Z298&gt;0,(W298-Datos!$U$5-1000000-O298*3%*VLOOKUP(TODAY(),'UF HOY'!$A$2:$B$36,2,0))/Z298,0)</f>
        <v>505906.71675166633</v>
      </c>
      <c r="AB298" s="130" cm="1">
        <f t="array" ref="AB298">_xlfn.IFS(AND(L298=0,M298=0),VLOOKUP(D298,Datos!$F$31:$I$33,2,0),AND(L298=0,M298&gt;0),VLOOKUP(D298,Datos!$F$32:$I$33,2,0),AND(L298&gt;0,M298=0),VLOOKUP(D298,Datos!$F$32:$I$33,3,0),AND(L298&gt;0,M298&gt;0),VLOOKUP(D298,Datos!$F$31:$I$33,4,0))</f>
        <v>700000</v>
      </c>
      <c r="AC298" s="55">
        <f ca="1">(S298*PMT(Datos!$G$15,Datos!$G$14,-O298,,)*VLOOKUP(TODAY(),'UF HOY'!$A$2:$B$36,2,0)/12)+VLOOKUP(TODAY(),'UF HOY'!$A$2:$B$36,2,0)</f>
        <v>1000466.8346269694</v>
      </c>
      <c r="AD298" s="55">
        <f t="shared" ca="1" si="58"/>
        <v>-300466.83462696942</v>
      </c>
      <c r="AE298" s="93">
        <f t="shared" ca="1" si="59"/>
        <v>4001867.3385078777</v>
      </c>
    </row>
    <row r="299" spans="1:31" s="3" customFormat="1" x14ac:dyDescent="0.35">
      <c r="A299" s="94" t="s">
        <v>346</v>
      </c>
      <c r="B299" s="80">
        <v>608</v>
      </c>
      <c r="C299" s="48" t="s">
        <v>40</v>
      </c>
      <c r="D299" s="48" t="s">
        <v>39</v>
      </c>
      <c r="E299" s="48"/>
      <c r="F299" s="48">
        <v>52.89</v>
      </c>
      <c r="G299" s="48">
        <v>5.74</v>
      </c>
      <c r="H299" s="82">
        <f t="shared" si="48"/>
        <v>55.76</v>
      </c>
      <c r="I299" s="82">
        <f t="shared" si="49"/>
        <v>58.63</v>
      </c>
      <c r="J299" s="49">
        <v>5925</v>
      </c>
      <c r="K299" s="304">
        <v>0</v>
      </c>
      <c r="L299" s="48">
        <v>400</v>
      </c>
      <c r="M299" s="48">
        <v>70</v>
      </c>
      <c r="N299" s="49">
        <f t="shared" si="50"/>
        <v>5802.5</v>
      </c>
      <c r="O299" s="52">
        <f t="shared" si="51"/>
        <v>6395</v>
      </c>
      <c r="P299" s="79">
        <f t="shared" si="52"/>
        <v>95.633070301291255</v>
      </c>
      <c r="Q299" s="53">
        <f t="shared" si="53"/>
        <v>9.2700000000000005E-2</v>
      </c>
      <c r="R299" s="54">
        <f t="shared" si="54"/>
        <v>592.5</v>
      </c>
      <c r="S299" s="53">
        <v>0.8</v>
      </c>
      <c r="T299" s="54">
        <f t="shared" si="55"/>
        <v>5116</v>
      </c>
      <c r="U299" s="53">
        <f t="shared" si="56"/>
        <v>0.10729999999999995</v>
      </c>
      <c r="V299" s="54">
        <f t="shared" si="57"/>
        <v>686.18349999999964</v>
      </c>
      <c r="W299" s="55">
        <f ca="1">V299*VLOOKUP(TODAY(),'UF HOY'!$A$2:$B$36,2,0)</f>
        <v>27264774.017989986</v>
      </c>
      <c r="X299" s="56">
        <f>Datos!$K$5</f>
        <v>36</v>
      </c>
      <c r="Y299" s="55">
        <f ca="1">IF((W299-Datos!$U$5-1000000)/X299&gt;0,(W299-Datos!$U$5-1000000)/X299,0)</f>
        <v>726799.2782774996</v>
      </c>
      <c r="Z299" s="56">
        <f>Datos!$K$5</f>
        <v>36</v>
      </c>
      <c r="AA299" s="55">
        <f ca="1">IF((W299-Datos!$U$5-1000000-O299*3%*VLOOKUP(TODAY(),'UF HOY'!$A$2:$B$36,2,0))/Z299&gt;0,(W299-Datos!$U$5-1000000-O299*3%*VLOOKUP(TODAY(),'UF HOY'!$A$2:$B$36,2,0))/Z299,0)</f>
        <v>515050.48969416629</v>
      </c>
      <c r="AB299" s="130" cm="1">
        <f t="array" ref="AB299">_xlfn.IFS(AND(L299=0,M299=0),VLOOKUP(D299,Datos!$F$31:$I$33,2,0),AND(L299=0,M299&gt;0),VLOOKUP(D299,Datos!$F$32:$I$33,2,0),AND(L299&gt;0,M299=0),VLOOKUP(D299,Datos!$F$32:$I$33,3,0),AND(L299&gt;0,M299&gt;0),VLOOKUP(D299,Datos!$F$31:$I$33,4,0))</f>
        <v>700000</v>
      </c>
      <c r="AC299" s="55">
        <f ca="1">(S299*PMT(Datos!$G$15,Datos!$G$14,-O299,,)*VLOOKUP(TODAY(),'UF HOY'!$A$2:$B$36,2,0)/12)+VLOOKUP(TODAY(),'UF HOY'!$A$2:$B$36,2,0)</f>
        <v>1019370.2148165493</v>
      </c>
      <c r="AD299" s="55">
        <f t="shared" ca="1" si="58"/>
        <v>-319370.21481654933</v>
      </c>
      <c r="AE299" s="93">
        <f t="shared" ca="1" si="59"/>
        <v>4077480.8592661973</v>
      </c>
    </row>
    <row r="300" spans="1:31" s="3" customFormat="1" hidden="1" x14ac:dyDescent="0.35">
      <c r="A300" s="94" t="s">
        <v>342</v>
      </c>
      <c r="B300" s="80">
        <v>811</v>
      </c>
      <c r="C300" s="48" t="s">
        <v>41</v>
      </c>
      <c r="D300" s="48" t="s">
        <v>39</v>
      </c>
      <c r="E300" s="48"/>
      <c r="F300" s="48">
        <v>54.01</v>
      </c>
      <c r="G300" s="48">
        <v>4.04</v>
      </c>
      <c r="H300" s="82">
        <f t="shared" si="48"/>
        <v>56.03</v>
      </c>
      <c r="I300" s="82">
        <f t="shared" si="49"/>
        <v>58.05</v>
      </c>
      <c r="J300" s="49">
        <v>5945</v>
      </c>
      <c r="K300" s="305">
        <v>0.02</v>
      </c>
      <c r="L300" s="48">
        <v>400</v>
      </c>
      <c r="M300" s="48">
        <v>70</v>
      </c>
      <c r="N300" s="49">
        <f t="shared" si="50"/>
        <v>5713.49</v>
      </c>
      <c r="O300" s="52">
        <f t="shared" si="51"/>
        <v>6296.0999999999995</v>
      </c>
      <c r="P300" s="79">
        <f t="shared" si="52"/>
        <v>93.583615920042831</v>
      </c>
      <c r="Q300" s="53">
        <f t="shared" si="53"/>
        <v>9.2499999999999999E-2</v>
      </c>
      <c r="R300" s="54">
        <f t="shared" si="54"/>
        <v>582.61</v>
      </c>
      <c r="S300" s="53">
        <v>0.8</v>
      </c>
      <c r="T300" s="54">
        <f t="shared" si="55"/>
        <v>5036.88</v>
      </c>
      <c r="U300" s="53">
        <f t="shared" si="56"/>
        <v>0.10749999999999993</v>
      </c>
      <c r="V300" s="54">
        <f t="shared" si="57"/>
        <v>676.83074999999951</v>
      </c>
      <c r="W300" s="55">
        <f ca="1">V300*VLOOKUP(TODAY(),'UF HOY'!$A$2:$B$36,2,0)</f>
        <v>26893152.410654981</v>
      </c>
      <c r="X300" s="56">
        <f>Datos!$K$5</f>
        <v>36</v>
      </c>
      <c r="Y300" s="55">
        <f ca="1">IF((W300-Datos!$U$5-1000000)/X300&gt;0,(W300-Datos!$U$5-1000000)/X300,0)</f>
        <v>716476.45585152728</v>
      </c>
      <c r="Z300" s="56">
        <f>Datos!$K$5</f>
        <v>36</v>
      </c>
      <c r="AA300" s="55">
        <f ca="1">IF((W300-Datos!$U$5-1000000-O300*3%*VLOOKUP(TODAY(),'UF HOY'!$A$2:$B$36,2,0))/Z300&gt;0,(W300-Datos!$U$5-1000000-O300*3%*VLOOKUP(TODAY(),'UF HOY'!$A$2:$B$36,2,0))/Z300,0)</f>
        <v>508002.40615652729</v>
      </c>
      <c r="AB300" s="130" cm="1">
        <f t="array" ref="AB300">_xlfn.IFS(AND(L300=0,M300=0),VLOOKUP(D300,Datos!$F$31:$I$33,2,0),AND(L300=0,M300&gt;0),VLOOKUP(D300,Datos!$F$32:$I$33,2,0),AND(L300&gt;0,M300=0),VLOOKUP(D300,Datos!$F$32:$I$33,3,0),AND(L300&gt;0,M300&gt;0),VLOOKUP(D300,Datos!$F$31:$I$33,4,0))</f>
        <v>700000</v>
      </c>
      <c r="AC300" s="55">
        <f ca="1">(S300*PMT(Datos!$G$15,Datos!$G$14,-O300,,)*VLOOKUP(TODAY(),'UF HOY'!$A$2:$B$36,2,0)/12)+VLOOKUP(TODAY(),'UF HOY'!$A$2:$B$36,2,0)</f>
        <v>1004219.9368526153</v>
      </c>
      <c r="AD300" s="55">
        <f t="shared" ca="1" si="58"/>
        <v>-304219.93685261533</v>
      </c>
      <c r="AE300" s="93">
        <f t="shared" ca="1" si="59"/>
        <v>4016879.7474104613</v>
      </c>
    </row>
    <row r="301" spans="1:31" s="3" customFormat="1" x14ac:dyDescent="0.35">
      <c r="A301" s="94" t="s">
        <v>346</v>
      </c>
      <c r="B301" s="80">
        <v>708</v>
      </c>
      <c r="C301" s="48" t="s">
        <v>40</v>
      </c>
      <c r="D301" s="48" t="s">
        <v>39</v>
      </c>
      <c r="E301" s="48"/>
      <c r="F301" s="48">
        <v>52.89</v>
      </c>
      <c r="G301" s="48">
        <v>5.74</v>
      </c>
      <c r="H301" s="82">
        <f t="shared" si="48"/>
        <v>55.76</v>
      </c>
      <c r="I301" s="82">
        <f t="shared" si="49"/>
        <v>58.63</v>
      </c>
      <c r="J301" s="49">
        <v>5950</v>
      </c>
      <c r="K301" s="304">
        <v>0</v>
      </c>
      <c r="L301" s="48">
        <v>400</v>
      </c>
      <c r="M301" s="48">
        <v>70</v>
      </c>
      <c r="N301" s="49">
        <f t="shared" si="50"/>
        <v>5825</v>
      </c>
      <c r="O301" s="52">
        <f t="shared" si="51"/>
        <v>6420</v>
      </c>
      <c r="P301" s="79">
        <f t="shared" si="52"/>
        <v>96.036585365853668</v>
      </c>
      <c r="Q301" s="53">
        <f t="shared" si="53"/>
        <v>9.2700000000000005E-2</v>
      </c>
      <c r="R301" s="54">
        <f t="shared" si="54"/>
        <v>595</v>
      </c>
      <c r="S301" s="53">
        <v>0.8</v>
      </c>
      <c r="T301" s="54">
        <f t="shared" si="55"/>
        <v>5136</v>
      </c>
      <c r="U301" s="53">
        <f t="shared" si="56"/>
        <v>0.10729999999999995</v>
      </c>
      <c r="V301" s="54">
        <f t="shared" si="57"/>
        <v>688.86599999999964</v>
      </c>
      <c r="W301" s="55">
        <f ca="1">V301*VLOOKUP(TODAY(),'UF HOY'!$A$2:$B$36,2,0)</f>
        <v>27371360.312039986</v>
      </c>
      <c r="X301" s="56">
        <f>Datos!$K$5</f>
        <v>36</v>
      </c>
      <c r="Y301" s="55">
        <f ca="1">IF((W301-Datos!$U$5-1000000)/X301&gt;0,(W301-Datos!$U$5-1000000)/X301,0)</f>
        <v>729760.00866777741</v>
      </c>
      <c r="Z301" s="56">
        <f>Datos!$K$5</f>
        <v>36</v>
      </c>
      <c r="AA301" s="55">
        <f ca="1">IF((W301-Datos!$U$5-1000000-O301*3%*VLOOKUP(TODAY(),'UF HOY'!$A$2:$B$36,2,0))/Z301&gt;0,(W301-Datos!$U$5-1000000-O301*3%*VLOOKUP(TODAY(),'UF HOY'!$A$2:$B$36,2,0))/Z301,0)</f>
        <v>517183.42966777738</v>
      </c>
      <c r="AB301" s="130" cm="1">
        <f t="array" ref="AB301">_xlfn.IFS(AND(L301=0,M301=0),VLOOKUP(D301,Datos!$F$31:$I$33,2,0),AND(L301=0,M301&gt;0),VLOOKUP(D301,Datos!$F$32:$I$33,2,0),AND(L301&gt;0,M301=0),VLOOKUP(D301,Datos!$F$32:$I$33,3,0),AND(L301&gt;0,M301&gt;0),VLOOKUP(D301,Datos!$F$31:$I$33,4,0))</f>
        <v>700000</v>
      </c>
      <c r="AC301" s="55">
        <f ca="1">(S301*PMT(Datos!$G$15,Datos!$G$14,-O301,,)*VLOOKUP(TODAY(),'UF HOY'!$A$2:$B$36,2,0)/12)+VLOOKUP(TODAY(),'UF HOY'!$A$2:$B$36,2,0)</f>
        <v>1023199.9109651675</v>
      </c>
      <c r="AD301" s="55">
        <f t="shared" ca="1" si="58"/>
        <v>-323199.91096516745</v>
      </c>
      <c r="AE301" s="93">
        <f t="shared" ca="1" si="59"/>
        <v>4092799.6438606698</v>
      </c>
    </row>
    <row r="302" spans="1:31" s="3" customFormat="1" x14ac:dyDescent="0.35">
      <c r="A302" s="94" t="s">
        <v>346</v>
      </c>
      <c r="B302" s="80">
        <v>808</v>
      </c>
      <c r="C302" s="48" t="s">
        <v>40</v>
      </c>
      <c r="D302" s="48" t="s">
        <v>39</v>
      </c>
      <c r="E302" s="48"/>
      <c r="F302" s="48">
        <v>52.89</v>
      </c>
      <c r="G302" s="48">
        <v>5.74</v>
      </c>
      <c r="H302" s="82">
        <f t="shared" si="48"/>
        <v>55.76</v>
      </c>
      <c r="I302" s="82">
        <f t="shared" si="49"/>
        <v>58.63</v>
      </c>
      <c r="J302" s="49">
        <v>5975</v>
      </c>
      <c r="K302" s="304">
        <v>0</v>
      </c>
      <c r="L302" s="48">
        <v>400</v>
      </c>
      <c r="M302" s="48">
        <v>70</v>
      </c>
      <c r="N302" s="49">
        <f t="shared" si="50"/>
        <v>5847.5</v>
      </c>
      <c r="O302" s="52">
        <f t="shared" si="51"/>
        <v>6445</v>
      </c>
      <c r="P302" s="79">
        <f t="shared" si="52"/>
        <v>96.440100430416067</v>
      </c>
      <c r="Q302" s="53">
        <f t="shared" si="53"/>
        <v>9.2700000000000005E-2</v>
      </c>
      <c r="R302" s="54">
        <f t="shared" si="54"/>
        <v>597.5</v>
      </c>
      <c r="S302" s="53">
        <v>0.8</v>
      </c>
      <c r="T302" s="54">
        <f t="shared" si="55"/>
        <v>5156</v>
      </c>
      <c r="U302" s="53">
        <f t="shared" si="56"/>
        <v>0.10729999999999995</v>
      </c>
      <c r="V302" s="54">
        <f t="shared" si="57"/>
        <v>691.54849999999965</v>
      </c>
      <c r="W302" s="55">
        <f ca="1">V302*VLOOKUP(TODAY(),'UF HOY'!$A$2:$B$36,2,0)</f>
        <v>27477946.606089987</v>
      </c>
      <c r="X302" s="56">
        <f>Datos!$K$5</f>
        <v>36</v>
      </c>
      <c r="Y302" s="55">
        <f ca="1">IF((W302-Datos!$U$5-1000000)/X302&gt;0,(W302-Datos!$U$5-1000000)/X302,0)</f>
        <v>732720.73905805522</v>
      </c>
      <c r="Z302" s="56">
        <f>Datos!$K$5</f>
        <v>36</v>
      </c>
      <c r="AA302" s="55">
        <f ca="1">IF((W302-Datos!$U$5-1000000-O302*3%*VLOOKUP(TODAY(),'UF HOY'!$A$2:$B$36,2,0))/Z302&gt;0,(W302-Datos!$U$5-1000000-O302*3%*VLOOKUP(TODAY(),'UF HOY'!$A$2:$B$36,2,0))/Z302,0)</f>
        <v>519316.36964138848</v>
      </c>
      <c r="AB302" s="130" cm="1">
        <f t="array" ref="AB302">_xlfn.IFS(AND(L302=0,M302=0),VLOOKUP(D302,Datos!$F$31:$I$33,2,0),AND(L302=0,M302&gt;0),VLOOKUP(D302,Datos!$F$32:$I$33,2,0),AND(L302&gt;0,M302=0),VLOOKUP(D302,Datos!$F$32:$I$33,3,0),AND(L302&gt;0,M302&gt;0),VLOOKUP(D302,Datos!$F$31:$I$33,4,0))</f>
        <v>700000</v>
      </c>
      <c r="AC302" s="55">
        <f ca="1">(S302*PMT(Datos!$G$15,Datos!$G$14,-O302,,)*VLOOKUP(TODAY(),'UF HOY'!$A$2:$B$36,2,0)/12)+VLOOKUP(TODAY(),'UF HOY'!$A$2:$B$36,2,0)</f>
        <v>1027029.6071137856</v>
      </c>
      <c r="AD302" s="55">
        <f t="shared" ca="1" si="58"/>
        <v>-327029.60711378558</v>
      </c>
      <c r="AE302" s="93">
        <f t="shared" ca="1" si="59"/>
        <v>4108118.4284551423</v>
      </c>
    </row>
    <row r="303" spans="1:31" s="3" customFormat="1" x14ac:dyDescent="0.35">
      <c r="A303" s="94" t="s">
        <v>346</v>
      </c>
      <c r="B303" s="80">
        <v>911</v>
      </c>
      <c r="C303" s="48" t="s">
        <v>41</v>
      </c>
      <c r="D303" s="48" t="s">
        <v>39</v>
      </c>
      <c r="E303" s="48"/>
      <c r="F303" s="48">
        <v>54.32</v>
      </c>
      <c r="G303" s="48">
        <v>3.73</v>
      </c>
      <c r="H303" s="82">
        <f t="shared" si="48"/>
        <v>56.185000000000002</v>
      </c>
      <c r="I303" s="82">
        <f t="shared" si="49"/>
        <v>58.05</v>
      </c>
      <c r="J303" s="49">
        <v>5985</v>
      </c>
      <c r="K303" s="304">
        <v>0</v>
      </c>
      <c r="L303" s="48">
        <v>400</v>
      </c>
      <c r="M303" s="48">
        <v>70</v>
      </c>
      <c r="N303" s="49">
        <f t="shared" si="50"/>
        <v>5856.5</v>
      </c>
      <c r="O303" s="52">
        <f t="shared" si="51"/>
        <v>6455</v>
      </c>
      <c r="P303" s="79">
        <f t="shared" si="52"/>
        <v>95.870784017086407</v>
      </c>
      <c r="Q303" s="53">
        <f t="shared" si="53"/>
        <v>9.2700000000000005E-2</v>
      </c>
      <c r="R303" s="54">
        <f t="shared" si="54"/>
        <v>598.5</v>
      </c>
      <c r="S303" s="53">
        <v>0.8</v>
      </c>
      <c r="T303" s="54">
        <f t="shared" si="55"/>
        <v>5164</v>
      </c>
      <c r="U303" s="53">
        <f t="shared" si="56"/>
        <v>0.10729999999999995</v>
      </c>
      <c r="V303" s="54">
        <f t="shared" si="57"/>
        <v>692.62149999999963</v>
      </c>
      <c r="W303" s="55">
        <f ca="1">V303*VLOOKUP(TODAY(),'UF HOY'!$A$2:$B$36,2,0)</f>
        <v>27520581.123709988</v>
      </c>
      <c r="X303" s="56">
        <f>Datos!$K$5</f>
        <v>36</v>
      </c>
      <c r="Y303" s="55">
        <f ca="1">IF((W303-Datos!$U$5-1000000)/X303&gt;0,(W303-Datos!$U$5-1000000)/X303,0)</f>
        <v>733905.03121416632</v>
      </c>
      <c r="Z303" s="56">
        <f>Datos!$K$5</f>
        <v>36</v>
      </c>
      <c r="AA303" s="55">
        <f ca="1">IF((W303-Datos!$U$5-1000000-O303*3%*VLOOKUP(TODAY(),'UF HOY'!$A$2:$B$36,2,0))/Z303&gt;0,(W303-Datos!$U$5-1000000-O303*3%*VLOOKUP(TODAY(),'UF HOY'!$A$2:$B$36,2,0))/Z303,0)</f>
        <v>520169.5456308329</v>
      </c>
      <c r="AB303" s="130" cm="1">
        <f t="array" ref="AB303">_xlfn.IFS(AND(L303=0,M303=0),VLOOKUP(D303,Datos!$F$31:$I$33,2,0),AND(L303=0,M303&gt;0),VLOOKUP(D303,Datos!$F$32:$I$33,2,0),AND(L303&gt;0,M303=0),VLOOKUP(D303,Datos!$F$32:$I$33,3,0),AND(L303&gt;0,M303&gt;0),VLOOKUP(D303,Datos!$F$31:$I$33,4,0))</f>
        <v>700000</v>
      </c>
      <c r="AC303" s="55">
        <f ca="1">(S303*PMT(Datos!$G$15,Datos!$G$14,-O303,,)*VLOOKUP(TODAY(),'UF HOY'!$A$2:$B$36,2,0)/12)+VLOOKUP(TODAY(),'UF HOY'!$A$2:$B$36,2,0)</f>
        <v>1028561.4855732329</v>
      </c>
      <c r="AD303" s="55">
        <f t="shared" ca="1" si="58"/>
        <v>-328561.48557323287</v>
      </c>
      <c r="AE303" s="93">
        <f t="shared" ca="1" si="59"/>
        <v>4114245.9422929315</v>
      </c>
    </row>
    <row r="304" spans="1:31" s="3" customFormat="1" x14ac:dyDescent="0.35">
      <c r="A304" s="94" t="s">
        <v>346</v>
      </c>
      <c r="B304" s="80">
        <v>908</v>
      </c>
      <c r="C304" s="48" t="s">
        <v>40</v>
      </c>
      <c r="D304" s="48" t="s">
        <v>39</v>
      </c>
      <c r="E304" s="48"/>
      <c r="F304" s="48">
        <v>52.96</v>
      </c>
      <c r="G304" s="48">
        <v>5.74</v>
      </c>
      <c r="H304" s="82">
        <f t="shared" si="48"/>
        <v>55.83</v>
      </c>
      <c r="I304" s="82">
        <f t="shared" si="49"/>
        <v>58.7</v>
      </c>
      <c r="J304" s="49">
        <v>6005</v>
      </c>
      <c r="K304" s="304">
        <v>0</v>
      </c>
      <c r="L304" s="48">
        <v>400</v>
      </c>
      <c r="M304" s="48">
        <v>70</v>
      </c>
      <c r="N304" s="49">
        <f t="shared" si="50"/>
        <v>5874.5</v>
      </c>
      <c r="O304" s="52">
        <f t="shared" si="51"/>
        <v>6475</v>
      </c>
      <c r="P304" s="79">
        <f t="shared" si="52"/>
        <v>96.802794196668458</v>
      </c>
      <c r="Q304" s="53">
        <f t="shared" si="53"/>
        <v>9.2700000000000005E-2</v>
      </c>
      <c r="R304" s="54">
        <f t="shared" si="54"/>
        <v>600.5</v>
      </c>
      <c r="S304" s="53">
        <v>0.8</v>
      </c>
      <c r="T304" s="54">
        <f t="shared" si="55"/>
        <v>5180</v>
      </c>
      <c r="U304" s="53">
        <f t="shared" si="56"/>
        <v>0.10729999999999995</v>
      </c>
      <c r="V304" s="54">
        <f t="shared" si="57"/>
        <v>694.7674999999997</v>
      </c>
      <c r="W304" s="55">
        <f ca="1">V304*VLOOKUP(TODAY(),'UF HOY'!$A$2:$B$36,2,0)</f>
        <v>27605850.15894999</v>
      </c>
      <c r="X304" s="56">
        <f>Datos!$K$5</f>
        <v>36</v>
      </c>
      <c r="Y304" s="55">
        <f ca="1">IF((W304-Datos!$U$5-1000000)/X304&gt;0,(W304-Datos!$U$5-1000000)/X304,0)</f>
        <v>736273.61552638863</v>
      </c>
      <c r="Z304" s="56">
        <f>Datos!$K$5</f>
        <v>36</v>
      </c>
      <c r="AA304" s="55">
        <f ca="1">IF((W304-Datos!$U$5-1000000-O304*3%*VLOOKUP(TODAY(),'UF HOY'!$A$2:$B$36,2,0))/Z304&gt;0,(W304-Datos!$U$5-1000000-O304*3%*VLOOKUP(TODAY(),'UF HOY'!$A$2:$B$36,2,0))/Z304,0)</f>
        <v>521875.89760972187</v>
      </c>
      <c r="AB304" s="130" cm="1">
        <f t="array" ref="AB304">_xlfn.IFS(AND(L304=0,M304=0),VLOOKUP(D304,Datos!$F$31:$I$33,2,0),AND(L304=0,M304&gt;0),VLOOKUP(D304,Datos!$F$32:$I$33,2,0),AND(L304&gt;0,M304=0),VLOOKUP(D304,Datos!$F$32:$I$33,3,0),AND(L304&gt;0,M304&gt;0),VLOOKUP(D304,Datos!$F$31:$I$33,4,0))</f>
        <v>700000</v>
      </c>
      <c r="AC304" s="55">
        <f ca="1">(S304*PMT(Datos!$G$15,Datos!$G$14,-O304,,)*VLOOKUP(TODAY(),'UF HOY'!$A$2:$B$36,2,0)/12)+VLOOKUP(TODAY(),'UF HOY'!$A$2:$B$36,2,0)</f>
        <v>1031625.2424921275</v>
      </c>
      <c r="AD304" s="55">
        <f t="shared" ca="1" si="58"/>
        <v>-331625.24249212747</v>
      </c>
      <c r="AE304" s="93">
        <f t="shared" ca="1" si="59"/>
        <v>4126500.9699685099</v>
      </c>
    </row>
    <row r="305" spans="1:31" s="3" customFormat="1" x14ac:dyDescent="0.35">
      <c r="A305" s="94" t="s">
        <v>346</v>
      </c>
      <c r="B305" s="80">
        <v>1011</v>
      </c>
      <c r="C305" s="48" t="s">
        <v>41</v>
      </c>
      <c r="D305" s="48" t="s">
        <v>39</v>
      </c>
      <c r="E305" s="48"/>
      <c r="F305" s="48">
        <v>54.32</v>
      </c>
      <c r="G305" s="48">
        <v>3.73</v>
      </c>
      <c r="H305" s="82">
        <f t="shared" si="48"/>
        <v>56.185000000000002</v>
      </c>
      <c r="I305" s="82">
        <f t="shared" si="49"/>
        <v>58.05</v>
      </c>
      <c r="J305" s="49">
        <v>6005</v>
      </c>
      <c r="K305" s="304">
        <v>0</v>
      </c>
      <c r="L305" s="48">
        <v>400</v>
      </c>
      <c r="M305" s="48">
        <v>70</v>
      </c>
      <c r="N305" s="49">
        <f t="shared" si="50"/>
        <v>5874.5</v>
      </c>
      <c r="O305" s="52">
        <f t="shared" si="51"/>
        <v>6475</v>
      </c>
      <c r="P305" s="79">
        <f t="shared" si="52"/>
        <v>96.191154222657289</v>
      </c>
      <c r="Q305" s="53">
        <f t="shared" si="53"/>
        <v>9.2700000000000005E-2</v>
      </c>
      <c r="R305" s="54">
        <f t="shared" si="54"/>
        <v>600.5</v>
      </c>
      <c r="S305" s="53">
        <v>0.8</v>
      </c>
      <c r="T305" s="54">
        <f t="shared" si="55"/>
        <v>5180</v>
      </c>
      <c r="U305" s="53">
        <f t="shared" si="56"/>
        <v>0.10729999999999995</v>
      </c>
      <c r="V305" s="54">
        <f t="shared" si="57"/>
        <v>694.7674999999997</v>
      </c>
      <c r="W305" s="55">
        <f ca="1">V305*VLOOKUP(TODAY(),'UF HOY'!$A$2:$B$36,2,0)</f>
        <v>27605850.15894999</v>
      </c>
      <c r="X305" s="56">
        <f>Datos!$K$5</f>
        <v>36</v>
      </c>
      <c r="Y305" s="55">
        <f ca="1">IF((W305-Datos!$U$5-1000000)/X305&gt;0,(W305-Datos!$U$5-1000000)/X305,0)</f>
        <v>736273.61552638863</v>
      </c>
      <c r="Z305" s="56">
        <f>Datos!$K$5</f>
        <v>36</v>
      </c>
      <c r="AA305" s="55">
        <f ca="1">IF((W305-Datos!$U$5-1000000-O305*3%*VLOOKUP(TODAY(),'UF HOY'!$A$2:$B$36,2,0))/Z305&gt;0,(W305-Datos!$U$5-1000000-O305*3%*VLOOKUP(TODAY(),'UF HOY'!$A$2:$B$36,2,0))/Z305,0)</f>
        <v>521875.89760972187</v>
      </c>
      <c r="AB305" s="130" cm="1">
        <f t="array" ref="AB305">_xlfn.IFS(AND(L305=0,M305=0),VLOOKUP(D305,Datos!$F$31:$I$33,2,0),AND(L305=0,M305&gt;0),VLOOKUP(D305,Datos!$F$32:$I$33,2,0),AND(L305&gt;0,M305=0),VLOOKUP(D305,Datos!$F$32:$I$33,3,0),AND(L305&gt;0,M305&gt;0),VLOOKUP(D305,Datos!$F$31:$I$33,4,0))</f>
        <v>700000</v>
      </c>
      <c r="AC305" s="55">
        <f ca="1">(S305*PMT(Datos!$G$15,Datos!$G$14,-O305,,)*VLOOKUP(TODAY(),'UF HOY'!$A$2:$B$36,2,0)/12)+VLOOKUP(TODAY(),'UF HOY'!$A$2:$B$36,2,0)</f>
        <v>1031625.2424921275</v>
      </c>
      <c r="AD305" s="55">
        <f t="shared" ca="1" si="58"/>
        <v>-331625.24249212747</v>
      </c>
      <c r="AE305" s="93">
        <f t="shared" ca="1" si="59"/>
        <v>4126500.9699685099</v>
      </c>
    </row>
    <row r="306" spans="1:31" s="3" customFormat="1" x14ac:dyDescent="0.35">
      <c r="A306" s="94" t="s">
        <v>346</v>
      </c>
      <c r="B306" s="80">
        <v>1008</v>
      </c>
      <c r="C306" s="48" t="s">
        <v>40</v>
      </c>
      <c r="D306" s="48" t="s">
        <v>39</v>
      </c>
      <c r="E306" s="48"/>
      <c r="F306" s="48">
        <v>52.96</v>
      </c>
      <c r="G306" s="48">
        <v>5.74</v>
      </c>
      <c r="H306" s="82">
        <f t="shared" si="48"/>
        <v>55.83</v>
      </c>
      <c r="I306" s="82">
        <f t="shared" si="49"/>
        <v>58.7</v>
      </c>
      <c r="J306" s="49">
        <v>6025</v>
      </c>
      <c r="K306" s="304">
        <v>0</v>
      </c>
      <c r="L306" s="48">
        <v>400</v>
      </c>
      <c r="M306" s="48">
        <v>70</v>
      </c>
      <c r="N306" s="49">
        <f t="shared" si="50"/>
        <v>5892.5</v>
      </c>
      <c r="O306" s="52">
        <f t="shared" si="51"/>
        <v>6495</v>
      </c>
      <c r="P306" s="79">
        <f t="shared" si="52"/>
        <v>97.125201504567443</v>
      </c>
      <c r="Q306" s="53">
        <f t="shared" si="53"/>
        <v>9.2799999999999994E-2</v>
      </c>
      <c r="R306" s="54">
        <f t="shared" si="54"/>
        <v>602.5</v>
      </c>
      <c r="S306" s="53">
        <v>0.8</v>
      </c>
      <c r="T306" s="54">
        <f t="shared" si="55"/>
        <v>5196</v>
      </c>
      <c r="U306" s="53">
        <f t="shared" si="56"/>
        <v>0.10719999999999996</v>
      </c>
      <c r="V306" s="54">
        <f t="shared" si="57"/>
        <v>696.26399999999978</v>
      </c>
      <c r="W306" s="55">
        <f ca="1">V306*VLOOKUP(TODAY(),'UF HOY'!$A$2:$B$36,2,0)</f>
        <v>27665312.000159994</v>
      </c>
      <c r="X306" s="56">
        <f>Datos!$K$5</f>
        <v>36</v>
      </c>
      <c r="Y306" s="55">
        <f ca="1">IF((W306-Datos!$U$5-1000000)/X306&gt;0,(W306-Datos!$U$5-1000000)/X306,0)</f>
        <v>737925.33333777764</v>
      </c>
      <c r="Z306" s="56">
        <f>Datos!$K$5</f>
        <v>36</v>
      </c>
      <c r="AA306" s="55">
        <f ca="1">IF((W306-Datos!$U$5-1000000-O306*3%*VLOOKUP(TODAY(),'UF HOY'!$A$2:$B$36,2,0))/Z306&gt;0,(W306-Datos!$U$5-1000000-O306*3%*VLOOKUP(TODAY(),'UF HOY'!$A$2:$B$36,2,0))/Z306,0)</f>
        <v>522865.38308777765</v>
      </c>
      <c r="AB306" s="130" cm="1">
        <f t="array" ref="AB306">_xlfn.IFS(AND(L306=0,M306=0),VLOOKUP(D306,Datos!$F$31:$I$33,2,0),AND(L306=0,M306&gt;0),VLOOKUP(D306,Datos!$F$32:$I$33,2,0),AND(L306&gt;0,M306=0),VLOOKUP(D306,Datos!$F$32:$I$33,3,0),AND(L306&gt;0,M306&gt;0),VLOOKUP(D306,Datos!$F$31:$I$33,4,0))</f>
        <v>700000</v>
      </c>
      <c r="AC306" s="55">
        <f ca="1">(S306*PMT(Datos!$G$15,Datos!$G$14,-O306,,)*VLOOKUP(TODAY(),'UF HOY'!$A$2:$B$36,2,0)/12)+VLOOKUP(TODAY(),'UF HOY'!$A$2:$B$36,2,0)</f>
        <v>1034688.9994110223</v>
      </c>
      <c r="AD306" s="55">
        <f t="shared" ca="1" si="58"/>
        <v>-334688.99941102229</v>
      </c>
      <c r="AE306" s="93">
        <f t="shared" ca="1" si="59"/>
        <v>4138755.9976440892</v>
      </c>
    </row>
    <row r="307" spans="1:31" s="3" customFormat="1" x14ac:dyDescent="0.35">
      <c r="A307" s="94" t="s">
        <v>346</v>
      </c>
      <c r="B307" s="80">
        <v>1111</v>
      </c>
      <c r="C307" s="48" t="s">
        <v>41</v>
      </c>
      <c r="D307" s="48" t="s">
        <v>39</v>
      </c>
      <c r="E307" s="48"/>
      <c r="F307" s="48">
        <v>54.32</v>
      </c>
      <c r="G307" s="48">
        <v>3.73</v>
      </c>
      <c r="H307" s="82">
        <f t="shared" si="48"/>
        <v>56.185000000000002</v>
      </c>
      <c r="I307" s="82">
        <f t="shared" si="49"/>
        <v>58.05</v>
      </c>
      <c r="J307" s="49">
        <v>6030</v>
      </c>
      <c r="K307" s="304">
        <v>0</v>
      </c>
      <c r="L307" s="48">
        <v>400</v>
      </c>
      <c r="M307" s="48">
        <v>70</v>
      </c>
      <c r="N307" s="49">
        <f t="shared" si="50"/>
        <v>5897</v>
      </c>
      <c r="O307" s="52">
        <f t="shared" si="51"/>
        <v>6500</v>
      </c>
      <c r="P307" s="79">
        <f t="shared" si="52"/>
        <v>96.591616979620895</v>
      </c>
      <c r="Q307" s="53">
        <f t="shared" si="53"/>
        <v>9.2799999999999994E-2</v>
      </c>
      <c r="R307" s="54">
        <f t="shared" si="54"/>
        <v>603</v>
      </c>
      <c r="S307" s="53">
        <v>0.8</v>
      </c>
      <c r="T307" s="54">
        <f t="shared" si="55"/>
        <v>5200</v>
      </c>
      <c r="U307" s="53">
        <f t="shared" si="56"/>
        <v>0.10719999999999996</v>
      </c>
      <c r="V307" s="54">
        <f t="shared" si="57"/>
        <v>696.79999999999973</v>
      </c>
      <c r="W307" s="55">
        <f ca="1">V307*VLOOKUP(TODAY(),'UF HOY'!$A$2:$B$36,2,0)</f>
        <v>27686609.39199999</v>
      </c>
      <c r="X307" s="56">
        <f>Datos!$K$5</f>
        <v>36</v>
      </c>
      <c r="Y307" s="55">
        <f ca="1">IF((W307-Datos!$U$5-1000000)/X307&gt;0,(W307-Datos!$U$5-1000000)/X307,0)</f>
        <v>738516.92755555524</v>
      </c>
      <c r="Z307" s="56">
        <f>Datos!$K$5</f>
        <v>36</v>
      </c>
      <c r="AA307" s="55">
        <f ca="1">IF((W307-Datos!$U$5-1000000-O307*3%*VLOOKUP(TODAY(),'UF HOY'!$A$2:$B$36,2,0))/Z307&gt;0,(W307-Datos!$U$5-1000000-O307*3%*VLOOKUP(TODAY(),'UF HOY'!$A$2:$B$36,2,0))/Z307,0)</f>
        <v>523291.41922222194</v>
      </c>
      <c r="AB307" s="130" cm="1">
        <f t="array" ref="AB307">_xlfn.IFS(AND(L307=0,M307=0),VLOOKUP(D307,Datos!$F$31:$I$33,2,0),AND(L307=0,M307&gt;0),VLOOKUP(D307,Datos!$F$32:$I$33,2,0),AND(L307&gt;0,M307=0),VLOOKUP(D307,Datos!$F$32:$I$33,3,0),AND(L307&gt;0,M307&gt;0),VLOOKUP(D307,Datos!$F$31:$I$33,4,0))</f>
        <v>700000</v>
      </c>
      <c r="AC307" s="55">
        <f ca="1">(S307*PMT(Datos!$G$15,Datos!$G$14,-O307,,)*VLOOKUP(TODAY(),'UF HOY'!$A$2:$B$36,2,0)/12)+VLOOKUP(TODAY(),'UF HOY'!$A$2:$B$36,2,0)</f>
        <v>1035454.9386407458</v>
      </c>
      <c r="AD307" s="55">
        <f t="shared" ca="1" si="58"/>
        <v>-335454.93864074582</v>
      </c>
      <c r="AE307" s="93">
        <f t="shared" ca="1" si="59"/>
        <v>4141819.7545629833</v>
      </c>
    </row>
    <row r="308" spans="1:31" s="3" customFormat="1" x14ac:dyDescent="0.35">
      <c r="A308" s="94" t="s">
        <v>346</v>
      </c>
      <c r="B308" s="80">
        <v>1108</v>
      </c>
      <c r="C308" s="48" t="s">
        <v>40</v>
      </c>
      <c r="D308" s="48" t="s">
        <v>39</v>
      </c>
      <c r="E308" s="48"/>
      <c r="F308" s="48">
        <v>52.96</v>
      </c>
      <c r="G308" s="48">
        <v>5.74</v>
      </c>
      <c r="H308" s="82">
        <f t="shared" si="48"/>
        <v>55.83</v>
      </c>
      <c r="I308" s="82">
        <f t="shared" si="49"/>
        <v>58.7</v>
      </c>
      <c r="J308" s="49">
        <v>6050</v>
      </c>
      <c r="K308" s="304">
        <v>0</v>
      </c>
      <c r="L308" s="48">
        <v>400</v>
      </c>
      <c r="M308" s="48">
        <v>70</v>
      </c>
      <c r="N308" s="49">
        <f t="shared" si="50"/>
        <v>5915</v>
      </c>
      <c r="O308" s="52">
        <f t="shared" si="51"/>
        <v>6520</v>
      </c>
      <c r="P308" s="79">
        <f t="shared" si="52"/>
        <v>97.52821063944117</v>
      </c>
      <c r="Q308" s="53">
        <f t="shared" si="53"/>
        <v>9.2799999999999994E-2</v>
      </c>
      <c r="R308" s="54">
        <f t="shared" si="54"/>
        <v>605</v>
      </c>
      <c r="S308" s="53">
        <v>0.8</v>
      </c>
      <c r="T308" s="54">
        <f t="shared" si="55"/>
        <v>5216</v>
      </c>
      <c r="U308" s="53">
        <f t="shared" si="56"/>
        <v>0.10719999999999996</v>
      </c>
      <c r="V308" s="54">
        <f t="shared" si="57"/>
        <v>698.94399999999973</v>
      </c>
      <c r="W308" s="55">
        <f ca="1">V308*VLOOKUP(TODAY(),'UF HOY'!$A$2:$B$36,2,0)</f>
        <v>27771798.959359992</v>
      </c>
      <c r="X308" s="56">
        <f>Datos!$K$5</f>
        <v>36</v>
      </c>
      <c r="Y308" s="55">
        <f ca="1">IF((W308-Datos!$U$5-1000000)/X308&gt;0,(W308-Datos!$U$5-1000000)/X308,0)</f>
        <v>740883.30442666647</v>
      </c>
      <c r="Z308" s="56">
        <f>Datos!$K$5</f>
        <v>36</v>
      </c>
      <c r="AA308" s="55">
        <f ca="1">IF((W308-Datos!$U$5-1000000-O308*3%*VLOOKUP(TODAY(),'UF HOY'!$A$2:$B$36,2,0))/Z308&gt;0,(W308-Datos!$U$5-1000000-O308*3%*VLOOKUP(TODAY(),'UF HOY'!$A$2:$B$36,2,0))/Z308,0)</f>
        <v>524995.56375999982</v>
      </c>
      <c r="AB308" s="130" cm="1">
        <f t="array" ref="AB308">_xlfn.IFS(AND(L308=0,M308=0),VLOOKUP(D308,Datos!$F$31:$I$33,2,0),AND(L308=0,M308&gt;0),VLOOKUP(D308,Datos!$F$32:$I$33,2,0),AND(L308&gt;0,M308=0),VLOOKUP(D308,Datos!$F$32:$I$33,3,0),AND(L308&gt;0,M308&gt;0),VLOOKUP(D308,Datos!$F$31:$I$33,4,0))</f>
        <v>700000</v>
      </c>
      <c r="AC308" s="55">
        <f ca="1">(S308*PMT(Datos!$G$15,Datos!$G$14,-O308,,)*VLOOKUP(TODAY(),'UF HOY'!$A$2:$B$36,2,0)/12)+VLOOKUP(TODAY(),'UF HOY'!$A$2:$B$36,2,0)</f>
        <v>1038518.6955596404</v>
      </c>
      <c r="AD308" s="55">
        <f t="shared" ca="1" si="58"/>
        <v>-338518.69555964042</v>
      </c>
      <c r="AE308" s="93">
        <f t="shared" ca="1" si="59"/>
        <v>4154074.7822385617</v>
      </c>
    </row>
    <row r="309" spans="1:31" s="3" customFormat="1" x14ac:dyDescent="0.35">
      <c r="A309" s="94" t="s">
        <v>346</v>
      </c>
      <c r="B309" s="80">
        <v>1211</v>
      </c>
      <c r="C309" s="48" t="s">
        <v>41</v>
      </c>
      <c r="D309" s="48" t="s">
        <v>39</v>
      </c>
      <c r="E309" s="48"/>
      <c r="F309" s="48">
        <v>54.32</v>
      </c>
      <c r="G309" s="48">
        <v>3.73</v>
      </c>
      <c r="H309" s="82">
        <f t="shared" si="48"/>
        <v>56.185000000000002</v>
      </c>
      <c r="I309" s="82">
        <f t="shared" si="49"/>
        <v>58.05</v>
      </c>
      <c r="J309" s="49">
        <v>6055</v>
      </c>
      <c r="K309" s="304">
        <v>0</v>
      </c>
      <c r="L309" s="48">
        <v>400</v>
      </c>
      <c r="M309" s="48">
        <v>70</v>
      </c>
      <c r="N309" s="49">
        <f t="shared" si="50"/>
        <v>5919.5</v>
      </c>
      <c r="O309" s="52">
        <f t="shared" si="51"/>
        <v>6525</v>
      </c>
      <c r="P309" s="79">
        <f t="shared" si="52"/>
        <v>96.9920797365845</v>
      </c>
      <c r="Q309" s="53">
        <f t="shared" si="53"/>
        <v>9.2799999999999994E-2</v>
      </c>
      <c r="R309" s="54">
        <f t="shared" si="54"/>
        <v>605.5</v>
      </c>
      <c r="S309" s="53">
        <v>0.8</v>
      </c>
      <c r="T309" s="54">
        <f t="shared" si="55"/>
        <v>5220</v>
      </c>
      <c r="U309" s="53">
        <f t="shared" si="56"/>
        <v>0.10719999999999996</v>
      </c>
      <c r="V309" s="54">
        <f t="shared" si="57"/>
        <v>699.47999999999979</v>
      </c>
      <c r="W309" s="55">
        <f ca="1">V309*VLOOKUP(TODAY(),'UF HOY'!$A$2:$B$36,2,0)</f>
        <v>27793096.351199992</v>
      </c>
      <c r="X309" s="56">
        <f>Datos!$K$5</f>
        <v>36</v>
      </c>
      <c r="Y309" s="55">
        <f ca="1">IF((W309-Datos!$U$5-1000000)/X309&gt;0,(W309-Datos!$U$5-1000000)/X309,0)</f>
        <v>741474.89864444418</v>
      </c>
      <c r="Z309" s="56">
        <f>Datos!$K$5</f>
        <v>36</v>
      </c>
      <c r="AA309" s="55">
        <f ca="1">IF((W309-Datos!$U$5-1000000-O309*3%*VLOOKUP(TODAY(),'UF HOY'!$A$2:$B$36,2,0))/Z309&gt;0,(W309-Datos!$U$5-1000000-O309*3%*VLOOKUP(TODAY(),'UF HOY'!$A$2:$B$36,2,0))/Z309,0)</f>
        <v>525421.59989444411</v>
      </c>
      <c r="AB309" s="130" cm="1">
        <f t="array" ref="AB309">_xlfn.IFS(AND(L309=0,M309=0),VLOOKUP(D309,Datos!$F$31:$I$33,2,0),AND(L309=0,M309&gt;0),VLOOKUP(D309,Datos!$F$32:$I$33,2,0),AND(L309&gt;0,M309=0),VLOOKUP(D309,Datos!$F$32:$I$33,3,0),AND(L309&gt;0,M309&gt;0),VLOOKUP(D309,Datos!$F$31:$I$33,4,0))</f>
        <v>700000</v>
      </c>
      <c r="AC309" s="55">
        <f ca="1">(S309*PMT(Datos!$G$15,Datos!$G$14,-O309,,)*VLOOKUP(TODAY(),'UF HOY'!$A$2:$B$36,2,0)/12)+VLOOKUP(TODAY(),'UF HOY'!$A$2:$B$36,2,0)</f>
        <v>1039284.6347893639</v>
      </c>
      <c r="AD309" s="55">
        <f t="shared" ca="1" si="58"/>
        <v>-339284.63478936395</v>
      </c>
      <c r="AE309" s="93">
        <f t="shared" ca="1" si="59"/>
        <v>4157138.5391574558</v>
      </c>
    </row>
    <row r="310" spans="1:31" s="3" customFormat="1" x14ac:dyDescent="0.35">
      <c r="A310" s="94" t="s">
        <v>346</v>
      </c>
      <c r="B310" s="80">
        <v>1311</v>
      </c>
      <c r="C310" s="48" t="s">
        <v>41</v>
      </c>
      <c r="D310" s="48" t="s">
        <v>39</v>
      </c>
      <c r="E310" s="48"/>
      <c r="F310" s="48">
        <v>54.32</v>
      </c>
      <c r="G310" s="48">
        <v>3.73</v>
      </c>
      <c r="H310" s="82">
        <f t="shared" si="48"/>
        <v>56.185000000000002</v>
      </c>
      <c r="I310" s="82">
        <f t="shared" si="49"/>
        <v>58.05</v>
      </c>
      <c r="J310" s="49">
        <v>6070</v>
      </c>
      <c r="K310" s="304">
        <v>0</v>
      </c>
      <c r="L310" s="48">
        <v>400</v>
      </c>
      <c r="M310" s="48">
        <v>70</v>
      </c>
      <c r="N310" s="49">
        <f t="shared" si="50"/>
        <v>5933</v>
      </c>
      <c r="O310" s="52">
        <f t="shared" si="51"/>
        <v>6540</v>
      </c>
      <c r="P310" s="79">
        <f t="shared" si="52"/>
        <v>97.232357390762658</v>
      </c>
      <c r="Q310" s="53">
        <f t="shared" si="53"/>
        <v>9.2799999999999994E-2</v>
      </c>
      <c r="R310" s="54">
        <f t="shared" si="54"/>
        <v>607</v>
      </c>
      <c r="S310" s="53">
        <v>0.8</v>
      </c>
      <c r="T310" s="54">
        <f t="shared" si="55"/>
        <v>5232</v>
      </c>
      <c r="U310" s="53">
        <f t="shared" si="56"/>
        <v>0.10719999999999996</v>
      </c>
      <c r="V310" s="54">
        <f t="shared" si="57"/>
        <v>701.08799999999974</v>
      </c>
      <c r="W310" s="55">
        <f ca="1">V310*VLOOKUP(TODAY(),'UF HOY'!$A$2:$B$36,2,0)</f>
        <v>27856988.526719991</v>
      </c>
      <c r="X310" s="56">
        <f>Datos!$K$5</f>
        <v>36</v>
      </c>
      <c r="Y310" s="55">
        <f ca="1">IF((W310-Datos!$U$5-1000000)/X310&gt;0,(W310-Datos!$U$5-1000000)/X310,0)</f>
        <v>743249.68129777757</v>
      </c>
      <c r="Z310" s="56">
        <f>Datos!$K$5</f>
        <v>36</v>
      </c>
      <c r="AA310" s="55">
        <f ca="1">IF((W310-Datos!$U$5-1000000-O310*3%*VLOOKUP(TODAY(),'UF HOY'!$A$2:$B$36,2,0))/Z310&gt;0,(W310-Datos!$U$5-1000000-O310*3%*VLOOKUP(TODAY(),'UF HOY'!$A$2:$B$36,2,0))/Z310,0)</f>
        <v>526699.70829777746</v>
      </c>
      <c r="AB310" s="130" cm="1">
        <f t="array" ref="AB310">_xlfn.IFS(AND(L310=0,M310=0),VLOOKUP(D310,Datos!$F$31:$I$33,2,0),AND(L310=0,M310&gt;0),VLOOKUP(D310,Datos!$F$32:$I$33,2,0),AND(L310&gt;0,M310=0),VLOOKUP(D310,Datos!$F$32:$I$33,3,0),AND(L310&gt;0,M310&gt;0),VLOOKUP(D310,Datos!$F$31:$I$33,4,0))</f>
        <v>700000</v>
      </c>
      <c r="AC310" s="55">
        <f ca="1">(S310*PMT(Datos!$G$15,Datos!$G$14,-O310,,)*VLOOKUP(TODAY(),'UF HOY'!$A$2:$B$36,2,0)/12)+VLOOKUP(TODAY(),'UF HOY'!$A$2:$B$36,2,0)</f>
        <v>1041582.452478535</v>
      </c>
      <c r="AD310" s="55">
        <f t="shared" ca="1" si="58"/>
        <v>-341582.45247853501</v>
      </c>
      <c r="AE310" s="93">
        <f t="shared" ca="1" si="59"/>
        <v>4166329.80991414</v>
      </c>
    </row>
    <row r="311" spans="1:31" s="3" customFormat="1" x14ac:dyDescent="0.35">
      <c r="A311" s="94" t="s">
        <v>346</v>
      </c>
      <c r="B311" s="80">
        <v>1208</v>
      </c>
      <c r="C311" s="48" t="s">
        <v>40</v>
      </c>
      <c r="D311" s="48" t="s">
        <v>39</v>
      </c>
      <c r="E311" s="48"/>
      <c r="F311" s="48">
        <v>52.96</v>
      </c>
      <c r="G311" s="48">
        <v>5.74</v>
      </c>
      <c r="H311" s="82">
        <f t="shared" si="48"/>
        <v>55.83</v>
      </c>
      <c r="I311" s="82">
        <f t="shared" si="49"/>
        <v>58.7</v>
      </c>
      <c r="J311" s="49">
        <v>6075</v>
      </c>
      <c r="K311" s="304">
        <v>0</v>
      </c>
      <c r="L311" s="48">
        <v>400</v>
      </c>
      <c r="M311" s="48">
        <v>70</v>
      </c>
      <c r="N311" s="49">
        <f t="shared" si="50"/>
        <v>5937.5</v>
      </c>
      <c r="O311" s="52">
        <f t="shared" si="51"/>
        <v>6545</v>
      </c>
      <c r="P311" s="79">
        <f t="shared" si="52"/>
        <v>97.931219774314883</v>
      </c>
      <c r="Q311" s="53">
        <f t="shared" si="53"/>
        <v>9.2799999999999994E-2</v>
      </c>
      <c r="R311" s="54">
        <f t="shared" si="54"/>
        <v>607.5</v>
      </c>
      <c r="S311" s="53">
        <v>0.8</v>
      </c>
      <c r="T311" s="54">
        <f t="shared" si="55"/>
        <v>5236</v>
      </c>
      <c r="U311" s="53">
        <f t="shared" si="56"/>
        <v>0.10719999999999996</v>
      </c>
      <c r="V311" s="54">
        <f t="shared" si="57"/>
        <v>701.6239999999998</v>
      </c>
      <c r="W311" s="55">
        <f ca="1">V311*VLOOKUP(TODAY(),'UF HOY'!$A$2:$B$36,2,0)</f>
        <v>27878285.918559995</v>
      </c>
      <c r="X311" s="56">
        <f>Datos!$K$5</f>
        <v>36</v>
      </c>
      <c r="Y311" s="55">
        <f ca="1">IF((W311-Datos!$U$5-1000000)/X311&gt;0,(W311-Datos!$U$5-1000000)/X311,0)</f>
        <v>743841.2755155554</v>
      </c>
      <c r="Z311" s="56">
        <f>Datos!$K$5</f>
        <v>36</v>
      </c>
      <c r="AA311" s="55">
        <f ca="1">IF((W311-Datos!$U$5-1000000-O311*3%*VLOOKUP(TODAY(),'UF HOY'!$A$2:$B$36,2,0))/Z311&gt;0,(W311-Datos!$U$5-1000000-O311*3%*VLOOKUP(TODAY(),'UF HOY'!$A$2:$B$36,2,0))/Z311,0)</f>
        <v>527125.7444322221</v>
      </c>
      <c r="AB311" s="130" cm="1">
        <f t="array" ref="AB311">_xlfn.IFS(AND(L311=0,M311=0),VLOOKUP(D311,Datos!$F$31:$I$33,2,0),AND(L311=0,M311&gt;0),VLOOKUP(D311,Datos!$F$32:$I$33,2,0),AND(L311&gt;0,M311=0),VLOOKUP(D311,Datos!$F$32:$I$33,3,0),AND(L311&gt;0,M311&gt;0),VLOOKUP(D311,Datos!$F$31:$I$33,4,0))</f>
        <v>700000</v>
      </c>
      <c r="AC311" s="55">
        <f ca="1">(S311*PMT(Datos!$G$15,Datos!$G$14,-O311,,)*VLOOKUP(TODAY(),'UF HOY'!$A$2:$B$36,2,0)/12)+VLOOKUP(TODAY(),'UF HOY'!$A$2:$B$36,2,0)</f>
        <v>1042348.3917082588</v>
      </c>
      <c r="AD311" s="55">
        <f t="shared" ca="1" si="58"/>
        <v>-342348.39170825877</v>
      </c>
      <c r="AE311" s="93">
        <f t="shared" ca="1" si="59"/>
        <v>4169393.5668330351</v>
      </c>
    </row>
    <row r="312" spans="1:31" s="3" customFormat="1" x14ac:dyDescent="0.35">
      <c r="A312" s="94" t="s">
        <v>346</v>
      </c>
      <c r="B312" s="80">
        <v>1308</v>
      </c>
      <c r="C312" s="48" t="s">
        <v>40</v>
      </c>
      <c r="D312" s="48" t="s">
        <v>39</v>
      </c>
      <c r="E312" s="48"/>
      <c r="F312" s="48">
        <v>52.96</v>
      </c>
      <c r="G312" s="48">
        <v>5.74</v>
      </c>
      <c r="H312" s="82">
        <f t="shared" si="48"/>
        <v>55.83</v>
      </c>
      <c r="I312" s="82">
        <f t="shared" si="49"/>
        <v>58.7</v>
      </c>
      <c r="J312" s="49">
        <v>6090</v>
      </c>
      <c r="K312" s="304">
        <v>0</v>
      </c>
      <c r="L312" s="48">
        <v>400</v>
      </c>
      <c r="M312" s="48">
        <v>70</v>
      </c>
      <c r="N312" s="49">
        <f t="shared" si="50"/>
        <v>5951</v>
      </c>
      <c r="O312" s="52">
        <f t="shared" si="51"/>
        <v>6560</v>
      </c>
      <c r="P312" s="79">
        <f t="shared" si="52"/>
        <v>98.173025255239125</v>
      </c>
      <c r="Q312" s="53">
        <f t="shared" si="53"/>
        <v>9.2799999999999994E-2</v>
      </c>
      <c r="R312" s="54">
        <f t="shared" si="54"/>
        <v>609</v>
      </c>
      <c r="S312" s="53">
        <v>0.8</v>
      </c>
      <c r="T312" s="54">
        <f t="shared" si="55"/>
        <v>5248</v>
      </c>
      <c r="U312" s="53">
        <f t="shared" si="56"/>
        <v>0.10719999999999996</v>
      </c>
      <c r="V312" s="54">
        <f t="shared" si="57"/>
        <v>703.23199999999974</v>
      </c>
      <c r="W312" s="55">
        <f ca="1">V312*VLOOKUP(TODAY(),'UF HOY'!$A$2:$B$36,2,0)</f>
        <v>27942178.09407999</v>
      </c>
      <c r="X312" s="56">
        <f>Datos!$K$5</f>
        <v>36</v>
      </c>
      <c r="Y312" s="55">
        <f ca="1">IF((W312-Datos!$U$5-1000000)/X312&gt;0,(W312-Datos!$U$5-1000000)/X312,0)</f>
        <v>745616.05816888856</v>
      </c>
      <c r="Z312" s="56">
        <f>Datos!$K$5</f>
        <v>36</v>
      </c>
      <c r="AA312" s="55">
        <f ca="1">IF((W312-Datos!$U$5-1000000-O312*3%*VLOOKUP(TODAY(),'UF HOY'!$A$2:$B$36,2,0))/Z312&gt;0,(W312-Datos!$U$5-1000000-O312*3%*VLOOKUP(TODAY(),'UF HOY'!$A$2:$B$36,2,0))/Z312,0)</f>
        <v>528403.85283555521</v>
      </c>
      <c r="AB312" s="130" cm="1">
        <f t="array" ref="AB312">_xlfn.IFS(AND(L312=0,M312=0),VLOOKUP(D312,Datos!$F$31:$I$33,2,0),AND(L312=0,M312&gt;0),VLOOKUP(D312,Datos!$F$32:$I$33,2,0),AND(L312&gt;0,M312=0),VLOOKUP(D312,Datos!$F$32:$I$33,3,0),AND(L312&gt;0,M312&gt;0),VLOOKUP(D312,Datos!$F$31:$I$33,4,0))</f>
        <v>700000</v>
      </c>
      <c r="AC312" s="55">
        <f ca="1">(S312*PMT(Datos!$G$15,Datos!$G$14,-O312,,)*VLOOKUP(TODAY(),'UF HOY'!$A$2:$B$36,2,0)/12)+VLOOKUP(TODAY(),'UF HOY'!$A$2:$B$36,2,0)</f>
        <v>1044646.2093974296</v>
      </c>
      <c r="AD312" s="55">
        <f t="shared" ca="1" si="58"/>
        <v>-344646.2093974296</v>
      </c>
      <c r="AE312" s="93">
        <f t="shared" ca="1" si="59"/>
        <v>4178584.8375897184</v>
      </c>
    </row>
    <row r="313" spans="1:31" s="3" customFormat="1" x14ac:dyDescent="0.35">
      <c r="A313" s="94" t="s">
        <v>346</v>
      </c>
      <c r="B313" s="80">
        <v>1411</v>
      </c>
      <c r="C313" s="48" t="s">
        <v>41</v>
      </c>
      <c r="D313" s="48" t="s">
        <v>39</v>
      </c>
      <c r="E313" s="48"/>
      <c r="F313" s="48">
        <v>54.32</v>
      </c>
      <c r="G313" s="48">
        <v>3.73</v>
      </c>
      <c r="H313" s="82">
        <f t="shared" si="48"/>
        <v>56.185000000000002</v>
      </c>
      <c r="I313" s="82">
        <f t="shared" si="49"/>
        <v>58.05</v>
      </c>
      <c r="J313" s="49">
        <v>6090</v>
      </c>
      <c r="K313" s="304">
        <v>0</v>
      </c>
      <c r="L313" s="48">
        <v>400</v>
      </c>
      <c r="M313" s="48">
        <v>70</v>
      </c>
      <c r="N313" s="49">
        <f t="shared" si="50"/>
        <v>5951</v>
      </c>
      <c r="O313" s="52">
        <f t="shared" si="51"/>
        <v>6560</v>
      </c>
      <c r="P313" s="79">
        <f t="shared" si="52"/>
        <v>97.55272759633354</v>
      </c>
      <c r="Q313" s="53">
        <f t="shared" si="53"/>
        <v>9.2799999999999994E-2</v>
      </c>
      <c r="R313" s="54">
        <f t="shared" si="54"/>
        <v>609</v>
      </c>
      <c r="S313" s="53">
        <v>0.8</v>
      </c>
      <c r="T313" s="54">
        <f t="shared" si="55"/>
        <v>5248</v>
      </c>
      <c r="U313" s="53">
        <f t="shared" si="56"/>
        <v>0.10719999999999996</v>
      </c>
      <c r="V313" s="54">
        <f t="shared" si="57"/>
        <v>703.23199999999974</v>
      </c>
      <c r="W313" s="55">
        <f ca="1">V313*VLOOKUP(TODAY(),'UF HOY'!$A$2:$B$36,2,0)</f>
        <v>27942178.09407999</v>
      </c>
      <c r="X313" s="56">
        <f>Datos!$K$5</f>
        <v>36</v>
      </c>
      <c r="Y313" s="55">
        <f ca="1">IF((W313-Datos!$U$5-1000000)/X313&gt;0,(W313-Datos!$U$5-1000000)/X313,0)</f>
        <v>745616.05816888856</v>
      </c>
      <c r="Z313" s="56">
        <f>Datos!$K$5</f>
        <v>36</v>
      </c>
      <c r="AA313" s="55">
        <f ca="1">IF((W313-Datos!$U$5-1000000-O313*3%*VLOOKUP(TODAY(),'UF HOY'!$A$2:$B$36,2,0))/Z313&gt;0,(W313-Datos!$U$5-1000000-O313*3%*VLOOKUP(TODAY(),'UF HOY'!$A$2:$B$36,2,0))/Z313,0)</f>
        <v>528403.85283555521</v>
      </c>
      <c r="AB313" s="130" cm="1">
        <f t="array" ref="AB313">_xlfn.IFS(AND(L313=0,M313=0),VLOOKUP(D313,Datos!$F$31:$I$33,2,0),AND(L313=0,M313&gt;0),VLOOKUP(D313,Datos!$F$32:$I$33,2,0),AND(L313&gt;0,M313=0),VLOOKUP(D313,Datos!$F$32:$I$33,3,0),AND(L313&gt;0,M313&gt;0),VLOOKUP(D313,Datos!$F$31:$I$33,4,0))</f>
        <v>700000</v>
      </c>
      <c r="AC313" s="55">
        <f ca="1">(S313*PMT(Datos!$G$15,Datos!$G$14,-O313,,)*VLOOKUP(TODAY(),'UF HOY'!$A$2:$B$36,2,0)/12)+VLOOKUP(TODAY(),'UF HOY'!$A$2:$B$36,2,0)</f>
        <v>1044646.2093974296</v>
      </c>
      <c r="AD313" s="55">
        <f t="shared" ca="1" si="58"/>
        <v>-344646.2093974296</v>
      </c>
      <c r="AE313" s="93">
        <f t="shared" ca="1" si="59"/>
        <v>4178584.8375897184</v>
      </c>
    </row>
    <row r="314" spans="1:31" s="3" customFormat="1" x14ac:dyDescent="0.35">
      <c r="A314" s="94" t="s">
        <v>346</v>
      </c>
      <c r="B314" s="80">
        <v>1511</v>
      </c>
      <c r="C314" s="48" t="s">
        <v>41</v>
      </c>
      <c r="D314" s="48" t="s">
        <v>39</v>
      </c>
      <c r="E314" s="48"/>
      <c r="F314" s="48">
        <v>54.32</v>
      </c>
      <c r="G314" s="48">
        <v>3.73</v>
      </c>
      <c r="H314" s="82">
        <f t="shared" si="48"/>
        <v>56.185000000000002</v>
      </c>
      <c r="I314" s="82">
        <f t="shared" si="49"/>
        <v>58.05</v>
      </c>
      <c r="J314" s="49">
        <v>6105</v>
      </c>
      <c r="K314" s="304">
        <v>0</v>
      </c>
      <c r="L314" s="48">
        <v>400</v>
      </c>
      <c r="M314" s="48">
        <v>70</v>
      </c>
      <c r="N314" s="49">
        <f t="shared" si="50"/>
        <v>5964.5</v>
      </c>
      <c r="O314" s="52">
        <f t="shared" si="51"/>
        <v>6575</v>
      </c>
      <c r="P314" s="79">
        <f t="shared" si="52"/>
        <v>97.793005250511698</v>
      </c>
      <c r="Q314" s="53">
        <f t="shared" si="53"/>
        <v>9.2899999999999996E-2</v>
      </c>
      <c r="R314" s="54">
        <f t="shared" si="54"/>
        <v>610.5</v>
      </c>
      <c r="S314" s="53">
        <v>0.8</v>
      </c>
      <c r="T314" s="54">
        <f t="shared" si="55"/>
        <v>5260</v>
      </c>
      <c r="U314" s="53">
        <f t="shared" si="56"/>
        <v>0.10709999999999997</v>
      </c>
      <c r="V314" s="54">
        <f t="shared" si="57"/>
        <v>704.18249999999978</v>
      </c>
      <c r="W314" s="55">
        <f ca="1">V314*VLOOKUP(TODAY(),'UF HOY'!$A$2:$B$36,2,0)</f>
        <v>27979945.204049993</v>
      </c>
      <c r="X314" s="56">
        <f>Datos!$K$5</f>
        <v>36</v>
      </c>
      <c r="Y314" s="55">
        <f ca="1">IF((W314-Datos!$U$5-1000000)/X314&gt;0,(W314-Datos!$U$5-1000000)/X314,0)</f>
        <v>746665.14455694426</v>
      </c>
      <c r="Z314" s="56">
        <f>Datos!$K$5</f>
        <v>36</v>
      </c>
      <c r="AA314" s="55">
        <f ca="1">IF((W314-Datos!$U$5-1000000-O314*3%*VLOOKUP(TODAY(),'UF HOY'!$A$2:$B$36,2,0))/Z314&gt;0,(W314-Datos!$U$5-1000000-O314*3%*VLOOKUP(TODAY(),'UF HOY'!$A$2:$B$36,2,0))/Z314,0)</f>
        <v>528956.26497361099</v>
      </c>
      <c r="AB314" s="130" cm="1">
        <f t="array" ref="AB314">_xlfn.IFS(AND(L314=0,M314=0),VLOOKUP(D314,Datos!$F$31:$I$33,2,0),AND(L314=0,M314&gt;0),VLOOKUP(D314,Datos!$F$32:$I$33,2,0),AND(L314&gt;0,M314=0),VLOOKUP(D314,Datos!$F$32:$I$33,3,0),AND(L314&gt;0,M314&gt;0),VLOOKUP(D314,Datos!$F$31:$I$33,4,0))</f>
        <v>700000</v>
      </c>
      <c r="AC314" s="55">
        <f ca="1">(S314*PMT(Datos!$G$15,Datos!$G$14,-O314,,)*VLOOKUP(TODAY(),'UF HOY'!$A$2:$B$36,2,0)/12)+VLOOKUP(TODAY(),'UF HOY'!$A$2:$B$36,2,0)</f>
        <v>1046944.0270866007</v>
      </c>
      <c r="AD314" s="55">
        <f t="shared" ca="1" si="58"/>
        <v>-346944.02708660066</v>
      </c>
      <c r="AE314" s="93">
        <f t="shared" ca="1" si="59"/>
        <v>4187776.1083464026</v>
      </c>
    </row>
    <row r="315" spans="1:31" s="3" customFormat="1" x14ac:dyDescent="0.35">
      <c r="A315" s="94" t="s">
        <v>346</v>
      </c>
      <c r="B315" s="80">
        <v>1408</v>
      </c>
      <c r="C315" s="48" t="s">
        <v>40</v>
      </c>
      <c r="D315" s="48" t="s">
        <v>39</v>
      </c>
      <c r="E315" s="48"/>
      <c r="F315" s="48">
        <v>52.96</v>
      </c>
      <c r="G315" s="48">
        <v>5.74</v>
      </c>
      <c r="H315" s="82">
        <f t="shared" si="48"/>
        <v>55.83</v>
      </c>
      <c r="I315" s="82">
        <f t="shared" si="49"/>
        <v>58.7</v>
      </c>
      <c r="J315" s="49">
        <v>6110</v>
      </c>
      <c r="K315" s="304">
        <v>0</v>
      </c>
      <c r="L315" s="48">
        <v>400</v>
      </c>
      <c r="M315" s="48">
        <v>70</v>
      </c>
      <c r="N315" s="49">
        <f t="shared" si="50"/>
        <v>5969</v>
      </c>
      <c r="O315" s="52">
        <f t="shared" si="51"/>
        <v>6580</v>
      </c>
      <c r="P315" s="79">
        <f t="shared" si="52"/>
        <v>98.495432563138095</v>
      </c>
      <c r="Q315" s="53">
        <f t="shared" si="53"/>
        <v>9.2899999999999996E-2</v>
      </c>
      <c r="R315" s="54">
        <f t="shared" si="54"/>
        <v>611</v>
      </c>
      <c r="S315" s="53">
        <v>0.8</v>
      </c>
      <c r="T315" s="54">
        <f t="shared" si="55"/>
        <v>5264</v>
      </c>
      <c r="U315" s="53">
        <f t="shared" si="56"/>
        <v>0.10709999999999997</v>
      </c>
      <c r="V315" s="54">
        <f t="shared" si="57"/>
        <v>704.71799999999985</v>
      </c>
      <c r="W315" s="55">
        <f ca="1">V315*VLOOKUP(TODAY(),'UF HOY'!$A$2:$B$36,2,0)</f>
        <v>28001222.728919994</v>
      </c>
      <c r="X315" s="56">
        <f>Datos!$K$5</f>
        <v>36</v>
      </c>
      <c r="Y315" s="55">
        <f ca="1">IF((W315-Datos!$U$5-1000000)/X315&gt;0,(W315-Datos!$U$5-1000000)/X315,0)</f>
        <v>747256.18691444432</v>
      </c>
      <c r="Z315" s="56">
        <f>Datos!$K$5</f>
        <v>36</v>
      </c>
      <c r="AA315" s="55">
        <f ca="1">IF((W315-Datos!$U$5-1000000-O315*3%*VLOOKUP(TODAY(),'UF HOY'!$A$2:$B$36,2,0))/Z315&gt;0,(W315-Datos!$U$5-1000000-O315*3%*VLOOKUP(TODAY(),'UF HOY'!$A$2:$B$36,2,0))/Z315,0)</f>
        <v>529381.74924777762</v>
      </c>
      <c r="AB315" s="130" cm="1">
        <f t="array" ref="AB315">_xlfn.IFS(AND(L315=0,M315=0),VLOOKUP(D315,Datos!$F$31:$I$33,2,0),AND(L315=0,M315&gt;0),VLOOKUP(D315,Datos!$F$32:$I$33,2,0),AND(L315&gt;0,M315=0),VLOOKUP(D315,Datos!$F$32:$I$33,3,0),AND(L315&gt;0,M315&gt;0),VLOOKUP(D315,Datos!$F$31:$I$33,4,0))</f>
        <v>700000</v>
      </c>
      <c r="AC315" s="55">
        <f ca="1">(S315*PMT(Datos!$G$15,Datos!$G$14,-O315,,)*VLOOKUP(TODAY(),'UF HOY'!$A$2:$B$36,2,0)/12)+VLOOKUP(TODAY(),'UF HOY'!$A$2:$B$36,2,0)</f>
        <v>1047709.9663163242</v>
      </c>
      <c r="AD315" s="55">
        <f t="shared" ca="1" si="58"/>
        <v>-347709.96631632419</v>
      </c>
      <c r="AE315" s="93">
        <f t="shared" ca="1" si="59"/>
        <v>4190839.8652652968</v>
      </c>
    </row>
    <row r="316" spans="1:31" s="3" customFormat="1" x14ac:dyDescent="0.35">
      <c r="A316" s="94" t="s">
        <v>346</v>
      </c>
      <c r="B316" s="80">
        <v>1508</v>
      </c>
      <c r="C316" s="48" t="s">
        <v>40</v>
      </c>
      <c r="D316" s="48" t="s">
        <v>39</v>
      </c>
      <c r="E316" s="48"/>
      <c r="F316" s="48">
        <v>52.96</v>
      </c>
      <c r="G316" s="48">
        <v>5.74</v>
      </c>
      <c r="H316" s="82">
        <f t="shared" si="48"/>
        <v>55.83</v>
      </c>
      <c r="I316" s="82">
        <f t="shared" si="49"/>
        <v>58.7</v>
      </c>
      <c r="J316" s="49">
        <v>6125</v>
      </c>
      <c r="K316" s="304">
        <v>0</v>
      </c>
      <c r="L316" s="48">
        <v>400</v>
      </c>
      <c r="M316" s="48">
        <v>70</v>
      </c>
      <c r="N316" s="49">
        <f t="shared" si="50"/>
        <v>5982.5</v>
      </c>
      <c r="O316" s="52">
        <f t="shared" si="51"/>
        <v>6595</v>
      </c>
      <c r="P316" s="79">
        <f t="shared" si="52"/>
        <v>98.737238044062337</v>
      </c>
      <c r="Q316" s="53">
        <f t="shared" si="53"/>
        <v>9.2899999999999996E-2</v>
      </c>
      <c r="R316" s="54">
        <f t="shared" si="54"/>
        <v>612.5</v>
      </c>
      <c r="S316" s="53">
        <v>0.8</v>
      </c>
      <c r="T316" s="54">
        <f t="shared" si="55"/>
        <v>5276</v>
      </c>
      <c r="U316" s="53">
        <f t="shared" si="56"/>
        <v>0.10709999999999997</v>
      </c>
      <c r="V316" s="54">
        <f t="shared" si="57"/>
        <v>706.32449999999983</v>
      </c>
      <c r="W316" s="55">
        <f ca="1">V316*VLOOKUP(TODAY(),'UF HOY'!$A$2:$B$36,2,0)</f>
        <v>28065055.303529996</v>
      </c>
      <c r="X316" s="56">
        <f>Datos!$K$5</f>
        <v>36</v>
      </c>
      <c r="Y316" s="55">
        <f ca="1">IF((W316-Datos!$U$5-1000000)/X316&gt;0,(W316-Datos!$U$5-1000000)/X316,0)</f>
        <v>749029.31398694438</v>
      </c>
      <c r="Z316" s="56">
        <f>Datos!$K$5</f>
        <v>36</v>
      </c>
      <c r="AA316" s="55">
        <f ca="1">IF((W316-Datos!$U$5-1000000-O316*3%*VLOOKUP(TODAY(),'UF HOY'!$A$2:$B$36,2,0))/Z316&gt;0,(W316-Datos!$U$5-1000000-O316*3%*VLOOKUP(TODAY(),'UF HOY'!$A$2:$B$36,2,0))/Z316,0)</f>
        <v>530658.20207027765</v>
      </c>
      <c r="AB316" s="130" cm="1">
        <f t="array" ref="AB316">_xlfn.IFS(AND(L316=0,M316=0),VLOOKUP(D316,Datos!$F$31:$I$33,2,0),AND(L316=0,M316&gt;0),VLOOKUP(D316,Datos!$F$32:$I$33,2,0),AND(L316&gt;0,M316=0),VLOOKUP(D316,Datos!$F$32:$I$33,3,0),AND(L316&gt;0,M316&gt;0),VLOOKUP(D316,Datos!$F$31:$I$33,4,0))</f>
        <v>700000</v>
      </c>
      <c r="AC316" s="55">
        <f ca="1">(S316*PMT(Datos!$G$15,Datos!$G$14,-O316,,)*VLOOKUP(TODAY(),'UF HOY'!$A$2:$B$36,2,0)/12)+VLOOKUP(TODAY(),'UF HOY'!$A$2:$B$36,2,0)</f>
        <v>1050007.7840054953</v>
      </c>
      <c r="AD316" s="55">
        <f t="shared" ca="1" si="58"/>
        <v>-350007.78400549525</v>
      </c>
      <c r="AE316" s="93">
        <f t="shared" ca="1" si="59"/>
        <v>4200031.136021981</v>
      </c>
    </row>
    <row r="317" spans="1:31" s="3" customFormat="1" x14ac:dyDescent="0.35">
      <c r="A317" s="94" t="s">
        <v>346</v>
      </c>
      <c r="B317" s="80">
        <v>1611</v>
      </c>
      <c r="C317" s="48" t="s">
        <v>41</v>
      </c>
      <c r="D317" s="48" t="s">
        <v>39</v>
      </c>
      <c r="E317" s="48"/>
      <c r="F317" s="48">
        <v>54.32</v>
      </c>
      <c r="G317" s="48">
        <v>3.73</v>
      </c>
      <c r="H317" s="82">
        <f t="shared" si="48"/>
        <v>56.185000000000002</v>
      </c>
      <c r="I317" s="82">
        <f t="shared" si="49"/>
        <v>58.05</v>
      </c>
      <c r="J317" s="49">
        <v>6125</v>
      </c>
      <c r="K317" s="304">
        <v>0</v>
      </c>
      <c r="L317" s="48">
        <v>400</v>
      </c>
      <c r="M317" s="48">
        <v>70</v>
      </c>
      <c r="N317" s="49">
        <f t="shared" si="50"/>
        <v>5982.5</v>
      </c>
      <c r="O317" s="52">
        <f t="shared" si="51"/>
        <v>6595</v>
      </c>
      <c r="P317" s="79">
        <f t="shared" si="52"/>
        <v>98.113375456082579</v>
      </c>
      <c r="Q317" s="53">
        <f t="shared" si="53"/>
        <v>9.2899999999999996E-2</v>
      </c>
      <c r="R317" s="54">
        <f t="shared" si="54"/>
        <v>612.5</v>
      </c>
      <c r="S317" s="53">
        <v>0.8</v>
      </c>
      <c r="T317" s="54">
        <f t="shared" si="55"/>
        <v>5276</v>
      </c>
      <c r="U317" s="53">
        <f t="shared" si="56"/>
        <v>0.10709999999999997</v>
      </c>
      <c r="V317" s="54">
        <f t="shared" si="57"/>
        <v>706.32449999999983</v>
      </c>
      <c r="W317" s="55">
        <f ca="1">V317*VLOOKUP(TODAY(),'UF HOY'!$A$2:$B$36,2,0)</f>
        <v>28065055.303529996</v>
      </c>
      <c r="X317" s="56">
        <f>Datos!$K$5</f>
        <v>36</v>
      </c>
      <c r="Y317" s="55">
        <f ca="1">IF((W317-Datos!$U$5-1000000)/X317&gt;0,(W317-Datos!$U$5-1000000)/X317,0)</f>
        <v>749029.31398694438</v>
      </c>
      <c r="Z317" s="56">
        <f>Datos!$K$5</f>
        <v>36</v>
      </c>
      <c r="AA317" s="55">
        <f ca="1">IF((W317-Datos!$U$5-1000000-O317*3%*VLOOKUP(TODAY(),'UF HOY'!$A$2:$B$36,2,0))/Z317&gt;0,(W317-Datos!$U$5-1000000-O317*3%*VLOOKUP(TODAY(),'UF HOY'!$A$2:$B$36,2,0))/Z317,0)</f>
        <v>530658.20207027765</v>
      </c>
      <c r="AB317" s="130" cm="1">
        <f t="array" ref="AB317">_xlfn.IFS(AND(L317=0,M317=0),VLOOKUP(D317,Datos!$F$31:$I$33,2,0),AND(L317=0,M317&gt;0),VLOOKUP(D317,Datos!$F$32:$I$33,2,0),AND(L317&gt;0,M317=0),VLOOKUP(D317,Datos!$F$32:$I$33,3,0),AND(L317&gt;0,M317&gt;0),VLOOKUP(D317,Datos!$F$31:$I$33,4,0))</f>
        <v>700000</v>
      </c>
      <c r="AC317" s="55">
        <f ca="1">(S317*PMT(Datos!$G$15,Datos!$G$14,-O317,,)*VLOOKUP(TODAY(),'UF HOY'!$A$2:$B$36,2,0)/12)+VLOOKUP(TODAY(),'UF HOY'!$A$2:$B$36,2,0)</f>
        <v>1050007.7840054953</v>
      </c>
      <c r="AD317" s="55">
        <f t="shared" ca="1" si="58"/>
        <v>-350007.78400549525</v>
      </c>
      <c r="AE317" s="93">
        <f t="shared" ca="1" si="59"/>
        <v>4200031.136021981</v>
      </c>
    </row>
    <row r="318" spans="1:31" s="3" customFormat="1" x14ac:dyDescent="0.35">
      <c r="A318" s="94" t="s">
        <v>346</v>
      </c>
      <c r="B318" s="80">
        <v>1711</v>
      </c>
      <c r="C318" s="48" t="s">
        <v>41</v>
      </c>
      <c r="D318" s="48" t="s">
        <v>39</v>
      </c>
      <c r="E318" s="48"/>
      <c r="F318" s="48">
        <v>54.32</v>
      </c>
      <c r="G318" s="48">
        <v>3.73</v>
      </c>
      <c r="H318" s="82">
        <f t="shared" si="48"/>
        <v>56.185000000000002</v>
      </c>
      <c r="I318" s="82">
        <f t="shared" si="49"/>
        <v>58.05</v>
      </c>
      <c r="J318" s="49">
        <v>6140</v>
      </c>
      <c r="K318" s="304">
        <v>0</v>
      </c>
      <c r="L318" s="48">
        <v>400</v>
      </c>
      <c r="M318" s="48">
        <v>70</v>
      </c>
      <c r="N318" s="49">
        <f t="shared" si="50"/>
        <v>5996</v>
      </c>
      <c r="O318" s="52">
        <f t="shared" si="51"/>
        <v>6610</v>
      </c>
      <c r="P318" s="79">
        <f t="shared" si="52"/>
        <v>98.353653110260737</v>
      </c>
      <c r="Q318" s="53">
        <f t="shared" si="53"/>
        <v>9.2899999999999996E-2</v>
      </c>
      <c r="R318" s="54">
        <f t="shared" si="54"/>
        <v>614</v>
      </c>
      <c r="S318" s="53">
        <v>0.8</v>
      </c>
      <c r="T318" s="54">
        <f t="shared" si="55"/>
        <v>5288</v>
      </c>
      <c r="U318" s="53">
        <f t="shared" si="56"/>
        <v>0.10709999999999997</v>
      </c>
      <c r="V318" s="54">
        <f t="shared" si="57"/>
        <v>707.93099999999981</v>
      </c>
      <c r="W318" s="55">
        <f ca="1">V318*VLOOKUP(TODAY(),'UF HOY'!$A$2:$B$36,2,0)</f>
        <v>28128887.878139995</v>
      </c>
      <c r="X318" s="56">
        <f>Datos!$K$5</f>
        <v>36</v>
      </c>
      <c r="Y318" s="55">
        <f ca="1">IF((W318-Datos!$U$5-1000000)/X318&gt;0,(W318-Datos!$U$5-1000000)/X318,0)</f>
        <v>750802.44105944433</v>
      </c>
      <c r="Z318" s="56">
        <f>Datos!$K$5</f>
        <v>36</v>
      </c>
      <c r="AA318" s="55">
        <f ca="1">IF((W318-Datos!$U$5-1000000-O318*3%*VLOOKUP(TODAY(),'UF HOY'!$A$2:$B$36,2,0))/Z318&gt;0,(W318-Datos!$U$5-1000000-O318*3%*VLOOKUP(TODAY(),'UF HOY'!$A$2:$B$36,2,0))/Z318,0)</f>
        <v>531934.65489277756</v>
      </c>
      <c r="AB318" s="130" cm="1">
        <f t="array" ref="AB318">_xlfn.IFS(AND(L318=0,M318=0),VLOOKUP(D318,Datos!$F$31:$I$33,2,0),AND(L318=0,M318&gt;0),VLOOKUP(D318,Datos!$F$32:$I$33,2,0),AND(L318&gt;0,M318=0),VLOOKUP(D318,Datos!$F$32:$I$33,3,0),AND(L318&gt;0,M318&gt;0),VLOOKUP(D318,Datos!$F$31:$I$33,4,0))</f>
        <v>700000</v>
      </c>
      <c r="AC318" s="55">
        <f ca="1">(S318*PMT(Datos!$G$15,Datos!$G$14,-O318,,)*VLOOKUP(TODAY(),'UF HOY'!$A$2:$B$36,2,0)/12)+VLOOKUP(TODAY(),'UF HOY'!$A$2:$B$36,2,0)</f>
        <v>1052305.6016946663</v>
      </c>
      <c r="AD318" s="55">
        <f t="shared" ca="1" si="58"/>
        <v>-352305.60169466631</v>
      </c>
      <c r="AE318" s="93">
        <f t="shared" ca="1" si="59"/>
        <v>4209222.4067786653</v>
      </c>
    </row>
    <row r="319" spans="1:31" s="3" customFormat="1" x14ac:dyDescent="0.35">
      <c r="A319" s="94" t="s">
        <v>346</v>
      </c>
      <c r="B319" s="80">
        <v>1608</v>
      </c>
      <c r="C319" s="48" t="s">
        <v>40</v>
      </c>
      <c r="D319" s="48" t="s">
        <v>39</v>
      </c>
      <c r="E319" s="48"/>
      <c r="F319" s="48">
        <v>52.96</v>
      </c>
      <c r="G319" s="48">
        <v>5.74</v>
      </c>
      <c r="H319" s="82">
        <f t="shared" si="48"/>
        <v>55.83</v>
      </c>
      <c r="I319" s="82">
        <f t="shared" si="49"/>
        <v>58.7</v>
      </c>
      <c r="J319" s="49">
        <v>6145</v>
      </c>
      <c r="K319" s="304">
        <v>0</v>
      </c>
      <c r="L319" s="48">
        <v>400</v>
      </c>
      <c r="M319" s="48">
        <v>70</v>
      </c>
      <c r="N319" s="49">
        <f t="shared" si="50"/>
        <v>6000.5</v>
      </c>
      <c r="O319" s="52">
        <f t="shared" si="51"/>
        <v>6615</v>
      </c>
      <c r="P319" s="79">
        <f t="shared" si="52"/>
        <v>99.059645351961308</v>
      </c>
      <c r="Q319" s="53">
        <f t="shared" si="53"/>
        <v>9.2899999999999996E-2</v>
      </c>
      <c r="R319" s="54">
        <f t="shared" si="54"/>
        <v>614.5</v>
      </c>
      <c r="S319" s="53">
        <v>0.8</v>
      </c>
      <c r="T319" s="54">
        <f t="shared" si="55"/>
        <v>5292</v>
      </c>
      <c r="U319" s="53">
        <f t="shared" si="56"/>
        <v>0.10709999999999997</v>
      </c>
      <c r="V319" s="54">
        <f t="shared" si="57"/>
        <v>708.46649999999977</v>
      </c>
      <c r="W319" s="55">
        <f ca="1">V319*VLOOKUP(TODAY(),'UF HOY'!$A$2:$B$36,2,0)</f>
        <v>28150165.403009992</v>
      </c>
      <c r="X319" s="56">
        <f>Datos!$K$5</f>
        <v>36</v>
      </c>
      <c r="Y319" s="55">
        <f ca="1">IF((W319-Datos!$U$5-1000000)/X319&gt;0,(W319-Datos!$U$5-1000000)/X319,0)</f>
        <v>751393.48341694428</v>
      </c>
      <c r="Z319" s="56">
        <f>Datos!$K$5</f>
        <v>36</v>
      </c>
      <c r="AA319" s="55">
        <f ca="1">IF((W319-Datos!$U$5-1000000-O319*3%*VLOOKUP(TODAY(),'UF HOY'!$A$2:$B$36,2,0))/Z319&gt;0,(W319-Datos!$U$5-1000000-O319*3%*VLOOKUP(TODAY(),'UF HOY'!$A$2:$B$36,2,0))/Z319,0)</f>
        <v>532360.13916694419</v>
      </c>
      <c r="AB319" s="130" cm="1">
        <f t="array" ref="AB319">_xlfn.IFS(AND(L319=0,M319=0),VLOOKUP(D319,Datos!$F$31:$I$33,2,0),AND(L319=0,M319&gt;0),VLOOKUP(D319,Datos!$F$32:$I$33,2,0),AND(L319&gt;0,M319=0),VLOOKUP(D319,Datos!$F$32:$I$33,3,0),AND(L319&gt;0,M319&gt;0),VLOOKUP(D319,Datos!$F$31:$I$33,4,0))</f>
        <v>700000</v>
      </c>
      <c r="AC319" s="55">
        <f ca="1">(S319*PMT(Datos!$G$15,Datos!$G$14,-O319,,)*VLOOKUP(TODAY(),'UF HOY'!$A$2:$B$36,2,0)/12)+VLOOKUP(TODAY(),'UF HOY'!$A$2:$B$36,2,0)</f>
        <v>1053071.5409243898</v>
      </c>
      <c r="AD319" s="55">
        <f t="shared" ca="1" si="58"/>
        <v>-353071.54092438985</v>
      </c>
      <c r="AE319" s="93">
        <f t="shared" ca="1" si="59"/>
        <v>4212286.1636975594</v>
      </c>
    </row>
    <row r="320" spans="1:31" s="3" customFormat="1" x14ac:dyDescent="0.35">
      <c r="A320" s="94" t="s">
        <v>346</v>
      </c>
      <c r="B320" s="80">
        <v>1811</v>
      </c>
      <c r="C320" s="48" t="s">
        <v>41</v>
      </c>
      <c r="D320" s="48" t="s">
        <v>39</v>
      </c>
      <c r="E320" s="48"/>
      <c r="F320" s="48">
        <v>54.32</v>
      </c>
      <c r="G320" s="48">
        <v>3.73</v>
      </c>
      <c r="H320" s="82">
        <f t="shared" si="48"/>
        <v>56.185000000000002</v>
      </c>
      <c r="I320" s="82">
        <f t="shared" si="49"/>
        <v>58.05</v>
      </c>
      <c r="J320" s="49">
        <v>6160</v>
      </c>
      <c r="K320" s="304">
        <v>0</v>
      </c>
      <c r="L320" s="48">
        <v>400</v>
      </c>
      <c r="M320" s="48">
        <v>70</v>
      </c>
      <c r="N320" s="49">
        <f t="shared" si="50"/>
        <v>6014</v>
      </c>
      <c r="O320" s="52">
        <f t="shared" si="51"/>
        <v>6630</v>
      </c>
      <c r="P320" s="79">
        <f t="shared" si="52"/>
        <v>98.674023315831619</v>
      </c>
      <c r="Q320" s="53">
        <f t="shared" si="53"/>
        <v>9.2899999999999996E-2</v>
      </c>
      <c r="R320" s="54">
        <f t="shared" si="54"/>
        <v>616</v>
      </c>
      <c r="S320" s="53">
        <v>0.8</v>
      </c>
      <c r="T320" s="54">
        <f t="shared" si="55"/>
        <v>5304</v>
      </c>
      <c r="U320" s="53">
        <f t="shared" si="56"/>
        <v>0.10709999999999997</v>
      </c>
      <c r="V320" s="54">
        <f t="shared" si="57"/>
        <v>710.07299999999987</v>
      </c>
      <c r="W320" s="55">
        <f ca="1">V320*VLOOKUP(TODAY(),'UF HOY'!$A$2:$B$36,2,0)</f>
        <v>28213997.977619998</v>
      </c>
      <c r="X320" s="56">
        <f>Datos!$K$5</f>
        <v>36</v>
      </c>
      <c r="Y320" s="55">
        <f ca="1">IF((W320-Datos!$U$5-1000000)/X320&gt;0,(W320-Datos!$U$5-1000000)/X320,0)</f>
        <v>753166.61048944434</v>
      </c>
      <c r="Z320" s="56">
        <f>Datos!$K$5</f>
        <v>36</v>
      </c>
      <c r="AA320" s="55">
        <f ca="1">IF((W320-Datos!$U$5-1000000-O320*3%*VLOOKUP(TODAY(),'UF HOY'!$A$2:$B$36,2,0))/Z320&gt;0,(W320-Datos!$U$5-1000000-O320*3%*VLOOKUP(TODAY(),'UF HOY'!$A$2:$B$36,2,0))/Z320,0)</f>
        <v>533636.59198944434</v>
      </c>
      <c r="AB320" s="130" cm="1">
        <f t="array" ref="AB320">_xlfn.IFS(AND(L320=0,M320=0),VLOOKUP(D320,Datos!$F$31:$I$33,2,0),AND(L320=0,M320&gt;0),VLOOKUP(D320,Datos!$F$32:$I$33,2,0),AND(L320&gt;0,M320=0),VLOOKUP(D320,Datos!$F$32:$I$33,3,0),AND(L320&gt;0,M320&gt;0),VLOOKUP(D320,Datos!$F$31:$I$33,4,0))</f>
        <v>700000</v>
      </c>
      <c r="AC320" s="55">
        <f ca="1">(S320*PMT(Datos!$G$15,Datos!$G$14,-O320,,)*VLOOKUP(TODAY(),'UF HOY'!$A$2:$B$36,2,0)/12)+VLOOKUP(TODAY(),'UF HOY'!$A$2:$B$36,2,0)</f>
        <v>1055369.3586135607</v>
      </c>
      <c r="AD320" s="55">
        <f t="shared" ca="1" si="58"/>
        <v>-355369.35861356067</v>
      </c>
      <c r="AE320" s="93">
        <f t="shared" ca="1" si="59"/>
        <v>4221477.4344542427</v>
      </c>
    </row>
    <row r="321" spans="1:31" s="3" customFormat="1" x14ac:dyDescent="0.35">
      <c r="A321" s="94" t="s">
        <v>346</v>
      </c>
      <c r="B321" s="80">
        <v>1708</v>
      </c>
      <c r="C321" s="48" t="s">
        <v>40</v>
      </c>
      <c r="D321" s="48" t="s">
        <v>39</v>
      </c>
      <c r="E321" s="48"/>
      <c r="F321" s="48">
        <v>52.96</v>
      </c>
      <c r="G321" s="48">
        <v>5.74</v>
      </c>
      <c r="H321" s="82">
        <f t="shared" si="48"/>
        <v>55.83</v>
      </c>
      <c r="I321" s="82">
        <f t="shared" si="49"/>
        <v>58.7</v>
      </c>
      <c r="J321" s="49">
        <v>6165</v>
      </c>
      <c r="K321" s="304">
        <v>0</v>
      </c>
      <c r="L321" s="48">
        <v>400</v>
      </c>
      <c r="M321" s="48">
        <v>70</v>
      </c>
      <c r="N321" s="49">
        <f t="shared" si="50"/>
        <v>6018.5</v>
      </c>
      <c r="O321" s="52">
        <f t="shared" si="51"/>
        <v>6635</v>
      </c>
      <c r="P321" s="79">
        <f t="shared" si="52"/>
        <v>99.382052659860292</v>
      </c>
      <c r="Q321" s="53">
        <f t="shared" si="53"/>
        <v>9.2899999999999996E-2</v>
      </c>
      <c r="R321" s="54">
        <f t="shared" si="54"/>
        <v>616.5</v>
      </c>
      <c r="S321" s="53">
        <v>0.8</v>
      </c>
      <c r="T321" s="54">
        <f t="shared" si="55"/>
        <v>5308</v>
      </c>
      <c r="U321" s="53">
        <f t="shared" si="56"/>
        <v>0.10709999999999997</v>
      </c>
      <c r="V321" s="54">
        <f t="shared" si="57"/>
        <v>710.60849999999982</v>
      </c>
      <c r="W321" s="55">
        <f ca="1">V321*VLOOKUP(TODAY(),'UF HOY'!$A$2:$B$36,2,0)</f>
        <v>28235275.502489995</v>
      </c>
      <c r="X321" s="56">
        <f>Datos!$K$5</f>
        <v>36</v>
      </c>
      <c r="Y321" s="55">
        <f ca="1">IF((W321-Datos!$U$5-1000000)/X321&gt;0,(W321-Datos!$U$5-1000000)/X321,0)</f>
        <v>753757.65284694429</v>
      </c>
      <c r="Z321" s="56">
        <f>Datos!$K$5</f>
        <v>36</v>
      </c>
      <c r="AA321" s="55">
        <f ca="1">IF((W321-Datos!$U$5-1000000-O321*3%*VLOOKUP(TODAY(),'UF HOY'!$A$2:$B$36,2,0))/Z321&gt;0,(W321-Datos!$U$5-1000000-O321*3%*VLOOKUP(TODAY(),'UF HOY'!$A$2:$B$36,2,0))/Z321,0)</f>
        <v>534062.07626361097</v>
      </c>
      <c r="AB321" s="130" cm="1">
        <f t="array" ref="AB321">_xlfn.IFS(AND(L321=0,M321=0),VLOOKUP(D321,Datos!$F$31:$I$33,2,0),AND(L321=0,M321&gt;0),VLOOKUP(D321,Datos!$F$32:$I$33,2,0),AND(L321&gt;0,M321=0),VLOOKUP(D321,Datos!$F$32:$I$33,3,0),AND(L321&gt;0,M321&gt;0),VLOOKUP(D321,Datos!$F$31:$I$33,4,0))</f>
        <v>700000</v>
      </c>
      <c r="AC321" s="55">
        <f ca="1">(S321*PMT(Datos!$G$15,Datos!$G$14,-O321,,)*VLOOKUP(TODAY(),'UF HOY'!$A$2:$B$36,2,0)/12)+VLOOKUP(TODAY(),'UF HOY'!$A$2:$B$36,2,0)</f>
        <v>1056135.2978432844</v>
      </c>
      <c r="AD321" s="55">
        <f t="shared" ca="1" si="58"/>
        <v>-356135.29784328444</v>
      </c>
      <c r="AE321" s="93">
        <f t="shared" ca="1" si="59"/>
        <v>4224541.1913731378</v>
      </c>
    </row>
    <row r="322" spans="1:31" s="3" customFormat="1" x14ac:dyDescent="0.35">
      <c r="A322" s="94" t="s">
        <v>346</v>
      </c>
      <c r="B322" s="80">
        <v>1808</v>
      </c>
      <c r="C322" s="48" t="s">
        <v>40</v>
      </c>
      <c r="D322" s="48" t="s">
        <v>39</v>
      </c>
      <c r="E322" s="48"/>
      <c r="F322" s="48">
        <v>52.96</v>
      </c>
      <c r="G322" s="48">
        <v>5.74</v>
      </c>
      <c r="H322" s="82">
        <f t="shared" ref="H322:H344" si="60">F322+(G322/2)</f>
        <v>55.83</v>
      </c>
      <c r="I322" s="82">
        <f t="shared" ref="I322:I344" si="61">F322+G322</f>
        <v>58.7</v>
      </c>
      <c r="J322" s="49">
        <v>6180</v>
      </c>
      <c r="K322" s="304">
        <v>0</v>
      </c>
      <c r="L322" s="48">
        <v>400</v>
      </c>
      <c r="M322" s="48">
        <v>70</v>
      </c>
      <c r="N322" s="49">
        <f t="shared" ref="N322:N344" si="62">O322-R322</f>
        <v>6032</v>
      </c>
      <c r="O322" s="52">
        <f t="shared" ref="O322:O344" si="63">J322*(100%-K322)+L322+M322</f>
        <v>6650</v>
      </c>
      <c r="P322" s="79">
        <f t="shared" ref="P322:P344" si="64">(N322-L322-M322)/H322</f>
        <v>99.623858140784534</v>
      </c>
      <c r="Q322" s="53">
        <f t="shared" ref="Q322:Q344" si="65">IF((O322-N322)/O322&gt;10%,10%,ROUND(IF(O322&gt;N322,(O322-N322)/O322,0),4))</f>
        <v>9.2899999999999996E-2</v>
      </c>
      <c r="R322" s="54">
        <f t="shared" ref="R322:R344" si="66">(J322-J322*K322)*0.1</f>
        <v>618</v>
      </c>
      <c r="S322" s="53">
        <v>0.8</v>
      </c>
      <c r="T322" s="54">
        <f t="shared" ref="T322:T344" si="67">S322*O322</f>
        <v>5320</v>
      </c>
      <c r="U322" s="53">
        <f t="shared" ref="U322:U344" si="68">100%-Q322-S322</f>
        <v>0.10709999999999997</v>
      </c>
      <c r="V322" s="54">
        <f t="shared" ref="V322:V344" si="69">O322*U322</f>
        <v>712.2149999999998</v>
      </c>
      <c r="W322" s="55">
        <f ca="1">V322*VLOOKUP(TODAY(),'UF HOY'!$A$2:$B$36,2,0)</f>
        <v>28299108.077099994</v>
      </c>
      <c r="X322" s="56">
        <f>Datos!$K$5</f>
        <v>36</v>
      </c>
      <c r="Y322" s="55">
        <f ca="1">IF((W322-Datos!$U$5-1000000)/X322&gt;0,(W322-Datos!$U$5-1000000)/X322,0)</f>
        <v>755530.77991944423</v>
      </c>
      <c r="Z322" s="56">
        <f>Datos!$K$5</f>
        <v>36</v>
      </c>
      <c r="AA322" s="55">
        <f ca="1">IF((W322-Datos!$U$5-1000000-O322*3%*VLOOKUP(TODAY(),'UF HOY'!$A$2:$B$36,2,0))/Z322&gt;0,(W322-Datos!$U$5-1000000-O322*3%*VLOOKUP(TODAY(),'UF HOY'!$A$2:$B$36,2,0))/Z322,0)</f>
        <v>535338.52908611088</v>
      </c>
      <c r="AB322" s="130" cm="1">
        <f t="array" ref="AB322">_xlfn.IFS(AND(L322=0,M322=0),VLOOKUP(D322,Datos!$F$31:$I$33,2,0),AND(L322=0,M322&gt;0),VLOOKUP(D322,Datos!$F$32:$I$33,2,0),AND(L322&gt;0,M322=0),VLOOKUP(D322,Datos!$F$32:$I$33,3,0),AND(L322&gt;0,M322&gt;0),VLOOKUP(D322,Datos!$F$31:$I$33,4,0))</f>
        <v>700000</v>
      </c>
      <c r="AC322" s="55">
        <f ca="1">(S322*PMT(Datos!$G$15,Datos!$G$14,-O322,,)*VLOOKUP(TODAY(),'UF HOY'!$A$2:$B$36,2,0)/12)+VLOOKUP(TODAY(),'UF HOY'!$A$2:$B$36,2,0)</f>
        <v>1058433.1155324555</v>
      </c>
      <c r="AD322" s="55">
        <f t="shared" ref="AD322:AD344" ca="1" si="70">AB322-AC322</f>
        <v>-358433.1155324555</v>
      </c>
      <c r="AE322" s="93">
        <f t="shared" ca="1" si="59"/>
        <v>4233732.462129822</v>
      </c>
    </row>
    <row r="323" spans="1:31" s="3" customFormat="1" x14ac:dyDescent="0.35">
      <c r="A323" s="94" t="s">
        <v>346</v>
      </c>
      <c r="B323" s="80">
        <v>1911</v>
      </c>
      <c r="C323" s="48" t="s">
        <v>41</v>
      </c>
      <c r="D323" s="48" t="s">
        <v>39</v>
      </c>
      <c r="E323" s="48"/>
      <c r="F323" s="48">
        <v>54.32</v>
      </c>
      <c r="G323" s="48">
        <v>3.73</v>
      </c>
      <c r="H323" s="82">
        <f t="shared" si="60"/>
        <v>56.185000000000002</v>
      </c>
      <c r="I323" s="82">
        <f t="shared" si="61"/>
        <v>58.05</v>
      </c>
      <c r="J323" s="49">
        <v>6180</v>
      </c>
      <c r="K323" s="304">
        <v>0</v>
      </c>
      <c r="L323" s="48">
        <v>400</v>
      </c>
      <c r="M323" s="48">
        <v>70</v>
      </c>
      <c r="N323" s="49">
        <f t="shared" si="62"/>
        <v>6032</v>
      </c>
      <c r="O323" s="52">
        <f t="shared" si="63"/>
        <v>6650</v>
      </c>
      <c r="P323" s="79">
        <f t="shared" si="64"/>
        <v>98.9943935214025</v>
      </c>
      <c r="Q323" s="53">
        <f t="shared" si="65"/>
        <v>9.2899999999999996E-2</v>
      </c>
      <c r="R323" s="54">
        <f t="shared" si="66"/>
        <v>618</v>
      </c>
      <c r="S323" s="53">
        <v>0.8</v>
      </c>
      <c r="T323" s="54">
        <f t="shared" si="67"/>
        <v>5320</v>
      </c>
      <c r="U323" s="53">
        <f t="shared" si="68"/>
        <v>0.10709999999999997</v>
      </c>
      <c r="V323" s="54">
        <f t="shared" si="69"/>
        <v>712.2149999999998</v>
      </c>
      <c r="W323" s="55">
        <f ca="1">V323*VLOOKUP(TODAY(),'UF HOY'!$A$2:$B$36,2,0)</f>
        <v>28299108.077099994</v>
      </c>
      <c r="X323" s="56">
        <f>Datos!$K$5</f>
        <v>36</v>
      </c>
      <c r="Y323" s="55">
        <f ca="1">IF((W323-Datos!$U$5-1000000)/X323&gt;0,(W323-Datos!$U$5-1000000)/X323,0)</f>
        <v>755530.77991944423</v>
      </c>
      <c r="Z323" s="56">
        <f>Datos!$K$5</f>
        <v>36</v>
      </c>
      <c r="AA323" s="55">
        <f ca="1">IF((W323-Datos!$U$5-1000000-O323*3%*VLOOKUP(TODAY(),'UF HOY'!$A$2:$B$36,2,0))/Z323&gt;0,(W323-Datos!$U$5-1000000-O323*3%*VLOOKUP(TODAY(),'UF HOY'!$A$2:$B$36,2,0))/Z323,0)</f>
        <v>535338.52908611088</v>
      </c>
      <c r="AB323" s="130" cm="1">
        <f t="array" ref="AB323">_xlfn.IFS(AND(L323=0,M323=0),VLOOKUP(D323,Datos!$F$31:$I$33,2,0),AND(L323=0,M323&gt;0),VLOOKUP(D323,Datos!$F$32:$I$33,2,0),AND(L323&gt;0,M323=0),VLOOKUP(D323,Datos!$F$32:$I$33,3,0),AND(L323&gt;0,M323&gt;0),VLOOKUP(D323,Datos!$F$31:$I$33,4,0))</f>
        <v>700000</v>
      </c>
      <c r="AC323" s="55">
        <f ca="1">(S323*PMT(Datos!$G$15,Datos!$G$14,-O323,,)*VLOOKUP(TODAY(),'UF HOY'!$A$2:$B$36,2,0)/12)+VLOOKUP(TODAY(),'UF HOY'!$A$2:$B$36,2,0)</f>
        <v>1058433.1155324555</v>
      </c>
      <c r="AD323" s="55">
        <f t="shared" ca="1" si="70"/>
        <v>-358433.1155324555</v>
      </c>
      <c r="AE323" s="93">
        <f t="shared" ref="AE323:AE344" ca="1" si="71">IF((AC323/0.25)&lt;=1600000,1600000,(AC323/0.25))</f>
        <v>4233732.462129822</v>
      </c>
    </row>
    <row r="324" spans="1:31" s="3" customFormat="1" x14ac:dyDescent="0.35">
      <c r="A324" s="94" t="s">
        <v>346</v>
      </c>
      <c r="B324" s="80">
        <v>2011</v>
      </c>
      <c r="C324" s="48" t="s">
        <v>41</v>
      </c>
      <c r="D324" s="48" t="s">
        <v>39</v>
      </c>
      <c r="E324" s="48"/>
      <c r="F324" s="48">
        <v>54.32</v>
      </c>
      <c r="G324" s="48">
        <v>3.73</v>
      </c>
      <c r="H324" s="82">
        <f t="shared" si="60"/>
        <v>56.185000000000002</v>
      </c>
      <c r="I324" s="82">
        <f t="shared" si="61"/>
        <v>58.05</v>
      </c>
      <c r="J324" s="49">
        <v>6195</v>
      </c>
      <c r="K324" s="304">
        <v>0</v>
      </c>
      <c r="L324" s="48">
        <v>400</v>
      </c>
      <c r="M324" s="48">
        <v>70</v>
      </c>
      <c r="N324" s="49">
        <f t="shared" si="62"/>
        <v>6045.5</v>
      </c>
      <c r="O324" s="52">
        <f t="shared" si="63"/>
        <v>6665</v>
      </c>
      <c r="P324" s="79">
        <f t="shared" si="64"/>
        <v>99.234671175580672</v>
      </c>
      <c r="Q324" s="53">
        <f t="shared" si="65"/>
        <v>9.2899999999999996E-2</v>
      </c>
      <c r="R324" s="54">
        <f t="shared" si="66"/>
        <v>619.5</v>
      </c>
      <c r="S324" s="53">
        <v>0.8</v>
      </c>
      <c r="T324" s="54">
        <f t="shared" si="67"/>
        <v>5332</v>
      </c>
      <c r="U324" s="53">
        <f t="shared" si="68"/>
        <v>0.10709999999999997</v>
      </c>
      <c r="V324" s="54">
        <f t="shared" si="69"/>
        <v>713.82149999999979</v>
      </c>
      <c r="W324" s="55">
        <f ca="1">V324*VLOOKUP(TODAY(),'UF HOY'!$A$2:$B$36,2,0)</f>
        <v>28362940.651709992</v>
      </c>
      <c r="X324" s="56">
        <f>Datos!$K$5</f>
        <v>36</v>
      </c>
      <c r="Y324" s="55">
        <f ca="1">IF((W324-Datos!$U$5-1000000)/X324&gt;0,(W324-Datos!$U$5-1000000)/X324,0)</f>
        <v>757303.90699194418</v>
      </c>
      <c r="Z324" s="56">
        <f>Datos!$K$5</f>
        <v>36</v>
      </c>
      <c r="AA324" s="55">
        <f ca="1">IF((W324-Datos!$U$5-1000000-O324*3%*VLOOKUP(TODAY(),'UF HOY'!$A$2:$B$36,2,0))/Z324&gt;0,(W324-Datos!$U$5-1000000-O324*3%*VLOOKUP(TODAY(),'UF HOY'!$A$2:$B$36,2,0))/Z324,0)</f>
        <v>536614.98190861091</v>
      </c>
      <c r="AB324" s="130" cm="1">
        <f t="array" ref="AB324">_xlfn.IFS(AND(L324=0,M324=0),VLOOKUP(D324,Datos!$F$31:$I$33,2,0),AND(L324=0,M324&gt;0),VLOOKUP(D324,Datos!$F$32:$I$33,2,0),AND(L324&gt;0,M324=0),VLOOKUP(D324,Datos!$F$32:$I$33,3,0),AND(L324&gt;0,M324&gt;0),VLOOKUP(D324,Datos!$F$31:$I$33,4,0))</f>
        <v>700000</v>
      </c>
      <c r="AC324" s="55">
        <f ca="1">(S324*PMT(Datos!$G$15,Datos!$G$14,-O324,,)*VLOOKUP(TODAY(),'UF HOY'!$A$2:$B$36,2,0)/12)+VLOOKUP(TODAY(),'UF HOY'!$A$2:$B$36,2,0)</f>
        <v>1060730.9332216263</v>
      </c>
      <c r="AD324" s="55">
        <f t="shared" ca="1" si="70"/>
        <v>-360730.93322162633</v>
      </c>
      <c r="AE324" s="93">
        <f t="shared" ca="1" si="71"/>
        <v>4242923.7328865053</v>
      </c>
    </row>
    <row r="325" spans="1:31" s="3" customFormat="1" x14ac:dyDescent="0.35">
      <c r="A325" s="94" t="s">
        <v>346</v>
      </c>
      <c r="B325" s="80">
        <v>1908</v>
      </c>
      <c r="C325" s="48" t="s">
        <v>40</v>
      </c>
      <c r="D325" s="48" t="s">
        <v>39</v>
      </c>
      <c r="E325" s="48"/>
      <c r="F325" s="48">
        <v>52.96</v>
      </c>
      <c r="G325" s="48">
        <v>5.74</v>
      </c>
      <c r="H325" s="82">
        <f t="shared" si="60"/>
        <v>55.83</v>
      </c>
      <c r="I325" s="82">
        <f t="shared" si="61"/>
        <v>58.7</v>
      </c>
      <c r="J325" s="49">
        <v>6200</v>
      </c>
      <c r="K325" s="304">
        <v>0</v>
      </c>
      <c r="L325" s="48">
        <v>400</v>
      </c>
      <c r="M325" s="48">
        <v>70</v>
      </c>
      <c r="N325" s="49">
        <f t="shared" si="62"/>
        <v>6050</v>
      </c>
      <c r="O325" s="52">
        <f t="shared" si="63"/>
        <v>6670</v>
      </c>
      <c r="P325" s="79">
        <f t="shared" si="64"/>
        <v>99.946265448683505</v>
      </c>
      <c r="Q325" s="53">
        <f t="shared" si="65"/>
        <v>9.2999999999999999E-2</v>
      </c>
      <c r="R325" s="54">
        <f t="shared" si="66"/>
        <v>620</v>
      </c>
      <c r="S325" s="53">
        <v>0.8</v>
      </c>
      <c r="T325" s="54">
        <f t="shared" si="67"/>
        <v>5336</v>
      </c>
      <c r="U325" s="53">
        <f t="shared" si="68"/>
        <v>0.10699999999999998</v>
      </c>
      <c r="V325" s="54">
        <f t="shared" si="69"/>
        <v>713.68999999999994</v>
      </c>
      <c r="W325" s="55">
        <f ca="1">V325*VLOOKUP(TODAY(),'UF HOY'!$A$2:$B$36,2,0)</f>
        <v>28357715.638599999</v>
      </c>
      <c r="X325" s="56">
        <f>Datos!$K$5</f>
        <v>36</v>
      </c>
      <c r="Y325" s="55">
        <f ca="1">IF((W325-Datos!$U$5-1000000)/X325&gt;0,(W325-Datos!$U$5-1000000)/X325,0)</f>
        <v>757158.76773888886</v>
      </c>
      <c r="Z325" s="56">
        <f>Datos!$K$5</f>
        <v>36</v>
      </c>
      <c r="AA325" s="55">
        <f ca="1">IF((W325-Datos!$U$5-1000000-O325*3%*VLOOKUP(TODAY(),'UF HOY'!$A$2:$B$36,2,0))/Z325&gt;0,(W325-Datos!$U$5-1000000-O325*3%*VLOOKUP(TODAY(),'UF HOY'!$A$2:$B$36,2,0))/Z325,0)</f>
        <v>536304.28457222215</v>
      </c>
      <c r="AB325" s="130" cm="1">
        <f t="array" ref="AB325">_xlfn.IFS(AND(L325=0,M325=0),VLOOKUP(D325,Datos!$F$31:$I$33,2,0),AND(L325=0,M325&gt;0),VLOOKUP(D325,Datos!$F$32:$I$33,2,0),AND(L325&gt;0,M325=0),VLOOKUP(D325,Datos!$F$32:$I$33,3,0),AND(L325&gt;0,M325&gt;0),VLOOKUP(D325,Datos!$F$31:$I$33,4,0))</f>
        <v>700000</v>
      </c>
      <c r="AC325" s="55">
        <f ca="1">(S325*PMT(Datos!$G$15,Datos!$G$14,-O325,,)*VLOOKUP(TODAY(),'UF HOY'!$A$2:$B$36,2,0)/12)+VLOOKUP(TODAY(),'UF HOY'!$A$2:$B$36,2,0)</f>
        <v>1061496.8724513501</v>
      </c>
      <c r="AD325" s="55">
        <f t="shared" ca="1" si="70"/>
        <v>-361496.87245135009</v>
      </c>
      <c r="AE325" s="93">
        <f t="shared" ca="1" si="71"/>
        <v>4245987.4898054004</v>
      </c>
    </row>
    <row r="326" spans="1:31" s="3" customFormat="1" x14ac:dyDescent="0.35">
      <c r="A326" s="94" t="s">
        <v>346</v>
      </c>
      <c r="B326" s="80">
        <v>2008</v>
      </c>
      <c r="C326" s="48" t="s">
        <v>40</v>
      </c>
      <c r="D326" s="48" t="s">
        <v>39</v>
      </c>
      <c r="E326" s="48"/>
      <c r="F326" s="48">
        <v>52.96</v>
      </c>
      <c r="G326" s="48">
        <v>5.74</v>
      </c>
      <c r="H326" s="82">
        <f t="shared" si="60"/>
        <v>55.83</v>
      </c>
      <c r="I326" s="82">
        <f t="shared" si="61"/>
        <v>58.7</v>
      </c>
      <c r="J326" s="49">
        <v>6215</v>
      </c>
      <c r="K326" s="304">
        <v>0</v>
      </c>
      <c r="L326" s="48">
        <v>400</v>
      </c>
      <c r="M326" s="48">
        <v>70</v>
      </c>
      <c r="N326" s="49">
        <f t="shared" si="62"/>
        <v>6063.5</v>
      </c>
      <c r="O326" s="52">
        <f t="shared" si="63"/>
        <v>6685</v>
      </c>
      <c r="P326" s="79">
        <f t="shared" si="64"/>
        <v>100.18807092960775</v>
      </c>
      <c r="Q326" s="53">
        <f t="shared" si="65"/>
        <v>9.2999999999999999E-2</v>
      </c>
      <c r="R326" s="54">
        <f t="shared" si="66"/>
        <v>621.5</v>
      </c>
      <c r="S326" s="53">
        <v>0.8</v>
      </c>
      <c r="T326" s="54">
        <f t="shared" si="67"/>
        <v>5348</v>
      </c>
      <c r="U326" s="53">
        <f t="shared" si="68"/>
        <v>0.10699999999999998</v>
      </c>
      <c r="V326" s="54">
        <f t="shared" si="69"/>
        <v>715.29499999999985</v>
      </c>
      <c r="W326" s="55">
        <f ca="1">V326*VLOOKUP(TODAY(),'UF HOY'!$A$2:$B$36,2,0)</f>
        <v>28421488.612299997</v>
      </c>
      <c r="X326" s="56">
        <f>Datos!$K$5</f>
        <v>36</v>
      </c>
      <c r="Y326" s="55">
        <f ca="1">IF((W326-Datos!$U$5-1000000)/X326&gt;0,(W326-Datos!$U$5-1000000)/X326,0)</f>
        <v>758930.23923055548</v>
      </c>
      <c r="Z326" s="56">
        <f>Datos!$K$5</f>
        <v>36</v>
      </c>
      <c r="AA326" s="55">
        <f ca="1">IF((W326-Datos!$U$5-1000000-O326*3%*VLOOKUP(TODAY(),'UF HOY'!$A$2:$B$36,2,0))/Z326&gt;0,(W326-Datos!$U$5-1000000-O326*3%*VLOOKUP(TODAY(),'UF HOY'!$A$2:$B$36,2,0))/Z326,0)</f>
        <v>537579.08181388886</v>
      </c>
      <c r="AB326" s="130" cm="1">
        <f t="array" ref="AB326">_xlfn.IFS(AND(L326=0,M326=0),VLOOKUP(D326,Datos!$F$31:$I$33,2,0),AND(L326=0,M326&gt;0),VLOOKUP(D326,Datos!$F$32:$I$33,2,0),AND(L326&gt;0,M326=0),VLOOKUP(D326,Datos!$F$32:$I$33,3,0),AND(L326&gt;0,M326&gt;0),VLOOKUP(D326,Datos!$F$31:$I$33,4,0))</f>
        <v>700000</v>
      </c>
      <c r="AC326" s="55">
        <f ca="1">(S326*PMT(Datos!$G$15,Datos!$G$14,-O326,,)*VLOOKUP(TODAY(),'UF HOY'!$A$2:$B$36,2,0)/12)+VLOOKUP(TODAY(),'UF HOY'!$A$2:$B$36,2,0)</f>
        <v>1063794.6901405207</v>
      </c>
      <c r="AD326" s="55">
        <f t="shared" ca="1" si="70"/>
        <v>-363794.69014052069</v>
      </c>
      <c r="AE326" s="93">
        <f t="shared" ca="1" si="71"/>
        <v>4255178.7605620828</v>
      </c>
    </row>
    <row r="327" spans="1:31" s="3" customFormat="1" x14ac:dyDescent="0.35">
      <c r="A327" s="94" t="s">
        <v>346</v>
      </c>
      <c r="B327" s="80">
        <v>2111</v>
      </c>
      <c r="C327" s="48" t="s">
        <v>41</v>
      </c>
      <c r="D327" s="48" t="s">
        <v>39</v>
      </c>
      <c r="E327" s="48"/>
      <c r="F327" s="48">
        <v>54.32</v>
      </c>
      <c r="G327" s="48">
        <v>3.73</v>
      </c>
      <c r="H327" s="82">
        <f t="shared" si="60"/>
        <v>56.185000000000002</v>
      </c>
      <c r="I327" s="82">
        <f t="shared" si="61"/>
        <v>58.05</v>
      </c>
      <c r="J327" s="49">
        <v>6215</v>
      </c>
      <c r="K327" s="304">
        <v>0</v>
      </c>
      <c r="L327" s="48">
        <v>400</v>
      </c>
      <c r="M327" s="48">
        <v>70</v>
      </c>
      <c r="N327" s="49">
        <f t="shared" si="62"/>
        <v>6063.5</v>
      </c>
      <c r="O327" s="52">
        <f t="shared" si="63"/>
        <v>6685</v>
      </c>
      <c r="P327" s="79">
        <f t="shared" si="64"/>
        <v>99.555041381151554</v>
      </c>
      <c r="Q327" s="53">
        <f t="shared" si="65"/>
        <v>9.2999999999999999E-2</v>
      </c>
      <c r="R327" s="54">
        <f t="shared" si="66"/>
        <v>621.5</v>
      </c>
      <c r="S327" s="53">
        <v>0.8</v>
      </c>
      <c r="T327" s="54">
        <f t="shared" si="67"/>
        <v>5348</v>
      </c>
      <c r="U327" s="53">
        <f t="shared" si="68"/>
        <v>0.10699999999999998</v>
      </c>
      <c r="V327" s="54">
        <f t="shared" si="69"/>
        <v>715.29499999999985</v>
      </c>
      <c r="W327" s="55">
        <f ca="1">V327*VLOOKUP(TODAY(),'UF HOY'!$A$2:$B$36,2,0)</f>
        <v>28421488.612299997</v>
      </c>
      <c r="X327" s="56">
        <f>Datos!$K$5</f>
        <v>36</v>
      </c>
      <c r="Y327" s="55">
        <f ca="1">IF((W327-Datos!$U$5-1000000)/X327&gt;0,(W327-Datos!$U$5-1000000)/X327,0)</f>
        <v>758930.23923055548</v>
      </c>
      <c r="Z327" s="56">
        <f>Datos!$K$5</f>
        <v>36</v>
      </c>
      <c r="AA327" s="55">
        <f ca="1">IF((W327-Datos!$U$5-1000000-O327*3%*VLOOKUP(TODAY(),'UF HOY'!$A$2:$B$36,2,0))/Z327&gt;0,(W327-Datos!$U$5-1000000-O327*3%*VLOOKUP(TODAY(),'UF HOY'!$A$2:$B$36,2,0))/Z327,0)</f>
        <v>537579.08181388886</v>
      </c>
      <c r="AB327" s="130" cm="1">
        <f t="array" ref="AB327">_xlfn.IFS(AND(L327=0,M327=0),VLOOKUP(D327,Datos!$F$31:$I$33,2,0),AND(L327=0,M327&gt;0),VLOOKUP(D327,Datos!$F$32:$I$33,2,0),AND(L327&gt;0,M327=0),VLOOKUP(D327,Datos!$F$32:$I$33,3,0),AND(L327&gt;0,M327&gt;0),VLOOKUP(D327,Datos!$F$31:$I$33,4,0))</f>
        <v>700000</v>
      </c>
      <c r="AC327" s="55">
        <f ca="1">(S327*PMT(Datos!$G$15,Datos!$G$14,-O327,,)*VLOOKUP(TODAY(),'UF HOY'!$A$2:$B$36,2,0)/12)+VLOOKUP(TODAY(),'UF HOY'!$A$2:$B$36,2,0)</f>
        <v>1063794.6901405207</v>
      </c>
      <c r="AD327" s="55">
        <f t="shared" ca="1" si="70"/>
        <v>-363794.69014052069</v>
      </c>
      <c r="AE327" s="93">
        <f t="shared" ca="1" si="71"/>
        <v>4255178.7605620828</v>
      </c>
    </row>
    <row r="328" spans="1:31" s="3" customFormat="1" x14ac:dyDescent="0.35">
      <c r="A328" s="94" t="s">
        <v>346</v>
      </c>
      <c r="B328" s="80">
        <v>2211</v>
      </c>
      <c r="C328" s="48" t="s">
        <v>41</v>
      </c>
      <c r="D328" s="48" t="s">
        <v>39</v>
      </c>
      <c r="E328" s="48"/>
      <c r="F328" s="48">
        <v>54.32</v>
      </c>
      <c r="G328" s="48">
        <v>3.73</v>
      </c>
      <c r="H328" s="82">
        <f t="shared" si="60"/>
        <v>56.185000000000002</v>
      </c>
      <c r="I328" s="82">
        <f t="shared" si="61"/>
        <v>58.05</v>
      </c>
      <c r="J328" s="49">
        <v>6230</v>
      </c>
      <c r="K328" s="304">
        <v>0</v>
      </c>
      <c r="L328" s="48">
        <v>400</v>
      </c>
      <c r="M328" s="48">
        <v>70</v>
      </c>
      <c r="N328" s="49">
        <f t="shared" si="62"/>
        <v>6077</v>
      </c>
      <c r="O328" s="52">
        <f t="shared" si="63"/>
        <v>6700</v>
      </c>
      <c r="P328" s="79">
        <f t="shared" si="64"/>
        <v>99.795319035329712</v>
      </c>
      <c r="Q328" s="53">
        <f t="shared" si="65"/>
        <v>9.2999999999999999E-2</v>
      </c>
      <c r="R328" s="54">
        <f t="shared" si="66"/>
        <v>623</v>
      </c>
      <c r="S328" s="53">
        <v>0.8</v>
      </c>
      <c r="T328" s="54">
        <f t="shared" si="67"/>
        <v>5360</v>
      </c>
      <c r="U328" s="53">
        <f t="shared" si="68"/>
        <v>0.10699999999999998</v>
      </c>
      <c r="V328" s="54">
        <f t="shared" si="69"/>
        <v>716.89999999999986</v>
      </c>
      <c r="W328" s="55">
        <f ca="1">V328*VLOOKUP(TODAY(),'UF HOY'!$A$2:$B$36,2,0)</f>
        <v>28485261.585999995</v>
      </c>
      <c r="X328" s="56">
        <f>Datos!$K$5</f>
        <v>36</v>
      </c>
      <c r="Y328" s="55">
        <f ca="1">IF((W328-Datos!$U$5-1000000)/X328&gt;0,(W328-Datos!$U$5-1000000)/X328,0)</f>
        <v>760701.71072222211</v>
      </c>
      <c r="Z328" s="56">
        <f>Datos!$K$5</f>
        <v>36</v>
      </c>
      <c r="AA328" s="55">
        <f ca="1">IF((W328-Datos!$U$5-1000000-O328*3%*VLOOKUP(TODAY(),'UF HOY'!$A$2:$B$36,2,0))/Z328&gt;0,(W328-Datos!$U$5-1000000-O328*3%*VLOOKUP(TODAY(),'UF HOY'!$A$2:$B$36,2,0))/Z328,0)</f>
        <v>538853.87905555544</v>
      </c>
      <c r="AB328" s="130" cm="1">
        <f t="array" ref="AB328">_xlfn.IFS(AND(L328=0,M328=0),VLOOKUP(D328,Datos!$F$31:$I$33,2,0),AND(L328=0,M328&gt;0),VLOOKUP(D328,Datos!$F$32:$I$33,2,0),AND(L328&gt;0,M328=0),VLOOKUP(D328,Datos!$F$32:$I$33,3,0),AND(L328&gt;0,M328&gt;0),VLOOKUP(D328,Datos!$F$31:$I$33,4,0))</f>
        <v>700000</v>
      </c>
      <c r="AC328" s="55">
        <f ca="1">(S328*PMT(Datos!$G$15,Datos!$G$14,-O328,,)*VLOOKUP(TODAY(),'UF HOY'!$A$2:$B$36,2,0)/12)+VLOOKUP(TODAY(),'UF HOY'!$A$2:$B$36,2,0)</f>
        <v>1066092.507829692</v>
      </c>
      <c r="AD328" s="55">
        <f t="shared" ca="1" si="70"/>
        <v>-366092.50782969198</v>
      </c>
      <c r="AE328" s="93">
        <f t="shared" ca="1" si="71"/>
        <v>4264370.0313187679</v>
      </c>
    </row>
    <row r="329" spans="1:31" s="3" customFormat="1" x14ac:dyDescent="0.35">
      <c r="A329" s="94" t="s">
        <v>346</v>
      </c>
      <c r="B329" s="80">
        <v>2108</v>
      </c>
      <c r="C329" s="48" t="s">
        <v>40</v>
      </c>
      <c r="D329" s="48" t="s">
        <v>39</v>
      </c>
      <c r="E329" s="48"/>
      <c r="F329" s="48">
        <v>52.96</v>
      </c>
      <c r="G329" s="48">
        <v>5.74</v>
      </c>
      <c r="H329" s="82">
        <f t="shared" si="60"/>
        <v>55.83</v>
      </c>
      <c r="I329" s="82">
        <f t="shared" si="61"/>
        <v>58.7</v>
      </c>
      <c r="J329" s="49">
        <v>6235</v>
      </c>
      <c r="K329" s="304">
        <v>0</v>
      </c>
      <c r="L329" s="48">
        <v>400</v>
      </c>
      <c r="M329" s="48">
        <v>70</v>
      </c>
      <c r="N329" s="49">
        <f t="shared" si="62"/>
        <v>6081.5</v>
      </c>
      <c r="O329" s="52">
        <f t="shared" si="63"/>
        <v>6705</v>
      </c>
      <c r="P329" s="79">
        <f t="shared" si="64"/>
        <v>100.51047823750672</v>
      </c>
      <c r="Q329" s="53">
        <f t="shared" si="65"/>
        <v>9.2999999999999999E-2</v>
      </c>
      <c r="R329" s="54">
        <f t="shared" si="66"/>
        <v>623.5</v>
      </c>
      <c r="S329" s="53">
        <v>0.8</v>
      </c>
      <c r="T329" s="54">
        <f t="shared" si="67"/>
        <v>5364</v>
      </c>
      <c r="U329" s="53">
        <f t="shared" si="68"/>
        <v>0.10699999999999998</v>
      </c>
      <c r="V329" s="54">
        <f t="shared" si="69"/>
        <v>717.43499999999995</v>
      </c>
      <c r="W329" s="55">
        <f ca="1">V329*VLOOKUP(TODAY(),'UF HOY'!$A$2:$B$36,2,0)</f>
        <v>28506519.243900001</v>
      </c>
      <c r="X329" s="56">
        <f>Datos!$K$5</f>
        <v>36</v>
      </c>
      <c r="Y329" s="55">
        <f ca="1">IF((W329-Datos!$U$5-1000000)/X329&gt;0,(W329-Datos!$U$5-1000000)/X329,0)</f>
        <v>761292.20121944451</v>
      </c>
      <c r="Z329" s="56">
        <f>Datos!$K$5</f>
        <v>36</v>
      </c>
      <c r="AA329" s="55">
        <f ca="1">IF((W329-Datos!$U$5-1000000-O329*3%*VLOOKUP(TODAY(),'UF HOY'!$A$2:$B$36,2,0))/Z329&gt;0,(W329-Datos!$U$5-1000000-O329*3%*VLOOKUP(TODAY(),'UF HOY'!$A$2:$B$36,2,0))/Z329,0)</f>
        <v>539278.81146944454</v>
      </c>
      <c r="AB329" s="130" cm="1">
        <f t="array" ref="AB329">_xlfn.IFS(AND(L329=0,M329=0),VLOOKUP(D329,Datos!$F$31:$I$33,2,0),AND(L329=0,M329&gt;0),VLOOKUP(D329,Datos!$F$32:$I$33,2,0),AND(L329&gt;0,M329=0),VLOOKUP(D329,Datos!$F$32:$I$33,3,0),AND(L329&gt;0,M329&gt;0),VLOOKUP(D329,Datos!$F$31:$I$33,4,0))</f>
        <v>700000</v>
      </c>
      <c r="AC329" s="55">
        <f ca="1">(S329*PMT(Datos!$G$15,Datos!$G$14,-O329,,)*VLOOKUP(TODAY(),'UF HOY'!$A$2:$B$36,2,0)/12)+VLOOKUP(TODAY(),'UF HOY'!$A$2:$B$36,2,0)</f>
        <v>1066858.4470594153</v>
      </c>
      <c r="AD329" s="55">
        <f t="shared" ca="1" si="70"/>
        <v>-366858.44705941528</v>
      </c>
      <c r="AE329" s="93">
        <f t="shared" ca="1" si="71"/>
        <v>4267433.7882376611</v>
      </c>
    </row>
    <row r="330" spans="1:31" s="3" customFormat="1" x14ac:dyDescent="0.35">
      <c r="A330" s="94" t="s">
        <v>346</v>
      </c>
      <c r="B330" s="80">
        <v>2208</v>
      </c>
      <c r="C330" s="48" t="s">
        <v>40</v>
      </c>
      <c r="D330" s="48" t="s">
        <v>39</v>
      </c>
      <c r="E330" s="48"/>
      <c r="F330" s="48">
        <v>52.96</v>
      </c>
      <c r="G330" s="48">
        <v>5.74</v>
      </c>
      <c r="H330" s="82">
        <f t="shared" si="60"/>
        <v>55.83</v>
      </c>
      <c r="I330" s="82">
        <f t="shared" si="61"/>
        <v>58.7</v>
      </c>
      <c r="J330" s="49">
        <v>6250</v>
      </c>
      <c r="K330" s="304">
        <v>0</v>
      </c>
      <c r="L330" s="48">
        <v>400</v>
      </c>
      <c r="M330" s="48">
        <v>70</v>
      </c>
      <c r="N330" s="49">
        <f t="shared" si="62"/>
        <v>6095</v>
      </c>
      <c r="O330" s="52">
        <f t="shared" si="63"/>
        <v>6720</v>
      </c>
      <c r="P330" s="79">
        <f t="shared" si="64"/>
        <v>100.75228371843096</v>
      </c>
      <c r="Q330" s="53">
        <f t="shared" si="65"/>
        <v>9.2999999999999999E-2</v>
      </c>
      <c r="R330" s="54">
        <f t="shared" si="66"/>
        <v>625</v>
      </c>
      <c r="S330" s="53">
        <v>0.8</v>
      </c>
      <c r="T330" s="54">
        <f t="shared" si="67"/>
        <v>5376</v>
      </c>
      <c r="U330" s="53">
        <f t="shared" si="68"/>
        <v>0.10699999999999998</v>
      </c>
      <c r="V330" s="54">
        <f t="shared" si="69"/>
        <v>719.03999999999985</v>
      </c>
      <c r="W330" s="55">
        <f ca="1">V330*VLOOKUP(TODAY(),'UF HOY'!$A$2:$B$36,2,0)</f>
        <v>28570292.217599995</v>
      </c>
      <c r="X330" s="56">
        <f>Datos!$K$5</f>
        <v>36</v>
      </c>
      <c r="Y330" s="55">
        <f ca="1">IF((W330-Datos!$U$5-1000000)/X330&gt;0,(W330-Datos!$U$5-1000000)/X330,0)</f>
        <v>763063.67271111102</v>
      </c>
      <c r="Z330" s="56">
        <f>Datos!$K$5</f>
        <v>36</v>
      </c>
      <c r="AA330" s="55">
        <f ca="1">IF((W330-Datos!$U$5-1000000-O330*3%*VLOOKUP(TODAY(),'UF HOY'!$A$2:$B$36,2,0))/Z330&gt;0,(W330-Datos!$U$5-1000000-O330*3%*VLOOKUP(TODAY(),'UF HOY'!$A$2:$B$36,2,0))/Z330,0)</f>
        <v>540553.60871111089</v>
      </c>
      <c r="AB330" s="130" cm="1">
        <f t="array" ref="AB330">_xlfn.IFS(AND(L330=0,M330=0),VLOOKUP(D330,Datos!$F$31:$I$33,2,0),AND(L330=0,M330&gt;0),VLOOKUP(D330,Datos!$F$32:$I$33,2,0),AND(L330&gt;0,M330=0),VLOOKUP(D330,Datos!$F$32:$I$33,3,0),AND(L330&gt;0,M330&gt;0),VLOOKUP(D330,Datos!$F$31:$I$33,4,0))</f>
        <v>700000</v>
      </c>
      <c r="AC330" s="55">
        <f ca="1">(S330*PMT(Datos!$G$15,Datos!$G$14,-O330,,)*VLOOKUP(TODAY(),'UF HOY'!$A$2:$B$36,2,0)/12)+VLOOKUP(TODAY(),'UF HOY'!$A$2:$B$36,2,0)</f>
        <v>1069156.2647485866</v>
      </c>
      <c r="AD330" s="55">
        <f t="shared" ca="1" si="70"/>
        <v>-369156.26474858657</v>
      </c>
      <c r="AE330" s="93">
        <f t="shared" ca="1" si="71"/>
        <v>4276625.0589943463</v>
      </c>
    </row>
    <row r="331" spans="1:31" s="3" customFormat="1" x14ac:dyDescent="0.35">
      <c r="A331" s="94" t="s">
        <v>346</v>
      </c>
      <c r="B331" s="80">
        <v>2311</v>
      </c>
      <c r="C331" s="48" t="s">
        <v>41</v>
      </c>
      <c r="D331" s="48" t="s">
        <v>39</v>
      </c>
      <c r="E331" s="48"/>
      <c r="F331" s="48">
        <v>54.32</v>
      </c>
      <c r="G331" s="48">
        <v>3.73</v>
      </c>
      <c r="H331" s="82">
        <f t="shared" si="60"/>
        <v>56.185000000000002</v>
      </c>
      <c r="I331" s="82">
        <f t="shared" si="61"/>
        <v>58.05</v>
      </c>
      <c r="J331" s="49">
        <v>6250</v>
      </c>
      <c r="K331" s="304">
        <v>0</v>
      </c>
      <c r="L331" s="48">
        <v>400</v>
      </c>
      <c r="M331" s="48">
        <v>70</v>
      </c>
      <c r="N331" s="49">
        <f t="shared" si="62"/>
        <v>6095</v>
      </c>
      <c r="O331" s="52">
        <f t="shared" si="63"/>
        <v>6720</v>
      </c>
      <c r="P331" s="79">
        <f t="shared" si="64"/>
        <v>100.11568924090059</v>
      </c>
      <c r="Q331" s="53">
        <f t="shared" si="65"/>
        <v>9.2999999999999999E-2</v>
      </c>
      <c r="R331" s="54">
        <f t="shared" si="66"/>
        <v>625</v>
      </c>
      <c r="S331" s="53">
        <v>0.8</v>
      </c>
      <c r="T331" s="54">
        <f t="shared" si="67"/>
        <v>5376</v>
      </c>
      <c r="U331" s="53">
        <f t="shared" si="68"/>
        <v>0.10699999999999998</v>
      </c>
      <c r="V331" s="54">
        <f t="shared" si="69"/>
        <v>719.03999999999985</v>
      </c>
      <c r="W331" s="55">
        <f ca="1">V331*VLOOKUP(TODAY(),'UF HOY'!$A$2:$B$36,2,0)</f>
        <v>28570292.217599995</v>
      </c>
      <c r="X331" s="56">
        <f>Datos!$K$5</f>
        <v>36</v>
      </c>
      <c r="Y331" s="55">
        <f ca="1">IF((W331-Datos!$U$5-1000000)/X331&gt;0,(W331-Datos!$U$5-1000000)/X331,0)</f>
        <v>763063.67271111102</v>
      </c>
      <c r="Z331" s="56">
        <f>Datos!$K$5</f>
        <v>36</v>
      </c>
      <c r="AA331" s="55">
        <f ca="1">IF((W331-Datos!$U$5-1000000-O331*3%*VLOOKUP(TODAY(),'UF HOY'!$A$2:$B$36,2,0))/Z331&gt;0,(W331-Datos!$U$5-1000000-O331*3%*VLOOKUP(TODAY(),'UF HOY'!$A$2:$B$36,2,0))/Z331,0)</f>
        <v>540553.60871111089</v>
      </c>
      <c r="AB331" s="130" cm="1">
        <f t="array" ref="AB331">_xlfn.IFS(AND(L331=0,M331=0),VLOOKUP(D331,Datos!$F$31:$I$33,2,0),AND(L331=0,M331&gt;0),VLOOKUP(D331,Datos!$F$32:$I$33,2,0),AND(L331&gt;0,M331=0),VLOOKUP(D331,Datos!$F$32:$I$33,3,0),AND(L331&gt;0,M331&gt;0),VLOOKUP(D331,Datos!$F$31:$I$33,4,0))</f>
        <v>700000</v>
      </c>
      <c r="AC331" s="55">
        <f ca="1">(S331*PMT(Datos!$G$15,Datos!$G$14,-O331,,)*VLOOKUP(TODAY(),'UF HOY'!$A$2:$B$36,2,0)/12)+VLOOKUP(TODAY(),'UF HOY'!$A$2:$B$36,2,0)</f>
        <v>1069156.2647485866</v>
      </c>
      <c r="AD331" s="55">
        <f t="shared" ca="1" si="70"/>
        <v>-369156.26474858657</v>
      </c>
      <c r="AE331" s="93">
        <f t="shared" ca="1" si="71"/>
        <v>4276625.0589943463</v>
      </c>
    </row>
    <row r="332" spans="1:31" s="3" customFormat="1" x14ac:dyDescent="0.35">
      <c r="A332" s="94" t="s">
        <v>346</v>
      </c>
      <c r="B332" s="80">
        <v>2411</v>
      </c>
      <c r="C332" s="48" t="s">
        <v>41</v>
      </c>
      <c r="D332" s="48" t="s">
        <v>39</v>
      </c>
      <c r="E332" s="48"/>
      <c r="F332" s="48">
        <v>54.32</v>
      </c>
      <c r="G332" s="48">
        <v>3.73</v>
      </c>
      <c r="H332" s="82">
        <f t="shared" si="60"/>
        <v>56.185000000000002</v>
      </c>
      <c r="I332" s="82">
        <f t="shared" si="61"/>
        <v>58.05</v>
      </c>
      <c r="J332" s="49">
        <v>6260</v>
      </c>
      <c r="K332" s="304">
        <v>0</v>
      </c>
      <c r="L332" s="48">
        <v>400</v>
      </c>
      <c r="M332" s="48">
        <v>70</v>
      </c>
      <c r="N332" s="49">
        <f t="shared" si="62"/>
        <v>6104</v>
      </c>
      <c r="O332" s="52">
        <f t="shared" si="63"/>
        <v>6730</v>
      </c>
      <c r="P332" s="79">
        <f t="shared" si="64"/>
        <v>100.27587434368603</v>
      </c>
      <c r="Q332" s="53">
        <f t="shared" si="65"/>
        <v>9.2999999999999999E-2</v>
      </c>
      <c r="R332" s="54">
        <f t="shared" si="66"/>
        <v>626</v>
      </c>
      <c r="S332" s="53">
        <v>0.8</v>
      </c>
      <c r="T332" s="54">
        <f t="shared" si="67"/>
        <v>5384</v>
      </c>
      <c r="U332" s="53">
        <f t="shared" si="68"/>
        <v>0.10699999999999998</v>
      </c>
      <c r="V332" s="54">
        <f t="shared" si="69"/>
        <v>720.1099999999999</v>
      </c>
      <c r="W332" s="55">
        <f ca="1">V332*VLOOKUP(TODAY(),'UF HOY'!$A$2:$B$36,2,0)</f>
        <v>28612807.533399999</v>
      </c>
      <c r="X332" s="56">
        <f>Datos!$K$5</f>
        <v>36</v>
      </c>
      <c r="Y332" s="55">
        <f ca="1">IF((W332-Datos!$U$5-1000000)/X332&gt;0,(W332-Datos!$U$5-1000000)/X332,0)</f>
        <v>764244.65370555548</v>
      </c>
      <c r="Z332" s="56">
        <f>Datos!$K$5</f>
        <v>36</v>
      </c>
      <c r="AA332" s="55">
        <f ca="1">IF((W332-Datos!$U$5-1000000-O332*3%*VLOOKUP(TODAY(),'UF HOY'!$A$2:$B$36,2,0))/Z332&gt;0,(W332-Datos!$U$5-1000000-O332*3%*VLOOKUP(TODAY(),'UF HOY'!$A$2:$B$36,2,0))/Z332,0)</f>
        <v>541403.47353888885</v>
      </c>
      <c r="AB332" s="130" cm="1">
        <f t="array" ref="AB332">_xlfn.IFS(AND(L332=0,M332=0),VLOOKUP(D332,Datos!$F$31:$I$33,2,0),AND(L332=0,M332&gt;0),VLOOKUP(D332,Datos!$F$32:$I$33,2,0),AND(L332&gt;0,M332=0),VLOOKUP(D332,Datos!$F$32:$I$33,3,0),AND(L332&gt;0,M332&gt;0),VLOOKUP(D332,Datos!$F$31:$I$33,4,0))</f>
        <v>700000</v>
      </c>
      <c r="AC332" s="55">
        <f ca="1">(S332*PMT(Datos!$G$15,Datos!$G$14,-O332,,)*VLOOKUP(TODAY(),'UF HOY'!$A$2:$B$36,2,0)/12)+VLOOKUP(TODAY(),'UF HOY'!$A$2:$B$36,2,0)</f>
        <v>1070688.1432080336</v>
      </c>
      <c r="AD332" s="55">
        <f t="shared" ca="1" si="70"/>
        <v>-370688.14320803364</v>
      </c>
      <c r="AE332" s="93">
        <f t="shared" ca="1" si="71"/>
        <v>4282752.5728321346</v>
      </c>
    </row>
    <row r="333" spans="1:31" s="3" customFormat="1" x14ac:dyDescent="0.35">
      <c r="A333" s="94" t="s">
        <v>346</v>
      </c>
      <c r="B333" s="80">
        <v>2308</v>
      </c>
      <c r="C333" s="48" t="s">
        <v>40</v>
      </c>
      <c r="D333" s="48" t="s">
        <v>39</v>
      </c>
      <c r="E333" s="48"/>
      <c r="F333" s="48">
        <v>52.96</v>
      </c>
      <c r="G333" s="48">
        <v>5.74</v>
      </c>
      <c r="H333" s="82">
        <f t="shared" si="60"/>
        <v>55.83</v>
      </c>
      <c r="I333" s="82">
        <f t="shared" si="61"/>
        <v>58.7</v>
      </c>
      <c r="J333" s="49">
        <v>6270</v>
      </c>
      <c r="K333" s="304">
        <v>0</v>
      </c>
      <c r="L333" s="48">
        <v>400</v>
      </c>
      <c r="M333" s="48">
        <v>70</v>
      </c>
      <c r="N333" s="49">
        <f t="shared" si="62"/>
        <v>6113</v>
      </c>
      <c r="O333" s="52">
        <f t="shared" si="63"/>
        <v>6740</v>
      </c>
      <c r="P333" s="79">
        <f t="shared" si="64"/>
        <v>101.07469102632993</v>
      </c>
      <c r="Q333" s="53">
        <f t="shared" si="65"/>
        <v>9.2999999999999999E-2</v>
      </c>
      <c r="R333" s="54">
        <f t="shared" si="66"/>
        <v>627</v>
      </c>
      <c r="S333" s="53">
        <v>0.8</v>
      </c>
      <c r="T333" s="54">
        <f t="shared" si="67"/>
        <v>5392</v>
      </c>
      <c r="U333" s="53">
        <f t="shared" si="68"/>
        <v>0.10699999999999998</v>
      </c>
      <c r="V333" s="54">
        <f t="shared" si="69"/>
        <v>721.17999999999984</v>
      </c>
      <c r="W333" s="55">
        <f ca="1">V333*VLOOKUP(TODAY(),'UF HOY'!$A$2:$B$36,2,0)</f>
        <v>28655322.849199995</v>
      </c>
      <c r="X333" s="56">
        <f>Datos!$K$5</f>
        <v>36</v>
      </c>
      <c r="Y333" s="55">
        <f ca="1">IF((W333-Datos!$U$5-1000000)/X333&gt;0,(W333-Datos!$U$5-1000000)/X333,0)</f>
        <v>765425.63469999982</v>
      </c>
      <c r="Z333" s="56">
        <f>Datos!$K$5</f>
        <v>36</v>
      </c>
      <c r="AA333" s="55">
        <f ca="1">IF((W333-Datos!$U$5-1000000-O333*3%*VLOOKUP(TODAY(),'UF HOY'!$A$2:$B$36,2,0))/Z333&gt;0,(W333-Datos!$U$5-1000000-O333*3%*VLOOKUP(TODAY(),'UF HOY'!$A$2:$B$36,2,0))/Z333,0)</f>
        <v>542253.33836666658</v>
      </c>
      <c r="AB333" s="130" cm="1">
        <f t="array" ref="AB333">_xlfn.IFS(AND(L333=0,M333=0),VLOOKUP(D333,Datos!$F$31:$I$33,2,0),AND(L333=0,M333&gt;0),VLOOKUP(D333,Datos!$F$32:$I$33,2,0),AND(L333&gt;0,M333=0),VLOOKUP(D333,Datos!$F$32:$I$33,3,0),AND(L333&gt;0,M333&gt;0),VLOOKUP(D333,Datos!$F$31:$I$33,4,0))</f>
        <v>700000</v>
      </c>
      <c r="AC333" s="55">
        <f ca="1">(S333*PMT(Datos!$G$15,Datos!$G$14,-O333,,)*VLOOKUP(TODAY(),'UF HOY'!$A$2:$B$36,2,0)/12)+VLOOKUP(TODAY(),'UF HOY'!$A$2:$B$36,2,0)</f>
        <v>1072220.0216674812</v>
      </c>
      <c r="AD333" s="55">
        <f t="shared" ca="1" si="70"/>
        <v>-372220.02166748117</v>
      </c>
      <c r="AE333" s="93">
        <f t="shared" ca="1" si="71"/>
        <v>4288880.0866699247</v>
      </c>
    </row>
    <row r="334" spans="1:31" s="3" customFormat="1" x14ac:dyDescent="0.35">
      <c r="A334" s="94" t="s">
        <v>346</v>
      </c>
      <c r="B334" s="80">
        <v>2511</v>
      </c>
      <c r="C334" s="48" t="s">
        <v>41</v>
      </c>
      <c r="D334" s="48" t="s">
        <v>39</v>
      </c>
      <c r="E334" s="48"/>
      <c r="F334" s="48">
        <v>54.32</v>
      </c>
      <c r="G334" s="48">
        <v>3.73</v>
      </c>
      <c r="H334" s="82">
        <f t="shared" si="60"/>
        <v>56.185000000000002</v>
      </c>
      <c r="I334" s="82">
        <f t="shared" si="61"/>
        <v>58.05</v>
      </c>
      <c r="J334" s="49">
        <v>6270</v>
      </c>
      <c r="K334" s="304">
        <v>0</v>
      </c>
      <c r="L334" s="48">
        <v>400</v>
      </c>
      <c r="M334" s="48">
        <v>70</v>
      </c>
      <c r="N334" s="49">
        <f t="shared" si="62"/>
        <v>6113</v>
      </c>
      <c r="O334" s="52">
        <f t="shared" si="63"/>
        <v>6740</v>
      </c>
      <c r="P334" s="79">
        <f t="shared" si="64"/>
        <v>100.43605944647148</v>
      </c>
      <c r="Q334" s="53">
        <f t="shared" si="65"/>
        <v>9.2999999999999999E-2</v>
      </c>
      <c r="R334" s="54">
        <f t="shared" si="66"/>
        <v>627</v>
      </c>
      <c r="S334" s="53">
        <v>0.8</v>
      </c>
      <c r="T334" s="54">
        <f t="shared" si="67"/>
        <v>5392</v>
      </c>
      <c r="U334" s="53">
        <f t="shared" si="68"/>
        <v>0.10699999999999998</v>
      </c>
      <c r="V334" s="54">
        <f t="shared" si="69"/>
        <v>721.17999999999984</v>
      </c>
      <c r="W334" s="55">
        <f ca="1">V334*VLOOKUP(TODAY(),'UF HOY'!$A$2:$B$36,2,0)</f>
        <v>28655322.849199995</v>
      </c>
      <c r="X334" s="56">
        <f>Datos!$K$5</f>
        <v>36</v>
      </c>
      <c r="Y334" s="55">
        <f ca="1">IF((W334-Datos!$U$5-1000000)/X334&gt;0,(W334-Datos!$U$5-1000000)/X334,0)</f>
        <v>765425.63469999982</v>
      </c>
      <c r="Z334" s="56">
        <f>Datos!$K$5</f>
        <v>36</v>
      </c>
      <c r="AA334" s="55">
        <f ca="1">IF((W334-Datos!$U$5-1000000-O334*3%*VLOOKUP(TODAY(),'UF HOY'!$A$2:$B$36,2,0))/Z334&gt;0,(W334-Datos!$U$5-1000000-O334*3%*VLOOKUP(TODAY(),'UF HOY'!$A$2:$B$36,2,0))/Z334,0)</f>
        <v>542253.33836666658</v>
      </c>
      <c r="AB334" s="130" cm="1">
        <f t="array" ref="AB334">_xlfn.IFS(AND(L334=0,M334=0),VLOOKUP(D334,Datos!$F$31:$I$33,2,0),AND(L334=0,M334&gt;0),VLOOKUP(D334,Datos!$F$32:$I$33,2,0),AND(L334&gt;0,M334=0),VLOOKUP(D334,Datos!$F$32:$I$33,3,0),AND(L334&gt;0,M334&gt;0),VLOOKUP(D334,Datos!$F$31:$I$33,4,0))</f>
        <v>700000</v>
      </c>
      <c r="AC334" s="55">
        <f ca="1">(S334*PMT(Datos!$G$15,Datos!$G$14,-O334,,)*VLOOKUP(TODAY(),'UF HOY'!$A$2:$B$36,2,0)/12)+VLOOKUP(TODAY(),'UF HOY'!$A$2:$B$36,2,0)</f>
        <v>1072220.0216674812</v>
      </c>
      <c r="AD334" s="55">
        <f t="shared" ca="1" si="70"/>
        <v>-372220.02166748117</v>
      </c>
      <c r="AE334" s="93">
        <f t="shared" ca="1" si="71"/>
        <v>4288880.0866699247</v>
      </c>
    </row>
    <row r="335" spans="1:31" s="3" customFormat="1" x14ac:dyDescent="0.35">
      <c r="A335" s="94" t="s">
        <v>346</v>
      </c>
      <c r="B335" s="80">
        <v>2408</v>
      </c>
      <c r="C335" s="48" t="s">
        <v>40</v>
      </c>
      <c r="D335" s="48" t="s">
        <v>39</v>
      </c>
      <c r="E335" s="48"/>
      <c r="F335" s="48">
        <v>52.96</v>
      </c>
      <c r="G335" s="48">
        <v>5.74</v>
      </c>
      <c r="H335" s="82">
        <f t="shared" si="60"/>
        <v>55.83</v>
      </c>
      <c r="I335" s="82">
        <f t="shared" si="61"/>
        <v>58.7</v>
      </c>
      <c r="J335" s="49">
        <v>6280</v>
      </c>
      <c r="K335" s="304">
        <v>0</v>
      </c>
      <c r="L335" s="48">
        <v>400</v>
      </c>
      <c r="M335" s="48">
        <v>70</v>
      </c>
      <c r="N335" s="49">
        <f t="shared" si="62"/>
        <v>6122</v>
      </c>
      <c r="O335" s="52">
        <f t="shared" si="63"/>
        <v>6750</v>
      </c>
      <c r="P335" s="79">
        <f t="shared" si="64"/>
        <v>101.23589468027943</v>
      </c>
      <c r="Q335" s="53">
        <f t="shared" si="65"/>
        <v>9.2999999999999999E-2</v>
      </c>
      <c r="R335" s="54">
        <f t="shared" si="66"/>
        <v>628</v>
      </c>
      <c r="S335" s="53">
        <v>0.8</v>
      </c>
      <c r="T335" s="54">
        <f t="shared" si="67"/>
        <v>5400</v>
      </c>
      <c r="U335" s="53">
        <f t="shared" si="68"/>
        <v>0.10699999999999998</v>
      </c>
      <c r="V335" s="54">
        <f t="shared" si="69"/>
        <v>722.24999999999989</v>
      </c>
      <c r="W335" s="55">
        <f ca="1">V335*VLOOKUP(TODAY(),'UF HOY'!$A$2:$B$36,2,0)</f>
        <v>28697838.164999995</v>
      </c>
      <c r="X335" s="56">
        <f>Datos!$K$5</f>
        <v>36</v>
      </c>
      <c r="Y335" s="55">
        <f ca="1">IF((W335-Datos!$U$5-1000000)/X335&gt;0,(W335-Datos!$U$5-1000000)/X335,0)</f>
        <v>766606.61569444428</v>
      </c>
      <c r="Z335" s="56">
        <f>Datos!$K$5</f>
        <v>36</v>
      </c>
      <c r="AA335" s="55">
        <f ca="1">IF((W335-Datos!$U$5-1000000-O335*3%*VLOOKUP(TODAY(),'UF HOY'!$A$2:$B$36,2,0))/Z335&gt;0,(W335-Datos!$U$5-1000000-O335*3%*VLOOKUP(TODAY(),'UF HOY'!$A$2:$B$36,2,0))/Z335,0)</f>
        <v>543103.2031944443</v>
      </c>
      <c r="AB335" s="130" cm="1">
        <f t="array" ref="AB335">_xlfn.IFS(AND(L335=0,M335=0),VLOOKUP(D335,Datos!$F$31:$I$33,2,0),AND(L335=0,M335&gt;0),VLOOKUP(D335,Datos!$F$32:$I$33,2,0),AND(L335&gt;0,M335=0),VLOOKUP(D335,Datos!$F$32:$I$33,3,0),AND(L335&gt;0,M335&gt;0),VLOOKUP(D335,Datos!$F$31:$I$33,4,0))</f>
        <v>700000</v>
      </c>
      <c r="AC335" s="55">
        <f ca="1">(S335*PMT(Datos!$G$15,Datos!$G$14,-O335,,)*VLOOKUP(TODAY(),'UF HOY'!$A$2:$B$36,2,0)/12)+VLOOKUP(TODAY(),'UF HOY'!$A$2:$B$36,2,0)</f>
        <v>1073751.9001269285</v>
      </c>
      <c r="AD335" s="55">
        <f t="shared" ca="1" si="70"/>
        <v>-373751.90012692846</v>
      </c>
      <c r="AE335" s="93">
        <f t="shared" ca="1" si="71"/>
        <v>4295007.6005077139</v>
      </c>
    </row>
    <row r="336" spans="1:31" s="3" customFormat="1" x14ac:dyDescent="0.35">
      <c r="A336" s="94" t="s">
        <v>346</v>
      </c>
      <c r="B336" s="80">
        <v>2611</v>
      </c>
      <c r="C336" s="48" t="s">
        <v>41</v>
      </c>
      <c r="D336" s="48" t="s">
        <v>39</v>
      </c>
      <c r="E336" s="48"/>
      <c r="F336" s="48">
        <v>54.32</v>
      </c>
      <c r="G336" s="48">
        <v>3.73</v>
      </c>
      <c r="H336" s="82">
        <f t="shared" si="60"/>
        <v>56.185000000000002</v>
      </c>
      <c r="I336" s="82">
        <f t="shared" si="61"/>
        <v>58.05</v>
      </c>
      <c r="J336" s="49">
        <v>6285</v>
      </c>
      <c r="K336" s="304">
        <v>0</v>
      </c>
      <c r="L336" s="48">
        <v>400</v>
      </c>
      <c r="M336" s="48">
        <v>70</v>
      </c>
      <c r="N336" s="49">
        <f t="shared" si="62"/>
        <v>6126.5</v>
      </c>
      <c r="O336" s="52">
        <f t="shared" si="63"/>
        <v>6755</v>
      </c>
      <c r="P336" s="79">
        <f t="shared" si="64"/>
        <v>100.67633710064963</v>
      </c>
      <c r="Q336" s="53">
        <f t="shared" si="65"/>
        <v>9.2999999999999999E-2</v>
      </c>
      <c r="R336" s="54">
        <f t="shared" si="66"/>
        <v>628.5</v>
      </c>
      <c r="S336" s="53">
        <v>0.8</v>
      </c>
      <c r="T336" s="54">
        <f t="shared" si="67"/>
        <v>5404</v>
      </c>
      <c r="U336" s="53">
        <f t="shared" si="68"/>
        <v>0.10699999999999998</v>
      </c>
      <c r="V336" s="54">
        <f t="shared" si="69"/>
        <v>722.78499999999985</v>
      </c>
      <c r="W336" s="55">
        <f ca="1">V336*VLOOKUP(TODAY(),'UF HOY'!$A$2:$B$36,2,0)</f>
        <v>28719095.822899997</v>
      </c>
      <c r="X336" s="56">
        <f>Datos!$K$5</f>
        <v>36</v>
      </c>
      <c r="Y336" s="55">
        <f ca="1">IF((W336-Datos!$U$5-1000000)/X336&gt;0,(W336-Datos!$U$5-1000000)/X336,0)</f>
        <v>767197.10619166656</v>
      </c>
      <c r="Z336" s="56">
        <f>Datos!$K$5</f>
        <v>36</v>
      </c>
      <c r="AA336" s="55">
        <f ca="1">IF((W336-Datos!$U$5-1000000-O336*3%*VLOOKUP(TODAY(),'UF HOY'!$A$2:$B$36,2,0))/Z336&gt;0,(W336-Datos!$U$5-1000000-O336*3%*VLOOKUP(TODAY(),'UF HOY'!$A$2:$B$36,2,0))/Z336,0)</f>
        <v>543528.13560833328</v>
      </c>
      <c r="AB336" s="130" cm="1">
        <f t="array" ref="AB336">_xlfn.IFS(AND(L336=0,M336=0),VLOOKUP(D336,Datos!$F$31:$I$33,2,0),AND(L336=0,M336&gt;0),VLOOKUP(D336,Datos!$F$32:$I$33,2,0),AND(L336&gt;0,M336=0),VLOOKUP(D336,Datos!$F$32:$I$33,3,0),AND(L336&gt;0,M336&gt;0),VLOOKUP(D336,Datos!$F$31:$I$33,4,0))</f>
        <v>700000</v>
      </c>
      <c r="AC336" s="55">
        <f ca="1">(S336*PMT(Datos!$G$15,Datos!$G$14,-O336,,)*VLOOKUP(TODAY(),'UF HOY'!$A$2:$B$36,2,0)/12)+VLOOKUP(TODAY(),'UF HOY'!$A$2:$B$36,2,0)</f>
        <v>1074517.839356652</v>
      </c>
      <c r="AD336" s="55">
        <f t="shared" ca="1" si="70"/>
        <v>-374517.839356652</v>
      </c>
      <c r="AE336" s="93">
        <f t="shared" ca="1" si="71"/>
        <v>4298071.357426608</v>
      </c>
    </row>
    <row r="337" spans="1:31" s="3" customFormat="1" x14ac:dyDescent="0.35">
      <c r="A337" s="94" t="s">
        <v>346</v>
      </c>
      <c r="B337" s="80">
        <v>2508</v>
      </c>
      <c r="C337" s="48" t="s">
        <v>40</v>
      </c>
      <c r="D337" s="48" t="s">
        <v>39</v>
      </c>
      <c r="E337" s="48"/>
      <c r="F337" s="48">
        <v>52.96</v>
      </c>
      <c r="G337" s="48">
        <v>5.74</v>
      </c>
      <c r="H337" s="82">
        <f t="shared" si="60"/>
        <v>55.83</v>
      </c>
      <c r="I337" s="82">
        <f t="shared" si="61"/>
        <v>58.7</v>
      </c>
      <c r="J337" s="49">
        <v>6290</v>
      </c>
      <c r="K337" s="304">
        <v>0</v>
      </c>
      <c r="L337" s="48">
        <v>400</v>
      </c>
      <c r="M337" s="48">
        <v>70</v>
      </c>
      <c r="N337" s="49">
        <f t="shared" si="62"/>
        <v>6131</v>
      </c>
      <c r="O337" s="52">
        <f t="shared" si="63"/>
        <v>6760</v>
      </c>
      <c r="P337" s="79">
        <f t="shared" si="64"/>
        <v>101.39709833422891</v>
      </c>
      <c r="Q337" s="53">
        <f t="shared" si="65"/>
        <v>9.2999999999999999E-2</v>
      </c>
      <c r="R337" s="54">
        <f t="shared" si="66"/>
        <v>629</v>
      </c>
      <c r="S337" s="53">
        <v>0.8</v>
      </c>
      <c r="T337" s="54">
        <f t="shared" si="67"/>
        <v>5408</v>
      </c>
      <c r="U337" s="53">
        <f t="shared" si="68"/>
        <v>0.10699999999999998</v>
      </c>
      <c r="V337" s="54">
        <f t="shared" si="69"/>
        <v>723.31999999999994</v>
      </c>
      <c r="W337" s="55">
        <f ca="1">V337*VLOOKUP(TODAY(),'UF HOY'!$A$2:$B$36,2,0)</f>
        <v>28740353.480799999</v>
      </c>
      <c r="X337" s="56">
        <f>Datos!$K$5</f>
        <v>36</v>
      </c>
      <c r="Y337" s="55">
        <f ca="1">IF((W337-Datos!$U$5-1000000)/X337&gt;0,(W337-Datos!$U$5-1000000)/X337,0)</f>
        <v>767787.59668888885</v>
      </c>
      <c r="Z337" s="56">
        <f>Datos!$K$5</f>
        <v>36</v>
      </c>
      <c r="AA337" s="55">
        <f ca="1">IF((W337-Datos!$U$5-1000000-O337*3%*VLOOKUP(TODAY(),'UF HOY'!$A$2:$B$36,2,0))/Z337&gt;0,(W337-Datos!$U$5-1000000-O337*3%*VLOOKUP(TODAY(),'UF HOY'!$A$2:$B$36,2,0))/Z337,0)</f>
        <v>543953.06802222214</v>
      </c>
      <c r="AB337" s="130" cm="1">
        <f t="array" ref="AB337">_xlfn.IFS(AND(L337=0,M337=0),VLOOKUP(D337,Datos!$F$31:$I$33,2,0),AND(L337=0,M337&gt;0),VLOOKUP(D337,Datos!$F$32:$I$33,2,0),AND(L337&gt;0,M337=0),VLOOKUP(D337,Datos!$F$32:$I$33,3,0),AND(L337&gt;0,M337&gt;0),VLOOKUP(D337,Datos!$F$31:$I$33,4,0))</f>
        <v>700000</v>
      </c>
      <c r="AC337" s="55">
        <f ca="1">(S337*PMT(Datos!$G$15,Datos!$G$14,-O337,,)*VLOOKUP(TODAY(),'UF HOY'!$A$2:$B$36,2,0)/12)+VLOOKUP(TODAY(),'UF HOY'!$A$2:$B$36,2,0)</f>
        <v>1075283.778586376</v>
      </c>
      <c r="AD337" s="55">
        <f t="shared" ca="1" si="70"/>
        <v>-375283.77858637599</v>
      </c>
      <c r="AE337" s="93">
        <f t="shared" ca="1" si="71"/>
        <v>4301135.114345504</v>
      </c>
    </row>
    <row r="338" spans="1:31" s="3" customFormat="1" x14ac:dyDescent="0.35">
      <c r="A338" s="94" t="s">
        <v>346</v>
      </c>
      <c r="B338" s="80">
        <v>2711</v>
      </c>
      <c r="C338" s="48" t="s">
        <v>41</v>
      </c>
      <c r="D338" s="48" t="s">
        <v>39</v>
      </c>
      <c r="E338" s="48"/>
      <c r="F338" s="48">
        <v>54.32</v>
      </c>
      <c r="G338" s="48">
        <v>3.73</v>
      </c>
      <c r="H338" s="82">
        <f t="shared" si="60"/>
        <v>56.185000000000002</v>
      </c>
      <c r="I338" s="82">
        <f t="shared" si="61"/>
        <v>58.05</v>
      </c>
      <c r="J338" s="49">
        <v>6295</v>
      </c>
      <c r="K338" s="304">
        <v>0</v>
      </c>
      <c r="L338" s="48">
        <v>400</v>
      </c>
      <c r="M338" s="48">
        <v>70</v>
      </c>
      <c r="N338" s="49">
        <f t="shared" si="62"/>
        <v>6135.5</v>
      </c>
      <c r="O338" s="52">
        <f t="shared" si="63"/>
        <v>6765</v>
      </c>
      <c r="P338" s="79">
        <f t="shared" si="64"/>
        <v>100.83652220343508</v>
      </c>
      <c r="Q338" s="53">
        <f t="shared" si="65"/>
        <v>9.3100000000000002E-2</v>
      </c>
      <c r="R338" s="54">
        <f t="shared" si="66"/>
        <v>629.5</v>
      </c>
      <c r="S338" s="53">
        <v>0.8</v>
      </c>
      <c r="T338" s="54">
        <f t="shared" si="67"/>
        <v>5412</v>
      </c>
      <c r="U338" s="53">
        <f t="shared" si="68"/>
        <v>0.1069</v>
      </c>
      <c r="V338" s="54">
        <f t="shared" si="69"/>
        <v>723.17849999999999</v>
      </c>
      <c r="W338" s="55">
        <f ca="1">V338*VLOOKUP(TODAY(),'UF HOY'!$A$2:$B$36,2,0)</f>
        <v>28734731.128290001</v>
      </c>
      <c r="X338" s="56">
        <f>Datos!$K$5</f>
        <v>36</v>
      </c>
      <c r="Y338" s="55">
        <f ca="1">IF((W338-Datos!$U$5-1000000)/X338&gt;0,(W338-Datos!$U$5-1000000)/X338,0)</f>
        <v>767631.42023027781</v>
      </c>
      <c r="Z338" s="56">
        <f>Datos!$K$5</f>
        <v>36</v>
      </c>
      <c r="AA338" s="55">
        <f ca="1">IF((W338-Datos!$U$5-1000000-O338*3%*VLOOKUP(TODAY(),'UF HOY'!$A$2:$B$36,2,0))/Z338&gt;0,(W338-Datos!$U$5-1000000-O338*3%*VLOOKUP(TODAY(),'UF HOY'!$A$2:$B$36,2,0))/Z338,0)</f>
        <v>543631.3334802778</v>
      </c>
      <c r="AB338" s="130" cm="1">
        <f t="array" ref="AB338">_xlfn.IFS(AND(L338=0,M338=0),VLOOKUP(D338,Datos!$F$31:$I$33,2,0),AND(L338=0,M338&gt;0),VLOOKUP(D338,Datos!$F$32:$I$33,2,0),AND(L338&gt;0,M338=0),VLOOKUP(D338,Datos!$F$32:$I$33,3,0),AND(L338&gt;0,M338&gt;0),VLOOKUP(D338,Datos!$F$31:$I$33,4,0))</f>
        <v>700000</v>
      </c>
      <c r="AC338" s="55">
        <f ca="1">(S338*PMT(Datos!$G$15,Datos!$G$14,-O338,,)*VLOOKUP(TODAY(),'UF HOY'!$A$2:$B$36,2,0)/12)+VLOOKUP(TODAY(),'UF HOY'!$A$2:$B$36,2,0)</f>
        <v>1076049.7178160995</v>
      </c>
      <c r="AD338" s="55">
        <f t="shared" ca="1" si="70"/>
        <v>-376049.71781609952</v>
      </c>
      <c r="AE338" s="93">
        <f t="shared" ca="1" si="71"/>
        <v>4304198.8712643981</v>
      </c>
    </row>
    <row r="339" spans="1:31" s="3" customFormat="1" x14ac:dyDescent="0.35">
      <c r="A339" s="94" t="s">
        <v>346</v>
      </c>
      <c r="B339" s="80">
        <v>2911</v>
      </c>
      <c r="C339" s="48" t="s">
        <v>41</v>
      </c>
      <c r="D339" s="48" t="s">
        <v>39</v>
      </c>
      <c r="E339" s="48"/>
      <c r="F339" s="48">
        <v>54.32</v>
      </c>
      <c r="G339" s="48">
        <v>3.73</v>
      </c>
      <c r="H339" s="82">
        <f t="shared" si="60"/>
        <v>56.185000000000002</v>
      </c>
      <c r="I339" s="82">
        <f t="shared" si="61"/>
        <v>58.05</v>
      </c>
      <c r="J339" s="49">
        <v>6295</v>
      </c>
      <c r="K339" s="304">
        <v>0</v>
      </c>
      <c r="L339" s="48">
        <v>400</v>
      </c>
      <c r="M339" s="48">
        <v>70</v>
      </c>
      <c r="N339" s="49">
        <f t="shared" si="62"/>
        <v>6135.5</v>
      </c>
      <c r="O339" s="52">
        <f t="shared" si="63"/>
        <v>6765</v>
      </c>
      <c r="P339" s="79">
        <f t="shared" si="64"/>
        <v>100.83652220343508</v>
      </c>
      <c r="Q339" s="53">
        <f t="shared" si="65"/>
        <v>9.3100000000000002E-2</v>
      </c>
      <c r="R339" s="54">
        <f t="shared" si="66"/>
        <v>629.5</v>
      </c>
      <c r="S339" s="53">
        <v>0.8</v>
      </c>
      <c r="T339" s="54">
        <f t="shared" si="67"/>
        <v>5412</v>
      </c>
      <c r="U339" s="53">
        <f t="shared" si="68"/>
        <v>0.1069</v>
      </c>
      <c r="V339" s="54">
        <f t="shared" si="69"/>
        <v>723.17849999999999</v>
      </c>
      <c r="W339" s="55">
        <f ca="1">V339*VLOOKUP(TODAY(),'UF HOY'!$A$2:$B$36,2,0)</f>
        <v>28734731.128290001</v>
      </c>
      <c r="X339" s="56">
        <f>Datos!$K$5</f>
        <v>36</v>
      </c>
      <c r="Y339" s="55">
        <f ca="1">IF((W339-Datos!$U$5-1000000)/X339&gt;0,(W339-Datos!$U$5-1000000)/X339,0)</f>
        <v>767631.42023027781</v>
      </c>
      <c r="Z339" s="56">
        <f>Datos!$K$5</f>
        <v>36</v>
      </c>
      <c r="AA339" s="55">
        <f ca="1">IF((W339-Datos!$U$5-1000000-O339*3%*VLOOKUP(TODAY(),'UF HOY'!$A$2:$B$36,2,0))/Z339&gt;0,(W339-Datos!$U$5-1000000-O339*3%*VLOOKUP(TODAY(),'UF HOY'!$A$2:$B$36,2,0))/Z339,0)</f>
        <v>543631.3334802778</v>
      </c>
      <c r="AB339" s="130" cm="1">
        <f t="array" ref="AB339">_xlfn.IFS(AND(L339=0,M339=0),VLOOKUP(D339,Datos!$F$31:$I$33,2,0),AND(L339=0,M339&gt;0),VLOOKUP(D339,Datos!$F$32:$I$33,2,0),AND(L339&gt;0,M339=0),VLOOKUP(D339,Datos!$F$32:$I$33,3,0),AND(L339&gt;0,M339&gt;0),VLOOKUP(D339,Datos!$F$31:$I$33,4,0))</f>
        <v>700000</v>
      </c>
      <c r="AC339" s="55">
        <f ca="1">(S339*PMT(Datos!$G$15,Datos!$G$14,-O339,,)*VLOOKUP(TODAY(),'UF HOY'!$A$2:$B$36,2,0)/12)+VLOOKUP(TODAY(),'UF HOY'!$A$2:$B$36,2,0)</f>
        <v>1076049.7178160995</v>
      </c>
      <c r="AD339" s="55">
        <f t="shared" ca="1" si="70"/>
        <v>-376049.71781609952</v>
      </c>
      <c r="AE339" s="93">
        <f t="shared" ca="1" si="71"/>
        <v>4304198.8712643981</v>
      </c>
    </row>
    <row r="340" spans="1:31" s="3" customFormat="1" x14ac:dyDescent="0.35">
      <c r="A340" s="94" t="s">
        <v>346</v>
      </c>
      <c r="B340" s="80">
        <v>2608</v>
      </c>
      <c r="C340" s="48" t="s">
        <v>40</v>
      </c>
      <c r="D340" s="48" t="s">
        <v>39</v>
      </c>
      <c r="E340" s="48"/>
      <c r="F340" s="48">
        <v>52.96</v>
      </c>
      <c r="G340" s="48">
        <v>5.74</v>
      </c>
      <c r="H340" s="82">
        <f t="shared" si="60"/>
        <v>55.83</v>
      </c>
      <c r="I340" s="82">
        <f t="shared" si="61"/>
        <v>58.7</v>
      </c>
      <c r="J340" s="49">
        <v>6305</v>
      </c>
      <c r="K340" s="304">
        <v>0</v>
      </c>
      <c r="L340" s="48">
        <v>400</v>
      </c>
      <c r="M340" s="48">
        <v>70</v>
      </c>
      <c r="N340" s="49">
        <f t="shared" si="62"/>
        <v>6144.5</v>
      </c>
      <c r="O340" s="52">
        <f t="shared" si="63"/>
        <v>6775</v>
      </c>
      <c r="P340" s="79">
        <f t="shared" si="64"/>
        <v>101.63890381515314</v>
      </c>
      <c r="Q340" s="53">
        <f t="shared" si="65"/>
        <v>9.3100000000000002E-2</v>
      </c>
      <c r="R340" s="54">
        <f t="shared" si="66"/>
        <v>630.5</v>
      </c>
      <c r="S340" s="53">
        <v>0.8</v>
      </c>
      <c r="T340" s="54">
        <f t="shared" si="67"/>
        <v>5420</v>
      </c>
      <c r="U340" s="53">
        <f t="shared" si="68"/>
        <v>0.1069</v>
      </c>
      <c r="V340" s="54">
        <f t="shared" si="69"/>
        <v>724.24749999999995</v>
      </c>
      <c r="W340" s="55">
        <f ca="1">V340*VLOOKUP(TODAY(),'UF HOY'!$A$2:$B$36,2,0)</f>
        <v>28777206.71015</v>
      </c>
      <c r="X340" s="56">
        <f>Datos!$K$5</f>
        <v>36</v>
      </c>
      <c r="Y340" s="55">
        <f ca="1">IF((W340-Datos!$U$5-1000000)/X340&gt;0,(W340-Datos!$U$5-1000000)/X340,0)</f>
        <v>768811.29750416661</v>
      </c>
      <c r="Z340" s="56">
        <f>Datos!$K$5</f>
        <v>36</v>
      </c>
      <c r="AA340" s="55">
        <f ca="1">IF((W340-Datos!$U$5-1000000-O340*3%*VLOOKUP(TODAY(),'UF HOY'!$A$2:$B$36,2,0))/Z340&gt;0,(W340-Datos!$U$5-1000000-O340*3%*VLOOKUP(TODAY(),'UF HOY'!$A$2:$B$36,2,0))/Z340,0)</f>
        <v>544480.09458749997</v>
      </c>
      <c r="AB340" s="130" cm="1">
        <f t="array" ref="AB340">_xlfn.IFS(AND(L340=0,M340=0),VLOOKUP(D340,Datos!$F$31:$I$33,2,0),AND(L340=0,M340&gt;0),VLOOKUP(D340,Datos!$F$32:$I$33,2,0),AND(L340&gt;0,M340=0),VLOOKUP(D340,Datos!$F$32:$I$33,3,0),AND(L340&gt;0,M340&gt;0),VLOOKUP(D340,Datos!$F$31:$I$33,4,0))</f>
        <v>700000</v>
      </c>
      <c r="AC340" s="55">
        <f ca="1">(S340*PMT(Datos!$G$15,Datos!$G$14,-O340,,)*VLOOKUP(TODAY(),'UF HOY'!$A$2:$B$36,2,0)/12)+VLOOKUP(TODAY(),'UF HOY'!$A$2:$B$36,2,0)</f>
        <v>1077581.5962755466</v>
      </c>
      <c r="AD340" s="55">
        <f t="shared" ca="1" si="70"/>
        <v>-377581.59627554659</v>
      </c>
      <c r="AE340" s="93">
        <f t="shared" ca="1" si="71"/>
        <v>4310326.3851021864</v>
      </c>
    </row>
    <row r="341" spans="1:31" s="3" customFormat="1" x14ac:dyDescent="0.35">
      <c r="A341" s="94" t="s">
        <v>346</v>
      </c>
      <c r="B341" s="80">
        <v>2811</v>
      </c>
      <c r="C341" s="48" t="s">
        <v>41</v>
      </c>
      <c r="D341" s="48" t="s">
        <v>39</v>
      </c>
      <c r="E341" s="48"/>
      <c r="F341" s="48">
        <v>54.32</v>
      </c>
      <c r="G341" s="48">
        <v>3.73</v>
      </c>
      <c r="H341" s="82">
        <f t="shared" si="60"/>
        <v>56.185000000000002</v>
      </c>
      <c r="I341" s="82">
        <f t="shared" si="61"/>
        <v>58.05</v>
      </c>
      <c r="J341" s="49">
        <v>6305</v>
      </c>
      <c r="K341" s="304">
        <v>0</v>
      </c>
      <c r="L341" s="48">
        <v>400</v>
      </c>
      <c r="M341" s="48">
        <v>70</v>
      </c>
      <c r="N341" s="49">
        <f t="shared" si="62"/>
        <v>6144.5</v>
      </c>
      <c r="O341" s="52">
        <f t="shared" si="63"/>
        <v>6775</v>
      </c>
      <c r="P341" s="79">
        <f t="shared" si="64"/>
        <v>100.99670730622051</v>
      </c>
      <c r="Q341" s="53">
        <f t="shared" si="65"/>
        <v>9.3100000000000002E-2</v>
      </c>
      <c r="R341" s="54">
        <f t="shared" si="66"/>
        <v>630.5</v>
      </c>
      <c r="S341" s="53">
        <v>0.8</v>
      </c>
      <c r="T341" s="54">
        <f t="shared" si="67"/>
        <v>5420</v>
      </c>
      <c r="U341" s="53">
        <f t="shared" si="68"/>
        <v>0.1069</v>
      </c>
      <c r="V341" s="54">
        <f t="shared" si="69"/>
        <v>724.24749999999995</v>
      </c>
      <c r="W341" s="55">
        <f ca="1">V341*VLOOKUP(TODAY(),'UF HOY'!$A$2:$B$36,2,0)</f>
        <v>28777206.71015</v>
      </c>
      <c r="X341" s="56">
        <f>Datos!$K$5</f>
        <v>36</v>
      </c>
      <c r="Y341" s="55">
        <f ca="1">IF((W341-Datos!$U$5-1000000)/X341&gt;0,(W341-Datos!$U$5-1000000)/X341,0)</f>
        <v>768811.29750416661</v>
      </c>
      <c r="Z341" s="56">
        <f>Datos!$K$5</f>
        <v>36</v>
      </c>
      <c r="AA341" s="55">
        <f ca="1">IF((W341-Datos!$U$5-1000000-O341*3%*VLOOKUP(TODAY(),'UF HOY'!$A$2:$B$36,2,0))/Z341&gt;0,(W341-Datos!$U$5-1000000-O341*3%*VLOOKUP(TODAY(),'UF HOY'!$A$2:$B$36,2,0))/Z341,0)</f>
        <v>544480.09458749997</v>
      </c>
      <c r="AB341" s="130" cm="1">
        <f t="array" ref="AB341">_xlfn.IFS(AND(L341=0,M341=0),VLOOKUP(D341,Datos!$F$31:$I$33,2,0),AND(L341=0,M341&gt;0),VLOOKUP(D341,Datos!$F$32:$I$33,2,0),AND(L341&gt;0,M341=0),VLOOKUP(D341,Datos!$F$32:$I$33,3,0),AND(L341&gt;0,M341&gt;0),VLOOKUP(D341,Datos!$F$31:$I$33,4,0))</f>
        <v>700000</v>
      </c>
      <c r="AC341" s="55">
        <f ca="1">(S341*PMT(Datos!$G$15,Datos!$G$14,-O341,,)*VLOOKUP(TODAY(),'UF HOY'!$A$2:$B$36,2,0)/12)+VLOOKUP(TODAY(),'UF HOY'!$A$2:$B$36,2,0)</f>
        <v>1077581.5962755466</v>
      </c>
      <c r="AD341" s="55">
        <f t="shared" ca="1" si="70"/>
        <v>-377581.59627554659</v>
      </c>
      <c r="AE341" s="93">
        <f t="shared" ca="1" si="71"/>
        <v>4310326.3851021864</v>
      </c>
    </row>
    <row r="342" spans="1:31" s="3" customFormat="1" x14ac:dyDescent="0.35">
      <c r="A342" s="94" t="s">
        <v>346</v>
      </c>
      <c r="B342" s="80">
        <v>2708</v>
      </c>
      <c r="C342" s="48" t="s">
        <v>40</v>
      </c>
      <c r="D342" s="48" t="s">
        <v>39</v>
      </c>
      <c r="E342" s="48"/>
      <c r="F342" s="48">
        <v>52.96</v>
      </c>
      <c r="G342" s="48">
        <v>5.74</v>
      </c>
      <c r="H342" s="82">
        <f t="shared" si="60"/>
        <v>55.83</v>
      </c>
      <c r="I342" s="82">
        <f t="shared" si="61"/>
        <v>58.7</v>
      </c>
      <c r="J342" s="49">
        <v>6315</v>
      </c>
      <c r="K342" s="304">
        <v>0</v>
      </c>
      <c r="L342" s="48">
        <v>400</v>
      </c>
      <c r="M342" s="48">
        <v>70</v>
      </c>
      <c r="N342" s="49">
        <f t="shared" si="62"/>
        <v>6153.5</v>
      </c>
      <c r="O342" s="52">
        <f t="shared" si="63"/>
        <v>6785</v>
      </c>
      <c r="P342" s="79">
        <f t="shared" si="64"/>
        <v>101.80010746910264</v>
      </c>
      <c r="Q342" s="53">
        <f t="shared" si="65"/>
        <v>9.3100000000000002E-2</v>
      </c>
      <c r="R342" s="54">
        <f t="shared" si="66"/>
        <v>631.5</v>
      </c>
      <c r="S342" s="53">
        <v>0.8</v>
      </c>
      <c r="T342" s="54">
        <f t="shared" si="67"/>
        <v>5428</v>
      </c>
      <c r="U342" s="53">
        <f t="shared" si="68"/>
        <v>0.1069</v>
      </c>
      <c r="V342" s="54">
        <f t="shared" si="69"/>
        <v>725.31650000000002</v>
      </c>
      <c r="W342" s="55">
        <f ca="1">V342*VLOOKUP(TODAY(),'UF HOY'!$A$2:$B$36,2,0)</f>
        <v>28819682.292010002</v>
      </c>
      <c r="X342" s="56">
        <f>Datos!$K$5</f>
        <v>36</v>
      </c>
      <c r="Y342" s="55">
        <f ca="1">IF((W342-Datos!$U$5-1000000)/X342&gt;0,(W342-Datos!$U$5-1000000)/X342,0)</f>
        <v>769991.17477805563</v>
      </c>
      <c r="Z342" s="56">
        <f>Datos!$K$5</f>
        <v>36</v>
      </c>
      <c r="AA342" s="55">
        <f ca="1">IF((W342-Datos!$U$5-1000000-O342*3%*VLOOKUP(TODAY(),'UF HOY'!$A$2:$B$36,2,0))/Z342&gt;0,(W342-Datos!$U$5-1000000-O342*3%*VLOOKUP(TODAY(),'UF HOY'!$A$2:$B$36,2,0))/Z342,0)</f>
        <v>545328.85569472227</v>
      </c>
      <c r="AB342" s="130" cm="1">
        <f t="array" ref="AB342">_xlfn.IFS(AND(L342=0,M342=0),VLOOKUP(D342,Datos!$F$31:$I$33,2,0),AND(L342=0,M342&gt;0),VLOOKUP(D342,Datos!$F$32:$I$33,2,0),AND(L342&gt;0,M342=0),VLOOKUP(D342,Datos!$F$32:$I$33,3,0),AND(L342&gt;0,M342&gt;0),VLOOKUP(D342,Datos!$F$31:$I$33,4,0))</f>
        <v>700000</v>
      </c>
      <c r="AC342" s="55">
        <f ca="1">(S342*PMT(Datos!$G$15,Datos!$G$14,-O342,,)*VLOOKUP(TODAY(),'UF HOY'!$A$2:$B$36,2,0)/12)+VLOOKUP(TODAY(),'UF HOY'!$A$2:$B$36,2,0)</f>
        <v>1079113.4747349941</v>
      </c>
      <c r="AD342" s="55">
        <f t="shared" ca="1" si="70"/>
        <v>-379113.47473499412</v>
      </c>
      <c r="AE342" s="93">
        <f t="shared" ca="1" si="71"/>
        <v>4316453.8989399765</v>
      </c>
    </row>
    <row r="343" spans="1:31" s="3" customFormat="1" x14ac:dyDescent="0.35">
      <c r="A343" s="94" t="s">
        <v>346</v>
      </c>
      <c r="B343" s="80">
        <v>2908</v>
      </c>
      <c r="C343" s="48" t="s">
        <v>40</v>
      </c>
      <c r="D343" s="48" t="s">
        <v>39</v>
      </c>
      <c r="E343" s="48"/>
      <c r="F343" s="48">
        <v>52.96</v>
      </c>
      <c r="G343" s="48">
        <v>5.74</v>
      </c>
      <c r="H343" s="82">
        <f t="shared" si="60"/>
        <v>55.83</v>
      </c>
      <c r="I343" s="82">
        <f t="shared" si="61"/>
        <v>58.7</v>
      </c>
      <c r="J343" s="49">
        <v>6315</v>
      </c>
      <c r="K343" s="304">
        <v>0</v>
      </c>
      <c r="L343" s="48">
        <v>400</v>
      </c>
      <c r="M343" s="48">
        <v>70</v>
      </c>
      <c r="N343" s="49">
        <f t="shared" si="62"/>
        <v>6153.5</v>
      </c>
      <c r="O343" s="52">
        <f t="shared" si="63"/>
        <v>6785</v>
      </c>
      <c r="P343" s="79">
        <f t="shared" si="64"/>
        <v>101.80010746910264</v>
      </c>
      <c r="Q343" s="53">
        <f t="shared" si="65"/>
        <v>9.3100000000000002E-2</v>
      </c>
      <c r="R343" s="54">
        <f t="shared" si="66"/>
        <v>631.5</v>
      </c>
      <c r="S343" s="53">
        <v>0.8</v>
      </c>
      <c r="T343" s="54">
        <f t="shared" si="67"/>
        <v>5428</v>
      </c>
      <c r="U343" s="53">
        <f t="shared" si="68"/>
        <v>0.1069</v>
      </c>
      <c r="V343" s="54">
        <f t="shared" si="69"/>
        <v>725.31650000000002</v>
      </c>
      <c r="W343" s="55">
        <f ca="1">V343*VLOOKUP(TODAY(),'UF HOY'!$A$2:$B$36,2,0)</f>
        <v>28819682.292010002</v>
      </c>
      <c r="X343" s="56">
        <f>Datos!$K$5</f>
        <v>36</v>
      </c>
      <c r="Y343" s="55">
        <f ca="1">IF((W343-Datos!$U$5-1000000)/X343&gt;0,(W343-Datos!$U$5-1000000)/X343,0)</f>
        <v>769991.17477805563</v>
      </c>
      <c r="Z343" s="56">
        <f>Datos!$K$5</f>
        <v>36</v>
      </c>
      <c r="AA343" s="55">
        <f ca="1">IF((W343-Datos!$U$5-1000000-O343*3%*VLOOKUP(TODAY(),'UF HOY'!$A$2:$B$36,2,0))/Z343&gt;0,(W343-Datos!$U$5-1000000-O343*3%*VLOOKUP(TODAY(),'UF HOY'!$A$2:$B$36,2,0))/Z343,0)</f>
        <v>545328.85569472227</v>
      </c>
      <c r="AB343" s="130" cm="1">
        <f t="array" ref="AB343">_xlfn.IFS(AND(L343=0,M343=0),VLOOKUP(D343,Datos!$F$31:$I$33,2,0),AND(L343=0,M343&gt;0),VLOOKUP(D343,Datos!$F$32:$I$33,2,0),AND(L343&gt;0,M343=0),VLOOKUP(D343,Datos!$F$32:$I$33,3,0),AND(L343&gt;0,M343&gt;0),VLOOKUP(D343,Datos!$F$31:$I$33,4,0))</f>
        <v>700000</v>
      </c>
      <c r="AC343" s="55">
        <f ca="1">(S343*PMT(Datos!$G$15,Datos!$G$14,-O343,,)*VLOOKUP(TODAY(),'UF HOY'!$A$2:$B$36,2,0)/12)+VLOOKUP(TODAY(),'UF HOY'!$A$2:$B$36,2,0)</f>
        <v>1079113.4747349941</v>
      </c>
      <c r="AD343" s="55">
        <f t="shared" ca="1" si="70"/>
        <v>-379113.47473499412</v>
      </c>
      <c r="AE343" s="93">
        <f t="shared" ca="1" si="71"/>
        <v>4316453.8989399765</v>
      </c>
    </row>
    <row r="344" spans="1:31" s="3" customFormat="1" x14ac:dyDescent="0.35">
      <c r="A344" s="94" t="s">
        <v>346</v>
      </c>
      <c r="B344" s="80">
        <v>2808</v>
      </c>
      <c r="C344" s="48" t="s">
        <v>40</v>
      </c>
      <c r="D344" s="48" t="s">
        <v>39</v>
      </c>
      <c r="E344" s="48"/>
      <c r="F344" s="48">
        <v>52.96</v>
      </c>
      <c r="G344" s="48">
        <v>5.74</v>
      </c>
      <c r="H344" s="82">
        <f t="shared" si="60"/>
        <v>55.83</v>
      </c>
      <c r="I344" s="82">
        <f t="shared" si="61"/>
        <v>58.7</v>
      </c>
      <c r="J344" s="49">
        <v>6330</v>
      </c>
      <c r="K344" s="304">
        <v>0</v>
      </c>
      <c r="L344" s="48">
        <v>400</v>
      </c>
      <c r="M344" s="48">
        <v>70</v>
      </c>
      <c r="N344" s="49">
        <f t="shared" si="62"/>
        <v>6167</v>
      </c>
      <c r="O344" s="52">
        <f t="shared" si="63"/>
        <v>6800</v>
      </c>
      <c r="P344" s="79">
        <f t="shared" si="64"/>
        <v>102.04191295002687</v>
      </c>
      <c r="Q344" s="53">
        <f t="shared" si="65"/>
        <v>9.3100000000000002E-2</v>
      </c>
      <c r="R344" s="54">
        <f t="shared" si="66"/>
        <v>633</v>
      </c>
      <c r="S344" s="53">
        <v>0.8</v>
      </c>
      <c r="T344" s="54">
        <f t="shared" si="67"/>
        <v>5440</v>
      </c>
      <c r="U344" s="53">
        <f t="shared" si="68"/>
        <v>0.1069</v>
      </c>
      <c r="V344" s="54">
        <f t="shared" si="69"/>
        <v>726.92</v>
      </c>
      <c r="W344" s="55">
        <f ca="1">V344*VLOOKUP(TODAY(),'UF HOY'!$A$2:$B$36,2,0)</f>
        <v>28883395.664799999</v>
      </c>
      <c r="X344" s="56">
        <f>Datos!$K$5</f>
        <v>36</v>
      </c>
      <c r="Y344" s="55">
        <f ca="1">IF((W344-Datos!$U$5-1000000)/X344&gt;0,(W344-Datos!$U$5-1000000)/X344,0)</f>
        <v>771760.99068888882</v>
      </c>
      <c r="Z344" s="56">
        <f>Datos!$K$5</f>
        <v>36</v>
      </c>
      <c r="AA344" s="55">
        <f ca="1">IF((W344-Datos!$U$5-1000000-O344*3%*VLOOKUP(TODAY(),'UF HOY'!$A$2:$B$36,2,0))/Z344&gt;0,(W344-Datos!$U$5-1000000-O344*3%*VLOOKUP(TODAY(),'UF HOY'!$A$2:$B$36,2,0))/Z344,0)</f>
        <v>546601.99735555553</v>
      </c>
      <c r="AB344" s="130" cm="1">
        <f t="array" ref="AB344">_xlfn.IFS(AND(L344=0,M344=0),VLOOKUP(D344,Datos!$F$31:$I$33,2,0),AND(L344=0,M344&gt;0),VLOOKUP(D344,Datos!$F$32:$I$33,2,0),AND(L344&gt;0,M344=0),VLOOKUP(D344,Datos!$F$32:$I$33,3,0),AND(L344&gt;0,M344&gt;0),VLOOKUP(D344,Datos!$F$31:$I$33,4,0))</f>
        <v>700000</v>
      </c>
      <c r="AC344" s="55">
        <f ca="1">(S344*PMT(Datos!$G$15,Datos!$G$14,-O344,,)*VLOOKUP(TODAY(),'UF HOY'!$A$2:$B$36,2,0)/12)+VLOOKUP(TODAY(),'UF HOY'!$A$2:$B$36,2,0)</f>
        <v>1081411.2924241647</v>
      </c>
      <c r="AD344" s="55">
        <f t="shared" ca="1" si="70"/>
        <v>-381411.29242416471</v>
      </c>
      <c r="AE344" s="93">
        <f t="shared" ca="1" si="71"/>
        <v>4325645.1696966588</v>
      </c>
    </row>
    <row r="346" spans="1:31" s="4" customFormat="1" ht="15.9" customHeight="1" x14ac:dyDescent="0.35">
      <c r="L346" s="33" t="s">
        <v>321</v>
      </c>
      <c r="O346" s="71"/>
      <c r="R346" s="35"/>
      <c r="S346" s="32"/>
      <c r="AE346"/>
    </row>
    <row r="347" spans="1:31" s="4" customFormat="1" ht="15.9" customHeight="1" x14ac:dyDescent="0.35">
      <c r="L347" s="33"/>
      <c r="R347" s="32"/>
      <c r="AE347"/>
    </row>
    <row r="348" spans="1:31" s="4" customFormat="1" ht="15.9" customHeight="1" x14ac:dyDescent="0.35">
      <c r="O348" s="32"/>
      <c r="P348" s="32"/>
      <c r="R348" s="32"/>
      <c r="AE348"/>
    </row>
    <row r="349" spans="1:31" s="4" customFormat="1" ht="15.9" customHeight="1" x14ac:dyDescent="0.25">
      <c r="O349" s="71"/>
      <c r="P349" s="71"/>
      <c r="Q349" s="32"/>
      <c r="R349" s="32"/>
      <c r="T349" s="32"/>
      <c r="U349" s="32"/>
    </row>
    <row r="350" spans="1:31" s="4" customFormat="1" ht="15.9" customHeight="1" x14ac:dyDescent="0.25">
      <c r="O350" s="32"/>
      <c r="P350" s="32"/>
      <c r="R350" s="32"/>
      <c r="U350" s="72"/>
    </row>
    <row r="351" spans="1:31" s="4" customFormat="1" ht="15.9" customHeight="1" x14ac:dyDescent="0.25"/>
    <row r="352" spans="1:31" s="4" customFormat="1" ht="15.9" customHeight="1" x14ac:dyDescent="0.25"/>
    <row r="353" s="4" customFormat="1" ht="15.9" customHeight="1" x14ac:dyDescent="0.25"/>
    <row r="354" s="4" customFormat="1" ht="15.9" customHeight="1" x14ac:dyDescent="0.25"/>
    <row r="355" s="4" customFormat="1" ht="15.9" customHeight="1" x14ac:dyDescent="0.25"/>
    <row r="356" s="4" customFormat="1" ht="15.9" customHeight="1" x14ac:dyDescent="0.25"/>
    <row r="357" s="4" customFormat="1" ht="15.9" customHeight="1" x14ac:dyDescent="0.25"/>
    <row r="358" s="4" customFormat="1" ht="15.75" customHeight="1" x14ac:dyDescent="0.25"/>
  </sheetData>
  <autoFilter ref="A1:AE344" xr:uid="{D23478EC-CB20-4F34-B607-A7836A277580}">
    <filterColumn colId="0">
      <filters>
        <filter val="LANZAMIENTO"/>
      </filters>
    </filterColumn>
  </autoFilter>
  <conditionalFormatting sqref="O1:AD1 O2:AA344 AC2:AE344 A1:N344">
    <cfRule type="expression" dxfId="10" priority="3">
      <formula>ROW()=CELL("fila")</formula>
    </cfRule>
  </conditionalFormatting>
  <conditionalFormatting sqref="AE1">
    <cfRule type="expression" dxfId="9" priority="2">
      <formula>ROW()=CELL("fila")</formula>
    </cfRule>
  </conditionalFormatting>
  <conditionalFormatting sqref="AB2:AB344">
    <cfRule type="expression" dxfId="8" priority="1">
      <formula>ROW()=CELL("fila")</formula>
    </cfRule>
  </conditionalFormatting>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D6034-12B8-40E8-9F31-38C5F0946D02}">
  <sheetPr codeName="Hoja21" filterMode="1">
    <tabColor rgb="FF002060"/>
  </sheetPr>
  <dimension ref="A1:AE79"/>
  <sheetViews>
    <sheetView showGridLines="0" zoomScale="80" zoomScaleNormal="80" zoomScalePageLayoutView="120" workbookViewId="0">
      <pane ySplit="1" topLeftCell="A2" activePane="bottomLeft" state="frozen"/>
      <selection activeCell="C20" sqref="C20"/>
      <selection pane="bottomLeft" activeCell="AE2" sqref="AE2:AE66"/>
    </sheetView>
  </sheetViews>
  <sheetFormatPr baseColWidth="10" defaultColWidth="11" defaultRowHeight="15.5" x14ac:dyDescent="0.35"/>
  <cols>
    <col min="1" max="1" width="13" style="4" bestFit="1" customWidth="1"/>
    <col min="2" max="2" width="12.5" style="4" bestFit="1" customWidth="1"/>
    <col min="3" max="3" width="11.5" style="4" customWidth="1"/>
    <col min="4" max="4" width="12" style="4" customWidth="1"/>
    <col min="5" max="7" width="9" style="4" hidden="1" customWidth="1"/>
    <col min="8" max="8" width="12.58203125" style="4" hidden="1" customWidth="1"/>
    <col min="9" max="9" width="12" style="4" bestFit="1" customWidth="1"/>
    <col min="10" max="10" width="10.5" style="4" customWidth="1"/>
    <col min="11" max="11" width="10" style="4" customWidth="1"/>
    <col min="12" max="12" width="8.5" style="4" bestFit="1" customWidth="1"/>
    <col min="13" max="13" width="13.58203125" style="4" customWidth="1"/>
    <col min="14" max="16" width="10.5" style="4" customWidth="1"/>
    <col min="17" max="17" width="9.9140625" style="4" customWidth="1"/>
    <col min="18" max="18" width="10.58203125" style="4" customWidth="1"/>
    <col min="19" max="19" width="16" style="4" customWidth="1"/>
    <col min="20" max="20" width="15.08203125" style="4" customWidth="1"/>
    <col min="21" max="21" width="10.5" style="4" bestFit="1" customWidth="1"/>
    <col min="22" max="22" width="10.5" style="4" hidden="1" customWidth="1"/>
    <col min="23" max="23" width="10.9140625" style="4" bestFit="1" customWidth="1"/>
    <col min="24" max="24" width="15" style="4" bestFit="1" customWidth="1"/>
    <col min="25" max="25" width="13.5" style="4" customWidth="1"/>
    <col min="26" max="26" width="15" style="4" bestFit="1" customWidth="1"/>
    <col min="27" max="27" width="13.5" style="4" customWidth="1"/>
    <col min="28" max="29" width="13" style="4" bestFit="1" customWidth="1"/>
    <col min="30" max="30" width="9.5" style="4" bestFit="1" customWidth="1"/>
  </cols>
  <sheetData>
    <row r="1" spans="1:31" ht="26.25" customHeight="1" x14ac:dyDescent="0.35">
      <c r="A1" s="44" t="s">
        <v>7</v>
      </c>
      <c r="B1" s="44" t="s">
        <v>8</v>
      </c>
      <c r="C1" s="44" t="s">
        <v>9</v>
      </c>
      <c r="D1" s="44" t="s">
        <v>10</v>
      </c>
      <c r="E1" s="44" t="s">
        <v>11</v>
      </c>
      <c r="F1" s="44" t="s">
        <v>12</v>
      </c>
      <c r="G1" s="44" t="s">
        <v>13</v>
      </c>
      <c r="H1" s="44" t="s">
        <v>14</v>
      </c>
      <c r="I1" s="44" t="s">
        <v>15</v>
      </c>
      <c r="J1" s="44" t="s">
        <v>16</v>
      </c>
      <c r="K1" s="44" t="s">
        <v>17</v>
      </c>
      <c r="L1" s="44" t="s">
        <v>18</v>
      </c>
      <c r="M1" s="44" t="s">
        <v>19</v>
      </c>
      <c r="N1" s="44" t="s">
        <v>20</v>
      </c>
      <c r="O1" s="44" t="s">
        <v>22</v>
      </c>
      <c r="P1" s="45" t="s">
        <v>21</v>
      </c>
      <c r="Q1" s="45" t="s">
        <v>23</v>
      </c>
      <c r="R1" s="45" t="s">
        <v>24</v>
      </c>
      <c r="S1" s="45" t="s">
        <v>25</v>
      </c>
      <c r="T1" s="45" t="s">
        <v>26</v>
      </c>
      <c r="U1" s="45" t="s">
        <v>27</v>
      </c>
      <c r="V1" s="45" t="s">
        <v>28</v>
      </c>
      <c r="W1" s="46" t="s">
        <v>29</v>
      </c>
      <c r="X1" s="47" t="s">
        <v>30</v>
      </c>
      <c r="Y1" s="46" t="s">
        <v>31</v>
      </c>
      <c r="Z1" s="47" t="s">
        <v>32</v>
      </c>
      <c r="AA1" s="46" t="s">
        <v>31</v>
      </c>
      <c r="AB1" s="46" t="s">
        <v>33</v>
      </c>
      <c r="AC1" s="46" t="s">
        <v>34</v>
      </c>
      <c r="AD1" s="46" t="s">
        <v>35</v>
      </c>
      <c r="AE1" s="92" t="s">
        <v>280</v>
      </c>
    </row>
    <row r="2" spans="1:31" s="3" customFormat="1" x14ac:dyDescent="0.35">
      <c r="A2" s="94" t="s">
        <v>305</v>
      </c>
      <c r="B2" s="81">
        <v>510</v>
      </c>
      <c r="C2" s="81" t="s">
        <v>38</v>
      </c>
      <c r="D2" s="48" t="s">
        <v>37</v>
      </c>
      <c r="E2" s="48"/>
      <c r="F2" s="48">
        <v>28.84</v>
      </c>
      <c r="G2" s="48">
        <v>2.67</v>
      </c>
      <c r="H2" s="82">
        <f t="shared" ref="H2:H35" si="0">F2+(G2/2)</f>
        <v>30.175000000000001</v>
      </c>
      <c r="I2" s="82">
        <f t="shared" ref="I2:I35" si="1">F2+G2</f>
        <v>31.509999999999998</v>
      </c>
      <c r="J2" s="49">
        <v>3255</v>
      </c>
      <c r="K2" s="304">
        <v>0</v>
      </c>
      <c r="L2" s="48">
        <v>0</v>
      </c>
      <c r="M2" s="48">
        <v>0</v>
      </c>
      <c r="N2" s="49">
        <f t="shared" ref="N2" si="2">O2-R2</f>
        <v>2929.5</v>
      </c>
      <c r="O2" s="52">
        <f t="shared" ref="O2" si="3">J2*(100%-K2)+L2+M2</f>
        <v>3255</v>
      </c>
      <c r="P2" s="79">
        <f t="shared" ref="P2" si="4">(N2-L2-M2)/H2</f>
        <v>97.083678541839262</v>
      </c>
      <c r="Q2" s="53">
        <f t="shared" ref="Q2" si="5">IF((O2-N2)/O2&gt;10%,10%,ROUND(IF(O2&gt;N2,(O2-N2)/O2,0),4))</f>
        <v>0.1</v>
      </c>
      <c r="R2" s="54">
        <f t="shared" ref="R2" si="6">(J2-J2*K2)*0.1</f>
        <v>325.5</v>
      </c>
      <c r="S2" s="53">
        <v>0.8</v>
      </c>
      <c r="T2" s="54">
        <f t="shared" ref="T2:T35" si="7">S2*O2</f>
        <v>2604</v>
      </c>
      <c r="U2" s="53">
        <f t="shared" ref="U2:U35" si="8">100%-Q2-S2</f>
        <v>9.9999999999999978E-2</v>
      </c>
      <c r="V2" s="54">
        <f t="shared" ref="V2:V35" si="9">O2*U2</f>
        <v>325.49999999999994</v>
      </c>
      <c r="W2" s="55">
        <f ca="1">V2*VLOOKUP(TODAY(),'UF HOY'!$A$2:$B$36,2,0)</f>
        <v>12933397.469999999</v>
      </c>
      <c r="X2" s="56">
        <f>Datos!$K$8</f>
        <v>24</v>
      </c>
      <c r="Y2" s="55">
        <f ca="1">IF((W2-Datos!$U$8-1000000)/X2&gt;0,(W2-Datos!$U$8-1000000)/X2,0)</f>
        <v>493058.2279166666</v>
      </c>
      <c r="Z2" s="56">
        <f>Datos!$K$8</f>
        <v>24</v>
      </c>
      <c r="AA2" s="113">
        <f ca="1">IF((W2-Datos!$U$8-1000000-O2*4%*VLOOKUP(TODAY(),'UF HOY'!$A$2:$B$36,2,0))/Z2&gt;0,(W2-Datos!$U$8-1000000-O2*4%*VLOOKUP(TODAY(),'UF HOY'!$A$2:$B$36,2,0))/Z2,0)</f>
        <v>277501.60341666662</v>
      </c>
      <c r="AB2" s="113">
        <f>IF(L2&gt;0,VLOOKUP(D2,Datos!$A$48:$C$52,3,0),VLOOKUP(D2,Datos!$A$48:$C$52,2,0))</f>
        <v>370000</v>
      </c>
      <c r="AC2" s="55">
        <f ca="1">(S2*PMT(Datos!$G$15,Datos!$G$14,-O2,,)*VLOOKUP(TODAY(),'UF HOY'!$A$2:$B$36,2,0)/12)+VLOOKUP(TODAY(),'UF HOY'!$A$2:$B$36,2,0)</f>
        <v>538360.37855009665</v>
      </c>
      <c r="AD2" s="55">
        <f t="shared" ref="AD2:AD35" ca="1" si="10">AB2-AC2</f>
        <v>-168360.37855009665</v>
      </c>
      <c r="AE2" s="93">
        <f ca="1">IF((AC2/0.25)&lt;=1600000,1600000,(AC2/0.25))</f>
        <v>2153441.5142003866</v>
      </c>
    </row>
    <row r="3" spans="1:31" s="3" customFormat="1" x14ac:dyDescent="0.35">
      <c r="A3" s="94" t="s">
        <v>305</v>
      </c>
      <c r="B3" s="81">
        <v>710</v>
      </c>
      <c r="C3" s="81" t="s">
        <v>38</v>
      </c>
      <c r="D3" s="48" t="s">
        <v>37</v>
      </c>
      <c r="E3" s="48"/>
      <c r="F3" s="48">
        <v>28.84</v>
      </c>
      <c r="G3" s="48">
        <v>2.67</v>
      </c>
      <c r="H3" s="82">
        <f t="shared" si="0"/>
        <v>30.175000000000001</v>
      </c>
      <c r="I3" s="82">
        <f t="shared" si="1"/>
        <v>31.509999999999998</v>
      </c>
      <c r="J3" s="49">
        <v>3350</v>
      </c>
      <c r="K3" s="304">
        <v>0</v>
      </c>
      <c r="L3" s="48">
        <v>0</v>
      </c>
      <c r="M3" s="48">
        <v>0</v>
      </c>
      <c r="N3" s="49">
        <f t="shared" ref="N3:N66" si="11">O3-R3</f>
        <v>3015</v>
      </c>
      <c r="O3" s="52">
        <f t="shared" ref="O3:O66" si="12">J3*(100%-K3)+L3+M3</f>
        <v>3350</v>
      </c>
      <c r="P3" s="79">
        <f t="shared" ref="P3:P66" si="13">(N3-L3-M3)/H3</f>
        <v>99.917149958574981</v>
      </c>
      <c r="Q3" s="53">
        <f t="shared" ref="Q3:Q66" si="14">IF((O3-N3)/O3&gt;10%,10%,ROUND(IF(O3&gt;N3,(O3-N3)/O3,0),4))</f>
        <v>0.1</v>
      </c>
      <c r="R3" s="54">
        <f t="shared" ref="R3:R66" si="15">(J3-J3*K3)*0.1</f>
        <v>335</v>
      </c>
      <c r="S3" s="53">
        <v>0.8</v>
      </c>
      <c r="T3" s="54">
        <f t="shared" si="7"/>
        <v>2680</v>
      </c>
      <c r="U3" s="53">
        <f t="shared" si="8"/>
        <v>9.9999999999999978E-2</v>
      </c>
      <c r="V3" s="54">
        <f t="shared" si="9"/>
        <v>334.99999999999994</v>
      </c>
      <c r="W3" s="55">
        <f ca="1">V3*VLOOKUP(TODAY(),'UF HOY'!$A$2:$B$36,2,0)</f>
        <v>13310869.899999999</v>
      </c>
      <c r="X3" s="56">
        <f>Datos!$K$8</f>
        <v>24</v>
      </c>
      <c r="Y3" s="55">
        <f ca="1">IF((W3-Datos!$U$8-1000000)/X3&gt;0,(W3-Datos!$U$8-1000000)/X3,0)</f>
        <v>508786.24583333329</v>
      </c>
      <c r="Z3" s="56">
        <f>Datos!$K$8</f>
        <v>24</v>
      </c>
      <c r="AA3" s="113">
        <f ca="1">IF((W3-Datos!$U$8-1000000-O3*4%*VLOOKUP(TODAY(),'UF HOY'!$A$2:$B$36,2,0))/Z3&gt;0,(W3-Datos!$U$8-1000000-O3*4%*VLOOKUP(TODAY(),'UF HOY'!$A$2:$B$36,2,0))/Z3,0)</f>
        <v>286938.41416666663</v>
      </c>
      <c r="AB3" s="113">
        <f>IF(L3&gt;0,VLOOKUP(D3,Datos!$A$48:$C$52,3,0),VLOOKUP(D3,Datos!$A$48:$C$52,2,0))</f>
        <v>370000</v>
      </c>
      <c r="AC3" s="55">
        <f ca="1">(S3*PMT(Datos!$G$15,Datos!$G$14,-O3,,)*VLOOKUP(TODAY(),'UF HOY'!$A$2:$B$36,2,0)/12)+VLOOKUP(TODAY(),'UF HOY'!$A$2:$B$36,2,0)</f>
        <v>552913.22391484596</v>
      </c>
      <c r="AD3" s="55">
        <f t="shared" ca="1" si="10"/>
        <v>-182913.22391484596</v>
      </c>
      <c r="AE3" s="93">
        <f t="shared" ref="AE3:AE66" ca="1" si="16">IF((AC3/0.25)&lt;=1600000,1600000,(AC3/0.25))</f>
        <v>2211652.8956593839</v>
      </c>
    </row>
    <row r="4" spans="1:31" s="3" customFormat="1" x14ac:dyDescent="0.35">
      <c r="A4" s="94" t="s">
        <v>305</v>
      </c>
      <c r="B4" s="81">
        <v>214</v>
      </c>
      <c r="C4" s="81" t="s">
        <v>38</v>
      </c>
      <c r="D4" s="48" t="s">
        <v>37</v>
      </c>
      <c r="E4" s="48"/>
      <c r="F4" s="48">
        <v>32.630000000000003</v>
      </c>
      <c r="G4" s="48">
        <v>1.95</v>
      </c>
      <c r="H4" s="82">
        <f t="shared" si="0"/>
        <v>33.605000000000004</v>
      </c>
      <c r="I4" s="82">
        <f t="shared" si="1"/>
        <v>34.580000000000005</v>
      </c>
      <c r="J4" s="49">
        <v>3370</v>
      </c>
      <c r="K4" s="304">
        <v>0</v>
      </c>
      <c r="L4" s="48">
        <v>0</v>
      </c>
      <c r="M4" s="48">
        <v>0</v>
      </c>
      <c r="N4" s="49">
        <f t="shared" si="11"/>
        <v>3033</v>
      </c>
      <c r="O4" s="52">
        <f t="shared" si="12"/>
        <v>3370</v>
      </c>
      <c r="P4" s="79">
        <f t="shared" si="13"/>
        <v>90.254426424639178</v>
      </c>
      <c r="Q4" s="53">
        <f t="shared" si="14"/>
        <v>0.1</v>
      </c>
      <c r="R4" s="54">
        <f t="shared" si="15"/>
        <v>337</v>
      </c>
      <c r="S4" s="53">
        <v>0.8</v>
      </c>
      <c r="T4" s="54">
        <f t="shared" si="7"/>
        <v>2696</v>
      </c>
      <c r="U4" s="53">
        <f t="shared" si="8"/>
        <v>9.9999999999999978E-2</v>
      </c>
      <c r="V4" s="54">
        <f t="shared" si="9"/>
        <v>336.99999999999994</v>
      </c>
      <c r="W4" s="55">
        <f ca="1">V4*VLOOKUP(TODAY(),'UF HOY'!$A$2:$B$36,2,0)</f>
        <v>13390337.779999999</v>
      </c>
      <c r="X4" s="56">
        <f>Datos!$K$8</f>
        <v>24</v>
      </c>
      <c r="Y4" s="55">
        <f ca="1">IF((W4-Datos!$U$8-1000000)/X4&gt;0,(W4-Datos!$U$8-1000000)/X4,0)</f>
        <v>512097.40749999997</v>
      </c>
      <c r="Z4" s="56">
        <f>Datos!$K$8</f>
        <v>24</v>
      </c>
      <c r="AA4" s="113">
        <f ca="1">IF((W4-Datos!$U$8-1000000-O4*4%*VLOOKUP(TODAY(),'UF HOY'!$A$2:$B$36,2,0))/Z4&gt;0,(W4-Datos!$U$8-1000000-O4*4%*VLOOKUP(TODAY(),'UF HOY'!$A$2:$B$36,2,0))/Z4,0)</f>
        <v>288925.11116666661</v>
      </c>
      <c r="AB4" s="113">
        <f>IF(L4&gt;0,VLOOKUP(D4,Datos!$A$48:$C$52,3,0),VLOOKUP(D4,Datos!$A$48:$C$52,2,0))</f>
        <v>370000</v>
      </c>
      <c r="AC4" s="55">
        <f ca="1">(S4*PMT(Datos!$G$15,Datos!$G$14,-O4,,)*VLOOKUP(TODAY(),'UF HOY'!$A$2:$B$36,2,0)/12)+VLOOKUP(TODAY(),'UF HOY'!$A$2:$B$36,2,0)</f>
        <v>555976.98083374056</v>
      </c>
      <c r="AD4" s="55">
        <f t="shared" ca="1" si="10"/>
        <v>-185976.98083374056</v>
      </c>
      <c r="AE4" s="93">
        <f t="shared" ca="1" si="16"/>
        <v>2223907.9233349622</v>
      </c>
    </row>
    <row r="5" spans="1:31" s="3" customFormat="1" x14ac:dyDescent="0.35">
      <c r="A5" s="94" t="s">
        <v>305</v>
      </c>
      <c r="B5" s="81">
        <v>314</v>
      </c>
      <c r="C5" s="48" t="s">
        <v>38</v>
      </c>
      <c r="D5" s="48" t="s">
        <v>37</v>
      </c>
      <c r="E5" s="48"/>
      <c r="F5" s="48">
        <v>32.630000000000003</v>
      </c>
      <c r="G5" s="48">
        <v>1.95</v>
      </c>
      <c r="H5" s="82">
        <f t="shared" si="0"/>
        <v>33.605000000000004</v>
      </c>
      <c r="I5" s="82">
        <f t="shared" si="1"/>
        <v>34.580000000000005</v>
      </c>
      <c r="J5" s="49">
        <v>3449</v>
      </c>
      <c r="K5" s="304">
        <v>0</v>
      </c>
      <c r="L5" s="48">
        <v>0</v>
      </c>
      <c r="M5" s="48">
        <v>0</v>
      </c>
      <c r="N5" s="49">
        <f t="shared" si="11"/>
        <v>3104.1</v>
      </c>
      <c r="O5" s="52">
        <f t="shared" si="12"/>
        <v>3449</v>
      </c>
      <c r="P5" s="79">
        <f t="shared" si="13"/>
        <v>92.370183008480865</v>
      </c>
      <c r="Q5" s="53">
        <f t="shared" si="14"/>
        <v>0.1</v>
      </c>
      <c r="R5" s="54">
        <f t="shared" si="15"/>
        <v>344.90000000000003</v>
      </c>
      <c r="S5" s="53">
        <v>0.8</v>
      </c>
      <c r="T5" s="54">
        <f t="shared" si="7"/>
        <v>2759.2000000000003</v>
      </c>
      <c r="U5" s="53">
        <f t="shared" si="8"/>
        <v>9.9999999999999978E-2</v>
      </c>
      <c r="V5" s="54">
        <f t="shared" si="9"/>
        <v>344.89999999999992</v>
      </c>
      <c r="W5" s="55">
        <f ca="1">V5*VLOOKUP(TODAY(),'UF HOY'!$A$2:$B$36,2,0)</f>
        <v>13704235.905999998</v>
      </c>
      <c r="X5" s="56">
        <f>Datos!$K$8</f>
        <v>24</v>
      </c>
      <c r="Y5" s="55">
        <f ca="1">IF((W5-Datos!$U$8-1000000)/X5&gt;0,(W5-Datos!$U$8-1000000)/X5,0)</f>
        <v>525176.49608333327</v>
      </c>
      <c r="Z5" s="56">
        <f>Datos!$K$8</f>
        <v>24</v>
      </c>
      <c r="AA5" s="113">
        <f ca="1">IF((W5-Datos!$U$8-1000000-O5*4%*VLOOKUP(TODAY(),'UF HOY'!$A$2:$B$36,2,0))/Z5&gt;0,(W5-Datos!$U$8-1000000-O5*4%*VLOOKUP(TODAY(),'UF HOY'!$A$2:$B$36,2,0))/Z5,0)</f>
        <v>296772.56431666651</v>
      </c>
      <c r="AB5" s="113">
        <f>IF(L5&gt;0,VLOOKUP(D5,Datos!$A$48:$C$52,3,0),VLOOKUP(D5,Datos!$A$48:$C$52,2,0))</f>
        <v>370000</v>
      </c>
      <c r="AC5" s="55">
        <f ca="1">(S5*PMT(Datos!$G$15,Datos!$G$14,-O5,,)*VLOOKUP(TODAY(),'UF HOY'!$A$2:$B$36,2,0)/12)+VLOOKUP(TODAY(),'UF HOY'!$A$2:$B$36,2,0)</f>
        <v>568078.82066337438</v>
      </c>
      <c r="AD5" s="55">
        <f t="shared" ca="1" si="10"/>
        <v>-198078.82066337438</v>
      </c>
      <c r="AE5" s="93">
        <f t="shared" ca="1" si="16"/>
        <v>2272315.2826534975</v>
      </c>
    </row>
    <row r="6" spans="1:31" s="3" customFormat="1" hidden="1" x14ac:dyDescent="0.35">
      <c r="A6" s="94" t="s">
        <v>342</v>
      </c>
      <c r="B6" s="81">
        <v>413</v>
      </c>
      <c r="C6" s="48" t="s">
        <v>38</v>
      </c>
      <c r="D6" s="48" t="s">
        <v>37</v>
      </c>
      <c r="E6" s="48"/>
      <c r="F6" s="48">
        <v>32.630000000000003</v>
      </c>
      <c r="G6" s="48">
        <v>1.95</v>
      </c>
      <c r="H6" s="82">
        <f t="shared" si="0"/>
        <v>33.605000000000004</v>
      </c>
      <c r="I6" s="82">
        <f t="shared" si="1"/>
        <v>34.580000000000005</v>
      </c>
      <c r="J6" s="49">
        <v>3470</v>
      </c>
      <c r="K6" s="304">
        <v>0</v>
      </c>
      <c r="L6" s="48">
        <v>0</v>
      </c>
      <c r="M6" s="48">
        <v>0</v>
      </c>
      <c r="N6" s="49">
        <f t="shared" si="11"/>
        <v>3123</v>
      </c>
      <c r="O6" s="52">
        <f t="shared" si="12"/>
        <v>3470</v>
      </c>
      <c r="P6" s="79">
        <f t="shared" si="13"/>
        <v>92.932599315578031</v>
      </c>
      <c r="Q6" s="53">
        <f t="shared" si="14"/>
        <v>0.1</v>
      </c>
      <c r="R6" s="54">
        <f t="shared" si="15"/>
        <v>347</v>
      </c>
      <c r="S6" s="53">
        <v>0.8</v>
      </c>
      <c r="T6" s="54">
        <f t="shared" si="7"/>
        <v>2776</v>
      </c>
      <c r="U6" s="53">
        <f t="shared" si="8"/>
        <v>9.9999999999999978E-2</v>
      </c>
      <c r="V6" s="54">
        <f t="shared" si="9"/>
        <v>346.99999999999994</v>
      </c>
      <c r="W6" s="55">
        <f ca="1">V6*VLOOKUP(TODAY(),'UF HOY'!$A$2:$B$36,2,0)</f>
        <v>13787677.179999998</v>
      </c>
      <c r="X6" s="56">
        <f>Datos!$K$8</f>
        <v>24</v>
      </c>
      <c r="Y6" s="55">
        <f ca="1">IF((W6-Datos!$U$8-1000000)/X6&gt;0,(W6-Datos!$U$8-1000000)/X6,0)</f>
        <v>528653.2158333332</v>
      </c>
      <c r="Z6" s="56">
        <f>Datos!$K$8</f>
        <v>24</v>
      </c>
      <c r="AA6" s="113">
        <f ca="1">IF((W6-Datos!$U$8-1000000-O6*4%*VLOOKUP(TODAY(),'UF HOY'!$A$2:$B$36,2,0))/Z6&gt;0,(W6-Datos!$U$8-1000000-O6*4%*VLOOKUP(TODAY(),'UF HOY'!$A$2:$B$36,2,0))/Z6,0)</f>
        <v>298858.59616666654</v>
      </c>
      <c r="AB6" s="113">
        <f>IF(L6&gt;0,VLOOKUP(D6,Datos!$A$48:$C$52,3,0),VLOOKUP(D6,Datos!$A$48:$C$52,2,0))</f>
        <v>370000</v>
      </c>
      <c r="AC6" s="55">
        <f ca="1">(S6*PMT(Datos!$G$15,Datos!$G$14,-O6,,)*VLOOKUP(TODAY(),'UF HOY'!$A$2:$B$36,2,0)/12)+VLOOKUP(TODAY(),'UF HOY'!$A$2:$B$36,2,0)</f>
        <v>571295.76542821364</v>
      </c>
      <c r="AD6" s="55">
        <f t="shared" ca="1" si="10"/>
        <v>-201295.76542821364</v>
      </c>
      <c r="AE6" s="93">
        <f t="shared" ca="1" si="16"/>
        <v>2285183.0617128545</v>
      </c>
    </row>
    <row r="7" spans="1:31" s="3" customFormat="1" x14ac:dyDescent="0.35">
      <c r="A7" s="94" t="s">
        <v>305</v>
      </c>
      <c r="B7" s="81">
        <v>414</v>
      </c>
      <c r="C7" s="81" t="s">
        <v>38</v>
      </c>
      <c r="D7" s="48" t="s">
        <v>37</v>
      </c>
      <c r="E7" s="48"/>
      <c r="F7" s="48">
        <v>32.630000000000003</v>
      </c>
      <c r="G7" s="48">
        <v>1.95</v>
      </c>
      <c r="H7" s="82">
        <f t="shared" si="0"/>
        <v>33.605000000000004</v>
      </c>
      <c r="I7" s="82">
        <f t="shared" si="1"/>
        <v>34.580000000000005</v>
      </c>
      <c r="J7" s="49">
        <v>3470</v>
      </c>
      <c r="K7" s="304">
        <v>0</v>
      </c>
      <c r="L7" s="48">
        <v>0</v>
      </c>
      <c r="M7" s="48">
        <v>0</v>
      </c>
      <c r="N7" s="49">
        <f t="shared" si="11"/>
        <v>3123</v>
      </c>
      <c r="O7" s="52">
        <f t="shared" si="12"/>
        <v>3470</v>
      </c>
      <c r="P7" s="79">
        <f t="shared" si="13"/>
        <v>92.932599315578031</v>
      </c>
      <c r="Q7" s="53">
        <f t="shared" si="14"/>
        <v>0.1</v>
      </c>
      <c r="R7" s="54">
        <f t="shared" si="15"/>
        <v>347</v>
      </c>
      <c r="S7" s="53">
        <v>0.8</v>
      </c>
      <c r="T7" s="54">
        <f t="shared" si="7"/>
        <v>2776</v>
      </c>
      <c r="U7" s="53">
        <f t="shared" si="8"/>
        <v>9.9999999999999978E-2</v>
      </c>
      <c r="V7" s="54">
        <f t="shared" si="9"/>
        <v>346.99999999999994</v>
      </c>
      <c r="W7" s="55">
        <f ca="1">V7*VLOOKUP(TODAY(),'UF HOY'!$A$2:$B$36,2,0)</f>
        <v>13787677.179999998</v>
      </c>
      <c r="X7" s="56">
        <f>Datos!$K$8</f>
        <v>24</v>
      </c>
      <c r="Y7" s="55">
        <f ca="1">IF((W7-Datos!$U$8-1000000)/X7&gt;0,(W7-Datos!$U$8-1000000)/X7,0)</f>
        <v>528653.2158333332</v>
      </c>
      <c r="Z7" s="56">
        <f>Datos!$K$8</f>
        <v>24</v>
      </c>
      <c r="AA7" s="113">
        <f ca="1">IF((W7-Datos!$U$8-1000000-O7*4%*VLOOKUP(TODAY(),'UF HOY'!$A$2:$B$36,2,0))/Z7&gt;0,(W7-Datos!$U$8-1000000-O7*4%*VLOOKUP(TODAY(),'UF HOY'!$A$2:$B$36,2,0))/Z7,0)</f>
        <v>298858.59616666654</v>
      </c>
      <c r="AB7" s="113">
        <f>IF(L7&gt;0,VLOOKUP(D7,Datos!$A$48:$C$52,3,0),VLOOKUP(D7,Datos!$A$48:$C$52,2,0))</f>
        <v>370000</v>
      </c>
      <c r="AC7" s="55">
        <f ca="1">(S7*PMT(Datos!$G$15,Datos!$G$14,-O7,,)*VLOOKUP(TODAY(),'UF HOY'!$A$2:$B$36,2,0)/12)+VLOOKUP(TODAY(),'UF HOY'!$A$2:$B$36,2,0)</f>
        <v>571295.76542821364</v>
      </c>
      <c r="AD7" s="55">
        <f t="shared" ca="1" si="10"/>
        <v>-201295.76542821364</v>
      </c>
      <c r="AE7" s="93">
        <f t="shared" ca="1" si="16"/>
        <v>2285183.0617128545</v>
      </c>
    </row>
    <row r="8" spans="1:31" s="3" customFormat="1" x14ac:dyDescent="0.35">
      <c r="A8" s="94" t="s">
        <v>305</v>
      </c>
      <c r="B8" s="81">
        <v>501</v>
      </c>
      <c r="C8" s="81" t="s">
        <v>40</v>
      </c>
      <c r="D8" s="48" t="s">
        <v>37</v>
      </c>
      <c r="E8" s="48"/>
      <c r="F8" s="48">
        <v>32.82</v>
      </c>
      <c r="G8" s="48">
        <v>2.35</v>
      </c>
      <c r="H8" s="82">
        <f t="shared" si="0"/>
        <v>33.994999999999997</v>
      </c>
      <c r="I8" s="82">
        <f t="shared" si="1"/>
        <v>35.17</v>
      </c>
      <c r="J8" s="49">
        <v>3490</v>
      </c>
      <c r="K8" s="304">
        <v>0</v>
      </c>
      <c r="L8" s="48">
        <v>0</v>
      </c>
      <c r="M8" s="48">
        <v>0</v>
      </c>
      <c r="N8" s="49">
        <f t="shared" si="11"/>
        <v>3141</v>
      </c>
      <c r="O8" s="52">
        <f t="shared" si="12"/>
        <v>3490</v>
      </c>
      <c r="P8" s="79">
        <f t="shared" si="13"/>
        <v>92.395940579496994</v>
      </c>
      <c r="Q8" s="53">
        <f t="shared" si="14"/>
        <v>0.1</v>
      </c>
      <c r="R8" s="54">
        <f t="shared" si="15"/>
        <v>349</v>
      </c>
      <c r="S8" s="53">
        <v>0.8</v>
      </c>
      <c r="T8" s="54">
        <f t="shared" si="7"/>
        <v>2792</v>
      </c>
      <c r="U8" s="53">
        <f t="shared" si="8"/>
        <v>9.9999999999999978E-2</v>
      </c>
      <c r="V8" s="54">
        <f t="shared" si="9"/>
        <v>348.99999999999994</v>
      </c>
      <c r="W8" s="55">
        <f ca="1">V8*VLOOKUP(TODAY(),'UF HOY'!$A$2:$B$36,2,0)</f>
        <v>13867145.059999999</v>
      </c>
      <c r="X8" s="56">
        <f>Datos!$K$8</f>
        <v>24</v>
      </c>
      <c r="Y8" s="55">
        <f ca="1">IF((W8-Datos!$U$8-1000000)/X8&gt;0,(W8-Datos!$U$8-1000000)/X8,0)</f>
        <v>531964.37749999994</v>
      </c>
      <c r="Z8" s="56">
        <f>Datos!$K$8</f>
        <v>24</v>
      </c>
      <c r="AA8" s="113">
        <f ca="1">IF((W8-Datos!$U$8-1000000-O8*4%*VLOOKUP(TODAY(),'UF HOY'!$A$2:$B$36,2,0))/Z8&gt;0,(W8-Datos!$U$8-1000000-O8*4%*VLOOKUP(TODAY(),'UF HOY'!$A$2:$B$36,2,0))/Z8,0)</f>
        <v>300845.29316666658</v>
      </c>
      <c r="AB8" s="113">
        <f>IF(L8&gt;0,VLOOKUP(D8,Datos!$A$48:$C$52,3,0),VLOOKUP(D8,Datos!$A$48:$C$52,2,0))</f>
        <v>370000</v>
      </c>
      <c r="AC8" s="55">
        <f ca="1">(S8*PMT(Datos!$G$15,Datos!$G$14,-O8,,)*VLOOKUP(TODAY(),'UF HOY'!$A$2:$B$36,2,0)/12)+VLOOKUP(TODAY(),'UF HOY'!$A$2:$B$36,2,0)</f>
        <v>574359.52234710823</v>
      </c>
      <c r="AD8" s="55">
        <f t="shared" ca="1" si="10"/>
        <v>-204359.52234710823</v>
      </c>
      <c r="AE8" s="93">
        <f t="shared" ca="1" si="16"/>
        <v>2297438.0893884329</v>
      </c>
    </row>
    <row r="9" spans="1:31" s="3" customFormat="1" x14ac:dyDescent="0.35">
      <c r="A9" s="94" t="s">
        <v>305</v>
      </c>
      <c r="B9" s="81">
        <v>612</v>
      </c>
      <c r="C9" s="81" t="s">
        <v>38</v>
      </c>
      <c r="D9" s="48" t="s">
        <v>37</v>
      </c>
      <c r="E9" s="48"/>
      <c r="F9" s="48">
        <v>31.6</v>
      </c>
      <c r="G9" s="48">
        <v>1.95</v>
      </c>
      <c r="H9" s="82">
        <f t="shared" si="0"/>
        <v>32.575000000000003</v>
      </c>
      <c r="I9" s="82">
        <f t="shared" si="1"/>
        <v>33.550000000000004</v>
      </c>
      <c r="J9" s="49">
        <v>3495</v>
      </c>
      <c r="K9" s="304">
        <v>0</v>
      </c>
      <c r="L9" s="48">
        <v>0</v>
      </c>
      <c r="M9" s="48">
        <v>0</v>
      </c>
      <c r="N9" s="49">
        <f t="shared" si="11"/>
        <v>3145.5</v>
      </c>
      <c r="O9" s="52">
        <f t="shared" si="12"/>
        <v>3495</v>
      </c>
      <c r="P9" s="79">
        <f t="shared" si="13"/>
        <v>96.561780506523405</v>
      </c>
      <c r="Q9" s="53">
        <f t="shared" si="14"/>
        <v>0.1</v>
      </c>
      <c r="R9" s="54">
        <f t="shared" si="15"/>
        <v>349.5</v>
      </c>
      <c r="S9" s="53">
        <v>0.8</v>
      </c>
      <c r="T9" s="54">
        <f t="shared" si="7"/>
        <v>2796</v>
      </c>
      <c r="U9" s="53">
        <f t="shared" si="8"/>
        <v>9.9999999999999978E-2</v>
      </c>
      <c r="V9" s="54">
        <f t="shared" si="9"/>
        <v>349.49999999999994</v>
      </c>
      <c r="W9" s="55">
        <f ca="1">V9*VLOOKUP(TODAY(),'UF HOY'!$A$2:$B$36,2,0)</f>
        <v>13887012.029999999</v>
      </c>
      <c r="X9" s="56">
        <f>Datos!$K$8</f>
        <v>24</v>
      </c>
      <c r="Y9" s="55">
        <f ca="1">IF((W9-Datos!$U$8-1000000)/X9&gt;0,(W9-Datos!$U$8-1000000)/X9,0)</f>
        <v>532792.1679166666</v>
      </c>
      <c r="Z9" s="56">
        <f>Datos!$K$8</f>
        <v>24</v>
      </c>
      <c r="AA9" s="113">
        <f ca="1">IF((W9-Datos!$U$8-1000000-O9*4%*VLOOKUP(TODAY(),'UF HOY'!$A$2:$B$36,2,0))/Z9&gt;0,(W9-Datos!$U$8-1000000-O9*4%*VLOOKUP(TODAY(),'UF HOY'!$A$2:$B$36,2,0))/Z9,0)</f>
        <v>301341.96741666662</v>
      </c>
      <c r="AB9" s="113">
        <f>IF(L9&gt;0,VLOOKUP(D9,Datos!$A$48:$C$52,3,0),VLOOKUP(D9,Datos!$A$48:$C$52,2,0))</f>
        <v>370000</v>
      </c>
      <c r="AC9" s="55">
        <f ca="1">(S9*PMT(Datos!$G$15,Datos!$G$14,-O9,,)*VLOOKUP(TODAY(),'UF HOY'!$A$2:$B$36,2,0)/12)+VLOOKUP(TODAY(),'UF HOY'!$A$2:$B$36,2,0)</f>
        <v>575125.46157683176</v>
      </c>
      <c r="AD9" s="55">
        <f t="shared" ca="1" si="10"/>
        <v>-205125.46157683176</v>
      </c>
      <c r="AE9" s="93">
        <f t="shared" ca="1" si="16"/>
        <v>2300501.846307327</v>
      </c>
    </row>
    <row r="10" spans="1:31" s="3" customFormat="1" x14ac:dyDescent="0.35">
      <c r="A10" s="94" t="s">
        <v>305</v>
      </c>
      <c r="B10" s="81">
        <v>408</v>
      </c>
      <c r="C10" s="48" t="s">
        <v>40</v>
      </c>
      <c r="D10" s="48" t="s">
        <v>37</v>
      </c>
      <c r="E10" s="48"/>
      <c r="F10" s="48">
        <v>33.21</v>
      </c>
      <c r="G10" s="48">
        <v>2.13</v>
      </c>
      <c r="H10" s="82">
        <f t="shared" ref="H10:H13" si="17">F10+(G10/2)</f>
        <v>34.274999999999999</v>
      </c>
      <c r="I10" s="82">
        <f t="shared" ref="I10:I13" si="18">F10+G10</f>
        <v>35.340000000000003</v>
      </c>
      <c r="J10" s="49">
        <v>3505</v>
      </c>
      <c r="K10" s="304">
        <v>0</v>
      </c>
      <c r="L10" s="48">
        <v>0</v>
      </c>
      <c r="M10" s="48">
        <v>0</v>
      </c>
      <c r="N10" s="49">
        <f t="shared" ref="N10:N13" si="19">O10-R10</f>
        <v>3154.5</v>
      </c>
      <c r="O10" s="52">
        <f t="shared" ref="O10:O13" si="20">J10*(100%-K10)+L10+M10</f>
        <v>3505</v>
      </c>
      <c r="P10" s="79">
        <f t="shared" ref="P10:P13" si="21">(N10-L10-M10)/H10</f>
        <v>92.035010940919037</v>
      </c>
      <c r="Q10" s="53">
        <f t="shared" ref="Q10:Q13" si="22">IF((O10-N10)/O10&gt;10%,10%,ROUND(IF(O10&gt;N10,(O10-N10)/O10,0),4))</f>
        <v>0.1</v>
      </c>
      <c r="R10" s="54">
        <f t="shared" ref="R10:R13" si="23">(J10-J10*K10)*0.1</f>
        <v>350.5</v>
      </c>
      <c r="S10" s="53">
        <v>0.8</v>
      </c>
      <c r="T10" s="54">
        <f t="shared" ref="T10:T13" si="24">S10*O10</f>
        <v>2804</v>
      </c>
      <c r="U10" s="53">
        <f t="shared" ref="U10:U13" si="25">100%-Q10-S10</f>
        <v>9.9999999999999978E-2</v>
      </c>
      <c r="V10" s="54">
        <f t="shared" ref="V10:V13" si="26">O10*U10</f>
        <v>350.49999999999994</v>
      </c>
      <c r="W10" s="55">
        <f ca="1">V10*VLOOKUP(TODAY(),'UF HOY'!$A$2:$B$36,2,0)</f>
        <v>13926745.969999999</v>
      </c>
      <c r="X10" s="56">
        <f>Datos!$K$8</f>
        <v>24</v>
      </c>
      <c r="Y10" s="55">
        <f ca="1">IF((W10-Datos!$U$8-1000000)/X10&gt;0,(W10-Datos!$U$8-1000000)/X10,0)</f>
        <v>534447.74874999991</v>
      </c>
      <c r="Z10" s="56">
        <f>Datos!$K$8</f>
        <v>24</v>
      </c>
      <c r="AA10" s="113">
        <f ca="1">IF((W10-Datos!$U$8-1000000-O10*4%*VLOOKUP(TODAY(),'UF HOY'!$A$2:$B$36,2,0))/Z10&gt;0,(W10-Datos!$U$8-1000000-O10*4%*VLOOKUP(TODAY(),'UF HOY'!$A$2:$B$36,2,0))/Z10,0)</f>
        <v>302335.31591666659</v>
      </c>
      <c r="AB10" s="113">
        <f>IF(L10&gt;0,VLOOKUP(D10,Datos!$A$48:$C$52,3,0),VLOOKUP(D10,Datos!$A$48:$C$52,2,0))</f>
        <v>370000</v>
      </c>
      <c r="AC10" s="55">
        <f ca="1">(S10*PMT(Datos!$G$15,Datos!$G$14,-O10,,)*VLOOKUP(TODAY(),'UF HOY'!$A$2:$B$36,2,0)/12)+VLOOKUP(TODAY(),'UF HOY'!$A$2:$B$36,2,0)</f>
        <v>576657.34003627906</v>
      </c>
      <c r="AD10" s="55">
        <f t="shared" ref="AD10:AD13" ca="1" si="27">AB10-AC10</f>
        <v>-206657.34003627906</v>
      </c>
      <c r="AE10" s="93">
        <f t="shared" ca="1" si="16"/>
        <v>2306629.3601451162</v>
      </c>
    </row>
    <row r="11" spans="1:31" s="3" customFormat="1" x14ac:dyDescent="0.35">
      <c r="A11" s="94" t="s">
        <v>305</v>
      </c>
      <c r="B11" s="81">
        <v>502</v>
      </c>
      <c r="C11" s="81" t="s">
        <v>40</v>
      </c>
      <c r="D11" s="48" t="s">
        <v>37</v>
      </c>
      <c r="E11" s="48"/>
      <c r="F11" s="48">
        <v>32.78</v>
      </c>
      <c r="G11" s="48">
        <v>2.73</v>
      </c>
      <c r="H11" s="82">
        <f t="shared" si="17"/>
        <v>34.145000000000003</v>
      </c>
      <c r="I11" s="82">
        <f t="shared" si="18"/>
        <v>35.51</v>
      </c>
      <c r="J11" s="49">
        <v>3505</v>
      </c>
      <c r="K11" s="304">
        <v>0</v>
      </c>
      <c r="L11" s="48">
        <v>0</v>
      </c>
      <c r="M11" s="48">
        <v>0</v>
      </c>
      <c r="N11" s="49">
        <f t="shared" si="19"/>
        <v>3154.5</v>
      </c>
      <c r="O11" s="52">
        <f t="shared" si="20"/>
        <v>3505</v>
      </c>
      <c r="P11" s="79">
        <f t="shared" si="21"/>
        <v>92.38541514130911</v>
      </c>
      <c r="Q11" s="53">
        <f t="shared" si="22"/>
        <v>0.1</v>
      </c>
      <c r="R11" s="54">
        <f t="shared" si="23"/>
        <v>350.5</v>
      </c>
      <c r="S11" s="53">
        <v>0.8</v>
      </c>
      <c r="T11" s="54">
        <f t="shared" si="24"/>
        <v>2804</v>
      </c>
      <c r="U11" s="53">
        <f t="shared" si="25"/>
        <v>9.9999999999999978E-2</v>
      </c>
      <c r="V11" s="54">
        <f t="shared" si="26"/>
        <v>350.49999999999994</v>
      </c>
      <c r="W11" s="55">
        <f ca="1">V11*VLOOKUP(TODAY(),'UF HOY'!$A$2:$B$36,2,0)</f>
        <v>13926745.969999999</v>
      </c>
      <c r="X11" s="56">
        <f>Datos!$K$8</f>
        <v>24</v>
      </c>
      <c r="Y11" s="55">
        <f ca="1">IF((W11-Datos!$U$8-1000000)/X11&gt;0,(W11-Datos!$U$8-1000000)/X11,0)</f>
        <v>534447.74874999991</v>
      </c>
      <c r="Z11" s="56">
        <f>Datos!$K$8</f>
        <v>24</v>
      </c>
      <c r="AA11" s="113">
        <f ca="1">IF((W11-Datos!$U$8-1000000-O11*4%*VLOOKUP(TODAY(),'UF HOY'!$A$2:$B$36,2,0))/Z11&gt;0,(W11-Datos!$U$8-1000000-O11*4%*VLOOKUP(TODAY(),'UF HOY'!$A$2:$B$36,2,0))/Z11,0)</f>
        <v>302335.31591666659</v>
      </c>
      <c r="AB11" s="113">
        <f>IF(L11&gt;0,VLOOKUP(D11,Datos!$A$48:$C$52,3,0),VLOOKUP(D11,Datos!$A$48:$C$52,2,0))</f>
        <v>370000</v>
      </c>
      <c r="AC11" s="55">
        <f ca="1">(S11*PMT(Datos!$G$15,Datos!$G$14,-O11,,)*VLOOKUP(TODAY(),'UF HOY'!$A$2:$B$36,2,0)/12)+VLOOKUP(TODAY(),'UF HOY'!$A$2:$B$36,2,0)</f>
        <v>576657.34003627906</v>
      </c>
      <c r="AD11" s="55">
        <f t="shared" ca="1" si="27"/>
        <v>-206657.34003627906</v>
      </c>
      <c r="AE11" s="93">
        <f t="shared" ca="1" si="16"/>
        <v>2306629.3601451162</v>
      </c>
    </row>
    <row r="12" spans="1:31" s="3" customFormat="1" x14ac:dyDescent="0.35">
      <c r="A12" s="94" t="s">
        <v>305</v>
      </c>
      <c r="B12" s="81">
        <v>503</v>
      </c>
      <c r="C12" s="48" t="s">
        <v>40</v>
      </c>
      <c r="D12" s="48" t="s">
        <v>37</v>
      </c>
      <c r="E12" s="48"/>
      <c r="F12" s="48">
        <v>32.78</v>
      </c>
      <c r="G12" s="48">
        <v>2.73</v>
      </c>
      <c r="H12" s="82">
        <f t="shared" si="17"/>
        <v>34.145000000000003</v>
      </c>
      <c r="I12" s="82">
        <f t="shared" si="18"/>
        <v>35.51</v>
      </c>
      <c r="J12" s="49">
        <v>3505</v>
      </c>
      <c r="K12" s="304">
        <v>0</v>
      </c>
      <c r="L12" s="48">
        <v>0</v>
      </c>
      <c r="M12" s="48">
        <v>0</v>
      </c>
      <c r="N12" s="49">
        <f t="shared" si="19"/>
        <v>3154.5</v>
      </c>
      <c r="O12" s="52">
        <f t="shared" si="20"/>
        <v>3505</v>
      </c>
      <c r="P12" s="79">
        <f t="shared" si="21"/>
        <v>92.38541514130911</v>
      </c>
      <c r="Q12" s="53">
        <f t="shared" si="22"/>
        <v>0.1</v>
      </c>
      <c r="R12" s="54">
        <f t="shared" si="23"/>
        <v>350.5</v>
      </c>
      <c r="S12" s="53">
        <v>0.8</v>
      </c>
      <c r="T12" s="54">
        <f t="shared" si="24"/>
        <v>2804</v>
      </c>
      <c r="U12" s="53">
        <f t="shared" si="25"/>
        <v>9.9999999999999978E-2</v>
      </c>
      <c r="V12" s="54">
        <f t="shared" si="26"/>
        <v>350.49999999999994</v>
      </c>
      <c r="W12" s="55">
        <f ca="1">V12*VLOOKUP(TODAY(),'UF HOY'!$A$2:$B$36,2,0)</f>
        <v>13926745.969999999</v>
      </c>
      <c r="X12" s="56">
        <f>Datos!$K$8</f>
        <v>24</v>
      </c>
      <c r="Y12" s="55">
        <f ca="1">IF((W12-Datos!$U$8-1000000)/X12&gt;0,(W12-Datos!$U$8-1000000)/X12,0)</f>
        <v>534447.74874999991</v>
      </c>
      <c r="Z12" s="56">
        <f>Datos!$K$8</f>
        <v>24</v>
      </c>
      <c r="AA12" s="113">
        <f ca="1">IF((W12-Datos!$U$8-1000000-O12*4%*VLOOKUP(TODAY(),'UF HOY'!$A$2:$B$36,2,0))/Z12&gt;0,(W12-Datos!$U$8-1000000-O12*4%*VLOOKUP(TODAY(),'UF HOY'!$A$2:$B$36,2,0))/Z12,0)</f>
        <v>302335.31591666659</v>
      </c>
      <c r="AB12" s="113">
        <f>IF(L12&gt;0,VLOOKUP(D12,Datos!$A$48:$C$52,3,0),VLOOKUP(D12,Datos!$A$48:$C$52,2,0))</f>
        <v>370000</v>
      </c>
      <c r="AC12" s="55">
        <f ca="1">(S12*PMT(Datos!$G$15,Datos!$G$14,-O12,,)*VLOOKUP(TODAY(),'UF HOY'!$A$2:$B$36,2,0)/12)+VLOOKUP(TODAY(),'UF HOY'!$A$2:$B$36,2,0)</f>
        <v>576657.34003627906</v>
      </c>
      <c r="AD12" s="55">
        <f t="shared" ca="1" si="27"/>
        <v>-206657.34003627906</v>
      </c>
      <c r="AE12" s="93">
        <f t="shared" ca="1" si="16"/>
        <v>2306629.3601451162</v>
      </c>
    </row>
    <row r="13" spans="1:31" s="3" customFormat="1" x14ac:dyDescent="0.35">
      <c r="A13" s="94" t="s">
        <v>305</v>
      </c>
      <c r="B13" s="81">
        <v>815</v>
      </c>
      <c r="C13" s="48" t="s">
        <v>38</v>
      </c>
      <c r="D13" s="48" t="s">
        <v>37</v>
      </c>
      <c r="E13" s="48"/>
      <c r="F13" s="48">
        <v>31.03</v>
      </c>
      <c r="G13" s="48">
        <v>2.69</v>
      </c>
      <c r="H13" s="82">
        <f t="shared" si="17"/>
        <v>32.375</v>
      </c>
      <c r="I13" s="82">
        <f t="shared" si="18"/>
        <v>33.72</v>
      </c>
      <c r="J13" s="49">
        <v>3520</v>
      </c>
      <c r="K13" s="304">
        <v>0</v>
      </c>
      <c r="L13" s="48">
        <v>0</v>
      </c>
      <c r="M13" s="48">
        <v>0</v>
      </c>
      <c r="N13" s="49">
        <f t="shared" si="19"/>
        <v>3168</v>
      </c>
      <c r="O13" s="52">
        <f t="shared" si="20"/>
        <v>3520</v>
      </c>
      <c r="P13" s="79">
        <f t="shared" si="21"/>
        <v>97.853281853281857</v>
      </c>
      <c r="Q13" s="53">
        <f t="shared" si="22"/>
        <v>0.1</v>
      </c>
      <c r="R13" s="54">
        <f t="shared" si="23"/>
        <v>352</v>
      </c>
      <c r="S13" s="53">
        <v>0.8</v>
      </c>
      <c r="T13" s="54">
        <f t="shared" si="24"/>
        <v>2816</v>
      </c>
      <c r="U13" s="53">
        <f t="shared" si="25"/>
        <v>9.9999999999999978E-2</v>
      </c>
      <c r="V13" s="54">
        <f t="shared" si="26"/>
        <v>351.99999999999994</v>
      </c>
      <c r="W13" s="55">
        <f ca="1">V13*VLOOKUP(TODAY(),'UF HOY'!$A$2:$B$36,2,0)</f>
        <v>13986346.879999999</v>
      </c>
      <c r="X13" s="56">
        <f>Datos!$K$8</f>
        <v>24</v>
      </c>
      <c r="Y13" s="55">
        <f ca="1">IF((W13-Datos!$U$8-1000000)/X13&gt;0,(W13-Datos!$U$8-1000000)/X13,0)</f>
        <v>536931.12</v>
      </c>
      <c r="Z13" s="56">
        <f>Datos!$K$8</f>
        <v>24</v>
      </c>
      <c r="AA13" s="113">
        <f ca="1">IF((W13-Datos!$U$8-1000000-O13*4%*VLOOKUP(TODAY(),'UF HOY'!$A$2:$B$36,2,0))/Z13&gt;0,(W13-Datos!$U$8-1000000-O13*4%*VLOOKUP(TODAY(),'UF HOY'!$A$2:$B$36,2,0))/Z13,0)</f>
        <v>303825.33866666659</v>
      </c>
      <c r="AB13" s="113">
        <f>IF(L13&gt;0,VLOOKUP(D13,Datos!$A$48:$C$52,3,0),VLOOKUP(D13,Datos!$A$48:$C$52,2,0))</f>
        <v>370000</v>
      </c>
      <c r="AC13" s="55">
        <f ca="1">(S13*PMT(Datos!$G$15,Datos!$G$14,-O13,,)*VLOOKUP(TODAY(),'UF HOY'!$A$2:$B$36,2,0)/12)+VLOOKUP(TODAY(),'UF HOY'!$A$2:$B$36,2,0)</f>
        <v>578955.15772545012</v>
      </c>
      <c r="AD13" s="55">
        <f t="shared" ca="1" si="27"/>
        <v>-208955.15772545012</v>
      </c>
      <c r="AE13" s="93">
        <f t="shared" ca="1" si="16"/>
        <v>2315820.6309018005</v>
      </c>
    </row>
    <row r="14" spans="1:31" s="3" customFormat="1" x14ac:dyDescent="0.35">
      <c r="A14" s="94" t="s">
        <v>305</v>
      </c>
      <c r="B14" s="81">
        <v>404</v>
      </c>
      <c r="C14" s="48" t="s">
        <v>40</v>
      </c>
      <c r="D14" s="48" t="s">
        <v>37</v>
      </c>
      <c r="E14" s="48"/>
      <c r="F14" s="48">
        <v>34.020000000000003</v>
      </c>
      <c r="G14" s="48">
        <v>2.73</v>
      </c>
      <c r="H14" s="82">
        <f t="shared" si="0"/>
        <v>35.385000000000005</v>
      </c>
      <c r="I14" s="82">
        <f t="shared" si="1"/>
        <v>36.75</v>
      </c>
      <c r="J14" s="49">
        <v>3545</v>
      </c>
      <c r="K14" s="304">
        <v>0</v>
      </c>
      <c r="L14" s="48">
        <v>0</v>
      </c>
      <c r="M14" s="48">
        <v>0</v>
      </c>
      <c r="N14" s="49">
        <f t="shared" si="11"/>
        <v>3190.5</v>
      </c>
      <c r="O14" s="52">
        <f t="shared" si="12"/>
        <v>3545</v>
      </c>
      <c r="P14" s="79">
        <f t="shared" si="13"/>
        <v>90.165324289953361</v>
      </c>
      <c r="Q14" s="53">
        <f t="shared" si="14"/>
        <v>0.1</v>
      </c>
      <c r="R14" s="54">
        <f t="shared" si="15"/>
        <v>354.5</v>
      </c>
      <c r="S14" s="53">
        <v>0.8</v>
      </c>
      <c r="T14" s="54">
        <f t="shared" si="7"/>
        <v>2836</v>
      </c>
      <c r="U14" s="53">
        <f t="shared" si="8"/>
        <v>9.9999999999999978E-2</v>
      </c>
      <c r="V14" s="54">
        <f t="shared" si="9"/>
        <v>354.49999999999994</v>
      </c>
      <c r="W14" s="55">
        <f ca="1">V14*VLOOKUP(TODAY(),'UF HOY'!$A$2:$B$36,2,0)</f>
        <v>14085681.729999999</v>
      </c>
      <c r="X14" s="56">
        <f>Datos!$K$8</f>
        <v>24</v>
      </c>
      <c r="Y14" s="55">
        <f ca="1">IF((W14-Datos!$U$8-1000000)/X14&gt;0,(W14-Datos!$U$8-1000000)/X14,0)</f>
        <v>541070.07208333327</v>
      </c>
      <c r="Z14" s="56">
        <f>Datos!$K$8</f>
        <v>24</v>
      </c>
      <c r="AA14" s="113">
        <f ca="1">IF((W14-Datos!$U$8-1000000-O14*4%*VLOOKUP(TODAY(),'UF HOY'!$A$2:$B$36,2,0))/Z14&gt;0,(W14-Datos!$U$8-1000000-O14*4%*VLOOKUP(TODAY(),'UF HOY'!$A$2:$B$36,2,0))/Z14,0)</f>
        <v>306308.70991666656</v>
      </c>
      <c r="AB14" s="113">
        <f>IF(L14&gt;0,VLOOKUP(D14,Datos!$A$48:$C$52,3,0),VLOOKUP(D14,Datos!$A$48:$C$52,2,0))</f>
        <v>370000</v>
      </c>
      <c r="AC14" s="55">
        <f ca="1">(S14*PMT(Datos!$G$15,Datos!$G$14,-O14,,)*VLOOKUP(TODAY(),'UF HOY'!$A$2:$B$36,2,0)/12)+VLOOKUP(TODAY(),'UF HOY'!$A$2:$B$36,2,0)</f>
        <v>582784.85387406847</v>
      </c>
      <c r="AD14" s="55">
        <f t="shared" ca="1" si="10"/>
        <v>-212784.85387406847</v>
      </c>
      <c r="AE14" s="93">
        <f t="shared" ca="1" si="16"/>
        <v>2331139.4154962739</v>
      </c>
    </row>
    <row r="15" spans="1:31" s="3" customFormat="1" x14ac:dyDescent="0.35">
      <c r="A15" s="94" t="s">
        <v>305</v>
      </c>
      <c r="B15" s="81">
        <v>405</v>
      </c>
      <c r="C15" s="81" t="s">
        <v>40</v>
      </c>
      <c r="D15" s="48" t="s">
        <v>37</v>
      </c>
      <c r="E15" s="48"/>
      <c r="F15" s="48">
        <v>34.020000000000003</v>
      </c>
      <c r="G15" s="48">
        <v>2.73</v>
      </c>
      <c r="H15" s="82">
        <f t="shared" si="0"/>
        <v>35.385000000000005</v>
      </c>
      <c r="I15" s="82">
        <f t="shared" si="1"/>
        <v>36.75</v>
      </c>
      <c r="J15" s="49">
        <v>3545</v>
      </c>
      <c r="K15" s="304">
        <v>0</v>
      </c>
      <c r="L15" s="48">
        <v>0</v>
      </c>
      <c r="M15" s="48">
        <v>0</v>
      </c>
      <c r="N15" s="49">
        <f t="shared" si="11"/>
        <v>3190.5</v>
      </c>
      <c r="O15" s="52">
        <f t="shared" si="12"/>
        <v>3545</v>
      </c>
      <c r="P15" s="79">
        <f t="shared" si="13"/>
        <v>90.165324289953361</v>
      </c>
      <c r="Q15" s="53">
        <f t="shared" si="14"/>
        <v>0.1</v>
      </c>
      <c r="R15" s="54">
        <f t="shared" si="15"/>
        <v>354.5</v>
      </c>
      <c r="S15" s="53">
        <v>0.8</v>
      </c>
      <c r="T15" s="54">
        <f t="shared" si="7"/>
        <v>2836</v>
      </c>
      <c r="U15" s="53">
        <f t="shared" si="8"/>
        <v>9.9999999999999978E-2</v>
      </c>
      <c r="V15" s="54">
        <f t="shared" si="9"/>
        <v>354.49999999999994</v>
      </c>
      <c r="W15" s="55">
        <f ca="1">V15*VLOOKUP(TODAY(),'UF HOY'!$A$2:$B$36,2,0)</f>
        <v>14085681.729999999</v>
      </c>
      <c r="X15" s="56">
        <f>Datos!$K$8</f>
        <v>24</v>
      </c>
      <c r="Y15" s="55">
        <f ca="1">IF((W15-Datos!$U$8-1000000)/X15&gt;0,(W15-Datos!$U$8-1000000)/X15,0)</f>
        <v>541070.07208333327</v>
      </c>
      <c r="Z15" s="56">
        <f>Datos!$K$8</f>
        <v>24</v>
      </c>
      <c r="AA15" s="113">
        <f ca="1">IF((W15-Datos!$U$8-1000000-O15*4%*VLOOKUP(TODAY(),'UF HOY'!$A$2:$B$36,2,0))/Z15&gt;0,(W15-Datos!$U$8-1000000-O15*4%*VLOOKUP(TODAY(),'UF HOY'!$A$2:$B$36,2,0))/Z15,0)</f>
        <v>306308.70991666656</v>
      </c>
      <c r="AB15" s="113">
        <f>IF(L15&gt;0,VLOOKUP(D15,Datos!$A$48:$C$52,3,0),VLOOKUP(D15,Datos!$A$48:$C$52,2,0))</f>
        <v>370000</v>
      </c>
      <c r="AC15" s="55">
        <f ca="1">(S15*PMT(Datos!$G$15,Datos!$G$14,-O15,,)*VLOOKUP(TODAY(),'UF HOY'!$A$2:$B$36,2,0)/12)+VLOOKUP(TODAY(),'UF HOY'!$A$2:$B$36,2,0)</f>
        <v>582784.85387406847</v>
      </c>
      <c r="AD15" s="55">
        <f t="shared" ca="1" si="10"/>
        <v>-212784.85387406847</v>
      </c>
      <c r="AE15" s="93">
        <f t="shared" ca="1" si="16"/>
        <v>2331139.4154962739</v>
      </c>
    </row>
    <row r="16" spans="1:31" s="3" customFormat="1" x14ac:dyDescent="0.35">
      <c r="A16" s="94" t="s">
        <v>305</v>
      </c>
      <c r="B16" s="81">
        <v>912</v>
      </c>
      <c r="C16" s="48" t="s">
        <v>38</v>
      </c>
      <c r="D16" s="48" t="s">
        <v>37</v>
      </c>
      <c r="E16" s="48"/>
      <c r="F16" s="48">
        <v>31.6</v>
      </c>
      <c r="G16" s="48">
        <v>1.95</v>
      </c>
      <c r="H16" s="82">
        <f t="shared" si="0"/>
        <v>32.575000000000003</v>
      </c>
      <c r="I16" s="82">
        <f t="shared" si="1"/>
        <v>33.550000000000004</v>
      </c>
      <c r="J16" s="49">
        <v>3545</v>
      </c>
      <c r="K16" s="304">
        <v>0</v>
      </c>
      <c r="L16" s="48">
        <v>0</v>
      </c>
      <c r="M16" s="48">
        <v>0</v>
      </c>
      <c r="N16" s="49">
        <f t="shared" si="11"/>
        <v>3190.5</v>
      </c>
      <c r="O16" s="52">
        <f t="shared" si="12"/>
        <v>3545</v>
      </c>
      <c r="P16" s="79">
        <f t="shared" si="13"/>
        <v>97.943207981580954</v>
      </c>
      <c r="Q16" s="53">
        <f t="shared" si="14"/>
        <v>0.1</v>
      </c>
      <c r="R16" s="54">
        <f t="shared" si="15"/>
        <v>354.5</v>
      </c>
      <c r="S16" s="53">
        <v>0.8</v>
      </c>
      <c r="T16" s="54">
        <f t="shared" si="7"/>
        <v>2836</v>
      </c>
      <c r="U16" s="53">
        <f t="shared" si="8"/>
        <v>9.9999999999999978E-2</v>
      </c>
      <c r="V16" s="54">
        <f t="shared" si="9"/>
        <v>354.49999999999994</v>
      </c>
      <c r="W16" s="55">
        <f ca="1">V16*VLOOKUP(TODAY(),'UF HOY'!$A$2:$B$36,2,0)</f>
        <v>14085681.729999999</v>
      </c>
      <c r="X16" s="56">
        <f>Datos!$K$8</f>
        <v>24</v>
      </c>
      <c r="Y16" s="55">
        <f ca="1">IF((W16-Datos!$U$8-1000000)/X16&gt;0,(W16-Datos!$U$8-1000000)/X16,0)</f>
        <v>541070.07208333327</v>
      </c>
      <c r="Z16" s="56">
        <f>Datos!$K$8</f>
        <v>24</v>
      </c>
      <c r="AA16" s="113">
        <f ca="1">IF((W16-Datos!$U$8-1000000-O16*4%*VLOOKUP(TODAY(),'UF HOY'!$A$2:$B$36,2,0))/Z16&gt;0,(W16-Datos!$U$8-1000000-O16*4%*VLOOKUP(TODAY(),'UF HOY'!$A$2:$B$36,2,0))/Z16,0)</f>
        <v>306308.70991666656</v>
      </c>
      <c r="AB16" s="113">
        <f>IF(L16&gt;0,VLOOKUP(D16,Datos!$A$48:$C$52,3,0),VLOOKUP(D16,Datos!$A$48:$C$52,2,0))</f>
        <v>370000</v>
      </c>
      <c r="AC16" s="55">
        <f ca="1">(S16*PMT(Datos!$G$15,Datos!$G$14,-O16,,)*VLOOKUP(TODAY(),'UF HOY'!$A$2:$B$36,2,0)/12)+VLOOKUP(TODAY(),'UF HOY'!$A$2:$B$36,2,0)</f>
        <v>582784.85387406847</v>
      </c>
      <c r="AD16" s="55">
        <f t="shared" ca="1" si="10"/>
        <v>-212784.85387406847</v>
      </c>
      <c r="AE16" s="93">
        <f t="shared" ca="1" si="16"/>
        <v>2331139.4154962739</v>
      </c>
    </row>
    <row r="17" spans="1:31" s="3" customFormat="1" x14ac:dyDescent="0.35">
      <c r="A17" s="94" t="s">
        <v>305</v>
      </c>
      <c r="B17" s="81">
        <v>602</v>
      </c>
      <c r="C17" s="48" t="s">
        <v>40</v>
      </c>
      <c r="D17" s="48" t="s">
        <v>37</v>
      </c>
      <c r="E17" s="48"/>
      <c r="F17" s="48">
        <v>32.78</v>
      </c>
      <c r="G17" s="48">
        <v>2.73</v>
      </c>
      <c r="H17" s="82">
        <f t="shared" si="0"/>
        <v>34.145000000000003</v>
      </c>
      <c r="I17" s="82">
        <f t="shared" si="1"/>
        <v>35.51</v>
      </c>
      <c r="J17" s="49">
        <v>3555</v>
      </c>
      <c r="K17" s="304">
        <v>0</v>
      </c>
      <c r="L17" s="48">
        <v>0</v>
      </c>
      <c r="M17" s="48">
        <v>0</v>
      </c>
      <c r="N17" s="49">
        <f t="shared" si="11"/>
        <v>3199.5</v>
      </c>
      <c r="O17" s="52">
        <f t="shared" si="12"/>
        <v>3555</v>
      </c>
      <c r="P17" s="79">
        <f t="shared" si="13"/>
        <v>93.703324059159456</v>
      </c>
      <c r="Q17" s="53">
        <f t="shared" si="14"/>
        <v>0.1</v>
      </c>
      <c r="R17" s="54">
        <f t="shared" si="15"/>
        <v>355.5</v>
      </c>
      <c r="S17" s="53">
        <v>0.8</v>
      </c>
      <c r="T17" s="54">
        <f t="shared" si="7"/>
        <v>2844</v>
      </c>
      <c r="U17" s="53">
        <f t="shared" si="8"/>
        <v>9.9999999999999978E-2</v>
      </c>
      <c r="V17" s="54">
        <f t="shared" si="9"/>
        <v>355.49999999999994</v>
      </c>
      <c r="W17" s="55">
        <f ca="1">V17*VLOOKUP(TODAY(),'UF HOY'!$A$2:$B$36,2,0)</f>
        <v>14125415.669999998</v>
      </c>
      <c r="X17" s="56">
        <f>Datos!$K$8</f>
        <v>24</v>
      </c>
      <c r="Y17" s="55">
        <f ca="1">IF((W17-Datos!$U$8-1000000)/X17&gt;0,(W17-Datos!$U$8-1000000)/X17,0)</f>
        <v>542725.65291666659</v>
      </c>
      <c r="Z17" s="56">
        <f>Datos!$K$8</f>
        <v>24</v>
      </c>
      <c r="AA17" s="113">
        <f ca="1">IF((W17-Datos!$U$8-1000000-O17*4%*VLOOKUP(TODAY(),'UF HOY'!$A$2:$B$36,2,0))/Z17&gt;0,(W17-Datos!$U$8-1000000-O17*4%*VLOOKUP(TODAY(),'UF HOY'!$A$2:$B$36,2,0))/Z17,0)</f>
        <v>307302.05841666652</v>
      </c>
      <c r="AB17" s="113">
        <f>IF(L17&gt;0,VLOOKUP(D17,Datos!$A$48:$C$52,3,0),VLOOKUP(D17,Datos!$A$48:$C$52,2,0))</f>
        <v>370000</v>
      </c>
      <c r="AC17" s="55">
        <f ca="1">(S17*PMT(Datos!$G$15,Datos!$G$14,-O17,,)*VLOOKUP(TODAY(),'UF HOY'!$A$2:$B$36,2,0)/12)+VLOOKUP(TODAY(),'UF HOY'!$A$2:$B$36,2,0)</f>
        <v>584316.73233351577</v>
      </c>
      <c r="AD17" s="55">
        <f t="shared" ca="1" si="10"/>
        <v>-214316.73233351577</v>
      </c>
      <c r="AE17" s="93">
        <f t="shared" ca="1" si="16"/>
        <v>2337266.9293340631</v>
      </c>
    </row>
    <row r="18" spans="1:31" s="3" customFormat="1" x14ac:dyDescent="0.35">
      <c r="A18" s="94" t="s">
        <v>305</v>
      </c>
      <c r="B18" s="81">
        <v>603</v>
      </c>
      <c r="C18" s="48" t="s">
        <v>40</v>
      </c>
      <c r="D18" s="48" t="s">
        <v>37</v>
      </c>
      <c r="E18" s="48"/>
      <c r="F18" s="48">
        <v>32.78</v>
      </c>
      <c r="G18" s="48">
        <v>2.73</v>
      </c>
      <c r="H18" s="82">
        <f t="shared" si="0"/>
        <v>34.145000000000003</v>
      </c>
      <c r="I18" s="82">
        <f t="shared" si="1"/>
        <v>35.51</v>
      </c>
      <c r="J18" s="49">
        <v>3555</v>
      </c>
      <c r="K18" s="304">
        <v>0</v>
      </c>
      <c r="L18" s="48">
        <v>0</v>
      </c>
      <c r="M18" s="48">
        <v>0</v>
      </c>
      <c r="N18" s="49">
        <f t="shared" si="11"/>
        <v>3199.5</v>
      </c>
      <c r="O18" s="52">
        <f t="shared" si="12"/>
        <v>3555</v>
      </c>
      <c r="P18" s="79">
        <f t="shared" si="13"/>
        <v>93.703324059159456</v>
      </c>
      <c r="Q18" s="53">
        <f t="shared" si="14"/>
        <v>0.1</v>
      </c>
      <c r="R18" s="54">
        <f t="shared" si="15"/>
        <v>355.5</v>
      </c>
      <c r="S18" s="53">
        <v>0.8</v>
      </c>
      <c r="T18" s="54">
        <f t="shared" si="7"/>
        <v>2844</v>
      </c>
      <c r="U18" s="53">
        <f t="shared" si="8"/>
        <v>9.9999999999999978E-2</v>
      </c>
      <c r="V18" s="54">
        <f t="shared" si="9"/>
        <v>355.49999999999994</v>
      </c>
      <c r="W18" s="55">
        <f ca="1">V18*VLOOKUP(TODAY(),'UF HOY'!$A$2:$B$36,2,0)</f>
        <v>14125415.669999998</v>
      </c>
      <c r="X18" s="56">
        <f>Datos!$K$8</f>
        <v>24</v>
      </c>
      <c r="Y18" s="55">
        <f ca="1">IF((W18-Datos!$U$8-1000000)/X18&gt;0,(W18-Datos!$U$8-1000000)/X18,0)</f>
        <v>542725.65291666659</v>
      </c>
      <c r="Z18" s="56">
        <f>Datos!$K$8</f>
        <v>24</v>
      </c>
      <c r="AA18" s="113">
        <f ca="1">IF((W18-Datos!$U$8-1000000-O18*4%*VLOOKUP(TODAY(),'UF HOY'!$A$2:$B$36,2,0))/Z18&gt;0,(W18-Datos!$U$8-1000000-O18*4%*VLOOKUP(TODAY(),'UF HOY'!$A$2:$B$36,2,0))/Z18,0)</f>
        <v>307302.05841666652</v>
      </c>
      <c r="AB18" s="113">
        <f>IF(L18&gt;0,VLOOKUP(D18,Datos!$A$48:$C$52,3,0),VLOOKUP(D18,Datos!$A$48:$C$52,2,0))</f>
        <v>370000</v>
      </c>
      <c r="AC18" s="55">
        <f ca="1">(S18*PMT(Datos!$G$15,Datos!$G$14,-O18,,)*VLOOKUP(TODAY(),'UF HOY'!$A$2:$B$36,2,0)/12)+VLOOKUP(TODAY(),'UF HOY'!$A$2:$B$36,2,0)</f>
        <v>584316.73233351577</v>
      </c>
      <c r="AD18" s="55">
        <f t="shared" ca="1" si="10"/>
        <v>-214316.73233351577</v>
      </c>
      <c r="AE18" s="93">
        <f t="shared" ca="1" si="16"/>
        <v>2337266.9293340631</v>
      </c>
    </row>
    <row r="19" spans="1:31" s="3" customFormat="1" x14ac:dyDescent="0.35">
      <c r="A19" s="94" t="s">
        <v>305</v>
      </c>
      <c r="B19" s="81">
        <v>606</v>
      </c>
      <c r="C19" s="48" t="s">
        <v>40</v>
      </c>
      <c r="D19" s="48" t="s">
        <v>37</v>
      </c>
      <c r="E19" s="48"/>
      <c r="F19" s="48">
        <v>32.78</v>
      </c>
      <c r="G19" s="48">
        <v>2.73</v>
      </c>
      <c r="H19" s="82">
        <f t="shared" si="0"/>
        <v>34.145000000000003</v>
      </c>
      <c r="I19" s="82">
        <f t="shared" si="1"/>
        <v>35.51</v>
      </c>
      <c r="J19" s="49">
        <v>3555</v>
      </c>
      <c r="K19" s="304">
        <v>0</v>
      </c>
      <c r="L19" s="48">
        <v>0</v>
      </c>
      <c r="M19" s="48">
        <v>0</v>
      </c>
      <c r="N19" s="49">
        <f t="shared" si="11"/>
        <v>3199.5</v>
      </c>
      <c r="O19" s="52">
        <f t="shared" si="12"/>
        <v>3555</v>
      </c>
      <c r="P19" s="79">
        <f t="shared" si="13"/>
        <v>93.703324059159456</v>
      </c>
      <c r="Q19" s="53">
        <f t="shared" si="14"/>
        <v>0.1</v>
      </c>
      <c r="R19" s="54">
        <f t="shared" si="15"/>
        <v>355.5</v>
      </c>
      <c r="S19" s="53">
        <v>0.8</v>
      </c>
      <c r="T19" s="54">
        <f t="shared" si="7"/>
        <v>2844</v>
      </c>
      <c r="U19" s="53">
        <f t="shared" si="8"/>
        <v>9.9999999999999978E-2</v>
      </c>
      <c r="V19" s="54">
        <f t="shared" si="9"/>
        <v>355.49999999999994</v>
      </c>
      <c r="W19" s="55">
        <f ca="1">V19*VLOOKUP(TODAY(),'UF HOY'!$A$2:$B$36,2,0)</f>
        <v>14125415.669999998</v>
      </c>
      <c r="X19" s="56">
        <f>Datos!$K$8</f>
        <v>24</v>
      </c>
      <c r="Y19" s="55">
        <f ca="1">IF((W19-Datos!$U$8-1000000)/X19&gt;0,(W19-Datos!$U$8-1000000)/X19,0)</f>
        <v>542725.65291666659</v>
      </c>
      <c r="Z19" s="56">
        <f>Datos!$K$8</f>
        <v>24</v>
      </c>
      <c r="AA19" s="113">
        <f ca="1">IF((W19-Datos!$U$8-1000000-O19*4%*VLOOKUP(TODAY(),'UF HOY'!$A$2:$B$36,2,0))/Z19&gt;0,(W19-Datos!$U$8-1000000-O19*4%*VLOOKUP(TODAY(),'UF HOY'!$A$2:$B$36,2,0))/Z19,0)</f>
        <v>307302.05841666652</v>
      </c>
      <c r="AB19" s="113">
        <f>IF(L19&gt;0,VLOOKUP(D19,Datos!$A$48:$C$52,3,0),VLOOKUP(D19,Datos!$A$48:$C$52,2,0))</f>
        <v>370000</v>
      </c>
      <c r="AC19" s="55">
        <f ca="1">(S19*PMT(Datos!$G$15,Datos!$G$14,-O19,,)*VLOOKUP(TODAY(),'UF HOY'!$A$2:$B$36,2,0)/12)+VLOOKUP(TODAY(),'UF HOY'!$A$2:$B$36,2,0)</f>
        <v>584316.73233351577</v>
      </c>
      <c r="AD19" s="55">
        <f t="shared" ca="1" si="10"/>
        <v>-214316.73233351577</v>
      </c>
      <c r="AE19" s="93">
        <f t="shared" ca="1" si="16"/>
        <v>2337266.9293340631</v>
      </c>
    </row>
    <row r="20" spans="1:31" s="3" customFormat="1" x14ac:dyDescent="0.35">
      <c r="A20" s="94" t="s">
        <v>305</v>
      </c>
      <c r="B20" s="81">
        <v>613</v>
      </c>
      <c r="C20" s="48" t="s">
        <v>38</v>
      </c>
      <c r="D20" s="48" t="s">
        <v>37</v>
      </c>
      <c r="E20" s="48"/>
      <c r="F20" s="48">
        <v>32.630000000000003</v>
      </c>
      <c r="G20" s="48">
        <v>1.95</v>
      </c>
      <c r="H20" s="82">
        <f t="shared" si="0"/>
        <v>33.605000000000004</v>
      </c>
      <c r="I20" s="82">
        <f t="shared" si="1"/>
        <v>34.580000000000005</v>
      </c>
      <c r="J20" s="49">
        <v>3570</v>
      </c>
      <c r="K20" s="304">
        <v>0</v>
      </c>
      <c r="L20" s="48">
        <v>0</v>
      </c>
      <c r="M20" s="48">
        <v>0</v>
      </c>
      <c r="N20" s="49">
        <f t="shared" si="11"/>
        <v>3213</v>
      </c>
      <c r="O20" s="52">
        <f t="shared" si="12"/>
        <v>3570</v>
      </c>
      <c r="P20" s="79">
        <f t="shared" si="13"/>
        <v>95.61077220651687</v>
      </c>
      <c r="Q20" s="53">
        <f t="shared" si="14"/>
        <v>0.1</v>
      </c>
      <c r="R20" s="54">
        <f t="shared" si="15"/>
        <v>357</v>
      </c>
      <c r="S20" s="53">
        <v>0.8</v>
      </c>
      <c r="T20" s="54">
        <f t="shared" si="7"/>
        <v>2856</v>
      </c>
      <c r="U20" s="53">
        <f t="shared" si="8"/>
        <v>9.9999999999999978E-2</v>
      </c>
      <c r="V20" s="54">
        <f t="shared" si="9"/>
        <v>356.99999999999994</v>
      </c>
      <c r="W20" s="55">
        <f ca="1">V20*VLOOKUP(TODAY(),'UF HOY'!$A$2:$B$36,2,0)</f>
        <v>14185016.579999998</v>
      </c>
      <c r="X20" s="56">
        <f>Datos!$K$8</f>
        <v>24</v>
      </c>
      <c r="Y20" s="55">
        <f ca="1">IF((W20-Datos!$U$8-1000000)/X20&gt;0,(W20-Datos!$U$8-1000000)/X20,0)</f>
        <v>545209.02416666655</v>
      </c>
      <c r="Z20" s="56">
        <f>Datos!$K$8</f>
        <v>24</v>
      </c>
      <c r="AA20" s="113">
        <f ca="1">IF((W20-Datos!$U$8-1000000-O20*4%*VLOOKUP(TODAY(),'UF HOY'!$A$2:$B$36,2,0))/Z20&gt;0,(W20-Datos!$U$8-1000000-O20*4%*VLOOKUP(TODAY(),'UF HOY'!$A$2:$B$36,2,0))/Z20,0)</f>
        <v>308792.08116666652</v>
      </c>
      <c r="AB20" s="113">
        <f>IF(L20&gt;0,VLOOKUP(D20,Datos!$A$48:$C$52,3,0),VLOOKUP(D20,Datos!$A$48:$C$52,2,0))</f>
        <v>370000</v>
      </c>
      <c r="AC20" s="55">
        <f ca="1">(S20*PMT(Datos!$G$15,Datos!$G$14,-O20,,)*VLOOKUP(TODAY(),'UF HOY'!$A$2:$B$36,2,0)/12)+VLOOKUP(TODAY(),'UF HOY'!$A$2:$B$36,2,0)</f>
        <v>586614.5500226866</v>
      </c>
      <c r="AD20" s="55">
        <f t="shared" ca="1" si="10"/>
        <v>-216614.5500226866</v>
      </c>
      <c r="AE20" s="93">
        <f t="shared" ca="1" si="16"/>
        <v>2346458.2000907464</v>
      </c>
    </row>
    <row r="21" spans="1:31" s="3" customFormat="1" x14ac:dyDescent="0.35">
      <c r="A21" s="94" t="s">
        <v>305</v>
      </c>
      <c r="B21" s="81">
        <v>614</v>
      </c>
      <c r="C21" s="48" t="s">
        <v>38</v>
      </c>
      <c r="D21" s="48" t="s">
        <v>37</v>
      </c>
      <c r="E21" s="48"/>
      <c r="F21" s="48">
        <v>32.630000000000003</v>
      </c>
      <c r="G21" s="48">
        <v>1.95</v>
      </c>
      <c r="H21" s="82">
        <f t="shared" si="0"/>
        <v>33.605000000000004</v>
      </c>
      <c r="I21" s="82">
        <f t="shared" si="1"/>
        <v>34.580000000000005</v>
      </c>
      <c r="J21" s="49">
        <v>3570</v>
      </c>
      <c r="K21" s="304">
        <v>0</v>
      </c>
      <c r="L21" s="48">
        <v>0</v>
      </c>
      <c r="M21" s="48">
        <v>0</v>
      </c>
      <c r="N21" s="49">
        <f t="shared" si="11"/>
        <v>3213</v>
      </c>
      <c r="O21" s="52">
        <f t="shared" si="12"/>
        <v>3570</v>
      </c>
      <c r="P21" s="79">
        <f t="shared" si="13"/>
        <v>95.61077220651687</v>
      </c>
      <c r="Q21" s="53">
        <f t="shared" si="14"/>
        <v>0.1</v>
      </c>
      <c r="R21" s="54">
        <f t="shared" si="15"/>
        <v>357</v>
      </c>
      <c r="S21" s="53">
        <v>0.8</v>
      </c>
      <c r="T21" s="54">
        <f t="shared" si="7"/>
        <v>2856</v>
      </c>
      <c r="U21" s="53">
        <f t="shared" si="8"/>
        <v>9.9999999999999978E-2</v>
      </c>
      <c r="V21" s="54">
        <f t="shared" si="9"/>
        <v>356.99999999999994</v>
      </c>
      <c r="W21" s="55">
        <f ca="1">V21*VLOOKUP(TODAY(),'UF HOY'!$A$2:$B$36,2,0)</f>
        <v>14185016.579999998</v>
      </c>
      <c r="X21" s="56">
        <f>Datos!$K$8</f>
        <v>24</v>
      </c>
      <c r="Y21" s="55">
        <f ca="1">IF((W21-Datos!$U$8-1000000)/X21&gt;0,(W21-Datos!$U$8-1000000)/X21,0)</f>
        <v>545209.02416666655</v>
      </c>
      <c r="Z21" s="56">
        <f>Datos!$K$8</f>
        <v>24</v>
      </c>
      <c r="AA21" s="113">
        <f ca="1">IF((W21-Datos!$U$8-1000000-O21*4%*VLOOKUP(TODAY(),'UF HOY'!$A$2:$B$36,2,0))/Z21&gt;0,(W21-Datos!$U$8-1000000-O21*4%*VLOOKUP(TODAY(),'UF HOY'!$A$2:$B$36,2,0))/Z21,0)</f>
        <v>308792.08116666652</v>
      </c>
      <c r="AB21" s="113">
        <f>IF(L21&gt;0,VLOOKUP(D21,Datos!$A$48:$C$52,3,0),VLOOKUP(D21,Datos!$A$48:$C$52,2,0))</f>
        <v>370000</v>
      </c>
      <c r="AC21" s="55">
        <f ca="1">(S21*PMT(Datos!$G$15,Datos!$G$14,-O21,,)*VLOOKUP(TODAY(),'UF HOY'!$A$2:$B$36,2,0)/12)+VLOOKUP(TODAY(),'UF HOY'!$A$2:$B$36,2,0)</f>
        <v>586614.5500226866</v>
      </c>
      <c r="AD21" s="55">
        <f t="shared" ca="1" si="10"/>
        <v>-216614.5500226866</v>
      </c>
      <c r="AE21" s="93">
        <f t="shared" ca="1" si="16"/>
        <v>2346458.2000907464</v>
      </c>
    </row>
    <row r="22" spans="1:31" s="3" customFormat="1" x14ac:dyDescent="0.35">
      <c r="A22" s="94" t="s">
        <v>305</v>
      </c>
      <c r="B22" s="81">
        <v>812</v>
      </c>
      <c r="C22" s="48" t="s">
        <v>38</v>
      </c>
      <c r="D22" s="48" t="s">
        <v>37</v>
      </c>
      <c r="E22" s="48"/>
      <c r="F22" s="48">
        <v>31.6</v>
      </c>
      <c r="G22" s="48">
        <v>1.95</v>
      </c>
      <c r="H22" s="82">
        <f t="shared" si="0"/>
        <v>32.575000000000003</v>
      </c>
      <c r="I22" s="82">
        <f t="shared" si="1"/>
        <v>33.550000000000004</v>
      </c>
      <c r="J22" s="49">
        <v>3580</v>
      </c>
      <c r="K22" s="304">
        <v>0</v>
      </c>
      <c r="L22" s="48">
        <v>0</v>
      </c>
      <c r="M22" s="48">
        <v>0</v>
      </c>
      <c r="N22" s="49">
        <f t="shared" si="11"/>
        <v>3222</v>
      </c>
      <c r="O22" s="52">
        <f t="shared" si="12"/>
        <v>3580</v>
      </c>
      <c r="P22" s="79">
        <f t="shared" si="13"/>
        <v>98.910207214121243</v>
      </c>
      <c r="Q22" s="53">
        <f t="shared" si="14"/>
        <v>0.1</v>
      </c>
      <c r="R22" s="54">
        <f t="shared" si="15"/>
        <v>358</v>
      </c>
      <c r="S22" s="53">
        <v>0.8</v>
      </c>
      <c r="T22" s="54">
        <f t="shared" si="7"/>
        <v>2864</v>
      </c>
      <c r="U22" s="53">
        <f t="shared" si="8"/>
        <v>9.9999999999999978E-2</v>
      </c>
      <c r="V22" s="54">
        <f t="shared" si="9"/>
        <v>357.99999999999994</v>
      </c>
      <c r="W22" s="55">
        <f ca="1">V22*VLOOKUP(TODAY(),'UF HOY'!$A$2:$B$36,2,0)</f>
        <v>14224750.519999998</v>
      </c>
      <c r="X22" s="56">
        <f>Datos!$K$8</f>
        <v>24</v>
      </c>
      <c r="Y22" s="55">
        <f ca="1">IF((W22-Datos!$U$8-1000000)/X22&gt;0,(W22-Datos!$U$8-1000000)/X22,0)</f>
        <v>546864.60499999986</v>
      </c>
      <c r="Z22" s="56">
        <f>Datos!$K$8</f>
        <v>24</v>
      </c>
      <c r="AA22" s="113">
        <f ca="1">IF((W22-Datos!$U$8-1000000-O22*4%*VLOOKUP(TODAY(),'UF HOY'!$A$2:$B$36,2,0))/Z22&gt;0,(W22-Datos!$U$8-1000000-O22*4%*VLOOKUP(TODAY(),'UF HOY'!$A$2:$B$36,2,0))/Z22,0)</f>
        <v>309785.42966666655</v>
      </c>
      <c r="AB22" s="113">
        <f>IF(L22&gt;0,VLOOKUP(D22,Datos!$A$48:$C$52,3,0),VLOOKUP(D22,Datos!$A$48:$C$52,2,0))</f>
        <v>370000</v>
      </c>
      <c r="AC22" s="55">
        <f ca="1">(S22*PMT(Datos!$G$15,Datos!$G$14,-O22,,)*VLOOKUP(TODAY(),'UF HOY'!$A$2:$B$36,2,0)/12)+VLOOKUP(TODAY(),'UF HOY'!$A$2:$B$36,2,0)</f>
        <v>588146.4284821339</v>
      </c>
      <c r="AD22" s="55">
        <f t="shared" ca="1" si="10"/>
        <v>-218146.4284821339</v>
      </c>
      <c r="AE22" s="93">
        <f t="shared" ca="1" si="16"/>
        <v>2352585.7139285356</v>
      </c>
    </row>
    <row r="23" spans="1:31" s="3" customFormat="1" x14ac:dyDescent="0.35">
      <c r="A23" s="94" t="s">
        <v>305</v>
      </c>
      <c r="B23" s="81">
        <v>901</v>
      </c>
      <c r="C23" s="48" t="s">
        <v>40</v>
      </c>
      <c r="D23" s="48" t="s">
        <v>37</v>
      </c>
      <c r="E23" s="48"/>
      <c r="F23" s="48">
        <v>32.82</v>
      </c>
      <c r="G23" s="48">
        <v>2.35</v>
      </c>
      <c r="H23" s="82">
        <f t="shared" si="0"/>
        <v>33.994999999999997</v>
      </c>
      <c r="I23" s="82">
        <f t="shared" si="1"/>
        <v>35.17</v>
      </c>
      <c r="J23" s="49">
        <v>3590</v>
      </c>
      <c r="K23" s="304">
        <v>0</v>
      </c>
      <c r="L23" s="48">
        <v>0</v>
      </c>
      <c r="M23" s="48">
        <v>0</v>
      </c>
      <c r="N23" s="49">
        <f t="shared" si="11"/>
        <v>3231</v>
      </c>
      <c r="O23" s="52">
        <f t="shared" si="12"/>
        <v>3590</v>
      </c>
      <c r="P23" s="79">
        <f t="shared" si="13"/>
        <v>95.0433887336373</v>
      </c>
      <c r="Q23" s="53">
        <f t="shared" si="14"/>
        <v>0.1</v>
      </c>
      <c r="R23" s="54">
        <f t="shared" si="15"/>
        <v>359</v>
      </c>
      <c r="S23" s="53">
        <v>0.8</v>
      </c>
      <c r="T23" s="54">
        <f t="shared" si="7"/>
        <v>2872</v>
      </c>
      <c r="U23" s="53">
        <f t="shared" si="8"/>
        <v>9.9999999999999978E-2</v>
      </c>
      <c r="V23" s="54">
        <f t="shared" si="9"/>
        <v>358.99999999999994</v>
      </c>
      <c r="W23" s="55">
        <f ca="1">V23*VLOOKUP(TODAY(),'UF HOY'!$A$2:$B$36,2,0)</f>
        <v>14264484.459999999</v>
      </c>
      <c r="X23" s="56">
        <f>Datos!$K$8</f>
        <v>24</v>
      </c>
      <c r="Y23" s="55">
        <f ca="1">IF((W23-Datos!$U$8-1000000)/X23&gt;0,(W23-Datos!$U$8-1000000)/X23,0)</f>
        <v>548520.18583333329</v>
      </c>
      <c r="Z23" s="56">
        <f>Datos!$K$8</f>
        <v>24</v>
      </c>
      <c r="AA23" s="113">
        <f ca="1">IF((W23-Datos!$U$8-1000000-O23*4%*VLOOKUP(TODAY(),'UF HOY'!$A$2:$B$36,2,0))/Z23&gt;0,(W23-Datos!$U$8-1000000-O23*4%*VLOOKUP(TODAY(),'UF HOY'!$A$2:$B$36,2,0))/Z23,0)</f>
        <v>310778.77816666663</v>
      </c>
      <c r="AB23" s="113">
        <f>IF(L23&gt;0,VLOOKUP(D23,Datos!$A$48:$C$52,3,0),VLOOKUP(D23,Datos!$A$48:$C$52,2,0))</f>
        <v>370000</v>
      </c>
      <c r="AC23" s="55">
        <f ca="1">(S23*PMT(Datos!$G$15,Datos!$G$14,-O23,,)*VLOOKUP(TODAY(),'UF HOY'!$A$2:$B$36,2,0)/12)+VLOOKUP(TODAY(),'UF HOY'!$A$2:$B$36,2,0)</f>
        <v>589678.30694158119</v>
      </c>
      <c r="AD23" s="55">
        <f t="shared" ca="1" si="10"/>
        <v>-219678.30694158119</v>
      </c>
      <c r="AE23" s="93">
        <f t="shared" ca="1" si="16"/>
        <v>2358713.2277663248</v>
      </c>
    </row>
    <row r="24" spans="1:31" s="3" customFormat="1" x14ac:dyDescent="0.35">
      <c r="A24" s="94" t="s">
        <v>305</v>
      </c>
      <c r="B24" s="81">
        <v>902</v>
      </c>
      <c r="C24" s="48" t="s">
        <v>40</v>
      </c>
      <c r="D24" s="48" t="s">
        <v>37</v>
      </c>
      <c r="E24" s="48"/>
      <c r="F24" s="48">
        <v>32.78</v>
      </c>
      <c r="G24" s="48">
        <v>2.73</v>
      </c>
      <c r="H24" s="82">
        <f t="shared" si="0"/>
        <v>34.145000000000003</v>
      </c>
      <c r="I24" s="82">
        <f t="shared" si="1"/>
        <v>35.51</v>
      </c>
      <c r="J24" s="49">
        <v>3610</v>
      </c>
      <c r="K24" s="304">
        <v>0</v>
      </c>
      <c r="L24" s="48">
        <v>0</v>
      </c>
      <c r="M24" s="48">
        <v>0</v>
      </c>
      <c r="N24" s="49">
        <f t="shared" si="11"/>
        <v>3249</v>
      </c>
      <c r="O24" s="52">
        <f t="shared" si="12"/>
        <v>3610</v>
      </c>
      <c r="P24" s="79">
        <f t="shared" si="13"/>
        <v>95.153023868794833</v>
      </c>
      <c r="Q24" s="53">
        <f t="shared" si="14"/>
        <v>0.1</v>
      </c>
      <c r="R24" s="54">
        <f t="shared" si="15"/>
        <v>361</v>
      </c>
      <c r="S24" s="53">
        <v>0.8</v>
      </c>
      <c r="T24" s="54">
        <f t="shared" si="7"/>
        <v>2888</v>
      </c>
      <c r="U24" s="53">
        <f t="shared" si="8"/>
        <v>9.9999999999999978E-2</v>
      </c>
      <c r="V24" s="54">
        <f t="shared" si="9"/>
        <v>360.99999999999994</v>
      </c>
      <c r="W24" s="55">
        <f ca="1">V24*VLOOKUP(TODAY(),'UF HOY'!$A$2:$B$36,2,0)</f>
        <v>14343952.339999998</v>
      </c>
      <c r="X24" s="56">
        <f>Datos!$K$8</f>
        <v>24</v>
      </c>
      <c r="Y24" s="55">
        <f ca="1">IF((W24-Datos!$U$8-1000000)/X24&gt;0,(W24-Datos!$U$8-1000000)/X24,0)</f>
        <v>551831.34749999992</v>
      </c>
      <c r="Z24" s="56">
        <f>Datos!$K$8</f>
        <v>24</v>
      </c>
      <c r="AA24" s="113">
        <f ca="1">IF((W24-Datos!$U$8-1000000-O24*4%*VLOOKUP(TODAY(),'UF HOY'!$A$2:$B$36,2,0))/Z24&gt;0,(W24-Datos!$U$8-1000000-O24*4%*VLOOKUP(TODAY(),'UF HOY'!$A$2:$B$36,2,0))/Z24,0)</f>
        <v>312765.47516666655</v>
      </c>
      <c r="AB24" s="113">
        <f>IF(L24&gt;0,VLOOKUP(D24,Datos!$A$48:$C$52,3,0),VLOOKUP(D24,Datos!$A$48:$C$52,2,0))</f>
        <v>370000</v>
      </c>
      <c r="AC24" s="55">
        <f ca="1">(S24*PMT(Datos!$G$15,Datos!$G$14,-O24,,)*VLOOKUP(TODAY(),'UF HOY'!$A$2:$B$36,2,0)/12)+VLOOKUP(TODAY(),'UF HOY'!$A$2:$B$36,2,0)</f>
        <v>592742.06386047578</v>
      </c>
      <c r="AD24" s="55">
        <f t="shared" ca="1" si="10"/>
        <v>-222742.06386047578</v>
      </c>
      <c r="AE24" s="93">
        <f t="shared" ca="1" si="16"/>
        <v>2370968.2554419031</v>
      </c>
    </row>
    <row r="25" spans="1:31" s="3" customFormat="1" x14ac:dyDescent="0.35">
      <c r="A25" s="94" t="s">
        <v>305</v>
      </c>
      <c r="B25" s="81">
        <v>903</v>
      </c>
      <c r="C25" s="48" t="s">
        <v>40</v>
      </c>
      <c r="D25" s="48" t="s">
        <v>37</v>
      </c>
      <c r="E25" s="48"/>
      <c r="F25" s="48">
        <v>32.78</v>
      </c>
      <c r="G25" s="48">
        <v>2.73</v>
      </c>
      <c r="H25" s="82">
        <f t="shared" si="0"/>
        <v>34.145000000000003</v>
      </c>
      <c r="I25" s="82">
        <f t="shared" si="1"/>
        <v>35.51</v>
      </c>
      <c r="J25" s="49">
        <v>3610</v>
      </c>
      <c r="K25" s="304">
        <v>0</v>
      </c>
      <c r="L25" s="48">
        <v>0</v>
      </c>
      <c r="M25" s="48">
        <v>0</v>
      </c>
      <c r="N25" s="49">
        <f t="shared" si="11"/>
        <v>3249</v>
      </c>
      <c r="O25" s="52">
        <f t="shared" si="12"/>
        <v>3610</v>
      </c>
      <c r="P25" s="79">
        <f t="shared" si="13"/>
        <v>95.153023868794833</v>
      </c>
      <c r="Q25" s="53">
        <f t="shared" si="14"/>
        <v>0.1</v>
      </c>
      <c r="R25" s="54">
        <f t="shared" si="15"/>
        <v>361</v>
      </c>
      <c r="S25" s="53">
        <v>0.8</v>
      </c>
      <c r="T25" s="54">
        <f t="shared" si="7"/>
        <v>2888</v>
      </c>
      <c r="U25" s="53">
        <f t="shared" si="8"/>
        <v>9.9999999999999978E-2</v>
      </c>
      <c r="V25" s="54">
        <f t="shared" si="9"/>
        <v>360.99999999999994</v>
      </c>
      <c r="W25" s="55">
        <f ca="1">V25*VLOOKUP(TODAY(),'UF HOY'!$A$2:$B$36,2,0)</f>
        <v>14343952.339999998</v>
      </c>
      <c r="X25" s="56">
        <f>Datos!$K$8</f>
        <v>24</v>
      </c>
      <c r="Y25" s="55">
        <f ca="1">IF((W25-Datos!$U$8-1000000)/X25&gt;0,(W25-Datos!$U$8-1000000)/X25,0)</f>
        <v>551831.34749999992</v>
      </c>
      <c r="Z25" s="56">
        <f>Datos!$K$8</f>
        <v>24</v>
      </c>
      <c r="AA25" s="113">
        <f ca="1">IF((W25-Datos!$U$8-1000000-O25*4%*VLOOKUP(TODAY(),'UF HOY'!$A$2:$B$36,2,0))/Z25&gt;0,(W25-Datos!$U$8-1000000-O25*4%*VLOOKUP(TODAY(),'UF HOY'!$A$2:$B$36,2,0))/Z25,0)</f>
        <v>312765.47516666655</v>
      </c>
      <c r="AB25" s="113">
        <f>IF(L25&gt;0,VLOOKUP(D25,Datos!$A$48:$C$52,3,0),VLOOKUP(D25,Datos!$A$48:$C$52,2,0))</f>
        <v>370000</v>
      </c>
      <c r="AC25" s="55">
        <f ca="1">(S25*PMT(Datos!$G$15,Datos!$G$14,-O25,,)*VLOOKUP(TODAY(),'UF HOY'!$A$2:$B$36,2,0)/12)+VLOOKUP(TODAY(),'UF HOY'!$A$2:$B$36,2,0)</f>
        <v>592742.06386047578</v>
      </c>
      <c r="AD25" s="55">
        <f t="shared" ca="1" si="10"/>
        <v>-222742.06386047578</v>
      </c>
      <c r="AE25" s="93">
        <f t="shared" ca="1" si="16"/>
        <v>2370968.2554419031</v>
      </c>
    </row>
    <row r="26" spans="1:31" s="3" customFormat="1" x14ac:dyDescent="0.35">
      <c r="A26" s="94" t="s">
        <v>305</v>
      </c>
      <c r="B26" s="81">
        <v>906</v>
      </c>
      <c r="C26" s="48" t="s">
        <v>40</v>
      </c>
      <c r="D26" s="48" t="s">
        <v>37</v>
      </c>
      <c r="E26" s="48"/>
      <c r="F26" s="48">
        <v>32.78</v>
      </c>
      <c r="G26" s="48">
        <v>2.73</v>
      </c>
      <c r="H26" s="82">
        <f t="shared" si="0"/>
        <v>34.145000000000003</v>
      </c>
      <c r="I26" s="82">
        <f t="shared" si="1"/>
        <v>35.51</v>
      </c>
      <c r="J26" s="49">
        <v>3610</v>
      </c>
      <c r="K26" s="304">
        <v>0</v>
      </c>
      <c r="L26" s="48">
        <v>0</v>
      </c>
      <c r="M26" s="48">
        <v>0</v>
      </c>
      <c r="N26" s="49">
        <f t="shared" si="11"/>
        <v>3249</v>
      </c>
      <c r="O26" s="52">
        <f t="shared" si="12"/>
        <v>3610</v>
      </c>
      <c r="P26" s="79">
        <f t="shared" si="13"/>
        <v>95.153023868794833</v>
      </c>
      <c r="Q26" s="53">
        <f t="shared" si="14"/>
        <v>0.1</v>
      </c>
      <c r="R26" s="54">
        <f t="shared" si="15"/>
        <v>361</v>
      </c>
      <c r="S26" s="53">
        <v>0.8</v>
      </c>
      <c r="T26" s="54">
        <f t="shared" si="7"/>
        <v>2888</v>
      </c>
      <c r="U26" s="53">
        <f t="shared" si="8"/>
        <v>9.9999999999999978E-2</v>
      </c>
      <c r="V26" s="54">
        <f t="shared" si="9"/>
        <v>360.99999999999994</v>
      </c>
      <c r="W26" s="55">
        <f ca="1">V26*VLOOKUP(TODAY(),'UF HOY'!$A$2:$B$36,2,0)</f>
        <v>14343952.339999998</v>
      </c>
      <c r="X26" s="56">
        <f>Datos!$K$8</f>
        <v>24</v>
      </c>
      <c r="Y26" s="55">
        <f ca="1">IF((W26-Datos!$U$8-1000000)/X26&gt;0,(W26-Datos!$U$8-1000000)/X26,0)</f>
        <v>551831.34749999992</v>
      </c>
      <c r="Z26" s="56">
        <f>Datos!$K$8</f>
        <v>24</v>
      </c>
      <c r="AA26" s="113">
        <f ca="1">IF((W26-Datos!$U$8-1000000-O26*4%*VLOOKUP(TODAY(),'UF HOY'!$A$2:$B$36,2,0))/Z26&gt;0,(W26-Datos!$U$8-1000000-O26*4%*VLOOKUP(TODAY(),'UF HOY'!$A$2:$B$36,2,0))/Z26,0)</f>
        <v>312765.47516666655</v>
      </c>
      <c r="AB26" s="113">
        <f>IF(L26&gt;0,VLOOKUP(D26,Datos!$A$48:$C$52,3,0),VLOOKUP(D26,Datos!$A$48:$C$52,2,0))</f>
        <v>370000</v>
      </c>
      <c r="AC26" s="55">
        <f ca="1">(S26*PMT(Datos!$G$15,Datos!$G$14,-O26,,)*VLOOKUP(TODAY(),'UF HOY'!$A$2:$B$36,2,0)/12)+VLOOKUP(TODAY(),'UF HOY'!$A$2:$B$36,2,0)</f>
        <v>592742.06386047578</v>
      </c>
      <c r="AD26" s="55">
        <f t="shared" ca="1" si="10"/>
        <v>-222742.06386047578</v>
      </c>
      <c r="AE26" s="93">
        <f t="shared" ca="1" si="16"/>
        <v>2370968.2554419031</v>
      </c>
    </row>
    <row r="27" spans="1:31" s="3" customFormat="1" x14ac:dyDescent="0.35">
      <c r="A27" s="94" t="s">
        <v>305</v>
      </c>
      <c r="B27" s="81">
        <v>714</v>
      </c>
      <c r="C27" s="48" t="s">
        <v>38</v>
      </c>
      <c r="D27" s="48" t="s">
        <v>37</v>
      </c>
      <c r="E27" s="48"/>
      <c r="F27" s="48">
        <v>32.630000000000003</v>
      </c>
      <c r="G27" s="48">
        <v>1.95</v>
      </c>
      <c r="H27" s="82">
        <f t="shared" si="0"/>
        <v>33.605000000000004</v>
      </c>
      <c r="I27" s="82">
        <f t="shared" si="1"/>
        <v>34.580000000000005</v>
      </c>
      <c r="J27" s="49">
        <v>3620</v>
      </c>
      <c r="K27" s="304">
        <v>0</v>
      </c>
      <c r="L27" s="48">
        <v>0</v>
      </c>
      <c r="M27" s="48">
        <v>0</v>
      </c>
      <c r="N27" s="49">
        <f t="shared" si="11"/>
        <v>3258</v>
      </c>
      <c r="O27" s="52">
        <f t="shared" si="12"/>
        <v>3620</v>
      </c>
      <c r="P27" s="79">
        <f t="shared" si="13"/>
        <v>96.949858651986304</v>
      </c>
      <c r="Q27" s="53">
        <f t="shared" si="14"/>
        <v>0.1</v>
      </c>
      <c r="R27" s="54">
        <f t="shared" si="15"/>
        <v>362</v>
      </c>
      <c r="S27" s="53">
        <v>0.8</v>
      </c>
      <c r="T27" s="54">
        <f t="shared" si="7"/>
        <v>2896</v>
      </c>
      <c r="U27" s="53">
        <f t="shared" si="8"/>
        <v>9.9999999999999978E-2</v>
      </c>
      <c r="V27" s="54">
        <f t="shared" si="9"/>
        <v>361.99999999999994</v>
      </c>
      <c r="W27" s="55">
        <f ca="1">V27*VLOOKUP(TODAY(),'UF HOY'!$A$2:$B$36,2,0)</f>
        <v>14383686.279999999</v>
      </c>
      <c r="X27" s="56">
        <f>Datos!$K$8</f>
        <v>24</v>
      </c>
      <c r="Y27" s="55">
        <f ca="1">IF((W27-Datos!$U$8-1000000)/X27&gt;0,(W27-Datos!$U$8-1000000)/X27,0)</f>
        <v>553486.92833333334</v>
      </c>
      <c r="Z27" s="56">
        <f>Datos!$K$8</f>
        <v>24</v>
      </c>
      <c r="AA27" s="113">
        <f ca="1">IF((W27-Datos!$U$8-1000000-O27*4%*VLOOKUP(TODAY(),'UF HOY'!$A$2:$B$36,2,0))/Z27&gt;0,(W27-Datos!$U$8-1000000-O27*4%*VLOOKUP(TODAY(),'UF HOY'!$A$2:$B$36,2,0))/Z27,0)</f>
        <v>313758.82366666658</v>
      </c>
      <c r="AB27" s="113">
        <f>IF(L27&gt;0,VLOOKUP(D27,Datos!$A$48:$C$52,3,0),VLOOKUP(D27,Datos!$A$48:$C$52,2,0))</f>
        <v>370000</v>
      </c>
      <c r="AC27" s="55">
        <f ca="1">(S27*PMT(Datos!$G$15,Datos!$G$14,-O27,,)*VLOOKUP(TODAY(),'UF HOY'!$A$2:$B$36,2,0)/12)+VLOOKUP(TODAY(),'UF HOY'!$A$2:$B$36,2,0)</f>
        <v>594273.94231992308</v>
      </c>
      <c r="AD27" s="55">
        <f t="shared" ca="1" si="10"/>
        <v>-224273.94231992308</v>
      </c>
      <c r="AE27" s="93">
        <f t="shared" ca="1" si="16"/>
        <v>2377095.7692796923</v>
      </c>
    </row>
    <row r="28" spans="1:31" s="3" customFormat="1" x14ac:dyDescent="0.35">
      <c r="A28" s="94" t="s">
        <v>305</v>
      </c>
      <c r="B28" s="81">
        <v>913</v>
      </c>
      <c r="C28" s="48" t="s">
        <v>38</v>
      </c>
      <c r="D28" s="48" t="s">
        <v>37</v>
      </c>
      <c r="E28" s="48"/>
      <c r="F28" s="48">
        <v>32.630000000000003</v>
      </c>
      <c r="G28" s="48">
        <v>1.95</v>
      </c>
      <c r="H28" s="82">
        <f t="shared" si="0"/>
        <v>33.605000000000004</v>
      </c>
      <c r="I28" s="82">
        <f t="shared" si="1"/>
        <v>34.580000000000005</v>
      </c>
      <c r="J28" s="49">
        <v>3620</v>
      </c>
      <c r="K28" s="304">
        <v>0</v>
      </c>
      <c r="L28" s="48">
        <v>0</v>
      </c>
      <c r="M28" s="48">
        <v>0</v>
      </c>
      <c r="N28" s="49">
        <f t="shared" si="11"/>
        <v>3258</v>
      </c>
      <c r="O28" s="52">
        <f t="shared" si="12"/>
        <v>3620</v>
      </c>
      <c r="P28" s="79">
        <f t="shared" si="13"/>
        <v>96.949858651986304</v>
      </c>
      <c r="Q28" s="53">
        <f t="shared" si="14"/>
        <v>0.1</v>
      </c>
      <c r="R28" s="54">
        <f t="shared" si="15"/>
        <v>362</v>
      </c>
      <c r="S28" s="53">
        <v>0.8</v>
      </c>
      <c r="T28" s="54">
        <f t="shared" si="7"/>
        <v>2896</v>
      </c>
      <c r="U28" s="53">
        <f t="shared" si="8"/>
        <v>9.9999999999999978E-2</v>
      </c>
      <c r="V28" s="54">
        <f t="shared" si="9"/>
        <v>361.99999999999994</v>
      </c>
      <c r="W28" s="55">
        <f ca="1">V28*VLOOKUP(TODAY(),'UF HOY'!$A$2:$B$36,2,0)</f>
        <v>14383686.279999999</v>
      </c>
      <c r="X28" s="56">
        <f>Datos!$K$8</f>
        <v>24</v>
      </c>
      <c r="Y28" s="55">
        <f ca="1">IF((W28-Datos!$U$8-1000000)/X28&gt;0,(W28-Datos!$U$8-1000000)/X28,0)</f>
        <v>553486.92833333334</v>
      </c>
      <c r="Z28" s="56">
        <f>Datos!$K$8</f>
        <v>24</v>
      </c>
      <c r="AA28" s="113">
        <f ca="1">IF((W28-Datos!$U$8-1000000-O28*4%*VLOOKUP(TODAY(),'UF HOY'!$A$2:$B$36,2,0))/Z28&gt;0,(W28-Datos!$U$8-1000000-O28*4%*VLOOKUP(TODAY(),'UF HOY'!$A$2:$B$36,2,0))/Z28,0)</f>
        <v>313758.82366666658</v>
      </c>
      <c r="AB28" s="113">
        <f>IF(L28&gt;0,VLOOKUP(D28,Datos!$A$48:$C$52,3,0),VLOOKUP(D28,Datos!$A$48:$C$52,2,0))</f>
        <v>370000</v>
      </c>
      <c r="AC28" s="55">
        <f ca="1">(S28*PMT(Datos!$G$15,Datos!$G$14,-O28,,)*VLOOKUP(TODAY(),'UF HOY'!$A$2:$B$36,2,0)/12)+VLOOKUP(TODAY(),'UF HOY'!$A$2:$B$36,2,0)</f>
        <v>594273.94231992308</v>
      </c>
      <c r="AD28" s="55">
        <f t="shared" ca="1" si="10"/>
        <v>-224273.94231992308</v>
      </c>
      <c r="AE28" s="93">
        <f t="shared" ca="1" si="16"/>
        <v>2377095.7692796923</v>
      </c>
    </row>
    <row r="29" spans="1:31" s="3" customFormat="1" x14ac:dyDescent="0.35">
      <c r="A29" s="94" t="s">
        <v>305</v>
      </c>
      <c r="B29" s="81">
        <v>914</v>
      </c>
      <c r="C29" s="48" t="s">
        <v>38</v>
      </c>
      <c r="D29" s="48" t="s">
        <v>37</v>
      </c>
      <c r="E29" s="48"/>
      <c r="F29" s="48">
        <v>32.630000000000003</v>
      </c>
      <c r="G29" s="48">
        <v>1.95</v>
      </c>
      <c r="H29" s="82">
        <f t="shared" si="0"/>
        <v>33.605000000000004</v>
      </c>
      <c r="I29" s="82">
        <f t="shared" si="1"/>
        <v>34.580000000000005</v>
      </c>
      <c r="J29" s="49">
        <v>3620</v>
      </c>
      <c r="K29" s="304">
        <v>0</v>
      </c>
      <c r="L29" s="48">
        <v>0</v>
      </c>
      <c r="M29" s="48">
        <v>0</v>
      </c>
      <c r="N29" s="49">
        <f t="shared" si="11"/>
        <v>3258</v>
      </c>
      <c r="O29" s="52">
        <f t="shared" si="12"/>
        <v>3620</v>
      </c>
      <c r="P29" s="79">
        <f t="shared" si="13"/>
        <v>96.949858651986304</v>
      </c>
      <c r="Q29" s="53">
        <f t="shared" si="14"/>
        <v>0.1</v>
      </c>
      <c r="R29" s="54">
        <f t="shared" si="15"/>
        <v>362</v>
      </c>
      <c r="S29" s="53">
        <v>0.8</v>
      </c>
      <c r="T29" s="54">
        <f t="shared" si="7"/>
        <v>2896</v>
      </c>
      <c r="U29" s="53">
        <f t="shared" si="8"/>
        <v>9.9999999999999978E-2</v>
      </c>
      <c r="V29" s="54">
        <f t="shared" si="9"/>
        <v>361.99999999999994</v>
      </c>
      <c r="W29" s="55">
        <f ca="1">V29*VLOOKUP(TODAY(),'UF HOY'!$A$2:$B$36,2,0)</f>
        <v>14383686.279999999</v>
      </c>
      <c r="X29" s="56">
        <f>Datos!$K$8</f>
        <v>24</v>
      </c>
      <c r="Y29" s="55">
        <f ca="1">IF((W29-Datos!$U$8-1000000)/X29&gt;0,(W29-Datos!$U$8-1000000)/X29,0)</f>
        <v>553486.92833333334</v>
      </c>
      <c r="Z29" s="56">
        <f>Datos!$K$8</f>
        <v>24</v>
      </c>
      <c r="AA29" s="113">
        <f ca="1">IF((W29-Datos!$U$8-1000000-O29*4%*VLOOKUP(TODAY(),'UF HOY'!$A$2:$B$36,2,0))/Z29&gt;0,(W29-Datos!$U$8-1000000-O29*4%*VLOOKUP(TODAY(),'UF HOY'!$A$2:$B$36,2,0))/Z29,0)</f>
        <v>313758.82366666658</v>
      </c>
      <c r="AB29" s="113">
        <f>IF(L29&gt;0,VLOOKUP(D29,Datos!$A$48:$C$52,3,0),VLOOKUP(D29,Datos!$A$48:$C$52,2,0))</f>
        <v>370000</v>
      </c>
      <c r="AC29" s="55">
        <f ca="1">(S29*PMT(Datos!$G$15,Datos!$G$14,-O29,,)*VLOOKUP(TODAY(),'UF HOY'!$A$2:$B$36,2,0)/12)+VLOOKUP(TODAY(),'UF HOY'!$A$2:$B$36,2,0)</f>
        <v>594273.94231992308</v>
      </c>
      <c r="AD29" s="55">
        <f t="shared" ca="1" si="10"/>
        <v>-224273.94231992308</v>
      </c>
      <c r="AE29" s="93">
        <f t="shared" ca="1" si="16"/>
        <v>2377095.7692796923</v>
      </c>
    </row>
    <row r="30" spans="1:31" s="3" customFormat="1" x14ac:dyDescent="0.35">
      <c r="A30" s="94" t="s">
        <v>305</v>
      </c>
      <c r="B30" s="81">
        <v>608</v>
      </c>
      <c r="C30" s="48" t="s">
        <v>40</v>
      </c>
      <c r="D30" s="48" t="s">
        <v>37</v>
      </c>
      <c r="E30" s="48"/>
      <c r="F30" s="48">
        <v>33.21</v>
      </c>
      <c r="G30" s="48">
        <v>2.13</v>
      </c>
      <c r="H30" s="82">
        <f t="shared" si="0"/>
        <v>34.274999999999999</v>
      </c>
      <c r="I30" s="82">
        <f t="shared" si="1"/>
        <v>35.340000000000003</v>
      </c>
      <c r="J30" s="49">
        <v>3623</v>
      </c>
      <c r="K30" s="304">
        <v>0</v>
      </c>
      <c r="L30" s="48">
        <v>0</v>
      </c>
      <c r="M30" s="48">
        <v>0</v>
      </c>
      <c r="N30" s="49">
        <f t="shared" si="11"/>
        <v>3260.7</v>
      </c>
      <c r="O30" s="52">
        <f t="shared" si="12"/>
        <v>3623</v>
      </c>
      <c r="P30" s="79">
        <f t="shared" si="13"/>
        <v>95.133479212253832</v>
      </c>
      <c r="Q30" s="53">
        <f t="shared" si="14"/>
        <v>0.1</v>
      </c>
      <c r="R30" s="54">
        <f t="shared" si="15"/>
        <v>362.3</v>
      </c>
      <c r="S30" s="53">
        <v>0.8</v>
      </c>
      <c r="T30" s="54">
        <f t="shared" si="7"/>
        <v>2898.4</v>
      </c>
      <c r="U30" s="53">
        <f t="shared" si="8"/>
        <v>9.9999999999999978E-2</v>
      </c>
      <c r="V30" s="54">
        <f t="shared" si="9"/>
        <v>362.2999999999999</v>
      </c>
      <c r="W30" s="55">
        <f ca="1">V30*VLOOKUP(TODAY(),'UF HOY'!$A$2:$B$36,2,0)</f>
        <v>14395606.461999997</v>
      </c>
      <c r="X30" s="56">
        <f>Datos!$K$8</f>
        <v>24</v>
      </c>
      <c r="Y30" s="55">
        <f ca="1">IF((W30-Datos!$U$8-1000000)/X30&gt;0,(W30-Datos!$U$8-1000000)/X30,0)</f>
        <v>553983.60258333327</v>
      </c>
      <c r="Z30" s="56">
        <f>Datos!$K$8</f>
        <v>24</v>
      </c>
      <c r="AA30" s="113">
        <f ca="1">IF((W30-Datos!$U$8-1000000-O30*4%*VLOOKUP(TODAY(),'UF HOY'!$A$2:$B$36,2,0))/Z30&gt;0,(W30-Datos!$U$8-1000000-O30*4%*VLOOKUP(TODAY(),'UF HOY'!$A$2:$B$36,2,0))/Z30,0)</f>
        <v>314056.82821666653</v>
      </c>
      <c r="AB30" s="113">
        <f>IF(L30&gt;0,VLOOKUP(D30,Datos!$A$48:$C$52,3,0),VLOOKUP(D30,Datos!$A$48:$C$52,2,0))</f>
        <v>370000</v>
      </c>
      <c r="AC30" s="55">
        <f ca="1">(S30*PMT(Datos!$G$15,Datos!$G$14,-O30,,)*VLOOKUP(TODAY(),'UF HOY'!$A$2:$B$36,2,0)/12)+VLOOKUP(TODAY(),'UF HOY'!$A$2:$B$36,2,0)</f>
        <v>594733.50585775729</v>
      </c>
      <c r="AD30" s="55">
        <f t="shared" ca="1" si="10"/>
        <v>-224733.50585775729</v>
      </c>
      <c r="AE30" s="93">
        <f t="shared" ca="1" si="16"/>
        <v>2378934.0234310292</v>
      </c>
    </row>
    <row r="31" spans="1:31" s="3" customFormat="1" x14ac:dyDescent="0.35">
      <c r="A31" s="94" t="s">
        <v>305</v>
      </c>
      <c r="B31" s="81">
        <v>801</v>
      </c>
      <c r="C31" s="48" t="s">
        <v>40</v>
      </c>
      <c r="D31" s="48" t="s">
        <v>37</v>
      </c>
      <c r="E31" s="48"/>
      <c r="F31" s="48">
        <v>32.82</v>
      </c>
      <c r="G31" s="48">
        <v>2.35</v>
      </c>
      <c r="H31" s="82">
        <f t="shared" si="0"/>
        <v>33.994999999999997</v>
      </c>
      <c r="I31" s="82">
        <f t="shared" si="1"/>
        <v>35.17</v>
      </c>
      <c r="J31" s="49">
        <v>3625</v>
      </c>
      <c r="K31" s="304">
        <v>0</v>
      </c>
      <c r="L31" s="48">
        <v>0</v>
      </c>
      <c r="M31" s="48">
        <v>0</v>
      </c>
      <c r="N31" s="49">
        <f t="shared" si="11"/>
        <v>3262.5</v>
      </c>
      <c r="O31" s="52">
        <f t="shared" si="12"/>
        <v>3625</v>
      </c>
      <c r="P31" s="79">
        <f t="shared" si="13"/>
        <v>95.969995587586411</v>
      </c>
      <c r="Q31" s="53">
        <f t="shared" si="14"/>
        <v>0.1</v>
      </c>
      <c r="R31" s="54">
        <f t="shared" si="15"/>
        <v>362.5</v>
      </c>
      <c r="S31" s="53">
        <v>0.8</v>
      </c>
      <c r="T31" s="54">
        <f t="shared" si="7"/>
        <v>2900</v>
      </c>
      <c r="U31" s="53">
        <f t="shared" si="8"/>
        <v>9.9999999999999978E-2</v>
      </c>
      <c r="V31" s="54">
        <f t="shared" si="9"/>
        <v>362.49999999999994</v>
      </c>
      <c r="W31" s="55">
        <f ca="1">V31*VLOOKUP(TODAY(),'UF HOY'!$A$2:$B$36,2,0)</f>
        <v>14403553.249999998</v>
      </c>
      <c r="X31" s="56">
        <f>Datos!$K$8</f>
        <v>24</v>
      </c>
      <c r="Y31" s="55">
        <f ca="1">IF((W31-Datos!$U$8-1000000)/X31&gt;0,(W31-Datos!$U$8-1000000)/X31,0)</f>
        <v>554314.71874999988</v>
      </c>
      <c r="Z31" s="56">
        <f>Datos!$K$8</f>
        <v>24</v>
      </c>
      <c r="AA31" s="113">
        <f ca="1">IF((W31-Datos!$U$8-1000000-O31*4%*VLOOKUP(TODAY(),'UF HOY'!$A$2:$B$36,2,0))/Z31&gt;0,(W31-Datos!$U$8-1000000-O31*4%*VLOOKUP(TODAY(),'UF HOY'!$A$2:$B$36,2,0))/Z31,0)</f>
        <v>314255.49791666656</v>
      </c>
      <c r="AB31" s="113">
        <f>IF(L31&gt;0,VLOOKUP(D31,Datos!$A$48:$C$52,3,0),VLOOKUP(D31,Datos!$A$48:$C$52,2,0))</f>
        <v>370000</v>
      </c>
      <c r="AC31" s="55">
        <f ca="1">(S31*PMT(Datos!$G$15,Datos!$G$14,-O31,,)*VLOOKUP(TODAY(),'UF HOY'!$A$2:$B$36,2,0)/12)+VLOOKUP(TODAY(),'UF HOY'!$A$2:$B$36,2,0)</f>
        <v>595039.88154964685</v>
      </c>
      <c r="AD31" s="55">
        <f t="shared" ca="1" si="10"/>
        <v>-225039.88154964685</v>
      </c>
      <c r="AE31" s="93">
        <f t="shared" ca="1" si="16"/>
        <v>2380159.5261985874</v>
      </c>
    </row>
    <row r="32" spans="1:31" s="3" customFormat="1" x14ac:dyDescent="0.35">
      <c r="A32" s="94" t="s">
        <v>305</v>
      </c>
      <c r="B32" s="81">
        <v>802</v>
      </c>
      <c r="C32" s="48" t="s">
        <v>40</v>
      </c>
      <c r="D32" s="48" t="s">
        <v>37</v>
      </c>
      <c r="E32" s="48"/>
      <c r="F32" s="48">
        <v>32.78</v>
      </c>
      <c r="G32" s="48">
        <v>2.73</v>
      </c>
      <c r="H32" s="82">
        <f t="shared" si="0"/>
        <v>34.145000000000003</v>
      </c>
      <c r="I32" s="82">
        <f t="shared" si="1"/>
        <v>35.51</v>
      </c>
      <c r="J32" s="49">
        <v>3640</v>
      </c>
      <c r="K32" s="304">
        <v>0</v>
      </c>
      <c r="L32" s="48">
        <v>0</v>
      </c>
      <c r="M32" s="48">
        <v>0</v>
      </c>
      <c r="N32" s="49">
        <f t="shared" si="11"/>
        <v>3276</v>
      </c>
      <c r="O32" s="52">
        <f t="shared" si="12"/>
        <v>3640</v>
      </c>
      <c r="P32" s="79">
        <f t="shared" si="13"/>
        <v>95.943769219505043</v>
      </c>
      <c r="Q32" s="53">
        <f t="shared" si="14"/>
        <v>0.1</v>
      </c>
      <c r="R32" s="54">
        <f t="shared" si="15"/>
        <v>364</v>
      </c>
      <c r="S32" s="53">
        <v>0.8</v>
      </c>
      <c r="T32" s="54">
        <f t="shared" si="7"/>
        <v>2912</v>
      </c>
      <c r="U32" s="53">
        <f t="shared" si="8"/>
        <v>9.9999999999999978E-2</v>
      </c>
      <c r="V32" s="54">
        <f t="shared" si="9"/>
        <v>363.99999999999994</v>
      </c>
      <c r="W32" s="55">
        <f ca="1">V32*VLOOKUP(TODAY(),'UF HOY'!$A$2:$B$36,2,0)</f>
        <v>14463154.159999998</v>
      </c>
      <c r="X32" s="56">
        <f>Datos!$K$8</f>
        <v>24</v>
      </c>
      <c r="Y32" s="55">
        <f ca="1">IF((W32-Datos!$U$8-1000000)/X32&gt;0,(W32-Datos!$U$8-1000000)/X32,0)</f>
        <v>556798.09</v>
      </c>
      <c r="Z32" s="56">
        <f>Datos!$K$8</f>
        <v>24</v>
      </c>
      <c r="AA32" s="113">
        <f ca="1">IF((W32-Datos!$U$8-1000000-O32*4%*VLOOKUP(TODAY(),'UF HOY'!$A$2:$B$36,2,0))/Z32&gt;0,(W32-Datos!$U$8-1000000-O32*4%*VLOOKUP(TODAY(),'UF HOY'!$A$2:$B$36,2,0))/Z32,0)</f>
        <v>315745.52066666662</v>
      </c>
      <c r="AB32" s="113">
        <f>IF(L32&gt;0,VLOOKUP(D32,Datos!$A$48:$C$52,3,0),VLOOKUP(D32,Datos!$A$48:$C$52,2,0))</f>
        <v>370000</v>
      </c>
      <c r="AC32" s="55">
        <f ca="1">(S32*PMT(Datos!$G$15,Datos!$G$14,-O32,,)*VLOOKUP(TODAY(),'UF HOY'!$A$2:$B$36,2,0)/12)+VLOOKUP(TODAY(),'UF HOY'!$A$2:$B$36,2,0)</f>
        <v>597337.69923881767</v>
      </c>
      <c r="AD32" s="55">
        <f t="shared" ca="1" si="10"/>
        <v>-227337.69923881767</v>
      </c>
      <c r="AE32" s="93">
        <f t="shared" ca="1" si="16"/>
        <v>2389350.7969552707</v>
      </c>
    </row>
    <row r="33" spans="1:31" s="3" customFormat="1" x14ac:dyDescent="0.35">
      <c r="A33" s="94" t="s">
        <v>305</v>
      </c>
      <c r="B33" s="81">
        <v>803</v>
      </c>
      <c r="C33" s="48" t="s">
        <v>40</v>
      </c>
      <c r="D33" s="48" t="s">
        <v>37</v>
      </c>
      <c r="E33" s="48"/>
      <c r="F33" s="48">
        <v>32.78</v>
      </c>
      <c r="G33" s="48">
        <v>2.73</v>
      </c>
      <c r="H33" s="82">
        <f t="shared" si="0"/>
        <v>34.145000000000003</v>
      </c>
      <c r="I33" s="82">
        <f t="shared" si="1"/>
        <v>35.51</v>
      </c>
      <c r="J33" s="49">
        <v>3640</v>
      </c>
      <c r="K33" s="304">
        <v>0</v>
      </c>
      <c r="L33" s="48">
        <v>0</v>
      </c>
      <c r="M33" s="48">
        <v>0</v>
      </c>
      <c r="N33" s="49">
        <f t="shared" si="11"/>
        <v>3276</v>
      </c>
      <c r="O33" s="52">
        <f t="shared" si="12"/>
        <v>3640</v>
      </c>
      <c r="P33" s="79">
        <f t="shared" si="13"/>
        <v>95.943769219505043</v>
      </c>
      <c r="Q33" s="53">
        <f t="shared" si="14"/>
        <v>0.1</v>
      </c>
      <c r="R33" s="54">
        <f t="shared" si="15"/>
        <v>364</v>
      </c>
      <c r="S33" s="53">
        <v>0.8</v>
      </c>
      <c r="T33" s="54">
        <f t="shared" si="7"/>
        <v>2912</v>
      </c>
      <c r="U33" s="53">
        <f t="shared" si="8"/>
        <v>9.9999999999999978E-2</v>
      </c>
      <c r="V33" s="54">
        <f t="shared" si="9"/>
        <v>363.99999999999994</v>
      </c>
      <c r="W33" s="55">
        <f ca="1">V33*VLOOKUP(TODAY(),'UF HOY'!$A$2:$B$36,2,0)</f>
        <v>14463154.159999998</v>
      </c>
      <c r="X33" s="56">
        <f>Datos!$K$8</f>
        <v>24</v>
      </c>
      <c r="Y33" s="55">
        <f ca="1">IF((W33-Datos!$U$8-1000000)/X33&gt;0,(W33-Datos!$U$8-1000000)/X33,0)</f>
        <v>556798.09</v>
      </c>
      <c r="Z33" s="56">
        <f>Datos!$K$8</f>
        <v>24</v>
      </c>
      <c r="AA33" s="113">
        <f ca="1">IF((W33-Datos!$U$8-1000000-O33*4%*VLOOKUP(TODAY(),'UF HOY'!$A$2:$B$36,2,0))/Z33&gt;0,(W33-Datos!$U$8-1000000-O33*4%*VLOOKUP(TODAY(),'UF HOY'!$A$2:$B$36,2,0))/Z33,0)</f>
        <v>315745.52066666662</v>
      </c>
      <c r="AB33" s="113">
        <f>IF(L33&gt;0,VLOOKUP(D33,Datos!$A$48:$C$52,3,0),VLOOKUP(D33,Datos!$A$48:$C$52,2,0))</f>
        <v>370000</v>
      </c>
      <c r="AC33" s="55">
        <f ca="1">(S33*PMT(Datos!$G$15,Datos!$G$14,-O33,,)*VLOOKUP(TODAY(),'UF HOY'!$A$2:$B$36,2,0)/12)+VLOOKUP(TODAY(),'UF HOY'!$A$2:$B$36,2,0)</f>
        <v>597337.69923881767</v>
      </c>
      <c r="AD33" s="55">
        <f t="shared" ca="1" si="10"/>
        <v>-227337.69923881767</v>
      </c>
      <c r="AE33" s="93">
        <f t="shared" ca="1" si="16"/>
        <v>2389350.7969552707</v>
      </c>
    </row>
    <row r="34" spans="1:31" s="3" customFormat="1" x14ac:dyDescent="0.35">
      <c r="A34" s="94" t="s">
        <v>305</v>
      </c>
      <c r="B34" s="81">
        <v>806</v>
      </c>
      <c r="C34" s="48" t="s">
        <v>40</v>
      </c>
      <c r="D34" s="48" t="s">
        <v>37</v>
      </c>
      <c r="E34" s="48"/>
      <c r="F34" s="48">
        <v>32.78</v>
      </c>
      <c r="G34" s="48">
        <v>2.73</v>
      </c>
      <c r="H34" s="82">
        <f t="shared" si="0"/>
        <v>34.145000000000003</v>
      </c>
      <c r="I34" s="82">
        <f t="shared" si="1"/>
        <v>35.51</v>
      </c>
      <c r="J34" s="49">
        <v>3640</v>
      </c>
      <c r="K34" s="304">
        <v>0</v>
      </c>
      <c r="L34" s="48">
        <v>0</v>
      </c>
      <c r="M34" s="48">
        <v>0</v>
      </c>
      <c r="N34" s="49">
        <f t="shared" si="11"/>
        <v>3276</v>
      </c>
      <c r="O34" s="52">
        <f t="shared" si="12"/>
        <v>3640</v>
      </c>
      <c r="P34" s="79">
        <f t="shared" si="13"/>
        <v>95.943769219505043</v>
      </c>
      <c r="Q34" s="53">
        <f t="shared" si="14"/>
        <v>0.1</v>
      </c>
      <c r="R34" s="54">
        <f t="shared" si="15"/>
        <v>364</v>
      </c>
      <c r="S34" s="53">
        <v>0.8</v>
      </c>
      <c r="T34" s="54">
        <f t="shared" si="7"/>
        <v>2912</v>
      </c>
      <c r="U34" s="53">
        <f t="shared" si="8"/>
        <v>9.9999999999999978E-2</v>
      </c>
      <c r="V34" s="54">
        <f t="shared" si="9"/>
        <v>363.99999999999994</v>
      </c>
      <c r="W34" s="55">
        <f ca="1">V34*VLOOKUP(TODAY(),'UF HOY'!$A$2:$B$36,2,0)</f>
        <v>14463154.159999998</v>
      </c>
      <c r="X34" s="56">
        <f>Datos!$K$8</f>
        <v>24</v>
      </c>
      <c r="Y34" s="55">
        <f ca="1">IF((W34-Datos!$U$8-1000000)/X34&gt;0,(W34-Datos!$U$8-1000000)/X34,0)</f>
        <v>556798.09</v>
      </c>
      <c r="Z34" s="56">
        <f>Datos!$K$8</f>
        <v>24</v>
      </c>
      <c r="AA34" s="113">
        <f ca="1">IF((W34-Datos!$U$8-1000000-O34*4%*VLOOKUP(TODAY(),'UF HOY'!$A$2:$B$36,2,0))/Z34&gt;0,(W34-Datos!$U$8-1000000-O34*4%*VLOOKUP(TODAY(),'UF HOY'!$A$2:$B$36,2,0))/Z34,0)</f>
        <v>315745.52066666662</v>
      </c>
      <c r="AB34" s="113">
        <f>IF(L34&gt;0,VLOOKUP(D34,Datos!$A$48:$C$52,3,0),VLOOKUP(D34,Datos!$A$48:$C$52,2,0))</f>
        <v>370000</v>
      </c>
      <c r="AC34" s="55">
        <f ca="1">(S34*PMT(Datos!$G$15,Datos!$G$14,-O34,,)*VLOOKUP(TODAY(),'UF HOY'!$A$2:$B$36,2,0)/12)+VLOOKUP(TODAY(),'UF HOY'!$A$2:$B$36,2,0)</f>
        <v>597337.69923881767</v>
      </c>
      <c r="AD34" s="55">
        <f t="shared" ca="1" si="10"/>
        <v>-227337.69923881767</v>
      </c>
      <c r="AE34" s="93">
        <f t="shared" ca="1" si="16"/>
        <v>2389350.7969552707</v>
      </c>
    </row>
    <row r="35" spans="1:31" s="3" customFormat="1" x14ac:dyDescent="0.35">
      <c r="A35" s="94" t="s">
        <v>305</v>
      </c>
      <c r="B35" s="81">
        <v>604</v>
      </c>
      <c r="C35" s="48" t="s">
        <v>40</v>
      </c>
      <c r="D35" s="48" t="s">
        <v>37</v>
      </c>
      <c r="E35" s="48"/>
      <c r="F35" s="48">
        <v>34.020000000000003</v>
      </c>
      <c r="G35" s="48">
        <v>2.73</v>
      </c>
      <c r="H35" s="82">
        <f t="shared" si="0"/>
        <v>35.385000000000005</v>
      </c>
      <c r="I35" s="82">
        <f t="shared" si="1"/>
        <v>36.75</v>
      </c>
      <c r="J35" s="49">
        <v>3650</v>
      </c>
      <c r="K35" s="304">
        <v>0</v>
      </c>
      <c r="L35" s="48">
        <v>0</v>
      </c>
      <c r="M35" s="48">
        <v>0</v>
      </c>
      <c r="N35" s="49">
        <f t="shared" si="11"/>
        <v>3285</v>
      </c>
      <c r="O35" s="52">
        <f t="shared" si="12"/>
        <v>3650</v>
      </c>
      <c r="P35" s="79">
        <f t="shared" si="13"/>
        <v>92.835947435353944</v>
      </c>
      <c r="Q35" s="53">
        <f t="shared" si="14"/>
        <v>0.1</v>
      </c>
      <c r="R35" s="54">
        <f t="shared" si="15"/>
        <v>365</v>
      </c>
      <c r="S35" s="53">
        <v>0.8</v>
      </c>
      <c r="T35" s="54">
        <f t="shared" si="7"/>
        <v>2920</v>
      </c>
      <c r="U35" s="53">
        <f t="shared" si="8"/>
        <v>9.9999999999999978E-2</v>
      </c>
      <c r="V35" s="54">
        <f t="shared" si="9"/>
        <v>364.99999999999994</v>
      </c>
      <c r="W35" s="55">
        <f ca="1">V35*VLOOKUP(TODAY(),'UF HOY'!$A$2:$B$36,2,0)</f>
        <v>14502888.099999998</v>
      </c>
      <c r="X35" s="56">
        <f>Datos!$K$8</f>
        <v>24</v>
      </c>
      <c r="Y35" s="55">
        <f ca="1">IF((W35-Datos!$U$8-1000000)/X35&gt;0,(W35-Datos!$U$8-1000000)/X35,0)</f>
        <v>558453.67083333328</v>
      </c>
      <c r="Z35" s="56">
        <f>Datos!$K$8</f>
        <v>24</v>
      </c>
      <c r="AA35" s="113">
        <f ca="1">IF((W35-Datos!$U$8-1000000-O35*4%*VLOOKUP(TODAY(),'UF HOY'!$A$2:$B$36,2,0))/Z35&gt;0,(W35-Datos!$U$8-1000000-O35*4%*VLOOKUP(TODAY(),'UF HOY'!$A$2:$B$36,2,0))/Z35,0)</f>
        <v>316738.86916666658</v>
      </c>
      <c r="AB35" s="113">
        <f>IF(L35&gt;0,VLOOKUP(D35,Datos!$A$48:$C$52,3,0),VLOOKUP(D35,Datos!$A$48:$C$52,2,0))</f>
        <v>370000</v>
      </c>
      <c r="AC35" s="55">
        <f ca="1">(S35*PMT(Datos!$G$15,Datos!$G$14,-O35,,)*VLOOKUP(TODAY(),'UF HOY'!$A$2:$B$36,2,0)/12)+VLOOKUP(TODAY(),'UF HOY'!$A$2:$B$36,2,0)</f>
        <v>598869.5776982652</v>
      </c>
      <c r="AD35" s="55">
        <f t="shared" ca="1" si="10"/>
        <v>-228869.5776982652</v>
      </c>
      <c r="AE35" s="93">
        <f t="shared" ca="1" si="16"/>
        <v>2395478.3107930608</v>
      </c>
    </row>
    <row r="36" spans="1:31" s="3" customFormat="1" x14ac:dyDescent="0.35">
      <c r="A36" s="94" t="s">
        <v>305</v>
      </c>
      <c r="B36" s="81">
        <v>605</v>
      </c>
      <c r="C36" s="48" t="s">
        <v>40</v>
      </c>
      <c r="D36" s="48" t="s">
        <v>37</v>
      </c>
      <c r="E36" s="48"/>
      <c r="F36" s="48">
        <v>34.020000000000003</v>
      </c>
      <c r="G36" s="48">
        <v>2.73</v>
      </c>
      <c r="H36" s="82">
        <f t="shared" ref="H36:H66" si="28">F36+(G36/2)</f>
        <v>35.385000000000005</v>
      </c>
      <c r="I36" s="82">
        <f t="shared" ref="I36:I66" si="29">F36+G36</f>
        <v>36.75</v>
      </c>
      <c r="J36" s="49">
        <v>3650</v>
      </c>
      <c r="K36" s="304">
        <v>0</v>
      </c>
      <c r="L36" s="48">
        <v>0</v>
      </c>
      <c r="M36" s="48">
        <v>0</v>
      </c>
      <c r="N36" s="49">
        <f t="shared" si="11"/>
        <v>3285</v>
      </c>
      <c r="O36" s="52">
        <f t="shared" si="12"/>
        <v>3650</v>
      </c>
      <c r="P36" s="79">
        <f t="shared" si="13"/>
        <v>92.835947435353944</v>
      </c>
      <c r="Q36" s="53">
        <f t="shared" si="14"/>
        <v>0.1</v>
      </c>
      <c r="R36" s="54">
        <f t="shared" si="15"/>
        <v>365</v>
      </c>
      <c r="S36" s="53">
        <v>0.8</v>
      </c>
      <c r="T36" s="54">
        <f t="shared" ref="T36:T66" si="30">S36*O36</f>
        <v>2920</v>
      </c>
      <c r="U36" s="53">
        <f t="shared" ref="U36:U66" si="31">100%-Q36-S36</f>
        <v>9.9999999999999978E-2</v>
      </c>
      <c r="V36" s="54">
        <f t="shared" ref="V36:V66" si="32">O36*U36</f>
        <v>364.99999999999994</v>
      </c>
      <c r="W36" s="55">
        <f ca="1">V36*VLOOKUP(TODAY(),'UF HOY'!$A$2:$B$36,2,0)</f>
        <v>14502888.099999998</v>
      </c>
      <c r="X36" s="56">
        <f>Datos!$K$8</f>
        <v>24</v>
      </c>
      <c r="Y36" s="55">
        <f ca="1">IF((W36-Datos!$U$8-1000000)/X36&gt;0,(W36-Datos!$U$8-1000000)/X36,0)</f>
        <v>558453.67083333328</v>
      </c>
      <c r="Z36" s="56">
        <f>Datos!$K$8</f>
        <v>24</v>
      </c>
      <c r="AA36" s="113">
        <f ca="1">IF((W36-Datos!$U$8-1000000-O36*4%*VLOOKUP(TODAY(),'UF HOY'!$A$2:$B$36,2,0))/Z36&gt;0,(W36-Datos!$U$8-1000000-O36*4%*VLOOKUP(TODAY(),'UF HOY'!$A$2:$B$36,2,0))/Z36,0)</f>
        <v>316738.86916666658</v>
      </c>
      <c r="AB36" s="113">
        <f>IF(L36&gt;0,VLOOKUP(D36,Datos!$A$48:$C$52,3,0),VLOOKUP(D36,Datos!$A$48:$C$52,2,0))</f>
        <v>370000</v>
      </c>
      <c r="AC36" s="55">
        <f ca="1">(S36*PMT(Datos!$G$15,Datos!$G$14,-O36,,)*VLOOKUP(TODAY(),'UF HOY'!$A$2:$B$36,2,0)/12)+VLOOKUP(TODAY(),'UF HOY'!$A$2:$B$36,2,0)</f>
        <v>598869.5776982652</v>
      </c>
      <c r="AD36" s="55">
        <f t="shared" ref="AD36:AD66" ca="1" si="33">AB36-AC36</f>
        <v>-228869.5776982652</v>
      </c>
      <c r="AE36" s="93">
        <f t="shared" ca="1" si="16"/>
        <v>2395478.3107930608</v>
      </c>
    </row>
    <row r="37" spans="1:31" s="3" customFormat="1" x14ac:dyDescent="0.35">
      <c r="A37" s="94" t="s">
        <v>305</v>
      </c>
      <c r="B37" s="81">
        <v>813</v>
      </c>
      <c r="C37" s="48" t="s">
        <v>38</v>
      </c>
      <c r="D37" s="48" t="s">
        <v>37</v>
      </c>
      <c r="E37" s="48"/>
      <c r="F37" s="48">
        <v>32.630000000000003</v>
      </c>
      <c r="G37" s="48">
        <v>1.95</v>
      </c>
      <c r="H37" s="82">
        <f t="shared" si="28"/>
        <v>33.605000000000004</v>
      </c>
      <c r="I37" s="82">
        <f t="shared" si="29"/>
        <v>34.580000000000005</v>
      </c>
      <c r="J37" s="49">
        <v>3655</v>
      </c>
      <c r="K37" s="304">
        <v>0</v>
      </c>
      <c r="L37" s="48">
        <v>0</v>
      </c>
      <c r="M37" s="48">
        <v>0</v>
      </c>
      <c r="N37" s="49">
        <f t="shared" si="11"/>
        <v>3289.5</v>
      </c>
      <c r="O37" s="52">
        <f t="shared" si="12"/>
        <v>3655</v>
      </c>
      <c r="P37" s="79">
        <f t="shared" si="13"/>
        <v>97.887219163814891</v>
      </c>
      <c r="Q37" s="53">
        <f t="shared" si="14"/>
        <v>0.1</v>
      </c>
      <c r="R37" s="54">
        <f t="shared" si="15"/>
        <v>365.5</v>
      </c>
      <c r="S37" s="53">
        <v>0.8</v>
      </c>
      <c r="T37" s="54">
        <f t="shared" si="30"/>
        <v>2924</v>
      </c>
      <c r="U37" s="53">
        <f t="shared" si="31"/>
        <v>9.9999999999999978E-2</v>
      </c>
      <c r="V37" s="54">
        <f t="shared" si="32"/>
        <v>365.49999999999994</v>
      </c>
      <c r="W37" s="55">
        <f ca="1">V37*VLOOKUP(TODAY(),'UF HOY'!$A$2:$B$36,2,0)</f>
        <v>14522755.069999998</v>
      </c>
      <c r="X37" s="56">
        <f>Datos!$K$8</f>
        <v>24</v>
      </c>
      <c r="Y37" s="55">
        <f ca="1">IF((W37-Datos!$U$8-1000000)/X37&gt;0,(W37-Datos!$U$8-1000000)/X37,0)</f>
        <v>559281.46124999993</v>
      </c>
      <c r="Z37" s="56">
        <f>Datos!$K$8</f>
        <v>24</v>
      </c>
      <c r="AA37" s="113">
        <f ca="1">IF((W37-Datos!$U$8-1000000-O37*4%*VLOOKUP(TODAY(),'UF HOY'!$A$2:$B$36,2,0))/Z37&gt;0,(W37-Datos!$U$8-1000000-O37*4%*VLOOKUP(TODAY(),'UF HOY'!$A$2:$B$36,2,0))/Z37,0)</f>
        <v>317235.54341666657</v>
      </c>
      <c r="AB37" s="113">
        <f>IF(L37&gt;0,VLOOKUP(D37,Datos!$A$48:$C$52,3,0),VLOOKUP(D37,Datos!$A$48:$C$52,2,0))</f>
        <v>370000</v>
      </c>
      <c r="AC37" s="55">
        <f ca="1">(S37*PMT(Datos!$G$15,Datos!$G$14,-O37,,)*VLOOKUP(TODAY(),'UF HOY'!$A$2:$B$36,2,0)/12)+VLOOKUP(TODAY(),'UF HOY'!$A$2:$B$36,2,0)</f>
        <v>599635.51692798873</v>
      </c>
      <c r="AD37" s="55">
        <f t="shared" ca="1" si="33"/>
        <v>-229635.51692798873</v>
      </c>
      <c r="AE37" s="93">
        <f t="shared" ca="1" si="16"/>
        <v>2398542.0677119549</v>
      </c>
    </row>
    <row r="38" spans="1:31" s="3" customFormat="1" x14ac:dyDescent="0.35">
      <c r="A38" s="94" t="s">
        <v>305</v>
      </c>
      <c r="B38" s="81">
        <v>814</v>
      </c>
      <c r="C38" s="48" t="s">
        <v>38</v>
      </c>
      <c r="D38" s="48" t="s">
        <v>37</v>
      </c>
      <c r="E38" s="48"/>
      <c r="F38" s="48">
        <v>32.630000000000003</v>
      </c>
      <c r="G38" s="48">
        <v>1.95</v>
      </c>
      <c r="H38" s="82">
        <f t="shared" si="28"/>
        <v>33.605000000000004</v>
      </c>
      <c r="I38" s="82">
        <f t="shared" si="29"/>
        <v>34.580000000000005</v>
      </c>
      <c r="J38" s="49">
        <v>3655</v>
      </c>
      <c r="K38" s="304">
        <v>0</v>
      </c>
      <c r="L38" s="48">
        <v>0</v>
      </c>
      <c r="M38" s="48">
        <v>0</v>
      </c>
      <c r="N38" s="49">
        <f t="shared" si="11"/>
        <v>3289.5</v>
      </c>
      <c r="O38" s="52">
        <f t="shared" si="12"/>
        <v>3655</v>
      </c>
      <c r="P38" s="79">
        <f t="shared" si="13"/>
        <v>97.887219163814891</v>
      </c>
      <c r="Q38" s="53">
        <f t="shared" si="14"/>
        <v>0.1</v>
      </c>
      <c r="R38" s="54">
        <f t="shared" si="15"/>
        <v>365.5</v>
      </c>
      <c r="S38" s="53">
        <v>0.8</v>
      </c>
      <c r="T38" s="54">
        <f t="shared" si="30"/>
        <v>2924</v>
      </c>
      <c r="U38" s="53">
        <f t="shared" si="31"/>
        <v>9.9999999999999978E-2</v>
      </c>
      <c r="V38" s="54">
        <f t="shared" si="32"/>
        <v>365.49999999999994</v>
      </c>
      <c r="W38" s="55">
        <f ca="1">V38*VLOOKUP(TODAY(),'UF HOY'!$A$2:$B$36,2,0)</f>
        <v>14522755.069999998</v>
      </c>
      <c r="X38" s="56">
        <f>Datos!$K$8</f>
        <v>24</v>
      </c>
      <c r="Y38" s="55">
        <f ca="1">IF((W38-Datos!$U$8-1000000)/X38&gt;0,(W38-Datos!$U$8-1000000)/X38,0)</f>
        <v>559281.46124999993</v>
      </c>
      <c r="Z38" s="56">
        <f>Datos!$K$8</f>
        <v>24</v>
      </c>
      <c r="AA38" s="113">
        <f ca="1">IF((W38-Datos!$U$8-1000000-O38*4%*VLOOKUP(TODAY(),'UF HOY'!$A$2:$B$36,2,0))/Z38&gt;0,(W38-Datos!$U$8-1000000-O38*4%*VLOOKUP(TODAY(),'UF HOY'!$A$2:$B$36,2,0))/Z38,0)</f>
        <v>317235.54341666657</v>
      </c>
      <c r="AB38" s="113">
        <f>IF(L38&gt;0,VLOOKUP(D38,Datos!$A$48:$C$52,3,0),VLOOKUP(D38,Datos!$A$48:$C$52,2,0))</f>
        <v>370000</v>
      </c>
      <c r="AC38" s="55">
        <f ca="1">(S38*PMT(Datos!$G$15,Datos!$G$14,-O38,,)*VLOOKUP(TODAY(),'UF HOY'!$A$2:$B$36,2,0)/12)+VLOOKUP(TODAY(),'UF HOY'!$A$2:$B$36,2,0)</f>
        <v>599635.51692798873</v>
      </c>
      <c r="AD38" s="55">
        <f t="shared" ca="1" si="33"/>
        <v>-229635.51692798873</v>
      </c>
      <c r="AE38" s="93">
        <f t="shared" ca="1" si="16"/>
        <v>2398542.0677119549</v>
      </c>
    </row>
    <row r="39" spans="1:31" s="3" customFormat="1" x14ac:dyDescent="0.35">
      <c r="A39" s="94" t="s">
        <v>305</v>
      </c>
      <c r="B39" s="81">
        <v>708</v>
      </c>
      <c r="C39" s="48" t="s">
        <v>40</v>
      </c>
      <c r="D39" s="48" t="s">
        <v>37</v>
      </c>
      <c r="E39" s="48"/>
      <c r="F39" s="48">
        <v>33.21</v>
      </c>
      <c r="G39" s="48">
        <v>2.13</v>
      </c>
      <c r="H39" s="82">
        <f t="shared" si="28"/>
        <v>34.274999999999999</v>
      </c>
      <c r="I39" s="82">
        <f t="shared" si="29"/>
        <v>35.340000000000003</v>
      </c>
      <c r="J39" s="49">
        <v>3660</v>
      </c>
      <c r="K39" s="304">
        <v>0</v>
      </c>
      <c r="L39" s="48">
        <v>0</v>
      </c>
      <c r="M39" s="48">
        <v>0</v>
      </c>
      <c r="N39" s="49">
        <f t="shared" si="11"/>
        <v>3294</v>
      </c>
      <c r="O39" s="52">
        <f t="shared" si="12"/>
        <v>3660</v>
      </c>
      <c r="P39" s="79">
        <f t="shared" si="13"/>
        <v>96.10503282275711</v>
      </c>
      <c r="Q39" s="53">
        <f t="shared" si="14"/>
        <v>0.1</v>
      </c>
      <c r="R39" s="54">
        <f t="shared" si="15"/>
        <v>366</v>
      </c>
      <c r="S39" s="53">
        <v>0.8</v>
      </c>
      <c r="T39" s="54">
        <f t="shared" si="30"/>
        <v>2928</v>
      </c>
      <c r="U39" s="53">
        <f t="shared" si="31"/>
        <v>9.9999999999999978E-2</v>
      </c>
      <c r="V39" s="54">
        <f t="shared" si="32"/>
        <v>365.99999999999994</v>
      </c>
      <c r="W39" s="55">
        <f ca="1">V39*VLOOKUP(TODAY(),'UF HOY'!$A$2:$B$36,2,0)</f>
        <v>14542622.039999999</v>
      </c>
      <c r="X39" s="56">
        <f>Datos!$K$8</f>
        <v>24</v>
      </c>
      <c r="Y39" s="55">
        <f ca="1">IF((W39-Datos!$U$8-1000000)/X39&gt;0,(W39-Datos!$U$8-1000000)/X39,0)</f>
        <v>560109.25166666659</v>
      </c>
      <c r="Z39" s="56">
        <f>Datos!$K$8</f>
        <v>24</v>
      </c>
      <c r="AA39" s="113">
        <f ca="1">IF((W39-Datos!$U$8-1000000-O39*4%*VLOOKUP(TODAY(),'UF HOY'!$A$2:$B$36,2,0))/Z39&gt;0,(W39-Datos!$U$8-1000000-O39*4%*VLOOKUP(TODAY(),'UF HOY'!$A$2:$B$36,2,0))/Z39,0)</f>
        <v>317732.21766666661</v>
      </c>
      <c r="AB39" s="113">
        <f>IF(L39&gt;0,VLOOKUP(D39,Datos!$A$48:$C$52,3,0),VLOOKUP(D39,Datos!$A$48:$C$52,2,0))</f>
        <v>370000</v>
      </c>
      <c r="AC39" s="55">
        <f ca="1">(S39*PMT(Datos!$G$15,Datos!$G$14,-O39,,)*VLOOKUP(TODAY(),'UF HOY'!$A$2:$B$36,2,0)/12)+VLOOKUP(TODAY(),'UF HOY'!$A$2:$B$36,2,0)</f>
        <v>600401.45615771227</v>
      </c>
      <c r="AD39" s="55">
        <f t="shared" ca="1" si="33"/>
        <v>-230401.45615771227</v>
      </c>
      <c r="AE39" s="93">
        <f t="shared" ca="1" si="16"/>
        <v>2401605.8246308491</v>
      </c>
    </row>
    <row r="40" spans="1:31" s="3" customFormat="1" x14ac:dyDescent="0.35">
      <c r="A40" s="94" t="s">
        <v>305</v>
      </c>
      <c r="B40" s="81">
        <v>908</v>
      </c>
      <c r="C40" s="48" t="s">
        <v>40</v>
      </c>
      <c r="D40" s="48" t="s">
        <v>37</v>
      </c>
      <c r="E40" s="48"/>
      <c r="F40" s="48">
        <v>33.21</v>
      </c>
      <c r="G40" s="48">
        <v>2.13</v>
      </c>
      <c r="H40" s="82">
        <f t="shared" si="28"/>
        <v>34.274999999999999</v>
      </c>
      <c r="I40" s="82">
        <f t="shared" si="29"/>
        <v>35.340000000000003</v>
      </c>
      <c r="J40" s="49">
        <v>3660</v>
      </c>
      <c r="K40" s="304">
        <v>0</v>
      </c>
      <c r="L40" s="48">
        <v>0</v>
      </c>
      <c r="M40" s="48">
        <v>0</v>
      </c>
      <c r="N40" s="49">
        <f t="shared" si="11"/>
        <v>3294</v>
      </c>
      <c r="O40" s="52">
        <f t="shared" si="12"/>
        <v>3660</v>
      </c>
      <c r="P40" s="79">
        <f t="shared" si="13"/>
        <v>96.10503282275711</v>
      </c>
      <c r="Q40" s="53">
        <f t="shared" si="14"/>
        <v>0.1</v>
      </c>
      <c r="R40" s="54">
        <f t="shared" si="15"/>
        <v>366</v>
      </c>
      <c r="S40" s="53">
        <v>0.8</v>
      </c>
      <c r="T40" s="54">
        <f t="shared" si="30"/>
        <v>2928</v>
      </c>
      <c r="U40" s="53">
        <f t="shared" si="31"/>
        <v>9.9999999999999978E-2</v>
      </c>
      <c r="V40" s="54">
        <f t="shared" si="32"/>
        <v>365.99999999999994</v>
      </c>
      <c r="W40" s="55">
        <f ca="1">V40*VLOOKUP(TODAY(),'UF HOY'!$A$2:$B$36,2,0)</f>
        <v>14542622.039999999</v>
      </c>
      <c r="X40" s="56">
        <f>Datos!$K$8</f>
        <v>24</v>
      </c>
      <c r="Y40" s="55">
        <f ca="1">IF((W40-Datos!$U$8-1000000)/X40&gt;0,(W40-Datos!$U$8-1000000)/X40,0)</f>
        <v>560109.25166666659</v>
      </c>
      <c r="Z40" s="56">
        <f>Datos!$K$8</f>
        <v>24</v>
      </c>
      <c r="AA40" s="113">
        <f ca="1">IF((W40-Datos!$U$8-1000000-O40*4%*VLOOKUP(TODAY(),'UF HOY'!$A$2:$B$36,2,0))/Z40&gt;0,(W40-Datos!$U$8-1000000-O40*4%*VLOOKUP(TODAY(),'UF HOY'!$A$2:$B$36,2,0))/Z40,0)</f>
        <v>317732.21766666661</v>
      </c>
      <c r="AB40" s="113">
        <f>IF(L40&gt;0,VLOOKUP(D40,Datos!$A$48:$C$52,3,0),VLOOKUP(D40,Datos!$A$48:$C$52,2,0))</f>
        <v>370000</v>
      </c>
      <c r="AC40" s="55">
        <f ca="1">(S40*PMT(Datos!$G$15,Datos!$G$14,-O40,,)*VLOOKUP(TODAY(),'UF HOY'!$A$2:$B$36,2,0)/12)+VLOOKUP(TODAY(),'UF HOY'!$A$2:$B$36,2,0)</f>
        <v>600401.45615771227</v>
      </c>
      <c r="AD40" s="55">
        <f t="shared" ca="1" si="33"/>
        <v>-230401.45615771227</v>
      </c>
      <c r="AE40" s="93">
        <f t="shared" ca="1" si="16"/>
        <v>2401605.8246308491</v>
      </c>
    </row>
    <row r="41" spans="1:31" s="3" customFormat="1" x14ac:dyDescent="0.35">
      <c r="A41" s="94" t="s">
        <v>305</v>
      </c>
      <c r="B41" s="81">
        <v>808</v>
      </c>
      <c r="C41" s="48" t="s">
        <v>40</v>
      </c>
      <c r="D41" s="48" t="s">
        <v>37</v>
      </c>
      <c r="E41" s="48"/>
      <c r="F41" s="48">
        <v>33.21</v>
      </c>
      <c r="G41" s="48">
        <v>2.13</v>
      </c>
      <c r="H41" s="82">
        <f t="shared" si="28"/>
        <v>34.274999999999999</v>
      </c>
      <c r="I41" s="82">
        <f t="shared" si="29"/>
        <v>35.340000000000003</v>
      </c>
      <c r="J41" s="49">
        <v>3690</v>
      </c>
      <c r="K41" s="304">
        <v>0</v>
      </c>
      <c r="L41" s="48">
        <v>0</v>
      </c>
      <c r="M41" s="48">
        <v>0</v>
      </c>
      <c r="N41" s="49">
        <f t="shared" si="11"/>
        <v>3321</v>
      </c>
      <c r="O41" s="52">
        <f t="shared" si="12"/>
        <v>3690</v>
      </c>
      <c r="P41" s="79">
        <f t="shared" si="13"/>
        <v>96.892778993435456</v>
      </c>
      <c r="Q41" s="53">
        <f t="shared" si="14"/>
        <v>0.1</v>
      </c>
      <c r="R41" s="54">
        <f t="shared" si="15"/>
        <v>369</v>
      </c>
      <c r="S41" s="53">
        <v>0.8</v>
      </c>
      <c r="T41" s="54">
        <f t="shared" si="30"/>
        <v>2952</v>
      </c>
      <c r="U41" s="53">
        <f t="shared" si="31"/>
        <v>9.9999999999999978E-2</v>
      </c>
      <c r="V41" s="54">
        <f t="shared" si="32"/>
        <v>368.99999999999994</v>
      </c>
      <c r="W41" s="55">
        <f ca="1">V41*VLOOKUP(TODAY(),'UF HOY'!$A$2:$B$36,2,0)</f>
        <v>14661823.859999999</v>
      </c>
      <c r="X41" s="56">
        <f>Datos!$K$8</f>
        <v>24</v>
      </c>
      <c r="Y41" s="55">
        <f ca="1">IF((W41-Datos!$U$8-1000000)/X41&gt;0,(W41-Datos!$U$8-1000000)/X41,0)</f>
        <v>565075.99416666664</v>
      </c>
      <c r="Z41" s="56">
        <f>Datos!$K$8</f>
        <v>24</v>
      </c>
      <c r="AA41" s="113">
        <f ca="1">IF((W41-Datos!$U$8-1000000-O41*4%*VLOOKUP(TODAY(),'UF HOY'!$A$2:$B$36,2,0))/Z41&gt;0,(W41-Datos!$U$8-1000000-O41*4%*VLOOKUP(TODAY(),'UF HOY'!$A$2:$B$36,2,0))/Z41,0)</f>
        <v>320712.26316666667</v>
      </c>
      <c r="AB41" s="113">
        <f>IF(L41&gt;0,VLOOKUP(D41,Datos!$A$48:$C$52,3,0),VLOOKUP(D41,Datos!$A$48:$C$52,2,0))</f>
        <v>370000</v>
      </c>
      <c r="AC41" s="55">
        <f ca="1">(S41*PMT(Datos!$G$15,Datos!$G$14,-O41,,)*VLOOKUP(TODAY(),'UF HOY'!$A$2:$B$36,2,0)/12)+VLOOKUP(TODAY(),'UF HOY'!$A$2:$B$36,2,0)</f>
        <v>604997.09153605415</v>
      </c>
      <c r="AD41" s="55">
        <f t="shared" ca="1" si="33"/>
        <v>-234997.09153605415</v>
      </c>
      <c r="AE41" s="93">
        <f t="shared" ca="1" si="16"/>
        <v>2419988.3661442166</v>
      </c>
    </row>
    <row r="42" spans="1:31" s="3" customFormat="1" x14ac:dyDescent="0.35">
      <c r="A42" s="94" t="s">
        <v>305</v>
      </c>
      <c r="B42" s="81">
        <v>704</v>
      </c>
      <c r="C42" s="48" t="s">
        <v>40</v>
      </c>
      <c r="D42" s="48" t="s">
        <v>37</v>
      </c>
      <c r="E42" s="48"/>
      <c r="F42" s="48">
        <v>34.020000000000003</v>
      </c>
      <c r="G42" s="48">
        <v>2.73</v>
      </c>
      <c r="H42" s="82">
        <f t="shared" si="28"/>
        <v>35.385000000000005</v>
      </c>
      <c r="I42" s="82">
        <f t="shared" si="29"/>
        <v>36.75</v>
      </c>
      <c r="J42" s="49">
        <v>3700</v>
      </c>
      <c r="K42" s="304">
        <v>0</v>
      </c>
      <c r="L42" s="48">
        <v>0</v>
      </c>
      <c r="M42" s="48">
        <v>0</v>
      </c>
      <c r="N42" s="49">
        <f t="shared" si="11"/>
        <v>3330</v>
      </c>
      <c r="O42" s="52">
        <f t="shared" si="12"/>
        <v>3700</v>
      </c>
      <c r="P42" s="79">
        <f t="shared" si="13"/>
        <v>94.107672742687569</v>
      </c>
      <c r="Q42" s="53">
        <f t="shared" si="14"/>
        <v>0.1</v>
      </c>
      <c r="R42" s="54">
        <f t="shared" si="15"/>
        <v>370</v>
      </c>
      <c r="S42" s="53">
        <v>0.8</v>
      </c>
      <c r="T42" s="54">
        <f t="shared" si="30"/>
        <v>2960</v>
      </c>
      <c r="U42" s="53">
        <f t="shared" si="31"/>
        <v>9.9999999999999978E-2</v>
      </c>
      <c r="V42" s="54">
        <f t="shared" si="32"/>
        <v>369.99999999999994</v>
      </c>
      <c r="W42" s="55">
        <f ca="1">V42*VLOOKUP(TODAY(),'UF HOY'!$A$2:$B$36,2,0)</f>
        <v>14701557.799999999</v>
      </c>
      <c r="X42" s="56">
        <f>Datos!$K$8</f>
        <v>24</v>
      </c>
      <c r="Y42" s="55">
        <f ca="1">IF((W42-Datos!$U$8-1000000)/X42&gt;0,(W42-Datos!$U$8-1000000)/X42,0)</f>
        <v>566731.57499999995</v>
      </c>
      <c r="Z42" s="56">
        <f>Datos!$K$8</f>
        <v>24</v>
      </c>
      <c r="AA42" s="113">
        <f ca="1">IF((W42-Datos!$U$8-1000000-O42*4%*VLOOKUP(TODAY(),'UF HOY'!$A$2:$B$36,2,0))/Z42&gt;0,(W42-Datos!$U$8-1000000-O42*4%*VLOOKUP(TODAY(),'UF HOY'!$A$2:$B$36,2,0))/Z42,0)</f>
        <v>321705.61166666663</v>
      </c>
      <c r="AB42" s="113">
        <f>IF(L42&gt;0,VLOOKUP(D42,Datos!$A$48:$C$52,3,0),VLOOKUP(D42,Datos!$A$48:$C$52,2,0))</f>
        <v>370000</v>
      </c>
      <c r="AC42" s="55">
        <f ca="1">(S42*PMT(Datos!$G$15,Datos!$G$14,-O42,,)*VLOOKUP(TODAY(),'UF HOY'!$A$2:$B$36,2,0)/12)+VLOOKUP(TODAY(),'UF HOY'!$A$2:$B$36,2,0)</f>
        <v>606528.96999550145</v>
      </c>
      <c r="AD42" s="55">
        <f t="shared" ca="1" si="33"/>
        <v>-236528.96999550145</v>
      </c>
      <c r="AE42" s="93">
        <f t="shared" ca="1" si="16"/>
        <v>2426115.8799820058</v>
      </c>
    </row>
    <row r="43" spans="1:31" s="3" customFormat="1" x14ac:dyDescent="0.35">
      <c r="A43" s="94" t="s">
        <v>305</v>
      </c>
      <c r="B43" s="81">
        <v>705</v>
      </c>
      <c r="C43" s="48" t="s">
        <v>40</v>
      </c>
      <c r="D43" s="48" t="s">
        <v>37</v>
      </c>
      <c r="E43" s="48"/>
      <c r="F43" s="48">
        <v>34.020000000000003</v>
      </c>
      <c r="G43" s="48">
        <v>2.73</v>
      </c>
      <c r="H43" s="82">
        <f t="shared" si="28"/>
        <v>35.385000000000005</v>
      </c>
      <c r="I43" s="82">
        <f t="shared" si="29"/>
        <v>36.75</v>
      </c>
      <c r="J43" s="49">
        <v>3700</v>
      </c>
      <c r="K43" s="304">
        <v>0</v>
      </c>
      <c r="L43" s="48">
        <v>0</v>
      </c>
      <c r="M43" s="48">
        <v>0</v>
      </c>
      <c r="N43" s="49">
        <f t="shared" si="11"/>
        <v>3330</v>
      </c>
      <c r="O43" s="52">
        <f t="shared" si="12"/>
        <v>3700</v>
      </c>
      <c r="P43" s="79">
        <f t="shared" si="13"/>
        <v>94.107672742687569</v>
      </c>
      <c r="Q43" s="53">
        <f t="shared" si="14"/>
        <v>0.1</v>
      </c>
      <c r="R43" s="54">
        <f t="shared" si="15"/>
        <v>370</v>
      </c>
      <c r="S43" s="53">
        <v>0.8</v>
      </c>
      <c r="T43" s="54">
        <f t="shared" si="30"/>
        <v>2960</v>
      </c>
      <c r="U43" s="53">
        <f t="shared" si="31"/>
        <v>9.9999999999999978E-2</v>
      </c>
      <c r="V43" s="54">
        <f t="shared" si="32"/>
        <v>369.99999999999994</v>
      </c>
      <c r="W43" s="55">
        <f ca="1">V43*VLOOKUP(TODAY(),'UF HOY'!$A$2:$B$36,2,0)</f>
        <v>14701557.799999999</v>
      </c>
      <c r="X43" s="56">
        <f>Datos!$K$8</f>
        <v>24</v>
      </c>
      <c r="Y43" s="55">
        <f ca="1">IF((W43-Datos!$U$8-1000000)/X43&gt;0,(W43-Datos!$U$8-1000000)/X43,0)</f>
        <v>566731.57499999995</v>
      </c>
      <c r="Z43" s="56">
        <f>Datos!$K$8</f>
        <v>24</v>
      </c>
      <c r="AA43" s="113">
        <f ca="1">IF((W43-Datos!$U$8-1000000-O43*4%*VLOOKUP(TODAY(),'UF HOY'!$A$2:$B$36,2,0))/Z43&gt;0,(W43-Datos!$U$8-1000000-O43*4%*VLOOKUP(TODAY(),'UF HOY'!$A$2:$B$36,2,0))/Z43,0)</f>
        <v>321705.61166666663</v>
      </c>
      <c r="AB43" s="113">
        <f>IF(L43&gt;0,VLOOKUP(D43,Datos!$A$48:$C$52,3,0),VLOOKUP(D43,Datos!$A$48:$C$52,2,0))</f>
        <v>370000</v>
      </c>
      <c r="AC43" s="55">
        <f ca="1">(S43*PMT(Datos!$G$15,Datos!$G$14,-O43,,)*VLOOKUP(TODAY(),'UF HOY'!$A$2:$B$36,2,0)/12)+VLOOKUP(TODAY(),'UF HOY'!$A$2:$B$36,2,0)</f>
        <v>606528.96999550145</v>
      </c>
      <c r="AD43" s="55">
        <f t="shared" ca="1" si="33"/>
        <v>-236528.96999550145</v>
      </c>
      <c r="AE43" s="93">
        <f t="shared" ca="1" si="16"/>
        <v>2426115.8799820058</v>
      </c>
    </row>
    <row r="44" spans="1:31" s="3" customFormat="1" x14ac:dyDescent="0.35">
      <c r="A44" s="94" t="s">
        <v>305</v>
      </c>
      <c r="B44" s="81">
        <v>904</v>
      </c>
      <c r="C44" s="48" t="s">
        <v>40</v>
      </c>
      <c r="D44" s="48" t="s">
        <v>37</v>
      </c>
      <c r="E44" s="48"/>
      <c r="F44" s="48">
        <v>34.020000000000003</v>
      </c>
      <c r="G44" s="48">
        <v>2.73</v>
      </c>
      <c r="H44" s="82">
        <f t="shared" si="28"/>
        <v>35.385000000000005</v>
      </c>
      <c r="I44" s="82">
        <f t="shared" si="29"/>
        <v>36.75</v>
      </c>
      <c r="J44" s="49">
        <v>3700</v>
      </c>
      <c r="K44" s="304">
        <v>0</v>
      </c>
      <c r="L44" s="48">
        <v>0</v>
      </c>
      <c r="M44" s="48">
        <v>0</v>
      </c>
      <c r="N44" s="49">
        <f t="shared" si="11"/>
        <v>3330</v>
      </c>
      <c r="O44" s="52">
        <f t="shared" si="12"/>
        <v>3700</v>
      </c>
      <c r="P44" s="79">
        <f t="shared" si="13"/>
        <v>94.107672742687569</v>
      </c>
      <c r="Q44" s="53">
        <f t="shared" si="14"/>
        <v>0.1</v>
      </c>
      <c r="R44" s="54">
        <f t="shared" si="15"/>
        <v>370</v>
      </c>
      <c r="S44" s="53">
        <v>0.8</v>
      </c>
      <c r="T44" s="54">
        <f t="shared" si="30"/>
        <v>2960</v>
      </c>
      <c r="U44" s="53">
        <f t="shared" si="31"/>
        <v>9.9999999999999978E-2</v>
      </c>
      <c r="V44" s="54">
        <f t="shared" si="32"/>
        <v>369.99999999999994</v>
      </c>
      <c r="W44" s="55">
        <f ca="1">V44*VLOOKUP(TODAY(),'UF HOY'!$A$2:$B$36,2,0)</f>
        <v>14701557.799999999</v>
      </c>
      <c r="X44" s="56">
        <f>Datos!$K$8</f>
        <v>24</v>
      </c>
      <c r="Y44" s="55">
        <f ca="1">IF((W44-Datos!$U$8-1000000)/X44&gt;0,(W44-Datos!$U$8-1000000)/X44,0)</f>
        <v>566731.57499999995</v>
      </c>
      <c r="Z44" s="56">
        <f>Datos!$K$8</f>
        <v>24</v>
      </c>
      <c r="AA44" s="113">
        <f ca="1">IF((W44-Datos!$U$8-1000000-O44*4%*VLOOKUP(TODAY(),'UF HOY'!$A$2:$B$36,2,0))/Z44&gt;0,(W44-Datos!$U$8-1000000-O44*4%*VLOOKUP(TODAY(),'UF HOY'!$A$2:$B$36,2,0))/Z44,0)</f>
        <v>321705.61166666663</v>
      </c>
      <c r="AB44" s="113">
        <f>IF(L44&gt;0,VLOOKUP(D44,Datos!$A$48:$C$52,3,0),VLOOKUP(D44,Datos!$A$48:$C$52,2,0))</f>
        <v>370000</v>
      </c>
      <c r="AC44" s="55">
        <f ca="1">(S44*PMT(Datos!$G$15,Datos!$G$14,-O44,,)*VLOOKUP(TODAY(),'UF HOY'!$A$2:$B$36,2,0)/12)+VLOOKUP(TODAY(),'UF HOY'!$A$2:$B$36,2,0)</f>
        <v>606528.96999550145</v>
      </c>
      <c r="AD44" s="55">
        <f t="shared" ca="1" si="33"/>
        <v>-236528.96999550145</v>
      </c>
      <c r="AE44" s="93">
        <f t="shared" ca="1" si="16"/>
        <v>2426115.8799820058</v>
      </c>
    </row>
    <row r="45" spans="1:31" s="3" customFormat="1" x14ac:dyDescent="0.35">
      <c r="A45" s="94" t="s">
        <v>305</v>
      </c>
      <c r="B45" s="81">
        <v>905</v>
      </c>
      <c r="C45" s="48" t="s">
        <v>40</v>
      </c>
      <c r="D45" s="48" t="s">
        <v>37</v>
      </c>
      <c r="E45" s="48"/>
      <c r="F45" s="48">
        <v>34.020000000000003</v>
      </c>
      <c r="G45" s="48">
        <v>2.73</v>
      </c>
      <c r="H45" s="82">
        <f t="shared" si="28"/>
        <v>35.385000000000005</v>
      </c>
      <c r="I45" s="82">
        <f t="shared" si="29"/>
        <v>36.75</v>
      </c>
      <c r="J45" s="49">
        <v>3700</v>
      </c>
      <c r="K45" s="304">
        <v>0</v>
      </c>
      <c r="L45" s="48">
        <v>0</v>
      </c>
      <c r="M45" s="48">
        <v>0</v>
      </c>
      <c r="N45" s="49">
        <f t="shared" si="11"/>
        <v>3330</v>
      </c>
      <c r="O45" s="52">
        <f t="shared" si="12"/>
        <v>3700</v>
      </c>
      <c r="P45" s="79">
        <f t="shared" si="13"/>
        <v>94.107672742687569</v>
      </c>
      <c r="Q45" s="53">
        <f t="shared" si="14"/>
        <v>0.1</v>
      </c>
      <c r="R45" s="54">
        <f t="shared" si="15"/>
        <v>370</v>
      </c>
      <c r="S45" s="53">
        <v>0.8</v>
      </c>
      <c r="T45" s="54">
        <f t="shared" si="30"/>
        <v>2960</v>
      </c>
      <c r="U45" s="53">
        <f t="shared" si="31"/>
        <v>9.9999999999999978E-2</v>
      </c>
      <c r="V45" s="54">
        <f t="shared" si="32"/>
        <v>369.99999999999994</v>
      </c>
      <c r="W45" s="55">
        <f ca="1">V45*VLOOKUP(TODAY(),'UF HOY'!$A$2:$B$36,2,0)</f>
        <v>14701557.799999999</v>
      </c>
      <c r="X45" s="56">
        <f>Datos!$K$8</f>
        <v>24</v>
      </c>
      <c r="Y45" s="55">
        <f ca="1">IF((W45-Datos!$U$8-1000000)/X45&gt;0,(W45-Datos!$U$8-1000000)/X45,0)</f>
        <v>566731.57499999995</v>
      </c>
      <c r="Z45" s="56">
        <f>Datos!$K$8</f>
        <v>24</v>
      </c>
      <c r="AA45" s="113">
        <f ca="1">IF((W45-Datos!$U$8-1000000-O45*4%*VLOOKUP(TODAY(),'UF HOY'!$A$2:$B$36,2,0))/Z45&gt;0,(W45-Datos!$U$8-1000000-O45*4%*VLOOKUP(TODAY(),'UF HOY'!$A$2:$B$36,2,0))/Z45,0)</f>
        <v>321705.61166666663</v>
      </c>
      <c r="AB45" s="113">
        <f>IF(L45&gt;0,VLOOKUP(D45,Datos!$A$48:$C$52,3,0),VLOOKUP(D45,Datos!$A$48:$C$52,2,0))</f>
        <v>370000</v>
      </c>
      <c r="AC45" s="55">
        <f ca="1">(S45*PMT(Datos!$G$15,Datos!$G$14,-O45,,)*VLOOKUP(TODAY(),'UF HOY'!$A$2:$B$36,2,0)/12)+VLOOKUP(TODAY(),'UF HOY'!$A$2:$B$36,2,0)</f>
        <v>606528.96999550145</v>
      </c>
      <c r="AD45" s="55">
        <f t="shared" ca="1" si="33"/>
        <v>-236528.96999550145</v>
      </c>
      <c r="AE45" s="93">
        <f t="shared" ca="1" si="16"/>
        <v>2426115.8799820058</v>
      </c>
    </row>
    <row r="46" spans="1:31" s="3" customFormat="1" x14ac:dyDescent="0.35">
      <c r="A46" s="94" t="s">
        <v>305</v>
      </c>
      <c r="B46" s="81">
        <v>804</v>
      </c>
      <c r="C46" s="48" t="s">
        <v>40</v>
      </c>
      <c r="D46" s="48" t="s">
        <v>37</v>
      </c>
      <c r="E46" s="48"/>
      <c r="F46" s="48">
        <v>34.020000000000003</v>
      </c>
      <c r="G46" s="48">
        <v>2.73</v>
      </c>
      <c r="H46" s="82">
        <f t="shared" si="28"/>
        <v>35.385000000000005</v>
      </c>
      <c r="I46" s="82">
        <f t="shared" si="29"/>
        <v>36.75</v>
      </c>
      <c r="J46" s="49">
        <v>3735</v>
      </c>
      <c r="K46" s="304">
        <v>0</v>
      </c>
      <c r="L46" s="48">
        <v>0</v>
      </c>
      <c r="M46" s="48">
        <v>0</v>
      </c>
      <c r="N46" s="49">
        <f t="shared" si="11"/>
        <v>3361.5</v>
      </c>
      <c r="O46" s="52">
        <f t="shared" si="12"/>
        <v>3735</v>
      </c>
      <c r="P46" s="79">
        <f t="shared" si="13"/>
        <v>94.997880457821097</v>
      </c>
      <c r="Q46" s="53">
        <f t="shared" si="14"/>
        <v>0.1</v>
      </c>
      <c r="R46" s="54">
        <f t="shared" si="15"/>
        <v>373.5</v>
      </c>
      <c r="S46" s="53">
        <v>0.8</v>
      </c>
      <c r="T46" s="54">
        <f t="shared" si="30"/>
        <v>2988</v>
      </c>
      <c r="U46" s="53">
        <f t="shared" si="31"/>
        <v>9.9999999999999978E-2</v>
      </c>
      <c r="V46" s="54">
        <f t="shared" si="32"/>
        <v>373.49999999999994</v>
      </c>
      <c r="W46" s="55">
        <f ca="1">V46*VLOOKUP(TODAY(),'UF HOY'!$A$2:$B$36,2,0)</f>
        <v>14840626.589999998</v>
      </c>
      <c r="X46" s="56">
        <f>Datos!$K$8</f>
        <v>24</v>
      </c>
      <c r="Y46" s="55">
        <f ca="1">IF((W46-Datos!$U$8-1000000)/X46&gt;0,(W46-Datos!$U$8-1000000)/X46,0)</f>
        <v>572526.10791666654</v>
      </c>
      <c r="Z46" s="56">
        <f>Datos!$K$8</f>
        <v>24</v>
      </c>
      <c r="AA46" s="113">
        <f ca="1">IF((W46-Datos!$U$8-1000000-O46*4%*VLOOKUP(TODAY(),'UF HOY'!$A$2:$B$36,2,0))/Z46&gt;0,(W46-Datos!$U$8-1000000-O46*4%*VLOOKUP(TODAY(),'UF HOY'!$A$2:$B$36,2,0))/Z46,0)</f>
        <v>325182.33141666657</v>
      </c>
      <c r="AB46" s="113">
        <f>IF(L46&gt;0,VLOOKUP(D46,Datos!$A$48:$C$52,3,0),VLOOKUP(D46,Datos!$A$48:$C$52,2,0))</f>
        <v>370000</v>
      </c>
      <c r="AC46" s="55">
        <f ca="1">(S46*PMT(Datos!$G$15,Datos!$G$14,-O46,,)*VLOOKUP(TODAY(),'UF HOY'!$A$2:$B$36,2,0)/12)+VLOOKUP(TODAY(),'UF HOY'!$A$2:$B$36,2,0)</f>
        <v>611890.5446035671</v>
      </c>
      <c r="AD46" s="55">
        <f t="shared" ca="1" si="33"/>
        <v>-241890.5446035671</v>
      </c>
      <c r="AE46" s="93">
        <f t="shared" ca="1" si="16"/>
        <v>2447562.1784142684</v>
      </c>
    </row>
    <row r="47" spans="1:31" s="3" customFormat="1" x14ac:dyDescent="0.35">
      <c r="A47" s="94" t="s">
        <v>305</v>
      </c>
      <c r="B47" s="81">
        <v>805</v>
      </c>
      <c r="C47" s="48" t="s">
        <v>40</v>
      </c>
      <c r="D47" s="48" t="s">
        <v>37</v>
      </c>
      <c r="E47" s="48"/>
      <c r="F47" s="48">
        <v>34.020000000000003</v>
      </c>
      <c r="G47" s="48">
        <v>2.73</v>
      </c>
      <c r="H47" s="82">
        <f t="shared" si="28"/>
        <v>35.385000000000005</v>
      </c>
      <c r="I47" s="82">
        <f t="shared" si="29"/>
        <v>36.75</v>
      </c>
      <c r="J47" s="49">
        <v>3735</v>
      </c>
      <c r="K47" s="304">
        <v>0</v>
      </c>
      <c r="L47" s="48">
        <v>0</v>
      </c>
      <c r="M47" s="48">
        <v>0</v>
      </c>
      <c r="N47" s="49">
        <f t="shared" si="11"/>
        <v>3361.5</v>
      </c>
      <c r="O47" s="52">
        <f t="shared" si="12"/>
        <v>3735</v>
      </c>
      <c r="P47" s="79">
        <f t="shared" si="13"/>
        <v>94.997880457821097</v>
      </c>
      <c r="Q47" s="53">
        <f t="shared" si="14"/>
        <v>0.1</v>
      </c>
      <c r="R47" s="54">
        <f t="shared" si="15"/>
        <v>373.5</v>
      </c>
      <c r="S47" s="53">
        <v>0.8</v>
      </c>
      <c r="T47" s="54">
        <f t="shared" si="30"/>
        <v>2988</v>
      </c>
      <c r="U47" s="53">
        <f t="shared" si="31"/>
        <v>9.9999999999999978E-2</v>
      </c>
      <c r="V47" s="54">
        <f t="shared" si="32"/>
        <v>373.49999999999994</v>
      </c>
      <c r="W47" s="55">
        <f ca="1">V47*VLOOKUP(TODAY(),'UF HOY'!$A$2:$B$36,2,0)</f>
        <v>14840626.589999998</v>
      </c>
      <c r="X47" s="56">
        <f>Datos!$K$8</f>
        <v>24</v>
      </c>
      <c r="Y47" s="55">
        <f ca="1">IF((W47-Datos!$U$8-1000000)/X47&gt;0,(W47-Datos!$U$8-1000000)/X47,0)</f>
        <v>572526.10791666654</v>
      </c>
      <c r="Z47" s="56">
        <f>Datos!$K$8</f>
        <v>24</v>
      </c>
      <c r="AA47" s="113">
        <f ca="1">IF((W47-Datos!$U$8-1000000-O47*4%*VLOOKUP(TODAY(),'UF HOY'!$A$2:$B$36,2,0))/Z47&gt;0,(W47-Datos!$U$8-1000000-O47*4%*VLOOKUP(TODAY(),'UF HOY'!$A$2:$B$36,2,0))/Z47,0)</f>
        <v>325182.33141666657</v>
      </c>
      <c r="AB47" s="113">
        <f>IF(L47&gt;0,VLOOKUP(D47,Datos!$A$48:$C$52,3,0),VLOOKUP(D47,Datos!$A$48:$C$52,2,0))</f>
        <v>370000</v>
      </c>
      <c r="AC47" s="55">
        <f ca="1">(S47*PMT(Datos!$G$15,Datos!$G$14,-O47,,)*VLOOKUP(TODAY(),'UF HOY'!$A$2:$B$36,2,0)/12)+VLOOKUP(TODAY(),'UF HOY'!$A$2:$B$36,2,0)</f>
        <v>611890.5446035671</v>
      </c>
      <c r="AD47" s="55">
        <f t="shared" ca="1" si="33"/>
        <v>-241890.5446035671</v>
      </c>
      <c r="AE47" s="93">
        <f t="shared" ca="1" si="16"/>
        <v>2447562.1784142684</v>
      </c>
    </row>
    <row r="48" spans="1:31" s="3" customFormat="1" x14ac:dyDescent="0.35">
      <c r="A48" s="94" t="s">
        <v>305</v>
      </c>
      <c r="B48" s="81">
        <v>309</v>
      </c>
      <c r="C48" s="48" t="s">
        <v>38</v>
      </c>
      <c r="D48" s="48" t="s">
        <v>39</v>
      </c>
      <c r="E48" s="48"/>
      <c r="F48" s="48">
        <v>48.73</v>
      </c>
      <c r="G48" s="48">
        <v>2.1800000000000002</v>
      </c>
      <c r="H48" s="82">
        <f t="shared" si="28"/>
        <v>49.82</v>
      </c>
      <c r="I48" s="82">
        <f t="shared" si="29"/>
        <v>50.91</v>
      </c>
      <c r="J48" s="49">
        <v>4350</v>
      </c>
      <c r="K48" s="304">
        <v>0</v>
      </c>
      <c r="L48" s="48">
        <v>390</v>
      </c>
      <c r="M48" s="48">
        <v>65</v>
      </c>
      <c r="N48" s="49">
        <f t="shared" si="11"/>
        <v>4370</v>
      </c>
      <c r="O48" s="52">
        <f t="shared" si="12"/>
        <v>4805</v>
      </c>
      <c r="P48" s="79">
        <f t="shared" si="13"/>
        <v>78.582898434363713</v>
      </c>
      <c r="Q48" s="53">
        <f t="shared" si="14"/>
        <v>9.0499999999999997E-2</v>
      </c>
      <c r="R48" s="54">
        <f t="shared" si="15"/>
        <v>435</v>
      </c>
      <c r="S48" s="53">
        <v>0.8</v>
      </c>
      <c r="T48" s="54">
        <f t="shared" si="30"/>
        <v>3844</v>
      </c>
      <c r="U48" s="53">
        <f t="shared" si="31"/>
        <v>0.10949999999999993</v>
      </c>
      <c r="V48" s="54">
        <f t="shared" si="32"/>
        <v>526.1474999999997</v>
      </c>
      <c r="W48" s="55">
        <f ca="1">V48*VLOOKUP(TODAY(),'UF HOY'!$A$2:$B$36,2,0)</f>
        <v>20905913.19614999</v>
      </c>
      <c r="X48" s="56">
        <f>Datos!$K$8</f>
        <v>24</v>
      </c>
      <c r="Y48" s="55">
        <f ca="1">IF((W48-Datos!$U$8-1000000)/X48&gt;0,(W48-Datos!$U$8-1000000)/X48,0)</f>
        <v>825246.38317291625</v>
      </c>
      <c r="Z48" s="56">
        <f>Datos!$K$8</f>
        <v>24</v>
      </c>
      <c r="AA48" s="113">
        <f ca="1">IF((W48-Datos!$U$8-1000000-O48*4%*VLOOKUP(TODAY(),'UF HOY'!$A$2:$B$36,2,0))/Z48&gt;0,(W48-Datos!$U$8-1000000-O48*4%*VLOOKUP(TODAY(),'UF HOY'!$A$2:$B$36,2,0))/Z48,0)</f>
        <v>507043.74700624956</v>
      </c>
      <c r="AB48" s="113">
        <f>IF(L48&gt;0,VLOOKUP(D48,Datos!$A$48:$C$52,3,0),VLOOKUP(D48,Datos!$A$48:$C$52,2,0))</f>
        <v>550000</v>
      </c>
      <c r="AC48" s="55">
        <f ca="1">(S48*PMT(Datos!$G$15,Datos!$G$14,-O48,,)*VLOOKUP(TODAY(),'UF HOY'!$A$2:$B$36,2,0)/12)+VLOOKUP(TODAY(),'UF HOY'!$A$2:$B$36,2,0)</f>
        <v>775801.53976442828</v>
      </c>
      <c r="AD48" s="55">
        <f t="shared" ca="1" si="33"/>
        <v>-225801.53976442828</v>
      </c>
      <c r="AE48" s="93">
        <f t="shared" ca="1" si="16"/>
        <v>3103206.1590577131</v>
      </c>
    </row>
    <row r="49" spans="1:31" s="3" customFormat="1" x14ac:dyDescent="0.35">
      <c r="A49" s="94" t="s">
        <v>305</v>
      </c>
      <c r="B49" s="81">
        <v>407</v>
      </c>
      <c r="C49" s="48" t="s">
        <v>40</v>
      </c>
      <c r="D49" s="48" t="s">
        <v>39</v>
      </c>
      <c r="E49" s="48"/>
      <c r="F49" s="48">
        <v>46.37</v>
      </c>
      <c r="G49" s="48">
        <v>2.3199999999999998</v>
      </c>
      <c r="H49" s="82">
        <f t="shared" si="28"/>
        <v>47.529999999999994</v>
      </c>
      <c r="I49" s="82">
        <f t="shared" si="29"/>
        <v>48.69</v>
      </c>
      <c r="J49" s="49">
        <v>4450</v>
      </c>
      <c r="K49" s="304">
        <v>0</v>
      </c>
      <c r="L49" s="48">
        <v>390</v>
      </c>
      <c r="M49" s="48">
        <v>65</v>
      </c>
      <c r="N49" s="49">
        <f t="shared" si="11"/>
        <v>4460</v>
      </c>
      <c r="O49" s="52">
        <f t="shared" si="12"/>
        <v>4905</v>
      </c>
      <c r="P49" s="79">
        <f t="shared" si="13"/>
        <v>84.262571007784572</v>
      </c>
      <c r="Q49" s="53">
        <f t="shared" si="14"/>
        <v>9.0700000000000003E-2</v>
      </c>
      <c r="R49" s="54">
        <f t="shared" si="15"/>
        <v>445</v>
      </c>
      <c r="S49" s="53">
        <v>0.8</v>
      </c>
      <c r="T49" s="54">
        <f t="shared" si="30"/>
        <v>3924</v>
      </c>
      <c r="U49" s="53">
        <f t="shared" si="31"/>
        <v>0.10929999999999995</v>
      </c>
      <c r="V49" s="54">
        <f t="shared" si="32"/>
        <v>536.11649999999975</v>
      </c>
      <c r="W49" s="55">
        <f ca="1">V49*VLOOKUP(TODAY(),'UF HOY'!$A$2:$B$36,2,0)</f>
        <v>21302020.844009992</v>
      </c>
      <c r="X49" s="56">
        <f>Datos!$K$8</f>
        <v>24</v>
      </c>
      <c r="Y49" s="55">
        <f ca="1">IF((W49-Datos!$U$8-1000000)/X49&gt;0,(W49-Datos!$U$8-1000000)/X49,0)</f>
        <v>841750.86850041628</v>
      </c>
      <c r="Z49" s="56">
        <f>Datos!$K$8</f>
        <v>24</v>
      </c>
      <c r="AA49" s="113">
        <f ca="1">IF((W49-Datos!$U$8-1000000-O49*4%*VLOOKUP(TODAY(),'UF HOY'!$A$2:$B$36,2,0))/Z49&gt;0,(W49-Datos!$U$8-1000000-O49*4%*VLOOKUP(TODAY(),'UF HOY'!$A$2:$B$36,2,0))/Z49,0)</f>
        <v>516925.90900041629</v>
      </c>
      <c r="AB49" s="113">
        <f>IF(L49&gt;0,VLOOKUP(D49,Datos!$A$48:$C$52,3,0),VLOOKUP(D49,Datos!$A$48:$C$52,2,0))</f>
        <v>550000</v>
      </c>
      <c r="AC49" s="55">
        <f ca="1">(S49*PMT(Datos!$G$15,Datos!$G$14,-O49,,)*VLOOKUP(TODAY(),'UF HOY'!$A$2:$B$36,2,0)/12)+VLOOKUP(TODAY(),'UF HOY'!$A$2:$B$36,2,0)</f>
        <v>791120.32435890147</v>
      </c>
      <c r="AD49" s="55">
        <f t="shared" ca="1" si="33"/>
        <v>-241120.32435890147</v>
      </c>
      <c r="AE49" s="93">
        <f t="shared" ca="1" si="16"/>
        <v>3164481.2974356059</v>
      </c>
    </row>
    <row r="50" spans="1:31" s="3" customFormat="1" x14ac:dyDescent="0.35">
      <c r="A50" s="94" t="s">
        <v>305</v>
      </c>
      <c r="B50" s="81">
        <v>211</v>
      </c>
      <c r="C50" s="48" t="s">
        <v>38</v>
      </c>
      <c r="D50" s="48" t="s">
        <v>39</v>
      </c>
      <c r="E50" s="48"/>
      <c r="F50" s="48">
        <v>48.86</v>
      </c>
      <c r="G50" s="48">
        <v>2.13</v>
      </c>
      <c r="H50" s="82">
        <f t="shared" si="28"/>
        <v>49.924999999999997</v>
      </c>
      <c r="I50" s="82">
        <f t="shared" si="29"/>
        <v>50.99</v>
      </c>
      <c r="J50" s="49">
        <v>4495</v>
      </c>
      <c r="K50" s="304">
        <v>0</v>
      </c>
      <c r="L50" s="48">
        <v>390</v>
      </c>
      <c r="M50" s="48">
        <v>65</v>
      </c>
      <c r="N50" s="49">
        <f t="shared" si="11"/>
        <v>4500.5</v>
      </c>
      <c r="O50" s="52">
        <f t="shared" si="12"/>
        <v>4950</v>
      </c>
      <c r="P50" s="79">
        <f t="shared" si="13"/>
        <v>81.031547320981474</v>
      </c>
      <c r="Q50" s="53">
        <f t="shared" si="14"/>
        <v>9.0800000000000006E-2</v>
      </c>
      <c r="R50" s="54">
        <f t="shared" si="15"/>
        <v>449.5</v>
      </c>
      <c r="S50" s="53">
        <v>0.8</v>
      </c>
      <c r="T50" s="54">
        <f t="shared" si="30"/>
        <v>3960</v>
      </c>
      <c r="U50" s="53">
        <f t="shared" si="31"/>
        <v>0.10919999999999996</v>
      </c>
      <c r="V50" s="54">
        <f t="shared" si="32"/>
        <v>540.53999999999985</v>
      </c>
      <c r="W50" s="55">
        <f ca="1">V50*VLOOKUP(TODAY(),'UF HOY'!$A$2:$B$36,2,0)</f>
        <v>21477783.927599996</v>
      </c>
      <c r="X50" s="56">
        <f>Datos!$K$8</f>
        <v>24</v>
      </c>
      <c r="Y50" s="55">
        <f ca="1">IF((W50-Datos!$U$8-1000000)/X50&gt;0,(W50-Datos!$U$8-1000000)/X50,0)</f>
        <v>849074.33031666651</v>
      </c>
      <c r="Z50" s="56">
        <f>Datos!$K$8</f>
        <v>24</v>
      </c>
      <c r="AA50" s="113">
        <f ca="1">IF((W50-Datos!$U$8-1000000-O50*4%*VLOOKUP(TODAY(),'UF HOY'!$A$2:$B$36,2,0))/Z50&gt;0,(W50-Datos!$U$8-1000000-O50*4%*VLOOKUP(TODAY(),'UF HOY'!$A$2:$B$36,2,0))/Z50,0)</f>
        <v>521269.32531666645</v>
      </c>
      <c r="AB50" s="113">
        <f>IF(L50&gt;0,VLOOKUP(D50,Datos!$A$48:$C$52,3,0),VLOOKUP(D50,Datos!$A$48:$C$52,2,0))</f>
        <v>550000</v>
      </c>
      <c r="AC50" s="55">
        <f ca="1">(S50*PMT(Datos!$G$15,Datos!$G$14,-O50,,)*VLOOKUP(TODAY(),'UF HOY'!$A$2:$B$36,2,0)/12)+VLOOKUP(TODAY(),'UF HOY'!$A$2:$B$36,2,0)</f>
        <v>798013.77742641419</v>
      </c>
      <c r="AD50" s="55">
        <f t="shared" ca="1" si="33"/>
        <v>-248013.77742641419</v>
      </c>
      <c r="AE50" s="93">
        <f t="shared" ca="1" si="16"/>
        <v>3192055.1097056568</v>
      </c>
    </row>
    <row r="51" spans="1:31" s="3" customFormat="1" x14ac:dyDescent="0.35">
      <c r="A51" s="94" t="s">
        <v>305</v>
      </c>
      <c r="B51" s="81">
        <v>507</v>
      </c>
      <c r="C51" s="48" t="s">
        <v>40</v>
      </c>
      <c r="D51" s="48" t="s">
        <v>39</v>
      </c>
      <c r="E51" s="48"/>
      <c r="F51" s="48">
        <v>46.37</v>
      </c>
      <c r="G51" s="48">
        <v>2.3199999999999998</v>
      </c>
      <c r="H51" s="82">
        <f t="shared" si="28"/>
        <v>47.529999999999994</v>
      </c>
      <c r="I51" s="82">
        <f t="shared" si="29"/>
        <v>48.69</v>
      </c>
      <c r="J51" s="49">
        <v>4515</v>
      </c>
      <c r="K51" s="304">
        <v>0</v>
      </c>
      <c r="L51" s="48">
        <v>390</v>
      </c>
      <c r="M51" s="48">
        <v>65</v>
      </c>
      <c r="N51" s="49">
        <f t="shared" si="11"/>
        <v>4518.5</v>
      </c>
      <c r="O51" s="52">
        <f t="shared" si="12"/>
        <v>4970</v>
      </c>
      <c r="P51" s="79">
        <f t="shared" si="13"/>
        <v>85.493372606774685</v>
      </c>
      <c r="Q51" s="53">
        <f t="shared" si="14"/>
        <v>9.0800000000000006E-2</v>
      </c>
      <c r="R51" s="54">
        <f t="shared" si="15"/>
        <v>451.5</v>
      </c>
      <c r="S51" s="53">
        <v>0.8</v>
      </c>
      <c r="T51" s="54">
        <f t="shared" si="30"/>
        <v>3976</v>
      </c>
      <c r="U51" s="53">
        <f t="shared" si="31"/>
        <v>0.10919999999999996</v>
      </c>
      <c r="V51" s="54">
        <f t="shared" si="32"/>
        <v>542.72399999999982</v>
      </c>
      <c r="W51" s="55">
        <f ca="1">V51*VLOOKUP(TODAY(),'UF HOY'!$A$2:$B$36,2,0)</f>
        <v>21564562.852559995</v>
      </c>
      <c r="X51" s="56">
        <f>Datos!$K$8</f>
        <v>24</v>
      </c>
      <c r="Y51" s="55">
        <f ca="1">IF((W51-Datos!$U$8-1000000)/X51&gt;0,(W51-Datos!$U$8-1000000)/X51,0)</f>
        <v>852690.11885666649</v>
      </c>
      <c r="Z51" s="56">
        <f>Datos!$K$8</f>
        <v>24</v>
      </c>
      <c r="AA51" s="113">
        <f ca="1">IF((W51-Datos!$U$8-1000000-O51*4%*VLOOKUP(TODAY(),'UF HOY'!$A$2:$B$36,2,0))/Z51&gt;0,(W51-Datos!$U$8-1000000-O51*4%*VLOOKUP(TODAY(),'UF HOY'!$A$2:$B$36,2,0))/Z51,0)</f>
        <v>523560.64918999979</v>
      </c>
      <c r="AB51" s="113">
        <f>IF(L51&gt;0,VLOOKUP(D51,Datos!$A$48:$C$52,3,0),VLOOKUP(D51,Datos!$A$48:$C$52,2,0))</f>
        <v>550000</v>
      </c>
      <c r="AC51" s="55">
        <f ca="1">(S51*PMT(Datos!$G$15,Datos!$G$14,-O51,,)*VLOOKUP(TODAY(),'UF HOY'!$A$2:$B$36,2,0)/12)+VLOOKUP(TODAY(),'UF HOY'!$A$2:$B$36,2,0)</f>
        <v>801077.53434530878</v>
      </c>
      <c r="AD51" s="55">
        <f t="shared" ca="1" si="33"/>
        <v>-251077.53434530878</v>
      </c>
      <c r="AE51" s="93">
        <f t="shared" ca="1" si="16"/>
        <v>3204310.1373812351</v>
      </c>
    </row>
    <row r="52" spans="1:31" s="3" customFormat="1" x14ac:dyDescent="0.35">
      <c r="A52" s="94" t="s">
        <v>305</v>
      </c>
      <c r="B52" s="81">
        <v>609</v>
      </c>
      <c r="C52" s="48" t="s">
        <v>38</v>
      </c>
      <c r="D52" s="48" t="s">
        <v>39</v>
      </c>
      <c r="E52" s="48"/>
      <c r="F52" s="48">
        <v>48.73</v>
      </c>
      <c r="G52" s="48">
        <v>2.1800000000000002</v>
      </c>
      <c r="H52" s="82">
        <f t="shared" si="28"/>
        <v>49.82</v>
      </c>
      <c r="I52" s="82">
        <f t="shared" si="29"/>
        <v>50.91</v>
      </c>
      <c r="J52" s="49">
        <v>4520</v>
      </c>
      <c r="K52" s="304">
        <v>0</v>
      </c>
      <c r="L52" s="48">
        <v>390</v>
      </c>
      <c r="M52" s="48">
        <v>65</v>
      </c>
      <c r="N52" s="49">
        <f t="shared" si="11"/>
        <v>4523</v>
      </c>
      <c r="O52" s="52">
        <f t="shared" si="12"/>
        <v>4975</v>
      </c>
      <c r="P52" s="79">
        <f t="shared" si="13"/>
        <v>81.653954235246886</v>
      </c>
      <c r="Q52" s="53">
        <f t="shared" si="14"/>
        <v>9.0899999999999995E-2</v>
      </c>
      <c r="R52" s="54">
        <f t="shared" si="15"/>
        <v>452</v>
      </c>
      <c r="S52" s="53">
        <v>0.8</v>
      </c>
      <c r="T52" s="54">
        <f t="shared" si="30"/>
        <v>3980</v>
      </c>
      <c r="U52" s="53">
        <f t="shared" si="31"/>
        <v>0.10909999999999997</v>
      </c>
      <c r="V52" s="54">
        <f t="shared" si="32"/>
        <v>542.77249999999992</v>
      </c>
      <c r="W52" s="55">
        <f ca="1">V52*VLOOKUP(TODAY(),'UF HOY'!$A$2:$B$36,2,0)</f>
        <v>21566489.948649999</v>
      </c>
      <c r="X52" s="56">
        <f>Datos!$K$8</f>
        <v>24</v>
      </c>
      <c r="Y52" s="55">
        <f ca="1">IF((W52-Datos!$U$8-1000000)/X52&gt;0,(W52-Datos!$U$8-1000000)/X52,0)</f>
        <v>852770.41452708328</v>
      </c>
      <c r="Z52" s="56">
        <f>Datos!$K$8</f>
        <v>24</v>
      </c>
      <c r="AA52" s="113">
        <f ca="1">IF((W52-Datos!$U$8-1000000-O52*4%*VLOOKUP(TODAY(),'UF HOY'!$A$2:$B$36,2,0))/Z52&gt;0,(W52-Datos!$U$8-1000000-O52*4%*VLOOKUP(TODAY(),'UF HOY'!$A$2:$B$36,2,0))/Z52,0)</f>
        <v>523309.82869374991</v>
      </c>
      <c r="AB52" s="113">
        <f>IF(L52&gt;0,VLOOKUP(D52,Datos!$A$48:$C$52,3,0),VLOOKUP(D52,Datos!$A$48:$C$52,2,0))</f>
        <v>550000</v>
      </c>
      <c r="AC52" s="55">
        <f ca="1">(S52*PMT(Datos!$G$15,Datos!$G$14,-O52,,)*VLOOKUP(TODAY(),'UF HOY'!$A$2:$B$36,2,0)/12)+VLOOKUP(TODAY(),'UF HOY'!$A$2:$B$36,2,0)</f>
        <v>801843.47357503232</v>
      </c>
      <c r="AD52" s="55">
        <f t="shared" ca="1" si="33"/>
        <v>-251843.47357503232</v>
      </c>
      <c r="AE52" s="93">
        <f t="shared" ca="1" si="16"/>
        <v>3207373.8943001293</v>
      </c>
    </row>
    <row r="53" spans="1:31" s="3" customFormat="1" x14ac:dyDescent="0.35">
      <c r="A53" s="94" t="s">
        <v>305</v>
      </c>
      <c r="B53" s="81">
        <v>311</v>
      </c>
      <c r="C53" s="48" t="s">
        <v>38</v>
      </c>
      <c r="D53" s="48" t="s">
        <v>39</v>
      </c>
      <c r="E53" s="48"/>
      <c r="F53" s="48">
        <v>48.86</v>
      </c>
      <c r="G53" s="48">
        <v>2.13</v>
      </c>
      <c r="H53" s="82">
        <f t="shared" si="28"/>
        <v>49.924999999999997</v>
      </c>
      <c r="I53" s="82">
        <f t="shared" si="29"/>
        <v>50.99</v>
      </c>
      <c r="J53" s="49">
        <v>4532</v>
      </c>
      <c r="K53" s="304">
        <v>0</v>
      </c>
      <c r="L53" s="48">
        <v>390</v>
      </c>
      <c r="M53" s="48">
        <v>65</v>
      </c>
      <c r="N53" s="49">
        <f t="shared" si="11"/>
        <v>4533.8</v>
      </c>
      <c r="O53" s="52">
        <f t="shared" si="12"/>
        <v>4987</v>
      </c>
      <c r="P53" s="79">
        <f t="shared" si="13"/>
        <v>81.698547821732603</v>
      </c>
      <c r="Q53" s="53">
        <f t="shared" si="14"/>
        <v>9.0899999999999995E-2</v>
      </c>
      <c r="R53" s="54">
        <f t="shared" si="15"/>
        <v>453.20000000000005</v>
      </c>
      <c r="S53" s="53">
        <v>0.8</v>
      </c>
      <c r="T53" s="54">
        <f t="shared" si="30"/>
        <v>3989.6000000000004</v>
      </c>
      <c r="U53" s="53">
        <f t="shared" si="31"/>
        <v>0.10909999999999997</v>
      </c>
      <c r="V53" s="54">
        <f t="shared" si="32"/>
        <v>544.08169999999984</v>
      </c>
      <c r="W53" s="55">
        <f ca="1">V53*VLOOKUP(TODAY(),'UF HOY'!$A$2:$B$36,2,0)</f>
        <v>21618509.622897994</v>
      </c>
      <c r="X53" s="56">
        <f>Datos!$K$8</f>
        <v>24</v>
      </c>
      <c r="Y53" s="55">
        <f ca="1">IF((W53-Datos!$U$8-1000000)/X53&gt;0,(W53-Datos!$U$8-1000000)/X53,0)</f>
        <v>854937.90095408307</v>
      </c>
      <c r="Z53" s="56">
        <f>Datos!$K$8</f>
        <v>24</v>
      </c>
      <c r="AA53" s="113">
        <f ca="1">IF((W53-Datos!$U$8-1000000-O53*4%*VLOOKUP(TODAY(),'UF HOY'!$A$2:$B$36,2,0))/Z53&gt;0,(W53-Datos!$U$8-1000000-O53*4%*VLOOKUP(TODAY(),'UF HOY'!$A$2:$B$36,2,0))/Z53,0)</f>
        <v>524682.63632074965</v>
      </c>
      <c r="AB53" s="113">
        <f>IF(L53&gt;0,VLOOKUP(D53,Datos!$A$48:$C$52,3,0),VLOOKUP(D53,Datos!$A$48:$C$52,2,0))</f>
        <v>550000</v>
      </c>
      <c r="AC53" s="55">
        <f ca="1">(S53*PMT(Datos!$G$15,Datos!$G$14,-O53,,)*VLOOKUP(TODAY(),'UF HOY'!$A$2:$B$36,2,0)/12)+VLOOKUP(TODAY(),'UF HOY'!$A$2:$B$36,2,0)</f>
        <v>803681.72772636916</v>
      </c>
      <c r="AD53" s="55">
        <f t="shared" ca="1" si="33"/>
        <v>-253681.72772636916</v>
      </c>
      <c r="AE53" s="93">
        <f t="shared" ca="1" si="16"/>
        <v>3214726.9109054767</v>
      </c>
    </row>
    <row r="54" spans="1:31" s="3" customFormat="1" x14ac:dyDescent="0.35">
      <c r="A54" s="94" t="s">
        <v>305</v>
      </c>
      <c r="B54" s="81">
        <v>607</v>
      </c>
      <c r="C54" s="48" t="s">
        <v>40</v>
      </c>
      <c r="D54" s="48" t="s">
        <v>39</v>
      </c>
      <c r="E54" s="48"/>
      <c r="F54" s="48">
        <v>46.37</v>
      </c>
      <c r="G54" s="48">
        <v>2.3199999999999998</v>
      </c>
      <c r="H54" s="82">
        <f t="shared" si="28"/>
        <v>47.529999999999994</v>
      </c>
      <c r="I54" s="82">
        <f t="shared" si="29"/>
        <v>48.69</v>
      </c>
      <c r="J54" s="49">
        <v>4580</v>
      </c>
      <c r="K54" s="304">
        <v>0</v>
      </c>
      <c r="L54" s="48">
        <v>390</v>
      </c>
      <c r="M54" s="48">
        <v>65</v>
      </c>
      <c r="N54" s="49">
        <f t="shared" si="11"/>
        <v>4577</v>
      </c>
      <c r="O54" s="52">
        <f t="shared" si="12"/>
        <v>5035</v>
      </c>
      <c r="P54" s="79">
        <f t="shared" si="13"/>
        <v>86.724174205764797</v>
      </c>
      <c r="Q54" s="53">
        <f t="shared" si="14"/>
        <v>9.0999999999999998E-2</v>
      </c>
      <c r="R54" s="54">
        <f t="shared" si="15"/>
        <v>458</v>
      </c>
      <c r="S54" s="53">
        <v>0.8</v>
      </c>
      <c r="T54" s="54">
        <f t="shared" si="30"/>
        <v>4028</v>
      </c>
      <c r="U54" s="53">
        <f t="shared" si="31"/>
        <v>0.10899999999999999</v>
      </c>
      <c r="V54" s="54">
        <f t="shared" si="32"/>
        <v>548.81499999999994</v>
      </c>
      <c r="W54" s="55">
        <f ca="1">V54*VLOOKUP(TODAY(),'UF HOY'!$A$2:$B$36,2,0)</f>
        <v>21806582.281099997</v>
      </c>
      <c r="X54" s="56">
        <f>Datos!$K$8</f>
        <v>24</v>
      </c>
      <c r="Y54" s="55">
        <f ca="1">IF((W54-Datos!$U$8-1000000)/X54&gt;0,(W54-Datos!$U$8-1000000)/X54,0)</f>
        <v>862774.26171249989</v>
      </c>
      <c r="Z54" s="56">
        <f>Datos!$K$8</f>
        <v>24</v>
      </c>
      <c r="AA54" s="113">
        <f ca="1">IF((W54-Datos!$U$8-1000000-O54*4%*VLOOKUP(TODAY(),'UF HOY'!$A$2:$B$36,2,0))/Z54&gt;0,(W54-Datos!$U$8-1000000-O54*4%*VLOOKUP(TODAY(),'UF HOY'!$A$2:$B$36,2,0))/Z54,0)</f>
        <v>529340.28187916649</v>
      </c>
      <c r="AB54" s="113">
        <f>IF(L54&gt;0,VLOOKUP(D54,Datos!$A$48:$C$52,3,0),VLOOKUP(D54,Datos!$A$48:$C$52,2,0))</f>
        <v>550000</v>
      </c>
      <c r="AC54" s="55">
        <f ca="1">(S54*PMT(Datos!$G$15,Datos!$G$14,-O54,,)*VLOOKUP(TODAY(),'UF HOY'!$A$2:$B$36,2,0)/12)+VLOOKUP(TODAY(),'UF HOY'!$A$2:$B$36,2,0)</f>
        <v>811034.74433171609</v>
      </c>
      <c r="AD54" s="55">
        <f t="shared" ca="1" si="33"/>
        <v>-261034.74433171609</v>
      </c>
      <c r="AE54" s="93">
        <f t="shared" ca="1" si="16"/>
        <v>3244138.9773268644</v>
      </c>
    </row>
    <row r="55" spans="1:31" s="3" customFormat="1" x14ac:dyDescent="0.35">
      <c r="A55" s="94" t="s">
        <v>305</v>
      </c>
      <c r="B55" s="81">
        <v>411</v>
      </c>
      <c r="C55" s="48" t="s">
        <v>38</v>
      </c>
      <c r="D55" s="48" t="s">
        <v>39</v>
      </c>
      <c r="E55" s="48"/>
      <c r="F55" s="48">
        <v>48.86</v>
      </c>
      <c r="G55" s="48">
        <v>2.13</v>
      </c>
      <c r="H55" s="82">
        <f t="shared" si="28"/>
        <v>49.924999999999997</v>
      </c>
      <c r="I55" s="82">
        <f t="shared" si="29"/>
        <v>50.99</v>
      </c>
      <c r="J55" s="49">
        <v>4585</v>
      </c>
      <c r="K55" s="304">
        <v>0</v>
      </c>
      <c r="L55" s="48">
        <v>390</v>
      </c>
      <c r="M55" s="48">
        <v>65</v>
      </c>
      <c r="N55" s="49">
        <f t="shared" si="11"/>
        <v>4581.5</v>
      </c>
      <c r="O55" s="52">
        <f t="shared" si="12"/>
        <v>5040</v>
      </c>
      <c r="P55" s="79">
        <f t="shared" si="13"/>
        <v>82.653980971457187</v>
      </c>
      <c r="Q55" s="53">
        <f t="shared" si="14"/>
        <v>9.0999999999999998E-2</v>
      </c>
      <c r="R55" s="54">
        <f t="shared" si="15"/>
        <v>458.5</v>
      </c>
      <c r="S55" s="53">
        <v>0.8</v>
      </c>
      <c r="T55" s="54">
        <f t="shared" si="30"/>
        <v>4032</v>
      </c>
      <c r="U55" s="53">
        <f t="shared" si="31"/>
        <v>0.10899999999999999</v>
      </c>
      <c r="V55" s="54">
        <f t="shared" si="32"/>
        <v>549.3599999999999</v>
      </c>
      <c r="W55" s="55">
        <f ca="1">V55*VLOOKUP(TODAY(),'UF HOY'!$A$2:$B$36,2,0)</f>
        <v>21828237.278399996</v>
      </c>
      <c r="X55" s="56">
        <f>Datos!$K$8</f>
        <v>24</v>
      </c>
      <c r="Y55" s="55">
        <f ca="1">IF((W55-Datos!$U$8-1000000)/X55&gt;0,(W55-Datos!$U$8-1000000)/X55,0)</f>
        <v>863676.55326666648</v>
      </c>
      <c r="Z55" s="56">
        <f>Datos!$K$8</f>
        <v>24</v>
      </c>
      <c r="AA55" s="113">
        <f ca="1">IF((W55-Datos!$U$8-1000000-O55*4%*VLOOKUP(TODAY(),'UF HOY'!$A$2:$B$36,2,0))/Z55&gt;0,(W55-Datos!$U$8-1000000-O55*4%*VLOOKUP(TODAY(),'UF HOY'!$A$2:$B$36,2,0))/Z55,0)</f>
        <v>529911.45726666646</v>
      </c>
      <c r="AB55" s="113">
        <f>IF(L55&gt;0,VLOOKUP(D55,Datos!$A$48:$C$52,3,0),VLOOKUP(D55,Datos!$A$48:$C$52,2,0))</f>
        <v>550000</v>
      </c>
      <c r="AC55" s="55">
        <f ca="1">(S55*PMT(Datos!$G$15,Datos!$G$14,-O55,,)*VLOOKUP(TODAY(),'UF HOY'!$A$2:$B$36,2,0)/12)+VLOOKUP(TODAY(),'UF HOY'!$A$2:$B$36,2,0)</f>
        <v>811800.68356143986</v>
      </c>
      <c r="AD55" s="55">
        <f t="shared" ca="1" si="33"/>
        <v>-261800.68356143986</v>
      </c>
      <c r="AE55" s="93">
        <f t="shared" ca="1" si="16"/>
        <v>3247202.7342457594</v>
      </c>
    </row>
    <row r="56" spans="1:31" s="3" customFormat="1" x14ac:dyDescent="0.35">
      <c r="A56" s="94" t="s">
        <v>305</v>
      </c>
      <c r="B56" s="81">
        <v>709</v>
      </c>
      <c r="C56" s="48" t="s">
        <v>38</v>
      </c>
      <c r="D56" s="48" t="s">
        <v>39</v>
      </c>
      <c r="E56" s="48"/>
      <c r="F56" s="48">
        <v>48.73</v>
      </c>
      <c r="G56" s="48">
        <v>2.1800000000000002</v>
      </c>
      <c r="H56" s="82">
        <f t="shared" si="28"/>
        <v>49.82</v>
      </c>
      <c r="I56" s="82">
        <f t="shared" si="29"/>
        <v>50.91</v>
      </c>
      <c r="J56" s="49">
        <v>4585</v>
      </c>
      <c r="K56" s="304">
        <v>0</v>
      </c>
      <c r="L56" s="48">
        <v>390</v>
      </c>
      <c r="M56" s="48">
        <v>65</v>
      </c>
      <c r="N56" s="49">
        <f t="shared" si="11"/>
        <v>4581.5</v>
      </c>
      <c r="O56" s="52">
        <f t="shared" si="12"/>
        <v>5040</v>
      </c>
      <c r="P56" s="79">
        <f t="shared" si="13"/>
        <v>82.828181453231636</v>
      </c>
      <c r="Q56" s="53">
        <f t="shared" si="14"/>
        <v>9.0999999999999998E-2</v>
      </c>
      <c r="R56" s="54">
        <f t="shared" si="15"/>
        <v>458.5</v>
      </c>
      <c r="S56" s="53">
        <v>0.8</v>
      </c>
      <c r="T56" s="54">
        <f t="shared" si="30"/>
        <v>4032</v>
      </c>
      <c r="U56" s="53">
        <f t="shared" si="31"/>
        <v>0.10899999999999999</v>
      </c>
      <c r="V56" s="54">
        <f t="shared" si="32"/>
        <v>549.3599999999999</v>
      </c>
      <c r="W56" s="55">
        <f ca="1">V56*VLOOKUP(TODAY(),'UF HOY'!$A$2:$B$36,2,0)</f>
        <v>21828237.278399996</v>
      </c>
      <c r="X56" s="56">
        <f>Datos!$K$8</f>
        <v>24</v>
      </c>
      <c r="Y56" s="55">
        <f ca="1">IF((W56-Datos!$U$8-1000000)/X56&gt;0,(W56-Datos!$U$8-1000000)/X56,0)</f>
        <v>863676.55326666648</v>
      </c>
      <c r="Z56" s="56">
        <f>Datos!$K$8</f>
        <v>24</v>
      </c>
      <c r="AA56" s="113">
        <f ca="1">IF((W56-Datos!$U$8-1000000-O56*4%*VLOOKUP(TODAY(),'UF HOY'!$A$2:$B$36,2,0))/Z56&gt;0,(W56-Datos!$U$8-1000000-O56*4%*VLOOKUP(TODAY(),'UF HOY'!$A$2:$B$36,2,0))/Z56,0)</f>
        <v>529911.45726666646</v>
      </c>
      <c r="AB56" s="113">
        <f>IF(L56&gt;0,VLOOKUP(D56,Datos!$A$48:$C$52,3,0),VLOOKUP(D56,Datos!$A$48:$C$52,2,0))</f>
        <v>550000</v>
      </c>
      <c r="AC56" s="55">
        <f ca="1">(S56*PMT(Datos!$G$15,Datos!$G$14,-O56,,)*VLOOKUP(TODAY(),'UF HOY'!$A$2:$B$36,2,0)/12)+VLOOKUP(TODAY(),'UF HOY'!$A$2:$B$36,2,0)</f>
        <v>811800.68356143986</v>
      </c>
      <c r="AD56" s="55">
        <f t="shared" ca="1" si="33"/>
        <v>-261800.68356143986</v>
      </c>
      <c r="AE56" s="93">
        <f t="shared" ca="1" si="16"/>
        <v>3247202.7342457594</v>
      </c>
    </row>
    <row r="57" spans="1:31" s="3" customFormat="1" x14ac:dyDescent="0.35">
      <c r="A57" s="94" t="s">
        <v>305</v>
      </c>
      <c r="B57" s="81">
        <v>909</v>
      </c>
      <c r="C57" s="48" t="s">
        <v>38</v>
      </c>
      <c r="D57" s="48" t="s">
        <v>39</v>
      </c>
      <c r="E57" s="48"/>
      <c r="F57" s="48">
        <v>48.73</v>
      </c>
      <c r="G57" s="48">
        <v>2.1800000000000002</v>
      </c>
      <c r="H57" s="82">
        <f t="shared" si="28"/>
        <v>49.82</v>
      </c>
      <c r="I57" s="82">
        <f t="shared" si="29"/>
        <v>50.91</v>
      </c>
      <c r="J57" s="49">
        <v>4585</v>
      </c>
      <c r="K57" s="304">
        <v>0</v>
      </c>
      <c r="L57" s="48">
        <v>390</v>
      </c>
      <c r="M57" s="48">
        <v>65</v>
      </c>
      <c r="N57" s="49">
        <f t="shared" si="11"/>
        <v>4581.5</v>
      </c>
      <c r="O57" s="52">
        <f t="shared" si="12"/>
        <v>5040</v>
      </c>
      <c r="P57" s="79">
        <f t="shared" si="13"/>
        <v>82.828181453231636</v>
      </c>
      <c r="Q57" s="53">
        <f t="shared" si="14"/>
        <v>9.0999999999999998E-2</v>
      </c>
      <c r="R57" s="54">
        <f t="shared" si="15"/>
        <v>458.5</v>
      </c>
      <c r="S57" s="53">
        <v>0.8</v>
      </c>
      <c r="T57" s="54">
        <f t="shared" si="30"/>
        <v>4032</v>
      </c>
      <c r="U57" s="53">
        <f t="shared" si="31"/>
        <v>0.10899999999999999</v>
      </c>
      <c r="V57" s="54">
        <f t="shared" si="32"/>
        <v>549.3599999999999</v>
      </c>
      <c r="W57" s="55">
        <f ca="1">V57*VLOOKUP(TODAY(),'UF HOY'!$A$2:$B$36,2,0)</f>
        <v>21828237.278399996</v>
      </c>
      <c r="X57" s="56">
        <f>Datos!$K$8</f>
        <v>24</v>
      </c>
      <c r="Y57" s="55">
        <f ca="1">IF((W57-Datos!$U$8-1000000)/X57&gt;0,(W57-Datos!$U$8-1000000)/X57,0)</f>
        <v>863676.55326666648</v>
      </c>
      <c r="Z57" s="56">
        <f>Datos!$K$8</f>
        <v>24</v>
      </c>
      <c r="AA57" s="113">
        <f ca="1">IF((W57-Datos!$U$8-1000000-O57*4%*VLOOKUP(TODAY(),'UF HOY'!$A$2:$B$36,2,0))/Z57&gt;0,(W57-Datos!$U$8-1000000-O57*4%*VLOOKUP(TODAY(),'UF HOY'!$A$2:$B$36,2,0))/Z57,0)</f>
        <v>529911.45726666646</v>
      </c>
      <c r="AB57" s="113">
        <f>IF(L57&gt;0,VLOOKUP(D57,Datos!$A$48:$C$52,3,0),VLOOKUP(D57,Datos!$A$48:$C$52,2,0))</f>
        <v>550000</v>
      </c>
      <c r="AC57" s="55">
        <f ca="1">(S57*PMT(Datos!$G$15,Datos!$G$14,-O57,,)*VLOOKUP(TODAY(),'UF HOY'!$A$2:$B$36,2,0)/12)+VLOOKUP(TODAY(),'UF HOY'!$A$2:$B$36,2,0)</f>
        <v>811800.68356143986</v>
      </c>
      <c r="AD57" s="55">
        <f t="shared" ca="1" si="33"/>
        <v>-261800.68356143986</v>
      </c>
      <c r="AE57" s="93">
        <f t="shared" ca="1" si="16"/>
        <v>3247202.7342457594</v>
      </c>
    </row>
    <row r="58" spans="1:31" s="3" customFormat="1" x14ac:dyDescent="0.35">
      <c r="A58" s="94" t="s">
        <v>305</v>
      </c>
      <c r="B58" s="81">
        <v>809</v>
      </c>
      <c r="C58" s="48" t="s">
        <v>38</v>
      </c>
      <c r="D58" s="48" t="s">
        <v>39</v>
      </c>
      <c r="E58" s="48"/>
      <c r="F58" s="48">
        <v>48.73</v>
      </c>
      <c r="G58" s="48">
        <v>2.1800000000000002</v>
      </c>
      <c r="H58" s="82">
        <f t="shared" si="28"/>
        <v>49.82</v>
      </c>
      <c r="I58" s="82">
        <f t="shared" si="29"/>
        <v>50.91</v>
      </c>
      <c r="J58" s="49">
        <v>4630</v>
      </c>
      <c r="K58" s="304">
        <v>0</v>
      </c>
      <c r="L58" s="48">
        <v>390</v>
      </c>
      <c r="M58" s="48">
        <v>65</v>
      </c>
      <c r="N58" s="49">
        <f t="shared" si="11"/>
        <v>4622</v>
      </c>
      <c r="O58" s="52">
        <f t="shared" si="12"/>
        <v>5085</v>
      </c>
      <c r="P58" s="79">
        <f t="shared" si="13"/>
        <v>83.641107988759529</v>
      </c>
      <c r="Q58" s="53">
        <f t="shared" si="14"/>
        <v>9.11E-2</v>
      </c>
      <c r="R58" s="54">
        <f t="shared" si="15"/>
        <v>463</v>
      </c>
      <c r="S58" s="53">
        <v>0.8</v>
      </c>
      <c r="T58" s="54">
        <f t="shared" si="30"/>
        <v>4068</v>
      </c>
      <c r="U58" s="53">
        <f t="shared" si="31"/>
        <v>0.1089</v>
      </c>
      <c r="V58" s="54">
        <f t="shared" si="32"/>
        <v>553.75649999999996</v>
      </c>
      <c r="W58" s="55">
        <f ca="1">V58*VLOOKUP(TODAY(),'UF HOY'!$A$2:$B$36,2,0)</f>
        <v>22002927.545609999</v>
      </c>
      <c r="X58" s="56">
        <f>Datos!$K$8</f>
        <v>24</v>
      </c>
      <c r="Y58" s="55">
        <f ca="1">IF((W58-Datos!$U$8-1000000)/X58&gt;0,(W58-Datos!$U$8-1000000)/X58,0)</f>
        <v>870955.31440041668</v>
      </c>
      <c r="Z58" s="56">
        <f>Datos!$K$8</f>
        <v>24</v>
      </c>
      <c r="AA58" s="113">
        <f ca="1">IF((W58-Datos!$U$8-1000000-O58*4%*VLOOKUP(TODAY(),'UF HOY'!$A$2:$B$36,2,0))/Z58&gt;0,(W58-Datos!$U$8-1000000-O58*4%*VLOOKUP(TODAY(),'UF HOY'!$A$2:$B$36,2,0))/Z58,0)</f>
        <v>534210.17290041654</v>
      </c>
      <c r="AB58" s="113">
        <f>IF(L58&gt;0,VLOOKUP(D58,Datos!$A$48:$C$52,3,0),VLOOKUP(D58,Datos!$A$48:$C$52,2,0))</f>
        <v>550000</v>
      </c>
      <c r="AC58" s="55">
        <f ca="1">(S58*PMT(Datos!$G$15,Datos!$G$14,-O58,,)*VLOOKUP(TODAY(),'UF HOY'!$A$2:$B$36,2,0)/12)+VLOOKUP(TODAY(),'UF HOY'!$A$2:$B$36,2,0)</f>
        <v>818694.13662895281</v>
      </c>
      <c r="AD58" s="55">
        <f t="shared" ca="1" si="33"/>
        <v>-268694.13662895281</v>
      </c>
      <c r="AE58" s="93">
        <f t="shared" ca="1" si="16"/>
        <v>3274776.5465158112</v>
      </c>
    </row>
    <row r="59" spans="1:31" s="3" customFormat="1" x14ac:dyDescent="0.35">
      <c r="A59" s="94" t="s">
        <v>305</v>
      </c>
      <c r="B59" s="81">
        <v>707</v>
      </c>
      <c r="C59" s="48" t="s">
        <v>40</v>
      </c>
      <c r="D59" s="48" t="s">
        <v>39</v>
      </c>
      <c r="E59" s="48"/>
      <c r="F59" s="48">
        <v>46.37</v>
      </c>
      <c r="G59" s="48">
        <v>2.3199999999999998</v>
      </c>
      <c r="H59" s="82">
        <f t="shared" si="28"/>
        <v>47.529999999999994</v>
      </c>
      <c r="I59" s="82">
        <f t="shared" si="29"/>
        <v>48.69</v>
      </c>
      <c r="J59" s="49">
        <v>4645</v>
      </c>
      <c r="K59" s="304">
        <v>0</v>
      </c>
      <c r="L59" s="48">
        <v>390</v>
      </c>
      <c r="M59" s="48">
        <v>65</v>
      </c>
      <c r="N59" s="49">
        <f t="shared" si="11"/>
        <v>4635.5</v>
      </c>
      <c r="O59" s="52">
        <f t="shared" si="12"/>
        <v>5100</v>
      </c>
      <c r="P59" s="79">
        <f t="shared" si="13"/>
        <v>87.954975804754909</v>
      </c>
      <c r="Q59" s="53">
        <f t="shared" si="14"/>
        <v>9.11E-2</v>
      </c>
      <c r="R59" s="54">
        <f t="shared" si="15"/>
        <v>464.5</v>
      </c>
      <c r="S59" s="53">
        <v>0.8</v>
      </c>
      <c r="T59" s="54">
        <f t="shared" si="30"/>
        <v>4080</v>
      </c>
      <c r="U59" s="53">
        <f t="shared" si="31"/>
        <v>0.1089</v>
      </c>
      <c r="V59" s="54">
        <f t="shared" si="32"/>
        <v>555.39</v>
      </c>
      <c r="W59" s="55">
        <f ca="1">V59*VLOOKUP(TODAY(),'UF HOY'!$A$2:$B$36,2,0)</f>
        <v>22067832.9366</v>
      </c>
      <c r="X59" s="56">
        <f>Datos!$K$8</f>
        <v>24</v>
      </c>
      <c r="Y59" s="55">
        <f ca="1">IF((W59-Datos!$U$8-1000000)/X59&gt;0,(W59-Datos!$U$8-1000000)/X59,0)</f>
        <v>873659.70569166669</v>
      </c>
      <c r="Z59" s="56">
        <f>Datos!$K$8</f>
        <v>24</v>
      </c>
      <c r="AA59" s="113">
        <f ca="1">IF((W59-Datos!$U$8-1000000-O59*4%*VLOOKUP(TODAY(),'UF HOY'!$A$2:$B$36,2,0))/Z59&gt;0,(W59-Datos!$U$8-1000000-O59*4%*VLOOKUP(TODAY(),'UF HOY'!$A$2:$B$36,2,0))/Z59,0)</f>
        <v>535921.21569166658</v>
      </c>
      <c r="AB59" s="113">
        <f>IF(L59&gt;0,VLOOKUP(D59,Datos!$A$48:$C$52,3,0),VLOOKUP(D59,Datos!$A$48:$C$52,2,0))</f>
        <v>550000</v>
      </c>
      <c r="AC59" s="55">
        <f ca="1">(S59*PMT(Datos!$G$15,Datos!$G$14,-O59,,)*VLOOKUP(TODAY(),'UF HOY'!$A$2:$B$36,2,0)/12)+VLOOKUP(TODAY(),'UF HOY'!$A$2:$B$36,2,0)</f>
        <v>820991.95431812364</v>
      </c>
      <c r="AD59" s="55">
        <f t="shared" ca="1" si="33"/>
        <v>-270991.95431812364</v>
      </c>
      <c r="AE59" s="93">
        <f t="shared" ca="1" si="16"/>
        <v>3283967.8172724945</v>
      </c>
    </row>
    <row r="60" spans="1:31" s="3" customFormat="1" x14ac:dyDescent="0.35">
      <c r="A60" s="94" t="s">
        <v>305</v>
      </c>
      <c r="B60" s="81">
        <v>907</v>
      </c>
      <c r="C60" s="48" t="s">
        <v>40</v>
      </c>
      <c r="D60" s="48" t="s">
        <v>39</v>
      </c>
      <c r="E60" s="48"/>
      <c r="F60" s="48">
        <v>46.37</v>
      </c>
      <c r="G60" s="48">
        <v>2.3199999999999998</v>
      </c>
      <c r="H60" s="82">
        <f t="shared" si="28"/>
        <v>47.529999999999994</v>
      </c>
      <c r="I60" s="82">
        <f t="shared" si="29"/>
        <v>48.69</v>
      </c>
      <c r="J60" s="49">
        <v>4645</v>
      </c>
      <c r="K60" s="304">
        <v>0</v>
      </c>
      <c r="L60" s="48">
        <v>390</v>
      </c>
      <c r="M60" s="48">
        <v>65</v>
      </c>
      <c r="N60" s="49">
        <f t="shared" si="11"/>
        <v>4635.5</v>
      </c>
      <c r="O60" s="52">
        <f t="shared" si="12"/>
        <v>5100</v>
      </c>
      <c r="P60" s="79">
        <f t="shared" si="13"/>
        <v>87.954975804754909</v>
      </c>
      <c r="Q60" s="53">
        <f t="shared" si="14"/>
        <v>9.11E-2</v>
      </c>
      <c r="R60" s="54">
        <f t="shared" si="15"/>
        <v>464.5</v>
      </c>
      <c r="S60" s="53">
        <v>0.8</v>
      </c>
      <c r="T60" s="54">
        <f t="shared" si="30"/>
        <v>4080</v>
      </c>
      <c r="U60" s="53">
        <f t="shared" si="31"/>
        <v>0.1089</v>
      </c>
      <c r="V60" s="54">
        <f t="shared" si="32"/>
        <v>555.39</v>
      </c>
      <c r="W60" s="55">
        <f ca="1">V60*VLOOKUP(TODAY(),'UF HOY'!$A$2:$B$36,2,0)</f>
        <v>22067832.9366</v>
      </c>
      <c r="X60" s="56">
        <f>Datos!$K$8</f>
        <v>24</v>
      </c>
      <c r="Y60" s="55">
        <f ca="1">IF((W60-Datos!$U$8-1000000)/X60&gt;0,(W60-Datos!$U$8-1000000)/X60,0)</f>
        <v>873659.70569166669</v>
      </c>
      <c r="Z60" s="56">
        <f>Datos!$K$8</f>
        <v>24</v>
      </c>
      <c r="AA60" s="113">
        <f ca="1">IF((W60-Datos!$U$8-1000000-O60*4%*VLOOKUP(TODAY(),'UF HOY'!$A$2:$B$36,2,0))/Z60&gt;0,(W60-Datos!$U$8-1000000-O60*4%*VLOOKUP(TODAY(),'UF HOY'!$A$2:$B$36,2,0))/Z60,0)</f>
        <v>535921.21569166658</v>
      </c>
      <c r="AB60" s="113">
        <f>IF(L60&gt;0,VLOOKUP(D60,Datos!$A$48:$C$52,3,0),VLOOKUP(D60,Datos!$A$48:$C$52,2,0))</f>
        <v>550000</v>
      </c>
      <c r="AC60" s="55">
        <f ca="1">(S60*PMT(Datos!$G$15,Datos!$G$14,-O60,,)*VLOOKUP(TODAY(),'UF HOY'!$A$2:$B$36,2,0)/12)+VLOOKUP(TODAY(),'UF HOY'!$A$2:$B$36,2,0)</f>
        <v>820991.95431812364</v>
      </c>
      <c r="AD60" s="55">
        <f t="shared" ca="1" si="33"/>
        <v>-270991.95431812364</v>
      </c>
      <c r="AE60" s="93">
        <f t="shared" ca="1" si="16"/>
        <v>3283967.8172724945</v>
      </c>
    </row>
    <row r="61" spans="1:31" s="3" customFormat="1" x14ac:dyDescent="0.35">
      <c r="A61" s="94" t="s">
        <v>305</v>
      </c>
      <c r="B61" s="81">
        <v>511</v>
      </c>
      <c r="C61" s="48" t="s">
        <v>38</v>
      </c>
      <c r="D61" s="48" t="s">
        <v>39</v>
      </c>
      <c r="E61" s="48"/>
      <c r="F61" s="48">
        <v>48.86</v>
      </c>
      <c r="G61" s="48">
        <v>2.13</v>
      </c>
      <c r="H61" s="82">
        <f t="shared" si="28"/>
        <v>49.924999999999997</v>
      </c>
      <c r="I61" s="82">
        <f t="shared" si="29"/>
        <v>50.99</v>
      </c>
      <c r="J61" s="49">
        <v>4650</v>
      </c>
      <c r="K61" s="304">
        <v>0</v>
      </c>
      <c r="L61" s="48">
        <v>390</v>
      </c>
      <c r="M61" s="48">
        <v>65</v>
      </c>
      <c r="N61" s="49">
        <f t="shared" si="11"/>
        <v>4640</v>
      </c>
      <c r="O61" s="52">
        <f t="shared" si="12"/>
        <v>5105</v>
      </c>
      <c r="P61" s="79">
        <f t="shared" si="13"/>
        <v>83.825738607911873</v>
      </c>
      <c r="Q61" s="53">
        <f t="shared" si="14"/>
        <v>9.11E-2</v>
      </c>
      <c r="R61" s="54">
        <f t="shared" si="15"/>
        <v>465</v>
      </c>
      <c r="S61" s="53">
        <v>0.8</v>
      </c>
      <c r="T61" s="54">
        <f t="shared" si="30"/>
        <v>4084</v>
      </c>
      <c r="U61" s="53">
        <f t="shared" si="31"/>
        <v>0.1089</v>
      </c>
      <c r="V61" s="54">
        <f t="shared" si="32"/>
        <v>555.93449999999996</v>
      </c>
      <c r="W61" s="55">
        <f ca="1">V61*VLOOKUP(TODAY(),'UF HOY'!$A$2:$B$36,2,0)</f>
        <v>22089468.06693</v>
      </c>
      <c r="X61" s="56">
        <f>Datos!$K$8</f>
        <v>24</v>
      </c>
      <c r="Y61" s="55">
        <f ca="1">IF((W61-Datos!$U$8-1000000)/X61&gt;0,(W61-Datos!$U$8-1000000)/X61,0)</f>
        <v>874561.16945541662</v>
      </c>
      <c r="Z61" s="56">
        <f>Datos!$K$8</f>
        <v>24</v>
      </c>
      <c r="AA61" s="113">
        <f ca="1">IF((W61-Datos!$U$8-1000000-O61*4%*VLOOKUP(TODAY(),'UF HOY'!$A$2:$B$36,2,0))/Z61&gt;0,(W61-Datos!$U$8-1000000-O61*4%*VLOOKUP(TODAY(),'UF HOY'!$A$2:$B$36,2,0))/Z61,0)</f>
        <v>536491.56328875001</v>
      </c>
      <c r="AB61" s="113">
        <f>IF(L61&gt;0,VLOOKUP(D61,Datos!$A$48:$C$52,3,0),VLOOKUP(D61,Datos!$A$48:$C$52,2,0))</f>
        <v>550000</v>
      </c>
      <c r="AC61" s="55">
        <f ca="1">(S61*PMT(Datos!$G$15,Datos!$G$14,-O61,,)*VLOOKUP(TODAY(),'UF HOY'!$A$2:$B$36,2,0)/12)+VLOOKUP(TODAY(),'UF HOY'!$A$2:$B$36,2,0)</f>
        <v>821757.8935478474</v>
      </c>
      <c r="AD61" s="55">
        <f t="shared" ca="1" si="33"/>
        <v>-271757.8935478474</v>
      </c>
      <c r="AE61" s="93">
        <f t="shared" ca="1" si="16"/>
        <v>3287031.5741913896</v>
      </c>
    </row>
    <row r="62" spans="1:31" s="3" customFormat="1" x14ac:dyDescent="0.35">
      <c r="A62" s="94" t="s">
        <v>305</v>
      </c>
      <c r="B62" s="81">
        <v>807</v>
      </c>
      <c r="C62" s="48" t="s">
        <v>40</v>
      </c>
      <c r="D62" s="48" t="s">
        <v>39</v>
      </c>
      <c r="E62" s="48"/>
      <c r="F62" s="48">
        <v>46.37</v>
      </c>
      <c r="G62" s="48">
        <v>2.3199999999999998</v>
      </c>
      <c r="H62" s="82">
        <f t="shared" si="28"/>
        <v>47.529999999999994</v>
      </c>
      <c r="I62" s="82">
        <f t="shared" si="29"/>
        <v>48.69</v>
      </c>
      <c r="J62" s="49">
        <v>4690</v>
      </c>
      <c r="K62" s="304">
        <v>0</v>
      </c>
      <c r="L62" s="48">
        <v>390</v>
      </c>
      <c r="M62" s="48">
        <v>65</v>
      </c>
      <c r="N62" s="49">
        <f t="shared" si="11"/>
        <v>4676</v>
      </c>
      <c r="O62" s="52">
        <f t="shared" si="12"/>
        <v>5145</v>
      </c>
      <c r="P62" s="79">
        <f t="shared" si="13"/>
        <v>88.807069219440365</v>
      </c>
      <c r="Q62" s="53">
        <f t="shared" si="14"/>
        <v>9.1200000000000003E-2</v>
      </c>
      <c r="R62" s="54">
        <f t="shared" si="15"/>
        <v>469</v>
      </c>
      <c r="S62" s="53">
        <v>0.8</v>
      </c>
      <c r="T62" s="54">
        <f t="shared" si="30"/>
        <v>4116</v>
      </c>
      <c r="U62" s="53">
        <f t="shared" si="31"/>
        <v>0.10880000000000001</v>
      </c>
      <c r="V62" s="54">
        <f t="shared" si="32"/>
        <v>559.77600000000007</v>
      </c>
      <c r="W62" s="55">
        <f ca="1">V62*VLOOKUP(TODAY(),'UF HOY'!$A$2:$B$36,2,0)</f>
        <v>22242105.997440003</v>
      </c>
      <c r="X62" s="56">
        <f>Datos!$K$8</f>
        <v>24</v>
      </c>
      <c r="Y62" s="55">
        <f ca="1">IF((W62-Datos!$U$8-1000000)/X62&gt;0,(W62-Datos!$U$8-1000000)/X62,0)</f>
        <v>880921.08322666679</v>
      </c>
      <c r="Z62" s="56">
        <f>Datos!$K$8</f>
        <v>24</v>
      </c>
      <c r="AA62" s="113">
        <f ca="1">IF((W62-Datos!$U$8-1000000-O62*4%*VLOOKUP(TODAY(),'UF HOY'!$A$2:$B$36,2,0))/Z62&gt;0,(W62-Datos!$U$8-1000000-O62*4%*VLOOKUP(TODAY(),'UF HOY'!$A$2:$B$36,2,0))/Z62,0)</f>
        <v>540202.54772666667</v>
      </c>
      <c r="AB62" s="113">
        <f>IF(L62&gt;0,VLOOKUP(D62,Datos!$A$48:$C$52,3,0),VLOOKUP(D62,Datos!$A$48:$C$52,2,0))</f>
        <v>550000</v>
      </c>
      <c r="AC62" s="55">
        <f ca="1">(S62*PMT(Datos!$G$15,Datos!$G$14,-O62,,)*VLOOKUP(TODAY(),'UF HOY'!$A$2:$B$36,2,0)/12)+VLOOKUP(TODAY(),'UF HOY'!$A$2:$B$36,2,0)</f>
        <v>827885.40738563659</v>
      </c>
      <c r="AD62" s="55">
        <f t="shared" ca="1" si="33"/>
        <v>-277885.40738563659</v>
      </c>
      <c r="AE62" s="93">
        <f t="shared" ca="1" si="16"/>
        <v>3311541.6295425463</v>
      </c>
    </row>
    <row r="63" spans="1:31" s="3" customFormat="1" x14ac:dyDescent="0.35">
      <c r="A63" s="94" t="s">
        <v>305</v>
      </c>
      <c r="B63" s="81">
        <v>611</v>
      </c>
      <c r="C63" s="48" t="s">
        <v>38</v>
      </c>
      <c r="D63" s="48" t="s">
        <v>39</v>
      </c>
      <c r="E63" s="48"/>
      <c r="F63" s="48">
        <v>48.86</v>
      </c>
      <c r="G63" s="48">
        <v>2.13</v>
      </c>
      <c r="H63" s="82">
        <f t="shared" si="28"/>
        <v>49.924999999999997</v>
      </c>
      <c r="I63" s="82">
        <f t="shared" si="29"/>
        <v>50.99</v>
      </c>
      <c r="J63" s="49">
        <v>4720</v>
      </c>
      <c r="K63" s="304">
        <v>0</v>
      </c>
      <c r="L63" s="48">
        <v>390</v>
      </c>
      <c r="M63" s="48">
        <v>65</v>
      </c>
      <c r="N63" s="49">
        <f t="shared" si="11"/>
        <v>4703</v>
      </c>
      <c r="O63" s="52">
        <f t="shared" si="12"/>
        <v>5175</v>
      </c>
      <c r="P63" s="79">
        <f t="shared" si="13"/>
        <v>85.087631447170764</v>
      </c>
      <c r="Q63" s="53">
        <f t="shared" si="14"/>
        <v>9.1200000000000003E-2</v>
      </c>
      <c r="R63" s="54">
        <f t="shared" si="15"/>
        <v>472</v>
      </c>
      <c r="S63" s="53">
        <v>0.8</v>
      </c>
      <c r="T63" s="54">
        <f t="shared" si="30"/>
        <v>4140</v>
      </c>
      <c r="U63" s="53">
        <f t="shared" si="31"/>
        <v>0.10880000000000001</v>
      </c>
      <c r="V63" s="54">
        <f t="shared" si="32"/>
        <v>563.04000000000008</v>
      </c>
      <c r="W63" s="55">
        <f ca="1">V63*VLOOKUP(TODAY(),'UF HOY'!$A$2:$B$36,2,0)</f>
        <v>22371797.577600006</v>
      </c>
      <c r="X63" s="56">
        <f>Datos!$K$8</f>
        <v>24</v>
      </c>
      <c r="Y63" s="55">
        <f ca="1">IF((W63-Datos!$U$8-1000000)/X63&gt;0,(W63-Datos!$U$8-1000000)/X63,0)</f>
        <v>886324.89906666696</v>
      </c>
      <c r="Z63" s="56">
        <f>Datos!$K$8</f>
        <v>24</v>
      </c>
      <c r="AA63" s="113">
        <f ca="1">IF((W63-Datos!$U$8-1000000-O63*4%*VLOOKUP(TODAY(),'UF HOY'!$A$2:$B$36,2,0))/Z63&gt;0,(W63-Datos!$U$8-1000000-O63*4%*VLOOKUP(TODAY(),'UF HOY'!$A$2:$B$36,2,0))/Z63,0)</f>
        <v>543619.66656666691</v>
      </c>
      <c r="AB63" s="113">
        <f>IF(L63&gt;0,VLOOKUP(D63,Datos!$A$48:$C$52,3,0),VLOOKUP(D63,Datos!$A$48:$C$52,2,0))</f>
        <v>550000</v>
      </c>
      <c r="AC63" s="55">
        <f ca="1">(S63*PMT(Datos!$G$15,Datos!$G$14,-O63,,)*VLOOKUP(TODAY(),'UF HOY'!$A$2:$B$36,2,0)/12)+VLOOKUP(TODAY(),'UF HOY'!$A$2:$B$36,2,0)</f>
        <v>832481.04276397824</v>
      </c>
      <c r="AD63" s="55">
        <f t="shared" ca="1" si="33"/>
        <v>-282481.04276397824</v>
      </c>
      <c r="AE63" s="93">
        <f t="shared" ca="1" si="16"/>
        <v>3329924.171055913</v>
      </c>
    </row>
    <row r="64" spans="1:31" s="3" customFormat="1" x14ac:dyDescent="0.35">
      <c r="A64" s="94" t="s">
        <v>305</v>
      </c>
      <c r="B64" s="81">
        <v>711</v>
      </c>
      <c r="C64" s="48" t="s">
        <v>38</v>
      </c>
      <c r="D64" s="48" t="s">
        <v>39</v>
      </c>
      <c r="E64" s="48"/>
      <c r="F64" s="48">
        <v>48.86</v>
      </c>
      <c r="G64" s="48">
        <v>2.13</v>
      </c>
      <c r="H64" s="82">
        <f t="shared" si="28"/>
        <v>49.924999999999997</v>
      </c>
      <c r="I64" s="82">
        <f t="shared" si="29"/>
        <v>50.99</v>
      </c>
      <c r="J64" s="49">
        <v>4785</v>
      </c>
      <c r="K64" s="304">
        <v>0</v>
      </c>
      <c r="L64" s="48">
        <v>390</v>
      </c>
      <c r="M64" s="48">
        <v>65</v>
      </c>
      <c r="N64" s="49">
        <f t="shared" si="11"/>
        <v>4761.5</v>
      </c>
      <c r="O64" s="52">
        <f t="shared" si="12"/>
        <v>5240</v>
      </c>
      <c r="P64" s="79">
        <f t="shared" si="13"/>
        <v>86.259389083625436</v>
      </c>
      <c r="Q64" s="53">
        <f t="shared" si="14"/>
        <v>9.1300000000000006E-2</v>
      </c>
      <c r="R64" s="54">
        <f t="shared" si="15"/>
        <v>478.5</v>
      </c>
      <c r="S64" s="53">
        <v>0.8</v>
      </c>
      <c r="T64" s="54">
        <f t="shared" si="30"/>
        <v>4192</v>
      </c>
      <c r="U64" s="53">
        <f t="shared" si="31"/>
        <v>0.10869999999999991</v>
      </c>
      <c r="V64" s="54">
        <f t="shared" si="32"/>
        <v>569.58799999999951</v>
      </c>
      <c r="W64" s="55">
        <f ca="1">V64*VLOOKUP(TODAY(),'UF HOY'!$A$2:$B$36,2,0)</f>
        <v>22631975.416719981</v>
      </c>
      <c r="X64" s="56">
        <f>Datos!$K$8</f>
        <v>24</v>
      </c>
      <c r="Y64" s="55">
        <f ca="1">IF((W64-Datos!$U$8-1000000)/X64&gt;0,(W64-Datos!$U$8-1000000)/X64,0)</f>
        <v>897165.64236333256</v>
      </c>
      <c r="Z64" s="56">
        <f>Datos!$K$8</f>
        <v>24</v>
      </c>
      <c r="AA64" s="113">
        <f ca="1">IF((W64-Datos!$U$8-1000000-O64*4%*VLOOKUP(TODAY(),'UF HOY'!$A$2:$B$36,2,0))/Z64&gt;0,(W64-Datos!$U$8-1000000-O64*4%*VLOOKUP(TODAY(),'UF HOY'!$A$2:$B$36,2,0))/Z64,0)</f>
        <v>550155.89969666582</v>
      </c>
      <c r="AB64" s="113">
        <f>IF(L64&gt;0,VLOOKUP(D64,Datos!$A$48:$C$52,3,0),VLOOKUP(D64,Datos!$A$48:$C$52,2,0))</f>
        <v>550000</v>
      </c>
      <c r="AC64" s="55">
        <f ca="1">(S64*PMT(Datos!$G$15,Datos!$G$14,-O64,,)*VLOOKUP(TODAY(),'UF HOY'!$A$2:$B$36,2,0)/12)+VLOOKUP(TODAY(),'UF HOY'!$A$2:$B$36,2,0)</f>
        <v>842438.25275038602</v>
      </c>
      <c r="AD64" s="55">
        <f t="shared" ca="1" si="33"/>
        <v>-292438.25275038602</v>
      </c>
      <c r="AE64" s="93">
        <f t="shared" ca="1" si="16"/>
        <v>3369753.0110015441</v>
      </c>
    </row>
    <row r="65" spans="1:31" s="3" customFormat="1" x14ac:dyDescent="0.35">
      <c r="A65" s="94" t="s">
        <v>305</v>
      </c>
      <c r="B65" s="81">
        <v>911</v>
      </c>
      <c r="C65" s="48" t="s">
        <v>38</v>
      </c>
      <c r="D65" s="48" t="s">
        <v>39</v>
      </c>
      <c r="E65" s="48"/>
      <c r="F65" s="48">
        <v>48.86</v>
      </c>
      <c r="G65" s="48">
        <v>2.13</v>
      </c>
      <c r="H65" s="82">
        <f t="shared" si="28"/>
        <v>49.924999999999997</v>
      </c>
      <c r="I65" s="82">
        <f t="shared" si="29"/>
        <v>50.99</v>
      </c>
      <c r="J65" s="49">
        <v>4785</v>
      </c>
      <c r="K65" s="304">
        <v>0</v>
      </c>
      <c r="L65" s="48">
        <v>390</v>
      </c>
      <c r="M65" s="48">
        <v>65</v>
      </c>
      <c r="N65" s="49">
        <f t="shared" si="11"/>
        <v>4761.5</v>
      </c>
      <c r="O65" s="52">
        <f t="shared" si="12"/>
        <v>5240</v>
      </c>
      <c r="P65" s="79">
        <f t="shared" si="13"/>
        <v>86.259389083625436</v>
      </c>
      <c r="Q65" s="53">
        <f t="shared" si="14"/>
        <v>9.1300000000000006E-2</v>
      </c>
      <c r="R65" s="54">
        <f t="shared" si="15"/>
        <v>478.5</v>
      </c>
      <c r="S65" s="53">
        <v>0.8</v>
      </c>
      <c r="T65" s="54">
        <f t="shared" si="30"/>
        <v>4192</v>
      </c>
      <c r="U65" s="53">
        <f t="shared" si="31"/>
        <v>0.10869999999999991</v>
      </c>
      <c r="V65" s="54">
        <f t="shared" si="32"/>
        <v>569.58799999999951</v>
      </c>
      <c r="W65" s="55">
        <f ca="1">V65*VLOOKUP(TODAY(),'UF HOY'!$A$2:$B$36,2,0)</f>
        <v>22631975.416719981</v>
      </c>
      <c r="X65" s="56">
        <f>Datos!$K$8</f>
        <v>24</v>
      </c>
      <c r="Y65" s="55">
        <f ca="1">IF((W65-Datos!$U$8-1000000)/X65&gt;0,(W65-Datos!$U$8-1000000)/X65,0)</f>
        <v>897165.64236333256</v>
      </c>
      <c r="Z65" s="56">
        <f>Datos!$K$8</f>
        <v>24</v>
      </c>
      <c r="AA65" s="113">
        <f ca="1">IF((W65-Datos!$U$8-1000000-O65*4%*VLOOKUP(TODAY(),'UF HOY'!$A$2:$B$36,2,0))/Z65&gt;0,(W65-Datos!$U$8-1000000-O65*4%*VLOOKUP(TODAY(),'UF HOY'!$A$2:$B$36,2,0))/Z65,0)</f>
        <v>550155.89969666582</v>
      </c>
      <c r="AB65" s="113">
        <f>IF(L65&gt;0,VLOOKUP(D65,Datos!$A$48:$C$52,3,0),VLOOKUP(D65,Datos!$A$48:$C$52,2,0))</f>
        <v>550000</v>
      </c>
      <c r="AC65" s="55">
        <f ca="1">(S65*PMT(Datos!$G$15,Datos!$G$14,-O65,,)*VLOOKUP(TODAY(),'UF HOY'!$A$2:$B$36,2,0)/12)+VLOOKUP(TODAY(),'UF HOY'!$A$2:$B$36,2,0)</f>
        <v>842438.25275038602</v>
      </c>
      <c r="AD65" s="55">
        <f t="shared" ca="1" si="33"/>
        <v>-292438.25275038602</v>
      </c>
      <c r="AE65" s="93">
        <f t="shared" ca="1" si="16"/>
        <v>3369753.0110015441</v>
      </c>
    </row>
    <row r="66" spans="1:31" s="3" customFormat="1" x14ac:dyDescent="0.35">
      <c r="A66" s="94" t="s">
        <v>305</v>
      </c>
      <c r="B66" s="81">
        <v>811</v>
      </c>
      <c r="C66" s="48" t="s">
        <v>38</v>
      </c>
      <c r="D66" s="48" t="s">
        <v>39</v>
      </c>
      <c r="E66" s="48"/>
      <c r="F66" s="48">
        <v>48.86</v>
      </c>
      <c r="G66" s="48">
        <v>2.13</v>
      </c>
      <c r="H66" s="82">
        <f t="shared" si="28"/>
        <v>49.924999999999997</v>
      </c>
      <c r="I66" s="82">
        <f t="shared" si="29"/>
        <v>50.99</v>
      </c>
      <c r="J66" s="49">
        <v>4830</v>
      </c>
      <c r="K66" s="304">
        <v>0</v>
      </c>
      <c r="L66" s="48">
        <v>390</v>
      </c>
      <c r="M66" s="48">
        <v>65</v>
      </c>
      <c r="N66" s="49">
        <f t="shared" si="11"/>
        <v>4802</v>
      </c>
      <c r="O66" s="52">
        <f t="shared" si="12"/>
        <v>5285</v>
      </c>
      <c r="P66" s="79">
        <f t="shared" si="13"/>
        <v>87.0706059088633</v>
      </c>
      <c r="Q66" s="53">
        <f t="shared" si="14"/>
        <v>9.1399999999999995E-2</v>
      </c>
      <c r="R66" s="54">
        <f t="shared" si="15"/>
        <v>483</v>
      </c>
      <c r="S66" s="53">
        <v>0.8</v>
      </c>
      <c r="T66" s="54">
        <f t="shared" si="30"/>
        <v>4228</v>
      </c>
      <c r="U66" s="53">
        <f t="shared" si="31"/>
        <v>0.10859999999999992</v>
      </c>
      <c r="V66" s="54">
        <f t="shared" si="32"/>
        <v>573.95099999999957</v>
      </c>
      <c r="W66" s="55">
        <f ca="1">V66*VLOOKUP(TODAY(),'UF HOY'!$A$2:$B$36,2,0)</f>
        <v>22805334.596939985</v>
      </c>
      <c r="X66" s="56">
        <f>Datos!$K$8</f>
        <v>24</v>
      </c>
      <c r="Y66" s="55">
        <f ca="1">IF((W66-Datos!$U$8-1000000)/X66&gt;0,(W66-Datos!$U$8-1000000)/X66,0)</f>
        <v>904388.94153916603</v>
      </c>
      <c r="Z66" s="56">
        <f>Datos!$K$8</f>
        <v>24</v>
      </c>
      <c r="AA66" s="113">
        <f ca="1">IF((W66-Datos!$U$8-1000000-O66*4%*VLOOKUP(TODAY(),'UF HOY'!$A$2:$B$36,2,0))/Z66&gt;0,(W66-Datos!$U$8-1000000-O66*4%*VLOOKUP(TODAY(),'UF HOY'!$A$2:$B$36,2,0))/Z66,0)</f>
        <v>554399.15337249928</v>
      </c>
      <c r="AB66" s="113">
        <f>IF(L66&gt;0,VLOOKUP(D66,Datos!$A$48:$C$52,3,0),VLOOKUP(D66,Datos!$A$48:$C$52,2,0))</f>
        <v>550000</v>
      </c>
      <c r="AC66" s="55">
        <f ca="1">(S66*PMT(Datos!$G$15,Datos!$G$14,-O66,,)*VLOOKUP(TODAY(),'UF HOY'!$A$2:$B$36,2,0)/12)+VLOOKUP(TODAY(),'UF HOY'!$A$2:$B$36,2,0)</f>
        <v>849331.70581789874</v>
      </c>
      <c r="AD66" s="55">
        <f t="shared" ca="1" si="33"/>
        <v>-299331.70581789874</v>
      </c>
      <c r="AE66" s="93">
        <f t="shared" ca="1" si="16"/>
        <v>3397326.8232715949</v>
      </c>
    </row>
    <row r="67" spans="1:31" ht="15.9" customHeight="1" x14ac:dyDescent="0.35">
      <c r="L67" s="33"/>
      <c r="O67" s="71"/>
      <c r="R67" s="35"/>
      <c r="S67" s="32"/>
    </row>
    <row r="68" spans="1:31" ht="15.9" customHeight="1" x14ac:dyDescent="0.35">
      <c r="J68" s="83"/>
      <c r="L68" s="33"/>
      <c r="N68" s="83"/>
      <c r="R68" s="32"/>
    </row>
    <row r="69" spans="1:31" ht="15.9" customHeight="1" x14ac:dyDescent="0.35">
      <c r="J69" s="83"/>
      <c r="N69" s="83"/>
      <c r="O69" s="32"/>
      <c r="P69" s="32"/>
      <c r="Q69" s="32"/>
      <c r="R69" s="32"/>
    </row>
    <row r="70" spans="1:31" s="4" customFormat="1" ht="15.9" customHeight="1" x14ac:dyDescent="0.25">
      <c r="O70" s="71"/>
      <c r="P70" s="71"/>
      <c r="Q70" s="32"/>
      <c r="R70" s="32"/>
      <c r="T70" s="32"/>
      <c r="U70" s="32"/>
    </row>
    <row r="71" spans="1:31" s="4" customFormat="1" ht="15.9" customHeight="1" x14ac:dyDescent="0.25">
      <c r="O71" s="32"/>
      <c r="P71" s="32"/>
      <c r="R71" s="32"/>
      <c r="U71" s="72"/>
    </row>
    <row r="72" spans="1:31" s="4" customFormat="1" ht="15.9" customHeight="1" x14ac:dyDescent="0.25"/>
    <row r="73" spans="1:31" s="4" customFormat="1" ht="15.9" customHeight="1" x14ac:dyDescent="0.25"/>
    <row r="74" spans="1:31" s="4" customFormat="1" ht="15.9" customHeight="1" x14ac:dyDescent="0.25"/>
    <row r="75" spans="1:31" s="4" customFormat="1" ht="15.9" customHeight="1" x14ac:dyDescent="0.25"/>
    <row r="76" spans="1:31" s="4" customFormat="1" ht="15.9" customHeight="1" x14ac:dyDescent="0.25"/>
    <row r="77" spans="1:31" s="4" customFormat="1" ht="15.9" customHeight="1" x14ac:dyDescent="0.25"/>
    <row r="78" spans="1:31" s="4" customFormat="1" ht="15.9" customHeight="1" x14ac:dyDescent="0.25"/>
    <row r="79" spans="1:31" s="4" customFormat="1" ht="15.75" customHeight="1" x14ac:dyDescent="0.25"/>
  </sheetData>
  <autoFilter ref="A1:AE66" xr:uid="{BC1D6034-12B8-40E8-9F31-38C5F0946D02}">
    <filterColumn colId="0">
      <filters>
        <filter val="SIN ABONO"/>
      </filters>
    </filterColumn>
    <sortState xmlns:xlrd2="http://schemas.microsoft.com/office/spreadsheetml/2017/richdata2" ref="A2:AE66">
      <sortCondition descending="1" ref="A1:A66"/>
    </sortState>
  </autoFilter>
  <conditionalFormatting sqref="O1:AD1 A1:N9 O2:AE2 A10:AB66 O3:AB9 AC3:AE66">
    <cfRule type="expression" dxfId="7" priority="5">
      <formula>ROW()=CELL("fila")</formula>
    </cfRule>
  </conditionalFormatting>
  <conditionalFormatting sqref="AE1">
    <cfRule type="expression" dxfId="6" priority="4">
      <formula>ROW()=CELL("fila")</formula>
    </cfRule>
  </conditionalFormatting>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1AA6A-798F-41A4-BFC8-896AF5CBB8BD}">
  <sheetPr codeName="Hoja11"/>
  <dimension ref="A1:U64"/>
  <sheetViews>
    <sheetView showGridLines="0" topLeftCell="A26" zoomScale="70" zoomScaleNormal="70" workbookViewId="0">
      <selection activeCell="A48" sqref="A48:C52"/>
    </sheetView>
  </sheetViews>
  <sheetFormatPr baseColWidth="10" defaultColWidth="11" defaultRowHeight="15.5" x14ac:dyDescent="0.35"/>
  <cols>
    <col min="1" max="1" width="9.58203125" style="39" bestFit="1" customWidth="1"/>
    <col min="2" max="2" width="15.4140625" style="39" bestFit="1" customWidth="1"/>
    <col min="3" max="3" width="16" style="39" bestFit="1" customWidth="1"/>
    <col min="4" max="4" width="2.58203125" style="39" customWidth="1"/>
    <col min="5" max="5" width="3.5" style="39" customWidth="1"/>
    <col min="6" max="6" width="14.58203125" style="39" bestFit="1" customWidth="1"/>
    <col min="7" max="7" width="15.08203125" style="39" bestFit="1" customWidth="1"/>
    <col min="8" max="8" width="17.4140625" style="39" bestFit="1" customWidth="1"/>
    <col min="9" max="9" width="27" style="39" bestFit="1" customWidth="1"/>
    <col min="10" max="10" width="12.6640625" style="39" bestFit="1" customWidth="1"/>
    <col min="11" max="11" width="13.9140625" style="39" bestFit="1" customWidth="1"/>
    <col min="12" max="13" width="13.9140625" style="39" customWidth="1"/>
    <col min="14" max="14" width="11" style="39"/>
    <col min="15" max="15" width="30" style="39" bestFit="1" customWidth="1"/>
    <col min="16" max="17" width="11" style="39"/>
    <col min="18" max="18" width="33" style="39" bestFit="1" customWidth="1"/>
    <col min="19" max="19" width="12.6640625" style="39" bestFit="1" customWidth="1"/>
    <col min="20" max="16384" width="11" style="39"/>
  </cols>
  <sheetData>
    <row r="1" spans="1:21" x14ac:dyDescent="0.35">
      <c r="A1" s="37" t="s">
        <v>94</v>
      </c>
      <c r="B1" s="38" t="s">
        <v>95</v>
      </c>
      <c r="C1" s="38" t="s">
        <v>96</v>
      </c>
      <c r="F1" s="85" t="s">
        <v>97</v>
      </c>
      <c r="G1" s="85" t="s">
        <v>98</v>
      </c>
      <c r="H1" s="85" t="s">
        <v>99</v>
      </c>
      <c r="I1" s="85" t="s">
        <v>100</v>
      </c>
      <c r="J1" s="85" t="s">
        <v>101</v>
      </c>
      <c r="K1" s="85" t="s">
        <v>102</v>
      </c>
      <c r="L1" s="85" t="s">
        <v>102</v>
      </c>
      <c r="M1" s="85"/>
      <c r="N1" s="85" t="s">
        <v>103</v>
      </c>
      <c r="O1" s="86" t="s">
        <v>104</v>
      </c>
      <c r="P1" s="86"/>
      <c r="Q1" s="86"/>
      <c r="R1" s="86" t="s">
        <v>105</v>
      </c>
      <c r="S1" s="86"/>
      <c r="T1" s="86" t="s">
        <v>106</v>
      </c>
      <c r="U1" s="86" t="s">
        <v>106</v>
      </c>
    </row>
    <row r="2" spans="1:21" x14ac:dyDescent="0.35">
      <c r="A2" s="37" t="s">
        <v>37</v>
      </c>
      <c r="B2" s="38">
        <v>310000</v>
      </c>
      <c r="C2" s="38">
        <f>B2+40000</f>
        <v>350000</v>
      </c>
      <c r="F2" s="86" t="s">
        <v>258</v>
      </c>
      <c r="G2" s="86" t="s">
        <v>259</v>
      </c>
      <c r="H2" s="86" t="s">
        <v>241</v>
      </c>
      <c r="I2" s="86" t="s">
        <v>257</v>
      </c>
      <c r="J2" s="87"/>
      <c r="K2" s="86">
        <v>10</v>
      </c>
      <c r="L2" s="86">
        <f t="shared" ref="L2:L9" si="0">K2</f>
        <v>10</v>
      </c>
      <c r="M2" s="86">
        <f>N2+L2</f>
        <v>46</v>
      </c>
      <c r="N2" s="86">
        <v>36</v>
      </c>
      <c r="O2" s="86" t="str">
        <f t="shared" ref="O2:O3" si="1">"Opción 1: "&amp;K2&amp;" Cuotas (Sólo TOKU)"</f>
        <v>Opción 1: 10 Cuotas (Sólo TOKU)</v>
      </c>
      <c r="P2" s="86" t="str">
        <f t="shared" ref="P2:P3" si="2">K2&amp;" Cuotas"</f>
        <v>10 Cuotas</v>
      </c>
      <c r="Q2" s="86" t="str">
        <f t="shared" ref="Q2" si="3">L2&amp;" Cuotas"</f>
        <v>10 Cuotas</v>
      </c>
      <c r="R2" s="86" t="str">
        <f t="shared" ref="R2:R3" si="4">"Opción 2: "&amp;N2+K2&amp;" Cuotas (TOKU + TC)"</f>
        <v>Opción 2: 46 Cuotas (TOKU + TC)</v>
      </c>
      <c r="S2" s="86" t="s">
        <v>304</v>
      </c>
      <c r="T2" s="88"/>
      <c r="U2" s="89">
        <v>100000</v>
      </c>
    </row>
    <row r="3" spans="1:21" x14ac:dyDescent="0.35">
      <c r="A3" s="37" t="s">
        <v>49</v>
      </c>
      <c r="B3" s="38">
        <v>390000</v>
      </c>
      <c r="C3" s="38">
        <v>430000</v>
      </c>
      <c r="F3" s="86" t="s">
        <v>66</v>
      </c>
      <c r="G3" s="86" t="s">
        <v>108</v>
      </c>
      <c r="H3" s="86" t="s">
        <v>111</v>
      </c>
      <c r="I3" s="86" t="s">
        <v>109</v>
      </c>
      <c r="J3" s="87"/>
      <c r="K3" s="86">
        <v>8</v>
      </c>
      <c r="L3" s="86">
        <f t="shared" si="0"/>
        <v>8</v>
      </c>
      <c r="M3" s="86">
        <f t="shared" ref="M3" si="5">N3+L3</f>
        <v>26</v>
      </c>
      <c r="N3" s="86">
        <v>18</v>
      </c>
      <c r="O3" s="86" t="str">
        <f t="shared" si="1"/>
        <v>Opción 1: 8 Cuotas (Sólo TOKU)</v>
      </c>
      <c r="P3" s="86" t="str">
        <f t="shared" si="2"/>
        <v>8 Cuotas</v>
      </c>
      <c r="Q3" s="86" t="str">
        <f t="shared" ref="Q3" si="6">L3&amp;" Cheques"</f>
        <v>8 Cheques</v>
      </c>
      <c r="R3" s="86" t="str">
        <f t="shared" si="4"/>
        <v>Opción 2: 26 Cuotas (TOKU + TC)</v>
      </c>
      <c r="S3" s="86" t="s">
        <v>107</v>
      </c>
      <c r="T3" s="88"/>
      <c r="U3" s="89">
        <v>100000</v>
      </c>
    </row>
    <row r="4" spans="1:21" x14ac:dyDescent="0.35">
      <c r="A4" s="37" t="s">
        <v>39</v>
      </c>
      <c r="B4" s="38">
        <v>440000</v>
      </c>
      <c r="C4" s="38">
        <v>480000</v>
      </c>
      <c r="F4" s="86" t="s">
        <v>269</v>
      </c>
      <c r="G4" s="86" t="s">
        <v>112</v>
      </c>
      <c r="H4" s="86" t="s">
        <v>271</v>
      </c>
      <c r="I4" s="86" t="s">
        <v>270</v>
      </c>
      <c r="J4" s="87"/>
      <c r="K4" s="86">
        <v>24</v>
      </c>
      <c r="L4" s="86">
        <f t="shared" si="0"/>
        <v>24</v>
      </c>
      <c r="M4" s="86">
        <f t="shared" ref="M4" si="7">N4+L4</f>
        <v>60</v>
      </c>
      <c r="N4" s="86">
        <v>36</v>
      </c>
      <c r="O4" s="86" t="str">
        <f t="shared" ref="O4:O9" si="8">"Opción 1: "&amp;K4&amp;" Cuotas (Sólo TOKU)"</f>
        <v>Opción 1: 24 Cuotas (Sólo TOKU)</v>
      </c>
      <c r="P4" s="86" t="str">
        <f t="shared" ref="P4:Q9" si="9">K4&amp;" Cuotas"</f>
        <v>24 Cuotas</v>
      </c>
      <c r="Q4" s="86" t="str">
        <f t="shared" ref="Q4" si="10">L4&amp;" Cheques"</f>
        <v>24 Cheques</v>
      </c>
      <c r="R4" s="86" t="str">
        <f t="shared" ref="R4:R9" si="11">"Opción 2: "&amp;N4+K4&amp;" Cuotas (TOKU + TC)"</f>
        <v>Opción 2: 60 Cuotas (TOKU + TC)</v>
      </c>
      <c r="S4" s="86" t="s">
        <v>304</v>
      </c>
      <c r="T4" s="88"/>
      <c r="U4" s="89">
        <v>100000</v>
      </c>
    </row>
    <row r="5" spans="1:21" x14ac:dyDescent="0.35">
      <c r="A5" s="37"/>
      <c r="B5" s="38"/>
      <c r="C5" s="38"/>
      <c r="F5" s="86" t="s">
        <v>343</v>
      </c>
      <c r="G5" s="90" t="s">
        <v>110</v>
      </c>
      <c r="H5" s="86" t="s">
        <v>308</v>
      </c>
      <c r="I5" s="86" t="s">
        <v>344</v>
      </c>
      <c r="J5" s="87"/>
      <c r="K5" s="86">
        <v>36</v>
      </c>
      <c r="L5" s="86">
        <f t="shared" ref="L5" si="12">K5</f>
        <v>36</v>
      </c>
      <c r="M5" s="86">
        <f>N5+L5</f>
        <v>72</v>
      </c>
      <c r="N5" s="86">
        <v>36</v>
      </c>
      <c r="O5" s="86" t="str">
        <f t="shared" ref="O5" si="13">"Opción 1: "&amp;K5&amp;" Cuotas (Sólo TOKU)"</f>
        <v>Opción 1: 36 Cuotas (Sólo TOKU)</v>
      </c>
      <c r="P5" s="86" t="str">
        <f t="shared" ref="P5" si="14">K5&amp;" Cuotas"</f>
        <v>36 Cuotas</v>
      </c>
      <c r="Q5" s="86" t="str">
        <f t="shared" ref="Q5" si="15">L5&amp;" Cuotas"</f>
        <v>36 Cuotas</v>
      </c>
      <c r="R5" s="86" t="str">
        <f t="shared" ref="R5" si="16">"Opción 2: "&amp;N5+K5&amp;" Cuotas (TOKU + TC)"</f>
        <v>Opción 2: 72 Cuotas (TOKU + TC)</v>
      </c>
      <c r="S5" s="86" t="s">
        <v>304</v>
      </c>
      <c r="T5" s="88"/>
      <c r="U5" s="89">
        <v>100000</v>
      </c>
    </row>
    <row r="6" spans="1:21" x14ac:dyDescent="0.35">
      <c r="A6" s="109" t="s">
        <v>326</v>
      </c>
      <c r="B6" s="110" t="s">
        <v>95</v>
      </c>
      <c r="C6" s="110" t="s">
        <v>96</v>
      </c>
      <c r="F6" s="86" t="s">
        <v>243</v>
      </c>
      <c r="G6" s="90" t="s">
        <v>110</v>
      </c>
      <c r="H6" s="86" t="s">
        <v>308</v>
      </c>
      <c r="I6" s="86" t="s">
        <v>242</v>
      </c>
      <c r="J6" s="87"/>
      <c r="K6" s="86">
        <v>36</v>
      </c>
      <c r="L6" s="86">
        <f t="shared" si="0"/>
        <v>36</v>
      </c>
      <c r="M6" s="86">
        <f>N6+L6</f>
        <v>54</v>
      </c>
      <c r="N6" s="86">
        <v>18</v>
      </c>
      <c r="O6" s="86" t="str">
        <f t="shared" si="8"/>
        <v>Opción 1: 36 Cuotas (Sólo TOKU)</v>
      </c>
      <c r="P6" s="86" t="str">
        <f t="shared" si="9"/>
        <v>36 Cuotas</v>
      </c>
      <c r="Q6" s="86" t="str">
        <f t="shared" ref="Q6" si="17">L6&amp;" Cuotas"</f>
        <v>36 Cuotas</v>
      </c>
      <c r="R6" s="86" t="str">
        <f t="shared" si="11"/>
        <v>Opción 2: 54 Cuotas (TOKU + TC)</v>
      </c>
      <c r="S6" s="86" t="s">
        <v>107</v>
      </c>
      <c r="T6" s="88"/>
      <c r="U6" s="89">
        <v>100000</v>
      </c>
    </row>
    <row r="7" spans="1:21" x14ac:dyDescent="0.35">
      <c r="A7" s="109" t="s">
        <v>48</v>
      </c>
      <c r="B7" s="110">
        <v>300000</v>
      </c>
      <c r="C7" s="110">
        <v>340000</v>
      </c>
      <c r="F7" s="91" t="s">
        <v>238</v>
      </c>
      <c r="G7" s="91" t="s">
        <v>239</v>
      </c>
      <c r="H7" s="91" t="s">
        <v>241</v>
      </c>
      <c r="I7" s="91" t="s">
        <v>240</v>
      </c>
      <c r="J7" s="91"/>
      <c r="K7" s="91">
        <v>22</v>
      </c>
      <c r="L7" s="91">
        <f t="shared" si="0"/>
        <v>22</v>
      </c>
      <c r="M7" s="91">
        <f>L7+N7</f>
        <v>40</v>
      </c>
      <c r="N7" s="91">
        <v>18</v>
      </c>
      <c r="O7" s="86" t="str">
        <f t="shared" si="8"/>
        <v>Opción 1: 22 Cuotas (Sólo TOKU)</v>
      </c>
      <c r="P7" s="86" t="str">
        <f t="shared" si="9"/>
        <v>22 Cuotas</v>
      </c>
      <c r="Q7" s="86" t="str">
        <f t="shared" si="9"/>
        <v>22 Cuotas</v>
      </c>
      <c r="R7" s="86" t="str">
        <f t="shared" si="11"/>
        <v>Opción 2: 40 Cuotas (TOKU + TC)</v>
      </c>
      <c r="S7" s="86" t="s">
        <v>107</v>
      </c>
      <c r="T7" s="88"/>
      <c r="U7" s="89">
        <v>100000</v>
      </c>
    </row>
    <row r="8" spans="1:21" x14ac:dyDescent="0.35">
      <c r="A8" s="109" t="s">
        <v>37</v>
      </c>
      <c r="B8" s="110">
        <v>350000</v>
      </c>
      <c r="C8" s="110">
        <v>390000</v>
      </c>
      <c r="F8" s="91" t="s">
        <v>328</v>
      </c>
      <c r="G8" s="91" t="s">
        <v>112</v>
      </c>
      <c r="H8" s="75" t="s">
        <v>329</v>
      </c>
      <c r="I8" s="91" t="s">
        <v>327</v>
      </c>
      <c r="J8" s="91"/>
      <c r="K8" s="91">
        <v>24</v>
      </c>
      <c r="L8" s="91">
        <f t="shared" ref="L8" si="18">K8</f>
        <v>24</v>
      </c>
      <c r="M8" s="91">
        <f>L8+N8</f>
        <v>60</v>
      </c>
      <c r="N8" s="91">
        <v>36</v>
      </c>
      <c r="O8" s="86" t="str">
        <f t="shared" ref="O8" si="19">"Opción 1: "&amp;K8&amp;" Cuotas (Sólo TOKU)"</f>
        <v>Opción 1: 24 Cuotas (Sólo TOKU)</v>
      </c>
      <c r="P8" s="86" t="str">
        <f t="shared" ref="P8" si="20">K8&amp;" Cuotas"</f>
        <v>24 Cuotas</v>
      </c>
      <c r="Q8" s="86" t="str">
        <f t="shared" ref="Q8" si="21">L8&amp;" Cuotas"</f>
        <v>24 Cuotas</v>
      </c>
      <c r="R8" s="86" t="str">
        <f t="shared" ref="R8" si="22">"Opción 2: "&amp;N8+K8&amp;" Cuotas (TOKU + TC)"</f>
        <v>Opción 2: 60 Cuotas (TOKU + TC)</v>
      </c>
      <c r="S8" s="86" t="s">
        <v>304</v>
      </c>
      <c r="T8" s="88"/>
      <c r="U8" s="89">
        <v>100000</v>
      </c>
    </row>
    <row r="9" spans="1:21" x14ac:dyDescent="0.35">
      <c r="A9" s="109" t="s">
        <v>49</v>
      </c>
      <c r="B9" s="110">
        <v>400000</v>
      </c>
      <c r="C9" s="110">
        <f>B9+40000</f>
        <v>440000</v>
      </c>
      <c r="F9" s="91" t="s">
        <v>186</v>
      </c>
      <c r="G9" s="91" t="s">
        <v>112</v>
      </c>
      <c r="H9" s="75" t="s">
        <v>308</v>
      </c>
      <c r="I9" s="91" t="s">
        <v>187</v>
      </c>
      <c r="J9" s="91"/>
      <c r="K9" s="91">
        <v>24</v>
      </c>
      <c r="L9" s="91">
        <f t="shared" si="0"/>
        <v>24</v>
      </c>
      <c r="M9" s="91">
        <f>L9+N9</f>
        <v>60</v>
      </c>
      <c r="N9" s="91">
        <v>36</v>
      </c>
      <c r="O9" s="86" t="str">
        <f t="shared" si="8"/>
        <v>Opción 1: 24 Cuotas (Sólo TOKU)</v>
      </c>
      <c r="P9" s="86" t="str">
        <f t="shared" si="9"/>
        <v>24 Cuotas</v>
      </c>
      <c r="Q9" s="86" t="str">
        <f t="shared" si="9"/>
        <v>24 Cuotas</v>
      </c>
      <c r="R9" s="86" t="str">
        <f t="shared" si="11"/>
        <v>Opción 2: 60 Cuotas (TOKU + TC)</v>
      </c>
      <c r="S9" s="86" t="s">
        <v>304</v>
      </c>
      <c r="T9" s="88"/>
      <c r="U9" s="89">
        <v>100000</v>
      </c>
    </row>
    <row r="10" spans="1:21" x14ac:dyDescent="0.35">
      <c r="A10" s="109" t="s">
        <v>39</v>
      </c>
      <c r="B10" s="110">
        <v>420000</v>
      </c>
      <c r="C10" s="110">
        <v>460000</v>
      </c>
    </row>
    <row r="11" spans="1:21" x14ac:dyDescent="0.35">
      <c r="A11" s="37"/>
      <c r="B11" s="38"/>
      <c r="C11" s="38"/>
      <c r="F11" s="57" t="s">
        <v>46</v>
      </c>
      <c r="G11" s="58">
        <v>30</v>
      </c>
    </row>
    <row r="12" spans="1:21" x14ac:dyDescent="0.35">
      <c r="A12" s="37" t="s">
        <v>5</v>
      </c>
      <c r="B12" s="38" t="s">
        <v>95</v>
      </c>
      <c r="C12" s="38" t="s">
        <v>96</v>
      </c>
      <c r="F12" s="57" t="s">
        <v>149</v>
      </c>
      <c r="G12" s="59">
        <v>0.04</v>
      </c>
    </row>
    <row r="13" spans="1:21" x14ac:dyDescent="0.35">
      <c r="A13" s="37" t="s">
        <v>48</v>
      </c>
      <c r="B13" s="38">
        <v>290000</v>
      </c>
      <c r="C13" s="38">
        <v>320000</v>
      </c>
    </row>
    <row r="14" spans="1:21" x14ac:dyDescent="0.35">
      <c r="A14" s="37" t="s">
        <v>37</v>
      </c>
      <c r="B14" s="38">
        <v>350000</v>
      </c>
      <c r="C14" s="38">
        <v>380000</v>
      </c>
      <c r="F14" s="57" t="s">
        <v>46</v>
      </c>
      <c r="G14" s="58">
        <v>30</v>
      </c>
    </row>
    <row r="15" spans="1:21" x14ac:dyDescent="0.35">
      <c r="A15" s="37" t="s">
        <v>49</v>
      </c>
      <c r="B15" s="38">
        <v>410000</v>
      </c>
      <c r="C15" s="38">
        <v>440000</v>
      </c>
      <c r="F15" s="57" t="s">
        <v>47</v>
      </c>
      <c r="G15" s="59">
        <v>0.04</v>
      </c>
    </row>
    <row r="16" spans="1:21" x14ac:dyDescent="0.35">
      <c r="A16" s="37" t="s">
        <v>39</v>
      </c>
      <c r="B16" s="38">
        <v>460000</v>
      </c>
      <c r="C16" s="38">
        <v>500000</v>
      </c>
    </row>
    <row r="17" spans="1:9" x14ac:dyDescent="0.35">
      <c r="A17" s="37"/>
      <c r="B17" s="38"/>
      <c r="C17" s="38"/>
    </row>
    <row r="18" spans="1:9" x14ac:dyDescent="0.35">
      <c r="A18" s="37" t="s">
        <v>113</v>
      </c>
      <c r="B18" s="38" t="s">
        <v>95</v>
      </c>
      <c r="C18" s="38" t="s">
        <v>96</v>
      </c>
    </row>
    <row r="19" spans="1:9" x14ac:dyDescent="0.35">
      <c r="A19" s="37" t="s">
        <v>48</v>
      </c>
      <c r="B19" s="38">
        <v>290000</v>
      </c>
      <c r="C19" s="38">
        <v>320000</v>
      </c>
    </row>
    <row r="20" spans="1:9" x14ac:dyDescent="0.35">
      <c r="A20" s="37" t="s">
        <v>37</v>
      </c>
      <c r="B20" s="38">
        <v>320000</v>
      </c>
      <c r="C20" s="38">
        <v>350000</v>
      </c>
      <c r="F20" s="105" t="s">
        <v>322</v>
      </c>
      <c r="G20" s="106" t="s">
        <v>33</v>
      </c>
      <c r="H20" s="106" t="s">
        <v>323</v>
      </c>
      <c r="I20" s="105" t="s">
        <v>324</v>
      </c>
    </row>
    <row r="21" spans="1:9" x14ac:dyDescent="0.35">
      <c r="A21" s="37" t="s">
        <v>39</v>
      </c>
      <c r="B21" s="38">
        <v>450000</v>
      </c>
      <c r="C21" s="38">
        <v>480000</v>
      </c>
      <c r="F21" s="105" t="s">
        <v>37</v>
      </c>
      <c r="G21" s="107">
        <v>500000</v>
      </c>
      <c r="H21" s="107">
        <v>540000</v>
      </c>
      <c r="I21" s="107">
        <v>550000</v>
      </c>
    </row>
    <row r="22" spans="1:9" x14ac:dyDescent="0.35">
      <c r="A22" s="37" t="s">
        <v>42</v>
      </c>
      <c r="B22" s="38">
        <v>550000</v>
      </c>
      <c r="C22" s="38">
        <v>600000</v>
      </c>
      <c r="F22" s="104"/>
      <c r="G22" s="104"/>
      <c r="H22" s="104"/>
      <c r="I22" s="104"/>
    </row>
    <row r="23" spans="1:9" x14ac:dyDescent="0.35">
      <c r="A23" s="37"/>
      <c r="B23" s="38"/>
      <c r="C23" s="38"/>
      <c r="F23" s="105" t="s">
        <v>325</v>
      </c>
      <c r="G23" s="106" t="s">
        <v>33</v>
      </c>
      <c r="H23" s="106" t="s">
        <v>323</v>
      </c>
      <c r="I23" s="105" t="s">
        <v>324</v>
      </c>
    </row>
    <row r="24" spans="1:9" x14ac:dyDescent="0.35">
      <c r="A24" s="37" t="s">
        <v>114</v>
      </c>
      <c r="B24" s="38" t="s">
        <v>95</v>
      </c>
      <c r="C24" s="38" t="s">
        <v>96</v>
      </c>
      <c r="F24" s="105" t="s">
        <v>48</v>
      </c>
      <c r="G24" s="107">
        <v>450000</v>
      </c>
      <c r="H24" s="107">
        <v>490000</v>
      </c>
      <c r="I24" s="107">
        <v>500000</v>
      </c>
    </row>
    <row r="25" spans="1:9" x14ac:dyDescent="0.35">
      <c r="A25" s="37" t="s">
        <v>48</v>
      </c>
      <c r="B25" s="38">
        <v>250000</v>
      </c>
      <c r="C25" s="38">
        <f>B25+30000</f>
        <v>280000</v>
      </c>
      <c r="F25" s="105" t="s">
        <v>37</v>
      </c>
      <c r="G25" s="107">
        <v>500000</v>
      </c>
      <c r="H25" s="107">
        <v>540000</v>
      </c>
      <c r="I25" s="107">
        <v>550000</v>
      </c>
    </row>
    <row r="26" spans="1:9" x14ac:dyDescent="0.35">
      <c r="A26" s="37" t="s">
        <v>37</v>
      </c>
      <c r="B26" s="38">
        <v>280000</v>
      </c>
      <c r="C26" s="38">
        <f>B26+40000</f>
        <v>320000</v>
      </c>
      <c r="F26" s="104"/>
      <c r="G26" s="104"/>
      <c r="H26" s="104"/>
      <c r="I26" s="104"/>
    </row>
    <row r="27" spans="1:9" x14ac:dyDescent="0.35">
      <c r="A27" s="37" t="s">
        <v>49</v>
      </c>
      <c r="B27" s="38">
        <v>350000</v>
      </c>
      <c r="C27" s="38">
        <v>390000</v>
      </c>
      <c r="F27" s="105" t="s">
        <v>330</v>
      </c>
      <c r="G27" s="106" t="s">
        <v>33</v>
      </c>
      <c r="H27" s="106" t="s">
        <v>323</v>
      </c>
      <c r="I27" s="105" t="s">
        <v>324</v>
      </c>
    </row>
    <row r="28" spans="1:9" x14ac:dyDescent="0.35">
      <c r="A28" s="37" t="s">
        <v>39</v>
      </c>
      <c r="B28" s="38">
        <v>400000</v>
      </c>
      <c r="C28" s="38">
        <v>440000</v>
      </c>
      <c r="F28" s="105" t="s">
        <v>37</v>
      </c>
      <c r="G28" s="107">
        <v>500000</v>
      </c>
      <c r="H28" s="107">
        <v>540000</v>
      </c>
      <c r="I28" s="107">
        <v>550000</v>
      </c>
    </row>
    <row r="29" spans="1:9" x14ac:dyDescent="0.35">
      <c r="F29" s="105" t="s">
        <v>39</v>
      </c>
      <c r="G29" s="107">
        <v>650000</v>
      </c>
      <c r="H29" s="107">
        <v>650000</v>
      </c>
      <c r="I29" s="107">
        <v>650000</v>
      </c>
    </row>
    <row r="30" spans="1:9" x14ac:dyDescent="0.35">
      <c r="A30" s="37" t="s">
        <v>115</v>
      </c>
      <c r="B30" s="38" t="s">
        <v>95</v>
      </c>
      <c r="C30" s="38" t="s">
        <v>96</v>
      </c>
    </row>
    <row r="31" spans="1:9" x14ac:dyDescent="0.35">
      <c r="A31" s="37" t="s">
        <v>48</v>
      </c>
      <c r="B31" s="38">
        <v>290000</v>
      </c>
      <c r="C31" s="38">
        <v>320000</v>
      </c>
      <c r="F31" s="105" t="s">
        <v>345</v>
      </c>
      <c r="G31" s="106" t="s">
        <v>33</v>
      </c>
      <c r="H31" s="106" t="s">
        <v>323</v>
      </c>
      <c r="I31" s="105" t="s">
        <v>324</v>
      </c>
    </row>
    <row r="32" spans="1:9" x14ac:dyDescent="0.35">
      <c r="A32" s="37" t="s">
        <v>37</v>
      </c>
      <c r="B32" s="38">
        <v>350000</v>
      </c>
      <c r="C32" s="38">
        <v>380000</v>
      </c>
      <c r="F32" s="105" t="s">
        <v>37</v>
      </c>
      <c r="G32" s="107">
        <v>550000</v>
      </c>
      <c r="H32" s="107">
        <v>600000</v>
      </c>
      <c r="I32" s="107">
        <v>610000</v>
      </c>
    </row>
    <row r="33" spans="1:9" x14ac:dyDescent="0.35">
      <c r="A33" s="37" t="s">
        <v>39</v>
      </c>
      <c r="B33" s="38">
        <v>450000</v>
      </c>
      <c r="C33" s="38">
        <v>500000</v>
      </c>
      <c r="F33" s="105" t="s">
        <v>39</v>
      </c>
      <c r="G33" s="107">
        <v>700000</v>
      </c>
      <c r="H33" s="107">
        <v>700000</v>
      </c>
      <c r="I33" s="107">
        <v>700000</v>
      </c>
    </row>
    <row r="34" spans="1:9" x14ac:dyDescent="0.35">
      <c r="A34" s="37" t="s">
        <v>42</v>
      </c>
      <c r="B34" s="38">
        <v>500000</v>
      </c>
      <c r="C34" s="38">
        <v>550000</v>
      </c>
    </row>
    <row r="36" spans="1:9" x14ac:dyDescent="0.35">
      <c r="A36" s="37" t="s">
        <v>6</v>
      </c>
      <c r="B36" s="38" t="s">
        <v>95</v>
      </c>
      <c r="C36" s="38" t="s">
        <v>96</v>
      </c>
    </row>
    <row r="37" spans="1:9" x14ac:dyDescent="0.35">
      <c r="A37" s="37" t="s">
        <v>48</v>
      </c>
      <c r="B37" s="38">
        <v>390000</v>
      </c>
      <c r="C37" s="38">
        <f>B37+40000</f>
        <v>430000</v>
      </c>
      <c r="F37" s="37" t="s">
        <v>343</v>
      </c>
      <c r="G37" s="38" t="s">
        <v>95</v>
      </c>
      <c r="H37" s="38" t="s">
        <v>96</v>
      </c>
    </row>
    <row r="38" spans="1:9" x14ac:dyDescent="0.35">
      <c r="A38" s="37" t="s">
        <v>37</v>
      </c>
      <c r="B38" s="38">
        <v>450000</v>
      </c>
      <c r="C38" s="38">
        <f t="shared" ref="C38:C40" si="23">B38+40000</f>
        <v>490000</v>
      </c>
      <c r="F38" s="37" t="s">
        <v>37</v>
      </c>
      <c r="G38" s="38">
        <v>480000</v>
      </c>
      <c r="H38" s="38">
        <f t="shared" ref="H38:H39" si="24">G38+40000</f>
        <v>520000</v>
      </c>
    </row>
    <row r="39" spans="1:9" x14ac:dyDescent="0.35">
      <c r="A39" s="37" t="s">
        <v>49</v>
      </c>
      <c r="B39" s="38">
        <v>520000</v>
      </c>
      <c r="C39" s="38">
        <f t="shared" si="23"/>
        <v>560000</v>
      </c>
      <c r="F39" s="37" t="s">
        <v>39</v>
      </c>
      <c r="G39" s="38">
        <v>650000</v>
      </c>
      <c r="H39" s="38">
        <f t="shared" si="24"/>
        <v>690000</v>
      </c>
    </row>
    <row r="40" spans="1:9" x14ac:dyDescent="0.35">
      <c r="A40" s="37" t="s">
        <v>39</v>
      </c>
      <c r="B40" s="38">
        <v>620000</v>
      </c>
      <c r="C40" s="38">
        <f t="shared" si="23"/>
        <v>660000</v>
      </c>
    </row>
    <row r="42" spans="1:9" x14ac:dyDescent="0.35">
      <c r="A42" s="37" t="s">
        <v>66</v>
      </c>
      <c r="B42" s="38" t="s">
        <v>95</v>
      </c>
      <c r="C42" s="38" t="s">
        <v>96</v>
      </c>
    </row>
    <row r="43" spans="1:9" x14ac:dyDescent="0.35">
      <c r="A43" s="37" t="s">
        <v>37</v>
      </c>
      <c r="B43" s="38">
        <v>340000</v>
      </c>
      <c r="C43" s="38">
        <v>380000</v>
      </c>
    </row>
    <row r="44" spans="1:9" x14ac:dyDescent="0.35">
      <c r="A44" s="37" t="s">
        <v>49</v>
      </c>
      <c r="B44" s="38">
        <v>410000</v>
      </c>
      <c r="C44" s="38">
        <v>450000</v>
      </c>
    </row>
    <row r="45" spans="1:9" x14ac:dyDescent="0.35">
      <c r="A45" s="37" t="s">
        <v>39</v>
      </c>
      <c r="B45" s="38">
        <v>470000</v>
      </c>
      <c r="C45" s="38">
        <v>500000</v>
      </c>
    </row>
    <row r="46" spans="1:9" x14ac:dyDescent="0.35">
      <c r="A46" s="37" t="s">
        <v>42</v>
      </c>
      <c r="B46" s="38">
        <v>550000</v>
      </c>
      <c r="C46" s="38">
        <v>590000</v>
      </c>
    </row>
    <row r="48" spans="1:9" x14ac:dyDescent="0.35">
      <c r="A48" s="111" t="s">
        <v>269</v>
      </c>
      <c r="B48" s="111" t="s">
        <v>95</v>
      </c>
      <c r="C48" s="111" t="s">
        <v>96</v>
      </c>
    </row>
    <row r="49" spans="1:3" x14ac:dyDescent="0.35">
      <c r="A49" s="111" t="s">
        <v>48</v>
      </c>
      <c r="B49" s="112">
        <v>320000</v>
      </c>
      <c r="C49" s="112">
        <f>B49+40000</f>
        <v>360000</v>
      </c>
    </row>
    <row r="50" spans="1:3" x14ac:dyDescent="0.35">
      <c r="A50" s="111" t="s">
        <v>37</v>
      </c>
      <c r="B50" s="112">
        <v>370000</v>
      </c>
      <c r="C50" s="112">
        <f t="shared" ref="C50:C52" si="25">B50+40000</f>
        <v>410000</v>
      </c>
    </row>
    <row r="51" spans="1:3" x14ac:dyDescent="0.35">
      <c r="A51" s="111" t="s">
        <v>49</v>
      </c>
      <c r="B51" s="112">
        <v>420000</v>
      </c>
      <c r="C51" s="112">
        <f t="shared" si="25"/>
        <v>460000</v>
      </c>
    </row>
    <row r="52" spans="1:3" x14ac:dyDescent="0.35">
      <c r="A52" s="111" t="s">
        <v>39</v>
      </c>
      <c r="B52" s="112">
        <v>510000</v>
      </c>
      <c r="C52" s="112">
        <f t="shared" si="25"/>
        <v>550000</v>
      </c>
    </row>
    <row r="54" spans="1:3" x14ac:dyDescent="0.35">
      <c r="A54" s="39" t="s">
        <v>142</v>
      </c>
      <c r="B54" s="39" t="s">
        <v>95</v>
      </c>
      <c r="C54" s="39" t="s">
        <v>96</v>
      </c>
    </row>
    <row r="55" spans="1:3" x14ac:dyDescent="0.35">
      <c r="A55" s="39" t="s">
        <v>37</v>
      </c>
      <c r="B55" s="40">
        <v>390000</v>
      </c>
      <c r="C55" s="40">
        <v>430000</v>
      </c>
    </row>
    <row r="56" spans="1:3" x14ac:dyDescent="0.35">
      <c r="A56" s="39" t="s">
        <v>49</v>
      </c>
      <c r="B56" s="40">
        <v>440000</v>
      </c>
      <c r="C56" s="40">
        <v>480000</v>
      </c>
    </row>
    <row r="57" spans="1:3" x14ac:dyDescent="0.35">
      <c r="A57" s="39" t="s">
        <v>39</v>
      </c>
      <c r="B57" s="40">
        <v>490000</v>
      </c>
      <c r="C57" s="40">
        <v>530000</v>
      </c>
    </row>
    <row r="58" spans="1:3" x14ac:dyDescent="0.35">
      <c r="A58" s="39" t="s">
        <v>42</v>
      </c>
      <c r="B58" s="40">
        <v>540000</v>
      </c>
      <c r="C58" s="40">
        <v>580000</v>
      </c>
    </row>
    <row r="60" spans="1:3" x14ac:dyDescent="0.35">
      <c r="A60" s="39" t="s">
        <v>260</v>
      </c>
      <c r="B60" s="39" t="s">
        <v>95</v>
      </c>
      <c r="C60" s="39" t="s">
        <v>96</v>
      </c>
    </row>
    <row r="61" spans="1:3" x14ac:dyDescent="0.35">
      <c r="A61" s="37" t="s">
        <v>37</v>
      </c>
      <c r="B61" s="38">
        <v>560000</v>
      </c>
      <c r="C61" s="38">
        <v>650000</v>
      </c>
    </row>
    <row r="62" spans="1:3" x14ac:dyDescent="0.35">
      <c r="A62" s="37" t="s">
        <v>39</v>
      </c>
      <c r="B62" s="38">
        <v>750000</v>
      </c>
      <c r="C62" s="38">
        <v>780000</v>
      </c>
    </row>
    <row r="63" spans="1:3" x14ac:dyDescent="0.35">
      <c r="B63" s="40"/>
      <c r="C63" s="40"/>
    </row>
    <row r="64" spans="1:3" x14ac:dyDescent="0.35">
      <c r="B64" s="40"/>
      <c r="C64" s="40"/>
    </row>
  </sheetData>
  <phoneticPr fontId="16" type="noConversion"/>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8F805-6C96-4438-96B7-B53B8C3AF3EB}">
  <sheetPr codeName="Hoja20" filterMode="1">
    <tabColor rgb="FF002060"/>
  </sheetPr>
  <dimension ref="A1:AE62"/>
  <sheetViews>
    <sheetView showGridLines="0" zoomScale="80" zoomScaleNormal="80" zoomScalePageLayoutView="120" workbookViewId="0">
      <pane ySplit="1" topLeftCell="A5" activePane="bottomLeft" state="frozen"/>
      <selection activeCell="C20" sqref="C20"/>
      <selection pane="bottomLeft" activeCell="I12" sqref="I12"/>
    </sheetView>
  </sheetViews>
  <sheetFormatPr baseColWidth="10" defaultColWidth="11" defaultRowHeight="15.5" x14ac:dyDescent="0.35"/>
  <cols>
    <col min="1" max="1" width="10.5" style="4" bestFit="1" customWidth="1"/>
    <col min="2" max="2" width="12.5" style="4" bestFit="1" customWidth="1"/>
    <col min="3" max="3" width="11.5" style="4" customWidth="1"/>
    <col min="4" max="4" width="12" style="4" customWidth="1"/>
    <col min="5" max="7" width="9" style="4" hidden="1" customWidth="1"/>
    <col min="8" max="8" width="12.58203125" style="4" hidden="1" customWidth="1"/>
    <col min="9" max="9" width="12" style="4" bestFit="1" customWidth="1"/>
    <col min="10" max="10" width="10.5" style="4" customWidth="1"/>
    <col min="11" max="11" width="10" style="4" customWidth="1"/>
    <col min="12" max="12" width="8.5" style="4" bestFit="1" customWidth="1"/>
    <col min="13" max="13" width="13.58203125" style="4" customWidth="1"/>
    <col min="14" max="16" width="10.5" style="4" customWidth="1"/>
    <col min="17" max="17" width="9.9140625" style="4" customWidth="1"/>
    <col min="18" max="18" width="10.58203125" style="4" customWidth="1"/>
    <col min="19" max="19" width="16" style="4" customWidth="1"/>
    <col min="20" max="20" width="15.08203125" style="4" customWidth="1"/>
    <col min="21" max="21" width="10.5" style="4" bestFit="1" customWidth="1"/>
    <col min="22" max="22" width="10.5" style="4" hidden="1" customWidth="1"/>
    <col min="23" max="23" width="10.9140625" style="4" bestFit="1" customWidth="1"/>
    <col min="24" max="24" width="15" style="4" bestFit="1" customWidth="1"/>
    <col min="25" max="25" width="13.5" style="4" customWidth="1"/>
    <col min="26" max="26" width="15" style="4" bestFit="1" customWidth="1"/>
    <col min="27" max="27" width="13.5" style="4" customWidth="1"/>
    <col min="28" max="29" width="13" style="4" bestFit="1" customWidth="1"/>
    <col min="30" max="30" width="9.5" style="4" bestFit="1" customWidth="1"/>
  </cols>
  <sheetData>
    <row r="1" spans="1:31" ht="26.25" customHeight="1" x14ac:dyDescent="0.35">
      <c r="A1" s="44" t="s">
        <v>7</v>
      </c>
      <c r="B1" s="44" t="s">
        <v>8</v>
      </c>
      <c r="C1" s="44" t="s">
        <v>9</v>
      </c>
      <c r="D1" s="44" t="s">
        <v>10</v>
      </c>
      <c r="E1" s="44" t="s">
        <v>11</v>
      </c>
      <c r="F1" s="44" t="s">
        <v>12</v>
      </c>
      <c r="G1" s="44" t="s">
        <v>13</v>
      </c>
      <c r="H1" s="44" t="s">
        <v>14</v>
      </c>
      <c r="I1" s="44" t="s">
        <v>15</v>
      </c>
      <c r="J1" s="44" t="s">
        <v>16</v>
      </c>
      <c r="K1" s="44" t="s">
        <v>17</v>
      </c>
      <c r="L1" s="44" t="s">
        <v>18</v>
      </c>
      <c r="M1" s="44" t="s">
        <v>19</v>
      </c>
      <c r="N1" s="44" t="s">
        <v>20</v>
      </c>
      <c r="O1" s="44" t="s">
        <v>22</v>
      </c>
      <c r="P1" s="45" t="s">
        <v>21</v>
      </c>
      <c r="Q1" s="45" t="s">
        <v>23</v>
      </c>
      <c r="R1" s="45" t="s">
        <v>24</v>
      </c>
      <c r="S1" s="45" t="s">
        <v>25</v>
      </c>
      <c r="T1" s="45" t="s">
        <v>26</v>
      </c>
      <c r="U1" s="45" t="s">
        <v>27</v>
      </c>
      <c r="V1" s="45" t="s">
        <v>28</v>
      </c>
      <c r="W1" s="46" t="s">
        <v>29</v>
      </c>
      <c r="X1" s="47" t="s">
        <v>30</v>
      </c>
      <c r="Y1" s="46" t="s">
        <v>31</v>
      </c>
      <c r="Z1" s="47" t="s">
        <v>32</v>
      </c>
      <c r="AA1" s="46" t="s">
        <v>31</v>
      </c>
      <c r="AB1" s="46" t="s">
        <v>33</v>
      </c>
      <c r="AC1" s="46" t="s">
        <v>34</v>
      </c>
      <c r="AD1" s="46" t="s">
        <v>35</v>
      </c>
      <c r="AE1" s="92" t="s">
        <v>280</v>
      </c>
    </row>
    <row r="2" spans="1:31" s="3" customFormat="1" hidden="1" x14ac:dyDescent="0.35">
      <c r="A2" s="94" t="s">
        <v>342</v>
      </c>
      <c r="B2" s="81">
        <v>206</v>
      </c>
      <c r="C2" s="48" t="s">
        <v>36</v>
      </c>
      <c r="D2" s="48" t="s">
        <v>37</v>
      </c>
      <c r="E2" s="48"/>
      <c r="F2" s="48">
        <v>33.340000000000003</v>
      </c>
      <c r="G2" s="48">
        <v>2.4</v>
      </c>
      <c r="H2" s="82">
        <f t="shared" ref="H2:H49" si="0">F2+(G2/2)</f>
        <v>34.540000000000006</v>
      </c>
      <c r="I2" s="82">
        <f t="shared" ref="I2:I49" si="1">F2+G2</f>
        <v>35.74</v>
      </c>
      <c r="J2" s="49">
        <v>3352</v>
      </c>
      <c r="K2" s="50">
        <v>0</v>
      </c>
      <c r="L2" s="48">
        <v>0</v>
      </c>
      <c r="M2" s="48">
        <v>0</v>
      </c>
      <c r="N2" s="51">
        <f t="shared" ref="N2" si="2">O2-R2</f>
        <v>3016.8</v>
      </c>
      <c r="O2" s="52">
        <f t="shared" ref="O2" si="3">J2*(100%-K2)+L2+M2</f>
        <v>3352</v>
      </c>
      <c r="P2" s="79">
        <f t="shared" ref="P2" si="4">(N2-L2-M2)/H2</f>
        <v>87.342211928199177</v>
      </c>
      <c r="Q2" s="53">
        <f t="shared" ref="Q2" si="5">IF((O2-N2)/O2&gt;10%,10%,ROUND(IF(O2&gt;N2,(O2-N2)/O2,0),4))</f>
        <v>0.1</v>
      </c>
      <c r="R2" s="54">
        <f t="shared" ref="R2" si="6">(J2-J2*K2)*0.1</f>
        <v>335.20000000000005</v>
      </c>
      <c r="S2" s="53">
        <v>0.8</v>
      </c>
      <c r="T2" s="54">
        <f t="shared" ref="T2:T49" si="7">S2*O2</f>
        <v>2681.6000000000004</v>
      </c>
      <c r="U2" s="53">
        <f t="shared" ref="U2:U49" si="8">100%-Q2-S2</f>
        <v>9.9999999999999978E-2</v>
      </c>
      <c r="V2" s="54">
        <f t="shared" ref="V2:V49" si="9">O2*U2</f>
        <v>335.19999999999993</v>
      </c>
      <c r="W2" s="55">
        <f ca="1">V2*VLOOKUP(TODAY(),'UF HOY'!$A$2:$B$36,2,0)</f>
        <v>13318816.687999997</v>
      </c>
      <c r="X2" s="56">
        <f>Datos!$K$4</f>
        <v>24</v>
      </c>
      <c r="Y2" s="55">
        <f ca="1">IF((W2-Datos!$U$4-1000000)/X2&gt;0,(W2-Datos!$U$4-1000000)/X2,0)</f>
        <v>509117.36199999991</v>
      </c>
      <c r="Z2" s="56">
        <f>Datos!$K$4</f>
        <v>24</v>
      </c>
      <c r="AA2" s="55">
        <f ca="1">IF((W2-Datos!$U$4-1000000-O2*3%*VLOOKUP(TODAY(),'UF HOY'!$A$2:$B$36,2,0))/Z2&gt;0,(W2-Datos!$U$4-1000000-O2*3%*VLOOKUP(TODAY(),'UF HOY'!$A$2:$B$36,2,0))/Z2,0)</f>
        <v>342632.15339999989</v>
      </c>
      <c r="AB2" s="130" cm="1">
        <f t="array" ref="AB2">_xlfn.IFS(AND(L2=0,M2=0),VLOOKUP(D2,Datos!$F$20:$I$21,2,0),AND(L2&gt;0,M2=0),VLOOKUP(D2,Datos!$F$20:$I$21,3,0),AND(L2&gt;0,M2&gt;0),VLOOKUP(D2,Datos!$F$20:$I$21,3,0))</f>
        <v>500000</v>
      </c>
      <c r="AC2" s="55">
        <f ca="1">(S2*PMT(Datos!$G$15,Datos!$G$14,-O2,,)*VLOOKUP(TODAY(),'UF HOY'!$A$2:$B$36,2,0)/12)+VLOOKUP(TODAY(),'UF HOY'!$A$2:$B$36,2,0)</f>
        <v>553219.5996067354</v>
      </c>
      <c r="AD2" s="55">
        <f t="shared" ref="AD2:AD49" ca="1" si="10">AB2-AC2</f>
        <v>-53219.599606735399</v>
      </c>
      <c r="AE2" s="93">
        <f ca="1">IF((AC2/0.25)&lt;=1600000,1600000,(AC2/0.25))</f>
        <v>2212878.3984269416</v>
      </c>
    </row>
    <row r="3" spans="1:31" s="3" customFormat="1" hidden="1" x14ac:dyDescent="0.35">
      <c r="A3" s="94" t="s">
        <v>342</v>
      </c>
      <c r="B3" s="81">
        <v>1216</v>
      </c>
      <c r="C3" s="48" t="s">
        <v>38</v>
      </c>
      <c r="D3" s="48" t="s">
        <v>37</v>
      </c>
      <c r="E3" s="48"/>
      <c r="F3" s="48">
        <v>33.21</v>
      </c>
      <c r="G3" s="48">
        <v>2.4</v>
      </c>
      <c r="H3" s="82">
        <f t="shared" si="0"/>
        <v>34.410000000000004</v>
      </c>
      <c r="I3" s="82">
        <f t="shared" si="1"/>
        <v>35.61</v>
      </c>
      <c r="J3" s="49">
        <v>3400</v>
      </c>
      <c r="K3" s="50">
        <v>0</v>
      </c>
      <c r="L3" s="48">
        <v>0</v>
      </c>
      <c r="M3" s="48">
        <v>0</v>
      </c>
      <c r="N3" s="51">
        <f t="shared" ref="N3:N4" si="11">O3-R3</f>
        <v>3060</v>
      </c>
      <c r="O3" s="52">
        <f t="shared" ref="O3:O4" si="12">J3*(100%-K3)+L3+M3</f>
        <v>3400</v>
      </c>
      <c r="P3" s="79">
        <f t="shared" ref="P3:P4" si="13">(N3-L3-M3)/H3</f>
        <v>88.927637314734085</v>
      </c>
      <c r="Q3" s="53">
        <f t="shared" ref="Q3:Q4" si="14">IF((O3-N3)/O3&gt;10%,10%,ROUND(IF(O3&gt;N3,(O3-N3)/O3,0),4))</f>
        <v>0.1</v>
      </c>
      <c r="R3" s="54">
        <f t="shared" ref="R3:R4" si="15">(J3-J3*K3)*0.1</f>
        <v>340</v>
      </c>
      <c r="S3" s="53">
        <v>0.8</v>
      </c>
      <c r="T3" s="54">
        <f t="shared" si="7"/>
        <v>2720</v>
      </c>
      <c r="U3" s="53">
        <f t="shared" si="8"/>
        <v>9.9999999999999978E-2</v>
      </c>
      <c r="V3" s="54">
        <f t="shared" si="9"/>
        <v>339.99999999999994</v>
      </c>
      <c r="W3" s="55">
        <f ca="1">V3*VLOOKUP(TODAY(),'UF HOY'!$A$2:$B$36,2,0)</f>
        <v>13509539.599999998</v>
      </c>
      <c r="X3" s="56">
        <f>Datos!$K$4</f>
        <v>24</v>
      </c>
      <c r="Y3" s="55">
        <f ca="1">IF((W3-Datos!$U$4-1000000)/X3&gt;0,(W3-Datos!$U$4-1000000)/X3,0)</f>
        <v>517064.14999999991</v>
      </c>
      <c r="Z3" s="56">
        <f>Datos!$K$4</f>
        <v>24</v>
      </c>
      <c r="AA3" s="55">
        <f ca="1">IF((W3-Datos!$U$4-1000000-O3*3%*VLOOKUP(TODAY(),'UF HOY'!$A$2:$B$36,2,0))/Z3&gt;0,(W3-Datos!$U$4-1000000-O3*3%*VLOOKUP(TODAY(),'UF HOY'!$A$2:$B$36,2,0))/Z3,0)</f>
        <v>348194.90499999985</v>
      </c>
      <c r="AB3" s="130" cm="1">
        <f t="array" ref="AB3">_xlfn.IFS(AND(L3=0,M3=0),VLOOKUP(D3,Datos!$F$20:$I$21,2,0),AND(L3&gt;0,M3=0),VLOOKUP(D3,Datos!$F$20:$I$21,3,0),AND(L3&gt;0,M3&gt;0),VLOOKUP(D3,Datos!$F$20:$I$21,3,0))</f>
        <v>500000</v>
      </c>
      <c r="AC3" s="55">
        <f ca="1">(S3*PMT(Datos!$G$15,Datos!$G$14,-O3,,)*VLOOKUP(TODAY(),'UF HOY'!$A$2:$B$36,2,0)/12)+VLOOKUP(TODAY(),'UF HOY'!$A$2:$B$36,2,0)</f>
        <v>560572.61621208233</v>
      </c>
      <c r="AD3" s="55">
        <f t="shared" ca="1" si="10"/>
        <v>-60572.616212082328</v>
      </c>
      <c r="AE3" s="93">
        <f t="shared" ref="AE3:AE49" ca="1" si="16">IF((AC3/0.25)&lt;=1600000,1600000,(AC3/0.25))</f>
        <v>2242290.4648483293</v>
      </c>
    </row>
    <row r="4" spans="1:31" s="3" customFormat="1" hidden="1" x14ac:dyDescent="0.35">
      <c r="A4" s="94" t="s">
        <v>342</v>
      </c>
      <c r="B4" s="81">
        <v>606</v>
      </c>
      <c r="C4" s="48" t="s">
        <v>36</v>
      </c>
      <c r="D4" s="48" t="s">
        <v>37</v>
      </c>
      <c r="E4" s="48"/>
      <c r="F4" s="48">
        <v>33.21</v>
      </c>
      <c r="G4" s="48">
        <v>2.4</v>
      </c>
      <c r="H4" s="82">
        <f t="shared" si="0"/>
        <v>34.410000000000004</v>
      </c>
      <c r="I4" s="82">
        <f t="shared" si="1"/>
        <v>35.61</v>
      </c>
      <c r="J4" s="49">
        <v>3407</v>
      </c>
      <c r="K4" s="50">
        <v>0</v>
      </c>
      <c r="L4" s="48">
        <v>0</v>
      </c>
      <c r="M4" s="48">
        <v>0</v>
      </c>
      <c r="N4" s="51">
        <f t="shared" si="11"/>
        <v>3066.3</v>
      </c>
      <c r="O4" s="52">
        <f t="shared" si="12"/>
        <v>3407</v>
      </c>
      <c r="P4" s="79">
        <f t="shared" si="13"/>
        <v>89.110723626852661</v>
      </c>
      <c r="Q4" s="53">
        <f t="shared" si="14"/>
        <v>0.1</v>
      </c>
      <c r="R4" s="54">
        <f t="shared" si="15"/>
        <v>340.70000000000005</v>
      </c>
      <c r="S4" s="53">
        <v>0.8</v>
      </c>
      <c r="T4" s="54">
        <f t="shared" si="7"/>
        <v>2725.6000000000004</v>
      </c>
      <c r="U4" s="53">
        <f t="shared" si="8"/>
        <v>9.9999999999999978E-2</v>
      </c>
      <c r="V4" s="54">
        <f t="shared" si="9"/>
        <v>340.69999999999993</v>
      </c>
      <c r="W4" s="55">
        <f ca="1">V4*VLOOKUP(TODAY(),'UF HOY'!$A$2:$B$36,2,0)</f>
        <v>13537353.357999997</v>
      </c>
      <c r="X4" s="56">
        <f>Datos!$K$4</f>
        <v>24</v>
      </c>
      <c r="Y4" s="55">
        <f ca="1">IF((W4-Datos!$U$4-1000000)/X4&gt;0,(W4-Datos!$U$4-1000000)/X4,0)</f>
        <v>518223.05658333324</v>
      </c>
      <c r="Z4" s="56">
        <f>Datos!$K$4</f>
        <v>24</v>
      </c>
      <c r="AA4" s="55">
        <f ca="1">IF((W4-Datos!$U$4-1000000-O4*3%*VLOOKUP(TODAY(),'UF HOY'!$A$2:$B$36,2,0))/Z4&gt;0,(W4-Datos!$U$4-1000000-O4*3%*VLOOKUP(TODAY(),'UF HOY'!$A$2:$B$36,2,0))/Z4,0)</f>
        <v>349006.13960833318</v>
      </c>
      <c r="AB4" s="130" cm="1">
        <f t="array" ref="AB4">_xlfn.IFS(AND(L4=0,M4=0),VLOOKUP(D4,Datos!$F$20:$I$21,2,0),AND(L4&gt;0,M4=0),VLOOKUP(D4,Datos!$F$20:$I$21,3,0),AND(L4&gt;0,M4&gt;0),VLOOKUP(D4,Datos!$F$20:$I$21,3,0))</f>
        <v>500000</v>
      </c>
      <c r="AC4" s="55">
        <f ca="1">(S4*PMT(Datos!$G$15,Datos!$G$14,-O4,,)*VLOOKUP(TODAY(),'UF HOY'!$A$2:$B$36,2,0)/12)+VLOOKUP(TODAY(),'UF HOY'!$A$2:$B$36,2,0)</f>
        <v>561644.93113369565</v>
      </c>
      <c r="AD4" s="55">
        <f t="shared" ca="1" si="10"/>
        <v>-61644.931133695645</v>
      </c>
      <c r="AE4" s="93">
        <f t="shared" ca="1" si="16"/>
        <v>2246579.7245347826</v>
      </c>
    </row>
    <row r="5" spans="1:31" s="3" customFormat="1" hidden="1" x14ac:dyDescent="0.35">
      <c r="A5" s="94" t="s">
        <v>342</v>
      </c>
      <c r="B5" s="81">
        <v>615</v>
      </c>
      <c r="C5" s="48" t="s">
        <v>38</v>
      </c>
      <c r="D5" s="48" t="s">
        <v>37</v>
      </c>
      <c r="E5" s="48"/>
      <c r="F5" s="48">
        <v>33.58</v>
      </c>
      <c r="G5" s="48">
        <v>2.72</v>
      </c>
      <c r="H5" s="82">
        <f t="shared" si="0"/>
        <v>34.94</v>
      </c>
      <c r="I5" s="82">
        <f t="shared" si="1"/>
        <v>36.299999999999997</v>
      </c>
      <c r="J5" s="49">
        <v>3409</v>
      </c>
      <c r="K5" s="50">
        <v>0</v>
      </c>
      <c r="L5" s="48">
        <v>0</v>
      </c>
      <c r="M5" s="48">
        <v>0</v>
      </c>
      <c r="N5" s="51">
        <f t="shared" ref="N5:N49" si="17">O5-R5</f>
        <v>3068.1</v>
      </c>
      <c r="O5" s="52">
        <f t="shared" ref="O5:O49" si="18">J5*(100%-K5)+L5+M5</f>
        <v>3409</v>
      </c>
      <c r="P5" s="79">
        <f t="shared" ref="P5:P49" si="19">(N5-L5-M5)/H5</f>
        <v>87.810532341156275</v>
      </c>
      <c r="Q5" s="53">
        <f t="shared" ref="Q5:Q49" si="20">IF((O5-N5)/O5&gt;10%,10%,ROUND(IF(O5&gt;N5,(O5-N5)/O5,0),4))</f>
        <v>0.1</v>
      </c>
      <c r="R5" s="54">
        <f t="shared" ref="R5:R49" si="21">(J5-J5*K5)*0.1</f>
        <v>340.90000000000003</v>
      </c>
      <c r="S5" s="53">
        <v>0.8</v>
      </c>
      <c r="T5" s="54">
        <f t="shared" si="7"/>
        <v>2727.2000000000003</v>
      </c>
      <c r="U5" s="53">
        <f t="shared" si="8"/>
        <v>9.9999999999999978E-2</v>
      </c>
      <c r="V5" s="54">
        <f t="shared" si="9"/>
        <v>340.89999999999992</v>
      </c>
      <c r="W5" s="55">
        <f ca="1">V5*VLOOKUP(TODAY(),'UF HOY'!$A$2:$B$36,2,0)</f>
        <v>13545300.145999998</v>
      </c>
      <c r="X5" s="56">
        <f>Datos!$K$4</f>
        <v>24</v>
      </c>
      <c r="Y5" s="55">
        <f ca="1">IF((W5-Datos!$U$4-1000000)/X5&gt;0,(W5-Datos!$U$4-1000000)/X5,0)</f>
        <v>518554.17274999991</v>
      </c>
      <c r="Z5" s="56">
        <f>Datos!$K$4</f>
        <v>24</v>
      </c>
      <c r="AA5" s="55">
        <f ca="1">IF((W5-Datos!$U$4-1000000-O5*3%*VLOOKUP(TODAY(),'UF HOY'!$A$2:$B$36,2,0))/Z5&gt;0,(W5-Datos!$U$4-1000000-O5*3%*VLOOKUP(TODAY(),'UF HOY'!$A$2:$B$36,2,0))/Z5,0)</f>
        <v>349237.92092499993</v>
      </c>
      <c r="AB5" s="130" cm="1">
        <f t="array" ref="AB5">_xlfn.IFS(AND(L5=0,M5=0),VLOOKUP(D5,Datos!$F$20:$I$21,2,0),AND(L5&gt;0,M5=0),VLOOKUP(D5,Datos!$F$20:$I$21,3,0),AND(L5&gt;0,M5&gt;0),VLOOKUP(D5,Datos!$F$20:$I$21,3,0))</f>
        <v>500000</v>
      </c>
      <c r="AC5" s="55">
        <f ca="1">(S5*PMT(Datos!$G$15,Datos!$G$14,-O5,,)*VLOOKUP(TODAY(),'UF HOY'!$A$2:$B$36,2,0)/12)+VLOOKUP(TODAY(),'UF HOY'!$A$2:$B$36,2,0)</f>
        <v>561951.30682558496</v>
      </c>
      <c r="AD5" s="55">
        <f t="shared" ca="1" si="10"/>
        <v>-61951.306825584965</v>
      </c>
      <c r="AE5" s="93">
        <f t="shared" ca="1" si="16"/>
        <v>2247805.2273023399</v>
      </c>
    </row>
    <row r="6" spans="1:31" s="3" customFormat="1" hidden="1" x14ac:dyDescent="0.35">
      <c r="A6" s="94" t="s">
        <v>342</v>
      </c>
      <c r="B6" s="81">
        <v>715</v>
      </c>
      <c r="C6" s="48" t="s">
        <v>38</v>
      </c>
      <c r="D6" s="48" t="s">
        <v>37</v>
      </c>
      <c r="E6" s="48"/>
      <c r="F6" s="48">
        <v>33.58</v>
      </c>
      <c r="G6" s="48">
        <v>2.72</v>
      </c>
      <c r="H6" s="82">
        <f t="shared" si="0"/>
        <v>34.94</v>
      </c>
      <c r="I6" s="82">
        <f t="shared" si="1"/>
        <v>36.299999999999997</v>
      </c>
      <c r="J6" s="49">
        <v>3409</v>
      </c>
      <c r="K6" s="50">
        <v>0</v>
      </c>
      <c r="L6" s="48">
        <v>0</v>
      </c>
      <c r="M6" s="48">
        <v>0</v>
      </c>
      <c r="N6" s="51">
        <f t="shared" si="17"/>
        <v>3068.1</v>
      </c>
      <c r="O6" s="52">
        <f t="shared" si="18"/>
        <v>3409</v>
      </c>
      <c r="P6" s="79">
        <f t="shared" si="19"/>
        <v>87.810532341156275</v>
      </c>
      <c r="Q6" s="53">
        <f t="shared" si="20"/>
        <v>0.1</v>
      </c>
      <c r="R6" s="54">
        <f t="shared" si="21"/>
        <v>340.90000000000003</v>
      </c>
      <c r="S6" s="53">
        <v>0.8</v>
      </c>
      <c r="T6" s="54">
        <f t="shared" si="7"/>
        <v>2727.2000000000003</v>
      </c>
      <c r="U6" s="53">
        <f t="shared" si="8"/>
        <v>9.9999999999999978E-2</v>
      </c>
      <c r="V6" s="54">
        <f t="shared" si="9"/>
        <v>340.89999999999992</v>
      </c>
      <c r="W6" s="55">
        <f ca="1">V6*VLOOKUP(TODAY(),'UF HOY'!$A$2:$B$36,2,0)</f>
        <v>13545300.145999998</v>
      </c>
      <c r="X6" s="56">
        <f>Datos!$K$4</f>
        <v>24</v>
      </c>
      <c r="Y6" s="55">
        <f ca="1">IF((W6-Datos!$U$4-1000000)/X6&gt;0,(W6-Datos!$U$4-1000000)/X6,0)</f>
        <v>518554.17274999991</v>
      </c>
      <c r="Z6" s="56">
        <f>Datos!$K$4</f>
        <v>24</v>
      </c>
      <c r="AA6" s="55">
        <f ca="1">IF((W6-Datos!$U$4-1000000-O6*3%*VLOOKUP(TODAY(),'UF HOY'!$A$2:$B$36,2,0))/Z6&gt;0,(W6-Datos!$U$4-1000000-O6*3%*VLOOKUP(TODAY(),'UF HOY'!$A$2:$B$36,2,0))/Z6,0)</f>
        <v>349237.92092499993</v>
      </c>
      <c r="AB6" s="130" cm="1">
        <f t="array" ref="AB6">_xlfn.IFS(AND(L6=0,M6=0),VLOOKUP(D6,Datos!$F$20:$I$21,2,0),AND(L6&gt;0,M6=0),VLOOKUP(D6,Datos!$F$20:$I$21,3,0),AND(L6&gt;0,M6&gt;0),VLOOKUP(D6,Datos!$F$20:$I$21,3,0))</f>
        <v>500000</v>
      </c>
      <c r="AC6" s="55">
        <f ca="1">(S6*PMT(Datos!$G$15,Datos!$G$14,-O6,,)*VLOOKUP(TODAY(),'UF HOY'!$A$2:$B$36,2,0)/12)+VLOOKUP(TODAY(),'UF HOY'!$A$2:$B$36,2,0)</f>
        <v>561951.30682558496</v>
      </c>
      <c r="AD6" s="55">
        <f t="shared" ca="1" si="10"/>
        <v>-61951.306825584965</v>
      </c>
      <c r="AE6" s="93">
        <f t="shared" ca="1" si="16"/>
        <v>2247805.2273023399</v>
      </c>
    </row>
    <row r="7" spans="1:31" s="3" customFormat="1" x14ac:dyDescent="0.35">
      <c r="A7" s="94" t="s">
        <v>305</v>
      </c>
      <c r="B7" s="81">
        <v>719</v>
      </c>
      <c r="C7" s="48" t="s">
        <v>36</v>
      </c>
      <c r="D7" s="48" t="s">
        <v>37</v>
      </c>
      <c r="E7" s="48"/>
      <c r="F7" s="48">
        <v>34.35</v>
      </c>
      <c r="G7" s="48">
        <v>2.33</v>
      </c>
      <c r="H7" s="82">
        <f t="shared" si="0"/>
        <v>35.515000000000001</v>
      </c>
      <c r="I7" s="82">
        <f t="shared" si="1"/>
        <v>36.68</v>
      </c>
      <c r="J7" s="49">
        <v>3414</v>
      </c>
      <c r="K7" s="50">
        <v>0</v>
      </c>
      <c r="L7" s="48">
        <v>0</v>
      </c>
      <c r="M7" s="48">
        <v>0</v>
      </c>
      <c r="N7" s="51">
        <f t="shared" si="17"/>
        <v>3072.6</v>
      </c>
      <c r="O7" s="52">
        <f t="shared" si="18"/>
        <v>3414</v>
      </c>
      <c r="P7" s="79">
        <f t="shared" si="19"/>
        <v>86.515556806982957</v>
      </c>
      <c r="Q7" s="53">
        <f t="shared" si="20"/>
        <v>0.1</v>
      </c>
      <c r="R7" s="54">
        <f t="shared" si="21"/>
        <v>341.40000000000003</v>
      </c>
      <c r="S7" s="53">
        <v>0.8</v>
      </c>
      <c r="T7" s="54">
        <f t="shared" si="7"/>
        <v>2731.2000000000003</v>
      </c>
      <c r="U7" s="53">
        <f t="shared" si="8"/>
        <v>9.9999999999999978E-2</v>
      </c>
      <c r="V7" s="54">
        <f t="shared" si="9"/>
        <v>341.39999999999992</v>
      </c>
      <c r="W7" s="55">
        <f ca="1">V7*VLOOKUP(TODAY(),'UF HOY'!$A$2:$B$36,2,0)</f>
        <v>13565167.115999999</v>
      </c>
      <c r="X7" s="56">
        <f>Datos!$K$4</f>
        <v>24</v>
      </c>
      <c r="Y7" s="55">
        <f ca="1">IF((W7-Datos!$U$4-1000000)/X7&gt;0,(W7-Datos!$U$4-1000000)/X7,0)</f>
        <v>519381.96316666662</v>
      </c>
      <c r="Z7" s="56">
        <f>Datos!$K$4</f>
        <v>24</v>
      </c>
      <c r="AA7" s="55">
        <f ca="1">IF((W7-Datos!$U$4-1000000-O7*3%*VLOOKUP(TODAY(),'UF HOY'!$A$2:$B$36,2,0))/Z7&gt;0,(W7-Datos!$U$4-1000000-O7*3%*VLOOKUP(TODAY(),'UF HOY'!$A$2:$B$36,2,0))/Z7,0)</f>
        <v>349817.37421666662</v>
      </c>
      <c r="AB7" s="130" cm="1">
        <f t="array" ref="AB7">_xlfn.IFS(AND(L7=0,M7=0),VLOOKUP(D7,Datos!$F$20:$I$21,2,0),AND(L7&gt;0,M7=0),VLOOKUP(D7,Datos!$F$20:$I$21,3,0),AND(L7&gt;0,M7&gt;0),VLOOKUP(D7,Datos!$F$20:$I$21,3,0))</f>
        <v>500000</v>
      </c>
      <c r="AC7" s="55">
        <f ca="1">(S7*PMT(Datos!$G$15,Datos!$G$14,-O7,,)*VLOOKUP(TODAY(),'UF HOY'!$A$2:$B$36,2,0)/12)+VLOOKUP(TODAY(),'UF HOY'!$A$2:$B$36,2,0)</f>
        <v>562717.24605530873</v>
      </c>
      <c r="AD7" s="55">
        <f t="shared" ca="1" si="10"/>
        <v>-62717.246055308729</v>
      </c>
      <c r="AE7" s="93">
        <f t="shared" ca="1" si="16"/>
        <v>2250868.9842212349</v>
      </c>
    </row>
    <row r="8" spans="1:31" s="3" customFormat="1" x14ac:dyDescent="0.35">
      <c r="A8" s="94" t="s">
        <v>305</v>
      </c>
      <c r="B8" s="81">
        <v>304</v>
      </c>
      <c r="C8" s="48" t="s">
        <v>41</v>
      </c>
      <c r="D8" s="48" t="s">
        <v>37</v>
      </c>
      <c r="E8" s="48"/>
      <c r="F8" s="48">
        <v>34.28</v>
      </c>
      <c r="G8" s="48">
        <v>2.31</v>
      </c>
      <c r="H8" s="82">
        <f t="shared" si="0"/>
        <v>35.435000000000002</v>
      </c>
      <c r="I8" s="82">
        <f t="shared" si="1"/>
        <v>36.590000000000003</v>
      </c>
      <c r="J8" s="49">
        <v>3420</v>
      </c>
      <c r="K8" s="50">
        <v>0</v>
      </c>
      <c r="L8" s="48">
        <v>0</v>
      </c>
      <c r="M8" s="48">
        <v>0</v>
      </c>
      <c r="N8" s="51">
        <f t="shared" si="17"/>
        <v>3078</v>
      </c>
      <c r="O8" s="52">
        <f t="shared" si="18"/>
        <v>3420</v>
      </c>
      <c r="P8" s="79">
        <f t="shared" si="19"/>
        <v>86.863270777479883</v>
      </c>
      <c r="Q8" s="53">
        <f t="shared" si="20"/>
        <v>0.1</v>
      </c>
      <c r="R8" s="54">
        <f t="shared" si="21"/>
        <v>342</v>
      </c>
      <c r="S8" s="53">
        <v>0.8</v>
      </c>
      <c r="T8" s="54">
        <f t="shared" si="7"/>
        <v>2736</v>
      </c>
      <c r="U8" s="53">
        <f t="shared" si="8"/>
        <v>9.9999999999999978E-2</v>
      </c>
      <c r="V8" s="54">
        <f t="shared" si="9"/>
        <v>341.99999999999994</v>
      </c>
      <c r="W8" s="55">
        <f ca="1">V8*VLOOKUP(TODAY(),'UF HOY'!$A$2:$B$36,2,0)</f>
        <v>13589007.479999999</v>
      </c>
      <c r="X8" s="56">
        <f>Datos!$K$4</f>
        <v>24</v>
      </c>
      <c r="Y8" s="55">
        <f ca="1">IF((W8-Datos!$U$4-1000000)/X8&gt;0,(W8-Datos!$U$4-1000000)/X8,0)</f>
        <v>520375.31166666659</v>
      </c>
      <c r="Z8" s="56">
        <f>Datos!$K$4</f>
        <v>24</v>
      </c>
      <c r="AA8" s="55">
        <f ca="1">IF((W8-Datos!$U$4-1000000-O8*3%*VLOOKUP(TODAY(),'UF HOY'!$A$2:$B$36,2,0))/Z8&gt;0,(W8-Datos!$U$4-1000000-O8*3%*VLOOKUP(TODAY(),'UF HOY'!$A$2:$B$36,2,0))/Z8,0)</f>
        <v>350512.71816666657</v>
      </c>
      <c r="AB8" s="130" cm="1">
        <f t="array" ref="AB8">_xlfn.IFS(AND(L8=0,M8=0),VLOOKUP(D8,Datos!$F$20:$I$21,2,0),AND(L8&gt;0,M8=0),VLOOKUP(D8,Datos!$F$20:$I$21,3,0),AND(L8&gt;0,M8&gt;0),VLOOKUP(D8,Datos!$F$20:$I$21,3,0))</f>
        <v>500000</v>
      </c>
      <c r="AC8" s="55">
        <f ca="1">(S8*PMT(Datos!$G$15,Datos!$G$14,-O8,,)*VLOOKUP(TODAY(),'UF HOY'!$A$2:$B$36,2,0)/12)+VLOOKUP(TODAY(),'UF HOY'!$A$2:$B$36,2,0)</f>
        <v>563636.37313097704</v>
      </c>
      <c r="AD8" s="55">
        <f t="shared" ca="1" si="10"/>
        <v>-63636.373130977037</v>
      </c>
      <c r="AE8" s="93">
        <f t="shared" ca="1" si="16"/>
        <v>2254545.4925239081</v>
      </c>
    </row>
    <row r="9" spans="1:31" s="3" customFormat="1" x14ac:dyDescent="0.35">
      <c r="A9" s="94" t="s">
        <v>305</v>
      </c>
      <c r="B9" s="81">
        <v>519</v>
      </c>
      <c r="C9" s="48" t="s">
        <v>36</v>
      </c>
      <c r="D9" s="48" t="s">
        <v>37</v>
      </c>
      <c r="E9" s="48"/>
      <c r="F9" s="48">
        <v>34.35</v>
      </c>
      <c r="G9" s="48">
        <v>2.33</v>
      </c>
      <c r="H9" s="82">
        <f t="shared" ref="H9:H17" si="22">F9+(G9/2)</f>
        <v>35.515000000000001</v>
      </c>
      <c r="I9" s="82">
        <f t="shared" ref="I9:I17" si="23">F9+G9</f>
        <v>36.68</v>
      </c>
      <c r="J9" s="49">
        <v>3421</v>
      </c>
      <c r="K9" s="50">
        <v>0</v>
      </c>
      <c r="L9" s="48">
        <v>0</v>
      </c>
      <c r="M9" s="48">
        <v>0</v>
      </c>
      <c r="N9" s="51">
        <f t="shared" si="17"/>
        <v>3078.9</v>
      </c>
      <c r="O9" s="52">
        <f t="shared" si="18"/>
        <v>3421</v>
      </c>
      <c r="P9" s="79">
        <f t="shared" si="19"/>
        <v>86.692946642263834</v>
      </c>
      <c r="Q9" s="53">
        <f t="shared" si="20"/>
        <v>0.1</v>
      </c>
      <c r="R9" s="54">
        <f t="shared" si="21"/>
        <v>342.1</v>
      </c>
      <c r="S9" s="53">
        <v>0.8</v>
      </c>
      <c r="T9" s="54">
        <f t="shared" ref="T9:T17" si="24">S9*O9</f>
        <v>2736.8</v>
      </c>
      <c r="U9" s="53">
        <f t="shared" ref="U9:U17" si="25">100%-Q9-S9</f>
        <v>9.9999999999999978E-2</v>
      </c>
      <c r="V9" s="54">
        <f t="shared" ref="V9:V17" si="26">O9*U9</f>
        <v>342.09999999999991</v>
      </c>
      <c r="W9" s="55">
        <f ca="1">V9*VLOOKUP(TODAY(),'UF HOY'!$A$2:$B$36,2,0)</f>
        <v>13592980.873999998</v>
      </c>
      <c r="X9" s="56">
        <f>Datos!$K$4</f>
        <v>24</v>
      </c>
      <c r="Y9" s="55">
        <f ca="1">IF((W9-Datos!$U$4-1000000)/X9&gt;0,(W9-Datos!$U$4-1000000)/X9,0)</f>
        <v>520540.8697499999</v>
      </c>
      <c r="Z9" s="56">
        <f>Datos!$K$4</f>
        <v>24</v>
      </c>
      <c r="AA9" s="55">
        <f ca="1">IF((W9-Datos!$U$4-1000000-O9*3%*VLOOKUP(TODAY(),'UF HOY'!$A$2:$B$36,2,0))/Z9&gt;0,(W9-Datos!$U$4-1000000-O9*3%*VLOOKUP(TODAY(),'UF HOY'!$A$2:$B$36,2,0))/Z9,0)</f>
        <v>350628.60882499994</v>
      </c>
      <c r="AB9" s="130" cm="1">
        <f t="array" ref="AB9">_xlfn.IFS(AND(L9=0,M9=0),VLOOKUP(D9,Datos!$F$20:$I$21,2,0),AND(L9&gt;0,M9=0),VLOOKUP(D9,Datos!$F$20:$I$21,3,0),AND(L9&gt;0,M9&gt;0),VLOOKUP(D9,Datos!$F$20:$I$21,3,0))</f>
        <v>500000</v>
      </c>
      <c r="AC9" s="55">
        <f ca="1">(S9*PMT(Datos!$G$15,Datos!$G$14,-O9,,)*VLOOKUP(TODAY(),'UF HOY'!$A$2:$B$36,2,0)/12)+VLOOKUP(TODAY(),'UF HOY'!$A$2:$B$36,2,0)</f>
        <v>563789.5609769217</v>
      </c>
      <c r="AD9" s="55">
        <f t="shared" ref="AD9:AD17" ca="1" si="27">AB9-AC9</f>
        <v>-63789.560976921697</v>
      </c>
      <c r="AE9" s="93">
        <f t="shared" ca="1" si="16"/>
        <v>2255158.2439076868</v>
      </c>
    </row>
    <row r="10" spans="1:31" s="3" customFormat="1" x14ac:dyDescent="0.35">
      <c r="A10" s="94" t="s">
        <v>305</v>
      </c>
      <c r="B10" s="81">
        <v>617</v>
      </c>
      <c r="C10" s="48" t="s">
        <v>38</v>
      </c>
      <c r="D10" s="48" t="s">
        <v>37</v>
      </c>
      <c r="E10" s="48"/>
      <c r="F10" s="48">
        <v>33.29</v>
      </c>
      <c r="G10" s="48">
        <v>2.4</v>
      </c>
      <c r="H10" s="82">
        <f t="shared" si="22"/>
        <v>34.49</v>
      </c>
      <c r="I10" s="82">
        <f t="shared" si="23"/>
        <v>35.69</v>
      </c>
      <c r="J10" s="49">
        <v>3428</v>
      </c>
      <c r="K10" s="50">
        <v>0</v>
      </c>
      <c r="L10" s="48">
        <v>0</v>
      </c>
      <c r="M10" s="48">
        <v>0</v>
      </c>
      <c r="N10" s="51">
        <f t="shared" si="17"/>
        <v>3085.2</v>
      </c>
      <c r="O10" s="52">
        <f t="shared" si="18"/>
        <v>3428</v>
      </c>
      <c r="P10" s="79">
        <f t="shared" si="19"/>
        <v>89.45201507683386</v>
      </c>
      <c r="Q10" s="53">
        <f t="shared" si="20"/>
        <v>0.1</v>
      </c>
      <c r="R10" s="54">
        <f t="shared" si="21"/>
        <v>342.8</v>
      </c>
      <c r="S10" s="53">
        <v>0.8</v>
      </c>
      <c r="T10" s="54">
        <f t="shared" si="24"/>
        <v>2742.4</v>
      </c>
      <c r="U10" s="53">
        <f t="shared" si="25"/>
        <v>9.9999999999999978E-2</v>
      </c>
      <c r="V10" s="54">
        <f t="shared" si="26"/>
        <v>342.7999999999999</v>
      </c>
      <c r="W10" s="55">
        <f ca="1">V10*VLOOKUP(TODAY(),'UF HOY'!$A$2:$B$36,2,0)</f>
        <v>13620794.631999997</v>
      </c>
      <c r="X10" s="56">
        <f>Datos!$K$4</f>
        <v>24</v>
      </c>
      <c r="Y10" s="55">
        <f ca="1">IF((W10-Datos!$U$4-1000000)/X10&gt;0,(W10-Datos!$U$4-1000000)/X10,0)</f>
        <v>521699.77633333323</v>
      </c>
      <c r="Z10" s="56">
        <f>Datos!$K$4</f>
        <v>24</v>
      </c>
      <c r="AA10" s="55">
        <f ca="1">IF((W10-Datos!$U$4-1000000-O10*3%*VLOOKUP(TODAY(),'UF HOY'!$A$2:$B$36,2,0))/Z10&gt;0,(W10-Datos!$U$4-1000000-O10*3%*VLOOKUP(TODAY(),'UF HOY'!$A$2:$B$36,2,0))/Z10,0)</f>
        <v>351439.84343333327</v>
      </c>
      <c r="AB10" s="130" cm="1">
        <f t="array" ref="AB10">_xlfn.IFS(AND(L10=0,M10=0),VLOOKUP(D10,Datos!$F$20:$I$21,2,0),AND(L10&gt;0,M10=0),VLOOKUP(D10,Datos!$F$20:$I$21,3,0),AND(L10&gt;0,M10&gt;0),VLOOKUP(D10,Datos!$F$20:$I$21,3,0))</f>
        <v>500000</v>
      </c>
      <c r="AC10" s="55">
        <f ca="1">(S10*PMT(Datos!$G$15,Datos!$G$14,-O10,,)*VLOOKUP(TODAY(),'UF HOY'!$A$2:$B$36,2,0)/12)+VLOOKUP(TODAY(),'UF HOY'!$A$2:$B$36,2,0)</f>
        <v>564861.8758985349</v>
      </c>
      <c r="AD10" s="55">
        <f t="shared" ca="1" si="27"/>
        <v>-64861.875898534898</v>
      </c>
      <c r="AE10" s="93">
        <f t="shared" ca="1" si="16"/>
        <v>2259447.5035941396</v>
      </c>
    </row>
    <row r="11" spans="1:31" s="3" customFormat="1" x14ac:dyDescent="0.35">
      <c r="A11" s="94" t="s">
        <v>305</v>
      </c>
      <c r="B11" s="81">
        <v>717</v>
      </c>
      <c r="C11" s="48" t="s">
        <v>38</v>
      </c>
      <c r="D11" s="48" t="s">
        <v>37</v>
      </c>
      <c r="E11" s="48"/>
      <c r="F11" s="48">
        <v>33.29</v>
      </c>
      <c r="G11" s="48">
        <v>2.4</v>
      </c>
      <c r="H11" s="82">
        <f t="shared" si="22"/>
        <v>34.49</v>
      </c>
      <c r="I11" s="82">
        <f t="shared" si="23"/>
        <v>35.69</v>
      </c>
      <c r="J11" s="49">
        <v>3428</v>
      </c>
      <c r="K11" s="50">
        <v>0</v>
      </c>
      <c r="L11" s="48">
        <v>0</v>
      </c>
      <c r="M11" s="48">
        <v>0</v>
      </c>
      <c r="N11" s="51">
        <f t="shared" si="17"/>
        <v>3085.2</v>
      </c>
      <c r="O11" s="52">
        <f t="shared" si="18"/>
        <v>3428</v>
      </c>
      <c r="P11" s="79">
        <f t="shared" si="19"/>
        <v>89.45201507683386</v>
      </c>
      <c r="Q11" s="53">
        <f t="shared" si="20"/>
        <v>0.1</v>
      </c>
      <c r="R11" s="54">
        <f t="shared" si="21"/>
        <v>342.8</v>
      </c>
      <c r="S11" s="53">
        <v>0.8</v>
      </c>
      <c r="T11" s="54">
        <f t="shared" si="24"/>
        <v>2742.4</v>
      </c>
      <c r="U11" s="53">
        <f t="shared" si="25"/>
        <v>9.9999999999999978E-2</v>
      </c>
      <c r="V11" s="54">
        <f t="shared" si="26"/>
        <v>342.7999999999999</v>
      </c>
      <c r="W11" s="55">
        <f ca="1">V11*VLOOKUP(TODAY(),'UF HOY'!$A$2:$B$36,2,0)</f>
        <v>13620794.631999997</v>
      </c>
      <c r="X11" s="56">
        <f>Datos!$K$4</f>
        <v>24</v>
      </c>
      <c r="Y11" s="55">
        <f ca="1">IF((W11-Datos!$U$4-1000000)/X11&gt;0,(W11-Datos!$U$4-1000000)/X11,0)</f>
        <v>521699.77633333323</v>
      </c>
      <c r="Z11" s="56">
        <f>Datos!$K$4</f>
        <v>24</v>
      </c>
      <c r="AA11" s="55">
        <f ca="1">IF((W11-Datos!$U$4-1000000-O11*3%*VLOOKUP(TODAY(),'UF HOY'!$A$2:$B$36,2,0))/Z11&gt;0,(W11-Datos!$U$4-1000000-O11*3%*VLOOKUP(TODAY(),'UF HOY'!$A$2:$B$36,2,0))/Z11,0)</f>
        <v>351439.84343333327</v>
      </c>
      <c r="AB11" s="130" cm="1">
        <f t="array" ref="AB11">_xlfn.IFS(AND(L11=0,M11=0),VLOOKUP(D11,Datos!$F$20:$I$21,2,0),AND(L11&gt;0,M11=0),VLOOKUP(D11,Datos!$F$20:$I$21,3,0),AND(L11&gt;0,M11&gt;0),VLOOKUP(D11,Datos!$F$20:$I$21,3,0))</f>
        <v>500000</v>
      </c>
      <c r="AC11" s="55">
        <f ca="1">(S11*PMT(Datos!$G$15,Datos!$G$14,-O11,,)*VLOOKUP(TODAY(),'UF HOY'!$A$2:$B$36,2,0)/12)+VLOOKUP(TODAY(),'UF HOY'!$A$2:$B$36,2,0)</f>
        <v>564861.8758985349</v>
      </c>
      <c r="AD11" s="55">
        <f t="shared" ca="1" si="27"/>
        <v>-64861.875898534898</v>
      </c>
      <c r="AE11" s="93">
        <f t="shared" ca="1" si="16"/>
        <v>2259447.5035941396</v>
      </c>
    </row>
    <row r="12" spans="1:31" s="3" customFormat="1" x14ac:dyDescent="0.35">
      <c r="A12" s="94" t="s">
        <v>305</v>
      </c>
      <c r="B12" s="81">
        <v>404</v>
      </c>
      <c r="C12" s="48" t="s">
        <v>41</v>
      </c>
      <c r="D12" s="48" t="s">
        <v>37</v>
      </c>
      <c r="E12" s="48"/>
      <c r="F12" s="48">
        <v>34.28</v>
      </c>
      <c r="G12" s="48">
        <v>2.31</v>
      </c>
      <c r="H12" s="82">
        <f t="shared" si="22"/>
        <v>35.435000000000002</v>
      </c>
      <c r="I12" s="82">
        <f t="shared" si="23"/>
        <v>36.590000000000003</v>
      </c>
      <c r="J12" s="49">
        <v>3444</v>
      </c>
      <c r="K12" s="50">
        <v>0</v>
      </c>
      <c r="L12" s="48">
        <v>0</v>
      </c>
      <c r="M12" s="48">
        <v>0</v>
      </c>
      <c r="N12" s="51">
        <f t="shared" si="17"/>
        <v>3099.6</v>
      </c>
      <c r="O12" s="52">
        <f t="shared" si="18"/>
        <v>3444</v>
      </c>
      <c r="P12" s="79">
        <f t="shared" si="19"/>
        <v>87.472837589953429</v>
      </c>
      <c r="Q12" s="53">
        <f t="shared" si="20"/>
        <v>0.1</v>
      </c>
      <c r="R12" s="54">
        <f t="shared" si="21"/>
        <v>344.40000000000003</v>
      </c>
      <c r="S12" s="53">
        <v>0.8</v>
      </c>
      <c r="T12" s="54">
        <f t="shared" si="24"/>
        <v>2755.2000000000003</v>
      </c>
      <c r="U12" s="53">
        <f t="shared" si="25"/>
        <v>9.9999999999999978E-2</v>
      </c>
      <c r="V12" s="54">
        <f t="shared" si="26"/>
        <v>344.39999999999992</v>
      </c>
      <c r="W12" s="55">
        <f ca="1">V12*VLOOKUP(TODAY(),'UF HOY'!$A$2:$B$36,2,0)</f>
        <v>13684368.935999997</v>
      </c>
      <c r="X12" s="56">
        <f>Datos!$K$4</f>
        <v>24</v>
      </c>
      <c r="Y12" s="55">
        <f ca="1">IF((W12-Datos!$U$4-1000000)/X12&gt;0,(W12-Datos!$U$4-1000000)/X12,0)</f>
        <v>524348.7056666665</v>
      </c>
      <c r="Z12" s="56">
        <f>Datos!$K$4</f>
        <v>24</v>
      </c>
      <c r="AA12" s="55">
        <f ca="1">IF((W12-Datos!$U$4-1000000-O12*3%*VLOOKUP(TODAY(),'UF HOY'!$A$2:$B$36,2,0))/Z12&gt;0,(W12-Datos!$U$4-1000000-O12*3%*VLOOKUP(TODAY(),'UF HOY'!$A$2:$B$36,2,0))/Z12,0)</f>
        <v>353294.09396666655</v>
      </c>
      <c r="AB12" s="130" cm="1">
        <f t="array" ref="AB12">_xlfn.IFS(AND(L12=0,M12=0),VLOOKUP(D12,Datos!$F$20:$I$21,2,0),AND(L12&gt;0,M12=0),VLOOKUP(D12,Datos!$F$20:$I$21,3,0),AND(L12&gt;0,M12&gt;0),VLOOKUP(D12,Datos!$F$20:$I$21,3,0))</f>
        <v>500000</v>
      </c>
      <c r="AC12" s="55">
        <f ca="1">(S12*PMT(Datos!$G$15,Datos!$G$14,-O12,,)*VLOOKUP(TODAY(),'UF HOY'!$A$2:$B$36,2,0)/12)+VLOOKUP(TODAY(),'UF HOY'!$A$2:$B$36,2,0)</f>
        <v>567312.88143365062</v>
      </c>
      <c r="AD12" s="55">
        <f t="shared" ca="1" si="27"/>
        <v>-67312.881433650618</v>
      </c>
      <c r="AE12" s="93">
        <f t="shared" ca="1" si="16"/>
        <v>2269251.5257346025</v>
      </c>
    </row>
    <row r="13" spans="1:31" s="3" customFormat="1" x14ac:dyDescent="0.35">
      <c r="A13" s="94" t="s">
        <v>305</v>
      </c>
      <c r="B13" s="81">
        <v>703</v>
      </c>
      <c r="C13" s="48" t="s">
        <v>41</v>
      </c>
      <c r="D13" s="48" t="s">
        <v>37</v>
      </c>
      <c r="E13" s="48"/>
      <c r="F13" s="48">
        <v>33.21</v>
      </c>
      <c r="G13" s="48">
        <v>2.4</v>
      </c>
      <c r="H13" s="82">
        <f t="shared" si="22"/>
        <v>34.410000000000004</v>
      </c>
      <c r="I13" s="82">
        <f t="shared" si="23"/>
        <v>35.61</v>
      </c>
      <c r="J13" s="49">
        <v>3444</v>
      </c>
      <c r="K13" s="50">
        <v>0</v>
      </c>
      <c r="L13" s="48">
        <v>0</v>
      </c>
      <c r="M13" s="48">
        <v>0</v>
      </c>
      <c r="N13" s="51">
        <f t="shared" si="17"/>
        <v>3099.6</v>
      </c>
      <c r="O13" s="52">
        <f t="shared" si="18"/>
        <v>3444</v>
      </c>
      <c r="P13" s="79">
        <f t="shared" si="19"/>
        <v>90.078465562336518</v>
      </c>
      <c r="Q13" s="53">
        <f t="shared" si="20"/>
        <v>0.1</v>
      </c>
      <c r="R13" s="54">
        <f t="shared" si="21"/>
        <v>344.40000000000003</v>
      </c>
      <c r="S13" s="53">
        <v>0.8</v>
      </c>
      <c r="T13" s="54">
        <f t="shared" si="24"/>
        <v>2755.2000000000003</v>
      </c>
      <c r="U13" s="53">
        <f t="shared" si="25"/>
        <v>9.9999999999999978E-2</v>
      </c>
      <c r="V13" s="54">
        <f t="shared" si="26"/>
        <v>344.39999999999992</v>
      </c>
      <c r="W13" s="55">
        <f ca="1">V13*VLOOKUP(TODAY(),'UF HOY'!$A$2:$B$36,2,0)</f>
        <v>13684368.935999997</v>
      </c>
      <c r="X13" s="56">
        <f>Datos!$K$4</f>
        <v>24</v>
      </c>
      <c r="Y13" s="55">
        <f ca="1">IF((W13-Datos!$U$4-1000000)/X13&gt;0,(W13-Datos!$U$4-1000000)/X13,0)</f>
        <v>524348.7056666665</v>
      </c>
      <c r="Z13" s="56">
        <f>Datos!$K$4</f>
        <v>24</v>
      </c>
      <c r="AA13" s="55">
        <f ca="1">IF((W13-Datos!$U$4-1000000-O13*3%*VLOOKUP(TODAY(),'UF HOY'!$A$2:$B$36,2,0))/Z13&gt;0,(W13-Datos!$U$4-1000000-O13*3%*VLOOKUP(TODAY(),'UF HOY'!$A$2:$B$36,2,0))/Z13,0)</f>
        <v>353294.09396666655</v>
      </c>
      <c r="AB13" s="130" cm="1">
        <f t="array" ref="AB13">_xlfn.IFS(AND(L13=0,M13=0),VLOOKUP(D13,Datos!$F$20:$I$21,2,0),AND(L13&gt;0,M13=0),VLOOKUP(D13,Datos!$F$20:$I$21,3,0),AND(L13&gt;0,M13&gt;0),VLOOKUP(D13,Datos!$F$20:$I$21,3,0))</f>
        <v>500000</v>
      </c>
      <c r="AC13" s="55">
        <f ca="1">(S13*PMT(Datos!$G$15,Datos!$G$14,-O13,,)*VLOOKUP(TODAY(),'UF HOY'!$A$2:$B$36,2,0)/12)+VLOOKUP(TODAY(),'UF HOY'!$A$2:$B$36,2,0)</f>
        <v>567312.88143365062</v>
      </c>
      <c r="AD13" s="55">
        <f t="shared" ca="1" si="27"/>
        <v>-67312.881433650618</v>
      </c>
      <c r="AE13" s="93">
        <f t="shared" ca="1" si="16"/>
        <v>2269251.5257346025</v>
      </c>
    </row>
    <row r="14" spans="1:31" s="3" customFormat="1" x14ac:dyDescent="0.35">
      <c r="A14" s="94" t="s">
        <v>305</v>
      </c>
      <c r="B14" s="81">
        <v>915</v>
      </c>
      <c r="C14" s="48" t="s">
        <v>38</v>
      </c>
      <c r="D14" s="48" t="s">
        <v>37</v>
      </c>
      <c r="E14" s="48"/>
      <c r="F14" s="48">
        <v>33.58</v>
      </c>
      <c r="G14" s="48">
        <v>2.72</v>
      </c>
      <c r="H14" s="82">
        <f t="shared" si="22"/>
        <v>34.94</v>
      </c>
      <c r="I14" s="82">
        <f t="shared" si="23"/>
        <v>36.299999999999997</v>
      </c>
      <c r="J14" s="49">
        <v>3444</v>
      </c>
      <c r="K14" s="50">
        <v>0</v>
      </c>
      <c r="L14" s="48">
        <v>0</v>
      </c>
      <c r="M14" s="48">
        <v>0</v>
      </c>
      <c r="N14" s="51">
        <f t="shared" si="17"/>
        <v>3099.6</v>
      </c>
      <c r="O14" s="52">
        <f t="shared" si="18"/>
        <v>3444</v>
      </c>
      <c r="P14" s="79">
        <f t="shared" si="19"/>
        <v>88.712077847738982</v>
      </c>
      <c r="Q14" s="53">
        <f t="shared" si="20"/>
        <v>0.1</v>
      </c>
      <c r="R14" s="54">
        <f t="shared" si="21"/>
        <v>344.40000000000003</v>
      </c>
      <c r="S14" s="53">
        <v>0.8</v>
      </c>
      <c r="T14" s="54">
        <f t="shared" si="24"/>
        <v>2755.2000000000003</v>
      </c>
      <c r="U14" s="53">
        <f t="shared" si="25"/>
        <v>9.9999999999999978E-2</v>
      </c>
      <c r="V14" s="54">
        <f t="shared" si="26"/>
        <v>344.39999999999992</v>
      </c>
      <c r="W14" s="55">
        <f ca="1">V14*VLOOKUP(TODAY(),'UF HOY'!$A$2:$B$36,2,0)</f>
        <v>13684368.935999997</v>
      </c>
      <c r="X14" s="56">
        <f>Datos!$K$4</f>
        <v>24</v>
      </c>
      <c r="Y14" s="55">
        <f ca="1">IF((W14-Datos!$U$4-1000000)/X14&gt;0,(W14-Datos!$U$4-1000000)/X14,0)</f>
        <v>524348.7056666665</v>
      </c>
      <c r="Z14" s="56">
        <f>Datos!$K$4</f>
        <v>24</v>
      </c>
      <c r="AA14" s="55">
        <f ca="1">IF((W14-Datos!$U$4-1000000-O14*3%*VLOOKUP(TODAY(),'UF HOY'!$A$2:$B$36,2,0))/Z14&gt;0,(W14-Datos!$U$4-1000000-O14*3%*VLOOKUP(TODAY(),'UF HOY'!$A$2:$B$36,2,0))/Z14,0)</f>
        <v>353294.09396666655</v>
      </c>
      <c r="AB14" s="130" cm="1">
        <f t="array" ref="AB14">_xlfn.IFS(AND(L14=0,M14=0),VLOOKUP(D14,Datos!$F$20:$I$21,2,0),AND(L14&gt;0,M14=0),VLOOKUP(D14,Datos!$F$20:$I$21,3,0),AND(L14&gt;0,M14&gt;0),VLOOKUP(D14,Datos!$F$20:$I$21,3,0))</f>
        <v>500000</v>
      </c>
      <c r="AC14" s="55">
        <f ca="1">(S14*PMT(Datos!$G$15,Datos!$G$14,-O14,,)*VLOOKUP(TODAY(),'UF HOY'!$A$2:$B$36,2,0)/12)+VLOOKUP(TODAY(),'UF HOY'!$A$2:$B$36,2,0)</f>
        <v>567312.88143365062</v>
      </c>
      <c r="AD14" s="55">
        <f t="shared" ca="1" si="27"/>
        <v>-67312.881433650618</v>
      </c>
      <c r="AE14" s="93">
        <f t="shared" ca="1" si="16"/>
        <v>2269251.5257346025</v>
      </c>
    </row>
    <row r="15" spans="1:31" s="3" customFormat="1" x14ac:dyDescent="0.35">
      <c r="A15" s="94" t="s">
        <v>305</v>
      </c>
      <c r="B15" s="81">
        <v>819</v>
      </c>
      <c r="C15" s="48" t="s">
        <v>36</v>
      </c>
      <c r="D15" s="48" t="s">
        <v>37</v>
      </c>
      <c r="E15" s="48"/>
      <c r="F15" s="48">
        <v>34.35</v>
      </c>
      <c r="G15" s="48">
        <v>2.33</v>
      </c>
      <c r="H15" s="82">
        <f t="shared" si="22"/>
        <v>35.515000000000001</v>
      </c>
      <c r="I15" s="82">
        <f t="shared" si="23"/>
        <v>36.68</v>
      </c>
      <c r="J15" s="49">
        <v>3451</v>
      </c>
      <c r="K15" s="50">
        <v>0</v>
      </c>
      <c r="L15" s="48">
        <v>0</v>
      </c>
      <c r="M15" s="48">
        <v>0</v>
      </c>
      <c r="N15" s="51">
        <f t="shared" si="17"/>
        <v>3105.9</v>
      </c>
      <c r="O15" s="52">
        <f t="shared" si="18"/>
        <v>3451</v>
      </c>
      <c r="P15" s="79">
        <f t="shared" si="19"/>
        <v>87.453188793467547</v>
      </c>
      <c r="Q15" s="53">
        <f t="shared" si="20"/>
        <v>0.1</v>
      </c>
      <c r="R15" s="54">
        <f t="shared" si="21"/>
        <v>345.1</v>
      </c>
      <c r="S15" s="53">
        <v>0.8</v>
      </c>
      <c r="T15" s="54">
        <f t="shared" si="24"/>
        <v>2760.8</v>
      </c>
      <c r="U15" s="53">
        <f t="shared" si="25"/>
        <v>9.9999999999999978E-2</v>
      </c>
      <c r="V15" s="54">
        <f t="shared" si="26"/>
        <v>345.09999999999991</v>
      </c>
      <c r="W15" s="55">
        <f ca="1">V15*VLOOKUP(TODAY(),'UF HOY'!$A$2:$B$36,2,0)</f>
        <v>13712182.693999996</v>
      </c>
      <c r="X15" s="56">
        <f>Datos!$K$4</f>
        <v>24</v>
      </c>
      <c r="Y15" s="55">
        <f ca="1">IF((W15-Datos!$U$4-1000000)/X15&gt;0,(W15-Datos!$U$4-1000000)/X15,0)</f>
        <v>525507.61224999989</v>
      </c>
      <c r="Z15" s="56">
        <f>Datos!$K$4</f>
        <v>24</v>
      </c>
      <c r="AA15" s="55">
        <f ca="1">IF((W15-Datos!$U$4-1000000-O15*3%*VLOOKUP(TODAY(),'UF HOY'!$A$2:$B$36,2,0))/Z15&gt;0,(W15-Datos!$U$4-1000000-O15*3%*VLOOKUP(TODAY(),'UF HOY'!$A$2:$B$36,2,0))/Z15,0)</f>
        <v>354105.32857499988</v>
      </c>
      <c r="AB15" s="130" cm="1">
        <f t="array" ref="AB15">_xlfn.IFS(AND(L15=0,M15=0),VLOOKUP(D15,Datos!$F$20:$I$21,2,0),AND(L15&gt;0,M15=0),VLOOKUP(D15,Datos!$F$20:$I$21,3,0),AND(L15&gt;0,M15&gt;0),VLOOKUP(D15,Datos!$F$20:$I$21,3,0))</f>
        <v>500000</v>
      </c>
      <c r="AC15" s="55">
        <f ca="1">(S15*PMT(Datos!$G$15,Datos!$G$14,-O15,,)*VLOOKUP(TODAY(),'UF HOY'!$A$2:$B$36,2,0)/12)+VLOOKUP(TODAY(),'UF HOY'!$A$2:$B$36,2,0)</f>
        <v>568385.1963552637</v>
      </c>
      <c r="AD15" s="55">
        <f t="shared" ca="1" si="27"/>
        <v>-68385.196355263703</v>
      </c>
      <c r="AE15" s="93">
        <f t="shared" ca="1" si="16"/>
        <v>2273540.7854210548</v>
      </c>
    </row>
    <row r="16" spans="1:31" s="3" customFormat="1" x14ac:dyDescent="0.35">
      <c r="A16" s="94" t="s">
        <v>305</v>
      </c>
      <c r="B16" s="81">
        <v>919</v>
      </c>
      <c r="C16" s="48" t="s">
        <v>36</v>
      </c>
      <c r="D16" s="48" t="s">
        <v>37</v>
      </c>
      <c r="E16" s="48"/>
      <c r="F16" s="48">
        <v>34.35</v>
      </c>
      <c r="G16" s="48">
        <v>2.33</v>
      </c>
      <c r="H16" s="82">
        <f t="shared" si="22"/>
        <v>35.515000000000001</v>
      </c>
      <c r="I16" s="82">
        <f t="shared" si="23"/>
        <v>36.68</v>
      </c>
      <c r="J16" s="49">
        <v>3451</v>
      </c>
      <c r="K16" s="50">
        <v>0</v>
      </c>
      <c r="L16" s="48">
        <v>0</v>
      </c>
      <c r="M16" s="48">
        <v>0</v>
      </c>
      <c r="N16" s="51">
        <f t="shared" si="17"/>
        <v>3105.9</v>
      </c>
      <c r="O16" s="52">
        <f t="shared" si="18"/>
        <v>3451</v>
      </c>
      <c r="P16" s="79">
        <f t="shared" si="19"/>
        <v>87.453188793467547</v>
      </c>
      <c r="Q16" s="53">
        <f t="shared" si="20"/>
        <v>0.1</v>
      </c>
      <c r="R16" s="54">
        <f t="shared" si="21"/>
        <v>345.1</v>
      </c>
      <c r="S16" s="53">
        <v>0.8</v>
      </c>
      <c r="T16" s="54">
        <f t="shared" si="24"/>
        <v>2760.8</v>
      </c>
      <c r="U16" s="53">
        <f t="shared" si="25"/>
        <v>9.9999999999999978E-2</v>
      </c>
      <c r="V16" s="54">
        <f t="shared" si="26"/>
        <v>345.09999999999991</v>
      </c>
      <c r="W16" s="55">
        <f ca="1">V16*VLOOKUP(TODAY(),'UF HOY'!$A$2:$B$36,2,0)</f>
        <v>13712182.693999996</v>
      </c>
      <c r="X16" s="56">
        <f>Datos!$K$4</f>
        <v>24</v>
      </c>
      <c r="Y16" s="55">
        <f ca="1">IF((W16-Datos!$U$4-1000000)/X16&gt;0,(W16-Datos!$U$4-1000000)/X16,0)</f>
        <v>525507.61224999989</v>
      </c>
      <c r="Z16" s="56">
        <f>Datos!$K$4</f>
        <v>24</v>
      </c>
      <c r="AA16" s="55">
        <f ca="1">IF((W16-Datos!$U$4-1000000-O16*3%*VLOOKUP(TODAY(),'UF HOY'!$A$2:$B$36,2,0))/Z16&gt;0,(W16-Datos!$U$4-1000000-O16*3%*VLOOKUP(TODAY(),'UF HOY'!$A$2:$B$36,2,0))/Z16,0)</f>
        <v>354105.32857499988</v>
      </c>
      <c r="AB16" s="130" cm="1">
        <f t="array" ref="AB16">_xlfn.IFS(AND(L16=0,M16=0),VLOOKUP(D16,Datos!$F$20:$I$21,2,0),AND(L16&gt;0,M16=0),VLOOKUP(D16,Datos!$F$20:$I$21,3,0),AND(L16&gt;0,M16&gt;0),VLOOKUP(D16,Datos!$F$20:$I$21,3,0))</f>
        <v>500000</v>
      </c>
      <c r="AC16" s="55">
        <f ca="1">(S16*PMT(Datos!$G$15,Datos!$G$14,-O16,,)*VLOOKUP(TODAY(),'UF HOY'!$A$2:$B$36,2,0)/12)+VLOOKUP(TODAY(),'UF HOY'!$A$2:$B$36,2,0)</f>
        <v>568385.1963552637</v>
      </c>
      <c r="AD16" s="55">
        <f t="shared" ca="1" si="27"/>
        <v>-68385.196355263703</v>
      </c>
      <c r="AE16" s="93">
        <f t="shared" ca="1" si="16"/>
        <v>2273540.7854210548</v>
      </c>
    </row>
    <row r="17" spans="1:31" s="3" customFormat="1" x14ac:dyDescent="0.35">
      <c r="A17" s="94" t="s">
        <v>305</v>
      </c>
      <c r="B17" s="81">
        <v>914</v>
      </c>
      <c r="C17" s="48" t="s">
        <v>38</v>
      </c>
      <c r="D17" s="48" t="s">
        <v>37</v>
      </c>
      <c r="E17" s="48"/>
      <c r="F17" s="48">
        <v>33.67</v>
      </c>
      <c r="G17" s="48">
        <v>2.72</v>
      </c>
      <c r="H17" s="82">
        <f t="shared" si="22"/>
        <v>35.03</v>
      </c>
      <c r="I17" s="82">
        <f t="shared" si="23"/>
        <v>36.39</v>
      </c>
      <c r="J17" s="49">
        <v>3456</v>
      </c>
      <c r="K17" s="50">
        <v>0</v>
      </c>
      <c r="L17" s="48">
        <v>0</v>
      </c>
      <c r="M17" s="48">
        <v>0</v>
      </c>
      <c r="N17" s="51">
        <f t="shared" si="17"/>
        <v>3110.4</v>
      </c>
      <c r="O17" s="52">
        <f t="shared" si="18"/>
        <v>3456</v>
      </c>
      <c r="P17" s="79">
        <f t="shared" si="19"/>
        <v>88.792463602626313</v>
      </c>
      <c r="Q17" s="53">
        <f t="shared" si="20"/>
        <v>0.1</v>
      </c>
      <c r="R17" s="54">
        <f t="shared" si="21"/>
        <v>345.6</v>
      </c>
      <c r="S17" s="53">
        <v>0.8</v>
      </c>
      <c r="T17" s="54">
        <f t="shared" si="24"/>
        <v>2764.8</v>
      </c>
      <c r="U17" s="53">
        <f t="shared" si="25"/>
        <v>9.9999999999999978E-2</v>
      </c>
      <c r="V17" s="54">
        <f t="shared" si="26"/>
        <v>345.59999999999991</v>
      </c>
      <c r="W17" s="55">
        <f ca="1">V17*VLOOKUP(TODAY(),'UF HOY'!$A$2:$B$36,2,0)</f>
        <v>13732049.663999997</v>
      </c>
      <c r="X17" s="56">
        <f>Datos!$K$4</f>
        <v>24</v>
      </c>
      <c r="Y17" s="55">
        <f ca="1">IF((W17-Datos!$U$4-1000000)/X17&gt;0,(W17-Datos!$U$4-1000000)/X17,0)</f>
        <v>526335.40266666654</v>
      </c>
      <c r="Z17" s="56">
        <f>Datos!$K$4</f>
        <v>24</v>
      </c>
      <c r="AA17" s="55">
        <f ca="1">IF((W17-Datos!$U$4-1000000-O17*3%*VLOOKUP(TODAY(),'UF HOY'!$A$2:$B$36,2,0))/Z17&gt;0,(W17-Datos!$U$4-1000000-O17*3%*VLOOKUP(TODAY(),'UF HOY'!$A$2:$B$36,2,0))/Z17,0)</f>
        <v>354684.78186666657</v>
      </c>
      <c r="AB17" s="130" cm="1">
        <f t="array" ref="AB17">_xlfn.IFS(AND(L17=0,M17=0),VLOOKUP(D17,Datos!$F$20:$I$21,2,0),AND(L17&gt;0,M17=0),VLOOKUP(D17,Datos!$F$20:$I$21,3,0),AND(L17&gt;0,M17&gt;0),VLOOKUP(D17,Datos!$F$20:$I$21,3,0))</f>
        <v>500000</v>
      </c>
      <c r="AC17" s="55">
        <f ca="1">(S17*PMT(Datos!$G$15,Datos!$G$14,-O17,,)*VLOOKUP(TODAY(),'UF HOY'!$A$2:$B$36,2,0)/12)+VLOOKUP(TODAY(),'UF HOY'!$A$2:$B$36,2,0)</f>
        <v>569151.13558498723</v>
      </c>
      <c r="AD17" s="55">
        <f t="shared" ca="1" si="27"/>
        <v>-69151.135584987234</v>
      </c>
      <c r="AE17" s="93">
        <f t="shared" ca="1" si="16"/>
        <v>2276604.5423399489</v>
      </c>
    </row>
    <row r="18" spans="1:31" s="3" customFormat="1" x14ac:dyDescent="0.35">
      <c r="A18" s="94" t="s">
        <v>305</v>
      </c>
      <c r="B18" s="81">
        <v>1214</v>
      </c>
      <c r="C18" s="48" t="s">
        <v>38</v>
      </c>
      <c r="D18" s="48" t="s">
        <v>37</v>
      </c>
      <c r="E18" s="48"/>
      <c r="F18" s="48">
        <v>33.67</v>
      </c>
      <c r="G18" s="48">
        <v>2.72</v>
      </c>
      <c r="H18" s="82">
        <f t="shared" si="0"/>
        <v>35.03</v>
      </c>
      <c r="I18" s="82">
        <f t="shared" si="1"/>
        <v>36.39</v>
      </c>
      <c r="J18" s="49">
        <v>3456</v>
      </c>
      <c r="K18" s="50">
        <v>0</v>
      </c>
      <c r="L18" s="48">
        <v>0</v>
      </c>
      <c r="M18" s="48">
        <v>0</v>
      </c>
      <c r="N18" s="51">
        <f t="shared" si="17"/>
        <v>3110.4</v>
      </c>
      <c r="O18" s="52">
        <f t="shared" si="18"/>
        <v>3456</v>
      </c>
      <c r="P18" s="79">
        <f t="shared" si="19"/>
        <v>88.792463602626313</v>
      </c>
      <c r="Q18" s="53">
        <f t="shared" si="20"/>
        <v>0.1</v>
      </c>
      <c r="R18" s="54">
        <f t="shared" si="21"/>
        <v>345.6</v>
      </c>
      <c r="S18" s="53">
        <v>0.8</v>
      </c>
      <c r="T18" s="54">
        <f t="shared" si="7"/>
        <v>2764.8</v>
      </c>
      <c r="U18" s="53">
        <f t="shared" si="8"/>
        <v>9.9999999999999978E-2</v>
      </c>
      <c r="V18" s="54">
        <f t="shared" si="9"/>
        <v>345.59999999999991</v>
      </c>
      <c r="W18" s="55">
        <f ca="1">V18*VLOOKUP(TODAY(),'UF HOY'!$A$2:$B$36,2,0)</f>
        <v>13732049.663999997</v>
      </c>
      <c r="X18" s="56">
        <f>Datos!$K$4</f>
        <v>24</v>
      </c>
      <c r="Y18" s="55">
        <f ca="1">IF((W18-Datos!$U$4-1000000)/X18&gt;0,(W18-Datos!$U$4-1000000)/X18,0)</f>
        <v>526335.40266666654</v>
      </c>
      <c r="Z18" s="56">
        <f>Datos!$K$4</f>
        <v>24</v>
      </c>
      <c r="AA18" s="55">
        <f ca="1">IF((W18-Datos!$U$4-1000000-O18*3%*VLOOKUP(TODAY(),'UF HOY'!$A$2:$B$36,2,0))/Z18&gt;0,(W18-Datos!$U$4-1000000-O18*3%*VLOOKUP(TODAY(),'UF HOY'!$A$2:$B$36,2,0))/Z18,0)</f>
        <v>354684.78186666657</v>
      </c>
      <c r="AB18" s="130" cm="1">
        <f t="array" ref="AB18">_xlfn.IFS(AND(L18=0,M18=0),VLOOKUP(D18,Datos!$F$20:$I$21,2,0),AND(L18&gt;0,M18=0),VLOOKUP(D18,Datos!$F$20:$I$21,3,0),AND(L18&gt;0,M18&gt;0),VLOOKUP(D18,Datos!$F$20:$I$21,3,0))</f>
        <v>500000</v>
      </c>
      <c r="AC18" s="55">
        <f ca="1">(S18*PMT(Datos!$G$15,Datos!$G$14,-O18,,)*VLOOKUP(TODAY(),'UF HOY'!$A$2:$B$36,2,0)/12)+VLOOKUP(TODAY(),'UF HOY'!$A$2:$B$36,2,0)</f>
        <v>569151.13558498723</v>
      </c>
      <c r="AD18" s="55">
        <f t="shared" ca="1" si="10"/>
        <v>-69151.135584987234</v>
      </c>
      <c r="AE18" s="93">
        <f t="shared" ca="1" si="16"/>
        <v>2276604.5423399489</v>
      </c>
    </row>
    <row r="19" spans="1:31" s="3" customFormat="1" x14ac:dyDescent="0.35">
      <c r="A19" s="94" t="s">
        <v>305</v>
      </c>
      <c r="B19" s="81">
        <v>604</v>
      </c>
      <c r="C19" s="48" t="s">
        <v>41</v>
      </c>
      <c r="D19" s="48" t="s">
        <v>37</v>
      </c>
      <c r="E19" s="48"/>
      <c r="F19" s="48">
        <v>34.28</v>
      </c>
      <c r="G19" s="48">
        <v>2.31</v>
      </c>
      <c r="H19" s="82">
        <f t="shared" si="0"/>
        <v>35.435000000000002</v>
      </c>
      <c r="I19" s="82">
        <f t="shared" si="1"/>
        <v>36.590000000000003</v>
      </c>
      <c r="J19" s="49">
        <v>3465</v>
      </c>
      <c r="K19" s="50">
        <v>0</v>
      </c>
      <c r="L19" s="48">
        <v>0</v>
      </c>
      <c r="M19" s="48">
        <v>0</v>
      </c>
      <c r="N19" s="51">
        <f t="shared" si="17"/>
        <v>3118.5</v>
      </c>
      <c r="O19" s="52">
        <f t="shared" si="18"/>
        <v>3465</v>
      </c>
      <c r="P19" s="79">
        <f t="shared" si="19"/>
        <v>88.006208550867782</v>
      </c>
      <c r="Q19" s="53">
        <f t="shared" si="20"/>
        <v>0.1</v>
      </c>
      <c r="R19" s="54">
        <f t="shared" si="21"/>
        <v>346.5</v>
      </c>
      <c r="S19" s="53">
        <v>0.8</v>
      </c>
      <c r="T19" s="54">
        <f t="shared" si="7"/>
        <v>2772</v>
      </c>
      <c r="U19" s="53">
        <f t="shared" si="8"/>
        <v>9.9999999999999978E-2</v>
      </c>
      <c r="V19" s="54">
        <f t="shared" si="9"/>
        <v>346.49999999999994</v>
      </c>
      <c r="W19" s="55">
        <f ca="1">V19*VLOOKUP(TODAY(),'UF HOY'!$A$2:$B$36,2,0)</f>
        <v>13767810.209999999</v>
      </c>
      <c r="X19" s="56">
        <f>Datos!$K$4</f>
        <v>24</v>
      </c>
      <c r="Y19" s="55">
        <f ca="1">IF((W19-Datos!$U$4-1000000)/X19&gt;0,(W19-Datos!$U$4-1000000)/X19,0)</f>
        <v>527825.42541666667</v>
      </c>
      <c r="Z19" s="56">
        <f>Datos!$K$4</f>
        <v>24</v>
      </c>
      <c r="AA19" s="55">
        <f ca="1">IF((W19-Datos!$U$4-1000000-O19*3%*VLOOKUP(TODAY(),'UF HOY'!$A$2:$B$36,2,0))/Z19&gt;0,(W19-Datos!$U$4-1000000-O19*3%*VLOOKUP(TODAY(),'UF HOY'!$A$2:$B$36,2,0))/Z19,0)</f>
        <v>355727.79779166658</v>
      </c>
      <c r="AB19" s="130" cm="1">
        <f t="array" ref="AB19">_xlfn.IFS(AND(L19=0,M19=0),VLOOKUP(D19,Datos!$F$20:$I$21,2,0),AND(L19&gt;0,M19=0),VLOOKUP(D19,Datos!$F$20:$I$21,3,0),AND(L19&gt;0,M19&gt;0),VLOOKUP(D19,Datos!$F$20:$I$21,3,0))</f>
        <v>500000</v>
      </c>
      <c r="AC19" s="55">
        <f ca="1">(S19*PMT(Datos!$G$15,Datos!$G$14,-O19,,)*VLOOKUP(TODAY(),'UF HOY'!$A$2:$B$36,2,0)/12)+VLOOKUP(TODAY(),'UF HOY'!$A$2:$B$36,2,0)</f>
        <v>570529.8261984901</v>
      </c>
      <c r="AD19" s="55">
        <f t="shared" ca="1" si="10"/>
        <v>-70529.826198490104</v>
      </c>
      <c r="AE19" s="93">
        <f t="shared" ca="1" si="16"/>
        <v>2282119.3047939604</v>
      </c>
    </row>
    <row r="20" spans="1:31" s="3" customFormat="1" x14ac:dyDescent="0.35">
      <c r="A20" s="94" t="s">
        <v>305</v>
      </c>
      <c r="B20" s="81">
        <v>805</v>
      </c>
      <c r="C20" s="48" t="s">
        <v>36</v>
      </c>
      <c r="D20" s="48" t="s">
        <v>37</v>
      </c>
      <c r="E20" s="48"/>
      <c r="F20" s="48">
        <v>34.28</v>
      </c>
      <c r="G20" s="48">
        <v>2.31</v>
      </c>
      <c r="H20" s="82">
        <f t="shared" si="0"/>
        <v>35.435000000000002</v>
      </c>
      <c r="I20" s="82">
        <f t="shared" si="1"/>
        <v>36.590000000000003</v>
      </c>
      <c r="J20" s="49">
        <v>3470</v>
      </c>
      <c r="K20" s="50">
        <v>0</v>
      </c>
      <c r="L20" s="48">
        <v>0</v>
      </c>
      <c r="M20" s="48">
        <v>0</v>
      </c>
      <c r="N20" s="51">
        <f t="shared" si="17"/>
        <v>3123</v>
      </c>
      <c r="O20" s="52">
        <f t="shared" si="18"/>
        <v>3470</v>
      </c>
      <c r="P20" s="79">
        <f t="shared" si="19"/>
        <v>88.133201636799768</v>
      </c>
      <c r="Q20" s="53">
        <f t="shared" si="20"/>
        <v>0.1</v>
      </c>
      <c r="R20" s="54">
        <f t="shared" si="21"/>
        <v>347</v>
      </c>
      <c r="S20" s="53">
        <v>0.8</v>
      </c>
      <c r="T20" s="54">
        <f t="shared" si="7"/>
        <v>2776</v>
      </c>
      <c r="U20" s="53">
        <f t="shared" si="8"/>
        <v>9.9999999999999978E-2</v>
      </c>
      <c r="V20" s="54">
        <f t="shared" si="9"/>
        <v>346.99999999999994</v>
      </c>
      <c r="W20" s="55">
        <f ca="1">V20*VLOOKUP(TODAY(),'UF HOY'!$A$2:$B$36,2,0)</f>
        <v>13787677.179999998</v>
      </c>
      <c r="X20" s="56">
        <f>Datos!$K$4</f>
        <v>24</v>
      </c>
      <c r="Y20" s="55">
        <f ca="1">IF((W20-Datos!$U$4-1000000)/X20&gt;0,(W20-Datos!$U$4-1000000)/X20,0)</f>
        <v>528653.2158333332</v>
      </c>
      <c r="Z20" s="56">
        <f>Datos!$K$4</f>
        <v>24</v>
      </c>
      <c r="AA20" s="55">
        <f ca="1">IF((W20-Datos!$U$4-1000000-O20*3%*VLOOKUP(TODAY(),'UF HOY'!$A$2:$B$36,2,0))/Z20&gt;0,(W20-Datos!$U$4-1000000-O20*3%*VLOOKUP(TODAY(),'UF HOY'!$A$2:$B$36,2,0))/Z20,0)</f>
        <v>356307.25108333322</v>
      </c>
      <c r="AB20" s="130" cm="1">
        <f t="array" ref="AB20">_xlfn.IFS(AND(L20=0,M20=0),VLOOKUP(D20,Datos!$F$20:$I$21,2,0),AND(L20&gt;0,M20=0),VLOOKUP(D20,Datos!$F$20:$I$21,3,0),AND(L20&gt;0,M20&gt;0),VLOOKUP(D20,Datos!$F$20:$I$21,3,0))</f>
        <v>500000</v>
      </c>
      <c r="AC20" s="55">
        <f ca="1">(S20*PMT(Datos!$G$15,Datos!$G$14,-O20,,)*VLOOKUP(TODAY(),'UF HOY'!$A$2:$B$36,2,0)/12)+VLOOKUP(TODAY(),'UF HOY'!$A$2:$B$36,2,0)</f>
        <v>571295.76542821364</v>
      </c>
      <c r="AD20" s="55">
        <f t="shared" ca="1" si="10"/>
        <v>-71295.765428213635</v>
      </c>
      <c r="AE20" s="93">
        <f t="shared" ca="1" si="16"/>
        <v>2285183.0617128545</v>
      </c>
    </row>
    <row r="21" spans="1:31" s="3" customFormat="1" x14ac:dyDescent="0.35">
      <c r="A21" s="94" t="s">
        <v>305</v>
      </c>
      <c r="B21" s="81">
        <v>905</v>
      </c>
      <c r="C21" s="48" t="s">
        <v>36</v>
      </c>
      <c r="D21" s="48" t="s">
        <v>37</v>
      </c>
      <c r="E21" s="48"/>
      <c r="F21" s="48">
        <v>34.28</v>
      </c>
      <c r="G21" s="48">
        <v>2.31</v>
      </c>
      <c r="H21" s="82">
        <f t="shared" si="0"/>
        <v>35.435000000000002</v>
      </c>
      <c r="I21" s="82">
        <f t="shared" si="1"/>
        <v>36.590000000000003</v>
      </c>
      <c r="J21" s="49">
        <v>3470</v>
      </c>
      <c r="K21" s="50">
        <v>0</v>
      </c>
      <c r="L21" s="48">
        <v>0</v>
      </c>
      <c r="M21" s="48">
        <v>0</v>
      </c>
      <c r="N21" s="51">
        <f t="shared" si="17"/>
        <v>3123</v>
      </c>
      <c r="O21" s="52">
        <f t="shared" si="18"/>
        <v>3470</v>
      </c>
      <c r="P21" s="79">
        <f t="shared" si="19"/>
        <v>88.133201636799768</v>
      </c>
      <c r="Q21" s="53">
        <f t="shared" si="20"/>
        <v>0.1</v>
      </c>
      <c r="R21" s="54">
        <f t="shared" si="21"/>
        <v>347</v>
      </c>
      <c r="S21" s="53">
        <v>0.8</v>
      </c>
      <c r="T21" s="54">
        <f t="shared" si="7"/>
        <v>2776</v>
      </c>
      <c r="U21" s="53">
        <f t="shared" si="8"/>
        <v>9.9999999999999978E-2</v>
      </c>
      <c r="V21" s="54">
        <f t="shared" si="9"/>
        <v>346.99999999999994</v>
      </c>
      <c r="W21" s="55">
        <f ca="1">V21*VLOOKUP(TODAY(),'UF HOY'!$A$2:$B$36,2,0)</f>
        <v>13787677.179999998</v>
      </c>
      <c r="X21" s="56">
        <f>Datos!$K$4</f>
        <v>24</v>
      </c>
      <c r="Y21" s="55">
        <f ca="1">IF((W21-Datos!$U$4-1000000)/X21&gt;0,(W21-Datos!$U$4-1000000)/X21,0)</f>
        <v>528653.2158333332</v>
      </c>
      <c r="Z21" s="56">
        <f>Datos!$K$4</f>
        <v>24</v>
      </c>
      <c r="AA21" s="55">
        <f ca="1">IF((W21-Datos!$U$4-1000000-O21*3%*VLOOKUP(TODAY(),'UF HOY'!$A$2:$B$36,2,0))/Z21&gt;0,(W21-Datos!$U$4-1000000-O21*3%*VLOOKUP(TODAY(),'UF HOY'!$A$2:$B$36,2,0))/Z21,0)</f>
        <v>356307.25108333322</v>
      </c>
      <c r="AB21" s="130" cm="1">
        <f t="array" ref="AB21">_xlfn.IFS(AND(L21=0,M21=0),VLOOKUP(D21,Datos!$F$20:$I$21,2,0),AND(L21&gt;0,M21=0),VLOOKUP(D21,Datos!$F$20:$I$21,3,0),AND(L21&gt;0,M21&gt;0),VLOOKUP(D21,Datos!$F$20:$I$21,3,0))</f>
        <v>500000</v>
      </c>
      <c r="AC21" s="55">
        <f ca="1">(S21*PMT(Datos!$G$15,Datos!$G$14,-O21,,)*VLOOKUP(TODAY(),'UF HOY'!$A$2:$B$36,2,0)/12)+VLOOKUP(TODAY(),'UF HOY'!$A$2:$B$36,2,0)</f>
        <v>571295.76542821364</v>
      </c>
      <c r="AD21" s="55">
        <f t="shared" ca="1" si="10"/>
        <v>-71295.765428213635</v>
      </c>
      <c r="AE21" s="93">
        <f t="shared" ca="1" si="16"/>
        <v>2285183.0617128545</v>
      </c>
    </row>
    <row r="22" spans="1:31" s="3" customFormat="1" x14ac:dyDescent="0.35">
      <c r="A22" s="94" t="s">
        <v>305</v>
      </c>
      <c r="B22" s="81">
        <v>1006</v>
      </c>
      <c r="C22" s="48" t="s">
        <v>36</v>
      </c>
      <c r="D22" s="48" t="s">
        <v>37</v>
      </c>
      <c r="E22" s="48"/>
      <c r="F22" s="48">
        <v>33.21</v>
      </c>
      <c r="G22" s="48">
        <v>2.4</v>
      </c>
      <c r="H22" s="82">
        <f t="shared" si="0"/>
        <v>34.410000000000004</v>
      </c>
      <c r="I22" s="82">
        <f t="shared" si="1"/>
        <v>35.61</v>
      </c>
      <c r="J22" s="49">
        <v>3470</v>
      </c>
      <c r="K22" s="50">
        <v>0</v>
      </c>
      <c r="L22" s="48">
        <v>0</v>
      </c>
      <c r="M22" s="48">
        <v>0</v>
      </c>
      <c r="N22" s="51">
        <f t="shared" si="17"/>
        <v>3123</v>
      </c>
      <c r="O22" s="52">
        <f t="shared" si="18"/>
        <v>3470</v>
      </c>
      <c r="P22" s="79">
        <f t="shared" si="19"/>
        <v>90.758500435919785</v>
      </c>
      <c r="Q22" s="53">
        <f t="shared" si="20"/>
        <v>0.1</v>
      </c>
      <c r="R22" s="54">
        <f t="shared" si="21"/>
        <v>347</v>
      </c>
      <c r="S22" s="53">
        <v>0.8</v>
      </c>
      <c r="T22" s="54">
        <f t="shared" si="7"/>
        <v>2776</v>
      </c>
      <c r="U22" s="53">
        <f t="shared" si="8"/>
        <v>9.9999999999999978E-2</v>
      </c>
      <c r="V22" s="54">
        <f t="shared" si="9"/>
        <v>346.99999999999994</v>
      </c>
      <c r="W22" s="55">
        <f ca="1">V22*VLOOKUP(TODAY(),'UF HOY'!$A$2:$B$36,2,0)</f>
        <v>13787677.179999998</v>
      </c>
      <c r="X22" s="56">
        <f>Datos!$K$4</f>
        <v>24</v>
      </c>
      <c r="Y22" s="55">
        <f ca="1">IF((W22-Datos!$U$4-1000000)/X22&gt;0,(W22-Datos!$U$4-1000000)/X22,0)</f>
        <v>528653.2158333332</v>
      </c>
      <c r="Z22" s="56">
        <f>Datos!$K$4</f>
        <v>24</v>
      </c>
      <c r="AA22" s="55">
        <f ca="1">IF((W22-Datos!$U$4-1000000-O22*3%*VLOOKUP(TODAY(),'UF HOY'!$A$2:$B$36,2,0))/Z22&gt;0,(W22-Datos!$U$4-1000000-O22*3%*VLOOKUP(TODAY(),'UF HOY'!$A$2:$B$36,2,0))/Z22,0)</f>
        <v>356307.25108333322</v>
      </c>
      <c r="AB22" s="130" cm="1">
        <f t="array" ref="AB22">_xlfn.IFS(AND(L22=0,M22=0),VLOOKUP(D22,Datos!$F$20:$I$21,2,0),AND(L22&gt;0,M22=0),VLOOKUP(D22,Datos!$F$20:$I$21,3,0),AND(L22&gt;0,M22&gt;0),VLOOKUP(D22,Datos!$F$20:$I$21,3,0))</f>
        <v>500000</v>
      </c>
      <c r="AC22" s="55">
        <f ca="1">(S22*PMT(Datos!$G$15,Datos!$G$14,-O22,,)*VLOOKUP(TODAY(),'UF HOY'!$A$2:$B$36,2,0)/12)+VLOOKUP(TODAY(),'UF HOY'!$A$2:$B$36,2,0)</f>
        <v>571295.76542821364</v>
      </c>
      <c r="AD22" s="55">
        <f t="shared" ca="1" si="10"/>
        <v>-71295.765428213635</v>
      </c>
      <c r="AE22" s="93">
        <f t="shared" ca="1" si="16"/>
        <v>2285183.0617128545</v>
      </c>
    </row>
    <row r="23" spans="1:31" s="3" customFormat="1" x14ac:dyDescent="0.35">
      <c r="A23" s="94" t="s">
        <v>305</v>
      </c>
      <c r="B23" s="81">
        <v>1106</v>
      </c>
      <c r="C23" s="48" t="s">
        <v>36</v>
      </c>
      <c r="D23" s="48" t="s">
        <v>37</v>
      </c>
      <c r="E23" s="48"/>
      <c r="F23" s="48">
        <v>33.21</v>
      </c>
      <c r="G23" s="48">
        <v>2.4</v>
      </c>
      <c r="H23" s="82">
        <f t="shared" si="0"/>
        <v>34.410000000000004</v>
      </c>
      <c r="I23" s="82">
        <f t="shared" si="1"/>
        <v>35.61</v>
      </c>
      <c r="J23" s="49">
        <v>3470</v>
      </c>
      <c r="K23" s="50">
        <v>0</v>
      </c>
      <c r="L23" s="48">
        <v>0</v>
      </c>
      <c r="M23" s="48">
        <v>0</v>
      </c>
      <c r="N23" s="51">
        <f t="shared" si="17"/>
        <v>3123</v>
      </c>
      <c r="O23" s="52">
        <f t="shared" si="18"/>
        <v>3470</v>
      </c>
      <c r="P23" s="79">
        <f t="shared" si="19"/>
        <v>90.758500435919785</v>
      </c>
      <c r="Q23" s="53">
        <f t="shared" si="20"/>
        <v>0.1</v>
      </c>
      <c r="R23" s="54">
        <f t="shared" si="21"/>
        <v>347</v>
      </c>
      <c r="S23" s="53">
        <v>0.8</v>
      </c>
      <c r="T23" s="54">
        <f t="shared" si="7"/>
        <v>2776</v>
      </c>
      <c r="U23" s="53">
        <f t="shared" si="8"/>
        <v>9.9999999999999978E-2</v>
      </c>
      <c r="V23" s="54">
        <f t="shared" si="9"/>
        <v>346.99999999999994</v>
      </c>
      <c r="W23" s="55">
        <f ca="1">V23*VLOOKUP(TODAY(),'UF HOY'!$A$2:$B$36,2,0)</f>
        <v>13787677.179999998</v>
      </c>
      <c r="X23" s="56">
        <f>Datos!$K$4</f>
        <v>24</v>
      </c>
      <c r="Y23" s="55">
        <f ca="1">IF((W23-Datos!$U$4-1000000)/X23&gt;0,(W23-Datos!$U$4-1000000)/X23,0)</f>
        <v>528653.2158333332</v>
      </c>
      <c r="Z23" s="56">
        <f>Datos!$K$4</f>
        <v>24</v>
      </c>
      <c r="AA23" s="55">
        <f ca="1">IF((W23-Datos!$U$4-1000000-O23*3%*VLOOKUP(TODAY(),'UF HOY'!$A$2:$B$36,2,0))/Z23&gt;0,(W23-Datos!$U$4-1000000-O23*3%*VLOOKUP(TODAY(),'UF HOY'!$A$2:$B$36,2,0))/Z23,0)</f>
        <v>356307.25108333322</v>
      </c>
      <c r="AB23" s="130" cm="1">
        <f t="array" ref="AB23">_xlfn.IFS(AND(L23=0,M23=0),VLOOKUP(D23,Datos!$F$20:$I$21,2,0),AND(L23&gt;0,M23=0),VLOOKUP(D23,Datos!$F$20:$I$21,3,0),AND(L23&gt;0,M23&gt;0),VLOOKUP(D23,Datos!$F$20:$I$21,3,0))</f>
        <v>500000</v>
      </c>
      <c r="AC23" s="55">
        <f ca="1">(S23*PMT(Datos!$G$15,Datos!$G$14,-O23,,)*VLOOKUP(TODAY(),'UF HOY'!$A$2:$B$36,2,0)/12)+VLOOKUP(TODAY(),'UF HOY'!$A$2:$B$36,2,0)</f>
        <v>571295.76542821364</v>
      </c>
      <c r="AD23" s="55">
        <f t="shared" ca="1" si="10"/>
        <v>-71295.765428213635</v>
      </c>
      <c r="AE23" s="93">
        <f t="shared" ca="1" si="16"/>
        <v>2285183.0617128545</v>
      </c>
    </row>
    <row r="24" spans="1:31" s="3" customFormat="1" x14ac:dyDescent="0.35">
      <c r="A24" s="94" t="s">
        <v>305</v>
      </c>
      <c r="B24" s="81">
        <v>1109</v>
      </c>
      <c r="C24" s="48" t="s">
        <v>40</v>
      </c>
      <c r="D24" s="48" t="s">
        <v>37</v>
      </c>
      <c r="E24" s="48"/>
      <c r="F24" s="48">
        <v>33.21</v>
      </c>
      <c r="G24" s="48">
        <v>2.4</v>
      </c>
      <c r="H24" s="82">
        <f t="shared" si="0"/>
        <v>34.410000000000004</v>
      </c>
      <c r="I24" s="82">
        <f t="shared" si="1"/>
        <v>35.61</v>
      </c>
      <c r="J24" s="49">
        <v>3470</v>
      </c>
      <c r="K24" s="50">
        <v>0</v>
      </c>
      <c r="L24" s="48">
        <v>0</v>
      </c>
      <c r="M24" s="48">
        <v>0</v>
      </c>
      <c r="N24" s="51">
        <f t="shared" si="17"/>
        <v>3123</v>
      </c>
      <c r="O24" s="52">
        <f t="shared" si="18"/>
        <v>3470</v>
      </c>
      <c r="P24" s="79">
        <f t="shared" si="19"/>
        <v>90.758500435919785</v>
      </c>
      <c r="Q24" s="53">
        <f t="shared" si="20"/>
        <v>0.1</v>
      </c>
      <c r="R24" s="54">
        <f t="shared" si="21"/>
        <v>347</v>
      </c>
      <c r="S24" s="53">
        <v>0.8</v>
      </c>
      <c r="T24" s="54">
        <f t="shared" si="7"/>
        <v>2776</v>
      </c>
      <c r="U24" s="53">
        <f t="shared" si="8"/>
        <v>9.9999999999999978E-2</v>
      </c>
      <c r="V24" s="54">
        <f t="shared" si="9"/>
        <v>346.99999999999994</v>
      </c>
      <c r="W24" s="55">
        <f ca="1">V24*VLOOKUP(TODAY(),'UF HOY'!$A$2:$B$36,2,0)</f>
        <v>13787677.179999998</v>
      </c>
      <c r="X24" s="56">
        <f>Datos!$K$4</f>
        <v>24</v>
      </c>
      <c r="Y24" s="55">
        <f ca="1">IF((W24-Datos!$U$4-1000000)/X24&gt;0,(W24-Datos!$U$4-1000000)/X24,0)</f>
        <v>528653.2158333332</v>
      </c>
      <c r="Z24" s="56">
        <f>Datos!$K$4</f>
        <v>24</v>
      </c>
      <c r="AA24" s="55">
        <f ca="1">IF((W24-Datos!$U$4-1000000-O24*3%*VLOOKUP(TODAY(),'UF HOY'!$A$2:$B$36,2,0))/Z24&gt;0,(W24-Datos!$U$4-1000000-O24*3%*VLOOKUP(TODAY(),'UF HOY'!$A$2:$B$36,2,0))/Z24,0)</f>
        <v>356307.25108333322</v>
      </c>
      <c r="AB24" s="130" cm="1">
        <f t="array" ref="AB24">_xlfn.IFS(AND(L24=0,M24=0),VLOOKUP(D24,Datos!$F$20:$I$21,2,0),AND(L24&gt;0,M24=0),VLOOKUP(D24,Datos!$F$20:$I$21,3,0),AND(L24&gt;0,M24&gt;0),VLOOKUP(D24,Datos!$F$20:$I$21,3,0))</f>
        <v>500000</v>
      </c>
      <c r="AC24" s="55">
        <f ca="1">(S24*PMT(Datos!$G$15,Datos!$G$14,-O24,,)*VLOOKUP(TODAY(),'UF HOY'!$A$2:$B$36,2,0)/12)+VLOOKUP(TODAY(),'UF HOY'!$A$2:$B$36,2,0)</f>
        <v>571295.76542821364</v>
      </c>
      <c r="AD24" s="55">
        <f t="shared" ca="1" si="10"/>
        <v>-71295.765428213635</v>
      </c>
      <c r="AE24" s="93">
        <f t="shared" ca="1" si="16"/>
        <v>2285183.0617128545</v>
      </c>
    </row>
    <row r="25" spans="1:31" s="3" customFormat="1" x14ac:dyDescent="0.35">
      <c r="A25" s="94" t="s">
        <v>305</v>
      </c>
      <c r="B25" s="81">
        <v>704</v>
      </c>
      <c r="C25" s="48" t="s">
        <v>41</v>
      </c>
      <c r="D25" s="48" t="s">
        <v>37</v>
      </c>
      <c r="E25" s="48"/>
      <c r="F25" s="48">
        <v>34.28</v>
      </c>
      <c r="G25" s="48">
        <v>2.31</v>
      </c>
      <c r="H25" s="82">
        <f t="shared" si="0"/>
        <v>35.435000000000002</v>
      </c>
      <c r="I25" s="82">
        <f t="shared" si="1"/>
        <v>36.590000000000003</v>
      </c>
      <c r="J25" s="49">
        <v>3476</v>
      </c>
      <c r="K25" s="50">
        <v>0</v>
      </c>
      <c r="L25" s="48">
        <v>0</v>
      </c>
      <c r="M25" s="48">
        <v>0</v>
      </c>
      <c r="N25" s="51">
        <f t="shared" si="17"/>
        <v>3128.4</v>
      </c>
      <c r="O25" s="52">
        <f t="shared" si="18"/>
        <v>3476</v>
      </c>
      <c r="P25" s="79">
        <f t="shared" si="19"/>
        <v>88.285593339918151</v>
      </c>
      <c r="Q25" s="53">
        <f t="shared" si="20"/>
        <v>0.1</v>
      </c>
      <c r="R25" s="54">
        <f t="shared" si="21"/>
        <v>347.6</v>
      </c>
      <c r="S25" s="53">
        <v>0.8</v>
      </c>
      <c r="T25" s="54">
        <f t="shared" si="7"/>
        <v>2780.8</v>
      </c>
      <c r="U25" s="53">
        <f t="shared" si="8"/>
        <v>9.9999999999999978E-2</v>
      </c>
      <c r="V25" s="54">
        <f t="shared" si="9"/>
        <v>347.59999999999991</v>
      </c>
      <c r="W25" s="55">
        <f ca="1">V25*VLOOKUP(TODAY(),'UF HOY'!$A$2:$B$36,2,0)</f>
        <v>13811517.543999998</v>
      </c>
      <c r="X25" s="56">
        <f>Datos!$K$4</f>
        <v>24</v>
      </c>
      <c r="Y25" s="55">
        <f ca="1">IF((W25-Datos!$U$4-1000000)/X25&gt;0,(W25-Datos!$U$4-1000000)/X25,0)</f>
        <v>529646.56433333328</v>
      </c>
      <c r="Z25" s="56">
        <f>Datos!$K$4</f>
        <v>24</v>
      </c>
      <c r="AA25" s="55">
        <f ca="1">IF((W25-Datos!$U$4-1000000-O25*3%*VLOOKUP(TODAY(),'UF HOY'!$A$2:$B$36,2,0))/Z25&gt;0,(W25-Datos!$U$4-1000000-O25*3%*VLOOKUP(TODAY(),'UF HOY'!$A$2:$B$36,2,0))/Z25,0)</f>
        <v>357002.59503333323</v>
      </c>
      <c r="AB25" s="130" cm="1">
        <f t="array" ref="AB25">_xlfn.IFS(AND(L25=0,M25=0),VLOOKUP(D25,Datos!$F$20:$I$21,2,0),AND(L25&gt;0,M25=0),VLOOKUP(D25,Datos!$F$20:$I$21,3,0),AND(L25&gt;0,M25&gt;0),VLOOKUP(D25,Datos!$F$20:$I$21,3,0))</f>
        <v>500000</v>
      </c>
      <c r="AC25" s="55">
        <f ca="1">(S25*PMT(Datos!$G$15,Datos!$G$14,-O25,,)*VLOOKUP(TODAY(),'UF HOY'!$A$2:$B$36,2,0)/12)+VLOOKUP(TODAY(),'UF HOY'!$A$2:$B$36,2,0)</f>
        <v>572214.89250388206</v>
      </c>
      <c r="AD25" s="55">
        <f t="shared" ca="1" si="10"/>
        <v>-72214.89250388206</v>
      </c>
      <c r="AE25" s="93">
        <f t="shared" ca="1" si="16"/>
        <v>2288859.5700155282</v>
      </c>
    </row>
    <row r="26" spans="1:31" s="3" customFormat="1" x14ac:dyDescent="0.35">
      <c r="A26" s="94" t="s">
        <v>305</v>
      </c>
      <c r="B26" s="81">
        <v>803</v>
      </c>
      <c r="C26" s="48" t="s">
        <v>41</v>
      </c>
      <c r="D26" s="48" t="s">
        <v>37</v>
      </c>
      <c r="E26" s="48"/>
      <c r="F26" s="48">
        <v>33.21</v>
      </c>
      <c r="G26" s="48">
        <v>2.4</v>
      </c>
      <c r="H26" s="82">
        <f t="shared" si="0"/>
        <v>34.410000000000004</v>
      </c>
      <c r="I26" s="82">
        <f t="shared" si="1"/>
        <v>35.61</v>
      </c>
      <c r="J26" s="49">
        <v>3476</v>
      </c>
      <c r="K26" s="50">
        <v>0</v>
      </c>
      <c r="L26" s="48">
        <v>0</v>
      </c>
      <c r="M26" s="48">
        <v>0</v>
      </c>
      <c r="N26" s="51">
        <f t="shared" si="17"/>
        <v>3128.4</v>
      </c>
      <c r="O26" s="52">
        <f t="shared" si="18"/>
        <v>3476</v>
      </c>
      <c r="P26" s="79">
        <f t="shared" si="19"/>
        <v>90.91543156059285</v>
      </c>
      <c r="Q26" s="53">
        <f t="shared" si="20"/>
        <v>0.1</v>
      </c>
      <c r="R26" s="54">
        <f t="shared" si="21"/>
        <v>347.6</v>
      </c>
      <c r="S26" s="53">
        <v>0.8</v>
      </c>
      <c r="T26" s="54">
        <f t="shared" si="7"/>
        <v>2780.8</v>
      </c>
      <c r="U26" s="53">
        <f t="shared" si="8"/>
        <v>9.9999999999999978E-2</v>
      </c>
      <c r="V26" s="54">
        <f t="shared" si="9"/>
        <v>347.59999999999991</v>
      </c>
      <c r="W26" s="55">
        <f ca="1">V26*VLOOKUP(TODAY(),'UF HOY'!$A$2:$B$36,2,0)</f>
        <v>13811517.543999998</v>
      </c>
      <c r="X26" s="56">
        <f>Datos!$K$4</f>
        <v>24</v>
      </c>
      <c r="Y26" s="55">
        <f ca="1">IF((W26-Datos!$U$4-1000000)/X26&gt;0,(W26-Datos!$U$4-1000000)/X26,0)</f>
        <v>529646.56433333328</v>
      </c>
      <c r="Z26" s="56">
        <f>Datos!$K$4</f>
        <v>24</v>
      </c>
      <c r="AA26" s="55">
        <f ca="1">IF((W26-Datos!$U$4-1000000-O26*3%*VLOOKUP(TODAY(),'UF HOY'!$A$2:$B$36,2,0))/Z26&gt;0,(W26-Datos!$U$4-1000000-O26*3%*VLOOKUP(TODAY(),'UF HOY'!$A$2:$B$36,2,0))/Z26,0)</f>
        <v>357002.59503333323</v>
      </c>
      <c r="AB26" s="130" cm="1">
        <f t="array" ref="AB26">_xlfn.IFS(AND(L26=0,M26=0),VLOOKUP(D26,Datos!$F$20:$I$21,2,0),AND(L26&gt;0,M26=0),VLOOKUP(D26,Datos!$F$20:$I$21,3,0),AND(L26&gt;0,M26&gt;0),VLOOKUP(D26,Datos!$F$20:$I$21,3,0))</f>
        <v>500000</v>
      </c>
      <c r="AC26" s="55">
        <f ca="1">(S26*PMT(Datos!$G$15,Datos!$G$14,-O26,,)*VLOOKUP(TODAY(),'UF HOY'!$A$2:$B$36,2,0)/12)+VLOOKUP(TODAY(),'UF HOY'!$A$2:$B$36,2,0)</f>
        <v>572214.89250388206</v>
      </c>
      <c r="AD26" s="55">
        <f t="shared" ca="1" si="10"/>
        <v>-72214.89250388206</v>
      </c>
      <c r="AE26" s="93">
        <f t="shared" ca="1" si="16"/>
        <v>2288859.5700155282</v>
      </c>
    </row>
    <row r="27" spans="1:31" s="3" customFormat="1" x14ac:dyDescent="0.35">
      <c r="A27" s="94" t="s">
        <v>305</v>
      </c>
      <c r="B27" s="81">
        <v>903</v>
      </c>
      <c r="C27" s="48" t="s">
        <v>41</v>
      </c>
      <c r="D27" s="48" t="s">
        <v>37</v>
      </c>
      <c r="E27" s="48"/>
      <c r="F27" s="48">
        <v>33.21</v>
      </c>
      <c r="G27" s="48">
        <v>2.4</v>
      </c>
      <c r="H27" s="82">
        <f t="shared" si="0"/>
        <v>34.410000000000004</v>
      </c>
      <c r="I27" s="82">
        <f t="shared" si="1"/>
        <v>35.61</v>
      </c>
      <c r="J27" s="49">
        <v>3476</v>
      </c>
      <c r="K27" s="50">
        <v>0</v>
      </c>
      <c r="L27" s="48">
        <v>0</v>
      </c>
      <c r="M27" s="48">
        <v>0</v>
      </c>
      <c r="N27" s="51">
        <f t="shared" si="17"/>
        <v>3128.4</v>
      </c>
      <c r="O27" s="52">
        <f t="shared" si="18"/>
        <v>3476</v>
      </c>
      <c r="P27" s="79">
        <f t="shared" si="19"/>
        <v>90.91543156059285</v>
      </c>
      <c r="Q27" s="53">
        <f t="shared" si="20"/>
        <v>0.1</v>
      </c>
      <c r="R27" s="54">
        <f t="shared" si="21"/>
        <v>347.6</v>
      </c>
      <c r="S27" s="53">
        <v>0.8</v>
      </c>
      <c r="T27" s="54">
        <f t="shared" si="7"/>
        <v>2780.8</v>
      </c>
      <c r="U27" s="53">
        <f t="shared" si="8"/>
        <v>9.9999999999999978E-2</v>
      </c>
      <c r="V27" s="54">
        <f t="shared" si="9"/>
        <v>347.59999999999991</v>
      </c>
      <c r="W27" s="55">
        <f ca="1">V27*VLOOKUP(TODAY(),'UF HOY'!$A$2:$B$36,2,0)</f>
        <v>13811517.543999998</v>
      </c>
      <c r="X27" s="56">
        <f>Datos!$K$4</f>
        <v>24</v>
      </c>
      <c r="Y27" s="55">
        <f ca="1">IF((W27-Datos!$U$4-1000000)/X27&gt;0,(W27-Datos!$U$4-1000000)/X27,0)</f>
        <v>529646.56433333328</v>
      </c>
      <c r="Z27" s="56">
        <f>Datos!$K$4</f>
        <v>24</v>
      </c>
      <c r="AA27" s="55">
        <f ca="1">IF((W27-Datos!$U$4-1000000-O27*3%*VLOOKUP(TODAY(),'UF HOY'!$A$2:$B$36,2,0))/Z27&gt;0,(W27-Datos!$U$4-1000000-O27*3%*VLOOKUP(TODAY(),'UF HOY'!$A$2:$B$36,2,0))/Z27,0)</f>
        <v>357002.59503333323</v>
      </c>
      <c r="AB27" s="130" cm="1">
        <f t="array" ref="AB27">_xlfn.IFS(AND(L27=0,M27=0),VLOOKUP(D27,Datos!$F$20:$I$21,2,0),AND(L27&gt;0,M27=0),VLOOKUP(D27,Datos!$F$20:$I$21,3,0),AND(L27&gt;0,M27&gt;0),VLOOKUP(D27,Datos!$F$20:$I$21,3,0))</f>
        <v>500000</v>
      </c>
      <c r="AC27" s="55">
        <f ca="1">(S27*PMT(Datos!$G$15,Datos!$G$14,-O27,,)*VLOOKUP(TODAY(),'UF HOY'!$A$2:$B$36,2,0)/12)+VLOOKUP(TODAY(),'UF HOY'!$A$2:$B$36,2,0)</f>
        <v>572214.89250388206</v>
      </c>
      <c r="AD27" s="55">
        <f t="shared" ca="1" si="10"/>
        <v>-72214.89250388206</v>
      </c>
      <c r="AE27" s="93">
        <f t="shared" ca="1" si="16"/>
        <v>2288859.5700155282</v>
      </c>
    </row>
    <row r="28" spans="1:31" s="3" customFormat="1" x14ac:dyDescent="0.35">
      <c r="A28" s="94" t="s">
        <v>305</v>
      </c>
      <c r="B28" s="81">
        <v>1015</v>
      </c>
      <c r="C28" s="48" t="s">
        <v>38</v>
      </c>
      <c r="D28" s="48" t="s">
        <v>37</v>
      </c>
      <c r="E28" s="48"/>
      <c r="F28" s="48">
        <v>33.58</v>
      </c>
      <c r="G28" s="48">
        <v>2.72</v>
      </c>
      <c r="H28" s="82">
        <f t="shared" si="0"/>
        <v>34.94</v>
      </c>
      <c r="I28" s="82">
        <f t="shared" si="1"/>
        <v>36.299999999999997</v>
      </c>
      <c r="J28" s="49">
        <v>3476</v>
      </c>
      <c r="K28" s="50">
        <v>0</v>
      </c>
      <c r="L28" s="48">
        <v>0</v>
      </c>
      <c r="M28" s="48">
        <v>0</v>
      </c>
      <c r="N28" s="51">
        <f t="shared" si="17"/>
        <v>3128.4</v>
      </c>
      <c r="O28" s="52">
        <f t="shared" si="18"/>
        <v>3476</v>
      </c>
      <c r="P28" s="79">
        <f t="shared" si="19"/>
        <v>89.536348025186044</v>
      </c>
      <c r="Q28" s="53">
        <f t="shared" si="20"/>
        <v>0.1</v>
      </c>
      <c r="R28" s="54">
        <f t="shared" si="21"/>
        <v>347.6</v>
      </c>
      <c r="S28" s="53">
        <v>0.8</v>
      </c>
      <c r="T28" s="54">
        <f t="shared" si="7"/>
        <v>2780.8</v>
      </c>
      <c r="U28" s="53">
        <f t="shared" si="8"/>
        <v>9.9999999999999978E-2</v>
      </c>
      <c r="V28" s="54">
        <f t="shared" si="9"/>
        <v>347.59999999999991</v>
      </c>
      <c r="W28" s="55">
        <f ca="1">V28*VLOOKUP(TODAY(),'UF HOY'!$A$2:$B$36,2,0)</f>
        <v>13811517.543999998</v>
      </c>
      <c r="X28" s="56">
        <f>Datos!$K$4</f>
        <v>24</v>
      </c>
      <c r="Y28" s="55">
        <f ca="1">IF((W28-Datos!$U$4-1000000)/X28&gt;0,(W28-Datos!$U$4-1000000)/X28,0)</f>
        <v>529646.56433333328</v>
      </c>
      <c r="Z28" s="56">
        <f>Datos!$K$4</f>
        <v>24</v>
      </c>
      <c r="AA28" s="55">
        <f ca="1">IF((W28-Datos!$U$4-1000000-O28*3%*VLOOKUP(TODAY(),'UF HOY'!$A$2:$B$36,2,0))/Z28&gt;0,(W28-Datos!$U$4-1000000-O28*3%*VLOOKUP(TODAY(),'UF HOY'!$A$2:$B$36,2,0))/Z28,0)</f>
        <v>357002.59503333323</v>
      </c>
      <c r="AB28" s="130" cm="1">
        <f t="array" ref="AB28">_xlfn.IFS(AND(L28=0,M28=0),VLOOKUP(D28,Datos!$F$20:$I$21,2,0),AND(L28&gt;0,M28=0),VLOOKUP(D28,Datos!$F$20:$I$21,3,0),AND(L28&gt;0,M28&gt;0),VLOOKUP(D28,Datos!$F$20:$I$21,3,0))</f>
        <v>500000</v>
      </c>
      <c r="AC28" s="55">
        <f ca="1">(S28*PMT(Datos!$G$15,Datos!$G$14,-O28,,)*VLOOKUP(TODAY(),'UF HOY'!$A$2:$B$36,2,0)/12)+VLOOKUP(TODAY(),'UF HOY'!$A$2:$B$36,2,0)</f>
        <v>572214.89250388206</v>
      </c>
      <c r="AD28" s="55">
        <f t="shared" ca="1" si="10"/>
        <v>-72214.89250388206</v>
      </c>
      <c r="AE28" s="93">
        <f t="shared" ca="1" si="16"/>
        <v>2288859.5700155282</v>
      </c>
    </row>
    <row r="29" spans="1:31" s="3" customFormat="1" x14ac:dyDescent="0.35">
      <c r="A29" s="94" t="s">
        <v>305</v>
      </c>
      <c r="B29" s="81">
        <v>1115</v>
      </c>
      <c r="C29" s="48" t="s">
        <v>38</v>
      </c>
      <c r="D29" s="48" t="s">
        <v>37</v>
      </c>
      <c r="E29" s="48"/>
      <c r="F29" s="48">
        <v>33.58</v>
      </c>
      <c r="G29" s="48">
        <v>2.72</v>
      </c>
      <c r="H29" s="82">
        <f t="shared" si="0"/>
        <v>34.94</v>
      </c>
      <c r="I29" s="82">
        <f t="shared" si="1"/>
        <v>36.299999999999997</v>
      </c>
      <c r="J29" s="49">
        <v>3476</v>
      </c>
      <c r="K29" s="50">
        <v>0</v>
      </c>
      <c r="L29" s="48">
        <v>0</v>
      </c>
      <c r="M29" s="48">
        <v>0</v>
      </c>
      <c r="N29" s="51">
        <f t="shared" si="17"/>
        <v>3128.4</v>
      </c>
      <c r="O29" s="52">
        <f t="shared" si="18"/>
        <v>3476</v>
      </c>
      <c r="P29" s="79">
        <f t="shared" si="19"/>
        <v>89.536348025186044</v>
      </c>
      <c r="Q29" s="53">
        <f t="shared" si="20"/>
        <v>0.1</v>
      </c>
      <c r="R29" s="54">
        <f t="shared" si="21"/>
        <v>347.6</v>
      </c>
      <c r="S29" s="53">
        <v>0.8</v>
      </c>
      <c r="T29" s="54">
        <f t="shared" si="7"/>
        <v>2780.8</v>
      </c>
      <c r="U29" s="53">
        <f t="shared" si="8"/>
        <v>9.9999999999999978E-2</v>
      </c>
      <c r="V29" s="54">
        <f t="shared" si="9"/>
        <v>347.59999999999991</v>
      </c>
      <c r="W29" s="55">
        <f ca="1">V29*VLOOKUP(TODAY(),'UF HOY'!$A$2:$B$36,2,0)</f>
        <v>13811517.543999998</v>
      </c>
      <c r="X29" s="56">
        <f>Datos!$K$4</f>
        <v>24</v>
      </c>
      <c r="Y29" s="55">
        <f ca="1">IF((W29-Datos!$U$4-1000000)/X29&gt;0,(W29-Datos!$U$4-1000000)/X29,0)</f>
        <v>529646.56433333328</v>
      </c>
      <c r="Z29" s="56">
        <f>Datos!$K$4</f>
        <v>24</v>
      </c>
      <c r="AA29" s="55">
        <f ca="1">IF((W29-Datos!$U$4-1000000-O29*3%*VLOOKUP(TODAY(),'UF HOY'!$A$2:$B$36,2,0))/Z29&gt;0,(W29-Datos!$U$4-1000000-O29*3%*VLOOKUP(TODAY(),'UF HOY'!$A$2:$B$36,2,0))/Z29,0)</f>
        <v>357002.59503333323</v>
      </c>
      <c r="AB29" s="130" cm="1">
        <f t="array" ref="AB29">_xlfn.IFS(AND(L29=0,M29=0),VLOOKUP(D29,Datos!$F$20:$I$21,2,0),AND(L29&gt;0,M29=0),VLOOKUP(D29,Datos!$F$20:$I$21,3,0),AND(L29&gt;0,M29&gt;0),VLOOKUP(D29,Datos!$F$20:$I$21,3,0))</f>
        <v>500000</v>
      </c>
      <c r="AC29" s="55">
        <f ca="1">(S29*PMT(Datos!$G$15,Datos!$G$14,-O29,,)*VLOOKUP(TODAY(),'UF HOY'!$A$2:$B$36,2,0)/12)+VLOOKUP(TODAY(),'UF HOY'!$A$2:$B$36,2,0)</f>
        <v>572214.89250388206</v>
      </c>
      <c r="AD29" s="55">
        <f t="shared" ca="1" si="10"/>
        <v>-72214.89250388206</v>
      </c>
      <c r="AE29" s="93">
        <f t="shared" ca="1" si="16"/>
        <v>2288859.5700155282</v>
      </c>
    </row>
    <row r="30" spans="1:31" s="3" customFormat="1" x14ac:dyDescent="0.35">
      <c r="A30" s="94" t="s">
        <v>305</v>
      </c>
      <c r="B30" s="81">
        <v>1203</v>
      </c>
      <c r="C30" s="48" t="s">
        <v>41</v>
      </c>
      <c r="D30" s="48" t="s">
        <v>37</v>
      </c>
      <c r="E30" s="48"/>
      <c r="F30" s="48">
        <v>33.21</v>
      </c>
      <c r="G30" s="48">
        <v>2.4</v>
      </c>
      <c r="H30" s="82">
        <f t="shared" si="0"/>
        <v>34.410000000000004</v>
      </c>
      <c r="I30" s="82">
        <f t="shared" si="1"/>
        <v>35.61</v>
      </c>
      <c r="J30" s="49">
        <v>3476</v>
      </c>
      <c r="K30" s="50">
        <v>0</v>
      </c>
      <c r="L30" s="48">
        <v>0</v>
      </c>
      <c r="M30" s="48">
        <v>0</v>
      </c>
      <c r="N30" s="51">
        <f t="shared" si="17"/>
        <v>3128.4</v>
      </c>
      <c r="O30" s="52">
        <f t="shared" si="18"/>
        <v>3476</v>
      </c>
      <c r="P30" s="79">
        <f t="shared" si="19"/>
        <v>90.91543156059285</v>
      </c>
      <c r="Q30" s="53">
        <f t="shared" si="20"/>
        <v>0.1</v>
      </c>
      <c r="R30" s="54">
        <f t="shared" si="21"/>
        <v>347.6</v>
      </c>
      <c r="S30" s="53">
        <v>0.8</v>
      </c>
      <c r="T30" s="54">
        <f t="shared" si="7"/>
        <v>2780.8</v>
      </c>
      <c r="U30" s="53">
        <f t="shared" si="8"/>
        <v>9.9999999999999978E-2</v>
      </c>
      <c r="V30" s="54">
        <f t="shared" si="9"/>
        <v>347.59999999999991</v>
      </c>
      <c r="W30" s="55">
        <f ca="1">V30*VLOOKUP(TODAY(),'UF HOY'!$A$2:$B$36,2,0)</f>
        <v>13811517.543999998</v>
      </c>
      <c r="X30" s="56">
        <f>Datos!$K$4</f>
        <v>24</v>
      </c>
      <c r="Y30" s="55">
        <f ca="1">IF((W30-Datos!$U$4-1000000)/X30&gt;0,(W30-Datos!$U$4-1000000)/X30,0)</f>
        <v>529646.56433333328</v>
      </c>
      <c r="Z30" s="56">
        <f>Datos!$K$4</f>
        <v>24</v>
      </c>
      <c r="AA30" s="55">
        <f ca="1">IF((W30-Datos!$U$4-1000000-O30*3%*VLOOKUP(TODAY(),'UF HOY'!$A$2:$B$36,2,0))/Z30&gt;0,(W30-Datos!$U$4-1000000-O30*3%*VLOOKUP(TODAY(),'UF HOY'!$A$2:$B$36,2,0))/Z30,0)</f>
        <v>357002.59503333323</v>
      </c>
      <c r="AB30" s="130" cm="1">
        <f t="array" ref="AB30">_xlfn.IFS(AND(L30=0,M30=0),VLOOKUP(D30,Datos!$F$20:$I$21,2,0),AND(L30&gt;0,M30=0),VLOOKUP(D30,Datos!$F$20:$I$21,3,0),AND(L30&gt;0,M30&gt;0),VLOOKUP(D30,Datos!$F$20:$I$21,3,0))</f>
        <v>500000</v>
      </c>
      <c r="AC30" s="55">
        <f ca="1">(S30*PMT(Datos!$G$15,Datos!$G$14,-O30,,)*VLOOKUP(TODAY(),'UF HOY'!$A$2:$B$36,2,0)/12)+VLOOKUP(TODAY(),'UF HOY'!$A$2:$B$36,2,0)</f>
        <v>572214.89250388206</v>
      </c>
      <c r="AD30" s="55">
        <f t="shared" ca="1" si="10"/>
        <v>-72214.89250388206</v>
      </c>
      <c r="AE30" s="93">
        <f t="shared" ca="1" si="16"/>
        <v>2288859.5700155282</v>
      </c>
    </row>
    <row r="31" spans="1:31" s="3" customFormat="1" x14ac:dyDescent="0.35">
      <c r="A31" s="94" t="s">
        <v>305</v>
      </c>
      <c r="B31" s="81">
        <v>1019</v>
      </c>
      <c r="C31" s="48" t="s">
        <v>36</v>
      </c>
      <c r="D31" s="48" t="s">
        <v>37</v>
      </c>
      <c r="E31" s="48"/>
      <c r="F31" s="48">
        <v>34.35</v>
      </c>
      <c r="G31" s="48">
        <v>2.33</v>
      </c>
      <c r="H31" s="82">
        <f t="shared" ref="H31:H35" si="28">F31+(G31/2)</f>
        <v>35.515000000000001</v>
      </c>
      <c r="I31" s="82">
        <f t="shared" ref="I31:I35" si="29">F31+G31</f>
        <v>36.68</v>
      </c>
      <c r="J31" s="49">
        <v>3481</v>
      </c>
      <c r="K31" s="50">
        <v>0</v>
      </c>
      <c r="L31" s="48">
        <v>0</v>
      </c>
      <c r="M31" s="48">
        <v>0</v>
      </c>
      <c r="N31" s="51">
        <f t="shared" si="17"/>
        <v>3132.9</v>
      </c>
      <c r="O31" s="52">
        <f t="shared" si="18"/>
        <v>3481</v>
      </c>
      <c r="P31" s="79">
        <f t="shared" si="19"/>
        <v>88.213430944671273</v>
      </c>
      <c r="Q31" s="53">
        <f t="shared" si="20"/>
        <v>0.1</v>
      </c>
      <c r="R31" s="54">
        <f t="shared" si="21"/>
        <v>348.1</v>
      </c>
      <c r="S31" s="53">
        <v>0.8</v>
      </c>
      <c r="T31" s="54">
        <f t="shared" ref="T31:T35" si="30">S31*O31</f>
        <v>2784.8</v>
      </c>
      <c r="U31" s="53">
        <f t="shared" ref="U31:U35" si="31">100%-Q31-S31</f>
        <v>9.9999999999999978E-2</v>
      </c>
      <c r="V31" s="54">
        <f t="shared" ref="V31:V35" si="32">O31*U31</f>
        <v>348.09999999999991</v>
      </c>
      <c r="W31" s="55">
        <f ca="1">V31*VLOOKUP(TODAY(),'UF HOY'!$A$2:$B$36,2,0)</f>
        <v>13831384.513999997</v>
      </c>
      <c r="X31" s="56">
        <f>Datos!$K$4</f>
        <v>24</v>
      </c>
      <c r="Y31" s="55">
        <f ca="1">IF((W31-Datos!$U$4-1000000)/X31&gt;0,(W31-Datos!$U$4-1000000)/X31,0)</f>
        <v>530474.35474999982</v>
      </c>
      <c r="Z31" s="56">
        <f>Datos!$K$4</f>
        <v>24</v>
      </c>
      <c r="AA31" s="55">
        <f ca="1">IF((W31-Datos!$U$4-1000000-O31*3%*VLOOKUP(TODAY(),'UF HOY'!$A$2:$B$36,2,0))/Z31&gt;0,(W31-Datos!$U$4-1000000-O31*3%*VLOOKUP(TODAY(),'UF HOY'!$A$2:$B$36,2,0))/Z31,0)</f>
        <v>357582.04832499987</v>
      </c>
      <c r="AB31" s="130" cm="1">
        <f t="array" ref="AB31">_xlfn.IFS(AND(L31=0,M31=0),VLOOKUP(D31,Datos!$F$20:$I$21,2,0),AND(L31&gt;0,M31=0),VLOOKUP(D31,Datos!$F$20:$I$21,3,0),AND(L31&gt;0,M31&gt;0),VLOOKUP(D31,Datos!$F$20:$I$21,3,0))</f>
        <v>500000</v>
      </c>
      <c r="AC31" s="55">
        <f ca="1">(S31*PMT(Datos!$G$15,Datos!$G$14,-O31,,)*VLOOKUP(TODAY(),'UF HOY'!$A$2:$B$36,2,0)/12)+VLOOKUP(TODAY(),'UF HOY'!$A$2:$B$36,2,0)</f>
        <v>572980.83173360582</v>
      </c>
      <c r="AD31" s="55">
        <f t="shared" ref="AD31:AD35" ca="1" si="33">AB31-AC31</f>
        <v>-72980.831733605824</v>
      </c>
      <c r="AE31" s="93">
        <f t="shared" ca="1" si="16"/>
        <v>2291923.3269344233</v>
      </c>
    </row>
    <row r="32" spans="1:31" s="3" customFormat="1" x14ac:dyDescent="0.35">
      <c r="A32" s="94" t="s">
        <v>305</v>
      </c>
      <c r="B32" s="81">
        <v>1119</v>
      </c>
      <c r="C32" s="48" t="s">
        <v>36</v>
      </c>
      <c r="D32" s="48" t="s">
        <v>37</v>
      </c>
      <c r="E32" s="48"/>
      <c r="F32" s="48">
        <v>34.35</v>
      </c>
      <c r="G32" s="48">
        <v>2.33</v>
      </c>
      <c r="H32" s="82">
        <f t="shared" si="28"/>
        <v>35.515000000000001</v>
      </c>
      <c r="I32" s="82">
        <f t="shared" si="29"/>
        <v>36.68</v>
      </c>
      <c r="J32" s="49">
        <v>3481</v>
      </c>
      <c r="K32" s="50">
        <v>0</v>
      </c>
      <c r="L32" s="48">
        <v>0</v>
      </c>
      <c r="M32" s="48">
        <v>0</v>
      </c>
      <c r="N32" s="51">
        <f t="shared" si="17"/>
        <v>3132.9</v>
      </c>
      <c r="O32" s="52">
        <f t="shared" si="18"/>
        <v>3481</v>
      </c>
      <c r="P32" s="79">
        <f t="shared" si="19"/>
        <v>88.213430944671273</v>
      </c>
      <c r="Q32" s="53">
        <f t="shared" si="20"/>
        <v>0.1</v>
      </c>
      <c r="R32" s="54">
        <f t="shared" si="21"/>
        <v>348.1</v>
      </c>
      <c r="S32" s="53">
        <v>0.8</v>
      </c>
      <c r="T32" s="54">
        <f t="shared" si="30"/>
        <v>2784.8</v>
      </c>
      <c r="U32" s="53">
        <f t="shared" si="31"/>
        <v>9.9999999999999978E-2</v>
      </c>
      <c r="V32" s="54">
        <f t="shared" si="32"/>
        <v>348.09999999999991</v>
      </c>
      <c r="W32" s="55">
        <f ca="1">V32*VLOOKUP(TODAY(),'UF HOY'!$A$2:$B$36,2,0)</f>
        <v>13831384.513999997</v>
      </c>
      <c r="X32" s="56">
        <f>Datos!$K$4</f>
        <v>24</v>
      </c>
      <c r="Y32" s="55">
        <f ca="1">IF((W32-Datos!$U$4-1000000)/X32&gt;0,(W32-Datos!$U$4-1000000)/X32,0)</f>
        <v>530474.35474999982</v>
      </c>
      <c r="Z32" s="56">
        <f>Datos!$K$4</f>
        <v>24</v>
      </c>
      <c r="AA32" s="55">
        <f ca="1">IF((W32-Datos!$U$4-1000000-O32*3%*VLOOKUP(TODAY(),'UF HOY'!$A$2:$B$36,2,0))/Z32&gt;0,(W32-Datos!$U$4-1000000-O32*3%*VLOOKUP(TODAY(),'UF HOY'!$A$2:$B$36,2,0))/Z32,0)</f>
        <v>357582.04832499987</v>
      </c>
      <c r="AB32" s="130" cm="1">
        <f t="array" ref="AB32">_xlfn.IFS(AND(L32=0,M32=0),VLOOKUP(D32,Datos!$F$20:$I$21,2,0),AND(L32&gt;0,M32=0),VLOOKUP(D32,Datos!$F$20:$I$21,3,0),AND(L32&gt;0,M32&gt;0),VLOOKUP(D32,Datos!$F$20:$I$21,3,0))</f>
        <v>500000</v>
      </c>
      <c r="AC32" s="55">
        <f ca="1">(S32*PMT(Datos!$G$15,Datos!$G$14,-O32,,)*VLOOKUP(TODAY(),'UF HOY'!$A$2:$B$36,2,0)/12)+VLOOKUP(TODAY(),'UF HOY'!$A$2:$B$36,2,0)</f>
        <v>572980.83173360582</v>
      </c>
      <c r="AD32" s="55">
        <f t="shared" ca="1" si="33"/>
        <v>-72980.831733605824</v>
      </c>
      <c r="AE32" s="93">
        <f t="shared" ca="1" si="16"/>
        <v>2291923.3269344233</v>
      </c>
    </row>
    <row r="33" spans="1:31" s="3" customFormat="1" x14ac:dyDescent="0.35">
      <c r="A33" s="94" t="s">
        <v>305</v>
      </c>
      <c r="B33" s="81">
        <v>1014</v>
      </c>
      <c r="C33" s="48" t="s">
        <v>38</v>
      </c>
      <c r="D33" s="48" t="s">
        <v>37</v>
      </c>
      <c r="E33" s="48"/>
      <c r="F33" s="48">
        <v>33.67</v>
      </c>
      <c r="G33" s="48">
        <v>2.72</v>
      </c>
      <c r="H33" s="82">
        <f t="shared" si="28"/>
        <v>35.03</v>
      </c>
      <c r="I33" s="82">
        <f t="shared" si="29"/>
        <v>36.39</v>
      </c>
      <c r="J33" s="49">
        <v>3487</v>
      </c>
      <c r="K33" s="50">
        <v>0</v>
      </c>
      <c r="L33" s="48">
        <v>0</v>
      </c>
      <c r="M33" s="48">
        <v>0</v>
      </c>
      <c r="N33" s="51">
        <f t="shared" si="17"/>
        <v>3138.3</v>
      </c>
      <c r="O33" s="52">
        <f t="shared" si="18"/>
        <v>3487</v>
      </c>
      <c r="P33" s="79">
        <f t="shared" si="19"/>
        <v>89.588923779617474</v>
      </c>
      <c r="Q33" s="53">
        <f t="shared" si="20"/>
        <v>0.1</v>
      </c>
      <c r="R33" s="54">
        <f t="shared" si="21"/>
        <v>348.70000000000005</v>
      </c>
      <c r="S33" s="53">
        <v>0.8</v>
      </c>
      <c r="T33" s="54">
        <f t="shared" si="30"/>
        <v>2789.6000000000004</v>
      </c>
      <c r="U33" s="53">
        <f t="shared" si="31"/>
        <v>9.9999999999999978E-2</v>
      </c>
      <c r="V33" s="54">
        <f t="shared" si="32"/>
        <v>348.69999999999993</v>
      </c>
      <c r="W33" s="55">
        <f ca="1">V33*VLOOKUP(TODAY(),'UF HOY'!$A$2:$B$36,2,0)</f>
        <v>13855224.877999999</v>
      </c>
      <c r="X33" s="56">
        <f>Datos!$K$4</f>
        <v>24</v>
      </c>
      <c r="Y33" s="55">
        <f ca="1">IF((W33-Datos!$U$4-1000000)/X33&gt;0,(W33-Datos!$U$4-1000000)/X33,0)</f>
        <v>531467.7032499999</v>
      </c>
      <c r="Z33" s="56">
        <f>Datos!$K$4</f>
        <v>24</v>
      </c>
      <c r="AA33" s="55">
        <f ca="1">IF((W33-Datos!$U$4-1000000-O33*3%*VLOOKUP(TODAY(),'UF HOY'!$A$2:$B$36,2,0))/Z33&gt;0,(W33-Datos!$U$4-1000000-O33*3%*VLOOKUP(TODAY(),'UF HOY'!$A$2:$B$36,2,0))/Z33,0)</f>
        <v>358277.39227499993</v>
      </c>
      <c r="AB33" s="130" cm="1">
        <f t="array" ref="AB33">_xlfn.IFS(AND(L33=0,M33=0),VLOOKUP(D33,Datos!$F$20:$I$21,2,0),AND(L33&gt;0,M33=0),VLOOKUP(D33,Datos!$F$20:$I$21,3,0),AND(L33&gt;0,M33&gt;0),VLOOKUP(D33,Datos!$F$20:$I$21,3,0))</f>
        <v>500000</v>
      </c>
      <c r="AC33" s="55">
        <f ca="1">(S33*PMT(Datos!$G$15,Datos!$G$14,-O33,,)*VLOOKUP(TODAY(),'UF HOY'!$A$2:$B$36,2,0)/12)+VLOOKUP(TODAY(),'UF HOY'!$A$2:$B$36,2,0)</f>
        <v>573899.95880927402</v>
      </c>
      <c r="AD33" s="55">
        <f t="shared" ca="1" si="33"/>
        <v>-73899.958809274016</v>
      </c>
      <c r="AE33" s="93">
        <f t="shared" ca="1" si="16"/>
        <v>2295599.8352370961</v>
      </c>
    </row>
    <row r="34" spans="1:31" s="3" customFormat="1" x14ac:dyDescent="0.35">
      <c r="A34" s="94" t="s">
        <v>305</v>
      </c>
      <c r="B34" s="81">
        <v>1114</v>
      </c>
      <c r="C34" s="48" t="s">
        <v>38</v>
      </c>
      <c r="D34" s="48" t="s">
        <v>37</v>
      </c>
      <c r="E34" s="48"/>
      <c r="F34" s="48">
        <v>33.67</v>
      </c>
      <c r="G34" s="48">
        <v>2.72</v>
      </c>
      <c r="H34" s="82">
        <f t="shared" si="28"/>
        <v>35.03</v>
      </c>
      <c r="I34" s="82">
        <f t="shared" si="29"/>
        <v>36.39</v>
      </c>
      <c r="J34" s="49">
        <v>3487</v>
      </c>
      <c r="K34" s="50">
        <v>0</v>
      </c>
      <c r="L34" s="48">
        <v>0</v>
      </c>
      <c r="M34" s="48">
        <v>0</v>
      </c>
      <c r="N34" s="51">
        <f t="shared" si="17"/>
        <v>3138.3</v>
      </c>
      <c r="O34" s="52">
        <f t="shared" si="18"/>
        <v>3487</v>
      </c>
      <c r="P34" s="79">
        <f t="shared" si="19"/>
        <v>89.588923779617474</v>
      </c>
      <c r="Q34" s="53">
        <f t="shared" si="20"/>
        <v>0.1</v>
      </c>
      <c r="R34" s="54">
        <f t="shared" si="21"/>
        <v>348.70000000000005</v>
      </c>
      <c r="S34" s="53">
        <v>0.8</v>
      </c>
      <c r="T34" s="54">
        <f t="shared" si="30"/>
        <v>2789.6000000000004</v>
      </c>
      <c r="U34" s="53">
        <f t="shared" si="31"/>
        <v>9.9999999999999978E-2</v>
      </c>
      <c r="V34" s="54">
        <f t="shared" si="32"/>
        <v>348.69999999999993</v>
      </c>
      <c r="W34" s="55">
        <f ca="1">V34*VLOOKUP(TODAY(),'UF HOY'!$A$2:$B$36,2,0)</f>
        <v>13855224.877999999</v>
      </c>
      <c r="X34" s="56">
        <f>Datos!$K$4</f>
        <v>24</v>
      </c>
      <c r="Y34" s="55">
        <f ca="1">IF((W34-Datos!$U$4-1000000)/X34&gt;0,(W34-Datos!$U$4-1000000)/X34,0)</f>
        <v>531467.7032499999</v>
      </c>
      <c r="Z34" s="56">
        <f>Datos!$K$4</f>
        <v>24</v>
      </c>
      <c r="AA34" s="55">
        <f ca="1">IF((W34-Datos!$U$4-1000000-O34*3%*VLOOKUP(TODAY(),'UF HOY'!$A$2:$B$36,2,0))/Z34&gt;0,(W34-Datos!$U$4-1000000-O34*3%*VLOOKUP(TODAY(),'UF HOY'!$A$2:$B$36,2,0))/Z34,0)</f>
        <v>358277.39227499993</v>
      </c>
      <c r="AB34" s="130" cm="1">
        <f t="array" ref="AB34">_xlfn.IFS(AND(L34=0,M34=0),VLOOKUP(D34,Datos!$F$20:$I$21,2,0),AND(L34&gt;0,M34=0),VLOOKUP(D34,Datos!$F$20:$I$21,3,0),AND(L34&gt;0,M34&gt;0),VLOOKUP(D34,Datos!$F$20:$I$21,3,0))</f>
        <v>500000</v>
      </c>
      <c r="AC34" s="55">
        <f ca="1">(S34*PMT(Datos!$G$15,Datos!$G$14,-O34,,)*VLOOKUP(TODAY(),'UF HOY'!$A$2:$B$36,2,0)/12)+VLOOKUP(TODAY(),'UF HOY'!$A$2:$B$36,2,0)</f>
        <v>573899.95880927402</v>
      </c>
      <c r="AD34" s="55">
        <f t="shared" ca="1" si="33"/>
        <v>-73899.958809274016</v>
      </c>
      <c r="AE34" s="93">
        <f t="shared" ca="1" si="16"/>
        <v>2295599.8352370961</v>
      </c>
    </row>
    <row r="35" spans="1:31" s="3" customFormat="1" x14ac:dyDescent="0.35">
      <c r="A35" s="94" t="s">
        <v>305</v>
      </c>
      <c r="B35" s="81">
        <v>1016</v>
      </c>
      <c r="C35" s="48" t="s">
        <v>38</v>
      </c>
      <c r="D35" s="48" t="s">
        <v>37</v>
      </c>
      <c r="E35" s="48"/>
      <c r="F35" s="48">
        <v>33.21</v>
      </c>
      <c r="G35" s="48">
        <v>2.4</v>
      </c>
      <c r="H35" s="82">
        <f t="shared" si="28"/>
        <v>34.410000000000004</v>
      </c>
      <c r="I35" s="82">
        <f t="shared" si="29"/>
        <v>35.61</v>
      </c>
      <c r="J35" s="49">
        <v>3491</v>
      </c>
      <c r="K35" s="50">
        <v>0</v>
      </c>
      <c r="L35" s="48">
        <v>0</v>
      </c>
      <c r="M35" s="48">
        <v>0</v>
      </c>
      <c r="N35" s="51">
        <f t="shared" si="17"/>
        <v>3141.9</v>
      </c>
      <c r="O35" s="52">
        <f t="shared" si="18"/>
        <v>3491</v>
      </c>
      <c r="P35" s="79">
        <f t="shared" si="19"/>
        <v>91.307759372275498</v>
      </c>
      <c r="Q35" s="53">
        <f t="shared" si="20"/>
        <v>0.1</v>
      </c>
      <c r="R35" s="54">
        <f t="shared" si="21"/>
        <v>349.1</v>
      </c>
      <c r="S35" s="53">
        <v>0.8</v>
      </c>
      <c r="T35" s="54">
        <f t="shared" si="30"/>
        <v>2792.8</v>
      </c>
      <c r="U35" s="53">
        <f t="shared" si="31"/>
        <v>9.9999999999999978E-2</v>
      </c>
      <c r="V35" s="54">
        <f t="shared" si="32"/>
        <v>349.09999999999991</v>
      </c>
      <c r="W35" s="55">
        <f ca="1">V35*VLOOKUP(TODAY(),'UF HOY'!$A$2:$B$36,2,0)</f>
        <v>13871118.453999998</v>
      </c>
      <c r="X35" s="56">
        <f>Datos!$K$4</f>
        <v>24</v>
      </c>
      <c r="Y35" s="55">
        <f ca="1">IF((W35-Datos!$U$4-1000000)/X35&gt;0,(W35-Datos!$U$4-1000000)/X35,0)</f>
        <v>532129.93558333325</v>
      </c>
      <c r="Z35" s="56">
        <f>Datos!$K$4</f>
        <v>24</v>
      </c>
      <c r="AA35" s="55">
        <f ca="1">IF((W35-Datos!$U$4-1000000-O35*3%*VLOOKUP(TODAY(),'UF HOY'!$A$2:$B$36,2,0))/Z35&gt;0,(W35-Datos!$U$4-1000000-O35*3%*VLOOKUP(TODAY(),'UF HOY'!$A$2:$B$36,2,0))/Z35,0)</f>
        <v>358740.95490833325</v>
      </c>
      <c r="AB35" s="130" cm="1">
        <f t="array" ref="AB35">_xlfn.IFS(AND(L35=0,M35=0),VLOOKUP(D35,Datos!$F$20:$I$21,2,0),AND(L35&gt;0,M35=0),VLOOKUP(D35,Datos!$F$20:$I$21,3,0),AND(L35&gt;0,M35&gt;0),VLOOKUP(D35,Datos!$F$20:$I$21,3,0))</f>
        <v>500000</v>
      </c>
      <c r="AC35" s="55">
        <f ca="1">(S35*PMT(Datos!$G$15,Datos!$G$14,-O35,,)*VLOOKUP(TODAY(),'UF HOY'!$A$2:$B$36,2,0)/12)+VLOOKUP(TODAY(),'UF HOY'!$A$2:$B$36,2,0)</f>
        <v>574512.71019305289</v>
      </c>
      <c r="AD35" s="55">
        <f t="shared" ca="1" si="33"/>
        <v>-74512.710193052888</v>
      </c>
      <c r="AE35" s="93">
        <f t="shared" ca="1" si="16"/>
        <v>2298050.8407722116</v>
      </c>
    </row>
    <row r="36" spans="1:31" s="3" customFormat="1" x14ac:dyDescent="0.35">
      <c r="A36" s="94" t="s">
        <v>305</v>
      </c>
      <c r="B36" s="81">
        <v>1116</v>
      </c>
      <c r="C36" s="48" t="s">
        <v>38</v>
      </c>
      <c r="D36" s="48" t="s">
        <v>37</v>
      </c>
      <c r="E36" s="48"/>
      <c r="F36" s="48">
        <v>33.21</v>
      </c>
      <c r="G36" s="48">
        <v>2.4</v>
      </c>
      <c r="H36" s="82">
        <f t="shared" si="0"/>
        <v>34.410000000000004</v>
      </c>
      <c r="I36" s="82">
        <f t="shared" si="1"/>
        <v>35.61</v>
      </c>
      <c r="J36" s="49">
        <v>3491</v>
      </c>
      <c r="K36" s="50">
        <v>0</v>
      </c>
      <c r="L36" s="48">
        <v>0</v>
      </c>
      <c r="M36" s="48">
        <v>0</v>
      </c>
      <c r="N36" s="51">
        <f t="shared" si="17"/>
        <v>3141.9</v>
      </c>
      <c r="O36" s="52">
        <f t="shared" si="18"/>
        <v>3491</v>
      </c>
      <c r="P36" s="79">
        <f t="shared" si="19"/>
        <v>91.307759372275498</v>
      </c>
      <c r="Q36" s="53">
        <f t="shared" si="20"/>
        <v>0.1</v>
      </c>
      <c r="R36" s="54">
        <f t="shared" si="21"/>
        <v>349.1</v>
      </c>
      <c r="S36" s="53">
        <v>0.8</v>
      </c>
      <c r="T36" s="54">
        <f t="shared" si="7"/>
        <v>2792.8</v>
      </c>
      <c r="U36" s="53">
        <f t="shared" si="8"/>
        <v>9.9999999999999978E-2</v>
      </c>
      <c r="V36" s="54">
        <f t="shared" si="9"/>
        <v>349.09999999999991</v>
      </c>
      <c r="W36" s="55">
        <f ca="1">V36*VLOOKUP(TODAY(),'UF HOY'!$A$2:$B$36,2,0)</f>
        <v>13871118.453999998</v>
      </c>
      <c r="X36" s="56">
        <f>Datos!$K$4</f>
        <v>24</v>
      </c>
      <c r="Y36" s="55">
        <f ca="1">IF((W36-Datos!$U$4-1000000)/X36&gt;0,(W36-Datos!$U$4-1000000)/X36,0)</f>
        <v>532129.93558333325</v>
      </c>
      <c r="Z36" s="56">
        <f>Datos!$K$4</f>
        <v>24</v>
      </c>
      <c r="AA36" s="55">
        <f ca="1">IF((W36-Datos!$U$4-1000000-O36*3%*VLOOKUP(TODAY(),'UF HOY'!$A$2:$B$36,2,0))/Z36&gt;0,(W36-Datos!$U$4-1000000-O36*3%*VLOOKUP(TODAY(),'UF HOY'!$A$2:$B$36,2,0))/Z36,0)</f>
        <v>358740.95490833325</v>
      </c>
      <c r="AB36" s="130" cm="1">
        <f t="array" ref="AB36">_xlfn.IFS(AND(L36=0,M36=0),VLOOKUP(D36,Datos!$F$20:$I$21,2,0),AND(L36&gt;0,M36=0),VLOOKUP(D36,Datos!$F$20:$I$21,3,0),AND(L36&gt;0,M36&gt;0),VLOOKUP(D36,Datos!$F$20:$I$21,3,0))</f>
        <v>500000</v>
      </c>
      <c r="AC36" s="55">
        <f ca="1">(S36*PMT(Datos!$G$15,Datos!$G$14,-O36,,)*VLOOKUP(TODAY(),'UF HOY'!$A$2:$B$36,2,0)/12)+VLOOKUP(TODAY(),'UF HOY'!$A$2:$B$36,2,0)</f>
        <v>574512.71019305289</v>
      </c>
      <c r="AD36" s="55">
        <f t="shared" ca="1" si="10"/>
        <v>-74512.710193052888</v>
      </c>
      <c r="AE36" s="93">
        <f t="shared" ca="1" si="16"/>
        <v>2298050.8407722116</v>
      </c>
    </row>
    <row r="37" spans="1:31" s="3" customFormat="1" x14ac:dyDescent="0.35">
      <c r="A37" s="94" t="s">
        <v>305</v>
      </c>
      <c r="B37" s="81">
        <v>1017</v>
      </c>
      <c r="C37" s="48" t="s">
        <v>38</v>
      </c>
      <c r="D37" s="48" t="s">
        <v>37</v>
      </c>
      <c r="E37" s="48"/>
      <c r="F37" s="48">
        <v>33.29</v>
      </c>
      <c r="G37" s="48">
        <v>2.4</v>
      </c>
      <c r="H37" s="82">
        <f t="shared" si="0"/>
        <v>34.49</v>
      </c>
      <c r="I37" s="82">
        <f t="shared" si="1"/>
        <v>35.69</v>
      </c>
      <c r="J37" s="49">
        <v>3502</v>
      </c>
      <c r="K37" s="50">
        <v>0</v>
      </c>
      <c r="L37" s="48">
        <v>0</v>
      </c>
      <c r="M37" s="48">
        <v>0</v>
      </c>
      <c r="N37" s="51">
        <f t="shared" si="17"/>
        <v>3151.8</v>
      </c>
      <c r="O37" s="52">
        <f t="shared" si="18"/>
        <v>3502</v>
      </c>
      <c r="P37" s="79">
        <f t="shared" si="19"/>
        <v>91.383009567990726</v>
      </c>
      <c r="Q37" s="53">
        <f t="shared" si="20"/>
        <v>0.1</v>
      </c>
      <c r="R37" s="54">
        <f t="shared" si="21"/>
        <v>350.20000000000005</v>
      </c>
      <c r="S37" s="53">
        <v>0.8</v>
      </c>
      <c r="T37" s="54">
        <f t="shared" si="7"/>
        <v>2801.6000000000004</v>
      </c>
      <c r="U37" s="53">
        <f t="shared" si="8"/>
        <v>9.9999999999999978E-2</v>
      </c>
      <c r="V37" s="54">
        <f t="shared" si="9"/>
        <v>350.19999999999993</v>
      </c>
      <c r="W37" s="55">
        <f ca="1">V37*VLOOKUP(TODAY(),'UF HOY'!$A$2:$B$36,2,0)</f>
        <v>13914825.787999999</v>
      </c>
      <c r="X37" s="56">
        <f>Datos!$K$4</f>
        <v>24</v>
      </c>
      <c r="Y37" s="55">
        <f ca="1">IF((W37-Datos!$U$4-1000000)/X37&gt;0,(W37-Datos!$U$4-1000000)/X37,0)</f>
        <v>533951.07449999999</v>
      </c>
      <c r="Z37" s="56">
        <f>Datos!$K$4</f>
        <v>24</v>
      </c>
      <c r="AA37" s="55">
        <f ca="1">IF((W37-Datos!$U$4-1000000-O37*3%*VLOOKUP(TODAY(),'UF HOY'!$A$2:$B$36,2,0))/Z37&gt;0,(W37-Datos!$U$4-1000000-O37*3%*VLOOKUP(TODAY(),'UF HOY'!$A$2:$B$36,2,0))/Z37,0)</f>
        <v>360015.7521499999</v>
      </c>
      <c r="AB37" s="130" cm="1">
        <f t="array" ref="AB37">_xlfn.IFS(AND(L37=0,M37=0),VLOOKUP(D37,Datos!$F$20:$I$21,2,0),AND(L37&gt;0,M37=0),VLOOKUP(D37,Datos!$F$20:$I$21,3,0),AND(L37&gt;0,M37&gt;0),VLOOKUP(D37,Datos!$F$20:$I$21,3,0))</f>
        <v>500000</v>
      </c>
      <c r="AC37" s="55">
        <f ca="1">(S37*PMT(Datos!$G$15,Datos!$G$14,-O37,,)*VLOOKUP(TODAY(),'UF HOY'!$A$2:$B$36,2,0)/12)+VLOOKUP(TODAY(),'UF HOY'!$A$2:$B$36,2,0)</f>
        <v>576197.77649844508</v>
      </c>
      <c r="AD37" s="55">
        <f t="shared" ca="1" si="10"/>
        <v>-76197.776498445077</v>
      </c>
      <c r="AE37" s="93">
        <f t="shared" ca="1" si="16"/>
        <v>2304791.1059937803</v>
      </c>
    </row>
    <row r="38" spans="1:31" s="3" customFormat="1" x14ac:dyDescent="0.35">
      <c r="A38" s="94" t="s">
        <v>305</v>
      </c>
      <c r="B38" s="81">
        <v>1117</v>
      </c>
      <c r="C38" s="48" t="s">
        <v>38</v>
      </c>
      <c r="D38" s="48" t="s">
        <v>37</v>
      </c>
      <c r="E38" s="48"/>
      <c r="F38" s="48">
        <v>33.29</v>
      </c>
      <c r="G38" s="48">
        <v>2.4</v>
      </c>
      <c r="H38" s="82">
        <f t="shared" si="0"/>
        <v>34.49</v>
      </c>
      <c r="I38" s="82">
        <f t="shared" si="1"/>
        <v>35.69</v>
      </c>
      <c r="J38" s="49">
        <v>3502</v>
      </c>
      <c r="K38" s="50">
        <v>0</v>
      </c>
      <c r="L38" s="48">
        <v>0</v>
      </c>
      <c r="M38" s="48">
        <v>0</v>
      </c>
      <c r="N38" s="51">
        <f t="shared" si="17"/>
        <v>3151.8</v>
      </c>
      <c r="O38" s="52">
        <f t="shared" si="18"/>
        <v>3502</v>
      </c>
      <c r="P38" s="79">
        <f t="shared" si="19"/>
        <v>91.383009567990726</v>
      </c>
      <c r="Q38" s="53">
        <f t="shared" si="20"/>
        <v>0.1</v>
      </c>
      <c r="R38" s="54">
        <f t="shared" si="21"/>
        <v>350.20000000000005</v>
      </c>
      <c r="S38" s="53">
        <v>0.8</v>
      </c>
      <c r="T38" s="54">
        <f t="shared" si="7"/>
        <v>2801.6000000000004</v>
      </c>
      <c r="U38" s="53">
        <f t="shared" si="8"/>
        <v>9.9999999999999978E-2</v>
      </c>
      <c r="V38" s="54">
        <f t="shared" si="9"/>
        <v>350.19999999999993</v>
      </c>
      <c r="W38" s="55">
        <f ca="1">V38*VLOOKUP(TODAY(),'UF HOY'!$A$2:$B$36,2,0)</f>
        <v>13914825.787999999</v>
      </c>
      <c r="X38" s="56">
        <f>Datos!$K$4</f>
        <v>24</v>
      </c>
      <c r="Y38" s="55">
        <f ca="1">IF((W38-Datos!$U$4-1000000)/X38&gt;0,(W38-Datos!$U$4-1000000)/X38,0)</f>
        <v>533951.07449999999</v>
      </c>
      <c r="Z38" s="56">
        <f>Datos!$K$4</f>
        <v>24</v>
      </c>
      <c r="AA38" s="55">
        <f ca="1">IF((W38-Datos!$U$4-1000000-O38*3%*VLOOKUP(TODAY(),'UF HOY'!$A$2:$B$36,2,0))/Z38&gt;0,(W38-Datos!$U$4-1000000-O38*3%*VLOOKUP(TODAY(),'UF HOY'!$A$2:$B$36,2,0))/Z38,0)</f>
        <v>360015.7521499999</v>
      </c>
      <c r="AB38" s="130" cm="1">
        <f t="array" ref="AB38">_xlfn.IFS(AND(L38=0,M38=0),VLOOKUP(D38,Datos!$F$20:$I$21,2,0),AND(L38&gt;0,M38=0),VLOOKUP(D38,Datos!$F$20:$I$21,3,0),AND(L38&gt;0,M38&gt;0),VLOOKUP(D38,Datos!$F$20:$I$21,3,0))</f>
        <v>500000</v>
      </c>
      <c r="AC38" s="55">
        <f ca="1">(S38*PMT(Datos!$G$15,Datos!$G$14,-O38,,)*VLOOKUP(TODAY(),'UF HOY'!$A$2:$B$36,2,0)/12)+VLOOKUP(TODAY(),'UF HOY'!$A$2:$B$36,2,0)</f>
        <v>576197.77649844508</v>
      </c>
      <c r="AD38" s="55">
        <f t="shared" ca="1" si="10"/>
        <v>-76197.776498445077</v>
      </c>
      <c r="AE38" s="93">
        <f t="shared" ca="1" si="16"/>
        <v>2304791.1059937803</v>
      </c>
    </row>
    <row r="39" spans="1:31" s="3" customFormat="1" x14ac:dyDescent="0.35">
      <c r="A39" s="94" t="s">
        <v>305</v>
      </c>
      <c r="B39" s="81">
        <v>804</v>
      </c>
      <c r="C39" s="48" t="s">
        <v>41</v>
      </c>
      <c r="D39" s="48" t="s">
        <v>37</v>
      </c>
      <c r="E39" s="48"/>
      <c r="F39" s="48">
        <v>34.28</v>
      </c>
      <c r="G39" s="48">
        <v>2.31</v>
      </c>
      <c r="H39" s="82">
        <f t="shared" si="0"/>
        <v>35.435000000000002</v>
      </c>
      <c r="I39" s="82">
        <f t="shared" si="1"/>
        <v>36.590000000000003</v>
      </c>
      <c r="J39" s="49">
        <v>3507</v>
      </c>
      <c r="K39" s="50">
        <v>0</v>
      </c>
      <c r="L39" s="48">
        <v>0</v>
      </c>
      <c r="M39" s="48">
        <v>0</v>
      </c>
      <c r="N39" s="51">
        <f t="shared" si="17"/>
        <v>3156.3</v>
      </c>
      <c r="O39" s="52">
        <f t="shared" si="18"/>
        <v>3507</v>
      </c>
      <c r="P39" s="79">
        <f t="shared" si="19"/>
        <v>89.07295047269649</v>
      </c>
      <c r="Q39" s="53">
        <f t="shared" si="20"/>
        <v>0.1</v>
      </c>
      <c r="R39" s="54">
        <f t="shared" si="21"/>
        <v>350.70000000000005</v>
      </c>
      <c r="S39" s="53">
        <v>0.8</v>
      </c>
      <c r="T39" s="54">
        <f t="shared" si="7"/>
        <v>2805.6000000000004</v>
      </c>
      <c r="U39" s="53">
        <f t="shared" si="8"/>
        <v>9.9999999999999978E-2</v>
      </c>
      <c r="V39" s="54">
        <f t="shared" si="9"/>
        <v>350.69999999999993</v>
      </c>
      <c r="W39" s="55">
        <f ca="1">V39*VLOOKUP(TODAY(),'UF HOY'!$A$2:$B$36,2,0)</f>
        <v>13934692.757999998</v>
      </c>
      <c r="X39" s="56">
        <f>Datos!$K$4</f>
        <v>24</v>
      </c>
      <c r="Y39" s="55">
        <f ca="1">IF((W39-Datos!$U$4-1000000)/X39&gt;0,(W39-Datos!$U$4-1000000)/X39,0)</f>
        <v>534778.86491666653</v>
      </c>
      <c r="Z39" s="56">
        <f>Datos!$K$4</f>
        <v>24</v>
      </c>
      <c r="AA39" s="55">
        <f ca="1">IF((W39-Datos!$U$4-1000000-O39*3%*VLOOKUP(TODAY(),'UF HOY'!$A$2:$B$36,2,0))/Z39&gt;0,(W39-Datos!$U$4-1000000-O39*3%*VLOOKUP(TODAY(),'UF HOY'!$A$2:$B$36,2,0))/Z39,0)</f>
        <v>360595.20544166659</v>
      </c>
      <c r="AB39" s="130" cm="1">
        <f t="array" ref="AB39">_xlfn.IFS(AND(L39=0,M39=0),VLOOKUP(D39,Datos!$F$20:$I$21,2,0),AND(L39&gt;0,M39=0),VLOOKUP(D39,Datos!$F$20:$I$21,3,0),AND(L39&gt;0,M39&gt;0),VLOOKUP(D39,Datos!$F$20:$I$21,3,0))</f>
        <v>500000</v>
      </c>
      <c r="AC39" s="55">
        <f ca="1">(S39*PMT(Datos!$G$15,Datos!$G$14,-O39,,)*VLOOKUP(TODAY(),'UF HOY'!$A$2:$B$36,2,0)/12)+VLOOKUP(TODAY(),'UF HOY'!$A$2:$B$36,2,0)</f>
        <v>576963.71572816861</v>
      </c>
      <c r="AD39" s="55">
        <f t="shared" ca="1" si="10"/>
        <v>-76963.715728168609</v>
      </c>
      <c r="AE39" s="93">
        <f t="shared" ca="1" si="16"/>
        <v>2307854.8629126744</v>
      </c>
    </row>
    <row r="40" spans="1:31" s="3" customFormat="1" x14ac:dyDescent="0.35">
      <c r="A40" s="94" t="s">
        <v>305</v>
      </c>
      <c r="B40" s="81">
        <v>904</v>
      </c>
      <c r="C40" s="48" t="s">
        <v>41</v>
      </c>
      <c r="D40" s="48" t="s">
        <v>37</v>
      </c>
      <c r="E40" s="48"/>
      <c r="F40" s="48">
        <v>34.28</v>
      </c>
      <c r="G40" s="48">
        <v>2.31</v>
      </c>
      <c r="H40" s="82">
        <f t="shared" si="0"/>
        <v>35.435000000000002</v>
      </c>
      <c r="I40" s="82">
        <f t="shared" si="1"/>
        <v>36.590000000000003</v>
      </c>
      <c r="J40" s="49">
        <v>3507</v>
      </c>
      <c r="K40" s="50">
        <v>0</v>
      </c>
      <c r="L40" s="48">
        <v>0</v>
      </c>
      <c r="M40" s="48">
        <v>0</v>
      </c>
      <c r="N40" s="51">
        <f t="shared" si="17"/>
        <v>3156.3</v>
      </c>
      <c r="O40" s="52">
        <f t="shared" si="18"/>
        <v>3507</v>
      </c>
      <c r="P40" s="79">
        <f t="shared" si="19"/>
        <v>89.07295047269649</v>
      </c>
      <c r="Q40" s="53">
        <f t="shared" si="20"/>
        <v>0.1</v>
      </c>
      <c r="R40" s="54">
        <f t="shared" si="21"/>
        <v>350.70000000000005</v>
      </c>
      <c r="S40" s="53">
        <v>0.8</v>
      </c>
      <c r="T40" s="54">
        <f t="shared" si="7"/>
        <v>2805.6000000000004</v>
      </c>
      <c r="U40" s="53">
        <f t="shared" si="8"/>
        <v>9.9999999999999978E-2</v>
      </c>
      <c r="V40" s="54">
        <f t="shared" si="9"/>
        <v>350.69999999999993</v>
      </c>
      <c r="W40" s="55">
        <f ca="1">V40*VLOOKUP(TODAY(),'UF HOY'!$A$2:$B$36,2,0)</f>
        <v>13934692.757999998</v>
      </c>
      <c r="X40" s="56">
        <f>Datos!$K$4</f>
        <v>24</v>
      </c>
      <c r="Y40" s="55">
        <f ca="1">IF((W40-Datos!$U$4-1000000)/X40&gt;0,(W40-Datos!$U$4-1000000)/X40,0)</f>
        <v>534778.86491666653</v>
      </c>
      <c r="Z40" s="56">
        <f>Datos!$K$4</f>
        <v>24</v>
      </c>
      <c r="AA40" s="55">
        <f ca="1">IF((W40-Datos!$U$4-1000000-O40*3%*VLOOKUP(TODAY(),'UF HOY'!$A$2:$B$36,2,0))/Z40&gt;0,(W40-Datos!$U$4-1000000-O40*3%*VLOOKUP(TODAY(),'UF HOY'!$A$2:$B$36,2,0))/Z40,0)</f>
        <v>360595.20544166659</v>
      </c>
      <c r="AB40" s="130" cm="1">
        <f t="array" ref="AB40">_xlfn.IFS(AND(L40=0,M40=0),VLOOKUP(D40,Datos!$F$20:$I$21,2,0),AND(L40&gt;0,M40=0),VLOOKUP(D40,Datos!$F$20:$I$21,3,0),AND(L40&gt;0,M40&gt;0),VLOOKUP(D40,Datos!$F$20:$I$21,3,0))</f>
        <v>500000</v>
      </c>
      <c r="AC40" s="55">
        <f ca="1">(S40*PMT(Datos!$G$15,Datos!$G$14,-O40,,)*VLOOKUP(TODAY(),'UF HOY'!$A$2:$B$36,2,0)/12)+VLOOKUP(TODAY(),'UF HOY'!$A$2:$B$36,2,0)</f>
        <v>576963.71572816861</v>
      </c>
      <c r="AD40" s="55">
        <f t="shared" ca="1" si="10"/>
        <v>-76963.715728168609</v>
      </c>
      <c r="AE40" s="93">
        <f t="shared" ca="1" si="16"/>
        <v>2307854.8629126744</v>
      </c>
    </row>
    <row r="41" spans="1:31" s="3" customFormat="1" x14ac:dyDescent="0.35">
      <c r="A41" s="94" t="s">
        <v>305</v>
      </c>
      <c r="B41" s="81">
        <v>1204</v>
      </c>
      <c r="C41" s="48" t="s">
        <v>41</v>
      </c>
      <c r="D41" s="48" t="s">
        <v>37</v>
      </c>
      <c r="E41" s="48"/>
      <c r="F41" s="48">
        <v>34.28</v>
      </c>
      <c r="G41" s="48">
        <v>2.31</v>
      </c>
      <c r="H41" s="82">
        <f t="shared" si="0"/>
        <v>35.435000000000002</v>
      </c>
      <c r="I41" s="82">
        <f t="shared" si="1"/>
        <v>36.590000000000003</v>
      </c>
      <c r="J41" s="49">
        <v>3507</v>
      </c>
      <c r="K41" s="50">
        <v>0</v>
      </c>
      <c r="L41" s="48">
        <v>0</v>
      </c>
      <c r="M41" s="48">
        <v>0</v>
      </c>
      <c r="N41" s="51">
        <f t="shared" si="17"/>
        <v>3156.3</v>
      </c>
      <c r="O41" s="52">
        <f t="shared" si="18"/>
        <v>3507</v>
      </c>
      <c r="P41" s="79">
        <f t="shared" si="19"/>
        <v>89.07295047269649</v>
      </c>
      <c r="Q41" s="53">
        <f t="shared" si="20"/>
        <v>0.1</v>
      </c>
      <c r="R41" s="54">
        <f t="shared" si="21"/>
        <v>350.70000000000005</v>
      </c>
      <c r="S41" s="53">
        <v>0.8</v>
      </c>
      <c r="T41" s="54">
        <f t="shared" si="7"/>
        <v>2805.6000000000004</v>
      </c>
      <c r="U41" s="53">
        <f t="shared" si="8"/>
        <v>9.9999999999999978E-2</v>
      </c>
      <c r="V41" s="54">
        <f t="shared" si="9"/>
        <v>350.69999999999993</v>
      </c>
      <c r="W41" s="55">
        <f ca="1">V41*VLOOKUP(TODAY(),'UF HOY'!$A$2:$B$36,2,0)</f>
        <v>13934692.757999998</v>
      </c>
      <c r="X41" s="56">
        <f>Datos!$K$4</f>
        <v>24</v>
      </c>
      <c r="Y41" s="55">
        <f ca="1">IF((W41-Datos!$U$4-1000000)/X41&gt;0,(W41-Datos!$U$4-1000000)/X41,0)</f>
        <v>534778.86491666653</v>
      </c>
      <c r="Z41" s="56">
        <f>Datos!$K$4</f>
        <v>24</v>
      </c>
      <c r="AA41" s="55">
        <f ca="1">IF((W41-Datos!$U$4-1000000-O41*3%*VLOOKUP(TODAY(),'UF HOY'!$A$2:$B$36,2,0))/Z41&gt;0,(W41-Datos!$U$4-1000000-O41*3%*VLOOKUP(TODAY(),'UF HOY'!$A$2:$B$36,2,0))/Z41,0)</f>
        <v>360595.20544166659</v>
      </c>
      <c r="AB41" s="130" cm="1">
        <f t="array" ref="AB41">_xlfn.IFS(AND(L41=0,M41=0),VLOOKUP(D41,Datos!$F$20:$I$21,2,0),AND(L41&gt;0,M41=0),VLOOKUP(D41,Datos!$F$20:$I$21,3,0),AND(L41&gt;0,M41&gt;0),VLOOKUP(D41,Datos!$F$20:$I$21,3,0))</f>
        <v>500000</v>
      </c>
      <c r="AC41" s="55">
        <f ca="1">(S41*PMT(Datos!$G$15,Datos!$G$14,-O41,,)*VLOOKUP(TODAY(),'UF HOY'!$A$2:$B$36,2,0)/12)+VLOOKUP(TODAY(),'UF HOY'!$A$2:$B$36,2,0)</f>
        <v>576963.71572816861</v>
      </c>
      <c r="AD41" s="55">
        <f t="shared" ca="1" si="10"/>
        <v>-76963.715728168609</v>
      </c>
      <c r="AE41" s="93">
        <f t="shared" ca="1" si="16"/>
        <v>2307854.8629126744</v>
      </c>
    </row>
    <row r="42" spans="1:31" s="3" customFormat="1" x14ac:dyDescent="0.35">
      <c r="A42" s="94" t="s">
        <v>305</v>
      </c>
      <c r="B42" s="81">
        <v>1003</v>
      </c>
      <c r="C42" s="48" t="s">
        <v>41</v>
      </c>
      <c r="D42" s="48" t="s">
        <v>37</v>
      </c>
      <c r="E42" s="48"/>
      <c r="F42" s="48">
        <v>33.21</v>
      </c>
      <c r="G42" s="48">
        <v>2.4</v>
      </c>
      <c r="H42" s="82">
        <f t="shared" si="0"/>
        <v>34.410000000000004</v>
      </c>
      <c r="I42" s="82">
        <f t="shared" si="1"/>
        <v>35.61</v>
      </c>
      <c r="J42" s="49">
        <v>3512</v>
      </c>
      <c r="K42" s="50">
        <v>0</v>
      </c>
      <c r="L42" s="48">
        <v>0</v>
      </c>
      <c r="M42" s="48">
        <v>0</v>
      </c>
      <c r="N42" s="51">
        <f t="shared" si="17"/>
        <v>3160.8</v>
      </c>
      <c r="O42" s="52">
        <f t="shared" si="18"/>
        <v>3512</v>
      </c>
      <c r="P42" s="79">
        <f t="shared" si="19"/>
        <v>91.857018308631211</v>
      </c>
      <c r="Q42" s="53">
        <f t="shared" si="20"/>
        <v>0.1</v>
      </c>
      <c r="R42" s="54">
        <f t="shared" si="21"/>
        <v>351.20000000000005</v>
      </c>
      <c r="S42" s="53">
        <v>0.8</v>
      </c>
      <c r="T42" s="54">
        <f t="shared" si="7"/>
        <v>2809.6000000000004</v>
      </c>
      <c r="U42" s="53">
        <f t="shared" si="8"/>
        <v>9.9999999999999978E-2</v>
      </c>
      <c r="V42" s="54">
        <f t="shared" si="9"/>
        <v>351.19999999999993</v>
      </c>
      <c r="W42" s="55">
        <f ca="1">V42*VLOOKUP(TODAY(),'UF HOY'!$A$2:$B$36,2,0)</f>
        <v>13954559.727999998</v>
      </c>
      <c r="X42" s="56">
        <f>Datos!$K$4</f>
        <v>24</v>
      </c>
      <c r="Y42" s="55">
        <f ca="1">IF((W42-Datos!$U$4-1000000)/X42&gt;0,(W42-Datos!$U$4-1000000)/X42,0)</f>
        <v>535606.6553333333</v>
      </c>
      <c r="Z42" s="56">
        <f>Datos!$K$4</f>
        <v>24</v>
      </c>
      <c r="AA42" s="55">
        <f ca="1">IF((W42-Datos!$U$4-1000000-O42*3%*VLOOKUP(TODAY(),'UF HOY'!$A$2:$B$36,2,0))/Z42&gt;0,(W42-Datos!$U$4-1000000-O42*3%*VLOOKUP(TODAY(),'UF HOY'!$A$2:$B$36,2,0))/Z42,0)</f>
        <v>361174.65873333323</v>
      </c>
      <c r="AB42" s="130" cm="1">
        <f t="array" ref="AB42">_xlfn.IFS(AND(L42=0,M42=0),VLOOKUP(D42,Datos!$F$20:$I$21,2,0),AND(L42&gt;0,M42=0),VLOOKUP(D42,Datos!$F$20:$I$21,3,0),AND(L42&gt;0,M42&gt;0),VLOOKUP(D42,Datos!$F$20:$I$21,3,0))</f>
        <v>500000</v>
      </c>
      <c r="AC42" s="55">
        <f ca="1">(S42*PMT(Datos!$G$15,Datos!$G$14,-O42,,)*VLOOKUP(TODAY(),'UF HOY'!$A$2:$B$36,2,0)/12)+VLOOKUP(TODAY(),'UF HOY'!$A$2:$B$36,2,0)</f>
        <v>577729.65495789237</v>
      </c>
      <c r="AD42" s="55">
        <f t="shared" ca="1" si="10"/>
        <v>-77729.654957892373</v>
      </c>
      <c r="AE42" s="93">
        <f t="shared" ca="1" si="16"/>
        <v>2310918.6198315695</v>
      </c>
    </row>
    <row r="43" spans="1:31" s="3" customFormat="1" x14ac:dyDescent="0.35">
      <c r="A43" s="94" t="s">
        <v>305</v>
      </c>
      <c r="B43" s="81">
        <v>1103</v>
      </c>
      <c r="C43" s="48" t="s">
        <v>41</v>
      </c>
      <c r="D43" s="48" t="s">
        <v>37</v>
      </c>
      <c r="E43" s="48"/>
      <c r="F43" s="48">
        <v>33.21</v>
      </c>
      <c r="G43" s="48">
        <v>2.4</v>
      </c>
      <c r="H43" s="82">
        <f t="shared" si="0"/>
        <v>34.410000000000004</v>
      </c>
      <c r="I43" s="82">
        <f t="shared" si="1"/>
        <v>35.61</v>
      </c>
      <c r="J43" s="49">
        <v>3512</v>
      </c>
      <c r="K43" s="50">
        <v>0</v>
      </c>
      <c r="L43" s="48">
        <v>0</v>
      </c>
      <c r="M43" s="48">
        <v>0</v>
      </c>
      <c r="N43" s="51">
        <f t="shared" si="17"/>
        <v>3160.8</v>
      </c>
      <c r="O43" s="52">
        <f t="shared" si="18"/>
        <v>3512</v>
      </c>
      <c r="P43" s="79">
        <f t="shared" si="19"/>
        <v>91.857018308631211</v>
      </c>
      <c r="Q43" s="53">
        <f t="shared" si="20"/>
        <v>0.1</v>
      </c>
      <c r="R43" s="54">
        <f t="shared" si="21"/>
        <v>351.20000000000005</v>
      </c>
      <c r="S43" s="53">
        <v>0.8</v>
      </c>
      <c r="T43" s="54">
        <f t="shared" si="7"/>
        <v>2809.6000000000004</v>
      </c>
      <c r="U43" s="53">
        <f t="shared" si="8"/>
        <v>9.9999999999999978E-2</v>
      </c>
      <c r="V43" s="54">
        <f t="shared" si="9"/>
        <v>351.19999999999993</v>
      </c>
      <c r="W43" s="55">
        <f ca="1">V43*VLOOKUP(TODAY(),'UF HOY'!$A$2:$B$36,2,0)</f>
        <v>13954559.727999998</v>
      </c>
      <c r="X43" s="56">
        <f>Datos!$K$4</f>
        <v>24</v>
      </c>
      <c r="Y43" s="55">
        <f ca="1">IF((W43-Datos!$U$4-1000000)/X43&gt;0,(W43-Datos!$U$4-1000000)/X43,0)</f>
        <v>535606.6553333333</v>
      </c>
      <c r="Z43" s="56">
        <f>Datos!$K$4</f>
        <v>24</v>
      </c>
      <c r="AA43" s="55">
        <f ca="1">IF((W43-Datos!$U$4-1000000-O43*3%*VLOOKUP(TODAY(),'UF HOY'!$A$2:$B$36,2,0))/Z43&gt;0,(W43-Datos!$U$4-1000000-O43*3%*VLOOKUP(TODAY(),'UF HOY'!$A$2:$B$36,2,0))/Z43,0)</f>
        <v>361174.65873333323</v>
      </c>
      <c r="AB43" s="130" cm="1">
        <f t="array" ref="AB43">_xlfn.IFS(AND(L43=0,M43=0),VLOOKUP(D43,Datos!$F$20:$I$21,2,0),AND(L43&gt;0,M43=0),VLOOKUP(D43,Datos!$F$20:$I$21,3,0),AND(L43&gt;0,M43&gt;0),VLOOKUP(D43,Datos!$F$20:$I$21,3,0))</f>
        <v>500000</v>
      </c>
      <c r="AC43" s="55">
        <f ca="1">(S43*PMT(Datos!$G$15,Datos!$G$14,-O43,,)*VLOOKUP(TODAY(),'UF HOY'!$A$2:$B$36,2,0)/12)+VLOOKUP(TODAY(),'UF HOY'!$A$2:$B$36,2,0)</f>
        <v>577729.65495789237</v>
      </c>
      <c r="AD43" s="55">
        <f t="shared" ca="1" si="10"/>
        <v>-77729.654957892373</v>
      </c>
      <c r="AE43" s="93">
        <f t="shared" ca="1" si="16"/>
        <v>2310918.6198315695</v>
      </c>
    </row>
    <row r="44" spans="1:31" s="3" customFormat="1" x14ac:dyDescent="0.35">
      <c r="A44" s="94" t="s">
        <v>305</v>
      </c>
      <c r="B44" s="81">
        <v>1004</v>
      </c>
      <c r="C44" s="48" t="s">
        <v>41</v>
      </c>
      <c r="D44" s="48" t="s">
        <v>37</v>
      </c>
      <c r="E44" s="48"/>
      <c r="F44" s="48">
        <v>34.28</v>
      </c>
      <c r="G44" s="48">
        <v>2.31</v>
      </c>
      <c r="H44" s="82">
        <f t="shared" si="0"/>
        <v>35.435000000000002</v>
      </c>
      <c r="I44" s="82">
        <f t="shared" si="1"/>
        <v>36.590000000000003</v>
      </c>
      <c r="J44" s="49">
        <v>3543</v>
      </c>
      <c r="K44" s="50">
        <v>0</v>
      </c>
      <c r="L44" s="48">
        <v>0</v>
      </c>
      <c r="M44" s="48">
        <v>0</v>
      </c>
      <c r="N44" s="51">
        <f t="shared" si="17"/>
        <v>3188.7</v>
      </c>
      <c r="O44" s="52">
        <f t="shared" si="18"/>
        <v>3543</v>
      </c>
      <c r="P44" s="79">
        <f t="shared" si="19"/>
        <v>89.987300691406787</v>
      </c>
      <c r="Q44" s="53">
        <f t="shared" si="20"/>
        <v>0.1</v>
      </c>
      <c r="R44" s="54">
        <f t="shared" si="21"/>
        <v>354.3</v>
      </c>
      <c r="S44" s="53">
        <v>0.8</v>
      </c>
      <c r="T44" s="54">
        <f t="shared" si="7"/>
        <v>2834.4</v>
      </c>
      <c r="U44" s="53">
        <f t="shared" si="8"/>
        <v>9.9999999999999978E-2</v>
      </c>
      <c r="V44" s="54">
        <f t="shared" si="9"/>
        <v>354.2999999999999</v>
      </c>
      <c r="W44" s="55">
        <f ca="1">V44*VLOOKUP(TODAY(),'UF HOY'!$A$2:$B$36,2,0)</f>
        <v>14077734.941999996</v>
      </c>
      <c r="X44" s="56">
        <f>Datos!$K$4</f>
        <v>24</v>
      </c>
      <c r="Y44" s="55">
        <f ca="1">IF((W44-Datos!$U$4-1000000)/X44&gt;0,(W44-Datos!$U$4-1000000)/X44,0)</f>
        <v>540738.95591666654</v>
      </c>
      <c r="Z44" s="56">
        <f>Datos!$K$4</f>
        <v>24</v>
      </c>
      <c r="AA44" s="55">
        <f ca="1">IF((W44-Datos!$U$4-1000000-O44*3%*VLOOKUP(TODAY(),'UF HOY'!$A$2:$B$36,2,0))/Z44&gt;0,(W44-Datos!$U$4-1000000-O44*3%*VLOOKUP(TODAY(),'UF HOY'!$A$2:$B$36,2,0))/Z44,0)</f>
        <v>364767.26914166653</v>
      </c>
      <c r="AB44" s="130" cm="1">
        <f t="array" ref="AB44">_xlfn.IFS(AND(L44=0,M44=0),VLOOKUP(D44,Datos!$F$20:$I$21,2,0),AND(L44&gt;0,M44=0),VLOOKUP(D44,Datos!$F$20:$I$21,3,0),AND(L44&gt;0,M44&gt;0),VLOOKUP(D44,Datos!$F$20:$I$21,3,0))</f>
        <v>500000</v>
      </c>
      <c r="AC44" s="55">
        <f ca="1">(S44*PMT(Datos!$G$15,Datos!$G$14,-O44,,)*VLOOKUP(TODAY(),'UF HOY'!$A$2:$B$36,2,0)/12)+VLOOKUP(TODAY(),'UF HOY'!$A$2:$B$36,2,0)</f>
        <v>582478.47818217892</v>
      </c>
      <c r="AD44" s="55">
        <f t="shared" ca="1" si="10"/>
        <v>-82478.478182178922</v>
      </c>
      <c r="AE44" s="93">
        <f t="shared" ca="1" si="16"/>
        <v>2329913.9127287157</v>
      </c>
    </row>
    <row r="45" spans="1:31" s="3" customFormat="1" x14ac:dyDescent="0.35">
      <c r="A45" s="94" t="s">
        <v>305</v>
      </c>
      <c r="B45" s="81">
        <v>1104</v>
      </c>
      <c r="C45" s="48" t="s">
        <v>41</v>
      </c>
      <c r="D45" s="48" t="s">
        <v>37</v>
      </c>
      <c r="E45" s="48"/>
      <c r="F45" s="48">
        <v>34.28</v>
      </c>
      <c r="G45" s="48">
        <v>2.31</v>
      </c>
      <c r="H45" s="82">
        <f t="shared" si="0"/>
        <v>35.435000000000002</v>
      </c>
      <c r="I45" s="82">
        <f t="shared" si="1"/>
        <v>36.590000000000003</v>
      </c>
      <c r="J45" s="49">
        <v>3543</v>
      </c>
      <c r="K45" s="50">
        <v>0</v>
      </c>
      <c r="L45" s="48">
        <v>0</v>
      </c>
      <c r="M45" s="48">
        <v>0</v>
      </c>
      <c r="N45" s="51">
        <f t="shared" si="17"/>
        <v>3188.7</v>
      </c>
      <c r="O45" s="52">
        <f t="shared" si="18"/>
        <v>3543</v>
      </c>
      <c r="P45" s="79">
        <f t="shared" si="19"/>
        <v>89.987300691406787</v>
      </c>
      <c r="Q45" s="53">
        <f t="shared" si="20"/>
        <v>0.1</v>
      </c>
      <c r="R45" s="54">
        <f t="shared" si="21"/>
        <v>354.3</v>
      </c>
      <c r="S45" s="53">
        <v>0.8</v>
      </c>
      <c r="T45" s="54">
        <f t="shared" si="7"/>
        <v>2834.4</v>
      </c>
      <c r="U45" s="53">
        <f t="shared" si="8"/>
        <v>9.9999999999999978E-2</v>
      </c>
      <c r="V45" s="54">
        <f t="shared" si="9"/>
        <v>354.2999999999999</v>
      </c>
      <c r="W45" s="55">
        <f ca="1">V45*VLOOKUP(TODAY(),'UF HOY'!$A$2:$B$36,2,0)</f>
        <v>14077734.941999996</v>
      </c>
      <c r="X45" s="56">
        <f>Datos!$K$4</f>
        <v>24</v>
      </c>
      <c r="Y45" s="55">
        <f ca="1">IF((W45-Datos!$U$4-1000000)/X45&gt;0,(W45-Datos!$U$4-1000000)/X45,0)</f>
        <v>540738.95591666654</v>
      </c>
      <c r="Z45" s="56">
        <f>Datos!$K$4</f>
        <v>24</v>
      </c>
      <c r="AA45" s="55">
        <f ca="1">IF((W45-Datos!$U$4-1000000-O45*3%*VLOOKUP(TODAY(),'UF HOY'!$A$2:$B$36,2,0))/Z45&gt;0,(W45-Datos!$U$4-1000000-O45*3%*VLOOKUP(TODAY(),'UF HOY'!$A$2:$B$36,2,0))/Z45,0)</f>
        <v>364767.26914166653</v>
      </c>
      <c r="AB45" s="130" cm="1">
        <f t="array" ref="AB45">_xlfn.IFS(AND(L45=0,M45=0),VLOOKUP(D45,Datos!$F$20:$I$21,2,0),AND(L45&gt;0,M45=0),VLOOKUP(D45,Datos!$F$20:$I$21,3,0),AND(L45&gt;0,M45&gt;0),VLOOKUP(D45,Datos!$F$20:$I$21,3,0))</f>
        <v>500000</v>
      </c>
      <c r="AC45" s="55">
        <f ca="1">(S45*PMT(Datos!$G$15,Datos!$G$14,-O45,,)*VLOOKUP(TODAY(),'UF HOY'!$A$2:$B$36,2,0)/12)+VLOOKUP(TODAY(),'UF HOY'!$A$2:$B$36,2,0)</f>
        <v>582478.47818217892</v>
      </c>
      <c r="AD45" s="55">
        <f t="shared" ca="1" si="10"/>
        <v>-82478.478182178922</v>
      </c>
      <c r="AE45" s="93">
        <f t="shared" ca="1" si="16"/>
        <v>2329913.9127287157</v>
      </c>
    </row>
    <row r="46" spans="1:31" s="3" customFormat="1" x14ac:dyDescent="0.35">
      <c r="A46" s="94" t="s">
        <v>305</v>
      </c>
      <c r="B46" s="81">
        <v>114</v>
      </c>
      <c r="C46" s="48" t="s">
        <v>38</v>
      </c>
      <c r="D46" s="48" t="s">
        <v>37</v>
      </c>
      <c r="E46" s="48"/>
      <c r="F46" s="48">
        <v>34.450000000000003</v>
      </c>
      <c r="G46" s="48">
        <v>8.1300000000000008</v>
      </c>
      <c r="H46" s="82">
        <f t="shared" si="0"/>
        <v>38.515000000000001</v>
      </c>
      <c r="I46" s="82">
        <f t="shared" si="1"/>
        <v>42.580000000000005</v>
      </c>
      <c r="J46" s="49">
        <v>3544</v>
      </c>
      <c r="K46" s="50">
        <v>0</v>
      </c>
      <c r="L46" s="48">
        <v>0</v>
      </c>
      <c r="M46" s="48">
        <v>0</v>
      </c>
      <c r="N46" s="51">
        <f t="shared" si="17"/>
        <v>3189.6</v>
      </c>
      <c r="O46" s="52">
        <f t="shared" si="18"/>
        <v>3544</v>
      </c>
      <c r="P46" s="79">
        <f t="shared" si="19"/>
        <v>82.814487861871996</v>
      </c>
      <c r="Q46" s="53">
        <f t="shared" si="20"/>
        <v>0.1</v>
      </c>
      <c r="R46" s="54">
        <f t="shared" si="21"/>
        <v>354.40000000000003</v>
      </c>
      <c r="S46" s="53">
        <v>0.8</v>
      </c>
      <c r="T46" s="54">
        <f t="shared" si="7"/>
        <v>2835.2000000000003</v>
      </c>
      <c r="U46" s="53">
        <f t="shared" si="8"/>
        <v>9.9999999999999978E-2</v>
      </c>
      <c r="V46" s="54">
        <f t="shared" si="9"/>
        <v>354.39999999999992</v>
      </c>
      <c r="W46" s="55">
        <f ca="1">V46*VLOOKUP(TODAY(),'UF HOY'!$A$2:$B$36,2,0)</f>
        <v>14081708.335999997</v>
      </c>
      <c r="X46" s="56">
        <f>Datos!$K$4</f>
        <v>24</v>
      </c>
      <c r="Y46" s="55">
        <f ca="1">IF((W46-Datos!$U$4-1000000)/X46&gt;0,(W46-Datos!$U$4-1000000)/X46,0)</f>
        <v>540904.51399999985</v>
      </c>
      <c r="Z46" s="56">
        <f>Datos!$K$4</f>
        <v>24</v>
      </c>
      <c r="AA46" s="55">
        <f ca="1">IF((W46-Datos!$U$4-1000000-O46*3%*VLOOKUP(TODAY(),'UF HOY'!$A$2:$B$36,2,0))/Z46&gt;0,(W46-Datos!$U$4-1000000-O46*3%*VLOOKUP(TODAY(),'UF HOY'!$A$2:$B$36,2,0))/Z46,0)</f>
        <v>364883.15979999985</v>
      </c>
      <c r="AB46" s="130" cm="1">
        <f t="array" ref="AB46">_xlfn.IFS(AND(L46=0,M46=0),VLOOKUP(D46,Datos!$F$20:$I$21,2,0),AND(L46&gt;0,M46=0),VLOOKUP(D46,Datos!$F$20:$I$21,3,0),AND(L46&gt;0,M46&gt;0),VLOOKUP(D46,Datos!$F$20:$I$21,3,0))</f>
        <v>500000</v>
      </c>
      <c r="AC46" s="55">
        <f ca="1">(S46*PMT(Datos!$G$15,Datos!$G$14,-O46,,)*VLOOKUP(TODAY(),'UF HOY'!$A$2:$B$36,2,0)/12)+VLOOKUP(TODAY(),'UF HOY'!$A$2:$B$36,2,0)</f>
        <v>582631.66602812358</v>
      </c>
      <c r="AD46" s="55">
        <f t="shared" ca="1" si="10"/>
        <v>-82631.666028123582</v>
      </c>
      <c r="AE46" s="93">
        <f t="shared" ca="1" si="16"/>
        <v>2330526.6641124943</v>
      </c>
    </row>
    <row r="47" spans="1:31" s="3" customFormat="1" x14ac:dyDescent="0.35">
      <c r="A47" s="94" t="s">
        <v>305</v>
      </c>
      <c r="B47" s="81">
        <v>115</v>
      </c>
      <c r="C47" s="48" t="s">
        <v>38</v>
      </c>
      <c r="D47" s="48" t="s">
        <v>37</v>
      </c>
      <c r="E47" s="48"/>
      <c r="F47" s="48">
        <v>34.450000000000003</v>
      </c>
      <c r="G47" s="48">
        <v>8.2799999999999994</v>
      </c>
      <c r="H47" s="82">
        <f t="shared" si="0"/>
        <v>38.590000000000003</v>
      </c>
      <c r="I47" s="82">
        <f t="shared" si="1"/>
        <v>42.730000000000004</v>
      </c>
      <c r="J47" s="49">
        <v>3579</v>
      </c>
      <c r="K47" s="50">
        <v>0</v>
      </c>
      <c r="L47" s="48">
        <v>0</v>
      </c>
      <c r="M47" s="48">
        <v>0</v>
      </c>
      <c r="N47" s="51">
        <f t="shared" si="17"/>
        <v>3221.1</v>
      </c>
      <c r="O47" s="52">
        <f t="shared" si="18"/>
        <v>3579</v>
      </c>
      <c r="P47" s="79">
        <f t="shared" si="19"/>
        <v>83.469810831821704</v>
      </c>
      <c r="Q47" s="53">
        <f t="shared" si="20"/>
        <v>0.1</v>
      </c>
      <c r="R47" s="54">
        <f t="shared" si="21"/>
        <v>357.90000000000003</v>
      </c>
      <c r="S47" s="53">
        <v>0.8</v>
      </c>
      <c r="T47" s="54">
        <f t="shared" si="7"/>
        <v>2863.2000000000003</v>
      </c>
      <c r="U47" s="53">
        <f t="shared" si="8"/>
        <v>9.9999999999999978E-2</v>
      </c>
      <c r="V47" s="54">
        <f t="shared" si="9"/>
        <v>357.89999999999992</v>
      </c>
      <c r="W47" s="55">
        <f ca="1">V47*VLOOKUP(TODAY(),'UF HOY'!$A$2:$B$36,2,0)</f>
        <v>14220777.125999998</v>
      </c>
      <c r="X47" s="56">
        <f>Datos!$K$4</f>
        <v>24</v>
      </c>
      <c r="Y47" s="55">
        <f ca="1">IF((W47-Datos!$U$4-1000000)/X47&gt;0,(W47-Datos!$U$4-1000000)/X47,0)</f>
        <v>546699.04691666656</v>
      </c>
      <c r="Z47" s="56">
        <f>Datos!$K$4</f>
        <v>24</v>
      </c>
      <c r="AA47" s="55">
        <f ca="1">IF((W47-Datos!$U$4-1000000-O47*3%*VLOOKUP(TODAY(),'UF HOY'!$A$2:$B$36,2,0))/Z47&gt;0,(W47-Datos!$U$4-1000000-O47*3%*VLOOKUP(TODAY(),'UF HOY'!$A$2:$B$36,2,0))/Z47,0)</f>
        <v>368939.33284166659</v>
      </c>
      <c r="AB47" s="130" cm="1">
        <f t="array" ref="AB47">_xlfn.IFS(AND(L47=0,M47=0),VLOOKUP(D47,Datos!$F$20:$I$21,2,0),AND(L47&gt;0,M47=0),VLOOKUP(D47,Datos!$F$20:$I$21,3,0),AND(L47&gt;0,M47&gt;0),VLOOKUP(D47,Datos!$F$20:$I$21,3,0))</f>
        <v>500000</v>
      </c>
      <c r="AC47" s="55">
        <f ca="1">(S47*PMT(Datos!$G$15,Datos!$G$14,-O47,,)*VLOOKUP(TODAY(),'UF HOY'!$A$2:$B$36,2,0)/12)+VLOOKUP(TODAY(),'UF HOY'!$A$2:$B$36,2,0)</f>
        <v>587993.240636189</v>
      </c>
      <c r="AD47" s="55">
        <f t="shared" ca="1" si="10"/>
        <v>-87993.240636189003</v>
      </c>
      <c r="AE47" s="93">
        <f t="shared" ca="1" si="16"/>
        <v>2351972.962544756</v>
      </c>
    </row>
    <row r="48" spans="1:31" s="3" customFormat="1" x14ac:dyDescent="0.35">
      <c r="A48" s="94" t="s">
        <v>305</v>
      </c>
      <c r="B48" s="81">
        <v>106</v>
      </c>
      <c r="C48" s="48" t="s">
        <v>36</v>
      </c>
      <c r="D48" s="48" t="s">
        <v>37</v>
      </c>
      <c r="E48" s="48"/>
      <c r="F48" s="48">
        <v>33.01</v>
      </c>
      <c r="G48" s="48">
        <v>12.33</v>
      </c>
      <c r="H48" s="82">
        <f t="shared" si="0"/>
        <v>39.174999999999997</v>
      </c>
      <c r="I48" s="82">
        <f t="shared" si="1"/>
        <v>45.339999999999996</v>
      </c>
      <c r="J48" s="49">
        <v>3617</v>
      </c>
      <c r="K48" s="50">
        <v>0</v>
      </c>
      <c r="L48" s="48">
        <v>0</v>
      </c>
      <c r="M48" s="48">
        <v>0</v>
      </c>
      <c r="N48" s="51">
        <f t="shared" si="17"/>
        <v>3255.3</v>
      </c>
      <c r="O48" s="52">
        <f t="shared" si="18"/>
        <v>3617</v>
      </c>
      <c r="P48" s="79">
        <f t="shared" si="19"/>
        <v>83.096362476068933</v>
      </c>
      <c r="Q48" s="53">
        <f t="shared" si="20"/>
        <v>0.1</v>
      </c>
      <c r="R48" s="54">
        <f t="shared" si="21"/>
        <v>361.70000000000005</v>
      </c>
      <c r="S48" s="53">
        <v>0.8</v>
      </c>
      <c r="T48" s="54">
        <f t="shared" si="7"/>
        <v>2893.6000000000004</v>
      </c>
      <c r="U48" s="53">
        <f t="shared" si="8"/>
        <v>9.9999999999999978E-2</v>
      </c>
      <c r="V48" s="54">
        <f t="shared" si="9"/>
        <v>361.69999999999993</v>
      </c>
      <c r="W48" s="55">
        <f ca="1">V48*VLOOKUP(TODAY(),'UF HOY'!$A$2:$B$36,2,0)</f>
        <v>14371766.097999997</v>
      </c>
      <c r="X48" s="56">
        <f>Datos!$K$4</f>
        <v>24</v>
      </c>
      <c r="Y48" s="55">
        <f ca="1">IF((W48-Datos!$U$4-1000000)/X48&gt;0,(W48-Datos!$U$4-1000000)/X48,0)</f>
        <v>552990.25408333319</v>
      </c>
      <c r="Z48" s="56">
        <f>Datos!$K$4</f>
        <v>24</v>
      </c>
      <c r="AA48" s="55">
        <f ca="1">IF((W48-Datos!$U$4-1000000-O48*3%*VLOOKUP(TODAY(),'UF HOY'!$A$2:$B$36,2,0))/Z48&gt;0,(W48-Datos!$U$4-1000000-O48*3%*VLOOKUP(TODAY(),'UF HOY'!$A$2:$B$36,2,0))/Z48,0)</f>
        <v>373343.17785833328</v>
      </c>
      <c r="AB48" s="130" cm="1">
        <f t="array" ref="AB48">_xlfn.IFS(AND(L48=0,M48=0),VLOOKUP(D48,Datos!$F$20:$I$21,2,0),AND(L48&gt;0,M48=0),VLOOKUP(D48,Datos!$F$20:$I$21,3,0),AND(L48&gt;0,M48&gt;0),VLOOKUP(D48,Datos!$F$20:$I$21,3,0))</f>
        <v>500000</v>
      </c>
      <c r="AC48" s="55">
        <f ca="1">(S48*PMT(Datos!$G$15,Datos!$G$14,-O48,,)*VLOOKUP(TODAY(),'UF HOY'!$A$2:$B$36,2,0)/12)+VLOOKUP(TODAY(),'UF HOY'!$A$2:$B$36,2,0)</f>
        <v>593814.37878208887</v>
      </c>
      <c r="AD48" s="55">
        <f t="shared" ca="1" si="10"/>
        <v>-93814.378782088868</v>
      </c>
      <c r="AE48" s="93">
        <f t="shared" ca="1" si="16"/>
        <v>2375257.5151283555</v>
      </c>
    </row>
    <row r="49" spans="1:31" s="3" customFormat="1" x14ac:dyDescent="0.35">
      <c r="A49" s="94" t="s">
        <v>305</v>
      </c>
      <c r="B49" s="81">
        <v>105</v>
      </c>
      <c r="C49" s="48" t="s">
        <v>36</v>
      </c>
      <c r="D49" s="48" t="s">
        <v>37</v>
      </c>
      <c r="E49" s="48"/>
      <c r="F49" s="48">
        <v>34.049999999999997</v>
      </c>
      <c r="G49" s="48">
        <v>12.22</v>
      </c>
      <c r="H49" s="82">
        <f t="shared" si="0"/>
        <v>40.159999999999997</v>
      </c>
      <c r="I49" s="82">
        <f t="shared" si="1"/>
        <v>46.269999999999996</v>
      </c>
      <c r="J49" s="49">
        <v>3707</v>
      </c>
      <c r="K49" s="50">
        <v>0</v>
      </c>
      <c r="L49" s="48">
        <v>0</v>
      </c>
      <c r="M49" s="48">
        <v>0</v>
      </c>
      <c r="N49" s="51">
        <f t="shared" si="17"/>
        <v>3336.3</v>
      </c>
      <c r="O49" s="52">
        <f t="shared" si="18"/>
        <v>3707</v>
      </c>
      <c r="P49" s="79">
        <f t="shared" si="19"/>
        <v>83.075199203187267</v>
      </c>
      <c r="Q49" s="53">
        <f t="shared" si="20"/>
        <v>0.1</v>
      </c>
      <c r="R49" s="54">
        <f t="shared" si="21"/>
        <v>370.70000000000005</v>
      </c>
      <c r="S49" s="53">
        <v>0.8</v>
      </c>
      <c r="T49" s="54">
        <f t="shared" si="7"/>
        <v>2965.6000000000004</v>
      </c>
      <c r="U49" s="53">
        <f t="shared" si="8"/>
        <v>9.9999999999999978E-2</v>
      </c>
      <c r="V49" s="54">
        <f t="shared" si="9"/>
        <v>370.69999999999993</v>
      </c>
      <c r="W49" s="55">
        <f ca="1">V49*VLOOKUP(TODAY(),'UF HOY'!$A$2:$B$36,2,0)</f>
        <v>14729371.557999998</v>
      </c>
      <c r="X49" s="56">
        <f>Datos!$K$4</f>
        <v>24</v>
      </c>
      <c r="Y49" s="55">
        <f ca="1">IF((W49-Datos!$U$4-1000000)/X49&gt;0,(W49-Datos!$U$4-1000000)/X49,0)</f>
        <v>567890.48158333322</v>
      </c>
      <c r="Z49" s="56">
        <f>Datos!$K$4</f>
        <v>24</v>
      </c>
      <c r="AA49" s="55">
        <f ca="1">IF((W49-Datos!$U$4-1000000-O49*3%*VLOOKUP(TODAY(),'UF HOY'!$A$2:$B$36,2,0))/Z49&gt;0,(W49-Datos!$U$4-1000000-O49*3%*VLOOKUP(TODAY(),'UF HOY'!$A$2:$B$36,2,0))/Z49,0)</f>
        <v>383773.3371083333</v>
      </c>
      <c r="AB49" s="130" cm="1">
        <f t="array" ref="AB49">_xlfn.IFS(AND(L49=0,M49=0),VLOOKUP(D49,Datos!$F$20:$I$21,2,0),AND(L49&gt;0,M49=0),VLOOKUP(D49,Datos!$F$20:$I$21,3,0),AND(L49&gt;0,M49&gt;0),VLOOKUP(D49,Datos!$F$20:$I$21,3,0))</f>
        <v>500000</v>
      </c>
      <c r="AC49" s="55">
        <f ca="1">(S49*PMT(Datos!$G$15,Datos!$G$14,-O49,,)*VLOOKUP(TODAY(),'UF HOY'!$A$2:$B$36,2,0)/12)+VLOOKUP(TODAY(),'UF HOY'!$A$2:$B$36,2,0)</f>
        <v>607601.28491711454</v>
      </c>
      <c r="AD49" s="55">
        <f t="shared" ca="1" si="10"/>
        <v>-107601.28491711454</v>
      </c>
      <c r="AE49" s="93">
        <f t="shared" ca="1" si="16"/>
        <v>2430405.1396684581</v>
      </c>
    </row>
    <row r="50" spans="1:31" ht="15.9" customHeight="1" x14ac:dyDescent="0.35">
      <c r="L50" s="33"/>
      <c r="O50" s="71"/>
      <c r="R50" s="35"/>
      <c r="S50" s="32"/>
    </row>
    <row r="51" spans="1:31" ht="15.9" customHeight="1" x14ac:dyDescent="0.35">
      <c r="J51" s="83"/>
      <c r="L51" s="33"/>
      <c r="R51" s="32"/>
    </row>
    <row r="52" spans="1:31" ht="15.9" customHeight="1" x14ac:dyDescent="0.35">
      <c r="J52" s="83"/>
      <c r="O52" s="32"/>
      <c r="P52" s="32"/>
      <c r="Q52" s="32"/>
      <c r="R52" s="32"/>
    </row>
    <row r="53" spans="1:31" s="4" customFormat="1" ht="15.9" customHeight="1" x14ac:dyDescent="0.25">
      <c r="O53" s="71"/>
      <c r="P53" s="71"/>
      <c r="Q53" s="32"/>
      <c r="R53" s="32"/>
      <c r="T53" s="32"/>
      <c r="U53" s="32"/>
    </row>
    <row r="54" spans="1:31" s="4" customFormat="1" ht="15.9" customHeight="1" x14ac:dyDescent="0.25">
      <c r="O54" s="32"/>
      <c r="P54" s="32"/>
      <c r="R54" s="32"/>
      <c r="U54" s="72"/>
    </row>
    <row r="55" spans="1:31" s="4" customFormat="1" ht="15.9" customHeight="1" x14ac:dyDescent="0.25"/>
    <row r="56" spans="1:31" s="4" customFormat="1" ht="15.9" customHeight="1" x14ac:dyDescent="0.25"/>
    <row r="57" spans="1:31" s="4" customFormat="1" ht="15.9" customHeight="1" x14ac:dyDescent="0.25"/>
    <row r="58" spans="1:31" s="4" customFormat="1" ht="15.9" customHeight="1" x14ac:dyDescent="0.25"/>
    <row r="59" spans="1:31" s="4" customFormat="1" ht="15.9" customHeight="1" x14ac:dyDescent="0.25"/>
    <row r="60" spans="1:31" s="4" customFormat="1" ht="15.9" customHeight="1" x14ac:dyDescent="0.25"/>
    <row r="61" spans="1:31" s="4" customFormat="1" ht="15.9" customHeight="1" x14ac:dyDescent="0.25"/>
    <row r="62" spans="1:31" s="4" customFormat="1" ht="15.75" customHeight="1" x14ac:dyDescent="0.25"/>
  </sheetData>
  <autoFilter ref="A1:AE49" xr:uid="{0228F805-6C96-4438-96B7-B53B8C3AF3EB}">
    <filterColumn colId="0">
      <filters>
        <filter val="SIN ABONO"/>
      </filters>
    </filterColumn>
    <sortState xmlns:xlrd2="http://schemas.microsoft.com/office/spreadsheetml/2017/richdata2" ref="A2:AE49">
      <sortCondition ref="N1:N49"/>
    </sortState>
  </autoFilter>
  <conditionalFormatting sqref="AC1:AD1 A1:AB49 AC2:AE49">
    <cfRule type="expression" dxfId="5" priority="5">
      <formula>ROW()=CELL("fila")</formula>
    </cfRule>
  </conditionalFormatting>
  <conditionalFormatting sqref="AE1">
    <cfRule type="expression" dxfId="4" priority="4">
      <formula>ROW()=CELL("fila")</formula>
    </cfRule>
  </conditionalFormatting>
  <pageMargins left="0.7" right="0.7" top="0.75" bottom="0.75" header="0.3" footer="0.3"/>
  <pageSetup orientation="portrait"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8EC-CB20-4F34-B607-A7836A277580}">
  <sheetPr codeName="Hoja25" filterMode="1">
    <tabColor rgb="FF002060"/>
  </sheetPr>
  <dimension ref="A1:AE173"/>
  <sheetViews>
    <sheetView showGridLines="0" zoomScale="80" zoomScaleNormal="80" zoomScalePageLayoutView="120" workbookViewId="0">
      <pane ySplit="1" topLeftCell="A17" activePane="bottomLeft" state="frozen"/>
      <selection activeCell="C20" sqref="C20"/>
      <selection pane="bottomLeft" activeCell="J172" sqref="J172"/>
    </sheetView>
  </sheetViews>
  <sheetFormatPr baseColWidth="10" defaultColWidth="11" defaultRowHeight="15.5" x14ac:dyDescent="0.35"/>
  <cols>
    <col min="1" max="1" width="10.5" style="4" bestFit="1" customWidth="1"/>
    <col min="2" max="2" width="12.5" style="4" bestFit="1" customWidth="1"/>
    <col min="3" max="3" width="11.58203125" style="4" customWidth="1"/>
    <col min="4" max="4" width="12" style="4" customWidth="1"/>
    <col min="5" max="7" width="9" style="4" hidden="1" customWidth="1"/>
    <col min="8" max="8" width="12.58203125" style="4" hidden="1" customWidth="1"/>
    <col min="9" max="9" width="12" style="4" customWidth="1"/>
    <col min="10" max="10" width="10.5" style="4" customWidth="1"/>
    <col min="11" max="11" width="10" style="4" customWidth="1"/>
    <col min="12" max="12" width="8.5" style="4" bestFit="1" customWidth="1"/>
    <col min="13" max="13" width="13.58203125" style="4" customWidth="1"/>
    <col min="14" max="16" width="10.5" style="4" customWidth="1"/>
    <col min="17" max="18" width="9.9140625" style="4" customWidth="1"/>
    <col min="19" max="19" width="16" style="4" customWidth="1"/>
    <col min="20" max="20" width="15.08203125" style="4" customWidth="1"/>
    <col min="21" max="21" width="10.5" style="4" bestFit="1" customWidth="1"/>
    <col min="22" max="22" width="10.5" style="4" hidden="1" customWidth="1"/>
    <col min="23" max="23" width="10.9140625" style="4" bestFit="1" customWidth="1"/>
    <col min="24" max="24" width="15" style="4" bestFit="1" customWidth="1"/>
    <col min="25" max="25" width="13.5" style="4" customWidth="1"/>
    <col min="26" max="26" width="15" style="4" bestFit="1" customWidth="1"/>
    <col min="27" max="27" width="13.5" style="4" customWidth="1"/>
    <col min="28" max="28" width="12" style="4" bestFit="1" customWidth="1"/>
    <col min="29" max="29" width="13" style="4" bestFit="1" customWidth="1"/>
    <col min="30" max="30" width="9.5" style="4" bestFit="1" customWidth="1"/>
  </cols>
  <sheetData>
    <row r="1" spans="1:31" ht="26.25" customHeight="1" x14ac:dyDescent="0.35">
      <c r="A1" s="44" t="s">
        <v>7</v>
      </c>
      <c r="B1" s="44" t="s">
        <v>8</v>
      </c>
      <c r="C1" s="44" t="s">
        <v>9</v>
      </c>
      <c r="D1" s="44" t="s">
        <v>10</v>
      </c>
      <c r="E1" s="44" t="s">
        <v>11</v>
      </c>
      <c r="F1" s="44" t="s">
        <v>12</v>
      </c>
      <c r="G1" s="44" t="s">
        <v>13</v>
      </c>
      <c r="H1" s="44" t="s">
        <v>14</v>
      </c>
      <c r="I1" s="44" t="s">
        <v>15</v>
      </c>
      <c r="J1" s="44" t="s">
        <v>16</v>
      </c>
      <c r="K1" s="44" t="s">
        <v>17</v>
      </c>
      <c r="L1" s="44" t="s">
        <v>18</v>
      </c>
      <c r="M1" s="44" t="s">
        <v>19</v>
      </c>
      <c r="N1" s="44" t="s">
        <v>20</v>
      </c>
      <c r="O1" s="44" t="s">
        <v>22</v>
      </c>
      <c r="P1" s="45" t="s">
        <v>21</v>
      </c>
      <c r="Q1" s="45" t="s">
        <v>23</v>
      </c>
      <c r="R1" s="45" t="s">
        <v>24</v>
      </c>
      <c r="S1" s="45" t="s">
        <v>25</v>
      </c>
      <c r="T1" s="45" t="s">
        <v>26</v>
      </c>
      <c r="U1" s="45" t="s">
        <v>27</v>
      </c>
      <c r="V1" s="45" t="s">
        <v>28</v>
      </c>
      <c r="W1" s="46" t="s">
        <v>29</v>
      </c>
      <c r="X1" s="47" t="s">
        <v>30</v>
      </c>
      <c r="Y1" s="46" t="s">
        <v>31</v>
      </c>
      <c r="Z1" s="47" t="s">
        <v>32</v>
      </c>
      <c r="AA1" s="46" t="s">
        <v>31</v>
      </c>
      <c r="AB1" s="46" t="s">
        <v>33</v>
      </c>
      <c r="AC1" s="46" t="s">
        <v>34</v>
      </c>
      <c r="AD1" s="46" t="s">
        <v>35</v>
      </c>
      <c r="AE1" s="92" t="s">
        <v>280</v>
      </c>
    </row>
    <row r="2" spans="1:31" s="3" customFormat="1" hidden="1" x14ac:dyDescent="0.35">
      <c r="A2" s="94" t="s">
        <v>342</v>
      </c>
      <c r="B2" s="80">
        <v>1703</v>
      </c>
      <c r="C2" s="48" t="s">
        <v>40</v>
      </c>
      <c r="D2" s="48" t="s">
        <v>37</v>
      </c>
      <c r="E2" s="48"/>
      <c r="F2" s="48">
        <v>32.76</v>
      </c>
      <c r="G2" s="48">
        <v>2.71</v>
      </c>
      <c r="H2" s="82">
        <f t="shared" ref="H2:H36" si="0">F2+(G2/2)</f>
        <v>34.114999999999995</v>
      </c>
      <c r="I2" s="82">
        <f t="shared" ref="I2:I36" si="1">F2+G2</f>
        <v>35.47</v>
      </c>
      <c r="J2" s="49">
        <v>3820</v>
      </c>
      <c r="K2" s="50">
        <v>0</v>
      </c>
      <c r="L2" s="48">
        <v>0</v>
      </c>
      <c r="M2" s="48">
        <v>0</v>
      </c>
      <c r="N2" s="51">
        <f t="shared" ref="N2:N36" si="2">O2-R2</f>
        <v>3438</v>
      </c>
      <c r="O2" s="52">
        <f t="shared" ref="O2:O36" si="3">J2*(100%-K2)+L2+M2</f>
        <v>3820</v>
      </c>
      <c r="P2" s="79">
        <f t="shared" ref="P2:P36" si="4">(N2-L2-M2)/H2</f>
        <v>100.77678440568667</v>
      </c>
      <c r="Q2" s="53">
        <f t="shared" ref="Q2:Q36" si="5">IF((O2-N2)/O2&gt;10%,10%,ROUND(IF(O2&gt;N2,(O2-N2)/O2,0),4))</f>
        <v>0.1</v>
      </c>
      <c r="R2" s="54">
        <f t="shared" ref="R2:R36" si="6">(J2-J2*K2)*0.1</f>
        <v>382</v>
      </c>
      <c r="S2" s="53">
        <v>0.8</v>
      </c>
      <c r="T2" s="54">
        <f t="shared" ref="T2:T36" si="7">S2*O2</f>
        <v>3056</v>
      </c>
      <c r="U2" s="53">
        <f t="shared" ref="U2:U36" si="8">100%-Q2-S2</f>
        <v>9.9999999999999978E-2</v>
      </c>
      <c r="V2" s="54">
        <f t="shared" ref="V2:V36" si="9">O2*U2</f>
        <v>381.99999999999994</v>
      </c>
      <c r="W2" s="55">
        <f ca="1">V2*VLOOKUP(TODAY(),'UF HOY'!$A$2:$B$36,2,0)</f>
        <v>15178365.079999998</v>
      </c>
      <c r="X2" s="56">
        <f>Datos!$K$6</f>
        <v>36</v>
      </c>
      <c r="Y2" s="55">
        <f ca="1">IF((W2-Datos!$U$6-1000000)/X2&gt;0,(W2-Datos!$U$6-1000000)/X2,0)</f>
        <v>391065.6966666666</v>
      </c>
      <c r="Z2" s="56">
        <f>Datos!$K$6</f>
        <v>36</v>
      </c>
      <c r="AA2" s="55">
        <f ca="1">IF((W2-Datos!$U$6-1000000-O2*3%*VLOOKUP(TODAY(),'UF HOY'!$A$2:$B$36,2,0))/Z2&gt;0,(W2-Datos!$U$6-1000000-O2*3%*VLOOKUP(TODAY(),'UF HOY'!$A$2:$B$36,2,0))/Z2,0)</f>
        <v>264579.32099999994</v>
      </c>
      <c r="AB2" s="55">
        <f>IF(L2&gt;0,VLOOKUP(D2,Datos!$A$36:$C$40,3,0),VLOOKUP(D2,Datos!$A$36:$C$40,2,0))</f>
        <v>450000</v>
      </c>
      <c r="AC2" s="55">
        <f ca="1">(S2*PMT(Datos!$G$15,Datos!$G$14,-O2,,)*VLOOKUP(TODAY(),'UF HOY'!$A$2:$B$36,2,0)/12)+VLOOKUP(TODAY(),'UF HOY'!$A$2:$B$36,2,0)</f>
        <v>624911.51150886901</v>
      </c>
      <c r="AD2" s="55">
        <f t="shared" ref="AD2:AD36" ca="1" si="10">AB2-AC2</f>
        <v>-174911.51150886901</v>
      </c>
      <c r="AE2" s="93">
        <f ca="1">IF((AC2/0.25)&lt;=1600000,1600000,(AC2/0.25))</f>
        <v>2499646.046035476</v>
      </c>
    </row>
    <row r="3" spans="1:31" s="3" customFormat="1" hidden="1" x14ac:dyDescent="0.35">
      <c r="A3" s="94" t="s">
        <v>342</v>
      </c>
      <c r="B3" s="80">
        <v>1803</v>
      </c>
      <c r="C3" s="48" t="s">
        <v>40</v>
      </c>
      <c r="D3" s="48" t="s">
        <v>37</v>
      </c>
      <c r="E3" s="48"/>
      <c r="F3" s="48">
        <v>32.76</v>
      </c>
      <c r="G3" s="48">
        <v>2.71</v>
      </c>
      <c r="H3" s="82">
        <f t="shared" si="0"/>
        <v>34.114999999999995</v>
      </c>
      <c r="I3" s="82">
        <f t="shared" si="1"/>
        <v>35.47</v>
      </c>
      <c r="J3" s="49">
        <v>3835</v>
      </c>
      <c r="K3" s="50">
        <v>0</v>
      </c>
      <c r="L3" s="48">
        <v>0</v>
      </c>
      <c r="M3" s="48">
        <v>0</v>
      </c>
      <c r="N3" s="51">
        <f t="shared" si="2"/>
        <v>3451.5</v>
      </c>
      <c r="O3" s="52">
        <f t="shared" si="3"/>
        <v>3835</v>
      </c>
      <c r="P3" s="79">
        <f t="shared" si="4"/>
        <v>101.17250476330062</v>
      </c>
      <c r="Q3" s="53">
        <f t="shared" si="5"/>
        <v>0.1</v>
      </c>
      <c r="R3" s="54">
        <f t="shared" si="6"/>
        <v>383.5</v>
      </c>
      <c r="S3" s="53">
        <v>0.8</v>
      </c>
      <c r="T3" s="54">
        <f t="shared" si="7"/>
        <v>3068</v>
      </c>
      <c r="U3" s="53">
        <f t="shared" si="8"/>
        <v>9.9999999999999978E-2</v>
      </c>
      <c r="V3" s="54">
        <f t="shared" si="9"/>
        <v>383.49999999999994</v>
      </c>
      <c r="W3" s="55">
        <f ca="1">V3*VLOOKUP(TODAY(),'UF HOY'!$A$2:$B$36,2,0)</f>
        <v>15237965.989999998</v>
      </c>
      <c r="X3" s="56">
        <f>Datos!$K$6</f>
        <v>36</v>
      </c>
      <c r="Y3" s="55">
        <f ca="1">IF((W3-Datos!$U$6-1000000)/X3&gt;0,(W3-Datos!$U$6-1000000)/X3,0)</f>
        <v>392721.27749999997</v>
      </c>
      <c r="Z3" s="56">
        <f>Datos!$K$6</f>
        <v>36</v>
      </c>
      <c r="AA3" s="55">
        <f ca="1">IF((W3-Datos!$U$6-1000000-O3*3%*VLOOKUP(TODAY(),'UF HOY'!$A$2:$B$36,2,0))/Z3&gt;0,(W3-Datos!$U$6-1000000-O3*3%*VLOOKUP(TODAY(),'UF HOY'!$A$2:$B$36,2,0))/Z3,0)</f>
        <v>265738.22758333327</v>
      </c>
      <c r="AB3" s="55">
        <f>IF(L3&gt;0,VLOOKUP(D3,Datos!$A$36:$C$40,3,0),VLOOKUP(D3,Datos!$A$36:$C$40,2,0))</f>
        <v>450000</v>
      </c>
      <c r="AC3" s="55">
        <f ca="1">(S3*PMT(Datos!$G$15,Datos!$G$14,-O3,,)*VLOOKUP(TODAY(),'UF HOY'!$A$2:$B$36,2,0)/12)+VLOOKUP(TODAY(),'UF HOY'!$A$2:$B$36,2,0)</f>
        <v>627209.32919804007</v>
      </c>
      <c r="AD3" s="55">
        <f t="shared" ca="1" si="10"/>
        <v>-177209.32919804007</v>
      </c>
      <c r="AE3" s="93">
        <f t="shared" ref="AE3:AE69" ca="1" si="11">IF((AC3/0.25)&lt;=1600000,1600000,(AC3/0.25))</f>
        <v>2508837.3167921603</v>
      </c>
    </row>
    <row r="4" spans="1:31" s="3" customFormat="1" x14ac:dyDescent="0.35">
      <c r="A4" s="94" t="s">
        <v>305</v>
      </c>
      <c r="B4" s="80">
        <v>1903</v>
      </c>
      <c r="C4" s="48" t="s">
        <v>40</v>
      </c>
      <c r="D4" s="48" t="s">
        <v>37</v>
      </c>
      <c r="E4" s="48"/>
      <c r="F4" s="48">
        <v>32.76</v>
      </c>
      <c r="G4" s="48">
        <v>2.71</v>
      </c>
      <c r="H4" s="82">
        <f t="shared" si="0"/>
        <v>34.114999999999995</v>
      </c>
      <c r="I4" s="82">
        <f t="shared" si="1"/>
        <v>35.47</v>
      </c>
      <c r="J4" s="49">
        <v>3850</v>
      </c>
      <c r="K4" s="50">
        <v>0</v>
      </c>
      <c r="L4" s="48">
        <v>0</v>
      </c>
      <c r="M4" s="48">
        <v>0</v>
      </c>
      <c r="N4" s="51">
        <f t="shared" si="2"/>
        <v>3465</v>
      </c>
      <c r="O4" s="52">
        <f t="shared" si="3"/>
        <v>3850</v>
      </c>
      <c r="P4" s="79">
        <f t="shared" si="4"/>
        <v>101.56822512091456</v>
      </c>
      <c r="Q4" s="53">
        <f t="shared" si="5"/>
        <v>0.1</v>
      </c>
      <c r="R4" s="54">
        <f t="shared" si="6"/>
        <v>385</v>
      </c>
      <c r="S4" s="53">
        <v>0.8</v>
      </c>
      <c r="T4" s="54">
        <f t="shared" si="7"/>
        <v>3080</v>
      </c>
      <c r="U4" s="53">
        <f t="shared" si="8"/>
        <v>9.9999999999999978E-2</v>
      </c>
      <c r="V4" s="54">
        <f t="shared" si="9"/>
        <v>384.99999999999989</v>
      </c>
      <c r="W4" s="55">
        <f ca="1">V4*VLOOKUP(TODAY(),'UF HOY'!$A$2:$B$36,2,0)</f>
        <v>15297566.899999997</v>
      </c>
      <c r="X4" s="56">
        <f>Datos!$K$6</f>
        <v>36</v>
      </c>
      <c r="Y4" s="55">
        <f ca="1">IF((W4-Datos!$U$6-1000000)/X4&gt;0,(W4-Datos!$U$6-1000000)/X4,0)</f>
        <v>394376.85833333322</v>
      </c>
      <c r="Z4" s="56">
        <f>Datos!$K$6</f>
        <v>36</v>
      </c>
      <c r="AA4" s="55">
        <f ca="1">IF((W4-Datos!$U$6-1000000-O4*3%*VLOOKUP(TODAY(),'UF HOY'!$A$2:$B$36,2,0))/Z4&gt;0,(W4-Datos!$U$6-1000000-O4*3%*VLOOKUP(TODAY(),'UF HOY'!$A$2:$B$36,2,0))/Z4,0)</f>
        <v>266897.13416666654</v>
      </c>
      <c r="AB4" s="55">
        <f>IF(L4&gt;0,VLOOKUP(D4,Datos!$A$36:$C$40,3,0),VLOOKUP(D4,Datos!$A$36:$C$40,2,0))</f>
        <v>450000</v>
      </c>
      <c r="AC4" s="55">
        <f ca="1">(S4*PMT(Datos!$G$15,Datos!$G$14,-O4,,)*VLOOKUP(TODAY(),'UF HOY'!$A$2:$B$36,2,0)/12)+VLOOKUP(TODAY(),'UF HOY'!$A$2:$B$36,2,0)</f>
        <v>629507.14688721113</v>
      </c>
      <c r="AD4" s="55">
        <f t="shared" ca="1" si="10"/>
        <v>-179507.14688721113</v>
      </c>
      <c r="AE4" s="93">
        <f t="shared" ca="1" si="11"/>
        <v>2518028.5875488445</v>
      </c>
    </row>
    <row r="5" spans="1:31" s="3" customFormat="1" x14ac:dyDescent="0.35">
      <c r="A5" s="94" t="s">
        <v>305</v>
      </c>
      <c r="B5" s="80">
        <v>2003</v>
      </c>
      <c r="C5" s="48" t="s">
        <v>40</v>
      </c>
      <c r="D5" s="48" t="s">
        <v>37</v>
      </c>
      <c r="E5" s="48"/>
      <c r="F5" s="48">
        <v>32.76</v>
      </c>
      <c r="G5" s="48">
        <v>2.71</v>
      </c>
      <c r="H5" s="82">
        <f t="shared" si="0"/>
        <v>34.114999999999995</v>
      </c>
      <c r="I5" s="82">
        <f t="shared" si="1"/>
        <v>35.47</v>
      </c>
      <c r="J5" s="49">
        <v>3865</v>
      </c>
      <c r="K5" s="50">
        <v>0</v>
      </c>
      <c r="L5" s="48">
        <v>0</v>
      </c>
      <c r="M5" s="48">
        <v>0</v>
      </c>
      <c r="N5" s="51">
        <f t="shared" si="2"/>
        <v>3478.5</v>
      </c>
      <c r="O5" s="52">
        <f t="shared" si="3"/>
        <v>3865</v>
      </c>
      <c r="P5" s="79">
        <f t="shared" si="4"/>
        <v>101.96394547852852</v>
      </c>
      <c r="Q5" s="53">
        <f t="shared" si="5"/>
        <v>0.1</v>
      </c>
      <c r="R5" s="54">
        <f t="shared" si="6"/>
        <v>386.5</v>
      </c>
      <c r="S5" s="53">
        <v>0.8</v>
      </c>
      <c r="T5" s="54">
        <f t="shared" si="7"/>
        <v>3092</v>
      </c>
      <c r="U5" s="53">
        <f t="shared" si="8"/>
        <v>9.9999999999999978E-2</v>
      </c>
      <c r="V5" s="54">
        <f t="shared" si="9"/>
        <v>386.49999999999989</v>
      </c>
      <c r="W5" s="55">
        <f ca="1">V5*VLOOKUP(TODAY(),'UF HOY'!$A$2:$B$36,2,0)</f>
        <v>15357167.809999997</v>
      </c>
      <c r="X5" s="56">
        <f>Datos!$K$6</f>
        <v>36</v>
      </c>
      <c r="Y5" s="55">
        <f ca="1">IF((W5-Datos!$U$6-1000000)/X5&gt;0,(W5-Datos!$U$6-1000000)/X5,0)</f>
        <v>396032.43916666659</v>
      </c>
      <c r="Z5" s="56">
        <f>Datos!$K$6</f>
        <v>36</v>
      </c>
      <c r="AA5" s="55">
        <f ca="1">IF((W5-Datos!$U$6-1000000-O5*3%*VLOOKUP(TODAY(),'UF HOY'!$A$2:$B$36,2,0))/Z5&gt;0,(W5-Datos!$U$6-1000000-O5*3%*VLOOKUP(TODAY(),'UF HOY'!$A$2:$B$36,2,0))/Z5,0)</f>
        <v>268056.04074999993</v>
      </c>
      <c r="AB5" s="55">
        <f>IF(L5&gt;0,VLOOKUP(D5,Datos!$A$36:$C$40,3,0),VLOOKUP(D5,Datos!$A$36:$C$40,2,0))</f>
        <v>450000</v>
      </c>
      <c r="AC5" s="55">
        <f ca="1">(S5*PMT(Datos!$G$15,Datos!$G$14,-O5,,)*VLOOKUP(TODAY(),'UF HOY'!$A$2:$B$36,2,0)/12)+VLOOKUP(TODAY(),'UF HOY'!$A$2:$B$36,2,0)</f>
        <v>631804.96457638196</v>
      </c>
      <c r="AD5" s="55">
        <f t="shared" ca="1" si="10"/>
        <v>-181804.96457638196</v>
      </c>
      <c r="AE5" s="93">
        <f t="shared" ca="1" si="11"/>
        <v>2527219.8583055278</v>
      </c>
    </row>
    <row r="6" spans="1:31" s="3" customFormat="1" x14ac:dyDescent="0.35">
      <c r="A6" s="94" t="s">
        <v>305</v>
      </c>
      <c r="B6" s="80">
        <v>1711</v>
      </c>
      <c r="C6" s="48" t="s">
        <v>41</v>
      </c>
      <c r="D6" s="48" t="s">
        <v>37</v>
      </c>
      <c r="E6" s="48"/>
      <c r="F6" s="48">
        <v>32.799999999999997</v>
      </c>
      <c r="G6" s="48">
        <v>2.66</v>
      </c>
      <c r="H6" s="82">
        <f t="shared" si="0"/>
        <v>34.129999999999995</v>
      </c>
      <c r="I6" s="82">
        <f t="shared" si="1"/>
        <v>35.459999999999994</v>
      </c>
      <c r="J6" s="49">
        <v>3895</v>
      </c>
      <c r="K6" s="50">
        <v>0</v>
      </c>
      <c r="L6" s="48">
        <v>0</v>
      </c>
      <c r="M6" s="48">
        <v>0</v>
      </c>
      <c r="N6" s="51">
        <f t="shared" si="2"/>
        <v>3505.5</v>
      </c>
      <c r="O6" s="52">
        <f t="shared" si="3"/>
        <v>3895</v>
      </c>
      <c r="P6" s="79">
        <f t="shared" si="4"/>
        <v>102.71022560796955</v>
      </c>
      <c r="Q6" s="53">
        <f t="shared" si="5"/>
        <v>0.1</v>
      </c>
      <c r="R6" s="54">
        <f t="shared" si="6"/>
        <v>389.5</v>
      </c>
      <c r="S6" s="53">
        <v>0.8</v>
      </c>
      <c r="T6" s="54">
        <f t="shared" si="7"/>
        <v>3116</v>
      </c>
      <c r="U6" s="53">
        <f t="shared" si="8"/>
        <v>9.9999999999999978E-2</v>
      </c>
      <c r="V6" s="54">
        <f t="shared" si="9"/>
        <v>389.49999999999989</v>
      </c>
      <c r="W6" s="55">
        <f ca="1">V6*VLOOKUP(TODAY(),'UF HOY'!$A$2:$B$36,2,0)</f>
        <v>15476369.629999997</v>
      </c>
      <c r="X6" s="56">
        <f>Datos!$K$6</f>
        <v>36</v>
      </c>
      <c r="Y6" s="55">
        <f ca="1">IF((W6-Datos!$U$6-1000000)/X6&gt;0,(W6-Datos!$U$6-1000000)/X6,0)</f>
        <v>399343.60083333327</v>
      </c>
      <c r="Z6" s="56">
        <f>Datos!$K$6</f>
        <v>36</v>
      </c>
      <c r="AA6" s="55">
        <f ca="1">IF((W6-Datos!$U$6-1000000-O6*3%*VLOOKUP(TODAY(),'UF HOY'!$A$2:$B$36,2,0))/Z6&gt;0,(W6-Datos!$U$6-1000000-O6*3%*VLOOKUP(TODAY(),'UF HOY'!$A$2:$B$36,2,0))/Z6,0)</f>
        <v>270373.85391666659</v>
      </c>
      <c r="AB6" s="55">
        <f>IF(L6&gt;0,VLOOKUP(D6,Datos!$A$36:$C$40,3,0),VLOOKUP(D6,Datos!$A$36:$C$40,2,0))</f>
        <v>450000</v>
      </c>
      <c r="AC6" s="55">
        <f ca="1">(S6*PMT(Datos!$G$15,Datos!$G$14,-O6,,)*VLOOKUP(TODAY(),'UF HOY'!$A$2:$B$36,2,0)/12)+VLOOKUP(TODAY(),'UF HOY'!$A$2:$B$36,2,0)</f>
        <v>636400.59995472385</v>
      </c>
      <c r="AD6" s="55">
        <f t="shared" ca="1" si="10"/>
        <v>-186400.59995472385</v>
      </c>
      <c r="AE6" s="93">
        <f t="shared" ca="1" si="11"/>
        <v>2545602.3998188954</v>
      </c>
    </row>
    <row r="7" spans="1:31" s="3" customFormat="1" x14ac:dyDescent="0.35">
      <c r="A7" s="94" t="s">
        <v>305</v>
      </c>
      <c r="B7" s="80">
        <v>2103</v>
      </c>
      <c r="C7" s="48" t="s">
        <v>40</v>
      </c>
      <c r="D7" s="48" t="s">
        <v>37</v>
      </c>
      <c r="E7" s="48"/>
      <c r="F7" s="48">
        <v>32.869999999999997</v>
      </c>
      <c r="G7" s="48">
        <v>2.75</v>
      </c>
      <c r="H7" s="82">
        <f t="shared" si="0"/>
        <v>34.244999999999997</v>
      </c>
      <c r="I7" s="82">
        <f t="shared" si="1"/>
        <v>35.619999999999997</v>
      </c>
      <c r="J7" s="49">
        <v>3895</v>
      </c>
      <c r="K7" s="50">
        <v>0</v>
      </c>
      <c r="L7" s="48">
        <v>0</v>
      </c>
      <c r="M7" s="48">
        <v>0</v>
      </c>
      <c r="N7" s="51">
        <f t="shared" si="2"/>
        <v>3505.5</v>
      </c>
      <c r="O7" s="52">
        <f t="shared" si="3"/>
        <v>3895</v>
      </c>
      <c r="P7" s="79">
        <f t="shared" si="4"/>
        <v>102.365308804205</v>
      </c>
      <c r="Q7" s="53">
        <f t="shared" si="5"/>
        <v>0.1</v>
      </c>
      <c r="R7" s="54">
        <f t="shared" si="6"/>
        <v>389.5</v>
      </c>
      <c r="S7" s="53">
        <v>0.8</v>
      </c>
      <c r="T7" s="54">
        <f t="shared" si="7"/>
        <v>3116</v>
      </c>
      <c r="U7" s="53">
        <f t="shared" si="8"/>
        <v>9.9999999999999978E-2</v>
      </c>
      <c r="V7" s="54">
        <f t="shared" si="9"/>
        <v>389.49999999999989</v>
      </c>
      <c r="W7" s="55">
        <f ca="1">V7*VLOOKUP(TODAY(),'UF HOY'!$A$2:$B$36,2,0)</f>
        <v>15476369.629999997</v>
      </c>
      <c r="X7" s="56">
        <f>Datos!$K$6</f>
        <v>36</v>
      </c>
      <c r="Y7" s="55">
        <f ca="1">IF((W7-Datos!$U$6-1000000)/X7&gt;0,(W7-Datos!$U$6-1000000)/X7,0)</f>
        <v>399343.60083333327</v>
      </c>
      <c r="Z7" s="56">
        <f>Datos!$K$6</f>
        <v>36</v>
      </c>
      <c r="AA7" s="55">
        <f ca="1">IF((W7-Datos!$U$6-1000000-O7*3%*VLOOKUP(TODAY(),'UF HOY'!$A$2:$B$36,2,0))/Z7&gt;0,(W7-Datos!$U$6-1000000-O7*3%*VLOOKUP(TODAY(),'UF HOY'!$A$2:$B$36,2,0))/Z7,0)</f>
        <v>270373.85391666659</v>
      </c>
      <c r="AB7" s="55">
        <f>IF(L7&gt;0,VLOOKUP(D7,Datos!$A$36:$C$40,3,0),VLOOKUP(D7,Datos!$A$36:$C$40,2,0))</f>
        <v>450000</v>
      </c>
      <c r="AC7" s="55">
        <f ca="1">(S7*PMT(Datos!$G$15,Datos!$G$14,-O7,,)*VLOOKUP(TODAY(),'UF HOY'!$A$2:$B$36,2,0)/12)+VLOOKUP(TODAY(),'UF HOY'!$A$2:$B$36,2,0)</f>
        <v>636400.59995472385</v>
      </c>
      <c r="AD7" s="55">
        <f t="shared" ca="1" si="10"/>
        <v>-186400.59995472385</v>
      </c>
      <c r="AE7" s="93">
        <f t="shared" ca="1" si="11"/>
        <v>2545602.3998188954</v>
      </c>
    </row>
    <row r="8" spans="1:31" s="3" customFormat="1" x14ac:dyDescent="0.35">
      <c r="A8" s="94" t="s">
        <v>305</v>
      </c>
      <c r="B8" s="80">
        <v>2203</v>
      </c>
      <c r="C8" s="48" t="s">
        <v>40</v>
      </c>
      <c r="D8" s="48" t="s">
        <v>37</v>
      </c>
      <c r="E8" s="48"/>
      <c r="F8" s="48">
        <v>32.869999999999997</v>
      </c>
      <c r="G8" s="48">
        <v>2.75</v>
      </c>
      <c r="H8" s="82">
        <f t="shared" si="0"/>
        <v>34.244999999999997</v>
      </c>
      <c r="I8" s="82">
        <f t="shared" si="1"/>
        <v>35.619999999999997</v>
      </c>
      <c r="J8" s="49">
        <v>3905</v>
      </c>
      <c r="K8" s="50">
        <v>0</v>
      </c>
      <c r="L8" s="48">
        <v>0</v>
      </c>
      <c r="M8" s="48">
        <v>0</v>
      </c>
      <c r="N8" s="51">
        <f t="shared" si="2"/>
        <v>3514.5</v>
      </c>
      <c r="O8" s="52">
        <f t="shared" si="3"/>
        <v>3905</v>
      </c>
      <c r="P8" s="79">
        <f t="shared" si="4"/>
        <v>102.62812089356112</v>
      </c>
      <c r="Q8" s="53">
        <f t="shared" si="5"/>
        <v>0.1</v>
      </c>
      <c r="R8" s="54">
        <f t="shared" si="6"/>
        <v>390.5</v>
      </c>
      <c r="S8" s="53">
        <v>0.8</v>
      </c>
      <c r="T8" s="54">
        <f t="shared" si="7"/>
        <v>3124</v>
      </c>
      <c r="U8" s="53">
        <f t="shared" si="8"/>
        <v>9.9999999999999978E-2</v>
      </c>
      <c r="V8" s="54">
        <f t="shared" si="9"/>
        <v>390.49999999999989</v>
      </c>
      <c r="W8" s="55">
        <f ca="1">V8*VLOOKUP(TODAY(),'UF HOY'!$A$2:$B$36,2,0)</f>
        <v>15516103.569999997</v>
      </c>
      <c r="X8" s="56">
        <f>Datos!$K$6</f>
        <v>36</v>
      </c>
      <c r="Y8" s="55">
        <f ca="1">IF((W8-Datos!$U$6-1000000)/X8&gt;0,(W8-Datos!$U$6-1000000)/X8,0)</f>
        <v>400447.32138888881</v>
      </c>
      <c r="Z8" s="56">
        <f>Datos!$K$6</f>
        <v>36</v>
      </c>
      <c r="AA8" s="55">
        <f ca="1">IF((W8-Datos!$U$6-1000000-O8*3%*VLOOKUP(TODAY(),'UF HOY'!$A$2:$B$36,2,0))/Z8&gt;0,(W8-Datos!$U$6-1000000-O8*3%*VLOOKUP(TODAY(),'UF HOY'!$A$2:$B$36,2,0))/Z8,0)</f>
        <v>271146.45830555551</v>
      </c>
      <c r="AB8" s="55">
        <f>IF(L8&gt;0,VLOOKUP(D8,Datos!$A$36:$C$40,3,0),VLOOKUP(D8,Datos!$A$36:$C$40,2,0))</f>
        <v>450000</v>
      </c>
      <c r="AC8" s="55">
        <f ca="1">(S8*PMT(Datos!$G$15,Datos!$G$14,-O8,,)*VLOOKUP(TODAY(),'UF HOY'!$A$2:$B$36,2,0)/12)+VLOOKUP(TODAY(),'UF HOY'!$A$2:$B$36,2,0)</f>
        <v>637932.47841417114</v>
      </c>
      <c r="AD8" s="55">
        <f t="shared" ca="1" si="10"/>
        <v>-187932.47841417114</v>
      </c>
      <c r="AE8" s="93">
        <f t="shared" ca="1" si="11"/>
        <v>2551729.9136566846</v>
      </c>
    </row>
    <row r="9" spans="1:31" s="3" customFormat="1" x14ac:dyDescent="0.35">
      <c r="A9" s="94" t="s">
        <v>305</v>
      </c>
      <c r="B9" s="80">
        <v>2303</v>
      </c>
      <c r="C9" s="48" t="s">
        <v>40</v>
      </c>
      <c r="D9" s="48" t="s">
        <v>37</v>
      </c>
      <c r="E9" s="48"/>
      <c r="F9" s="48">
        <v>32.869999999999997</v>
      </c>
      <c r="G9" s="48">
        <v>2.75</v>
      </c>
      <c r="H9" s="82">
        <f t="shared" si="0"/>
        <v>34.244999999999997</v>
      </c>
      <c r="I9" s="82">
        <f t="shared" si="1"/>
        <v>35.619999999999997</v>
      </c>
      <c r="J9" s="49">
        <v>3915</v>
      </c>
      <c r="K9" s="50">
        <v>0</v>
      </c>
      <c r="L9" s="48">
        <v>0</v>
      </c>
      <c r="M9" s="48">
        <v>0</v>
      </c>
      <c r="N9" s="51">
        <f t="shared" si="2"/>
        <v>3523.5</v>
      </c>
      <c r="O9" s="52">
        <f t="shared" si="3"/>
        <v>3915</v>
      </c>
      <c r="P9" s="79">
        <f t="shared" si="4"/>
        <v>102.89093298291722</v>
      </c>
      <c r="Q9" s="53">
        <f t="shared" si="5"/>
        <v>0.1</v>
      </c>
      <c r="R9" s="54">
        <f t="shared" si="6"/>
        <v>391.5</v>
      </c>
      <c r="S9" s="53">
        <v>0.8</v>
      </c>
      <c r="T9" s="54">
        <f t="shared" si="7"/>
        <v>3132</v>
      </c>
      <c r="U9" s="53">
        <f t="shared" si="8"/>
        <v>9.9999999999999978E-2</v>
      </c>
      <c r="V9" s="54">
        <f t="shared" si="9"/>
        <v>391.49999999999989</v>
      </c>
      <c r="W9" s="55">
        <f ca="1">V9*VLOOKUP(TODAY(),'UF HOY'!$A$2:$B$36,2,0)</f>
        <v>15555837.509999996</v>
      </c>
      <c r="X9" s="56">
        <f>Datos!$K$6</f>
        <v>36</v>
      </c>
      <c r="Y9" s="55">
        <f ca="1">IF((W9-Datos!$U$6-1000000)/X9&gt;0,(W9-Datos!$U$6-1000000)/X9,0)</f>
        <v>401551.04194444435</v>
      </c>
      <c r="Z9" s="56">
        <f>Datos!$K$6</f>
        <v>36</v>
      </c>
      <c r="AA9" s="55">
        <f ca="1">IF((W9-Datos!$U$6-1000000-O9*3%*VLOOKUP(TODAY(),'UF HOY'!$A$2:$B$36,2,0))/Z9&gt;0,(W9-Datos!$U$6-1000000-O9*3%*VLOOKUP(TODAY(),'UF HOY'!$A$2:$B$36,2,0))/Z9,0)</f>
        <v>271919.06269444432</v>
      </c>
      <c r="AB9" s="55">
        <f>IF(L9&gt;0,VLOOKUP(D9,Datos!$A$36:$C$40,3,0),VLOOKUP(D9,Datos!$A$36:$C$40,2,0))</f>
        <v>450000</v>
      </c>
      <c r="AC9" s="55">
        <f ca="1">(S9*PMT(Datos!$G$15,Datos!$G$14,-O9,,)*VLOOKUP(TODAY(),'UF HOY'!$A$2:$B$36,2,0)/12)+VLOOKUP(TODAY(),'UF HOY'!$A$2:$B$36,2,0)</f>
        <v>639464.35687361844</v>
      </c>
      <c r="AD9" s="55">
        <f t="shared" ca="1" si="10"/>
        <v>-189464.35687361844</v>
      </c>
      <c r="AE9" s="93">
        <f t="shared" ca="1" si="11"/>
        <v>2557857.4274944738</v>
      </c>
    </row>
    <row r="10" spans="1:31" s="3" customFormat="1" x14ac:dyDescent="0.35">
      <c r="A10" s="94" t="s">
        <v>305</v>
      </c>
      <c r="B10" s="80">
        <v>2403</v>
      </c>
      <c r="C10" s="48" t="s">
        <v>40</v>
      </c>
      <c r="D10" s="48" t="s">
        <v>37</v>
      </c>
      <c r="E10" s="48"/>
      <c r="F10" s="48">
        <v>32.869999999999997</v>
      </c>
      <c r="G10" s="48">
        <v>2.75</v>
      </c>
      <c r="H10" s="82">
        <f t="shared" si="0"/>
        <v>34.244999999999997</v>
      </c>
      <c r="I10" s="82">
        <f t="shared" si="1"/>
        <v>35.619999999999997</v>
      </c>
      <c r="J10" s="49">
        <v>3925</v>
      </c>
      <c r="K10" s="50">
        <v>0</v>
      </c>
      <c r="L10" s="48">
        <v>0</v>
      </c>
      <c r="M10" s="48">
        <v>0</v>
      </c>
      <c r="N10" s="51">
        <f t="shared" si="2"/>
        <v>3532.5</v>
      </c>
      <c r="O10" s="52">
        <f t="shared" si="3"/>
        <v>3925</v>
      </c>
      <c r="P10" s="79">
        <f t="shared" si="4"/>
        <v>103.15374507227334</v>
      </c>
      <c r="Q10" s="53">
        <f t="shared" si="5"/>
        <v>0.1</v>
      </c>
      <c r="R10" s="54">
        <f t="shared" si="6"/>
        <v>392.5</v>
      </c>
      <c r="S10" s="53">
        <v>0.8</v>
      </c>
      <c r="T10" s="54">
        <f t="shared" si="7"/>
        <v>3140</v>
      </c>
      <c r="U10" s="53">
        <f t="shared" si="8"/>
        <v>9.9999999999999978E-2</v>
      </c>
      <c r="V10" s="54">
        <f t="shared" si="9"/>
        <v>392.49999999999989</v>
      </c>
      <c r="W10" s="55">
        <f ca="1">V10*VLOOKUP(TODAY(),'UF HOY'!$A$2:$B$36,2,0)</f>
        <v>15595571.449999996</v>
      </c>
      <c r="X10" s="56">
        <f>Datos!$K$6</f>
        <v>36</v>
      </c>
      <c r="Y10" s="55">
        <f ca="1">IF((W10-Datos!$U$6-1000000)/X10&gt;0,(W10-Datos!$U$6-1000000)/X10,0)</f>
        <v>402654.7624999999</v>
      </c>
      <c r="Z10" s="56">
        <f>Datos!$K$6</f>
        <v>36</v>
      </c>
      <c r="AA10" s="55">
        <f ca="1">IF((W10-Datos!$U$6-1000000-O10*3%*VLOOKUP(TODAY(),'UF HOY'!$A$2:$B$36,2,0))/Z10&gt;0,(W10-Datos!$U$6-1000000-O10*3%*VLOOKUP(TODAY(),'UF HOY'!$A$2:$B$36,2,0))/Z10,0)</f>
        <v>272691.66708333319</v>
      </c>
      <c r="AB10" s="55">
        <f>IF(L10&gt;0,VLOOKUP(D10,Datos!$A$36:$C$40,3,0),VLOOKUP(D10,Datos!$A$36:$C$40,2,0))</f>
        <v>450000</v>
      </c>
      <c r="AC10" s="55">
        <f ca="1">(S10*PMT(Datos!$G$15,Datos!$G$14,-O10,,)*VLOOKUP(TODAY(),'UF HOY'!$A$2:$B$36,2,0)/12)+VLOOKUP(TODAY(),'UF HOY'!$A$2:$B$36,2,0)</f>
        <v>640996.23533306574</v>
      </c>
      <c r="AD10" s="55">
        <f t="shared" ca="1" si="10"/>
        <v>-190996.23533306574</v>
      </c>
      <c r="AE10" s="93">
        <f t="shared" ca="1" si="11"/>
        <v>2563984.9413322629</v>
      </c>
    </row>
    <row r="11" spans="1:31" s="3" customFormat="1" x14ac:dyDescent="0.35">
      <c r="A11" s="94" t="s">
        <v>305</v>
      </c>
      <c r="B11" s="80">
        <v>2503</v>
      </c>
      <c r="C11" s="48" t="s">
        <v>40</v>
      </c>
      <c r="D11" s="48" t="s">
        <v>37</v>
      </c>
      <c r="E11" s="48"/>
      <c r="F11" s="48">
        <v>32.869999999999997</v>
      </c>
      <c r="G11" s="48">
        <v>2.75</v>
      </c>
      <c r="H11" s="82">
        <f t="shared" si="0"/>
        <v>34.244999999999997</v>
      </c>
      <c r="I11" s="82">
        <f t="shared" si="1"/>
        <v>35.619999999999997</v>
      </c>
      <c r="J11" s="49">
        <v>3935</v>
      </c>
      <c r="K11" s="50">
        <v>0</v>
      </c>
      <c r="L11" s="48">
        <v>0</v>
      </c>
      <c r="M11" s="48">
        <v>0</v>
      </c>
      <c r="N11" s="51">
        <f t="shared" si="2"/>
        <v>3541.5</v>
      </c>
      <c r="O11" s="52">
        <f t="shared" si="3"/>
        <v>3935</v>
      </c>
      <c r="P11" s="79">
        <f t="shared" si="4"/>
        <v>103.41655716162944</v>
      </c>
      <c r="Q11" s="53">
        <f t="shared" si="5"/>
        <v>0.1</v>
      </c>
      <c r="R11" s="54">
        <f t="shared" si="6"/>
        <v>393.5</v>
      </c>
      <c r="S11" s="53">
        <v>0.8</v>
      </c>
      <c r="T11" s="54">
        <f t="shared" si="7"/>
        <v>3148</v>
      </c>
      <c r="U11" s="53">
        <f t="shared" si="8"/>
        <v>9.9999999999999978E-2</v>
      </c>
      <c r="V11" s="54">
        <f t="shared" si="9"/>
        <v>393.49999999999989</v>
      </c>
      <c r="W11" s="55">
        <f ca="1">V11*VLOOKUP(TODAY(),'UF HOY'!$A$2:$B$36,2,0)</f>
        <v>15635305.389999997</v>
      </c>
      <c r="X11" s="56">
        <f>Datos!$K$6</f>
        <v>36</v>
      </c>
      <c r="Y11" s="55">
        <f ca="1">IF((W11-Datos!$U$6-1000000)/X11&gt;0,(W11-Datos!$U$6-1000000)/X11,0)</f>
        <v>403758.48305555549</v>
      </c>
      <c r="Z11" s="56">
        <f>Datos!$K$6</f>
        <v>36</v>
      </c>
      <c r="AA11" s="55">
        <f ca="1">IF((W11-Datos!$U$6-1000000-O11*3%*VLOOKUP(TODAY(),'UF HOY'!$A$2:$B$36,2,0))/Z11&gt;0,(W11-Datos!$U$6-1000000-O11*3%*VLOOKUP(TODAY(),'UF HOY'!$A$2:$B$36,2,0))/Z11,0)</f>
        <v>273464.27147222211</v>
      </c>
      <c r="AB11" s="55">
        <f>IF(L11&gt;0,VLOOKUP(D11,Datos!$A$36:$C$40,3,0),VLOOKUP(D11,Datos!$A$36:$C$40,2,0))</f>
        <v>450000</v>
      </c>
      <c r="AC11" s="55">
        <f ca="1">(S11*PMT(Datos!$G$15,Datos!$G$14,-O11,,)*VLOOKUP(TODAY(),'UF HOY'!$A$2:$B$36,2,0)/12)+VLOOKUP(TODAY(),'UF HOY'!$A$2:$B$36,2,0)</f>
        <v>642528.11379251303</v>
      </c>
      <c r="AD11" s="55">
        <f t="shared" ca="1" si="10"/>
        <v>-192528.11379251303</v>
      </c>
      <c r="AE11" s="93">
        <f t="shared" ca="1" si="11"/>
        <v>2570112.4551700521</v>
      </c>
    </row>
    <row r="12" spans="1:31" s="3" customFormat="1" x14ac:dyDescent="0.35">
      <c r="A12" s="94" t="s">
        <v>305</v>
      </c>
      <c r="B12" s="80">
        <v>2603</v>
      </c>
      <c r="C12" s="48" t="s">
        <v>40</v>
      </c>
      <c r="D12" s="48" t="s">
        <v>37</v>
      </c>
      <c r="E12" s="48"/>
      <c r="F12" s="48">
        <v>32.869999999999997</v>
      </c>
      <c r="G12" s="48">
        <v>2.75</v>
      </c>
      <c r="H12" s="82">
        <f t="shared" si="0"/>
        <v>34.244999999999997</v>
      </c>
      <c r="I12" s="82">
        <f t="shared" si="1"/>
        <v>35.619999999999997</v>
      </c>
      <c r="J12" s="49">
        <v>3945</v>
      </c>
      <c r="K12" s="50">
        <v>0</v>
      </c>
      <c r="L12" s="48">
        <v>0</v>
      </c>
      <c r="M12" s="48">
        <v>0</v>
      </c>
      <c r="N12" s="51">
        <f t="shared" si="2"/>
        <v>3550.5</v>
      </c>
      <c r="O12" s="52">
        <f t="shared" si="3"/>
        <v>3945</v>
      </c>
      <c r="P12" s="79">
        <f t="shared" si="4"/>
        <v>103.67936925098556</v>
      </c>
      <c r="Q12" s="53">
        <f t="shared" si="5"/>
        <v>0.1</v>
      </c>
      <c r="R12" s="54">
        <f t="shared" si="6"/>
        <v>394.5</v>
      </c>
      <c r="S12" s="53">
        <v>0.8</v>
      </c>
      <c r="T12" s="54">
        <f t="shared" si="7"/>
        <v>3156</v>
      </c>
      <c r="U12" s="53">
        <f t="shared" si="8"/>
        <v>9.9999999999999978E-2</v>
      </c>
      <c r="V12" s="54">
        <f t="shared" si="9"/>
        <v>394.49999999999989</v>
      </c>
      <c r="W12" s="55">
        <f ca="1">V12*VLOOKUP(TODAY(),'UF HOY'!$A$2:$B$36,2,0)</f>
        <v>15675039.329999996</v>
      </c>
      <c r="X12" s="56">
        <f>Datos!$K$6</f>
        <v>36</v>
      </c>
      <c r="Y12" s="55">
        <f ca="1">IF((W12-Datos!$U$6-1000000)/X12&gt;0,(W12-Datos!$U$6-1000000)/X12,0)</f>
        <v>404862.20361111104</v>
      </c>
      <c r="Z12" s="56">
        <f>Datos!$K$6</f>
        <v>36</v>
      </c>
      <c r="AA12" s="55">
        <f ca="1">IF((W12-Datos!$U$6-1000000-O12*3%*VLOOKUP(TODAY(),'UF HOY'!$A$2:$B$36,2,0))/Z12&gt;0,(W12-Datos!$U$6-1000000-O12*3%*VLOOKUP(TODAY(),'UF HOY'!$A$2:$B$36,2,0))/Z12,0)</f>
        <v>274236.87586111098</v>
      </c>
      <c r="AB12" s="55">
        <f>IF(L12&gt;0,VLOOKUP(D12,Datos!$A$36:$C$40,3,0),VLOOKUP(D12,Datos!$A$36:$C$40,2,0))</f>
        <v>450000</v>
      </c>
      <c r="AC12" s="55">
        <f ca="1">(S12*PMT(Datos!$G$15,Datos!$G$14,-O12,,)*VLOOKUP(TODAY(),'UF HOY'!$A$2:$B$36,2,0)/12)+VLOOKUP(TODAY(),'UF HOY'!$A$2:$B$36,2,0)</f>
        <v>644059.99225196033</v>
      </c>
      <c r="AD12" s="55">
        <f t="shared" ca="1" si="10"/>
        <v>-194059.99225196033</v>
      </c>
      <c r="AE12" s="93">
        <f t="shared" ca="1" si="11"/>
        <v>2576239.9690078413</v>
      </c>
    </row>
    <row r="13" spans="1:31" s="3" customFormat="1" x14ac:dyDescent="0.35">
      <c r="A13" s="94" t="s">
        <v>305</v>
      </c>
      <c r="B13" s="80">
        <v>2507</v>
      </c>
      <c r="C13" s="48" t="s">
        <v>38</v>
      </c>
      <c r="D13" s="48" t="s">
        <v>37</v>
      </c>
      <c r="E13" s="48"/>
      <c r="F13" s="48">
        <v>32.82</v>
      </c>
      <c r="G13" s="48">
        <v>2.68</v>
      </c>
      <c r="H13" s="82">
        <f t="shared" si="0"/>
        <v>34.160000000000004</v>
      </c>
      <c r="I13" s="82">
        <f t="shared" si="1"/>
        <v>35.5</v>
      </c>
      <c r="J13" s="49">
        <v>3950</v>
      </c>
      <c r="K13" s="50">
        <v>0</v>
      </c>
      <c r="L13" s="48">
        <v>0</v>
      </c>
      <c r="M13" s="48">
        <v>0</v>
      </c>
      <c r="N13" s="51">
        <f t="shared" si="2"/>
        <v>3555</v>
      </c>
      <c r="O13" s="52">
        <f t="shared" si="3"/>
        <v>3950</v>
      </c>
      <c r="P13" s="79">
        <f t="shared" si="4"/>
        <v>104.06908665105385</v>
      </c>
      <c r="Q13" s="53">
        <f t="shared" si="5"/>
        <v>0.1</v>
      </c>
      <c r="R13" s="54">
        <f t="shared" si="6"/>
        <v>395</v>
      </c>
      <c r="S13" s="53">
        <v>0.8</v>
      </c>
      <c r="T13" s="54">
        <f t="shared" si="7"/>
        <v>3160</v>
      </c>
      <c r="U13" s="53">
        <f t="shared" si="8"/>
        <v>9.9999999999999978E-2</v>
      </c>
      <c r="V13" s="54">
        <f t="shared" si="9"/>
        <v>394.99999999999989</v>
      </c>
      <c r="W13" s="55">
        <f ca="1">V13*VLOOKUP(TODAY(),'UF HOY'!$A$2:$B$36,2,0)</f>
        <v>15694906.299999997</v>
      </c>
      <c r="X13" s="56">
        <f>Datos!$K$6</f>
        <v>36</v>
      </c>
      <c r="Y13" s="55">
        <f ca="1">IF((W13-Datos!$U$6-1000000)/X13&gt;0,(W13-Datos!$U$6-1000000)/X13,0)</f>
        <v>405414.06388888881</v>
      </c>
      <c r="Z13" s="56">
        <f>Datos!$K$6</f>
        <v>36</v>
      </c>
      <c r="AA13" s="55">
        <f ca="1">IF((W13-Datos!$U$6-1000000-O13*3%*VLOOKUP(TODAY(),'UF HOY'!$A$2:$B$36,2,0))/Z13&gt;0,(W13-Datos!$U$6-1000000-O13*3%*VLOOKUP(TODAY(),'UF HOY'!$A$2:$B$36,2,0))/Z13,0)</f>
        <v>274623.17805555544</v>
      </c>
      <c r="AB13" s="55">
        <f>IF(L13&gt;0,VLOOKUP(D13,Datos!$A$36:$C$40,3,0),VLOOKUP(D13,Datos!$A$36:$C$40,2,0))</f>
        <v>450000</v>
      </c>
      <c r="AC13" s="55">
        <f ca="1">(S13*PMT(Datos!$G$15,Datos!$G$14,-O13,,)*VLOOKUP(TODAY(),'UF HOY'!$A$2:$B$36,2,0)/12)+VLOOKUP(TODAY(),'UF HOY'!$A$2:$B$36,2,0)</f>
        <v>644825.93148168409</v>
      </c>
      <c r="AD13" s="55">
        <f t="shared" ca="1" si="10"/>
        <v>-194825.93148168409</v>
      </c>
      <c r="AE13" s="93">
        <f t="shared" ca="1" si="11"/>
        <v>2579303.7259267364</v>
      </c>
    </row>
    <row r="14" spans="1:31" s="3" customFormat="1" x14ac:dyDescent="0.35">
      <c r="A14" s="94" t="s">
        <v>305</v>
      </c>
      <c r="B14" s="80">
        <v>2703</v>
      </c>
      <c r="C14" s="48" t="s">
        <v>40</v>
      </c>
      <c r="D14" s="48" t="s">
        <v>37</v>
      </c>
      <c r="E14" s="48"/>
      <c r="F14" s="48">
        <v>32.869999999999997</v>
      </c>
      <c r="G14" s="48">
        <v>2.75</v>
      </c>
      <c r="H14" s="82">
        <f t="shared" si="0"/>
        <v>34.244999999999997</v>
      </c>
      <c r="I14" s="82">
        <f t="shared" si="1"/>
        <v>35.619999999999997</v>
      </c>
      <c r="J14" s="49">
        <v>3950</v>
      </c>
      <c r="K14" s="50">
        <v>0</v>
      </c>
      <c r="L14" s="48">
        <v>0</v>
      </c>
      <c r="M14" s="48">
        <v>0</v>
      </c>
      <c r="N14" s="51">
        <f t="shared" si="2"/>
        <v>3555</v>
      </c>
      <c r="O14" s="52">
        <f t="shared" si="3"/>
        <v>3950</v>
      </c>
      <c r="P14" s="79">
        <f t="shared" si="4"/>
        <v>103.8107752956636</v>
      </c>
      <c r="Q14" s="53">
        <f t="shared" si="5"/>
        <v>0.1</v>
      </c>
      <c r="R14" s="54">
        <f t="shared" si="6"/>
        <v>395</v>
      </c>
      <c r="S14" s="53">
        <v>0.8</v>
      </c>
      <c r="T14" s="54">
        <f t="shared" si="7"/>
        <v>3160</v>
      </c>
      <c r="U14" s="53">
        <f t="shared" si="8"/>
        <v>9.9999999999999978E-2</v>
      </c>
      <c r="V14" s="54">
        <f t="shared" si="9"/>
        <v>394.99999999999989</v>
      </c>
      <c r="W14" s="55">
        <f ca="1">V14*VLOOKUP(TODAY(),'UF HOY'!$A$2:$B$36,2,0)</f>
        <v>15694906.299999997</v>
      </c>
      <c r="X14" s="56">
        <f>Datos!$K$6</f>
        <v>36</v>
      </c>
      <c r="Y14" s="55">
        <f ca="1">IF((W14-Datos!$U$6-1000000)/X14&gt;0,(W14-Datos!$U$6-1000000)/X14,0)</f>
        <v>405414.06388888881</v>
      </c>
      <c r="Z14" s="56">
        <f>Datos!$K$6</f>
        <v>36</v>
      </c>
      <c r="AA14" s="55">
        <f ca="1">IF((W14-Datos!$U$6-1000000-O14*3%*VLOOKUP(TODAY(),'UF HOY'!$A$2:$B$36,2,0))/Z14&gt;0,(W14-Datos!$U$6-1000000-O14*3%*VLOOKUP(TODAY(),'UF HOY'!$A$2:$B$36,2,0))/Z14,0)</f>
        <v>274623.17805555544</v>
      </c>
      <c r="AB14" s="55">
        <f>IF(L14&gt;0,VLOOKUP(D14,Datos!$A$36:$C$40,3,0),VLOOKUP(D14,Datos!$A$36:$C$40,2,0))</f>
        <v>450000</v>
      </c>
      <c r="AC14" s="55">
        <f ca="1">(S14*PMT(Datos!$G$15,Datos!$G$14,-O14,,)*VLOOKUP(TODAY(),'UF HOY'!$A$2:$B$36,2,0)/12)+VLOOKUP(TODAY(),'UF HOY'!$A$2:$B$36,2,0)</f>
        <v>644825.93148168409</v>
      </c>
      <c r="AD14" s="55">
        <f t="shared" ca="1" si="10"/>
        <v>-194825.93148168409</v>
      </c>
      <c r="AE14" s="93">
        <f t="shared" ca="1" si="11"/>
        <v>2579303.7259267364</v>
      </c>
    </row>
    <row r="15" spans="1:31" s="3" customFormat="1" x14ac:dyDescent="0.35">
      <c r="A15" s="94" t="s">
        <v>305</v>
      </c>
      <c r="B15" s="80">
        <v>1701</v>
      </c>
      <c r="C15" s="48" t="s">
        <v>40</v>
      </c>
      <c r="D15" s="48" t="s">
        <v>37</v>
      </c>
      <c r="E15" s="48"/>
      <c r="F15" s="48">
        <v>34.130000000000003</v>
      </c>
      <c r="G15" s="48">
        <v>2.65</v>
      </c>
      <c r="H15" s="82">
        <f t="shared" si="0"/>
        <v>35.455000000000005</v>
      </c>
      <c r="I15" s="82">
        <f t="shared" si="1"/>
        <v>36.78</v>
      </c>
      <c r="J15" s="49">
        <v>3960</v>
      </c>
      <c r="K15" s="50">
        <v>0</v>
      </c>
      <c r="L15" s="48">
        <v>0</v>
      </c>
      <c r="M15" s="48">
        <v>0</v>
      </c>
      <c r="N15" s="51">
        <f t="shared" si="2"/>
        <v>3564</v>
      </c>
      <c r="O15" s="52">
        <f t="shared" si="3"/>
        <v>3960</v>
      </c>
      <c r="P15" s="79">
        <f t="shared" si="4"/>
        <v>100.52178818220278</v>
      </c>
      <c r="Q15" s="53">
        <f t="shared" si="5"/>
        <v>0.1</v>
      </c>
      <c r="R15" s="54">
        <f t="shared" si="6"/>
        <v>396</v>
      </c>
      <c r="S15" s="53">
        <v>0.8</v>
      </c>
      <c r="T15" s="54">
        <f t="shared" si="7"/>
        <v>3168</v>
      </c>
      <c r="U15" s="53">
        <f t="shared" si="8"/>
        <v>9.9999999999999978E-2</v>
      </c>
      <c r="V15" s="54">
        <f t="shared" si="9"/>
        <v>395.99999999999989</v>
      </c>
      <c r="W15" s="55">
        <f ca="1">V15*VLOOKUP(TODAY(),'UF HOY'!$A$2:$B$36,2,0)</f>
        <v>15734640.239999996</v>
      </c>
      <c r="X15" s="56">
        <f>Datos!$K$6</f>
        <v>36</v>
      </c>
      <c r="Y15" s="55">
        <f ca="1">IF((W15-Datos!$U$6-1000000)/X15&gt;0,(W15-Datos!$U$6-1000000)/X15,0)</f>
        <v>406517.78444444435</v>
      </c>
      <c r="Z15" s="56">
        <f>Datos!$K$6</f>
        <v>36</v>
      </c>
      <c r="AA15" s="55">
        <f ca="1">IF((W15-Datos!$U$6-1000000-O15*3%*VLOOKUP(TODAY(),'UF HOY'!$A$2:$B$36,2,0))/Z15&gt;0,(W15-Datos!$U$6-1000000-O15*3%*VLOOKUP(TODAY(),'UF HOY'!$A$2:$B$36,2,0))/Z15,0)</f>
        <v>275395.78244444431</v>
      </c>
      <c r="AB15" s="55">
        <f>IF(L15&gt;0,VLOOKUP(D15,Datos!$A$36:$C$40,3,0),VLOOKUP(D15,Datos!$A$36:$C$40,2,0))</f>
        <v>450000</v>
      </c>
      <c r="AC15" s="55">
        <f ca="1">(S15*PMT(Datos!$G$15,Datos!$G$14,-O15,,)*VLOOKUP(TODAY(),'UF HOY'!$A$2:$B$36,2,0)/12)+VLOOKUP(TODAY(),'UF HOY'!$A$2:$B$36,2,0)</f>
        <v>646357.80994113116</v>
      </c>
      <c r="AD15" s="55">
        <f t="shared" ca="1" si="10"/>
        <v>-196357.80994113116</v>
      </c>
      <c r="AE15" s="93">
        <f t="shared" ca="1" si="11"/>
        <v>2585431.2397645246</v>
      </c>
    </row>
    <row r="16" spans="1:31" s="3" customFormat="1" x14ac:dyDescent="0.35">
      <c r="A16" s="94" t="s">
        <v>305</v>
      </c>
      <c r="B16" s="80">
        <v>2803</v>
      </c>
      <c r="C16" s="48" t="s">
        <v>40</v>
      </c>
      <c r="D16" s="48" t="s">
        <v>37</v>
      </c>
      <c r="E16" s="48"/>
      <c r="F16" s="48">
        <v>32.869999999999997</v>
      </c>
      <c r="G16" s="48">
        <v>2.75</v>
      </c>
      <c r="H16" s="82">
        <f t="shared" si="0"/>
        <v>34.244999999999997</v>
      </c>
      <c r="I16" s="82">
        <f t="shared" si="1"/>
        <v>35.619999999999997</v>
      </c>
      <c r="J16" s="49">
        <v>3960</v>
      </c>
      <c r="K16" s="50">
        <v>0</v>
      </c>
      <c r="L16" s="48">
        <v>0</v>
      </c>
      <c r="M16" s="48">
        <v>0</v>
      </c>
      <c r="N16" s="51">
        <f t="shared" si="2"/>
        <v>3564</v>
      </c>
      <c r="O16" s="52">
        <f t="shared" si="3"/>
        <v>3960</v>
      </c>
      <c r="P16" s="79">
        <f t="shared" si="4"/>
        <v>104.07358738501972</v>
      </c>
      <c r="Q16" s="53">
        <f t="shared" si="5"/>
        <v>0.1</v>
      </c>
      <c r="R16" s="54">
        <f t="shared" si="6"/>
        <v>396</v>
      </c>
      <c r="S16" s="53">
        <v>0.8</v>
      </c>
      <c r="T16" s="54">
        <f t="shared" si="7"/>
        <v>3168</v>
      </c>
      <c r="U16" s="53">
        <f t="shared" si="8"/>
        <v>9.9999999999999978E-2</v>
      </c>
      <c r="V16" s="54">
        <f t="shared" si="9"/>
        <v>395.99999999999989</v>
      </c>
      <c r="W16" s="55">
        <f ca="1">V16*VLOOKUP(TODAY(),'UF HOY'!$A$2:$B$36,2,0)</f>
        <v>15734640.239999996</v>
      </c>
      <c r="X16" s="56">
        <f>Datos!$K$6</f>
        <v>36</v>
      </c>
      <c r="Y16" s="55">
        <f ca="1">IF((W16-Datos!$U$6-1000000)/X16&gt;0,(W16-Datos!$U$6-1000000)/X16,0)</f>
        <v>406517.78444444435</v>
      </c>
      <c r="Z16" s="56">
        <f>Datos!$K$6</f>
        <v>36</v>
      </c>
      <c r="AA16" s="55">
        <f ca="1">IF((W16-Datos!$U$6-1000000-O16*3%*VLOOKUP(TODAY(),'UF HOY'!$A$2:$B$36,2,0))/Z16&gt;0,(W16-Datos!$U$6-1000000-O16*3%*VLOOKUP(TODAY(),'UF HOY'!$A$2:$B$36,2,0))/Z16,0)</f>
        <v>275395.78244444431</v>
      </c>
      <c r="AB16" s="55">
        <f>IF(L16&gt;0,VLOOKUP(D16,Datos!$A$36:$C$40,3,0),VLOOKUP(D16,Datos!$A$36:$C$40,2,0))</f>
        <v>450000</v>
      </c>
      <c r="AC16" s="55">
        <f ca="1">(S16*PMT(Datos!$G$15,Datos!$G$14,-O16,,)*VLOOKUP(TODAY(),'UF HOY'!$A$2:$B$36,2,0)/12)+VLOOKUP(TODAY(),'UF HOY'!$A$2:$B$36,2,0)</f>
        <v>646357.80994113116</v>
      </c>
      <c r="AD16" s="55">
        <f t="shared" ca="1" si="10"/>
        <v>-196357.80994113116</v>
      </c>
      <c r="AE16" s="93">
        <f t="shared" ca="1" si="11"/>
        <v>2585431.2397645246</v>
      </c>
    </row>
    <row r="17" spans="1:31" s="3" customFormat="1" x14ac:dyDescent="0.35">
      <c r="A17" s="94" t="s">
        <v>305</v>
      </c>
      <c r="B17" s="80">
        <v>2808</v>
      </c>
      <c r="C17" s="48" t="s">
        <v>38</v>
      </c>
      <c r="D17" s="48" t="s">
        <v>37</v>
      </c>
      <c r="E17" s="48"/>
      <c r="F17" s="48">
        <v>32.799999999999997</v>
      </c>
      <c r="G17" s="48">
        <v>2.69</v>
      </c>
      <c r="H17" s="82">
        <f t="shared" ref="H17:H19" si="12">F17+(G17/2)</f>
        <v>34.144999999999996</v>
      </c>
      <c r="I17" s="82">
        <f t="shared" ref="I17:I19" si="13">F17+G17</f>
        <v>35.489999999999995</v>
      </c>
      <c r="J17" s="49">
        <v>3975</v>
      </c>
      <c r="K17" s="50">
        <v>0</v>
      </c>
      <c r="L17" s="48">
        <v>0</v>
      </c>
      <c r="M17" s="48">
        <v>0</v>
      </c>
      <c r="N17" s="51">
        <f t="shared" ref="N17:N19" si="14">O17-R17</f>
        <v>3577.5</v>
      </c>
      <c r="O17" s="52">
        <f t="shared" ref="O17:O19" si="15">J17*(100%-K17)+L17+M17</f>
        <v>3975</v>
      </c>
      <c r="P17" s="79">
        <f t="shared" ref="P17:P19" si="16">(N17-L17-M17)/H17</f>
        <v>104.77375896910237</v>
      </c>
      <c r="Q17" s="53">
        <f t="shared" ref="Q17:Q19" si="17">IF((O17-N17)/O17&gt;10%,10%,ROUND(IF(O17&gt;N17,(O17-N17)/O17,0),4))</f>
        <v>0.1</v>
      </c>
      <c r="R17" s="54">
        <f t="shared" ref="R17:R19" si="18">(J17-J17*K17)*0.1</f>
        <v>397.5</v>
      </c>
      <c r="S17" s="53">
        <v>0.8</v>
      </c>
      <c r="T17" s="54">
        <f t="shared" ref="T17:T19" si="19">S17*O17</f>
        <v>3180</v>
      </c>
      <c r="U17" s="53">
        <f t="shared" ref="U17:U19" si="20">100%-Q17-S17</f>
        <v>9.9999999999999978E-2</v>
      </c>
      <c r="V17" s="54">
        <f t="shared" ref="V17:V19" si="21">O17*U17</f>
        <v>397.49999999999989</v>
      </c>
      <c r="W17" s="55">
        <f ca="1">V17*VLOOKUP(TODAY(),'UF HOY'!$A$2:$B$36,2,0)</f>
        <v>15794241.149999997</v>
      </c>
      <c r="X17" s="56">
        <f>Datos!$K$6</f>
        <v>36</v>
      </c>
      <c r="Y17" s="55">
        <f ca="1">IF((W17-Datos!$U$6-1000000)/X17&gt;0,(W17-Datos!$U$6-1000000)/X17,0)</f>
        <v>408173.36527777766</v>
      </c>
      <c r="Z17" s="56">
        <f>Datos!$K$6</f>
        <v>36</v>
      </c>
      <c r="AA17" s="55">
        <f ca="1">IF((W17-Datos!$U$6-1000000-O17*3%*VLOOKUP(TODAY(),'UF HOY'!$A$2:$B$36,2,0))/Z17&gt;0,(W17-Datos!$U$6-1000000-O17*3%*VLOOKUP(TODAY(),'UF HOY'!$A$2:$B$36,2,0))/Z17,0)</f>
        <v>276554.68902777764</v>
      </c>
      <c r="AB17" s="55">
        <f>IF(L17&gt;0,VLOOKUP(D17,Datos!$A$36:$C$40,3,0),VLOOKUP(D17,Datos!$A$36:$C$40,2,0))</f>
        <v>450000</v>
      </c>
      <c r="AC17" s="55">
        <f ca="1">(S17*PMT(Datos!$G$15,Datos!$G$14,-O17,,)*VLOOKUP(TODAY(),'UF HOY'!$A$2:$B$36,2,0)/12)+VLOOKUP(TODAY(),'UF HOY'!$A$2:$B$36,2,0)</f>
        <v>648655.62763030222</v>
      </c>
      <c r="AD17" s="55">
        <f t="shared" ref="AD17:AD19" ca="1" si="22">AB17-AC17</f>
        <v>-198655.62763030222</v>
      </c>
      <c r="AE17" s="93">
        <f t="shared" ref="AE17:AE19" ca="1" si="23">IF((AC17/0.25)&lt;=1600000,1600000,(AC17/0.25))</f>
        <v>2594622.5105212089</v>
      </c>
    </row>
    <row r="18" spans="1:31" s="3" customFormat="1" x14ac:dyDescent="0.35">
      <c r="A18" s="94" t="s">
        <v>305</v>
      </c>
      <c r="B18" s="80">
        <v>3008</v>
      </c>
      <c r="C18" s="48" t="s">
        <v>38</v>
      </c>
      <c r="D18" s="48" t="s">
        <v>37</v>
      </c>
      <c r="E18" s="48"/>
      <c r="F18" s="48">
        <v>32.799999999999997</v>
      </c>
      <c r="G18" s="48">
        <v>2.69</v>
      </c>
      <c r="H18" s="82">
        <f t="shared" si="12"/>
        <v>34.144999999999996</v>
      </c>
      <c r="I18" s="82">
        <f t="shared" si="13"/>
        <v>35.489999999999995</v>
      </c>
      <c r="J18" s="49">
        <v>3975</v>
      </c>
      <c r="K18" s="50">
        <v>0</v>
      </c>
      <c r="L18" s="48">
        <v>0</v>
      </c>
      <c r="M18" s="48">
        <v>0</v>
      </c>
      <c r="N18" s="51">
        <f t="shared" si="14"/>
        <v>3577.5</v>
      </c>
      <c r="O18" s="52">
        <f t="shared" si="15"/>
        <v>3975</v>
      </c>
      <c r="P18" s="79">
        <f t="shared" si="16"/>
        <v>104.77375896910237</v>
      </c>
      <c r="Q18" s="53">
        <f t="shared" si="17"/>
        <v>0.1</v>
      </c>
      <c r="R18" s="54">
        <f t="shared" si="18"/>
        <v>397.5</v>
      </c>
      <c r="S18" s="53">
        <v>0.8</v>
      </c>
      <c r="T18" s="54">
        <f t="shared" si="19"/>
        <v>3180</v>
      </c>
      <c r="U18" s="53">
        <f t="shared" si="20"/>
        <v>9.9999999999999978E-2</v>
      </c>
      <c r="V18" s="54">
        <f t="shared" si="21"/>
        <v>397.49999999999989</v>
      </c>
      <c r="W18" s="55">
        <f ca="1">V18*VLOOKUP(TODAY(),'UF HOY'!$A$2:$B$36,2,0)</f>
        <v>15794241.149999997</v>
      </c>
      <c r="X18" s="56">
        <f>Datos!$K$6</f>
        <v>36</v>
      </c>
      <c r="Y18" s="55">
        <f ca="1">IF((W18-Datos!$U$6-1000000)/X18&gt;0,(W18-Datos!$U$6-1000000)/X18,0)</f>
        <v>408173.36527777766</v>
      </c>
      <c r="Z18" s="56">
        <f>Datos!$K$6</f>
        <v>36</v>
      </c>
      <c r="AA18" s="55">
        <f ca="1">IF((W18-Datos!$U$6-1000000-O18*3%*VLOOKUP(TODAY(),'UF HOY'!$A$2:$B$36,2,0))/Z18&gt;0,(W18-Datos!$U$6-1000000-O18*3%*VLOOKUP(TODAY(),'UF HOY'!$A$2:$B$36,2,0))/Z18,0)</f>
        <v>276554.68902777764</v>
      </c>
      <c r="AB18" s="55">
        <f>IF(L18&gt;0,VLOOKUP(D18,Datos!$A$36:$C$40,3,0),VLOOKUP(D18,Datos!$A$36:$C$40,2,0))</f>
        <v>450000</v>
      </c>
      <c r="AC18" s="55">
        <f ca="1">(S18*PMT(Datos!$G$15,Datos!$G$14,-O18,,)*VLOOKUP(TODAY(),'UF HOY'!$A$2:$B$36,2,0)/12)+VLOOKUP(TODAY(),'UF HOY'!$A$2:$B$36,2,0)</f>
        <v>648655.62763030222</v>
      </c>
      <c r="AD18" s="55">
        <f t="shared" ca="1" si="22"/>
        <v>-198655.62763030222</v>
      </c>
      <c r="AE18" s="93">
        <f t="shared" ca="1" si="23"/>
        <v>2594622.5105212089</v>
      </c>
    </row>
    <row r="19" spans="1:31" s="3" customFormat="1" x14ac:dyDescent="0.35">
      <c r="A19" s="94" t="s">
        <v>305</v>
      </c>
      <c r="B19" s="80">
        <v>3007</v>
      </c>
      <c r="C19" s="48" t="s">
        <v>38</v>
      </c>
      <c r="D19" s="48" t="s">
        <v>37</v>
      </c>
      <c r="E19" s="48"/>
      <c r="F19" s="48">
        <v>32.81</v>
      </c>
      <c r="G19" s="48">
        <v>2.68</v>
      </c>
      <c r="H19" s="82">
        <f t="shared" si="12"/>
        <v>34.150000000000006</v>
      </c>
      <c r="I19" s="82">
        <f t="shared" si="13"/>
        <v>35.49</v>
      </c>
      <c r="J19" s="49">
        <v>3980</v>
      </c>
      <c r="K19" s="50">
        <v>0</v>
      </c>
      <c r="L19" s="48">
        <v>0</v>
      </c>
      <c r="M19" s="48">
        <v>0</v>
      </c>
      <c r="N19" s="51">
        <f t="shared" si="14"/>
        <v>3582</v>
      </c>
      <c r="O19" s="52">
        <f t="shared" si="15"/>
        <v>3980</v>
      </c>
      <c r="P19" s="79">
        <f t="shared" si="16"/>
        <v>104.89019033674961</v>
      </c>
      <c r="Q19" s="53">
        <f t="shared" si="17"/>
        <v>0.1</v>
      </c>
      <c r="R19" s="54">
        <f t="shared" si="18"/>
        <v>398</v>
      </c>
      <c r="S19" s="53">
        <v>0.8</v>
      </c>
      <c r="T19" s="54">
        <f t="shared" si="19"/>
        <v>3184</v>
      </c>
      <c r="U19" s="53">
        <f t="shared" si="20"/>
        <v>9.9999999999999978E-2</v>
      </c>
      <c r="V19" s="54">
        <f t="shared" si="21"/>
        <v>397.99999999999989</v>
      </c>
      <c r="W19" s="55">
        <f ca="1">V19*VLOOKUP(TODAY(),'UF HOY'!$A$2:$B$36,2,0)</f>
        <v>15814108.119999997</v>
      </c>
      <c r="X19" s="56">
        <f>Datos!$K$6</f>
        <v>36</v>
      </c>
      <c r="Y19" s="55">
        <f ca="1">IF((W19-Datos!$U$6-1000000)/X19&gt;0,(W19-Datos!$U$6-1000000)/X19,0)</f>
        <v>408725.22555555549</v>
      </c>
      <c r="Z19" s="56">
        <f>Datos!$K$6</f>
        <v>36</v>
      </c>
      <c r="AA19" s="55">
        <f ca="1">IF((W19-Datos!$U$6-1000000-O19*3%*VLOOKUP(TODAY(),'UF HOY'!$A$2:$B$36,2,0))/Z19&gt;0,(W19-Datos!$U$6-1000000-O19*3%*VLOOKUP(TODAY(),'UF HOY'!$A$2:$B$36,2,0))/Z19,0)</f>
        <v>276940.9912222221</v>
      </c>
      <c r="AB19" s="55">
        <f>IF(L19&gt;0,VLOOKUP(D19,Datos!$A$36:$C$40,3,0),VLOOKUP(D19,Datos!$A$36:$C$40,2,0))</f>
        <v>450000</v>
      </c>
      <c r="AC19" s="55">
        <f ca="1">(S19*PMT(Datos!$G$15,Datos!$G$14,-O19,,)*VLOOKUP(TODAY(),'UF HOY'!$A$2:$B$36,2,0)/12)+VLOOKUP(TODAY(),'UF HOY'!$A$2:$B$36,2,0)</f>
        <v>649421.56686002598</v>
      </c>
      <c r="AD19" s="55">
        <f t="shared" ca="1" si="22"/>
        <v>-199421.56686002598</v>
      </c>
      <c r="AE19" s="93">
        <f t="shared" ca="1" si="23"/>
        <v>2597686.2674401039</v>
      </c>
    </row>
    <row r="20" spans="1:31" s="3" customFormat="1" hidden="1" x14ac:dyDescent="0.35">
      <c r="A20" s="94" t="s">
        <v>355</v>
      </c>
      <c r="B20" s="80">
        <v>2508</v>
      </c>
      <c r="C20" s="48" t="s">
        <v>38</v>
      </c>
      <c r="D20" s="48" t="s">
        <v>37</v>
      </c>
      <c r="E20" s="48"/>
      <c r="F20" s="48">
        <v>35.619999999999997</v>
      </c>
      <c r="G20" s="48"/>
      <c r="H20" s="82">
        <f t="shared" si="0"/>
        <v>35.619999999999997</v>
      </c>
      <c r="I20" s="82">
        <f t="shared" si="1"/>
        <v>35.619999999999997</v>
      </c>
      <c r="J20" s="49">
        <v>3960</v>
      </c>
      <c r="K20" s="50">
        <v>0</v>
      </c>
      <c r="L20" s="48">
        <v>0</v>
      </c>
      <c r="M20" s="48">
        <v>0</v>
      </c>
      <c r="N20" s="51">
        <f t="shared" si="2"/>
        <v>3564</v>
      </c>
      <c r="O20" s="52">
        <f t="shared" si="3"/>
        <v>3960</v>
      </c>
      <c r="P20" s="79">
        <f t="shared" si="4"/>
        <v>100.05614823133072</v>
      </c>
      <c r="Q20" s="53">
        <f t="shared" si="5"/>
        <v>0.1</v>
      </c>
      <c r="R20" s="54">
        <f t="shared" si="6"/>
        <v>396</v>
      </c>
      <c r="S20" s="53">
        <v>0.8</v>
      </c>
      <c r="T20" s="54">
        <f t="shared" si="7"/>
        <v>3168</v>
      </c>
      <c r="U20" s="53">
        <f t="shared" si="8"/>
        <v>9.9999999999999978E-2</v>
      </c>
      <c r="V20" s="54">
        <f t="shared" si="9"/>
        <v>395.99999999999989</v>
      </c>
      <c r="W20" s="55">
        <f ca="1">V20*VLOOKUP(TODAY(),'UF HOY'!$A$2:$B$36,2,0)</f>
        <v>15734640.239999996</v>
      </c>
      <c r="X20" s="56">
        <f>Datos!$K$6</f>
        <v>36</v>
      </c>
      <c r="Y20" s="55">
        <f ca="1">IF((W20-Datos!$U$6-1000000)/X20&gt;0,(W20-Datos!$U$6-1000000)/X20,0)</f>
        <v>406517.78444444435</v>
      </c>
      <c r="Z20" s="56">
        <f>Datos!$K$6</f>
        <v>36</v>
      </c>
      <c r="AA20" s="55">
        <f ca="1">IF((W20-Datos!$U$6-1000000-O20*3%*VLOOKUP(TODAY(),'UF HOY'!$A$2:$B$36,2,0))/Z20&gt;0,(W20-Datos!$U$6-1000000-O20*3%*VLOOKUP(TODAY(),'UF HOY'!$A$2:$B$36,2,0))/Z20,0)</f>
        <v>275395.78244444431</v>
      </c>
      <c r="AB20" s="55">
        <f>IF(L20&gt;0,VLOOKUP(D20,Datos!$A$36:$C$40,3,0),VLOOKUP(D20,Datos!$A$36:$C$40,2,0))</f>
        <v>450000</v>
      </c>
      <c r="AC20" s="55">
        <f ca="1">(S20*PMT(Datos!$G$15,Datos!$G$14,-O20,,)*VLOOKUP(TODAY(),'UF HOY'!$A$2:$B$36,2,0)/12)+VLOOKUP(TODAY(),'UF HOY'!$A$2:$B$36,2,0)</f>
        <v>646357.80994113116</v>
      </c>
      <c r="AD20" s="55">
        <f t="shared" ca="1" si="10"/>
        <v>-196357.80994113116</v>
      </c>
      <c r="AE20" s="93">
        <f t="shared" ca="1" si="11"/>
        <v>2585431.2397645246</v>
      </c>
    </row>
    <row r="21" spans="1:31" s="3" customFormat="1" hidden="1" x14ac:dyDescent="0.35">
      <c r="A21" s="94" t="s">
        <v>355</v>
      </c>
      <c r="B21" s="80">
        <v>2707</v>
      </c>
      <c r="C21" s="48" t="s">
        <v>38</v>
      </c>
      <c r="D21" s="48" t="s">
        <v>37</v>
      </c>
      <c r="E21" s="48"/>
      <c r="F21" s="48">
        <v>35.61</v>
      </c>
      <c r="G21" s="48"/>
      <c r="H21" s="82">
        <f t="shared" si="0"/>
        <v>35.61</v>
      </c>
      <c r="I21" s="82">
        <f t="shared" si="1"/>
        <v>35.61</v>
      </c>
      <c r="J21" s="49">
        <v>3980</v>
      </c>
      <c r="K21" s="50">
        <v>0</v>
      </c>
      <c r="L21" s="48">
        <v>0</v>
      </c>
      <c r="M21" s="48">
        <v>0</v>
      </c>
      <c r="N21" s="51">
        <f t="shared" si="2"/>
        <v>3582</v>
      </c>
      <c r="O21" s="52">
        <f t="shared" si="3"/>
        <v>3980</v>
      </c>
      <c r="P21" s="79">
        <f t="shared" si="4"/>
        <v>100.58972198820557</v>
      </c>
      <c r="Q21" s="53">
        <f t="shared" si="5"/>
        <v>0.1</v>
      </c>
      <c r="R21" s="54">
        <f t="shared" si="6"/>
        <v>398</v>
      </c>
      <c r="S21" s="53">
        <v>0.8</v>
      </c>
      <c r="T21" s="54">
        <f t="shared" si="7"/>
        <v>3184</v>
      </c>
      <c r="U21" s="53">
        <f t="shared" si="8"/>
        <v>9.9999999999999978E-2</v>
      </c>
      <c r="V21" s="54">
        <f t="shared" si="9"/>
        <v>397.99999999999989</v>
      </c>
      <c r="W21" s="55">
        <f ca="1">V21*VLOOKUP(TODAY(),'UF HOY'!$A$2:$B$36,2,0)</f>
        <v>15814108.119999997</v>
      </c>
      <c r="X21" s="56">
        <f>Datos!$K$6</f>
        <v>36</v>
      </c>
      <c r="Y21" s="55">
        <f ca="1">IF((W21-Datos!$U$6-1000000)/X21&gt;0,(W21-Datos!$U$6-1000000)/X21,0)</f>
        <v>408725.22555555549</v>
      </c>
      <c r="Z21" s="56">
        <f>Datos!$K$6</f>
        <v>36</v>
      </c>
      <c r="AA21" s="55">
        <f ca="1">IF((W21-Datos!$U$6-1000000-O21*3%*VLOOKUP(TODAY(),'UF HOY'!$A$2:$B$36,2,0))/Z21&gt;0,(W21-Datos!$U$6-1000000-O21*3%*VLOOKUP(TODAY(),'UF HOY'!$A$2:$B$36,2,0))/Z21,0)</f>
        <v>276940.9912222221</v>
      </c>
      <c r="AB21" s="55">
        <f>IF(L21&gt;0,VLOOKUP(D21,Datos!$A$36:$C$40,3,0),VLOOKUP(D21,Datos!$A$36:$C$40,2,0))</f>
        <v>450000</v>
      </c>
      <c r="AC21" s="55">
        <f ca="1">(S21*PMT(Datos!$G$15,Datos!$G$14,-O21,,)*VLOOKUP(TODAY(),'UF HOY'!$A$2:$B$36,2,0)/12)+VLOOKUP(TODAY(),'UF HOY'!$A$2:$B$36,2,0)</f>
        <v>649421.56686002598</v>
      </c>
      <c r="AD21" s="55">
        <f t="shared" ca="1" si="10"/>
        <v>-199421.56686002598</v>
      </c>
      <c r="AE21" s="93">
        <f t="shared" ca="1" si="11"/>
        <v>2597686.2674401039</v>
      </c>
    </row>
    <row r="22" spans="1:31" s="3" customFormat="1" hidden="1" x14ac:dyDescent="0.35">
      <c r="A22" s="94" t="s">
        <v>355</v>
      </c>
      <c r="B22" s="80">
        <v>2807</v>
      </c>
      <c r="C22" s="48" t="s">
        <v>38</v>
      </c>
      <c r="D22" s="48" t="s">
        <v>37</v>
      </c>
      <c r="E22" s="48"/>
      <c r="F22" s="48">
        <v>35.61</v>
      </c>
      <c r="G22" s="48"/>
      <c r="H22" s="82">
        <f t="shared" si="0"/>
        <v>35.61</v>
      </c>
      <c r="I22" s="82">
        <f t="shared" si="1"/>
        <v>35.61</v>
      </c>
      <c r="J22" s="49">
        <v>3990</v>
      </c>
      <c r="K22" s="50">
        <v>0</v>
      </c>
      <c r="L22" s="48">
        <v>0</v>
      </c>
      <c r="M22" s="48">
        <v>0</v>
      </c>
      <c r="N22" s="51">
        <f t="shared" si="2"/>
        <v>3591</v>
      </c>
      <c r="O22" s="52">
        <f t="shared" si="3"/>
        <v>3990</v>
      </c>
      <c r="P22" s="79">
        <f t="shared" si="4"/>
        <v>100.8424599831508</v>
      </c>
      <c r="Q22" s="53">
        <f t="shared" si="5"/>
        <v>0.1</v>
      </c>
      <c r="R22" s="54">
        <f t="shared" si="6"/>
        <v>399</v>
      </c>
      <c r="S22" s="53">
        <v>0.8</v>
      </c>
      <c r="T22" s="54">
        <f t="shared" si="7"/>
        <v>3192</v>
      </c>
      <c r="U22" s="53">
        <f t="shared" si="8"/>
        <v>9.9999999999999978E-2</v>
      </c>
      <c r="V22" s="54">
        <f t="shared" si="9"/>
        <v>398.99999999999989</v>
      </c>
      <c r="W22" s="55">
        <f ca="1">V22*VLOOKUP(TODAY(),'UF HOY'!$A$2:$B$36,2,0)</f>
        <v>15853842.059999997</v>
      </c>
      <c r="X22" s="56">
        <f>Datos!$K$6</f>
        <v>36</v>
      </c>
      <c r="Y22" s="55">
        <f ca="1">IF((W22-Datos!$U$6-1000000)/X22&gt;0,(W22-Datos!$U$6-1000000)/X22,0)</f>
        <v>409828.94611111103</v>
      </c>
      <c r="Z22" s="56">
        <f>Datos!$K$6</f>
        <v>36</v>
      </c>
      <c r="AA22" s="55">
        <f ca="1">IF((W22-Datos!$U$6-1000000-O22*3%*VLOOKUP(TODAY(),'UF HOY'!$A$2:$B$36,2,0))/Z22&gt;0,(W22-Datos!$U$6-1000000-O22*3%*VLOOKUP(TODAY(),'UF HOY'!$A$2:$B$36,2,0))/Z22,0)</f>
        <v>277713.59561111103</v>
      </c>
      <c r="AB22" s="55">
        <f>IF(L22&gt;0,VLOOKUP(D22,Datos!$A$36:$C$40,3,0),VLOOKUP(D22,Datos!$A$36:$C$40,2,0))</f>
        <v>450000</v>
      </c>
      <c r="AC22" s="55">
        <f ca="1">(S22*PMT(Datos!$G$15,Datos!$G$14,-O22,,)*VLOOKUP(TODAY(),'UF HOY'!$A$2:$B$36,2,0)/12)+VLOOKUP(TODAY(),'UF HOY'!$A$2:$B$36,2,0)</f>
        <v>650953.44531947328</v>
      </c>
      <c r="AD22" s="55">
        <f t="shared" ca="1" si="10"/>
        <v>-200953.44531947328</v>
      </c>
      <c r="AE22" s="93">
        <f t="shared" ca="1" si="11"/>
        <v>2603813.7812778931</v>
      </c>
    </row>
    <row r="23" spans="1:31" s="3" customFormat="1" x14ac:dyDescent="0.35">
      <c r="A23" s="94" t="s">
        <v>305</v>
      </c>
      <c r="B23" s="80">
        <v>2908</v>
      </c>
      <c r="C23" s="48" t="s">
        <v>38</v>
      </c>
      <c r="D23" s="48" t="s">
        <v>37</v>
      </c>
      <c r="E23" s="48"/>
      <c r="F23" s="48">
        <v>32.799999999999997</v>
      </c>
      <c r="G23" s="48">
        <v>2.69</v>
      </c>
      <c r="H23" s="82">
        <f t="shared" si="0"/>
        <v>34.144999999999996</v>
      </c>
      <c r="I23" s="82">
        <f t="shared" si="1"/>
        <v>35.489999999999995</v>
      </c>
      <c r="J23" s="49">
        <v>3990</v>
      </c>
      <c r="K23" s="50">
        <v>0</v>
      </c>
      <c r="L23" s="48">
        <v>0</v>
      </c>
      <c r="M23" s="48">
        <v>0</v>
      </c>
      <c r="N23" s="51">
        <f t="shared" si="2"/>
        <v>3591</v>
      </c>
      <c r="O23" s="52">
        <f t="shared" si="3"/>
        <v>3990</v>
      </c>
      <c r="P23" s="79">
        <f t="shared" si="4"/>
        <v>105.16913164445748</v>
      </c>
      <c r="Q23" s="53">
        <f t="shared" si="5"/>
        <v>0.1</v>
      </c>
      <c r="R23" s="54">
        <f t="shared" si="6"/>
        <v>399</v>
      </c>
      <c r="S23" s="53">
        <v>0.8</v>
      </c>
      <c r="T23" s="54">
        <f t="shared" si="7"/>
        <v>3192</v>
      </c>
      <c r="U23" s="53">
        <f t="shared" si="8"/>
        <v>9.9999999999999978E-2</v>
      </c>
      <c r="V23" s="54">
        <f t="shared" si="9"/>
        <v>398.99999999999989</v>
      </c>
      <c r="W23" s="55">
        <f ca="1">V23*VLOOKUP(TODAY(),'UF HOY'!$A$2:$B$36,2,0)</f>
        <v>15853842.059999997</v>
      </c>
      <c r="X23" s="56">
        <f>Datos!$K$6</f>
        <v>36</v>
      </c>
      <c r="Y23" s="55">
        <f ca="1">IF((W23-Datos!$U$6-1000000)/X23&gt;0,(W23-Datos!$U$6-1000000)/X23,0)</f>
        <v>409828.94611111103</v>
      </c>
      <c r="Z23" s="56">
        <f>Datos!$K$6</f>
        <v>36</v>
      </c>
      <c r="AA23" s="55">
        <f ca="1">IF((W23-Datos!$U$6-1000000-O23*3%*VLOOKUP(TODAY(),'UF HOY'!$A$2:$B$36,2,0))/Z23&gt;0,(W23-Datos!$U$6-1000000-O23*3%*VLOOKUP(TODAY(),'UF HOY'!$A$2:$B$36,2,0))/Z23,0)</f>
        <v>277713.59561111103</v>
      </c>
      <c r="AB23" s="55">
        <f>IF(L23&gt;0,VLOOKUP(D23,Datos!$A$36:$C$40,3,0),VLOOKUP(D23,Datos!$A$36:$C$40,2,0))</f>
        <v>450000</v>
      </c>
      <c r="AC23" s="55">
        <f ca="1">(S23*PMT(Datos!$G$15,Datos!$G$14,-O23,,)*VLOOKUP(TODAY(),'UF HOY'!$A$2:$B$36,2,0)/12)+VLOOKUP(TODAY(),'UF HOY'!$A$2:$B$36,2,0)</f>
        <v>650953.44531947328</v>
      </c>
      <c r="AD23" s="55">
        <f t="shared" ca="1" si="10"/>
        <v>-200953.44531947328</v>
      </c>
      <c r="AE23" s="93">
        <f t="shared" ca="1" si="11"/>
        <v>2603813.7812778931</v>
      </c>
    </row>
    <row r="24" spans="1:31" s="3" customFormat="1" x14ac:dyDescent="0.35">
      <c r="A24" s="94" t="s">
        <v>305</v>
      </c>
      <c r="B24" s="80">
        <v>2907</v>
      </c>
      <c r="C24" s="48" t="s">
        <v>38</v>
      </c>
      <c r="D24" s="48" t="s">
        <v>37</v>
      </c>
      <c r="E24" s="48"/>
      <c r="F24" s="48">
        <v>32.81</v>
      </c>
      <c r="G24" s="48">
        <v>2.68</v>
      </c>
      <c r="H24" s="82">
        <f t="shared" si="0"/>
        <v>34.150000000000006</v>
      </c>
      <c r="I24" s="82">
        <f t="shared" si="1"/>
        <v>35.49</v>
      </c>
      <c r="J24" s="49">
        <v>3995</v>
      </c>
      <c r="K24" s="50">
        <v>0</v>
      </c>
      <c r="L24" s="48">
        <v>0</v>
      </c>
      <c r="M24" s="48">
        <v>0</v>
      </c>
      <c r="N24" s="51">
        <f t="shared" si="2"/>
        <v>3595.5</v>
      </c>
      <c r="O24" s="52">
        <f t="shared" si="3"/>
        <v>3995</v>
      </c>
      <c r="P24" s="79">
        <f t="shared" si="4"/>
        <v>105.28550512445094</v>
      </c>
      <c r="Q24" s="53">
        <f t="shared" si="5"/>
        <v>0.1</v>
      </c>
      <c r="R24" s="54">
        <f t="shared" si="6"/>
        <v>399.5</v>
      </c>
      <c r="S24" s="53">
        <v>0.8</v>
      </c>
      <c r="T24" s="54">
        <f t="shared" si="7"/>
        <v>3196</v>
      </c>
      <c r="U24" s="53">
        <f t="shared" si="8"/>
        <v>9.9999999999999978E-2</v>
      </c>
      <c r="V24" s="54">
        <f t="shared" si="9"/>
        <v>399.49999999999989</v>
      </c>
      <c r="W24" s="55">
        <f ca="1">V24*VLOOKUP(TODAY(),'UF HOY'!$A$2:$B$36,2,0)</f>
        <v>15873709.029999996</v>
      </c>
      <c r="X24" s="56">
        <f>Datos!$K$6</f>
        <v>36</v>
      </c>
      <c r="Y24" s="55">
        <f ca="1">IF((W24-Datos!$U$6-1000000)/X24&gt;0,(W24-Datos!$U$6-1000000)/X24,0)</f>
        <v>410380.80638888874</v>
      </c>
      <c r="Z24" s="56">
        <f>Datos!$K$6</f>
        <v>36</v>
      </c>
      <c r="AA24" s="55">
        <f ca="1">IF((W24-Datos!$U$6-1000000-O24*3%*VLOOKUP(TODAY(),'UF HOY'!$A$2:$B$36,2,0))/Z24&gt;0,(W24-Datos!$U$6-1000000-O24*3%*VLOOKUP(TODAY(),'UF HOY'!$A$2:$B$36,2,0))/Z24,0)</f>
        <v>278099.89780555543</v>
      </c>
      <c r="AB24" s="55">
        <f>IF(L24&gt;0,VLOOKUP(D24,Datos!$A$36:$C$40,3,0),VLOOKUP(D24,Datos!$A$36:$C$40,2,0))</f>
        <v>450000</v>
      </c>
      <c r="AC24" s="55">
        <f ca="1">(S24*PMT(Datos!$G$15,Datos!$G$14,-O24,,)*VLOOKUP(TODAY(),'UF HOY'!$A$2:$B$36,2,0)/12)+VLOOKUP(TODAY(),'UF HOY'!$A$2:$B$36,2,0)</f>
        <v>651719.38454919681</v>
      </c>
      <c r="AD24" s="55">
        <f t="shared" ca="1" si="10"/>
        <v>-201719.38454919681</v>
      </c>
      <c r="AE24" s="93">
        <f t="shared" ca="1" si="11"/>
        <v>2606877.5381967872</v>
      </c>
    </row>
    <row r="25" spans="1:31" s="3" customFormat="1" x14ac:dyDescent="0.35">
      <c r="A25" s="94" t="s">
        <v>305</v>
      </c>
      <c r="B25" s="80">
        <v>1113</v>
      </c>
      <c r="C25" s="48" t="s">
        <v>41</v>
      </c>
      <c r="D25" s="48" t="s">
        <v>37</v>
      </c>
      <c r="E25" s="48"/>
      <c r="F25" s="48">
        <v>34.93</v>
      </c>
      <c r="G25" s="48">
        <v>2.64</v>
      </c>
      <c r="H25" s="82">
        <f t="shared" si="0"/>
        <v>36.25</v>
      </c>
      <c r="I25" s="82">
        <f t="shared" si="1"/>
        <v>37.57</v>
      </c>
      <c r="J25" s="49">
        <v>4005</v>
      </c>
      <c r="K25" s="50">
        <v>0</v>
      </c>
      <c r="L25" s="48">
        <v>0</v>
      </c>
      <c r="M25" s="48">
        <v>0</v>
      </c>
      <c r="N25" s="51">
        <f t="shared" si="2"/>
        <v>3604.5</v>
      </c>
      <c r="O25" s="52">
        <f t="shared" si="3"/>
        <v>4005</v>
      </c>
      <c r="P25" s="79">
        <f t="shared" si="4"/>
        <v>99.434482758620689</v>
      </c>
      <c r="Q25" s="53">
        <f t="shared" si="5"/>
        <v>0.1</v>
      </c>
      <c r="R25" s="54">
        <f t="shared" si="6"/>
        <v>400.5</v>
      </c>
      <c r="S25" s="53">
        <v>0.8</v>
      </c>
      <c r="T25" s="54">
        <f t="shared" si="7"/>
        <v>3204</v>
      </c>
      <c r="U25" s="53">
        <f t="shared" si="8"/>
        <v>9.9999999999999978E-2</v>
      </c>
      <c r="V25" s="54">
        <f t="shared" si="9"/>
        <v>400.49999999999989</v>
      </c>
      <c r="W25" s="55">
        <f ca="1">V25*VLOOKUP(TODAY(),'UF HOY'!$A$2:$B$36,2,0)</f>
        <v>15913442.969999997</v>
      </c>
      <c r="X25" s="56">
        <f>Datos!$K$6</f>
        <v>36</v>
      </c>
      <c r="Y25" s="55">
        <f ca="1">IF((W25-Datos!$U$6-1000000)/X25&gt;0,(W25-Datos!$U$6-1000000)/X25,0)</f>
        <v>411484.52694444434</v>
      </c>
      <c r="Z25" s="56">
        <f>Datos!$K$6</f>
        <v>36</v>
      </c>
      <c r="AA25" s="55">
        <f ca="1">IF((W25-Datos!$U$6-1000000-O25*3%*VLOOKUP(TODAY(),'UF HOY'!$A$2:$B$36,2,0))/Z25&gt;0,(W25-Datos!$U$6-1000000-O25*3%*VLOOKUP(TODAY(),'UF HOY'!$A$2:$B$36,2,0))/Z25,0)</f>
        <v>278872.50219444436</v>
      </c>
      <c r="AB25" s="55">
        <f>IF(L25&gt;0,VLOOKUP(D25,Datos!$A$36:$C$40,3,0),VLOOKUP(D25,Datos!$A$36:$C$40,2,0))</f>
        <v>450000</v>
      </c>
      <c r="AC25" s="55">
        <f ca="1">(S25*PMT(Datos!$G$15,Datos!$G$14,-O25,,)*VLOOKUP(TODAY(),'UF HOY'!$A$2:$B$36,2,0)/12)+VLOOKUP(TODAY(),'UF HOY'!$A$2:$B$36,2,0)</f>
        <v>653251.26300864411</v>
      </c>
      <c r="AD25" s="55">
        <f t="shared" ca="1" si="10"/>
        <v>-203251.26300864411</v>
      </c>
      <c r="AE25" s="93">
        <f t="shared" ca="1" si="11"/>
        <v>2613005.0520345764</v>
      </c>
    </row>
    <row r="26" spans="1:31" s="3" customFormat="1" x14ac:dyDescent="0.35">
      <c r="A26" s="94" t="s">
        <v>305</v>
      </c>
      <c r="B26" s="80">
        <v>2002</v>
      </c>
      <c r="C26" s="48" t="s">
        <v>40</v>
      </c>
      <c r="D26" s="48" t="s">
        <v>37</v>
      </c>
      <c r="E26" s="48"/>
      <c r="F26" s="48">
        <v>34.049999999999997</v>
      </c>
      <c r="G26" s="48">
        <v>2.74</v>
      </c>
      <c r="H26" s="82">
        <f t="shared" si="0"/>
        <v>35.419999999999995</v>
      </c>
      <c r="I26" s="82">
        <f t="shared" si="1"/>
        <v>36.79</v>
      </c>
      <c r="J26" s="49">
        <v>4005</v>
      </c>
      <c r="K26" s="50">
        <v>0</v>
      </c>
      <c r="L26" s="48">
        <v>0</v>
      </c>
      <c r="M26" s="48">
        <v>0</v>
      </c>
      <c r="N26" s="51">
        <f t="shared" si="2"/>
        <v>3604.5</v>
      </c>
      <c r="O26" s="52">
        <f t="shared" si="3"/>
        <v>4005</v>
      </c>
      <c r="P26" s="79">
        <f t="shared" si="4"/>
        <v>101.76453980801809</v>
      </c>
      <c r="Q26" s="53">
        <f t="shared" si="5"/>
        <v>0.1</v>
      </c>
      <c r="R26" s="54">
        <f t="shared" si="6"/>
        <v>400.5</v>
      </c>
      <c r="S26" s="53">
        <v>0.8</v>
      </c>
      <c r="T26" s="54">
        <f t="shared" si="7"/>
        <v>3204</v>
      </c>
      <c r="U26" s="53">
        <f t="shared" si="8"/>
        <v>9.9999999999999978E-2</v>
      </c>
      <c r="V26" s="54">
        <f t="shared" si="9"/>
        <v>400.49999999999989</v>
      </c>
      <c r="W26" s="55">
        <f ca="1">V26*VLOOKUP(TODAY(),'UF HOY'!$A$2:$B$36,2,0)</f>
        <v>15913442.969999997</v>
      </c>
      <c r="X26" s="56">
        <f>Datos!$K$6</f>
        <v>36</v>
      </c>
      <c r="Y26" s="55">
        <f ca="1">IF((W26-Datos!$U$6-1000000)/X26&gt;0,(W26-Datos!$U$6-1000000)/X26,0)</f>
        <v>411484.52694444434</v>
      </c>
      <c r="Z26" s="56">
        <f>Datos!$K$6</f>
        <v>36</v>
      </c>
      <c r="AA26" s="55">
        <f ca="1">IF((W26-Datos!$U$6-1000000-O26*3%*VLOOKUP(TODAY(),'UF HOY'!$A$2:$B$36,2,0))/Z26&gt;0,(W26-Datos!$U$6-1000000-O26*3%*VLOOKUP(TODAY(),'UF HOY'!$A$2:$B$36,2,0))/Z26,0)</f>
        <v>278872.50219444436</v>
      </c>
      <c r="AB26" s="55">
        <f>IF(L26&gt;0,VLOOKUP(D26,Datos!$A$36:$C$40,3,0),VLOOKUP(D26,Datos!$A$36:$C$40,2,0))</f>
        <v>450000</v>
      </c>
      <c r="AC26" s="55">
        <f ca="1">(S26*PMT(Datos!$G$15,Datos!$G$14,-O26,,)*VLOOKUP(TODAY(),'UF HOY'!$A$2:$B$36,2,0)/12)+VLOOKUP(TODAY(),'UF HOY'!$A$2:$B$36,2,0)</f>
        <v>653251.26300864411</v>
      </c>
      <c r="AD26" s="55">
        <f t="shared" ca="1" si="10"/>
        <v>-203251.26300864411</v>
      </c>
      <c r="AE26" s="93">
        <f t="shared" ca="1" si="11"/>
        <v>2613005.0520345764</v>
      </c>
    </row>
    <row r="27" spans="1:31" s="3" customFormat="1" x14ac:dyDescent="0.35">
      <c r="A27" s="94" t="s">
        <v>305</v>
      </c>
      <c r="B27" s="80">
        <v>1512</v>
      </c>
      <c r="C27" s="48" t="s">
        <v>41</v>
      </c>
      <c r="D27" s="48" t="s">
        <v>37</v>
      </c>
      <c r="E27" s="48"/>
      <c r="F27" s="48">
        <v>34.06</v>
      </c>
      <c r="G27" s="48">
        <v>2.66</v>
      </c>
      <c r="H27" s="82">
        <f t="shared" si="0"/>
        <v>35.39</v>
      </c>
      <c r="I27" s="82">
        <f t="shared" si="1"/>
        <v>36.72</v>
      </c>
      <c r="J27" s="49">
        <v>4015</v>
      </c>
      <c r="K27" s="50">
        <v>0</v>
      </c>
      <c r="L27" s="48">
        <v>0</v>
      </c>
      <c r="M27" s="48">
        <v>0</v>
      </c>
      <c r="N27" s="51">
        <f t="shared" si="2"/>
        <v>3613.5</v>
      </c>
      <c r="O27" s="52">
        <f t="shared" si="3"/>
        <v>4015</v>
      </c>
      <c r="P27" s="79">
        <f t="shared" si="4"/>
        <v>102.1051144391071</v>
      </c>
      <c r="Q27" s="53">
        <f t="shared" si="5"/>
        <v>0.1</v>
      </c>
      <c r="R27" s="54">
        <f t="shared" si="6"/>
        <v>401.5</v>
      </c>
      <c r="S27" s="53">
        <v>0.8</v>
      </c>
      <c r="T27" s="54">
        <f t="shared" si="7"/>
        <v>3212</v>
      </c>
      <c r="U27" s="53">
        <f t="shared" si="8"/>
        <v>9.9999999999999978E-2</v>
      </c>
      <c r="V27" s="54">
        <f t="shared" si="9"/>
        <v>401.49999999999989</v>
      </c>
      <c r="W27" s="55">
        <f ca="1">V27*VLOOKUP(TODAY(),'UF HOY'!$A$2:$B$36,2,0)</f>
        <v>15953176.909999996</v>
      </c>
      <c r="X27" s="56">
        <f>Datos!$K$6</f>
        <v>36</v>
      </c>
      <c r="Y27" s="55">
        <f ca="1">IF((W27-Datos!$U$6-1000000)/X27&gt;0,(W27-Datos!$U$6-1000000)/X27,0)</f>
        <v>412588.24749999988</v>
      </c>
      <c r="Z27" s="56">
        <f>Datos!$K$6</f>
        <v>36</v>
      </c>
      <c r="AA27" s="55">
        <f ca="1">IF((W27-Datos!$U$6-1000000-O27*3%*VLOOKUP(TODAY(),'UF HOY'!$A$2:$B$36,2,0))/Z27&gt;0,(W27-Datos!$U$6-1000000-O27*3%*VLOOKUP(TODAY(),'UF HOY'!$A$2:$B$36,2,0))/Z27,0)</f>
        <v>279645.10658333328</v>
      </c>
      <c r="AB27" s="55">
        <f>IF(L27&gt;0,VLOOKUP(D27,Datos!$A$36:$C$40,3,0),VLOOKUP(D27,Datos!$A$36:$C$40,2,0))</f>
        <v>450000</v>
      </c>
      <c r="AC27" s="55">
        <f ca="1">(S27*PMT(Datos!$G$15,Datos!$G$14,-O27,,)*VLOOKUP(TODAY(),'UF HOY'!$A$2:$B$36,2,0)/12)+VLOOKUP(TODAY(),'UF HOY'!$A$2:$B$36,2,0)</f>
        <v>654783.14146809164</v>
      </c>
      <c r="AD27" s="55">
        <f t="shared" ca="1" si="10"/>
        <v>-204783.14146809164</v>
      </c>
      <c r="AE27" s="93">
        <f t="shared" ca="1" si="11"/>
        <v>2619132.5658723665</v>
      </c>
    </row>
    <row r="28" spans="1:31" s="3" customFormat="1" x14ac:dyDescent="0.35">
      <c r="A28" s="94" t="s">
        <v>305</v>
      </c>
      <c r="B28" s="80">
        <v>1904</v>
      </c>
      <c r="C28" s="48" t="s">
        <v>40</v>
      </c>
      <c r="D28" s="48" t="s">
        <v>37</v>
      </c>
      <c r="E28" s="48"/>
      <c r="F28" s="48">
        <v>34.32</v>
      </c>
      <c r="G28" s="48">
        <v>2.71</v>
      </c>
      <c r="H28" s="82">
        <f t="shared" si="0"/>
        <v>35.674999999999997</v>
      </c>
      <c r="I28" s="82">
        <f t="shared" si="1"/>
        <v>37.03</v>
      </c>
      <c r="J28" s="49">
        <v>4015</v>
      </c>
      <c r="K28" s="50">
        <v>0</v>
      </c>
      <c r="L28" s="48">
        <v>0</v>
      </c>
      <c r="M28" s="48">
        <v>0</v>
      </c>
      <c r="N28" s="51">
        <f t="shared" si="2"/>
        <v>3613.5</v>
      </c>
      <c r="O28" s="52">
        <f t="shared" si="3"/>
        <v>4015</v>
      </c>
      <c r="P28" s="79">
        <f t="shared" si="4"/>
        <v>101.28941836019622</v>
      </c>
      <c r="Q28" s="53">
        <f t="shared" si="5"/>
        <v>0.1</v>
      </c>
      <c r="R28" s="54">
        <f t="shared" si="6"/>
        <v>401.5</v>
      </c>
      <c r="S28" s="53">
        <v>0.8</v>
      </c>
      <c r="T28" s="54">
        <f t="shared" si="7"/>
        <v>3212</v>
      </c>
      <c r="U28" s="53">
        <f t="shared" si="8"/>
        <v>9.9999999999999978E-2</v>
      </c>
      <c r="V28" s="54">
        <f t="shared" si="9"/>
        <v>401.49999999999989</v>
      </c>
      <c r="W28" s="55">
        <f ca="1">V28*VLOOKUP(TODAY(),'UF HOY'!$A$2:$B$36,2,0)</f>
        <v>15953176.909999996</v>
      </c>
      <c r="X28" s="56">
        <f>Datos!$K$6</f>
        <v>36</v>
      </c>
      <c r="Y28" s="55">
        <f ca="1">IF((W28-Datos!$U$6-1000000)/X28&gt;0,(W28-Datos!$U$6-1000000)/X28,0)</f>
        <v>412588.24749999988</v>
      </c>
      <c r="Z28" s="56">
        <f>Datos!$K$6</f>
        <v>36</v>
      </c>
      <c r="AA28" s="55">
        <f ca="1">IF((W28-Datos!$U$6-1000000-O28*3%*VLOOKUP(TODAY(),'UF HOY'!$A$2:$B$36,2,0))/Z28&gt;0,(W28-Datos!$U$6-1000000-O28*3%*VLOOKUP(TODAY(),'UF HOY'!$A$2:$B$36,2,0))/Z28,0)</f>
        <v>279645.10658333328</v>
      </c>
      <c r="AB28" s="55">
        <f>IF(L28&gt;0,VLOOKUP(D28,Datos!$A$36:$C$40,3,0),VLOOKUP(D28,Datos!$A$36:$C$40,2,0))</f>
        <v>450000</v>
      </c>
      <c r="AC28" s="55">
        <f ca="1">(S28*PMT(Datos!$G$15,Datos!$G$14,-O28,,)*VLOOKUP(TODAY(),'UF HOY'!$A$2:$B$36,2,0)/12)+VLOOKUP(TODAY(),'UF HOY'!$A$2:$B$36,2,0)</f>
        <v>654783.14146809164</v>
      </c>
      <c r="AD28" s="55">
        <f t="shared" ca="1" si="10"/>
        <v>-204783.14146809164</v>
      </c>
      <c r="AE28" s="93">
        <f t="shared" ca="1" si="11"/>
        <v>2619132.5658723665</v>
      </c>
    </row>
    <row r="29" spans="1:31" s="3" customFormat="1" x14ac:dyDescent="0.35">
      <c r="A29" s="94" t="s">
        <v>305</v>
      </c>
      <c r="B29" s="80">
        <v>1213</v>
      </c>
      <c r="C29" s="48" t="s">
        <v>41</v>
      </c>
      <c r="D29" s="48" t="s">
        <v>37</v>
      </c>
      <c r="E29" s="48"/>
      <c r="F29" s="48">
        <v>34.93</v>
      </c>
      <c r="G29" s="48">
        <v>2.64</v>
      </c>
      <c r="H29" s="82">
        <f t="shared" si="0"/>
        <v>36.25</v>
      </c>
      <c r="I29" s="82">
        <f t="shared" si="1"/>
        <v>37.57</v>
      </c>
      <c r="J29" s="49">
        <v>4020</v>
      </c>
      <c r="K29" s="50">
        <v>0</v>
      </c>
      <c r="L29" s="48">
        <v>0</v>
      </c>
      <c r="M29" s="48">
        <v>0</v>
      </c>
      <c r="N29" s="51">
        <f t="shared" si="2"/>
        <v>3618</v>
      </c>
      <c r="O29" s="52">
        <f t="shared" si="3"/>
        <v>4020</v>
      </c>
      <c r="P29" s="79">
        <f t="shared" si="4"/>
        <v>99.806896551724137</v>
      </c>
      <c r="Q29" s="53">
        <f t="shared" si="5"/>
        <v>0.1</v>
      </c>
      <c r="R29" s="54">
        <f t="shared" si="6"/>
        <v>402</v>
      </c>
      <c r="S29" s="53">
        <v>0.8</v>
      </c>
      <c r="T29" s="54">
        <f t="shared" si="7"/>
        <v>3216</v>
      </c>
      <c r="U29" s="53">
        <f t="shared" si="8"/>
        <v>9.9999999999999978E-2</v>
      </c>
      <c r="V29" s="54">
        <f t="shared" si="9"/>
        <v>401.99999999999989</v>
      </c>
      <c r="W29" s="55">
        <f ca="1">V29*VLOOKUP(TODAY(),'UF HOY'!$A$2:$B$36,2,0)</f>
        <v>15973043.879999997</v>
      </c>
      <c r="X29" s="56">
        <f>Datos!$K$6</f>
        <v>36</v>
      </c>
      <c r="Y29" s="55">
        <f ca="1">IF((W29-Datos!$U$6-1000000)/X29&gt;0,(W29-Datos!$U$6-1000000)/X29,0)</f>
        <v>413140.10777777771</v>
      </c>
      <c r="Z29" s="56">
        <f>Datos!$K$6</f>
        <v>36</v>
      </c>
      <c r="AA29" s="55">
        <f ca="1">IF((W29-Datos!$U$6-1000000-O29*3%*VLOOKUP(TODAY(),'UF HOY'!$A$2:$B$36,2,0))/Z29&gt;0,(W29-Datos!$U$6-1000000-O29*3%*VLOOKUP(TODAY(),'UF HOY'!$A$2:$B$36,2,0))/Z29,0)</f>
        <v>280031.40877777775</v>
      </c>
      <c r="AB29" s="55">
        <f>IF(L29&gt;0,VLOOKUP(D29,Datos!$A$36:$C$40,3,0),VLOOKUP(D29,Datos!$A$36:$C$40,2,0))</f>
        <v>450000</v>
      </c>
      <c r="AC29" s="55">
        <f ca="1">(S29*PMT(Datos!$G$15,Datos!$G$14,-O29,,)*VLOOKUP(TODAY(),'UF HOY'!$A$2:$B$36,2,0)/12)+VLOOKUP(TODAY(),'UF HOY'!$A$2:$B$36,2,0)</f>
        <v>655549.08069781517</v>
      </c>
      <c r="AD29" s="55">
        <f t="shared" ca="1" si="10"/>
        <v>-205549.08069781517</v>
      </c>
      <c r="AE29" s="93">
        <f t="shared" ca="1" si="11"/>
        <v>2622196.3227912607</v>
      </c>
    </row>
    <row r="30" spans="1:31" s="3" customFormat="1" x14ac:dyDescent="0.35">
      <c r="A30" s="94" t="s">
        <v>305</v>
      </c>
      <c r="B30" s="80">
        <v>1612</v>
      </c>
      <c r="C30" s="48" t="s">
        <v>41</v>
      </c>
      <c r="D30" s="48" t="s">
        <v>37</v>
      </c>
      <c r="E30" s="48"/>
      <c r="F30" s="48">
        <v>34.06</v>
      </c>
      <c r="G30" s="48">
        <v>2.66</v>
      </c>
      <c r="H30" s="82">
        <f t="shared" si="0"/>
        <v>35.39</v>
      </c>
      <c r="I30" s="82">
        <f t="shared" si="1"/>
        <v>36.72</v>
      </c>
      <c r="J30" s="49">
        <v>4020</v>
      </c>
      <c r="K30" s="50">
        <v>0</v>
      </c>
      <c r="L30" s="48">
        <v>0</v>
      </c>
      <c r="M30" s="48">
        <v>0</v>
      </c>
      <c r="N30" s="51">
        <f t="shared" si="2"/>
        <v>3618</v>
      </c>
      <c r="O30" s="52">
        <f t="shared" si="3"/>
        <v>4020</v>
      </c>
      <c r="P30" s="79">
        <f t="shared" si="4"/>
        <v>102.23226900254309</v>
      </c>
      <c r="Q30" s="53">
        <f t="shared" si="5"/>
        <v>0.1</v>
      </c>
      <c r="R30" s="54">
        <f t="shared" si="6"/>
        <v>402</v>
      </c>
      <c r="S30" s="53">
        <v>0.8</v>
      </c>
      <c r="T30" s="54">
        <f t="shared" si="7"/>
        <v>3216</v>
      </c>
      <c r="U30" s="53">
        <f t="shared" si="8"/>
        <v>9.9999999999999978E-2</v>
      </c>
      <c r="V30" s="54">
        <f t="shared" si="9"/>
        <v>401.99999999999989</v>
      </c>
      <c r="W30" s="55">
        <f ca="1">V30*VLOOKUP(TODAY(),'UF HOY'!$A$2:$B$36,2,0)</f>
        <v>15973043.879999997</v>
      </c>
      <c r="X30" s="56">
        <f>Datos!$K$6</f>
        <v>36</v>
      </c>
      <c r="Y30" s="55">
        <f ca="1">IF((W30-Datos!$U$6-1000000)/X30&gt;0,(W30-Datos!$U$6-1000000)/X30,0)</f>
        <v>413140.10777777771</v>
      </c>
      <c r="Z30" s="56">
        <f>Datos!$K$6</f>
        <v>36</v>
      </c>
      <c r="AA30" s="55">
        <f ca="1">IF((W30-Datos!$U$6-1000000-O30*3%*VLOOKUP(TODAY(),'UF HOY'!$A$2:$B$36,2,0))/Z30&gt;0,(W30-Datos!$U$6-1000000-O30*3%*VLOOKUP(TODAY(),'UF HOY'!$A$2:$B$36,2,0))/Z30,0)</f>
        <v>280031.40877777775</v>
      </c>
      <c r="AB30" s="55">
        <f>IF(L30&gt;0,VLOOKUP(D30,Datos!$A$36:$C$40,3,0),VLOOKUP(D30,Datos!$A$36:$C$40,2,0))</f>
        <v>450000</v>
      </c>
      <c r="AC30" s="55">
        <f ca="1">(S30*PMT(Datos!$G$15,Datos!$G$14,-O30,,)*VLOOKUP(TODAY(),'UF HOY'!$A$2:$B$36,2,0)/12)+VLOOKUP(TODAY(),'UF HOY'!$A$2:$B$36,2,0)</f>
        <v>655549.08069781517</v>
      </c>
      <c r="AD30" s="55">
        <f t="shared" ca="1" si="10"/>
        <v>-205549.08069781517</v>
      </c>
      <c r="AE30" s="93">
        <f t="shared" ca="1" si="11"/>
        <v>2622196.3227912607</v>
      </c>
    </row>
    <row r="31" spans="1:31" s="3" customFormat="1" x14ac:dyDescent="0.35">
      <c r="A31" s="94" t="s">
        <v>305</v>
      </c>
      <c r="B31" s="80">
        <v>2101</v>
      </c>
      <c r="C31" s="48" t="s">
        <v>40</v>
      </c>
      <c r="D31" s="48" t="s">
        <v>37</v>
      </c>
      <c r="E31" s="48"/>
      <c r="F31" s="48">
        <v>34.130000000000003</v>
      </c>
      <c r="G31" s="48">
        <v>2.65</v>
      </c>
      <c r="H31" s="82">
        <f t="shared" si="0"/>
        <v>35.455000000000005</v>
      </c>
      <c r="I31" s="82">
        <f t="shared" si="1"/>
        <v>36.78</v>
      </c>
      <c r="J31" s="49">
        <v>4020</v>
      </c>
      <c r="K31" s="50">
        <v>0</v>
      </c>
      <c r="L31" s="48">
        <v>0</v>
      </c>
      <c r="M31" s="48">
        <v>0</v>
      </c>
      <c r="N31" s="51">
        <f t="shared" si="2"/>
        <v>3618</v>
      </c>
      <c r="O31" s="52">
        <f t="shared" si="3"/>
        <v>4020</v>
      </c>
      <c r="P31" s="79">
        <f t="shared" si="4"/>
        <v>102.04484557890282</v>
      </c>
      <c r="Q31" s="53">
        <f t="shared" si="5"/>
        <v>0.1</v>
      </c>
      <c r="R31" s="54">
        <f t="shared" si="6"/>
        <v>402</v>
      </c>
      <c r="S31" s="53">
        <v>0.8</v>
      </c>
      <c r="T31" s="54">
        <f t="shared" si="7"/>
        <v>3216</v>
      </c>
      <c r="U31" s="53">
        <f t="shared" si="8"/>
        <v>9.9999999999999978E-2</v>
      </c>
      <c r="V31" s="54">
        <f t="shared" si="9"/>
        <v>401.99999999999989</v>
      </c>
      <c r="W31" s="55">
        <f ca="1">V31*VLOOKUP(TODAY(),'UF HOY'!$A$2:$B$36,2,0)</f>
        <v>15973043.879999997</v>
      </c>
      <c r="X31" s="56">
        <f>Datos!$K$6</f>
        <v>36</v>
      </c>
      <c r="Y31" s="55">
        <f ca="1">IF((W31-Datos!$U$6-1000000)/X31&gt;0,(W31-Datos!$U$6-1000000)/X31,0)</f>
        <v>413140.10777777771</v>
      </c>
      <c r="Z31" s="56">
        <f>Datos!$K$6</f>
        <v>36</v>
      </c>
      <c r="AA31" s="55">
        <f ca="1">IF((W31-Datos!$U$6-1000000-O31*3%*VLOOKUP(TODAY(),'UF HOY'!$A$2:$B$36,2,0))/Z31&gt;0,(W31-Datos!$U$6-1000000-O31*3%*VLOOKUP(TODAY(),'UF HOY'!$A$2:$B$36,2,0))/Z31,0)</f>
        <v>280031.40877777775</v>
      </c>
      <c r="AB31" s="55">
        <f>IF(L31&gt;0,VLOOKUP(D31,Datos!$A$36:$C$40,3,0),VLOOKUP(D31,Datos!$A$36:$C$40,2,0))</f>
        <v>450000</v>
      </c>
      <c r="AC31" s="55">
        <f ca="1">(S31*PMT(Datos!$G$15,Datos!$G$14,-O31,,)*VLOOKUP(TODAY(),'UF HOY'!$A$2:$B$36,2,0)/12)+VLOOKUP(TODAY(),'UF HOY'!$A$2:$B$36,2,0)</f>
        <v>655549.08069781517</v>
      </c>
      <c r="AD31" s="55">
        <f t="shared" ca="1" si="10"/>
        <v>-205549.08069781517</v>
      </c>
      <c r="AE31" s="93">
        <f t="shared" ca="1" si="11"/>
        <v>2622196.3227912607</v>
      </c>
    </row>
    <row r="32" spans="1:31" s="3" customFormat="1" x14ac:dyDescent="0.35">
      <c r="A32" s="94" t="s">
        <v>305</v>
      </c>
      <c r="B32" s="80">
        <v>2102</v>
      </c>
      <c r="C32" s="48" t="s">
        <v>40</v>
      </c>
      <c r="D32" s="48" t="s">
        <v>37</v>
      </c>
      <c r="E32" s="48"/>
      <c r="F32" s="48">
        <v>34.049999999999997</v>
      </c>
      <c r="G32" s="48">
        <v>2.74</v>
      </c>
      <c r="H32" s="82">
        <f t="shared" si="0"/>
        <v>35.419999999999995</v>
      </c>
      <c r="I32" s="82">
        <f t="shared" si="1"/>
        <v>36.79</v>
      </c>
      <c r="J32" s="49">
        <v>4020</v>
      </c>
      <c r="K32" s="50">
        <v>0</v>
      </c>
      <c r="L32" s="48">
        <v>0</v>
      </c>
      <c r="M32" s="48">
        <v>0</v>
      </c>
      <c r="N32" s="51">
        <f t="shared" si="2"/>
        <v>3618</v>
      </c>
      <c r="O32" s="52">
        <f t="shared" si="3"/>
        <v>4020</v>
      </c>
      <c r="P32" s="79">
        <f t="shared" si="4"/>
        <v>102.14568040654999</v>
      </c>
      <c r="Q32" s="53">
        <f t="shared" si="5"/>
        <v>0.1</v>
      </c>
      <c r="R32" s="54">
        <f t="shared" si="6"/>
        <v>402</v>
      </c>
      <c r="S32" s="53">
        <v>0.8</v>
      </c>
      <c r="T32" s="54">
        <f t="shared" si="7"/>
        <v>3216</v>
      </c>
      <c r="U32" s="53">
        <f t="shared" si="8"/>
        <v>9.9999999999999978E-2</v>
      </c>
      <c r="V32" s="54">
        <f t="shared" si="9"/>
        <v>401.99999999999989</v>
      </c>
      <c r="W32" s="55">
        <f ca="1">V32*VLOOKUP(TODAY(),'UF HOY'!$A$2:$B$36,2,0)</f>
        <v>15973043.879999997</v>
      </c>
      <c r="X32" s="56">
        <f>Datos!$K$6</f>
        <v>36</v>
      </c>
      <c r="Y32" s="55">
        <f ca="1">IF((W32-Datos!$U$6-1000000)/X32&gt;0,(W32-Datos!$U$6-1000000)/X32,0)</f>
        <v>413140.10777777771</v>
      </c>
      <c r="Z32" s="56">
        <f>Datos!$K$6</f>
        <v>36</v>
      </c>
      <c r="AA32" s="55">
        <f ca="1">IF((W32-Datos!$U$6-1000000-O32*3%*VLOOKUP(TODAY(),'UF HOY'!$A$2:$B$36,2,0))/Z32&gt;0,(W32-Datos!$U$6-1000000-O32*3%*VLOOKUP(TODAY(),'UF HOY'!$A$2:$B$36,2,0))/Z32,0)</f>
        <v>280031.40877777775</v>
      </c>
      <c r="AB32" s="55">
        <f>IF(L32&gt;0,VLOOKUP(D32,Datos!$A$36:$C$40,3,0),VLOOKUP(D32,Datos!$A$36:$C$40,2,0))</f>
        <v>450000</v>
      </c>
      <c r="AC32" s="55">
        <f ca="1">(S32*PMT(Datos!$G$15,Datos!$G$14,-O32,,)*VLOOKUP(TODAY(),'UF HOY'!$A$2:$B$36,2,0)/12)+VLOOKUP(TODAY(),'UF HOY'!$A$2:$B$36,2,0)</f>
        <v>655549.08069781517</v>
      </c>
      <c r="AD32" s="55">
        <f t="shared" ca="1" si="10"/>
        <v>-205549.08069781517</v>
      </c>
      <c r="AE32" s="93">
        <f t="shared" ca="1" si="11"/>
        <v>2622196.3227912607</v>
      </c>
    </row>
    <row r="33" spans="1:31" s="3" customFormat="1" x14ac:dyDescent="0.35">
      <c r="A33" s="94" t="s">
        <v>305</v>
      </c>
      <c r="B33" s="80">
        <v>2811</v>
      </c>
      <c r="C33" s="48" t="s">
        <v>41</v>
      </c>
      <c r="D33" s="48" t="s">
        <v>37</v>
      </c>
      <c r="E33" s="48"/>
      <c r="F33" s="48">
        <v>32.799999999999997</v>
      </c>
      <c r="G33" s="48">
        <v>2.66</v>
      </c>
      <c r="H33" s="82">
        <f t="shared" si="0"/>
        <v>34.129999999999995</v>
      </c>
      <c r="I33" s="82">
        <f t="shared" si="1"/>
        <v>35.459999999999994</v>
      </c>
      <c r="J33" s="49">
        <v>4025</v>
      </c>
      <c r="K33" s="50">
        <v>0</v>
      </c>
      <c r="L33" s="48">
        <v>0</v>
      </c>
      <c r="M33" s="48">
        <v>0</v>
      </c>
      <c r="N33" s="51">
        <f t="shared" si="2"/>
        <v>3622.5</v>
      </c>
      <c r="O33" s="52">
        <f t="shared" si="3"/>
        <v>4025</v>
      </c>
      <c r="P33" s="79">
        <f t="shared" si="4"/>
        <v>106.13829475534722</v>
      </c>
      <c r="Q33" s="53">
        <f t="shared" si="5"/>
        <v>0.1</v>
      </c>
      <c r="R33" s="54">
        <f t="shared" si="6"/>
        <v>402.5</v>
      </c>
      <c r="S33" s="53">
        <v>0.8</v>
      </c>
      <c r="T33" s="54">
        <f t="shared" si="7"/>
        <v>3220</v>
      </c>
      <c r="U33" s="53">
        <f t="shared" si="8"/>
        <v>9.9999999999999978E-2</v>
      </c>
      <c r="V33" s="54">
        <f t="shared" si="9"/>
        <v>402.49999999999989</v>
      </c>
      <c r="W33" s="55">
        <f ca="1">V33*VLOOKUP(TODAY(),'UF HOY'!$A$2:$B$36,2,0)</f>
        <v>15992910.849999996</v>
      </c>
      <c r="X33" s="56">
        <f>Datos!$K$6</f>
        <v>36</v>
      </c>
      <c r="Y33" s="55">
        <f ca="1">IF((W33-Datos!$U$6-1000000)/X33&gt;0,(W33-Datos!$U$6-1000000)/X33,0)</f>
        <v>413691.96805555542</v>
      </c>
      <c r="Z33" s="56">
        <f>Datos!$K$6</f>
        <v>36</v>
      </c>
      <c r="AA33" s="55">
        <f ca="1">IF((W33-Datos!$U$6-1000000-O33*3%*VLOOKUP(TODAY(),'UF HOY'!$A$2:$B$36,2,0))/Z33&gt;0,(W33-Datos!$U$6-1000000-O33*3%*VLOOKUP(TODAY(),'UF HOY'!$A$2:$B$36,2,0))/Z33,0)</f>
        <v>280417.71097222209</v>
      </c>
      <c r="AB33" s="55">
        <f>IF(L33&gt;0,VLOOKUP(D33,Datos!$A$36:$C$40,3,0),VLOOKUP(D33,Datos!$A$36:$C$40,2,0))</f>
        <v>450000</v>
      </c>
      <c r="AC33" s="55">
        <f ca="1">(S33*PMT(Datos!$G$15,Datos!$G$14,-O33,,)*VLOOKUP(TODAY(),'UF HOY'!$A$2:$B$36,2,0)/12)+VLOOKUP(TODAY(),'UF HOY'!$A$2:$B$36,2,0)</f>
        <v>656315.01992753893</v>
      </c>
      <c r="AD33" s="55">
        <f t="shared" ca="1" si="10"/>
        <v>-206315.01992753893</v>
      </c>
      <c r="AE33" s="93">
        <f t="shared" ca="1" si="11"/>
        <v>2625260.0797101557</v>
      </c>
    </row>
    <row r="34" spans="1:31" s="3" customFormat="1" x14ac:dyDescent="0.35">
      <c r="A34" s="94" t="s">
        <v>305</v>
      </c>
      <c r="B34" s="80">
        <v>3011</v>
      </c>
      <c r="C34" s="48" t="s">
        <v>41</v>
      </c>
      <c r="D34" s="48" t="s">
        <v>37</v>
      </c>
      <c r="E34" s="48"/>
      <c r="F34" s="48">
        <v>32.799999999999997</v>
      </c>
      <c r="G34" s="48">
        <v>2.66</v>
      </c>
      <c r="H34" s="82">
        <f t="shared" si="0"/>
        <v>34.129999999999995</v>
      </c>
      <c r="I34" s="82">
        <f t="shared" si="1"/>
        <v>35.459999999999994</v>
      </c>
      <c r="J34" s="49">
        <v>4025</v>
      </c>
      <c r="K34" s="50">
        <v>0</v>
      </c>
      <c r="L34" s="48">
        <v>0</v>
      </c>
      <c r="M34" s="48">
        <v>0</v>
      </c>
      <c r="N34" s="51">
        <f t="shared" si="2"/>
        <v>3622.5</v>
      </c>
      <c r="O34" s="52">
        <f t="shared" si="3"/>
        <v>4025</v>
      </c>
      <c r="P34" s="79">
        <f t="shared" si="4"/>
        <v>106.13829475534722</v>
      </c>
      <c r="Q34" s="53">
        <f t="shared" si="5"/>
        <v>0.1</v>
      </c>
      <c r="R34" s="54">
        <f t="shared" si="6"/>
        <v>402.5</v>
      </c>
      <c r="S34" s="53">
        <v>0.8</v>
      </c>
      <c r="T34" s="54">
        <f t="shared" si="7"/>
        <v>3220</v>
      </c>
      <c r="U34" s="53">
        <f t="shared" si="8"/>
        <v>9.9999999999999978E-2</v>
      </c>
      <c r="V34" s="54">
        <f t="shared" si="9"/>
        <v>402.49999999999989</v>
      </c>
      <c r="W34" s="55">
        <f ca="1">V34*VLOOKUP(TODAY(),'UF HOY'!$A$2:$B$36,2,0)</f>
        <v>15992910.849999996</v>
      </c>
      <c r="X34" s="56">
        <f>Datos!$K$6</f>
        <v>36</v>
      </c>
      <c r="Y34" s="55">
        <f ca="1">IF((W34-Datos!$U$6-1000000)/X34&gt;0,(W34-Datos!$U$6-1000000)/X34,0)</f>
        <v>413691.96805555542</v>
      </c>
      <c r="Z34" s="56">
        <f>Datos!$K$6</f>
        <v>36</v>
      </c>
      <c r="AA34" s="55">
        <f ca="1">IF((W34-Datos!$U$6-1000000-O34*3%*VLOOKUP(TODAY(),'UF HOY'!$A$2:$B$36,2,0))/Z34&gt;0,(W34-Datos!$U$6-1000000-O34*3%*VLOOKUP(TODAY(),'UF HOY'!$A$2:$B$36,2,0))/Z34,0)</f>
        <v>280417.71097222209</v>
      </c>
      <c r="AB34" s="55">
        <f>IF(L34&gt;0,VLOOKUP(D34,Datos!$A$36:$C$40,3,0),VLOOKUP(D34,Datos!$A$36:$C$40,2,0))</f>
        <v>450000</v>
      </c>
      <c r="AC34" s="55">
        <f ca="1">(S34*PMT(Datos!$G$15,Datos!$G$14,-O34,,)*VLOOKUP(TODAY(),'UF HOY'!$A$2:$B$36,2,0)/12)+VLOOKUP(TODAY(),'UF HOY'!$A$2:$B$36,2,0)</f>
        <v>656315.01992753893</v>
      </c>
      <c r="AD34" s="55">
        <f t="shared" ca="1" si="10"/>
        <v>-206315.01992753893</v>
      </c>
      <c r="AE34" s="93">
        <f t="shared" ca="1" si="11"/>
        <v>2625260.0797101557</v>
      </c>
    </row>
    <row r="35" spans="1:31" s="3" customFormat="1" x14ac:dyDescent="0.35">
      <c r="A35" s="94" t="s">
        <v>305</v>
      </c>
      <c r="B35" s="80">
        <v>3111</v>
      </c>
      <c r="C35" s="48" t="s">
        <v>41</v>
      </c>
      <c r="D35" s="48" t="s">
        <v>37</v>
      </c>
      <c r="E35" s="48"/>
      <c r="F35" s="48">
        <v>32.799999999999997</v>
      </c>
      <c r="G35" s="48">
        <v>2.66</v>
      </c>
      <c r="H35" s="82">
        <f t="shared" si="0"/>
        <v>34.129999999999995</v>
      </c>
      <c r="I35" s="82">
        <f t="shared" si="1"/>
        <v>35.459999999999994</v>
      </c>
      <c r="J35" s="49">
        <v>4025</v>
      </c>
      <c r="K35" s="50">
        <v>0</v>
      </c>
      <c r="L35" s="48">
        <v>0</v>
      </c>
      <c r="M35" s="48">
        <v>0</v>
      </c>
      <c r="N35" s="51">
        <f t="shared" si="2"/>
        <v>3622.5</v>
      </c>
      <c r="O35" s="52">
        <f t="shared" si="3"/>
        <v>4025</v>
      </c>
      <c r="P35" s="79">
        <f t="shared" si="4"/>
        <v>106.13829475534722</v>
      </c>
      <c r="Q35" s="53">
        <f t="shared" si="5"/>
        <v>0.1</v>
      </c>
      <c r="R35" s="54">
        <f t="shared" si="6"/>
        <v>402.5</v>
      </c>
      <c r="S35" s="53">
        <v>0.8</v>
      </c>
      <c r="T35" s="54">
        <f t="shared" si="7"/>
        <v>3220</v>
      </c>
      <c r="U35" s="53">
        <f t="shared" si="8"/>
        <v>9.9999999999999978E-2</v>
      </c>
      <c r="V35" s="54">
        <f t="shared" si="9"/>
        <v>402.49999999999989</v>
      </c>
      <c r="W35" s="55">
        <f ca="1">V35*VLOOKUP(TODAY(),'UF HOY'!$A$2:$B$36,2,0)</f>
        <v>15992910.849999996</v>
      </c>
      <c r="X35" s="56">
        <f>Datos!$K$6</f>
        <v>36</v>
      </c>
      <c r="Y35" s="55">
        <f ca="1">IF((W35-Datos!$U$6-1000000)/X35&gt;0,(W35-Datos!$U$6-1000000)/X35,0)</f>
        <v>413691.96805555542</v>
      </c>
      <c r="Z35" s="56">
        <f>Datos!$K$6</f>
        <v>36</v>
      </c>
      <c r="AA35" s="55">
        <f ca="1">IF((W35-Datos!$U$6-1000000-O35*3%*VLOOKUP(TODAY(),'UF HOY'!$A$2:$B$36,2,0))/Z35&gt;0,(W35-Datos!$U$6-1000000-O35*3%*VLOOKUP(TODAY(),'UF HOY'!$A$2:$B$36,2,0))/Z35,0)</f>
        <v>280417.71097222209</v>
      </c>
      <c r="AB35" s="55">
        <f>IF(L35&gt;0,VLOOKUP(D35,Datos!$A$36:$C$40,3,0),VLOOKUP(D35,Datos!$A$36:$C$40,2,0))</f>
        <v>450000</v>
      </c>
      <c r="AC35" s="55">
        <f ca="1">(S35*PMT(Datos!$G$15,Datos!$G$14,-O35,,)*VLOOKUP(TODAY(),'UF HOY'!$A$2:$B$36,2,0)/12)+VLOOKUP(TODAY(),'UF HOY'!$A$2:$B$36,2,0)</f>
        <v>656315.01992753893</v>
      </c>
      <c r="AD35" s="55">
        <f t="shared" ca="1" si="10"/>
        <v>-206315.01992753893</v>
      </c>
      <c r="AE35" s="93">
        <f t="shared" ca="1" si="11"/>
        <v>2625260.0797101557</v>
      </c>
    </row>
    <row r="36" spans="1:31" s="3" customFormat="1" x14ac:dyDescent="0.35">
      <c r="A36" s="94" t="s">
        <v>305</v>
      </c>
      <c r="B36" s="80">
        <v>2201</v>
      </c>
      <c r="C36" s="48" t="s">
        <v>40</v>
      </c>
      <c r="D36" s="48" t="s">
        <v>37</v>
      </c>
      <c r="E36" s="48"/>
      <c r="F36" s="48">
        <v>34.130000000000003</v>
      </c>
      <c r="G36" s="48">
        <v>2.65</v>
      </c>
      <c r="H36" s="82">
        <f t="shared" si="0"/>
        <v>35.455000000000005</v>
      </c>
      <c r="I36" s="82">
        <f t="shared" si="1"/>
        <v>36.78</v>
      </c>
      <c r="J36" s="49">
        <v>4030</v>
      </c>
      <c r="K36" s="50">
        <v>0</v>
      </c>
      <c r="L36" s="48">
        <v>0</v>
      </c>
      <c r="M36" s="48">
        <v>0</v>
      </c>
      <c r="N36" s="51">
        <f t="shared" si="2"/>
        <v>3627</v>
      </c>
      <c r="O36" s="52">
        <f t="shared" si="3"/>
        <v>4030</v>
      </c>
      <c r="P36" s="79">
        <f t="shared" si="4"/>
        <v>102.29868847835283</v>
      </c>
      <c r="Q36" s="53">
        <f t="shared" si="5"/>
        <v>0.1</v>
      </c>
      <c r="R36" s="54">
        <f t="shared" si="6"/>
        <v>403</v>
      </c>
      <c r="S36" s="53">
        <v>0.8</v>
      </c>
      <c r="T36" s="54">
        <f t="shared" si="7"/>
        <v>3224</v>
      </c>
      <c r="U36" s="53">
        <f t="shared" si="8"/>
        <v>9.9999999999999978E-2</v>
      </c>
      <c r="V36" s="54">
        <f t="shared" si="9"/>
        <v>402.99999999999989</v>
      </c>
      <c r="W36" s="55">
        <f ca="1">V36*VLOOKUP(TODAY(),'UF HOY'!$A$2:$B$36,2,0)</f>
        <v>16012777.819999997</v>
      </c>
      <c r="X36" s="56">
        <f>Datos!$K$6</f>
        <v>36</v>
      </c>
      <c r="Y36" s="55">
        <f ca="1">IF((W36-Datos!$U$6-1000000)/X36&gt;0,(W36-Datos!$U$6-1000000)/X36,0)</f>
        <v>414243.82833333325</v>
      </c>
      <c r="Z36" s="56">
        <f>Datos!$K$6</f>
        <v>36</v>
      </c>
      <c r="AA36" s="55">
        <f ca="1">IF((W36-Datos!$U$6-1000000-O36*3%*VLOOKUP(TODAY(),'UF HOY'!$A$2:$B$36,2,0))/Z36&gt;0,(W36-Datos!$U$6-1000000-O36*3%*VLOOKUP(TODAY(),'UF HOY'!$A$2:$B$36,2,0))/Z36,0)</f>
        <v>280804.01316666655</v>
      </c>
      <c r="AB36" s="55">
        <f>IF(L36&gt;0,VLOOKUP(D36,Datos!$A$36:$C$40,3,0),VLOOKUP(D36,Datos!$A$36:$C$40,2,0))</f>
        <v>450000</v>
      </c>
      <c r="AC36" s="55">
        <f ca="1">(S36*PMT(Datos!$G$15,Datos!$G$14,-O36,,)*VLOOKUP(TODAY(),'UF HOY'!$A$2:$B$36,2,0)/12)+VLOOKUP(TODAY(),'UF HOY'!$A$2:$B$36,2,0)</f>
        <v>657080.95915726246</v>
      </c>
      <c r="AD36" s="55">
        <f t="shared" ca="1" si="10"/>
        <v>-207080.95915726246</v>
      </c>
      <c r="AE36" s="93">
        <f t="shared" ca="1" si="11"/>
        <v>2628323.8366290499</v>
      </c>
    </row>
    <row r="37" spans="1:31" s="3" customFormat="1" x14ac:dyDescent="0.35">
      <c r="A37" s="94" t="s">
        <v>305</v>
      </c>
      <c r="B37" s="80">
        <v>1313</v>
      </c>
      <c r="C37" s="48" t="s">
        <v>41</v>
      </c>
      <c r="D37" s="48" t="s">
        <v>37</v>
      </c>
      <c r="E37" s="48"/>
      <c r="F37" s="48">
        <v>34.93</v>
      </c>
      <c r="G37" s="48">
        <v>2.64</v>
      </c>
      <c r="H37" s="82">
        <f t="shared" ref="H37:H68" si="24">F37+(G37/2)</f>
        <v>36.25</v>
      </c>
      <c r="I37" s="82">
        <f t="shared" ref="I37:I68" si="25">F37+G37</f>
        <v>37.57</v>
      </c>
      <c r="J37" s="49">
        <v>4035</v>
      </c>
      <c r="K37" s="50">
        <v>0</v>
      </c>
      <c r="L37" s="48">
        <v>0</v>
      </c>
      <c r="M37" s="48">
        <v>0</v>
      </c>
      <c r="N37" s="51">
        <f t="shared" ref="N37:N68" si="26">O37-R37</f>
        <v>3631.5</v>
      </c>
      <c r="O37" s="52">
        <f t="shared" ref="O37:O68" si="27">J37*(100%-K37)+L37+M37</f>
        <v>4035</v>
      </c>
      <c r="P37" s="79">
        <f t="shared" ref="P37:P68" si="28">(N37-L37-M37)/H37</f>
        <v>100.17931034482758</v>
      </c>
      <c r="Q37" s="53">
        <f t="shared" ref="Q37:Q68" si="29">IF((O37-N37)/O37&gt;10%,10%,ROUND(IF(O37&gt;N37,(O37-N37)/O37,0),4))</f>
        <v>0.1</v>
      </c>
      <c r="R37" s="54">
        <f t="shared" ref="R37:R68" si="30">(J37-J37*K37)*0.1</f>
        <v>403.5</v>
      </c>
      <c r="S37" s="53">
        <v>0.8</v>
      </c>
      <c r="T37" s="54">
        <f t="shared" ref="T37:T68" si="31">S37*O37</f>
        <v>3228</v>
      </c>
      <c r="U37" s="53">
        <f t="shared" ref="U37:U68" si="32">100%-Q37-S37</f>
        <v>9.9999999999999978E-2</v>
      </c>
      <c r="V37" s="54">
        <f t="shared" ref="V37:V68" si="33">O37*U37</f>
        <v>403.49999999999989</v>
      </c>
      <c r="W37" s="55">
        <f ca="1">V37*VLOOKUP(TODAY(),'UF HOY'!$A$2:$B$36,2,0)</f>
        <v>16032644.789999997</v>
      </c>
      <c r="X37" s="56">
        <f>Datos!$K$6</f>
        <v>36</v>
      </c>
      <c r="Y37" s="55">
        <f ca="1">IF((W37-Datos!$U$6-1000000)/X37&gt;0,(W37-Datos!$U$6-1000000)/X37,0)</f>
        <v>414795.68861111102</v>
      </c>
      <c r="Z37" s="56">
        <f>Datos!$K$6</f>
        <v>36</v>
      </c>
      <c r="AA37" s="55">
        <f ca="1">IF((W37-Datos!$U$6-1000000-O37*3%*VLOOKUP(TODAY(),'UF HOY'!$A$2:$B$36,2,0))/Z37&gt;0,(W37-Datos!$U$6-1000000-O37*3%*VLOOKUP(TODAY(),'UF HOY'!$A$2:$B$36,2,0))/Z37,0)</f>
        <v>281190.31536111102</v>
      </c>
      <c r="AB37" s="55">
        <f>IF(L37&gt;0,VLOOKUP(D37,Datos!$A$36:$C$40,3,0),VLOOKUP(D37,Datos!$A$36:$C$40,2,0))</f>
        <v>450000</v>
      </c>
      <c r="AC37" s="55">
        <f ca="1">(S37*PMT(Datos!$G$15,Datos!$G$14,-O37,,)*VLOOKUP(TODAY(),'UF HOY'!$A$2:$B$36,2,0)/12)+VLOOKUP(TODAY(),'UF HOY'!$A$2:$B$36,2,0)</f>
        <v>657846.89838698623</v>
      </c>
      <c r="AD37" s="55">
        <f t="shared" ref="AD37:AD68" ca="1" si="34">AB37-AC37</f>
        <v>-207846.89838698623</v>
      </c>
      <c r="AE37" s="93">
        <f t="shared" ca="1" si="11"/>
        <v>2631387.5935479449</v>
      </c>
    </row>
    <row r="38" spans="1:31" s="3" customFormat="1" x14ac:dyDescent="0.35">
      <c r="A38" s="94" t="s">
        <v>305</v>
      </c>
      <c r="B38" s="80">
        <v>1712</v>
      </c>
      <c r="C38" s="48" t="s">
        <v>41</v>
      </c>
      <c r="D38" s="48" t="s">
        <v>37</v>
      </c>
      <c r="E38" s="48"/>
      <c r="F38" s="48">
        <v>34.06</v>
      </c>
      <c r="G38" s="48">
        <v>2.66</v>
      </c>
      <c r="H38" s="82">
        <f t="shared" si="24"/>
        <v>35.39</v>
      </c>
      <c r="I38" s="82">
        <f t="shared" si="25"/>
        <v>36.72</v>
      </c>
      <c r="J38" s="49">
        <v>4035</v>
      </c>
      <c r="K38" s="50">
        <v>0</v>
      </c>
      <c r="L38" s="48">
        <v>0</v>
      </c>
      <c r="M38" s="48">
        <v>0</v>
      </c>
      <c r="N38" s="51">
        <f t="shared" si="26"/>
        <v>3631.5</v>
      </c>
      <c r="O38" s="52">
        <f t="shared" si="27"/>
        <v>4035</v>
      </c>
      <c r="P38" s="79">
        <f t="shared" si="28"/>
        <v>102.61373269285109</v>
      </c>
      <c r="Q38" s="53">
        <f t="shared" si="29"/>
        <v>0.1</v>
      </c>
      <c r="R38" s="54">
        <f t="shared" si="30"/>
        <v>403.5</v>
      </c>
      <c r="S38" s="53">
        <v>0.8</v>
      </c>
      <c r="T38" s="54">
        <f t="shared" si="31"/>
        <v>3228</v>
      </c>
      <c r="U38" s="53">
        <f t="shared" si="32"/>
        <v>9.9999999999999978E-2</v>
      </c>
      <c r="V38" s="54">
        <f t="shared" si="33"/>
        <v>403.49999999999989</v>
      </c>
      <c r="W38" s="55">
        <f ca="1">V38*VLOOKUP(TODAY(),'UF HOY'!$A$2:$B$36,2,0)</f>
        <v>16032644.789999997</v>
      </c>
      <c r="X38" s="56">
        <f>Datos!$K$6</f>
        <v>36</v>
      </c>
      <c r="Y38" s="55">
        <f ca="1">IF((W38-Datos!$U$6-1000000)/X38&gt;0,(W38-Datos!$U$6-1000000)/X38,0)</f>
        <v>414795.68861111102</v>
      </c>
      <c r="Z38" s="56">
        <f>Datos!$K$6</f>
        <v>36</v>
      </c>
      <c r="AA38" s="55">
        <f ca="1">IF((W38-Datos!$U$6-1000000-O38*3%*VLOOKUP(TODAY(),'UF HOY'!$A$2:$B$36,2,0))/Z38&gt;0,(W38-Datos!$U$6-1000000-O38*3%*VLOOKUP(TODAY(),'UF HOY'!$A$2:$B$36,2,0))/Z38,0)</f>
        <v>281190.31536111102</v>
      </c>
      <c r="AB38" s="55">
        <f>IF(L38&gt;0,VLOOKUP(D38,Datos!$A$36:$C$40,3,0),VLOOKUP(D38,Datos!$A$36:$C$40,2,0))</f>
        <v>450000</v>
      </c>
      <c r="AC38" s="55">
        <f ca="1">(S38*PMT(Datos!$G$15,Datos!$G$14,-O38,,)*VLOOKUP(TODAY(),'UF HOY'!$A$2:$B$36,2,0)/12)+VLOOKUP(TODAY(),'UF HOY'!$A$2:$B$36,2,0)</f>
        <v>657846.89838698623</v>
      </c>
      <c r="AD38" s="55">
        <f t="shared" ca="1" si="34"/>
        <v>-207846.89838698623</v>
      </c>
      <c r="AE38" s="93">
        <f t="shared" ca="1" si="11"/>
        <v>2631387.5935479449</v>
      </c>
    </row>
    <row r="39" spans="1:31" s="3" customFormat="1" x14ac:dyDescent="0.35">
      <c r="A39" s="94" t="s">
        <v>305</v>
      </c>
      <c r="B39" s="80">
        <v>2911</v>
      </c>
      <c r="C39" s="48" t="s">
        <v>41</v>
      </c>
      <c r="D39" s="48" t="s">
        <v>37</v>
      </c>
      <c r="E39" s="48"/>
      <c r="F39" s="48">
        <v>32.799999999999997</v>
      </c>
      <c r="G39" s="48">
        <v>2.66</v>
      </c>
      <c r="H39" s="82">
        <f t="shared" si="24"/>
        <v>34.129999999999995</v>
      </c>
      <c r="I39" s="82">
        <f t="shared" si="25"/>
        <v>35.459999999999994</v>
      </c>
      <c r="J39" s="49">
        <v>4035</v>
      </c>
      <c r="K39" s="50">
        <v>0</v>
      </c>
      <c r="L39" s="48">
        <v>0</v>
      </c>
      <c r="M39" s="48">
        <v>0</v>
      </c>
      <c r="N39" s="51">
        <f t="shared" si="26"/>
        <v>3631.5</v>
      </c>
      <c r="O39" s="52">
        <f t="shared" si="27"/>
        <v>4035</v>
      </c>
      <c r="P39" s="79">
        <f t="shared" si="28"/>
        <v>106.40199238206857</v>
      </c>
      <c r="Q39" s="53">
        <f t="shared" si="29"/>
        <v>0.1</v>
      </c>
      <c r="R39" s="54">
        <f t="shared" si="30"/>
        <v>403.5</v>
      </c>
      <c r="S39" s="53">
        <v>0.8</v>
      </c>
      <c r="T39" s="54">
        <f t="shared" si="31"/>
        <v>3228</v>
      </c>
      <c r="U39" s="53">
        <f t="shared" si="32"/>
        <v>9.9999999999999978E-2</v>
      </c>
      <c r="V39" s="54">
        <f t="shared" si="33"/>
        <v>403.49999999999989</v>
      </c>
      <c r="W39" s="55">
        <f ca="1">V39*VLOOKUP(TODAY(),'UF HOY'!$A$2:$B$36,2,0)</f>
        <v>16032644.789999997</v>
      </c>
      <c r="X39" s="56">
        <f>Datos!$K$6</f>
        <v>36</v>
      </c>
      <c r="Y39" s="55">
        <f ca="1">IF((W39-Datos!$U$6-1000000)/X39&gt;0,(W39-Datos!$U$6-1000000)/X39,0)</f>
        <v>414795.68861111102</v>
      </c>
      <c r="Z39" s="56">
        <f>Datos!$K$6</f>
        <v>36</v>
      </c>
      <c r="AA39" s="55">
        <f ca="1">IF((W39-Datos!$U$6-1000000-O39*3%*VLOOKUP(TODAY(),'UF HOY'!$A$2:$B$36,2,0))/Z39&gt;0,(W39-Datos!$U$6-1000000-O39*3%*VLOOKUP(TODAY(),'UF HOY'!$A$2:$B$36,2,0))/Z39,0)</f>
        <v>281190.31536111102</v>
      </c>
      <c r="AB39" s="55">
        <f>IF(L39&gt;0,VLOOKUP(D39,Datos!$A$36:$C$40,3,0),VLOOKUP(D39,Datos!$A$36:$C$40,2,0))</f>
        <v>450000</v>
      </c>
      <c r="AC39" s="55">
        <f ca="1">(S39*PMT(Datos!$G$15,Datos!$G$14,-O39,,)*VLOOKUP(TODAY(),'UF HOY'!$A$2:$B$36,2,0)/12)+VLOOKUP(TODAY(),'UF HOY'!$A$2:$B$36,2,0)</f>
        <v>657846.89838698623</v>
      </c>
      <c r="AD39" s="55">
        <f t="shared" ca="1" si="34"/>
        <v>-207846.89838698623</v>
      </c>
      <c r="AE39" s="93">
        <f t="shared" ca="1" si="11"/>
        <v>2631387.5935479449</v>
      </c>
    </row>
    <row r="40" spans="1:31" s="3" customFormat="1" x14ac:dyDescent="0.35">
      <c r="A40" s="94" t="s">
        <v>305</v>
      </c>
      <c r="B40" s="80">
        <v>2004</v>
      </c>
      <c r="C40" s="48" t="s">
        <v>40</v>
      </c>
      <c r="D40" s="48" t="s">
        <v>37</v>
      </c>
      <c r="E40" s="48"/>
      <c r="F40" s="48">
        <v>34.32</v>
      </c>
      <c r="G40" s="48">
        <v>2.71</v>
      </c>
      <c r="H40" s="82">
        <f t="shared" si="24"/>
        <v>35.674999999999997</v>
      </c>
      <c r="I40" s="82">
        <f t="shared" si="25"/>
        <v>37.03</v>
      </c>
      <c r="J40" s="49">
        <v>4040</v>
      </c>
      <c r="K40" s="50">
        <v>0</v>
      </c>
      <c r="L40" s="48">
        <v>0</v>
      </c>
      <c r="M40" s="48">
        <v>0</v>
      </c>
      <c r="N40" s="51">
        <f t="shared" si="26"/>
        <v>3636</v>
      </c>
      <c r="O40" s="52">
        <f t="shared" si="27"/>
        <v>4040</v>
      </c>
      <c r="P40" s="79">
        <f t="shared" si="28"/>
        <v>101.92011212333568</v>
      </c>
      <c r="Q40" s="53">
        <f t="shared" si="29"/>
        <v>0.1</v>
      </c>
      <c r="R40" s="54">
        <f t="shared" si="30"/>
        <v>404</v>
      </c>
      <c r="S40" s="53">
        <v>0.8</v>
      </c>
      <c r="T40" s="54">
        <f t="shared" si="31"/>
        <v>3232</v>
      </c>
      <c r="U40" s="53">
        <f t="shared" si="32"/>
        <v>9.9999999999999978E-2</v>
      </c>
      <c r="V40" s="54">
        <f t="shared" si="33"/>
        <v>403.99999999999989</v>
      </c>
      <c r="W40" s="55">
        <f ca="1">V40*VLOOKUP(TODAY(),'UF HOY'!$A$2:$B$36,2,0)</f>
        <v>16052511.759999996</v>
      </c>
      <c r="X40" s="56">
        <f>Datos!$K$6</f>
        <v>36</v>
      </c>
      <c r="Y40" s="55">
        <f ca="1">IF((W40-Datos!$U$6-1000000)/X40&gt;0,(W40-Datos!$U$6-1000000)/X40,0)</f>
        <v>415347.54888888879</v>
      </c>
      <c r="Z40" s="56">
        <f>Datos!$K$6</f>
        <v>36</v>
      </c>
      <c r="AA40" s="55">
        <f ca="1">IF((W40-Datos!$U$6-1000000-O40*3%*VLOOKUP(TODAY(),'UF HOY'!$A$2:$B$36,2,0))/Z40&gt;0,(W40-Datos!$U$6-1000000-O40*3%*VLOOKUP(TODAY(),'UF HOY'!$A$2:$B$36,2,0))/Z40,0)</f>
        <v>281576.61755555548</v>
      </c>
      <c r="AB40" s="55">
        <f>IF(L40&gt;0,VLOOKUP(D40,Datos!$A$36:$C$40,3,0),VLOOKUP(D40,Datos!$A$36:$C$40,2,0))</f>
        <v>450000</v>
      </c>
      <c r="AC40" s="55">
        <f ca="1">(S40*PMT(Datos!$G$15,Datos!$G$14,-O40,,)*VLOOKUP(TODAY(),'UF HOY'!$A$2:$B$36,2,0)/12)+VLOOKUP(TODAY(),'UF HOY'!$A$2:$B$36,2,0)</f>
        <v>658612.83761670976</v>
      </c>
      <c r="AD40" s="55">
        <f t="shared" ca="1" si="34"/>
        <v>-208612.83761670976</v>
      </c>
      <c r="AE40" s="93">
        <f t="shared" ca="1" si="11"/>
        <v>2634451.350466839</v>
      </c>
    </row>
    <row r="41" spans="1:31" s="3" customFormat="1" x14ac:dyDescent="0.35">
      <c r="A41" s="94" t="s">
        <v>305</v>
      </c>
      <c r="B41" s="80">
        <v>2204</v>
      </c>
      <c r="C41" s="48" t="s">
        <v>40</v>
      </c>
      <c r="D41" s="48" t="s">
        <v>37</v>
      </c>
      <c r="E41" s="48"/>
      <c r="F41" s="48">
        <v>34.15</v>
      </c>
      <c r="G41" s="48">
        <v>2.71</v>
      </c>
      <c r="H41" s="82">
        <f t="shared" si="24"/>
        <v>35.504999999999995</v>
      </c>
      <c r="I41" s="82">
        <f t="shared" si="25"/>
        <v>36.86</v>
      </c>
      <c r="J41" s="49">
        <v>4040</v>
      </c>
      <c r="K41" s="50">
        <v>0</v>
      </c>
      <c r="L41" s="48">
        <v>0</v>
      </c>
      <c r="M41" s="48">
        <v>0</v>
      </c>
      <c r="N41" s="51">
        <f t="shared" si="26"/>
        <v>3636</v>
      </c>
      <c r="O41" s="52">
        <f t="shared" si="27"/>
        <v>4040</v>
      </c>
      <c r="P41" s="79">
        <f t="shared" si="28"/>
        <v>102.40811153358683</v>
      </c>
      <c r="Q41" s="53">
        <f t="shared" si="29"/>
        <v>0.1</v>
      </c>
      <c r="R41" s="54">
        <f t="shared" si="30"/>
        <v>404</v>
      </c>
      <c r="S41" s="53">
        <v>0.8</v>
      </c>
      <c r="T41" s="54">
        <f t="shared" si="31"/>
        <v>3232</v>
      </c>
      <c r="U41" s="53">
        <f t="shared" si="32"/>
        <v>9.9999999999999978E-2</v>
      </c>
      <c r="V41" s="54">
        <f t="shared" si="33"/>
        <v>403.99999999999989</v>
      </c>
      <c r="W41" s="55">
        <f ca="1">V41*VLOOKUP(TODAY(),'UF HOY'!$A$2:$B$36,2,0)</f>
        <v>16052511.759999996</v>
      </c>
      <c r="X41" s="56">
        <f>Datos!$K$6</f>
        <v>36</v>
      </c>
      <c r="Y41" s="55">
        <f ca="1">IF((W41-Datos!$U$6-1000000)/X41&gt;0,(W41-Datos!$U$6-1000000)/X41,0)</f>
        <v>415347.54888888879</v>
      </c>
      <c r="Z41" s="56">
        <f>Datos!$K$6</f>
        <v>36</v>
      </c>
      <c r="AA41" s="55">
        <f ca="1">IF((W41-Datos!$U$6-1000000-O41*3%*VLOOKUP(TODAY(),'UF HOY'!$A$2:$B$36,2,0))/Z41&gt;0,(W41-Datos!$U$6-1000000-O41*3%*VLOOKUP(TODAY(),'UF HOY'!$A$2:$B$36,2,0))/Z41,0)</f>
        <v>281576.61755555548</v>
      </c>
      <c r="AB41" s="55">
        <f>IF(L41&gt;0,VLOOKUP(D41,Datos!$A$36:$C$40,3,0),VLOOKUP(D41,Datos!$A$36:$C$40,2,0))</f>
        <v>450000</v>
      </c>
      <c r="AC41" s="55">
        <f ca="1">(S41*PMT(Datos!$G$15,Datos!$G$14,-O41,,)*VLOOKUP(TODAY(),'UF HOY'!$A$2:$B$36,2,0)/12)+VLOOKUP(TODAY(),'UF HOY'!$A$2:$B$36,2,0)</f>
        <v>658612.83761670976</v>
      </c>
      <c r="AD41" s="55">
        <f t="shared" ca="1" si="34"/>
        <v>-208612.83761670976</v>
      </c>
      <c r="AE41" s="93">
        <f t="shared" ca="1" si="11"/>
        <v>2634451.350466839</v>
      </c>
    </row>
    <row r="42" spans="1:31" s="3" customFormat="1" x14ac:dyDescent="0.35">
      <c r="A42" s="94" t="s">
        <v>305</v>
      </c>
      <c r="B42" s="80">
        <v>2301</v>
      </c>
      <c r="C42" s="48" t="s">
        <v>40</v>
      </c>
      <c r="D42" s="48" t="s">
        <v>37</v>
      </c>
      <c r="E42" s="48"/>
      <c r="F42" s="48">
        <v>34.130000000000003</v>
      </c>
      <c r="G42" s="48">
        <v>2.65</v>
      </c>
      <c r="H42" s="82">
        <f t="shared" si="24"/>
        <v>35.455000000000005</v>
      </c>
      <c r="I42" s="82">
        <f t="shared" si="25"/>
        <v>36.78</v>
      </c>
      <c r="J42" s="49">
        <v>4040</v>
      </c>
      <c r="K42" s="50">
        <v>0</v>
      </c>
      <c r="L42" s="48">
        <v>0</v>
      </c>
      <c r="M42" s="48">
        <v>0</v>
      </c>
      <c r="N42" s="51">
        <f t="shared" si="26"/>
        <v>3636</v>
      </c>
      <c r="O42" s="52">
        <f t="shared" si="27"/>
        <v>4040</v>
      </c>
      <c r="P42" s="79">
        <f t="shared" si="28"/>
        <v>102.55253137780284</v>
      </c>
      <c r="Q42" s="53">
        <f t="shared" si="29"/>
        <v>0.1</v>
      </c>
      <c r="R42" s="54">
        <f t="shared" si="30"/>
        <v>404</v>
      </c>
      <c r="S42" s="53">
        <v>0.8</v>
      </c>
      <c r="T42" s="54">
        <f t="shared" si="31"/>
        <v>3232</v>
      </c>
      <c r="U42" s="53">
        <f t="shared" si="32"/>
        <v>9.9999999999999978E-2</v>
      </c>
      <c r="V42" s="54">
        <f t="shared" si="33"/>
        <v>403.99999999999989</v>
      </c>
      <c r="W42" s="55">
        <f ca="1">V42*VLOOKUP(TODAY(),'UF HOY'!$A$2:$B$36,2,0)</f>
        <v>16052511.759999996</v>
      </c>
      <c r="X42" s="56">
        <f>Datos!$K$6</f>
        <v>36</v>
      </c>
      <c r="Y42" s="55">
        <f ca="1">IF((W42-Datos!$U$6-1000000)/X42&gt;0,(W42-Datos!$U$6-1000000)/X42,0)</f>
        <v>415347.54888888879</v>
      </c>
      <c r="Z42" s="56">
        <f>Datos!$K$6</f>
        <v>36</v>
      </c>
      <c r="AA42" s="55">
        <f ca="1">IF((W42-Datos!$U$6-1000000-O42*3%*VLOOKUP(TODAY(),'UF HOY'!$A$2:$B$36,2,0))/Z42&gt;0,(W42-Datos!$U$6-1000000-O42*3%*VLOOKUP(TODAY(),'UF HOY'!$A$2:$B$36,2,0))/Z42,0)</f>
        <v>281576.61755555548</v>
      </c>
      <c r="AB42" s="55">
        <f>IF(L42&gt;0,VLOOKUP(D42,Datos!$A$36:$C$40,3,0),VLOOKUP(D42,Datos!$A$36:$C$40,2,0))</f>
        <v>450000</v>
      </c>
      <c r="AC42" s="55">
        <f ca="1">(S42*PMT(Datos!$G$15,Datos!$G$14,-O42,,)*VLOOKUP(TODAY(),'UF HOY'!$A$2:$B$36,2,0)/12)+VLOOKUP(TODAY(),'UF HOY'!$A$2:$B$36,2,0)</f>
        <v>658612.83761670976</v>
      </c>
      <c r="AD42" s="55">
        <f t="shared" ca="1" si="34"/>
        <v>-208612.83761670976</v>
      </c>
      <c r="AE42" s="93">
        <f t="shared" ca="1" si="11"/>
        <v>2634451.350466839</v>
      </c>
    </row>
    <row r="43" spans="1:31" s="3" customFormat="1" x14ac:dyDescent="0.35">
      <c r="A43" s="94" t="s">
        <v>305</v>
      </c>
      <c r="B43" s="80">
        <v>2302</v>
      </c>
      <c r="C43" s="48" t="s">
        <v>40</v>
      </c>
      <c r="D43" s="48" t="s">
        <v>37</v>
      </c>
      <c r="E43" s="48"/>
      <c r="F43" s="48">
        <v>34.049999999999997</v>
      </c>
      <c r="G43" s="48">
        <v>2.74</v>
      </c>
      <c r="H43" s="82">
        <f t="shared" si="24"/>
        <v>35.419999999999995</v>
      </c>
      <c r="I43" s="82">
        <f t="shared" si="25"/>
        <v>36.79</v>
      </c>
      <c r="J43" s="49">
        <v>4040</v>
      </c>
      <c r="K43" s="50">
        <v>0</v>
      </c>
      <c r="L43" s="48">
        <v>0</v>
      </c>
      <c r="M43" s="48">
        <v>0</v>
      </c>
      <c r="N43" s="51">
        <f t="shared" si="26"/>
        <v>3636</v>
      </c>
      <c r="O43" s="52">
        <f t="shared" si="27"/>
        <v>4040</v>
      </c>
      <c r="P43" s="79">
        <f t="shared" si="28"/>
        <v>102.65386787125919</v>
      </c>
      <c r="Q43" s="53">
        <f t="shared" si="29"/>
        <v>0.1</v>
      </c>
      <c r="R43" s="54">
        <f t="shared" si="30"/>
        <v>404</v>
      </c>
      <c r="S43" s="53">
        <v>0.8</v>
      </c>
      <c r="T43" s="54">
        <f t="shared" si="31"/>
        <v>3232</v>
      </c>
      <c r="U43" s="53">
        <f t="shared" si="32"/>
        <v>9.9999999999999978E-2</v>
      </c>
      <c r="V43" s="54">
        <f t="shared" si="33"/>
        <v>403.99999999999989</v>
      </c>
      <c r="W43" s="55">
        <f ca="1">V43*VLOOKUP(TODAY(),'UF HOY'!$A$2:$B$36,2,0)</f>
        <v>16052511.759999996</v>
      </c>
      <c r="X43" s="56">
        <f>Datos!$K$6</f>
        <v>36</v>
      </c>
      <c r="Y43" s="55">
        <f ca="1">IF((W43-Datos!$U$6-1000000)/X43&gt;0,(W43-Datos!$U$6-1000000)/X43,0)</f>
        <v>415347.54888888879</v>
      </c>
      <c r="Z43" s="56">
        <f>Datos!$K$6</f>
        <v>36</v>
      </c>
      <c r="AA43" s="55">
        <f ca="1">IF((W43-Datos!$U$6-1000000-O43*3%*VLOOKUP(TODAY(),'UF HOY'!$A$2:$B$36,2,0))/Z43&gt;0,(W43-Datos!$U$6-1000000-O43*3%*VLOOKUP(TODAY(),'UF HOY'!$A$2:$B$36,2,0))/Z43,0)</f>
        <v>281576.61755555548</v>
      </c>
      <c r="AB43" s="55">
        <f>IF(L43&gt;0,VLOOKUP(D43,Datos!$A$36:$C$40,3,0),VLOOKUP(D43,Datos!$A$36:$C$40,2,0))</f>
        <v>450000</v>
      </c>
      <c r="AC43" s="55">
        <f ca="1">(S43*PMT(Datos!$G$15,Datos!$G$14,-O43,,)*VLOOKUP(TODAY(),'UF HOY'!$A$2:$B$36,2,0)/12)+VLOOKUP(TODAY(),'UF HOY'!$A$2:$B$36,2,0)</f>
        <v>658612.83761670976</v>
      </c>
      <c r="AD43" s="55">
        <f t="shared" ca="1" si="34"/>
        <v>-208612.83761670976</v>
      </c>
      <c r="AE43" s="93">
        <f t="shared" ca="1" si="11"/>
        <v>2634451.350466839</v>
      </c>
    </row>
    <row r="44" spans="1:31" s="3" customFormat="1" x14ac:dyDescent="0.35">
      <c r="A44" s="94" t="s">
        <v>305</v>
      </c>
      <c r="B44" s="80">
        <v>1413</v>
      </c>
      <c r="C44" s="48" t="s">
        <v>41</v>
      </c>
      <c r="D44" s="48" t="s">
        <v>37</v>
      </c>
      <c r="E44" s="48"/>
      <c r="F44" s="48">
        <v>34.93</v>
      </c>
      <c r="G44" s="48">
        <v>2.64</v>
      </c>
      <c r="H44" s="82">
        <f t="shared" si="24"/>
        <v>36.25</v>
      </c>
      <c r="I44" s="82">
        <f t="shared" si="25"/>
        <v>37.57</v>
      </c>
      <c r="J44" s="49">
        <v>4050</v>
      </c>
      <c r="K44" s="50">
        <v>0</v>
      </c>
      <c r="L44" s="48">
        <v>0</v>
      </c>
      <c r="M44" s="48">
        <v>0</v>
      </c>
      <c r="N44" s="51">
        <f t="shared" si="26"/>
        <v>3645</v>
      </c>
      <c r="O44" s="52">
        <f t="shared" si="27"/>
        <v>4050</v>
      </c>
      <c r="P44" s="79">
        <f t="shared" si="28"/>
        <v>100.55172413793103</v>
      </c>
      <c r="Q44" s="53">
        <f t="shared" si="29"/>
        <v>0.1</v>
      </c>
      <c r="R44" s="54">
        <f t="shared" si="30"/>
        <v>405</v>
      </c>
      <c r="S44" s="53">
        <v>0.8</v>
      </c>
      <c r="T44" s="54">
        <f t="shared" si="31"/>
        <v>3240</v>
      </c>
      <c r="U44" s="53">
        <f t="shared" si="32"/>
        <v>9.9999999999999978E-2</v>
      </c>
      <c r="V44" s="54">
        <f t="shared" si="33"/>
        <v>404.99999999999989</v>
      </c>
      <c r="W44" s="55">
        <f ca="1">V44*VLOOKUP(TODAY(),'UF HOY'!$A$2:$B$36,2,0)</f>
        <v>16092245.699999996</v>
      </c>
      <c r="X44" s="56">
        <f>Datos!$K$6</f>
        <v>36</v>
      </c>
      <c r="Y44" s="55">
        <f ca="1">IF((W44-Datos!$U$6-1000000)/X44&gt;0,(W44-Datos!$U$6-1000000)/X44,0)</f>
        <v>416451.26944444433</v>
      </c>
      <c r="Z44" s="56">
        <f>Datos!$K$6</f>
        <v>36</v>
      </c>
      <c r="AA44" s="55">
        <f ca="1">IF((W44-Datos!$U$6-1000000-O44*3%*VLOOKUP(TODAY(),'UF HOY'!$A$2:$B$36,2,0))/Z44&gt;0,(W44-Datos!$U$6-1000000-O44*3%*VLOOKUP(TODAY(),'UF HOY'!$A$2:$B$36,2,0))/Z44,0)</f>
        <v>282349.22194444429</v>
      </c>
      <c r="AB44" s="55">
        <f>IF(L44&gt;0,VLOOKUP(D44,Datos!$A$36:$C$40,3,0),VLOOKUP(D44,Datos!$A$36:$C$40,2,0))</f>
        <v>450000</v>
      </c>
      <c r="AC44" s="55">
        <f ca="1">(S44*PMT(Datos!$G$15,Datos!$G$14,-O44,,)*VLOOKUP(TODAY(),'UF HOY'!$A$2:$B$36,2,0)/12)+VLOOKUP(TODAY(),'UF HOY'!$A$2:$B$36,2,0)</f>
        <v>660144.71607615706</v>
      </c>
      <c r="AD44" s="55">
        <f t="shared" ca="1" si="34"/>
        <v>-210144.71607615706</v>
      </c>
      <c r="AE44" s="93">
        <f t="shared" ca="1" si="11"/>
        <v>2640578.8643046282</v>
      </c>
    </row>
    <row r="45" spans="1:31" s="3" customFormat="1" x14ac:dyDescent="0.35">
      <c r="A45" s="94" t="s">
        <v>305</v>
      </c>
      <c r="B45" s="80">
        <v>1812</v>
      </c>
      <c r="C45" s="48" t="s">
        <v>41</v>
      </c>
      <c r="D45" s="48" t="s">
        <v>37</v>
      </c>
      <c r="E45" s="48"/>
      <c r="F45" s="48">
        <v>34.06</v>
      </c>
      <c r="G45" s="48">
        <v>2.66</v>
      </c>
      <c r="H45" s="82">
        <f t="shared" si="24"/>
        <v>35.39</v>
      </c>
      <c r="I45" s="82">
        <f t="shared" si="25"/>
        <v>36.72</v>
      </c>
      <c r="J45" s="49">
        <v>4050</v>
      </c>
      <c r="K45" s="50">
        <v>0</v>
      </c>
      <c r="L45" s="48">
        <v>0</v>
      </c>
      <c r="M45" s="48">
        <v>0</v>
      </c>
      <c r="N45" s="51">
        <f t="shared" si="26"/>
        <v>3645</v>
      </c>
      <c r="O45" s="52">
        <f t="shared" si="27"/>
        <v>4050</v>
      </c>
      <c r="P45" s="79">
        <f t="shared" si="28"/>
        <v>102.99519638315908</v>
      </c>
      <c r="Q45" s="53">
        <f t="shared" si="29"/>
        <v>0.1</v>
      </c>
      <c r="R45" s="54">
        <f t="shared" si="30"/>
        <v>405</v>
      </c>
      <c r="S45" s="53">
        <v>0.8</v>
      </c>
      <c r="T45" s="54">
        <f t="shared" si="31"/>
        <v>3240</v>
      </c>
      <c r="U45" s="53">
        <f t="shared" si="32"/>
        <v>9.9999999999999978E-2</v>
      </c>
      <c r="V45" s="54">
        <f t="shared" si="33"/>
        <v>404.99999999999989</v>
      </c>
      <c r="W45" s="55">
        <f ca="1">V45*VLOOKUP(TODAY(),'UF HOY'!$A$2:$B$36,2,0)</f>
        <v>16092245.699999996</v>
      </c>
      <c r="X45" s="56">
        <f>Datos!$K$6</f>
        <v>36</v>
      </c>
      <c r="Y45" s="55">
        <f ca="1">IF((W45-Datos!$U$6-1000000)/X45&gt;0,(W45-Datos!$U$6-1000000)/X45,0)</f>
        <v>416451.26944444433</v>
      </c>
      <c r="Z45" s="56">
        <f>Datos!$K$6</f>
        <v>36</v>
      </c>
      <c r="AA45" s="55">
        <f ca="1">IF((W45-Datos!$U$6-1000000-O45*3%*VLOOKUP(TODAY(),'UF HOY'!$A$2:$B$36,2,0))/Z45&gt;0,(W45-Datos!$U$6-1000000-O45*3%*VLOOKUP(TODAY(),'UF HOY'!$A$2:$B$36,2,0))/Z45,0)</f>
        <v>282349.22194444429</v>
      </c>
      <c r="AB45" s="55">
        <f>IF(L45&gt;0,VLOOKUP(D45,Datos!$A$36:$C$40,3,0),VLOOKUP(D45,Datos!$A$36:$C$40,2,0))</f>
        <v>450000</v>
      </c>
      <c r="AC45" s="55">
        <f ca="1">(S45*PMT(Datos!$G$15,Datos!$G$14,-O45,,)*VLOOKUP(TODAY(),'UF HOY'!$A$2:$B$36,2,0)/12)+VLOOKUP(TODAY(),'UF HOY'!$A$2:$B$36,2,0)</f>
        <v>660144.71607615706</v>
      </c>
      <c r="AD45" s="55">
        <f t="shared" ca="1" si="34"/>
        <v>-210144.71607615706</v>
      </c>
      <c r="AE45" s="93">
        <f t="shared" ca="1" si="11"/>
        <v>2640578.8643046282</v>
      </c>
    </row>
    <row r="46" spans="1:31" s="3" customFormat="1" x14ac:dyDescent="0.35">
      <c r="A46" s="94" t="s">
        <v>305</v>
      </c>
      <c r="B46" s="80">
        <v>2202</v>
      </c>
      <c r="C46" s="48" t="s">
        <v>40</v>
      </c>
      <c r="D46" s="48" t="s">
        <v>37</v>
      </c>
      <c r="E46" s="48"/>
      <c r="F46" s="48">
        <v>34.049999999999997</v>
      </c>
      <c r="G46" s="48">
        <v>2.74</v>
      </c>
      <c r="H46" s="82">
        <f t="shared" si="24"/>
        <v>35.419999999999995</v>
      </c>
      <c r="I46" s="82">
        <f t="shared" si="25"/>
        <v>36.79</v>
      </c>
      <c r="J46" s="49">
        <v>4050</v>
      </c>
      <c r="K46" s="50">
        <v>0</v>
      </c>
      <c r="L46" s="48">
        <v>0</v>
      </c>
      <c r="M46" s="48">
        <v>0</v>
      </c>
      <c r="N46" s="51">
        <f t="shared" si="26"/>
        <v>3645</v>
      </c>
      <c r="O46" s="52">
        <f t="shared" si="27"/>
        <v>4050</v>
      </c>
      <c r="P46" s="79">
        <f t="shared" si="28"/>
        <v>102.9079616036138</v>
      </c>
      <c r="Q46" s="53">
        <f t="shared" si="29"/>
        <v>0.1</v>
      </c>
      <c r="R46" s="54">
        <f t="shared" si="30"/>
        <v>405</v>
      </c>
      <c r="S46" s="53">
        <v>0.8</v>
      </c>
      <c r="T46" s="54">
        <f t="shared" si="31"/>
        <v>3240</v>
      </c>
      <c r="U46" s="53">
        <f t="shared" si="32"/>
        <v>9.9999999999999978E-2</v>
      </c>
      <c r="V46" s="54">
        <f t="shared" si="33"/>
        <v>404.99999999999989</v>
      </c>
      <c r="W46" s="55">
        <f ca="1">V46*VLOOKUP(TODAY(),'UF HOY'!$A$2:$B$36,2,0)</f>
        <v>16092245.699999996</v>
      </c>
      <c r="X46" s="56">
        <f>Datos!$K$6</f>
        <v>36</v>
      </c>
      <c r="Y46" s="55">
        <f ca="1">IF((W46-Datos!$U$6-1000000)/X46&gt;0,(W46-Datos!$U$6-1000000)/X46,0)</f>
        <v>416451.26944444433</v>
      </c>
      <c r="Z46" s="56">
        <f>Datos!$K$6</f>
        <v>36</v>
      </c>
      <c r="AA46" s="55">
        <f ca="1">IF((W46-Datos!$U$6-1000000-O46*3%*VLOOKUP(TODAY(),'UF HOY'!$A$2:$B$36,2,0))/Z46&gt;0,(W46-Datos!$U$6-1000000-O46*3%*VLOOKUP(TODAY(),'UF HOY'!$A$2:$B$36,2,0))/Z46,0)</f>
        <v>282349.22194444429</v>
      </c>
      <c r="AB46" s="55">
        <f>IF(L46&gt;0,VLOOKUP(D46,Datos!$A$36:$C$40,3,0),VLOOKUP(D46,Datos!$A$36:$C$40,2,0))</f>
        <v>450000</v>
      </c>
      <c r="AC46" s="55">
        <f ca="1">(S46*PMT(Datos!$G$15,Datos!$G$14,-O46,,)*VLOOKUP(TODAY(),'UF HOY'!$A$2:$B$36,2,0)/12)+VLOOKUP(TODAY(),'UF HOY'!$A$2:$B$36,2,0)</f>
        <v>660144.71607615706</v>
      </c>
      <c r="AD46" s="55">
        <f t="shared" ca="1" si="34"/>
        <v>-210144.71607615706</v>
      </c>
      <c r="AE46" s="93">
        <f t="shared" ca="1" si="11"/>
        <v>2640578.8643046282</v>
      </c>
    </row>
    <row r="47" spans="1:31" s="3" customFormat="1" x14ac:dyDescent="0.35">
      <c r="A47" s="94" t="s">
        <v>305</v>
      </c>
      <c r="B47" s="80">
        <v>2304</v>
      </c>
      <c r="C47" s="48" t="s">
        <v>40</v>
      </c>
      <c r="D47" s="48" t="s">
        <v>37</v>
      </c>
      <c r="E47" s="48"/>
      <c r="F47" s="48">
        <v>34.15</v>
      </c>
      <c r="G47" s="48">
        <v>2.71</v>
      </c>
      <c r="H47" s="82">
        <f t="shared" si="24"/>
        <v>35.504999999999995</v>
      </c>
      <c r="I47" s="82">
        <f t="shared" si="25"/>
        <v>36.86</v>
      </c>
      <c r="J47" s="49">
        <v>4050</v>
      </c>
      <c r="K47" s="50">
        <v>0</v>
      </c>
      <c r="L47" s="48">
        <v>0</v>
      </c>
      <c r="M47" s="48">
        <v>0</v>
      </c>
      <c r="N47" s="51">
        <f t="shared" si="26"/>
        <v>3645</v>
      </c>
      <c r="O47" s="52">
        <f t="shared" si="27"/>
        <v>4050</v>
      </c>
      <c r="P47" s="79">
        <f t="shared" si="28"/>
        <v>102.66159695817491</v>
      </c>
      <c r="Q47" s="53">
        <f t="shared" si="29"/>
        <v>0.1</v>
      </c>
      <c r="R47" s="54">
        <f t="shared" si="30"/>
        <v>405</v>
      </c>
      <c r="S47" s="53">
        <v>0.8</v>
      </c>
      <c r="T47" s="54">
        <f t="shared" si="31"/>
        <v>3240</v>
      </c>
      <c r="U47" s="53">
        <f t="shared" si="32"/>
        <v>9.9999999999999978E-2</v>
      </c>
      <c r="V47" s="54">
        <f t="shared" si="33"/>
        <v>404.99999999999989</v>
      </c>
      <c r="W47" s="55">
        <f ca="1">V47*VLOOKUP(TODAY(),'UF HOY'!$A$2:$B$36,2,0)</f>
        <v>16092245.699999996</v>
      </c>
      <c r="X47" s="56">
        <f>Datos!$K$6</f>
        <v>36</v>
      </c>
      <c r="Y47" s="55">
        <f ca="1">IF((W47-Datos!$U$6-1000000)/X47&gt;0,(W47-Datos!$U$6-1000000)/X47,0)</f>
        <v>416451.26944444433</v>
      </c>
      <c r="Z47" s="56">
        <f>Datos!$K$6</f>
        <v>36</v>
      </c>
      <c r="AA47" s="55">
        <f ca="1">IF((W47-Datos!$U$6-1000000-O47*3%*VLOOKUP(TODAY(),'UF HOY'!$A$2:$B$36,2,0))/Z47&gt;0,(W47-Datos!$U$6-1000000-O47*3%*VLOOKUP(TODAY(),'UF HOY'!$A$2:$B$36,2,0))/Z47,0)</f>
        <v>282349.22194444429</v>
      </c>
      <c r="AB47" s="55">
        <f>IF(L47&gt;0,VLOOKUP(D47,Datos!$A$36:$C$40,3,0),VLOOKUP(D47,Datos!$A$36:$C$40,2,0))</f>
        <v>450000</v>
      </c>
      <c r="AC47" s="55">
        <f ca="1">(S47*PMT(Datos!$G$15,Datos!$G$14,-O47,,)*VLOOKUP(TODAY(),'UF HOY'!$A$2:$B$36,2,0)/12)+VLOOKUP(TODAY(),'UF HOY'!$A$2:$B$36,2,0)</f>
        <v>660144.71607615706</v>
      </c>
      <c r="AD47" s="55">
        <f t="shared" ca="1" si="34"/>
        <v>-210144.71607615706</v>
      </c>
      <c r="AE47" s="93">
        <f t="shared" ca="1" si="11"/>
        <v>2640578.8643046282</v>
      </c>
    </row>
    <row r="48" spans="1:31" s="3" customFormat="1" x14ac:dyDescent="0.35">
      <c r="A48" s="94" t="s">
        <v>305</v>
      </c>
      <c r="B48" s="80">
        <v>2401</v>
      </c>
      <c r="C48" s="48" t="s">
        <v>40</v>
      </c>
      <c r="D48" s="48" t="s">
        <v>37</v>
      </c>
      <c r="E48" s="48"/>
      <c r="F48" s="48">
        <v>34.130000000000003</v>
      </c>
      <c r="G48" s="48">
        <v>2.65</v>
      </c>
      <c r="H48" s="82">
        <f t="shared" si="24"/>
        <v>35.455000000000005</v>
      </c>
      <c r="I48" s="82">
        <f t="shared" si="25"/>
        <v>36.78</v>
      </c>
      <c r="J48" s="49">
        <v>4050</v>
      </c>
      <c r="K48" s="50">
        <v>0</v>
      </c>
      <c r="L48" s="48">
        <v>0</v>
      </c>
      <c r="M48" s="48">
        <v>0</v>
      </c>
      <c r="N48" s="51">
        <f t="shared" si="26"/>
        <v>3645</v>
      </c>
      <c r="O48" s="52">
        <f t="shared" si="27"/>
        <v>4050</v>
      </c>
      <c r="P48" s="79">
        <f t="shared" si="28"/>
        <v>102.80637427725284</v>
      </c>
      <c r="Q48" s="53">
        <f t="shared" si="29"/>
        <v>0.1</v>
      </c>
      <c r="R48" s="54">
        <f t="shared" si="30"/>
        <v>405</v>
      </c>
      <c r="S48" s="53">
        <v>0.8</v>
      </c>
      <c r="T48" s="54">
        <f t="shared" si="31"/>
        <v>3240</v>
      </c>
      <c r="U48" s="53">
        <f t="shared" si="32"/>
        <v>9.9999999999999978E-2</v>
      </c>
      <c r="V48" s="54">
        <f t="shared" si="33"/>
        <v>404.99999999999989</v>
      </c>
      <c r="W48" s="55">
        <f ca="1">V48*VLOOKUP(TODAY(),'UF HOY'!$A$2:$B$36,2,0)</f>
        <v>16092245.699999996</v>
      </c>
      <c r="X48" s="56">
        <f>Datos!$K$6</f>
        <v>36</v>
      </c>
      <c r="Y48" s="55">
        <f ca="1">IF((W48-Datos!$U$6-1000000)/X48&gt;0,(W48-Datos!$U$6-1000000)/X48,0)</f>
        <v>416451.26944444433</v>
      </c>
      <c r="Z48" s="56">
        <f>Datos!$K$6</f>
        <v>36</v>
      </c>
      <c r="AA48" s="55">
        <f ca="1">IF((W48-Datos!$U$6-1000000-O48*3%*VLOOKUP(TODAY(),'UF HOY'!$A$2:$B$36,2,0))/Z48&gt;0,(W48-Datos!$U$6-1000000-O48*3%*VLOOKUP(TODAY(),'UF HOY'!$A$2:$B$36,2,0))/Z48,0)</f>
        <v>282349.22194444429</v>
      </c>
      <c r="AB48" s="55">
        <f>IF(L48&gt;0,VLOOKUP(D48,Datos!$A$36:$C$40,3,0),VLOOKUP(D48,Datos!$A$36:$C$40,2,0))</f>
        <v>450000</v>
      </c>
      <c r="AC48" s="55">
        <f ca="1">(S48*PMT(Datos!$G$15,Datos!$G$14,-O48,,)*VLOOKUP(TODAY(),'UF HOY'!$A$2:$B$36,2,0)/12)+VLOOKUP(TODAY(),'UF HOY'!$A$2:$B$36,2,0)</f>
        <v>660144.71607615706</v>
      </c>
      <c r="AD48" s="55">
        <f t="shared" ca="1" si="34"/>
        <v>-210144.71607615706</v>
      </c>
      <c r="AE48" s="93">
        <f t="shared" ca="1" si="11"/>
        <v>2640578.8643046282</v>
      </c>
    </row>
    <row r="49" spans="1:31" s="3" customFormat="1" x14ac:dyDescent="0.35">
      <c r="A49" s="94" t="s">
        <v>305</v>
      </c>
      <c r="B49" s="80">
        <v>2402</v>
      </c>
      <c r="C49" s="48" t="s">
        <v>40</v>
      </c>
      <c r="D49" s="48" t="s">
        <v>37</v>
      </c>
      <c r="E49" s="48"/>
      <c r="F49" s="48">
        <v>34.049999999999997</v>
      </c>
      <c r="G49" s="48">
        <v>2.74</v>
      </c>
      <c r="H49" s="82">
        <f t="shared" si="24"/>
        <v>35.419999999999995</v>
      </c>
      <c r="I49" s="82">
        <f t="shared" si="25"/>
        <v>36.79</v>
      </c>
      <c r="J49" s="49">
        <v>4050</v>
      </c>
      <c r="K49" s="50">
        <v>0</v>
      </c>
      <c r="L49" s="48">
        <v>0</v>
      </c>
      <c r="M49" s="48">
        <v>0</v>
      </c>
      <c r="N49" s="51">
        <f t="shared" si="26"/>
        <v>3645</v>
      </c>
      <c r="O49" s="52">
        <f t="shared" si="27"/>
        <v>4050</v>
      </c>
      <c r="P49" s="79">
        <f t="shared" si="28"/>
        <v>102.9079616036138</v>
      </c>
      <c r="Q49" s="53">
        <f t="shared" si="29"/>
        <v>0.1</v>
      </c>
      <c r="R49" s="54">
        <f t="shared" si="30"/>
        <v>405</v>
      </c>
      <c r="S49" s="53">
        <v>0.8</v>
      </c>
      <c r="T49" s="54">
        <f t="shared" si="31"/>
        <v>3240</v>
      </c>
      <c r="U49" s="53">
        <f t="shared" si="32"/>
        <v>9.9999999999999978E-2</v>
      </c>
      <c r="V49" s="54">
        <f t="shared" si="33"/>
        <v>404.99999999999989</v>
      </c>
      <c r="W49" s="55">
        <f ca="1">V49*VLOOKUP(TODAY(),'UF HOY'!$A$2:$B$36,2,0)</f>
        <v>16092245.699999996</v>
      </c>
      <c r="X49" s="56">
        <f>Datos!$K$6</f>
        <v>36</v>
      </c>
      <c r="Y49" s="55">
        <f ca="1">IF((W49-Datos!$U$6-1000000)/X49&gt;0,(W49-Datos!$U$6-1000000)/X49,0)</f>
        <v>416451.26944444433</v>
      </c>
      <c r="Z49" s="56">
        <f>Datos!$K$6</f>
        <v>36</v>
      </c>
      <c r="AA49" s="55">
        <f ca="1">IF((W49-Datos!$U$6-1000000-O49*3%*VLOOKUP(TODAY(),'UF HOY'!$A$2:$B$36,2,0))/Z49&gt;0,(W49-Datos!$U$6-1000000-O49*3%*VLOOKUP(TODAY(),'UF HOY'!$A$2:$B$36,2,0))/Z49,0)</f>
        <v>282349.22194444429</v>
      </c>
      <c r="AB49" s="55">
        <f>IF(L49&gt;0,VLOOKUP(D49,Datos!$A$36:$C$40,3,0),VLOOKUP(D49,Datos!$A$36:$C$40,2,0))</f>
        <v>450000</v>
      </c>
      <c r="AC49" s="55">
        <f ca="1">(S49*PMT(Datos!$G$15,Datos!$G$14,-O49,,)*VLOOKUP(TODAY(),'UF HOY'!$A$2:$B$36,2,0)/12)+VLOOKUP(TODAY(),'UF HOY'!$A$2:$B$36,2,0)</f>
        <v>660144.71607615706</v>
      </c>
      <c r="AD49" s="55">
        <f t="shared" ca="1" si="34"/>
        <v>-210144.71607615706</v>
      </c>
      <c r="AE49" s="93">
        <f t="shared" ca="1" si="11"/>
        <v>2640578.8643046282</v>
      </c>
    </row>
    <row r="50" spans="1:31" s="3" customFormat="1" x14ac:dyDescent="0.35">
      <c r="A50" s="94" t="s">
        <v>305</v>
      </c>
      <c r="B50" s="80">
        <v>2404</v>
      </c>
      <c r="C50" s="48" t="s">
        <v>40</v>
      </c>
      <c r="D50" s="48" t="s">
        <v>37</v>
      </c>
      <c r="E50" s="48"/>
      <c r="F50" s="48">
        <v>34.15</v>
      </c>
      <c r="G50" s="48">
        <v>2.71</v>
      </c>
      <c r="H50" s="82">
        <f t="shared" si="24"/>
        <v>35.504999999999995</v>
      </c>
      <c r="I50" s="82">
        <f t="shared" si="25"/>
        <v>36.86</v>
      </c>
      <c r="J50" s="49">
        <v>4060</v>
      </c>
      <c r="K50" s="50">
        <v>0</v>
      </c>
      <c r="L50" s="48">
        <v>0</v>
      </c>
      <c r="M50" s="48">
        <v>0</v>
      </c>
      <c r="N50" s="51">
        <f t="shared" si="26"/>
        <v>3654</v>
      </c>
      <c r="O50" s="52">
        <f t="shared" si="27"/>
        <v>4060</v>
      </c>
      <c r="P50" s="79">
        <f t="shared" si="28"/>
        <v>102.915082382763</v>
      </c>
      <c r="Q50" s="53">
        <f t="shared" si="29"/>
        <v>0.1</v>
      </c>
      <c r="R50" s="54">
        <f t="shared" si="30"/>
        <v>406</v>
      </c>
      <c r="S50" s="53">
        <v>0.8</v>
      </c>
      <c r="T50" s="54">
        <f t="shared" si="31"/>
        <v>3248</v>
      </c>
      <c r="U50" s="53">
        <f t="shared" si="32"/>
        <v>9.9999999999999978E-2</v>
      </c>
      <c r="V50" s="54">
        <f t="shared" si="33"/>
        <v>405.99999999999989</v>
      </c>
      <c r="W50" s="55">
        <f ca="1">V50*VLOOKUP(TODAY(),'UF HOY'!$A$2:$B$36,2,0)</f>
        <v>16131979.639999997</v>
      </c>
      <c r="X50" s="56">
        <f>Datos!$K$6</f>
        <v>36</v>
      </c>
      <c r="Y50" s="55">
        <f ca="1">IF((W50-Datos!$U$6-1000000)/X50&gt;0,(W50-Datos!$U$6-1000000)/X50,0)</f>
        <v>417554.98999999993</v>
      </c>
      <c r="Z50" s="56">
        <f>Datos!$K$6</f>
        <v>36</v>
      </c>
      <c r="AA50" s="55">
        <f ca="1">IF((W50-Datos!$U$6-1000000-O50*3%*VLOOKUP(TODAY(),'UF HOY'!$A$2:$B$36,2,0))/Z50&gt;0,(W50-Datos!$U$6-1000000-O50*3%*VLOOKUP(TODAY(),'UF HOY'!$A$2:$B$36,2,0))/Z50,0)</f>
        <v>283121.82633333321</v>
      </c>
      <c r="AB50" s="55">
        <f>IF(L50&gt;0,VLOOKUP(D50,Datos!$A$36:$C$40,3,0),VLOOKUP(D50,Datos!$A$36:$C$40,2,0))</f>
        <v>450000</v>
      </c>
      <c r="AC50" s="55">
        <f ca="1">(S50*PMT(Datos!$G$15,Datos!$G$14,-O50,,)*VLOOKUP(TODAY(),'UF HOY'!$A$2:$B$36,2,0)/12)+VLOOKUP(TODAY(),'UF HOY'!$A$2:$B$36,2,0)</f>
        <v>661676.59453560435</v>
      </c>
      <c r="AD50" s="55">
        <f t="shared" ca="1" si="34"/>
        <v>-211676.59453560435</v>
      </c>
      <c r="AE50" s="93">
        <f t="shared" ca="1" si="11"/>
        <v>2646706.3781424174</v>
      </c>
    </row>
    <row r="51" spans="1:31" s="3" customFormat="1" x14ac:dyDescent="0.35">
      <c r="A51" s="94" t="s">
        <v>305</v>
      </c>
      <c r="B51" s="80">
        <v>2501</v>
      </c>
      <c r="C51" s="48" t="s">
        <v>40</v>
      </c>
      <c r="D51" s="48" t="s">
        <v>37</v>
      </c>
      <c r="E51" s="48"/>
      <c r="F51" s="48">
        <v>34.130000000000003</v>
      </c>
      <c r="G51" s="48">
        <v>2.65</v>
      </c>
      <c r="H51" s="82">
        <f t="shared" si="24"/>
        <v>35.455000000000005</v>
      </c>
      <c r="I51" s="82">
        <f t="shared" si="25"/>
        <v>36.78</v>
      </c>
      <c r="J51" s="49">
        <v>4060</v>
      </c>
      <c r="K51" s="50">
        <v>0</v>
      </c>
      <c r="L51" s="48">
        <v>0</v>
      </c>
      <c r="M51" s="48">
        <v>0</v>
      </c>
      <c r="N51" s="51">
        <f t="shared" si="26"/>
        <v>3654</v>
      </c>
      <c r="O51" s="52">
        <f t="shared" si="27"/>
        <v>4060</v>
      </c>
      <c r="P51" s="79">
        <f t="shared" si="28"/>
        <v>103.06021717670285</v>
      </c>
      <c r="Q51" s="53">
        <f t="shared" si="29"/>
        <v>0.1</v>
      </c>
      <c r="R51" s="54">
        <f t="shared" si="30"/>
        <v>406</v>
      </c>
      <c r="S51" s="53">
        <v>0.8</v>
      </c>
      <c r="T51" s="54">
        <f t="shared" si="31"/>
        <v>3248</v>
      </c>
      <c r="U51" s="53">
        <f t="shared" si="32"/>
        <v>9.9999999999999978E-2</v>
      </c>
      <c r="V51" s="54">
        <f t="shared" si="33"/>
        <v>405.99999999999989</v>
      </c>
      <c r="W51" s="55">
        <f ca="1">V51*VLOOKUP(TODAY(),'UF HOY'!$A$2:$B$36,2,0)</f>
        <v>16131979.639999997</v>
      </c>
      <c r="X51" s="56">
        <f>Datos!$K$6</f>
        <v>36</v>
      </c>
      <c r="Y51" s="55">
        <f ca="1">IF((W51-Datos!$U$6-1000000)/X51&gt;0,(W51-Datos!$U$6-1000000)/X51,0)</f>
        <v>417554.98999999993</v>
      </c>
      <c r="Z51" s="56">
        <f>Datos!$K$6</f>
        <v>36</v>
      </c>
      <c r="AA51" s="55">
        <f ca="1">IF((W51-Datos!$U$6-1000000-O51*3%*VLOOKUP(TODAY(),'UF HOY'!$A$2:$B$36,2,0))/Z51&gt;0,(W51-Datos!$U$6-1000000-O51*3%*VLOOKUP(TODAY(),'UF HOY'!$A$2:$B$36,2,0))/Z51,0)</f>
        <v>283121.82633333321</v>
      </c>
      <c r="AB51" s="55">
        <f>IF(L51&gt;0,VLOOKUP(D51,Datos!$A$36:$C$40,3,0),VLOOKUP(D51,Datos!$A$36:$C$40,2,0))</f>
        <v>450000</v>
      </c>
      <c r="AC51" s="55">
        <f ca="1">(S51*PMT(Datos!$G$15,Datos!$G$14,-O51,,)*VLOOKUP(TODAY(),'UF HOY'!$A$2:$B$36,2,0)/12)+VLOOKUP(TODAY(),'UF HOY'!$A$2:$B$36,2,0)</f>
        <v>661676.59453560435</v>
      </c>
      <c r="AD51" s="55">
        <f t="shared" ca="1" si="34"/>
        <v>-211676.59453560435</v>
      </c>
      <c r="AE51" s="93">
        <f t="shared" ca="1" si="11"/>
        <v>2646706.3781424174</v>
      </c>
    </row>
    <row r="52" spans="1:31" s="3" customFormat="1" x14ac:dyDescent="0.35">
      <c r="A52" s="94" t="s">
        <v>305</v>
      </c>
      <c r="B52" s="80">
        <v>2502</v>
      </c>
      <c r="C52" s="48" t="s">
        <v>40</v>
      </c>
      <c r="D52" s="48" t="s">
        <v>37</v>
      </c>
      <c r="E52" s="48"/>
      <c r="F52" s="48">
        <v>34.049999999999997</v>
      </c>
      <c r="G52" s="48">
        <v>2.74</v>
      </c>
      <c r="H52" s="82">
        <f t="shared" si="24"/>
        <v>35.419999999999995</v>
      </c>
      <c r="I52" s="82">
        <f t="shared" si="25"/>
        <v>36.79</v>
      </c>
      <c r="J52" s="49">
        <v>4060</v>
      </c>
      <c r="K52" s="50">
        <v>0</v>
      </c>
      <c r="L52" s="48">
        <v>0</v>
      </c>
      <c r="M52" s="48">
        <v>0</v>
      </c>
      <c r="N52" s="51">
        <f t="shared" si="26"/>
        <v>3654</v>
      </c>
      <c r="O52" s="52">
        <f t="shared" si="27"/>
        <v>4060</v>
      </c>
      <c r="P52" s="79">
        <f t="shared" si="28"/>
        <v>103.16205533596839</v>
      </c>
      <c r="Q52" s="53">
        <f t="shared" si="29"/>
        <v>0.1</v>
      </c>
      <c r="R52" s="54">
        <f t="shared" si="30"/>
        <v>406</v>
      </c>
      <c r="S52" s="53">
        <v>0.8</v>
      </c>
      <c r="T52" s="54">
        <f t="shared" si="31"/>
        <v>3248</v>
      </c>
      <c r="U52" s="53">
        <f t="shared" si="32"/>
        <v>9.9999999999999978E-2</v>
      </c>
      <c r="V52" s="54">
        <f t="shared" si="33"/>
        <v>405.99999999999989</v>
      </c>
      <c r="W52" s="55">
        <f ca="1">V52*VLOOKUP(TODAY(),'UF HOY'!$A$2:$B$36,2,0)</f>
        <v>16131979.639999997</v>
      </c>
      <c r="X52" s="56">
        <f>Datos!$K$6</f>
        <v>36</v>
      </c>
      <c r="Y52" s="55">
        <f ca="1">IF((W52-Datos!$U$6-1000000)/X52&gt;0,(W52-Datos!$U$6-1000000)/X52,0)</f>
        <v>417554.98999999993</v>
      </c>
      <c r="Z52" s="56">
        <f>Datos!$K$6</f>
        <v>36</v>
      </c>
      <c r="AA52" s="55">
        <f ca="1">IF((W52-Datos!$U$6-1000000-O52*3%*VLOOKUP(TODAY(),'UF HOY'!$A$2:$B$36,2,0))/Z52&gt;0,(W52-Datos!$U$6-1000000-O52*3%*VLOOKUP(TODAY(),'UF HOY'!$A$2:$B$36,2,0))/Z52,0)</f>
        <v>283121.82633333321</v>
      </c>
      <c r="AB52" s="55">
        <f>IF(L52&gt;0,VLOOKUP(D52,Datos!$A$36:$C$40,3,0),VLOOKUP(D52,Datos!$A$36:$C$40,2,0))</f>
        <v>450000</v>
      </c>
      <c r="AC52" s="55">
        <f ca="1">(S52*PMT(Datos!$G$15,Datos!$G$14,-O52,,)*VLOOKUP(TODAY(),'UF HOY'!$A$2:$B$36,2,0)/12)+VLOOKUP(TODAY(),'UF HOY'!$A$2:$B$36,2,0)</f>
        <v>661676.59453560435</v>
      </c>
      <c r="AD52" s="55">
        <f t="shared" ca="1" si="34"/>
        <v>-211676.59453560435</v>
      </c>
      <c r="AE52" s="93">
        <f t="shared" ca="1" si="11"/>
        <v>2646706.3781424174</v>
      </c>
    </row>
    <row r="53" spans="1:31" s="3" customFormat="1" x14ac:dyDescent="0.35">
      <c r="A53" s="94" t="s">
        <v>305</v>
      </c>
      <c r="B53" s="80">
        <v>1513</v>
      </c>
      <c r="C53" s="48" t="s">
        <v>41</v>
      </c>
      <c r="D53" s="48" t="s">
        <v>37</v>
      </c>
      <c r="E53" s="48"/>
      <c r="F53" s="48">
        <v>34.93</v>
      </c>
      <c r="G53" s="48">
        <v>2.64</v>
      </c>
      <c r="H53" s="82">
        <f t="shared" si="24"/>
        <v>36.25</v>
      </c>
      <c r="I53" s="82">
        <f t="shared" si="25"/>
        <v>37.57</v>
      </c>
      <c r="J53" s="49">
        <v>4065</v>
      </c>
      <c r="K53" s="50">
        <v>0</v>
      </c>
      <c r="L53" s="48">
        <v>0</v>
      </c>
      <c r="M53" s="48">
        <v>0</v>
      </c>
      <c r="N53" s="51">
        <f t="shared" si="26"/>
        <v>3658.5</v>
      </c>
      <c r="O53" s="52">
        <f t="shared" si="27"/>
        <v>4065</v>
      </c>
      <c r="P53" s="79">
        <f t="shared" si="28"/>
        <v>100.92413793103448</v>
      </c>
      <c r="Q53" s="53">
        <f t="shared" si="29"/>
        <v>0.1</v>
      </c>
      <c r="R53" s="54">
        <f t="shared" si="30"/>
        <v>406.5</v>
      </c>
      <c r="S53" s="53">
        <v>0.8</v>
      </c>
      <c r="T53" s="54">
        <f t="shared" si="31"/>
        <v>3252</v>
      </c>
      <c r="U53" s="53">
        <f t="shared" si="32"/>
        <v>9.9999999999999978E-2</v>
      </c>
      <c r="V53" s="54">
        <f t="shared" si="33"/>
        <v>406.49999999999989</v>
      </c>
      <c r="W53" s="55">
        <f ca="1">V53*VLOOKUP(TODAY(),'UF HOY'!$A$2:$B$36,2,0)</f>
        <v>16151846.609999996</v>
      </c>
      <c r="X53" s="56">
        <f>Datos!$K$6</f>
        <v>36</v>
      </c>
      <c r="Y53" s="55">
        <f ca="1">IF((W53-Datos!$U$6-1000000)/X53&gt;0,(W53-Datos!$U$6-1000000)/X53,0)</f>
        <v>418106.85027777764</v>
      </c>
      <c r="Z53" s="56">
        <f>Datos!$K$6</f>
        <v>36</v>
      </c>
      <c r="AA53" s="55">
        <f ca="1">IF((W53-Datos!$U$6-1000000-O53*3%*VLOOKUP(TODAY(),'UF HOY'!$A$2:$B$36,2,0))/Z53&gt;0,(W53-Datos!$U$6-1000000-O53*3%*VLOOKUP(TODAY(),'UF HOY'!$A$2:$B$36,2,0))/Z53,0)</f>
        <v>283508.12852777768</v>
      </c>
      <c r="AB53" s="55">
        <f>IF(L53&gt;0,VLOOKUP(D53,Datos!$A$36:$C$40,3,0),VLOOKUP(D53,Datos!$A$36:$C$40,2,0))</f>
        <v>450000</v>
      </c>
      <c r="AC53" s="55">
        <f ca="1">(S53*PMT(Datos!$G$15,Datos!$G$14,-O53,,)*VLOOKUP(TODAY(),'UF HOY'!$A$2:$B$36,2,0)/12)+VLOOKUP(TODAY(),'UF HOY'!$A$2:$B$36,2,0)</f>
        <v>662442.53376532788</v>
      </c>
      <c r="AD53" s="55">
        <f t="shared" ca="1" si="34"/>
        <v>-212442.53376532788</v>
      </c>
      <c r="AE53" s="93">
        <f t="shared" ca="1" si="11"/>
        <v>2649770.1350613115</v>
      </c>
    </row>
    <row r="54" spans="1:31" s="3" customFormat="1" x14ac:dyDescent="0.35">
      <c r="A54" s="94" t="s">
        <v>305</v>
      </c>
      <c r="B54" s="80">
        <v>2010</v>
      </c>
      <c r="C54" s="48" t="s">
        <v>41</v>
      </c>
      <c r="D54" s="48" t="s">
        <v>37</v>
      </c>
      <c r="E54" s="48"/>
      <c r="F54" s="48">
        <v>33.9</v>
      </c>
      <c r="G54" s="48">
        <v>2.67</v>
      </c>
      <c r="H54" s="82">
        <f t="shared" si="24"/>
        <v>35.234999999999999</v>
      </c>
      <c r="I54" s="82">
        <f t="shared" si="25"/>
        <v>36.57</v>
      </c>
      <c r="J54" s="49">
        <v>4065</v>
      </c>
      <c r="K54" s="50">
        <v>0</v>
      </c>
      <c r="L54" s="48">
        <v>0</v>
      </c>
      <c r="M54" s="48">
        <v>0</v>
      </c>
      <c r="N54" s="51">
        <f t="shared" si="26"/>
        <v>3658.5</v>
      </c>
      <c r="O54" s="52">
        <f t="shared" si="27"/>
        <v>4065</v>
      </c>
      <c r="P54" s="79">
        <f t="shared" si="28"/>
        <v>103.83141762452108</v>
      </c>
      <c r="Q54" s="53">
        <f t="shared" si="29"/>
        <v>0.1</v>
      </c>
      <c r="R54" s="54">
        <f t="shared" si="30"/>
        <v>406.5</v>
      </c>
      <c r="S54" s="53">
        <v>0.8</v>
      </c>
      <c r="T54" s="54">
        <f t="shared" si="31"/>
        <v>3252</v>
      </c>
      <c r="U54" s="53">
        <f t="shared" si="32"/>
        <v>9.9999999999999978E-2</v>
      </c>
      <c r="V54" s="54">
        <f t="shared" si="33"/>
        <v>406.49999999999989</v>
      </c>
      <c r="W54" s="55">
        <f ca="1">V54*VLOOKUP(TODAY(),'UF HOY'!$A$2:$B$36,2,0)</f>
        <v>16151846.609999996</v>
      </c>
      <c r="X54" s="56">
        <f>Datos!$K$6</f>
        <v>36</v>
      </c>
      <c r="Y54" s="55">
        <f ca="1">IF((W54-Datos!$U$6-1000000)/X54&gt;0,(W54-Datos!$U$6-1000000)/X54,0)</f>
        <v>418106.85027777764</v>
      </c>
      <c r="Z54" s="56">
        <f>Datos!$K$6</f>
        <v>36</v>
      </c>
      <c r="AA54" s="55">
        <f ca="1">IF((W54-Datos!$U$6-1000000-O54*3%*VLOOKUP(TODAY(),'UF HOY'!$A$2:$B$36,2,0))/Z54&gt;0,(W54-Datos!$U$6-1000000-O54*3%*VLOOKUP(TODAY(),'UF HOY'!$A$2:$B$36,2,0))/Z54,0)</f>
        <v>283508.12852777768</v>
      </c>
      <c r="AB54" s="55">
        <f>IF(L54&gt;0,VLOOKUP(D54,Datos!$A$36:$C$40,3,0),VLOOKUP(D54,Datos!$A$36:$C$40,2,0))</f>
        <v>450000</v>
      </c>
      <c r="AC54" s="55">
        <f ca="1">(S54*PMT(Datos!$G$15,Datos!$G$14,-O54,,)*VLOOKUP(TODAY(),'UF HOY'!$A$2:$B$36,2,0)/12)+VLOOKUP(TODAY(),'UF HOY'!$A$2:$B$36,2,0)</f>
        <v>662442.53376532788</v>
      </c>
      <c r="AD54" s="55">
        <f t="shared" ca="1" si="34"/>
        <v>-212442.53376532788</v>
      </c>
      <c r="AE54" s="93">
        <f t="shared" ca="1" si="11"/>
        <v>2649770.1350613115</v>
      </c>
    </row>
    <row r="55" spans="1:31" s="3" customFormat="1" x14ac:dyDescent="0.35">
      <c r="A55" s="94" t="s">
        <v>305</v>
      </c>
      <c r="B55" s="80">
        <v>2104</v>
      </c>
      <c r="C55" s="48" t="s">
        <v>40</v>
      </c>
      <c r="D55" s="48" t="s">
        <v>37</v>
      </c>
      <c r="E55" s="48"/>
      <c r="F55" s="48">
        <v>34.15</v>
      </c>
      <c r="G55" s="48">
        <v>2.71</v>
      </c>
      <c r="H55" s="82">
        <f t="shared" si="24"/>
        <v>35.504999999999995</v>
      </c>
      <c r="I55" s="82">
        <f t="shared" si="25"/>
        <v>36.86</v>
      </c>
      <c r="J55" s="49">
        <v>4065</v>
      </c>
      <c r="K55" s="50">
        <v>0</v>
      </c>
      <c r="L55" s="48">
        <v>0</v>
      </c>
      <c r="M55" s="48">
        <v>0</v>
      </c>
      <c r="N55" s="51">
        <f t="shared" si="26"/>
        <v>3658.5</v>
      </c>
      <c r="O55" s="52">
        <f t="shared" si="27"/>
        <v>4065</v>
      </c>
      <c r="P55" s="79">
        <f t="shared" si="28"/>
        <v>103.04182509505705</v>
      </c>
      <c r="Q55" s="53">
        <f t="shared" si="29"/>
        <v>0.1</v>
      </c>
      <c r="R55" s="54">
        <f t="shared" si="30"/>
        <v>406.5</v>
      </c>
      <c r="S55" s="53">
        <v>0.8</v>
      </c>
      <c r="T55" s="54">
        <f t="shared" si="31"/>
        <v>3252</v>
      </c>
      <c r="U55" s="53">
        <f t="shared" si="32"/>
        <v>9.9999999999999978E-2</v>
      </c>
      <c r="V55" s="54">
        <f t="shared" si="33"/>
        <v>406.49999999999989</v>
      </c>
      <c r="W55" s="55">
        <f ca="1">V55*VLOOKUP(TODAY(),'UF HOY'!$A$2:$B$36,2,0)</f>
        <v>16151846.609999996</v>
      </c>
      <c r="X55" s="56">
        <f>Datos!$K$6</f>
        <v>36</v>
      </c>
      <c r="Y55" s="55">
        <f ca="1">IF((W55-Datos!$U$6-1000000)/X55&gt;0,(W55-Datos!$U$6-1000000)/X55,0)</f>
        <v>418106.85027777764</v>
      </c>
      <c r="Z55" s="56">
        <f>Datos!$K$6</f>
        <v>36</v>
      </c>
      <c r="AA55" s="55">
        <f ca="1">IF((W55-Datos!$U$6-1000000-O55*3%*VLOOKUP(TODAY(),'UF HOY'!$A$2:$B$36,2,0))/Z55&gt;0,(W55-Datos!$U$6-1000000-O55*3%*VLOOKUP(TODAY(),'UF HOY'!$A$2:$B$36,2,0))/Z55,0)</f>
        <v>283508.12852777768</v>
      </c>
      <c r="AB55" s="55">
        <f>IF(L55&gt;0,VLOOKUP(D55,Datos!$A$36:$C$40,3,0),VLOOKUP(D55,Datos!$A$36:$C$40,2,0))</f>
        <v>450000</v>
      </c>
      <c r="AC55" s="55">
        <f ca="1">(S55*PMT(Datos!$G$15,Datos!$G$14,-O55,,)*VLOOKUP(TODAY(),'UF HOY'!$A$2:$B$36,2,0)/12)+VLOOKUP(TODAY(),'UF HOY'!$A$2:$B$36,2,0)</f>
        <v>662442.53376532788</v>
      </c>
      <c r="AD55" s="55">
        <f t="shared" ca="1" si="34"/>
        <v>-212442.53376532788</v>
      </c>
      <c r="AE55" s="93">
        <f t="shared" ca="1" si="11"/>
        <v>2649770.1350613115</v>
      </c>
    </row>
    <row r="56" spans="1:31" s="3" customFormat="1" x14ac:dyDescent="0.35">
      <c r="A56" s="94" t="s">
        <v>305</v>
      </c>
      <c r="B56" s="80">
        <v>2602</v>
      </c>
      <c r="C56" s="48" t="s">
        <v>40</v>
      </c>
      <c r="D56" s="48" t="s">
        <v>37</v>
      </c>
      <c r="E56" s="48"/>
      <c r="F56" s="48">
        <v>34.049999999999997</v>
      </c>
      <c r="G56" s="48">
        <v>2.74</v>
      </c>
      <c r="H56" s="82">
        <f t="shared" si="24"/>
        <v>35.419999999999995</v>
      </c>
      <c r="I56" s="82">
        <f t="shared" si="25"/>
        <v>36.79</v>
      </c>
      <c r="J56" s="49">
        <v>4070</v>
      </c>
      <c r="K56" s="50">
        <v>0</v>
      </c>
      <c r="L56" s="48">
        <v>0</v>
      </c>
      <c r="M56" s="48">
        <v>0</v>
      </c>
      <c r="N56" s="51">
        <f t="shared" si="26"/>
        <v>3663</v>
      </c>
      <c r="O56" s="52">
        <f t="shared" si="27"/>
        <v>4070</v>
      </c>
      <c r="P56" s="79">
        <f t="shared" si="28"/>
        <v>103.41614906832299</v>
      </c>
      <c r="Q56" s="53">
        <f t="shared" si="29"/>
        <v>0.1</v>
      </c>
      <c r="R56" s="54">
        <f t="shared" si="30"/>
        <v>407</v>
      </c>
      <c r="S56" s="53">
        <v>0.8</v>
      </c>
      <c r="T56" s="54">
        <f t="shared" si="31"/>
        <v>3256</v>
      </c>
      <c r="U56" s="53">
        <f t="shared" si="32"/>
        <v>9.9999999999999978E-2</v>
      </c>
      <c r="V56" s="54">
        <f t="shared" si="33"/>
        <v>406.99999999999989</v>
      </c>
      <c r="W56" s="55">
        <f ca="1">V56*VLOOKUP(TODAY(),'UF HOY'!$A$2:$B$36,2,0)</f>
        <v>16171713.579999996</v>
      </c>
      <c r="X56" s="56">
        <f>Datos!$K$6</f>
        <v>36</v>
      </c>
      <c r="Y56" s="55">
        <f ca="1">IF((W56-Datos!$U$6-1000000)/X56&gt;0,(W56-Datos!$U$6-1000000)/X56,0)</f>
        <v>418658.71055555547</v>
      </c>
      <c r="Z56" s="56">
        <f>Datos!$K$6</f>
        <v>36</v>
      </c>
      <c r="AA56" s="55">
        <f ca="1">IF((W56-Datos!$U$6-1000000-O56*3%*VLOOKUP(TODAY(),'UF HOY'!$A$2:$B$36,2,0))/Z56&gt;0,(W56-Datos!$U$6-1000000-O56*3%*VLOOKUP(TODAY(),'UF HOY'!$A$2:$B$36,2,0))/Z56,0)</f>
        <v>283894.43072222214</v>
      </c>
      <c r="AB56" s="55">
        <f>IF(L56&gt;0,VLOOKUP(D56,Datos!$A$36:$C$40,3,0),VLOOKUP(D56,Datos!$A$36:$C$40,2,0))</f>
        <v>450000</v>
      </c>
      <c r="AC56" s="55">
        <f ca="1">(S56*PMT(Datos!$G$15,Datos!$G$14,-O56,,)*VLOOKUP(TODAY(),'UF HOY'!$A$2:$B$36,2,0)/12)+VLOOKUP(TODAY(),'UF HOY'!$A$2:$B$36,2,0)</f>
        <v>663208.47299505165</v>
      </c>
      <c r="AD56" s="55">
        <f t="shared" ca="1" si="34"/>
        <v>-213208.47299505165</v>
      </c>
      <c r="AE56" s="93">
        <f t="shared" ca="1" si="11"/>
        <v>2652833.8919802066</v>
      </c>
    </row>
    <row r="57" spans="1:31" s="3" customFormat="1" x14ac:dyDescent="0.35">
      <c r="A57" s="94" t="s">
        <v>305</v>
      </c>
      <c r="B57" s="80">
        <v>1613</v>
      </c>
      <c r="C57" s="48" t="s">
        <v>41</v>
      </c>
      <c r="D57" s="48" t="s">
        <v>37</v>
      </c>
      <c r="E57" s="48"/>
      <c r="F57" s="48">
        <v>34.93</v>
      </c>
      <c r="G57" s="48">
        <v>2.64</v>
      </c>
      <c r="H57" s="82">
        <f t="shared" si="24"/>
        <v>36.25</v>
      </c>
      <c r="I57" s="82">
        <f t="shared" si="25"/>
        <v>37.57</v>
      </c>
      <c r="J57" s="49">
        <v>4075</v>
      </c>
      <c r="K57" s="50">
        <v>0</v>
      </c>
      <c r="L57" s="48">
        <v>0</v>
      </c>
      <c r="M57" s="48">
        <v>0</v>
      </c>
      <c r="N57" s="51">
        <f t="shared" si="26"/>
        <v>3667.5</v>
      </c>
      <c r="O57" s="52">
        <f t="shared" si="27"/>
        <v>4075</v>
      </c>
      <c r="P57" s="79">
        <f t="shared" si="28"/>
        <v>101.17241379310344</v>
      </c>
      <c r="Q57" s="53">
        <f t="shared" si="29"/>
        <v>0.1</v>
      </c>
      <c r="R57" s="54">
        <f t="shared" si="30"/>
        <v>407.5</v>
      </c>
      <c r="S57" s="53">
        <v>0.8</v>
      </c>
      <c r="T57" s="54">
        <f t="shared" si="31"/>
        <v>3260</v>
      </c>
      <c r="U57" s="53">
        <f t="shared" si="32"/>
        <v>9.9999999999999978E-2</v>
      </c>
      <c r="V57" s="54">
        <f t="shared" si="33"/>
        <v>407.49999999999989</v>
      </c>
      <c r="W57" s="55">
        <f ca="1">V57*VLOOKUP(TODAY(),'UF HOY'!$A$2:$B$36,2,0)</f>
        <v>16191580.549999997</v>
      </c>
      <c r="X57" s="56">
        <f>Datos!$K$6</f>
        <v>36</v>
      </c>
      <c r="Y57" s="55">
        <f ca="1">IF((W57-Datos!$U$6-1000000)/X57&gt;0,(W57-Datos!$U$6-1000000)/X57,0)</f>
        <v>419210.57083333324</v>
      </c>
      <c r="Z57" s="56">
        <f>Datos!$K$6</f>
        <v>36</v>
      </c>
      <c r="AA57" s="55">
        <f ca="1">IF((W57-Datos!$U$6-1000000-O57*3%*VLOOKUP(TODAY(),'UF HOY'!$A$2:$B$36,2,0))/Z57&gt;0,(W57-Datos!$U$6-1000000-O57*3%*VLOOKUP(TODAY(),'UF HOY'!$A$2:$B$36,2,0))/Z57,0)</f>
        <v>284280.7329166666</v>
      </c>
      <c r="AB57" s="55">
        <f>IF(L57&gt;0,VLOOKUP(D57,Datos!$A$36:$C$40,3,0),VLOOKUP(D57,Datos!$A$36:$C$40,2,0))</f>
        <v>450000</v>
      </c>
      <c r="AC57" s="55">
        <f ca="1">(S57*PMT(Datos!$G$15,Datos!$G$14,-O57,,)*VLOOKUP(TODAY(),'UF HOY'!$A$2:$B$36,2,0)/12)+VLOOKUP(TODAY(),'UF HOY'!$A$2:$B$36,2,0)</f>
        <v>663974.41222477518</v>
      </c>
      <c r="AD57" s="55">
        <f t="shared" ca="1" si="34"/>
        <v>-213974.41222477518</v>
      </c>
      <c r="AE57" s="93">
        <f t="shared" ca="1" si="11"/>
        <v>2655897.6488991007</v>
      </c>
    </row>
    <row r="58" spans="1:31" s="3" customFormat="1" x14ac:dyDescent="0.35">
      <c r="A58" s="94" t="s">
        <v>305</v>
      </c>
      <c r="B58" s="80">
        <v>2504</v>
      </c>
      <c r="C58" s="48" t="s">
        <v>40</v>
      </c>
      <c r="D58" s="48" t="s">
        <v>37</v>
      </c>
      <c r="E58" s="48"/>
      <c r="F58" s="48">
        <v>34.15</v>
      </c>
      <c r="G58" s="48">
        <v>2.71</v>
      </c>
      <c r="H58" s="82">
        <f t="shared" si="24"/>
        <v>35.504999999999995</v>
      </c>
      <c r="I58" s="82">
        <f t="shared" si="25"/>
        <v>36.86</v>
      </c>
      <c r="J58" s="49">
        <v>4075</v>
      </c>
      <c r="K58" s="50">
        <v>0</v>
      </c>
      <c r="L58" s="48">
        <v>0</v>
      </c>
      <c r="M58" s="48">
        <v>0</v>
      </c>
      <c r="N58" s="51">
        <f t="shared" si="26"/>
        <v>3667.5</v>
      </c>
      <c r="O58" s="52">
        <f t="shared" si="27"/>
        <v>4075</v>
      </c>
      <c r="P58" s="79">
        <f t="shared" si="28"/>
        <v>103.29531051964513</v>
      </c>
      <c r="Q58" s="53">
        <f t="shared" si="29"/>
        <v>0.1</v>
      </c>
      <c r="R58" s="54">
        <f t="shared" si="30"/>
        <v>407.5</v>
      </c>
      <c r="S58" s="53">
        <v>0.8</v>
      </c>
      <c r="T58" s="54">
        <f t="shared" si="31"/>
        <v>3260</v>
      </c>
      <c r="U58" s="53">
        <f t="shared" si="32"/>
        <v>9.9999999999999978E-2</v>
      </c>
      <c r="V58" s="54">
        <f t="shared" si="33"/>
        <v>407.49999999999989</v>
      </c>
      <c r="W58" s="55">
        <f ca="1">V58*VLOOKUP(TODAY(),'UF HOY'!$A$2:$B$36,2,0)</f>
        <v>16191580.549999997</v>
      </c>
      <c r="X58" s="56">
        <f>Datos!$K$6</f>
        <v>36</v>
      </c>
      <c r="Y58" s="55">
        <f ca="1">IF((W58-Datos!$U$6-1000000)/X58&gt;0,(W58-Datos!$U$6-1000000)/X58,0)</f>
        <v>419210.57083333324</v>
      </c>
      <c r="Z58" s="56">
        <f>Datos!$K$6</f>
        <v>36</v>
      </c>
      <c r="AA58" s="55">
        <f ca="1">IF((W58-Datos!$U$6-1000000-O58*3%*VLOOKUP(TODAY(),'UF HOY'!$A$2:$B$36,2,0))/Z58&gt;0,(W58-Datos!$U$6-1000000-O58*3%*VLOOKUP(TODAY(),'UF HOY'!$A$2:$B$36,2,0))/Z58,0)</f>
        <v>284280.7329166666</v>
      </c>
      <c r="AB58" s="55">
        <f>IF(L58&gt;0,VLOOKUP(D58,Datos!$A$36:$C$40,3,0),VLOOKUP(D58,Datos!$A$36:$C$40,2,0))</f>
        <v>450000</v>
      </c>
      <c r="AC58" s="55">
        <f ca="1">(S58*PMT(Datos!$G$15,Datos!$G$14,-O58,,)*VLOOKUP(TODAY(),'UF HOY'!$A$2:$B$36,2,0)/12)+VLOOKUP(TODAY(),'UF HOY'!$A$2:$B$36,2,0)</f>
        <v>663974.41222477518</v>
      </c>
      <c r="AD58" s="55">
        <f t="shared" ca="1" si="34"/>
        <v>-213974.41222477518</v>
      </c>
      <c r="AE58" s="93">
        <f t="shared" ca="1" si="11"/>
        <v>2655897.6488991007</v>
      </c>
    </row>
    <row r="59" spans="1:31" s="3" customFormat="1" x14ac:dyDescent="0.35">
      <c r="A59" s="94" t="s">
        <v>305</v>
      </c>
      <c r="B59" s="80">
        <v>2012</v>
      </c>
      <c r="C59" s="48" t="s">
        <v>41</v>
      </c>
      <c r="D59" s="48" t="s">
        <v>37</v>
      </c>
      <c r="E59" s="48"/>
      <c r="F59" s="48">
        <v>34.06</v>
      </c>
      <c r="G59" s="48">
        <v>2.66</v>
      </c>
      <c r="H59" s="82">
        <f t="shared" si="24"/>
        <v>35.39</v>
      </c>
      <c r="I59" s="82">
        <f t="shared" si="25"/>
        <v>36.72</v>
      </c>
      <c r="J59" s="49">
        <v>4080</v>
      </c>
      <c r="K59" s="50">
        <v>0</v>
      </c>
      <c r="L59" s="48">
        <v>0</v>
      </c>
      <c r="M59" s="48">
        <v>0</v>
      </c>
      <c r="N59" s="51">
        <f t="shared" si="26"/>
        <v>3672</v>
      </c>
      <c r="O59" s="52">
        <f t="shared" si="27"/>
        <v>4080</v>
      </c>
      <c r="P59" s="79">
        <f t="shared" si="28"/>
        <v>103.75812376377507</v>
      </c>
      <c r="Q59" s="53">
        <f t="shared" si="29"/>
        <v>0.1</v>
      </c>
      <c r="R59" s="54">
        <f t="shared" si="30"/>
        <v>408</v>
      </c>
      <c r="S59" s="53">
        <v>0.8</v>
      </c>
      <c r="T59" s="54">
        <f t="shared" si="31"/>
        <v>3264</v>
      </c>
      <c r="U59" s="53">
        <f t="shared" si="32"/>
        <v>9.9999999999999978E-2</v>
      </c>
      <c r="V59" s="54">
        <f t="shared" si="33"/>
        <v>407.99999999999989</v>
      </c>
      <c r="W59" s="55">
        <f ca="1">V59*VLOOKUP(TODAY(),'UF HOY'!$A$2:$B$36,2,0)</f>
        <v>16211447.519999996</v>
      </c>
      <c r="X59" s="56">
        <f>Datos!$K$6</f>
        <v>36</v>
      </c>
      <c r="Y59" s="55">
        <f ca="1">IF((W59-Datos!$U$6-1000000)/X59&gt;0,(W59-Datos!$U$6-1000000)/X59,0)</f>
        <v>419762.43111111101</v>
      </c>
      <c r="Z59" s="56">
        <f>Datos!$K$6</f>
        <v>36</v>
      </c>
      <c r="AA59" s="55">
        <f ca="1">IF((W59-Datos!$U$6-1000000-O59*3%*VLOOKUP(TODAY(),'UF HOY'!$A$2:$B$36,2,0))/Z59&gt;0,(W59-Datos!$U$6-1000000-O59*3%*VLOOKUP(TODAY(),'UF HOY'!$A$2:$B$36,2,0))/Z59,0)</f>
        <v>284667.03511111095</v>
      </c>
      <c r="AB59" s="55">
        <f>IF(L59&gt;0,VLOOKUP(D59,Datos!$A$36:$C$40,3,0),VLOOKUP(D59,Datos!$A$36:$C$40,2,0))</f>
        <v>450000</v>
      </c>
      <c r="AC59" s="55">
        <f ca="1">(S59*PMT(Datos!$G$15,Datos!$G$14,-O59,,)*VLOOKUP(TODAY(),'UF HOY'!$A$2:$B$36,2,0)/12)+VLOOKUP(TODAY(),'UF HOY'!$A$2:$B$36,2,0)</f>
        <v>664740.35145449894</v>
      </c>
      <c r="AD59" s="55">
        <f t="shared" ca="1" si="34"/>
        <v>-214740.35145449894</v>
      </c>
      <c r="AE59" s="93">
        <f t="shared" ca="1" si="11"/>
        <v>2658961.4058179958</v>
      </c>
    </row>
    <row r="60" spans="1:31" s="3" customFormat="1" x14ac:dyDescent="0.35">
      <c r="A60" s="94" t="s">
        <v>305</v>
      </c>
      <c r="B60" s="80">
        <v>2701</v>
      </c>
      <c r="C60" s="48" t="s">
        <v>40</v>
      </c>
      <c r="D60" s="48" t="s">
        <v>37</v>
      </c>
      <c r="E60" s="48"/>
      <c r="F60" s="48">
        <v>34.130000000000003</v>
      </c>
      <c r="G60" s="48">
        <v>2.65</v>
      </c>
      <c r="H60" s="82">
        <f t="shared" si="24"/>
        <v>35.455000000000005</v>
      </c>
      <c r="I60" s="82">
        <f t="shared" si="25"/>
        <v>36.78</v>
      </c>
      <c r="J60" s="49">
        <v>4080</v>
      </c>
      <c r="K60" s="50">
        <v>0</v>
      </c>
      <c r="L60" s="48">
        <v>0</v>
      </c>
      <c r="M60" s="48">
        <v>0</v>
      </c>
      <c r="N60" s="51">
        <f t="shared" si="26"/>
        <v>3672</v>
      </c>
      <c r="O60" s="52">
        <f t="shared" si="27"/>
        <v>4080</v>
      </c>
      <c r="P60" s="79">
        <f t="shared" si="28"/>
        <v>103.56790297560286</v>
      </c>
      <c r="Q60" s="53">
        <f t="shared" si="29"/>
        <v>0.1</v>
      </c>
      <c r="R60" s="54">
        <f t="shared" si="30"/>
        <v>408</v>
      </c>
      <c r="S60" s="53">
        <v>0.8</v>
      </c>
      <c r="T60" s="54">
        <f t="shared" si="31"/>
        <v>3264</v>
      </c>
      <c r="U60" s="53">
        <f t="shared" si="32"/>
        <v>9.9999999999999978E-2</v>
      </c>
      <c r="V60" s="54">
        <f t="shared" si="33"/>
        <v>407.99999999999989</v>
      </c>
      <c r="W60" s="55">
        <f ca="1">V60*VLOOKUP(TODAY(),'UF HOY'!$A$2:$B$36,2,0)</f>
        <v>16211447.519999996</v>
      </c>
      <c r="X60" s="56">
        <f>Datos!$K$6</f>
        <v>36</v>
      </c>
      <c r="Y60" s="55">
        <f ca="1">IF((W60-Datos!$U$6-1000000)/X60&gt;0,(W60-Datos!$U$6-1000000)/X60,0)</f>
        <v>419762.43111111101</v>
      </c>
      <c r="Z60" s="56">
        <f>Datos!$K$6</f>
        <v>36</v>
      </c>
      <c r="AA60" s="55">
        <f ca="1">IF((W60-Datos!$U$6-1000000-O60*3%*VLOOKUP(TODAY(),'UF HOY'!$A$2:$B$36,2,0))/Z60&gt;0,(W60-Datos!$U$6-1000000-O60*3%*VLOOKUP(TODAY(),'UF HOY'!$A$2:$B$36,2,0))/Z60,0)</f>
        <v>284667.03511111095</v>
      </c>
      <c r="AB60" s="55">
        <f>IF(L60&gt;0,VLOOKUP(D60,Datos!$A$36:$C$40,3,0),VLOOKUP(D60,Datos!$A$36:$C$40,2,0))</f>
        <v>450000</v>
      </c>
      <c r="AC60" s="55">
        <f ca="1">(S60*PMT(Datos!$G$15,Datos!$G$14,-O60,,)*VLOOKUP(TODAY(),'UF HOY'!$A$2:$B$36,2,0)/12)+VLOOKUP(TODAY(),'UF HOY'!$A$2:$B$36,2,0)</f>
        <v>664740.35145449894</v>
      </c>
      <c r="AD60" s="55">
        <f t="shared" ca="1" si="34"/>
        <v>-214740.35145449894</v>
      </c>
      <c r="AE60" s="93">
        <f t="shared" ca="1" si="11"/>
        <v>2658961.4058179958</v>
      </c>
    </row>
    <row r="61" spans="1:31" s="3" customFormat="1" x14ac:dyDescent="0.35">
      <c r="A61" s="94" t="s">
        <v>305</v>
      </c>
      <c r="B61" s="80">
        <v>2702</v>
      </c>
      <c r="C61" s="48" t="s">
        <v>40</v>
      </c>
      <c r="D61" s="48" t="s">
        <v>37</v>
      </c>
      <c r="E61" s="48"/>
      <c r="F61" s="48">
        <v>34.049999999999997</v>
      </c>
      <c r="G61" s="48">
        <v>2.74</v>
      </c>
      <c r="H61" s="82">
        <f t="shared" si="24"/>
        <v>35.419999999999995</v>
      </c>
      <c r="I61" s="82">
        <f t="shared" si="25"/>
        <v>36.79</v>
      </c>
      <c r="J61" s="49">
        <v>4080</v>
      </c>
      <c r="K61" s="50">
        <v>0</v>
      </c>
      <c r="L61" s="48">
        <v>0</v>
      </c>
      <c r="M61" s="48">
        <v>0</v>
      </c>
      <c r="N61" s="51">
        <f t="shared" si="26"/>
        <v>3672</v>
      </c>
      <c r="O61" s="52">
        <f t="shared" si="27"/>
        <v>4080</v>
      </c>
      <c r="P61" s="79">
        <f t="shared" si="28"/>
        <v>103.6702428006776</v>
      </c>
      <c r="Q61" s="53">
        <f t="shared" si="29"/>
        <v>0.1</v>
      </c>
      <c r="R61" s="54">
        <f t="shared" si="30"/>
        <v>408</v>
      </c>
      <c r="S61" s="53">
        <v>0.8</v>
      </c>
      <c r="T61" s="54">
        <f t="shared" si="31"/>
        <v>3264</v>
      </c>
      <c r="U61" s="53">
        <f t="shared" si="32"/>
        <v>9.9999999999999978E-2</v>
      </c>
      <c r="V61" s="54">
        <f t="shared" si="33"/>
        <v>407.99999999999989</v>
      </c>
      <c r="W61" s="55">
        <f ca="1">V61*VLOOKUP(TODAY(),'UF HOY'!$A$2:$B$36,2,0)</f>
        <v>16211447.519999996</v>
      </c>
      <c r="X61" s="56">
        <f>Datos!$K$6</f>
        <v>36</v>
      </c>
      <c r="Y61" s="55">
        <f ca="1">IF((W61-Datos!$U$6-1000000)/X61&gt;0,(W61-Datos!$U$6-1000000)/X61,0)</f>
        <v>419762.43111111101</v>
      </c>
      <c r="Z61" s="56">
        <f>Datos!$K$6</f>
        <v>36</v>
      </c>
      <c r="AA61" s="55">
        <f ca="1">IF((W61-Datos!$U$6-1000000-O61*3%*VLOOKUP(TODAY(),'UF HOY'!$A$2:$B$36,2,0))/Z61&gt;0,(W61-Datos!$U$6-1000000-O61*3%*VLOOKUP(TODAY(),'UF HOY'!$A$2:$B$36,2,0))/Z61,0)</f>
        <v>284667.03511111095</v>
      </c>
      <c r="AB61" s="55">
        <f>IF(L61&gt;0,VLOOKUP(D61,Datos!$A$36:$C$40,3,0),VLOOKUP(D61,Datos!$A$36:$C$40,2,0))</f>
        <v>450000</v>
      </c>
      <c r="AC61" s="55">
        <f ca="1">(S61*PMT(Datos!$G$15,Datos!$G$14,-O61,,)*VLOOKUP(TODAY(),'UF HOY'!$A$2:$B$36,2,0)/12)+VLOOKUP(TODAY(),'UF HOY'!$A$2:$B$36,2,0)</f>
        <v>664740.35145449894</v>
      </c>
      <c r="AD61" s="55">
        <f t="shared" ca="1" si="34"/>
        <v>-214740.35145449894</v>
      </c>
      <c r="AE61" s="93">
        <f t="shared" ca="1" si="11"/>
        <v>2658961.4058179958</v>
      </c>
    </row>
    <row r="62" spans="1:31" s="3" customFormat="1" x14ac:dyDescent="0.35">
      <c r="A62" s="94" t="s">
        <v>305</v>
      </c>
      <c r="B62" s="80">
        <v>2210</v>
      </c>
      <c r="C62" s="48" t="s">
        <v>41</v>
      </c>
      <c r="D62" s="48" t="s">
        <v>37</v>
      </c>
      <c r="E62" s="48"/>
      <c r="F62" s="48">
        <v>33.9</v>
      </c>
      <c r="G62" s="48">
        <v>2.68</v>
      </c>
      <c r="H62" s="82">
        <f t="shared" si="24"/>
        <v>35.24</v>
      </c>
      <c r="I62" s="82">
        <f t="shared" si="25"/>
        <v>36.58</v>
      </c>
      <c r="J62" s="49">
        <v>4085</v>
      </c>
      <c r="K62" s="50">
        <v>0</v>
      </c>
      <c r="L62" s="48">
        <v>0</v>
      </c>
      <c r="M62" s="48">
        <v>0</v>
      </c>
      <c r="N62" s="51">
        <f t="shared" si="26"/>
        <v>3676.5</v>
      </c>
      <c r="O62" s="52">
        <f t="shared" si="27"/>
        <v>4085</v>
      </c>
      <c r="P62" s="79">
        <f t="shared" si="28"/>
        <v>104.32746878547105</v>
      </c>
      <c r="Q62" s="53">
        <f t="shared" si="29"/>
        <v>0.1</v>
      </c>
      <c r="R62" s="54">
        <f t="shared" si="30"/>
        <v>408.5</v>
      </c>
      <c r="S62" s="53">
        <v>0.8</v>
      </c>
      <c r="T62" s="54">
        <f t="shared" si="31"/>
        <v>3268</v>
      </c>
      <c r="U62" s="53">
        <f t="shared" si="32"/>
        <v>9.9999999999999978E-2</v>
      </c>
      <c r="V62" s="54">
        <f t="shared" si="33"/>
        <v>408.49999999999989</v>
      </c>
      <c r="W62" s="55">
        <f ca="1">V62*VLOOKUP(TODAY(),'UF HOY'!$A$2:$B$36,2,0)</f>
        <v>16231314.489999996</v>
      </c>
      <c r="X62" s="56">
        <f>Datos!$K$6</f>
        <v>36</v>
      </c>
      <c r="Y62" s="55">
        <f ca="1">IF((W62-Datos!$U$6-1000000)/X62&gt;0,(W62-Datos!$U$6-1000000)/X62,0)</f>
        <v>420314.29138888879</v>
      </c>
      <c r="Z62" s="56">
        <f>Datos!$K$6</f>
        <v>36</v>
      </c>
      <c r="AA62" s="55">
        <f ca="1">IF((W62-Datos!$U$6-1000000-O62*3%*VLOOKUP(TODAY(),'UF HOY'!$A$2:$B$36,2,0))/Z62&gt;0,(W62-Datos!$U$6-1000000-O62*3%*VLOOKUP(TODAY(),'UF HOY'!$A$2:$B$36,2,0))/Z62,0)</f>
        <v>285053.33730555541</v>
      </c>
      <c r="AB62" s="55">
        <f>IF(L62&gt;0,VLOOKUP(D62,Datos!$A$36:$C$40,3,0),VLOOKUP(D62,Datos!$A$36:$C$40,2,0))</f>
        <v>450000</v>
      </c>
      <c r="AC62" s="55">
        <f ca="1">(S62*PMT(Datos!$G$15,Datos!$G$14,-O62,,)*VLOOKUP(TODAY(),'UF HOY'!$A$2:$B$36,2,0)/12)+VLOOKUP(TODAY(),'UF HOY'!$A$2:$B$36,2,0)</f>
        <v>665506.29068422271</v>
      </c>
      <c r="AD62" s="55">
        <f t="shared" ca="1" si="34"/>
        <v>-215506.29068422271</v>
      </c>
      <c r="AE62" s="93">
        <f t="shared" ca="1" si="11"/>
        <v>2662025.1627368908</v>
      </c>
    </row>
    <row r="63" spans="1:31" s="3" customFormat="1" x14ac:dyDescent="0.35">
      <c r="A63" s="94" t="s">
        <v>305</v>
      </c>
      <c r="B63" s="80">
        <v>2604</v>
      </c>
      <c r="C63" s="48" t="s">
        <v>40</v>
      </c>
      <c r="D63" s="48" t="s">
        <v>37</v>
      </c>
      <c r="E63" s="48"/>
      <c r="F63" s="48">
        <v>34.15</v>
      </c>
      <c r="G63" s="48">
        <v>2.71</v>
      </c>
      <c r="H63" s="82">
        <f t="shared" si="24"/>
        <v>35.504999999999995</v>
      </c>
      <c r="I63" s="82">
        <f t="shared" si="25"/>
        <v>36.86</v>
      </c>
      <c r="J63" s="49">
        <v>4085</v>
      </c>
      <c r="K63" s="50">
        <v>0</v>
      </c>
      <c r="L63" s="48">
        <v>0</v>
      </c>
      <c r="M63" s="48">
        <v>0</v>
      </c>
      <c r="N63" s="51">
        <f t="shared" si="26"/>
        <v>3676.5</v>
      </c>
      <c r="O63" s="52">
        <f t="shared" si="27"/>
        <v>4085</v>
      </c>
      <c r="P63" s="79">
        <f t="shared" si="28"/>
        <v>103.54879594423322</v>
      </c>
      <c r="Q63" s="53">
        <f t="shared" si="29"/>
        <v>0.1</v>
      </c>
      <c r="R63" s="54">
        <f t="shared" si="30"/>
        <v>408.5</v>
      </c>
      <c r="S63" s="53">
        <v>0.8</v>
      </c>
      <c r="T63" s="54">
        <f t="shared" si="31"/>
        <v>3268</v>
      </c>
      <c r="U63" s="53">
        <f t="shared" si="32"/>
        <v>9.9999999999999978E-2</v>
      </c>
      <c r="V63" s="54">
        <f t="shared" si="33"/>
        <v>408.49999999999989</v>
      </c>
      <c r="W63" s="55">
        <f ca="1">V63*VLOOKUP(TODAY(),'UF HOY'!$A$2:$B$36,2,0)</f>
        <v>16231314.489999996</v>
      </c>
      <c r="X63" s="56">
        <f>Datos!$K$6</f>
        <v>36</v>
      </c>
      <c r="Y63" s="55">
        <f ca="1">IF((W63-Datos!$U$6-1000000)/X63&gt;0,(W63-Datos!$U$6-1000000)/X63,0)</f>
        <v>420314.29138888879</v>
      </c>
      <c r="Z63" s="56">
        <f>Datos!$K$6</f>
        <v>36</v>
      </c>
      <c r="AA63" s="55">
        <f ca="1">IF((W63-Datos!$U$6-1000000-O63*3%*VLOOKUP(TODAY(),'UF HOY'!$A$2:$B$36,2,0))/Z63&gt;0,(W63-Datos!$U$6-1000000-O63*3%*VLOOKUP(TODAY(),'UF HOY'!$A$2:$B$36,2,0))/Z63,0)</f>
        <v>285053.33730555541</v>
      </c>
      <c r="AB63" s="55">
        <f>IF(L63&gt;0,VLOOKUP(D63,Datos!$A$36:$C$40,3,0),VLOOKUP(D63,Datos!$A$36:$C$40,2,0))</f>
        <v>450000</v>
      </c>
      <c r="AC63" s="55">
        <f ca="1">(S63*PMT(Datos!$G$15,Datos!$G$14,-O63,,)*VLOOKUP(TODAY(),'UF HOY'!$A$2:$B$36,2,0)/12)+VLOOKUP(TODAY(),'UF HOY'!$A$2:$B$36,2,0)</f>
        <v>665506.29068422271</v>
      </c>
      <c r="AD63" s="55">
        <f t="shared" ca="1" si="34"/>
        <v>-215506.29068422271</v>
      </c>
      <c r="AE63" s="93">
        <f t="shared" ca="1" si="11"/>
        <v>2662025.1627368908</v>
      </c>
    </row>
    <row r="64" spans="1:31" s="3" customFormat="1" x14ac:dyDescent="0.35">
      <c r="A64" s="94" t="s">
        <v>305</v>
      </c>
      <c r="B64" s="80">
        <v>2110</v>
      </c>
      <c r="C64" s="48" t="s">
        <v>41</v>
      </c>
      <c r="D64" s="48" t="s">
        <v>37</v>
      </c>
      <c r="E64" s="48"/>
      <c r="F64" s="48">
        <v>33.9</v>
      </c>
      <c r="G64" s="48">
        <v>2.68</v>
      </c>
      <c r="H64" s="82">
        <f t="shared" si="24"/>
        <v>35.24</v>
      </c>
      <c r="I64" s="82">
        <f t="shared" si="25"/>
        <v>36.58</v>
      </c>
      <c r="J64" s="49">
        <v>4090</v>
      </c>
      <c r="K64" s="50">
        <v>0</v>
      </c>
      <c r="L64" s="48">
        <v>0</v>
      </c>
      <c r="M64" s="48">
        <v>0</v>
      </c>
      <c r="N64" s="51">
        <f t="shared" si="26"/>
        <v>3681</v>
      </c>
      <c r="O64" s="52">
        <f t="shared" si="27"/>
        <v>4090</v>
      </c>
      <c r="P64" s="79">
        <f t="shared" si="28"/>
        <v>104.45516458569807</v>
      </c>
      <c r="Q64" s="53">
        <f t="shared" si="29"/>
        <v>0.1</v>
      </c>
      <c r="R64" s="54">
        <f t="shared" si="30"/>
        <v>409</v>
      </c>
      <c r="S64" s="53">
        <v>0.8</v>
      </c>
      <c r="T64" s="54">
        <f t="shared" si="31"/>
        <v>3272</v>
      </c>
      <c r="U64" s="53">
        <f t="shared" si="32"/>
        <v>9.9999999999999978E-2</v>
      </c>
      <c r="V64" s="54">
        <f t="shared" si="33"/>
        <v>408.99999999999989</v>
      </c>
      <c r="W64" s="55">
        <f ca="1">V64*VLOOKUP(TODAY(),'UF HOY'!$A$2:$B$36,2,0)</f>
        <v>16251181.459999997</v>
      </c>
      <c r="X64" s="56">
        <f>Datos!$K$6</f>
        <v>36</v>
      </c>
      <c r="Y64" s="55">
        <f ca="1">IF((W64-Datos!$U$6-1000000)/X64&gt;0,(W64-Datos!$U$6-1000000)/X64,0)</f>
        <v>420866.15166666661</v>
      </c>
      <c r="Z64" s="56">
        <f>Datos!$K$6</f>
        <v>36</v>
      </c>
      <c r="AA64" s="55">
        <f ca="1">IF((W64-Datos!$U$6-1000000-O64*3%*VLOOKUP(TODAY(),'UF HOY'!$A$2:$B$36,2,0))/Z64&gt;0,(W64-Datos!$U$6-1000000-O64*3%*VLOOKUP(TODAY(),'UF HOY'!$A$2:$B$36,2,0))/Z64,0)</f>
        <v>285439.63949999987</v>
      </c>
      <c r="AB64" s="55">
        <f>IF(L64&gt;0,VLOOKUP(D64,Datos!$A$36:$C$40,3,0),VLOOKUP(D64,Datos!$A$36:$C$40,2,0))</f>
        <v>450000</v>
      </c>
      <c r="AC64" s="55">
        <f ca="1">(S64*PMT(Datos!$G$15,Datos!$G$14,-O64,,)*VLOOKUP(TODAY(),'UF HOY'!$A$2:$B$36,2,0)/12)+VLOOKUP(TODAY(),'UF HOY'!$A$2:$B$36,2,0)</f>
        <v>666272.22991394624</v>
      </c>
      <c r="AD64" s="55">
        <f t="shared" ca="1" si="34"/>
        <v>-216272.22991394624</v>
      </c>
      <c r="AE64" s="93">
        <f t="shared" ca="1" si="11"/>
        <v>2665088.919655785</v>
      </c>
    </row>
    <row r="65" spans="1:31" s="3" customFormat="1" x14ac:dyDescent="0.35">
      <c r="A65" s="94" t="s">
        <v>305</v>
      </c>
      <c r="B65" s="80">
        <v>1713</v>
      </c>
      <c r="C65" s="48" t="s">
        <v>41</v>
      </c>
      <c r="D65" s="48" t="s">
        <v>37</v>
      </c>
      <c r="E65" s="48"/>
      <c r="F65" s="48">
        <v>34.93</v>
      </c>
      <c r="G65" s="48">
        <v>2.64</v>
      </c>
      <c r="H65" s="82">
        <f t="shared" si="24"/>
        <v>36.25</v>
      </c>
      <c r="I65" s="82">
        <f t="shared" si="25"/>
        <v>37.57</v>
      </c>
      <c r="J65" s="49">
        <v>4095</v>
      </c>
      <c r="K65" s="50">
        <v>0</v>
      </c>
      <c r="L65" s="48">
        <v>0</v>
      </c>
      <c r="M65" s="48">
        <v>0</v>
      </c>
      <c r="N65" s="51">
        <f t="shared" si="26"/>
        <v>3685.5</v>
      </c>
      <c r="O65" s="52">
        <f t="shared" si="27"/>
        <v>4095</v>
      </c>
      <c r="P65" s="79">
        <f t="shared" si="28"/>
        <v>101.66896551724138</v>
      </c>
      <c r="Q65" s="53">
        <f t="shared" si="29"/>
        <v>0.1</v>
      </c>
      <c r="R65" s="54">
        <f t="shared" si="30"/>
        <v>409.5</v>
      </c>
      <c r="S65" s="53">
        <v>0.8</v>
      </c>
      <c r="T65" s="54">
        <f t="shared" si="31"/>
        <v>3276</v>
      </c>
      <c r="U65" s="53">
        <f t="shared" si="32"/>
        <v>9.9999999999999978E-2</v>
      </c>
      <c r="V65" s="54">
        <f t="shared" si="33"/>
        <v>409.49999999999989</v>
      </c>
      <c r="W65" s="55">
        <f ca="1">V65*VLOOKUP(TODAY(),'UF HOY'!$A$2:$B$36,2,0)</f>
        <v>16271048.429999996</v>
      </c>
      <c r="X65" s="56">
        <f>Datos!$K$6</f>
        <v>36</v>
      </c>
      <c r="Y65" s="55">
        <f ca="1">IF((W65-Datos!$U$6-1000000)/X65&gt;0,(W65-Datos!$U$6-1000000)/X65,0)</f>
        <v>421418.01194444433</v>
      </c>
      <c r="Z65" s="56">
        <f>Datos!$K$6</f>
        <v>36</v>
      </c>
      <c r="AA65" s="55">
        <f ca="1">IF((W65-Datos!$U$6-1000000-O65*3%*VLOOKUP(TODAY(),'UF HOY'!$A$2:$B$36,2,0))/Z65&gt;0,(W65-Datos!$U$6-1000000-O65*3%*VLOOKUP(TODAY(),'UF HOY'!$A$2:$B$36,2,0))/Z65,0)</f>
        <v>285825.94169444434</v>
      </c>
      <c r="AB65" s="55">
        <f>IF(L65&gt;0,VLOOKUP(D65,Datos!$A$36:$C$40,3,0),VLOOKUP(D65,Datos!$A$36:$C$40,2,0))</f>
        <v>450000</v>
      </c>
      <c r="AC65" s="55">
        <f ca="1">(S65*PMT(Datos!$G$15,Datos!$G$14,-O65,,)*VLOOKUP(TODAY(),'UF HOY'!$A$2:$B$36,2,0)/12)+VLOOKUP(TODAY(),'UF HOY'!$A$2:$B$36,2,0)</f>
        <v>667038.16914366977</v>
      </c>
      <c r="AD65" s="55">
        <f t="shared" ca="1" si="34"/>
        <v>-217038.16914366977</v>
      </c>
      <c r="AE65" s="93">
        <f t="shared" ca="1" si="11"/>
        <v>2668152.6765746791</v>
      </c>
    </row>
    <row r="66" spans="1:31" s="3" customFormat="1" x14ac:dyDescent="0.35">
      <c r="A66" s="94" t="s">
        <v>305</v>
      </c>
      <c r="B66" s="80">
        <v>2112</v>
      </c>
      <c r="C66" s="48" t="s">
        <v>41</v>
      </c>
      <c r="D66" s="48" t="s">
        <v>37</v>
      </c>
      <c r="E66" s="48"/>
      <c r="F66" s="48">
        <v>34.06</v>
      </c>
      <c r="G66" s="48">
        <v>2.66</v>
      </c>
      <c r="H66" s="82">
        <f t="shared" si="24"/>
        <v>35.39</v>
      </c>
      <c r="I66" s="82">
        <f t="shared" si="25"/>
        <v>36.72</v>
      </c>
      <c r="J66" s="49">
        <v>4095</v>
      </c>
      <c r="K66" s="50">
        <v>0</v>
      </c>
      <c r="L66" s="48">
        <v>0</v>
      </c>
      <c r="M66" s="48">
        <v>0</v>
      </c>
      <c r="N66" s="51">
        <f t="shared" si="26"/>
        <v>3685.5</v>
      </c>
      <c r="O66" s="52">
        <f t="shared" si="27"/>
        <v>4095</v>
      </c>
      <c r="P66" s="79">
        <f t="shared" si="28"/>
        <v>104.13958745408307</v>
      </c>
      <c r="Q66" s="53">
        <f t="shared" si="29"/>
        <v>0.1</v>
      </c>
      <c r="R66" s="54">
        <f t="shared" si="30"/>
        <v>409.5</v>
      </c>
      <c r="S66" s="53">
        <v>0.8</v>
      </c>
      <c r="T66" s="54">
        <f t="shared" si="31"/>
        <v>3276</v>
      </c>
      <c r="U66" s="53">
        <f t="shared" si="32"/>
        <v>9.9999999999999978E-2</v>
      </c>
      <c r="V66" s="54">
        <f t="shared" si="33"/>
        <v>409.49999999999989</v>
      </c>
      <c r="W66" s="55">
        <f ca="1">V66*VLOOKUP(TODAY(),'UF HOY'!$A$2:$B$36,2,0)</f>
        <v>16271048.429999996</v>
      </c>
      <c r="X66" s="56">
        <f>Datos!$K$6</f>
        <v>36</v>
      </c>
      <c r="Y66" s="55">
        <f ca="1">IF((W66-Datos!$U$6-1000000)/X66&gt;0,(W66-Datos!$U$6-1000000)/X66,0)</f>
        <v>421418.01194444433</v>
      </c>
      <c r="Z66" s="56">
        <f>Datos!$K$6</f>
        <v>36</v>
      </c>
      <c r="AA66" s="55">
        <f ca="1">IF((W66-Datos!$U$6-1000000-O66*3%*VLOOKUP(TODAY(),'UF HOY'!$A$2:$B$36,2,0))/Z66&gt;0,(W66-Datos!$U$6-1000000-O66*3%*VLOOKUP(TODAY(),'UF HOY'!$A$2:$B$36,2,0))/Z66,0)</f>
        <v>285825.94169444434</v>
      </c>
      <c r="AB66" s="55">
        <f>IF(L66&gt;0,VLOOKUP(D66,Datos!$A$36:$C$40,3,0),VLOOKUP(D66,Datos!$A$36:$C$40,2,0))</f>
        <v>450000</v>
      </c>
      <c r="AC66" s="55">
        <f ca="1">(S66*PMT(Datos!$G$15,Datos!$G$14,-O66,,)*VLOOKUP(TODAY(),'UF HOY'!$A$2:$B$36,2,0)/12)+VLOOKUP(TODAY(),'UF HOY'!$A$2:$B$36,2,0)</f>
        <v>667038.16914366977</v>
      </c>
      <c r="AD66" s="55">
        <f t="shared" ca="1" si="34"/>
        <v>-217038.16914366977</v>
      </c>
      <c r="AE66" s="93">
        <f t="shared" ca="1" si="11"/>
        <v>2668152.6765746791</v>
      </c>
    </row>
    <row r="67" spans="1:31" s="3" customFormat="1" x14ac:dyDescent="0.35">
      <c r="A67" s="94" t="s">
        <v>305</v>
      </c>
      <c r="B67" s="80">
        <v>2310</v>
      </c>
      <c r="C67" s="48" t="s">
        <v>41</v>
      </c>
      <c r="D67" s="48" t="s">
        <v>37</v>
      </c>
      <c r="E67" s="48"/>
      <c r="F67" s="48">
        <v>33.9</v>
      </c>
      <c r="G67" s="48">
        <v>2.68</v>
      </c>
      <c r="H67" s="82">
        <f t="shared" si="24"/>
        <v>35.24</v>
      </c>
      <c r="I67" s="82">
        <f t="shared" si="25"/>
        <v>36.58</v>
      </c>
      <c r="J67" s="49">
        <v>4095</v>
      </c>
      <c r="K67" s="50">
        <v>0</v>
      </c>
      <c r="L67" s="48">
        <v>0</v>
      </c>
      <c r="M67" s="48">
        <v>0</v>
      </c>
      <c r="N67" s="51">
        <f t="shared" si="26"/>
        <v>3685.5</v>
      </c>
      <c r="O67" s="52">
        <f t="shared" si="27"/>
        <v>4095</v>
      </c>
      <c r="P67" s="79">
        <f t="shared" si="28"/>
        <v>104.58286038592507</v>
      </c>
      <c r="Q67" s="53">
        <f t="shared" si="29"/>
        <v>0.1</v>
      </c>
      <c r="R67" s="54">
        <f t="shared" si="30"/>
        <v>409.5</v>
      </c>
      <c r="S67" s="53">
        <v>0.8</v>
      </c>
      <c r="T67" s="54">
        <f t="shared" si="31"/>
        <v>3276</v>
      </c>
      <c r="U67" s="53">
        <f t="shared" si="32"/>
        <v>9.9999999999999978E-2</v>
      </c>
      <c r="V67" s="54">
        <f t="shared" si="33"/>
        <v>409.49999999999989</v>
      </c>
      <c r="W67" s="55">
        <f ca="1">V67*VLOOKUP(TODAY(),'UF HOY'!$A$2:$B$36,2,0)</f>
        <v>16271048.429999996</v>
      </c>
      <c r="X67" s="56">
        <f>Datos!$K$6</f>
        <v>36</v>
      </c>
      <c r="Y67" s="55">
        <f ca="1">IF((W67-Datos!$U$6-1000000)/X67&gt;0,(W67-Datos!$U$6-1000000)/X67,0)</f>
        <v>421418.01194444433</v>
      </c>
      <c r="Z67" s="56">
        <f>Datos!$K$6</f>
        <v>36</v>
      </c>
      <c r="AA67" s="55">
        <f ca="1">IF((W67-Datos!$U$6-1000000-O67*3%*VLOOKUP(TODAY(),'UF HOY'!$A$2:$B$36,2,0))/Z67&gt;0,(W67-Datos!$U$6-1000000-O67*3%*VLOOKUP(TODAY(),'UF HOY'!$A$2:$B$36,2,0))/Z67,0)</f>
        <v>285825.94169444434</v>
      </c>
      <c r="AB67" s="55">
        <f>IF(L67&gt;0,VLOOKUP(D67,Datos!$A$36:$C$40,3,0),VLOOKUP(D67,Datos!$A$36:$C$40,2,0))</f>
        <v>450000</v>
      </c>
      <c r="AC67" s="55">
        <f ca="1">(S67*PMT(Datos!$G$15,Datos!$G$14,-O67,,)*VLOOKUP(TODAY(),'UF HOY'!$A$2:$B$36,2,0)/12)+VLOOKUP(TODAY(),'UF HOY'!$A$2:$B$36,2,0)</f>
        <v>667038.16914366977</v>
      </c>
      <c r="AD67" s="55">
        <f t="shared" ca="1" si="34"/>
        <v>-217038.16914366977</v>
      </c>
      <c r="AE67" s="93">
        <f t="shared" ca="1" si="11"/>
        <v>2668152.6765746791</v>
      </c>
    </row>
    <row r="68" spans="1:31" s="3" customFormat="1" x14ac:dyDescent="0.35">
      <c r="A68" s="94" t="s">
        <v>305</v>
      </c>
      <c r="B68" s="80">
        <v>2704</v>
      </c>
      <c r="C68" s="48" t="s">
        <v>40</v>
      </c>
      <c r="D68" s="48" t="s">
        <v>37</v>
      </c>
      <c r="E68" s="48"/>
      <c r="F68" s="48">
        <v>34.15</v>
      </c>
      <c r="G68" s="48">
        <v>2.71</v>
      </c>
      <c r="H68" s="82">
        <f t="shared" si="24"/>
        <v>35.504999999999995</v>
      </c>
      <c r="I68" s="82">
        <f t="shared" si="25"/>
        <v>36.86</v>
      </c>
      <c r="J68" s="49">
        <v>4095</v>
      </c>
      <c r="K68" s="50">
        <v>0</v>
      </c>
      <c r="L68" s="48">
        <v>0</v>
      </c>
      <c r="M68" s="48">
        <v>0</v>
      </c>
      <c r="N68" s="51">
        <f t="shared" si="26"/>
        <v>3685.5</v>
      </c>
      <c r="O68" s="52">
        <f t="shared" si="27"/>
        <v>4095</v>
      </c>
      <c r="P68" s="79">
        <f t="shared" si="28"/>
        <v>103.80228136882131</v>
      </c>
      <c r="Q68" s="53">
        <f t="shared" si="29"/>
        <v>0.1</v>
      </c>
      <c r="R68" s="54">
        <f t="shared" si="30"/>
        <v>409.5</v>
      </c>
      <c r="S68" s="53">
        <v>0.8</v>
      </c>
      <c r="T68" s="54">
        <f t="shared" si="31"/>
        <v>3276</v>
      </c>
      <c r="U68" s="53">
        <f t="shared" si="32"/>
        <v>9.9999999999999978E-2</v>
      </c>
      <c r="V68" s="54">
        <f t="shared" si="33"/>
        <v>409.49999999999989</v>
      </c>
      <c r="W68" s="55">
        <f ca="1">V68*VLOOKUP(TODAY(),'UF HOY'!$A$2:$B$36,2,0)</f>
        <v>16271048.429999996</v>
      </c>
      <c r="X68" s="56">
        <f>Datos!$K$6</f>
        <v>36</v>
      </c>
      <c r="Y68" s="55">
        <f ca="1">IF((W68-Datos!$U$6-1000000)/X68&gt;0,(W68-Datos!$U$6-1000000)/X68,0)</f>
        <v>421418.01194444433</v>
      </c>
      <c r="Z68" s="56">
        <f>Datos!$K$6</f>
        <v>36</v>
      </c>
      <c r="AA68" s="55">
        <f ca="1">IF((W68-Datos!$U$6-1000000-O68*3%*VLOOKUP(TODAY(),'UF HOY'!$A$2:$B$36,2,0))/Z68&gt;0,(W68-Datos!$U$6-1000000-O68*3%*VLOOKUP(TODAY(),'UF HOY'!$A$2:$B$36,2,0))/Z68,0)</f>
        <v>285825.94169444434</v>
      </c>
      <c r="AB68" s="55">
        <f>IF(L68&gt;0,VLOOKUP(D68,Datos!$A$36:$C$40,3,0),VLOOKUP(D68,Datos!$A$36:$C$40,2,0))</f>
        <v>450000</v>
      </c>
      <c r="AC68" s="55">
        <f ca="1">(S68*PMT(Datos!$G$15,Datos!$G$14,-O68,,)*VLOOKUP(TODAY(),'UF HOY'!$A$2:$B$36,2,0)/12)+VLOOKUP(TODAY(),'UF HOY'!$A$2:$B$36,2,0)</f>
        <v>667038.16914366977</v>
      </c>
      <c r="AD68" s="55">
        <f t="shared" ca="1" si="34"/>
        <v>-217038.16914366977</v>
      </c>
      <c r="AE68" s="93">
        <f t="shared" ca="1" si="11"/>
        <v>2668152.6765746791</v>
      </c>
    </row>
    <row r="69" spans="1:31" s="3" customFormat="1" x14ac:dyDescent="0.35">
      <c r="A69" s="94" t="s">
        <v>305</v>
      </c>
      <c r="B69" s="80">
        <v>2212</v>
      </c>
      <c r="C69" s="48" t="s">
        <v>41</v>
      </c>
      <c r="D69" s="48" t="s">
        <v>37</v>
      </c>
      <c r="E69" s="48"/>
      <c r="F69" s="48">
        <v>34.06</v>
      </c>
      <c r="G69" s="48">
        <v>2.66</v>
      </c>
      <c r="H69" s="82">
        <f t="shared" ref="H69:H100" si="35">F69+(G69/2)</f>
        <v>35.39</v>
      </c>
      <c r="I69" s="82">
        <f t="shared" ref="I69:I100" si="36">F69+G69</f>
        <v>36.72</v>
      </c>
      <c r="J69" s="49">
        <v>4105</v>
      </c>
      <c r="K69" s="50">
        <v>0</v>
      </c>
      <c r="L69" s="48">
        <v>0</v>
      </c>
      <c r="M69" s="48">
        <v>0</v>
      </c>
      <c r="N69" s="51">
        <f t="shared" ref="N69:N100" si="37">O69-R69</f>
        <v>3694.5</v>
      </c>
      <c r="O69" s="52">
        <f t="shared" ref="O69:O100" si="38">J69*(100%-K69)+L69+M69</f>
        <v>4105</v>
      </c>
      <c r="P69" s="79">
        <f t="shared" ref="P69:P100" si="39">(N69-L69-M69)/H69</f>
        <v>104.39389658095507</v>
      </c>
      <c r="Q69" s="53">
        <f t="shared" ref="Q69:Q100" si="40">IF((O69-N69)/O69&gt;10%,10%,ROUND(IF(O69&gt;N69,(O69-N69)/O69,0),4))</f>
        <v>0.1</v>
      </c>
      <c r="R69" s="54">
        <f t="shared" ref="R69:R100" si="41">(J69-J69*K69)*0.1</f>
        <v>410.5</v>
      </c>
      <c r="S69" s="53">
        <v>0.8</v>
      </c>
      <c r="T69" s="54">
        <f t="shared" ref="T69:T100" si="42">S69*O69</f>
        <v>3284</v>
      </c>
      <c r="U69" s="53">
        <f t="shared" ref="U69:U100" si="43">100%-Q69-S69</f>
        <v>9.9999999999999978E-2</v>
      </c>
      <c r="V69" s="54">
        <f t="shared" ref="V69:V100" si="44">O69*U69</f>
        <v>410.49999999999989</v>
      </c>
      <c r="W69" s="55">
        <f ca="1">V69*VLOOKUP(TODAY(),'UF HOY'!$A$2:$B$36,2,0)</f>
        <v>16310782.369999997</v>
      </c>
      <c r="X69" s="56">
        <f>Datos!$K$6</f>
        <v>36</v>
      </c>
      <c r="Y69" s="55">
        <f ca="1">IF((W69-Datos!$U$6-1000000)/X69&gt;0,(W69-Datos!$U$6-1000000)/X69,0)</f>
        <v>422521.73249999993</v>
      </c>
      <c r="Z69" s="56">
        <f>Datos!$K$6</f>
        <v>36</v>
      </c>
      <c r="AA69" s="55">
        <f ca="1">IF((W69-Datos!$U$6-1000000-O69*3%*VLOOKUP(TODAY(),'UF HOY'!$A$2:$B$36,2,0))/Z69&gt;0,(W69-Datos!$U$6-1000000-O69*3%*VLOOKUP(TODAY(),'UF HOY'!$A$2:$B$36,2,0))/Z69,0)</f>
        <v>286598.54608333326</v>
      </c>
      <c r="AB69" s="55">
        <f>IF(L69&gt;0,VLOOKUP(D69,Datos!$A$36:$C$40,3,0),VLOOKUP(D69,Datos!$A$36:$C$40,2,0))</f>
        <v>450000</v>
      </c>
      <c r="AC69" s="55">
        <f ca="1">(S69*PMT(Datos!$G$15,Datos!$G$14,-O69,,)*VLOOKUP(TODAY(),'UF HOY'!$A$2:$B$36,2,0)/12)+VLOOKUP(TODAY(),'UF HOY'!$A$2:$B$36,2,0)</f>
        <v>668570.0476031173</v>
      </c>
      <c r="AD69" s="55">
        <f t="shared" ref="AD69:AD100" ca="1" si="45">AB69-AC69</f>
        <v>-218570.0476031173</v>
      </c>
      <c r="AE69" s="93">
        <f t="shared" ca="1" si="11"/>
        <v>2674280.1904124692</v>
      </c>
    </row>
    <row r="70" spans="1:31" s="3" customFormat="1" x14ac:dyDescent="0.35">
      <c r="A70" s="94" t="s">
        <v>305</v>
      </c>
      <c r="B70" s="80">
        <v>1813</v>
      </c>
      <c r="C70" s="48" t="s">
        <v>41</v>
      </c>
      <c r="D70" s="48" t="s">
        <v>37</v>
      </c>
      <c r="E70" s="48"/>
      <c r="F70" s="48">
        <v>34.93</v>
      </c>
      <c r="G70" s="48">
        <v>2.64</v>
      </c>
      <c r="H70" s="82">
        <f t="shared" si="35"/>
        <v>36.25</v>
      </c>
      <c r="I70" s="82">
        <f t="shared" si="36"/>
        <v>37.57</v>
      </c>
      <c r="J70" s="49">
        <v>4110</v>
      </c>
      <c r="K70" s="50">
        <v>0</v>
      </c>
      <c r="L70" s="48">
        <v>0</v>
      </c>
      <c r="M70" s="48">
        <v>0</v>
      </c>
      <c r="N70" s="51">
        <f t="shared" si="37"/>
        <v>3699</v>
      </c>
      <c r="O70" s="52">
        <f t="shared" si="38"/>
        <v>4110</v>
      </c>
      <c r="P70" s="79">
        <f t="shared" si="39"/>
        <v>102.04137931034482</v>
      </c>
      <c r="Q70" s="53">
        <f t="shared" si="40"/>
        <v>0.1</v>
      </c>
      <c r="R70" s="54">
        <f t="shared" si="41"/>
        <v>411</v>
      </c>
      <c r="S70" s="53">
        <v>0.8</v>
      </c>
      <c r="T70" s="54">
        <f t="shared" si="42"/>
        <v>3288</v>
      </c>
      <c r="U70" s="53">
        <f t="shared" si="43"/>
        <v>9.9999999999999978E-2</v>
      </c>
      <c r="V70" s="54">
        <f t="shared" si="44"/>
        <v>410.99999999999989</v>
      </c>
      <c r="W70" s="55">
        <f ca="1">V70*VLOOKUP(TODAY(),'UF HOY'!$A$2:$B$36,2,0)</f>
        <v>16330649.339999996</v>
      </c>
      <c r="X70" s="56">
        <f>Datos!$K$6</f>
        <v>36</v>
      </c>
      <c r="Y70" s="55">
        <f ca="1">IF((W70-Datos!$U$6-1000000)/X70&gt;0,(W70-Datos!$U$6-1000000)/X70,0)</f>
        <v>423073.5927777777</v>
      </c>
      <c r="Z70" s="56">
        <f>Datos!$K$6</f>
        <v>36</v>
      </c>
      <c r="AA70" s="55">
        <f ca="1">IF((W70-Datos!$U$6-1000000-O70*3%*VLOOKUP(TODAY(),'UF HOY'!$A$2:$B$36,2,0))/Z70&gt;0,(W70-Datos!$U$6-1000000-O70*3%*VLOOKUP(TODAY(),'UF HOY'!$A$2:$B$36,2,0))/Z70,0)</f>
        <v>286984.84827777767</v>
      </c>
      <c r="AB70" s="55">
        <f>IF(L70&gt;0,VLOOKUP(D70,Datos!$A$36:$C$40,3,0),VLOOKUP(D70,Datos!$A$36:$C$40,2,0))</f>
        <v>450000</v>
      </c>
      <c r="AC70" s="55">
        <f ca="1">(S70*PMT(Datos!$G$15,Datos!$G$14,-O70,,)*VLOOKUP(TODAY(),'UF HOY'!$A$2:$B$36,2,0)/12)+VLOOKUP(TODAY(),'UF HOY'!$A$2:$B$36,2,0)</f>
        <v>669335.98683284083</v>
      </c>
      <c r="AD70" s="55">
        <f t="shared" ca="1" si="45"/>
        <v>-219335.98683284083</v>
      </c>
      <c r="AE70" s="93">
        <f t="shared" ref="AE70:AE133" ca="1" si="46">IF((AC70/0.25)&lt;=1600000,1600000,(AC70/0.25))</f>
        <v>2677343.9473313633</v>
      </c>
    </row>
    <row r="71" spans="1:31" s="3" customFormat="1" x14ac:dyDescent="0.35">
      <c r="A71" s="94" t="s">
        <v>305</v>
      </c>
      <c r="B71" s="80">
        <v>2410</v>
      </c>
      <c r="C71" s="48" t="s">
        <v>41</v>
      </c>
      <c r="D71" s="48" t="s">
        <v>37</v>
      </c>
      <c r="E71" s="48"/>
      <c r="F71" s="48">
        <v>33.9</v>
      </c>
      <c r="G71" s="48">
        <v>2.68</v>
      </c>
      <c r="H71" s="82">
        <f t="shared" si="35"/>
        <v>35.24</v>
      </c>
      <c r="I71" s="82">
        <f t="shared" si="36"/>
        <v>36.58</v>
      </c>
      <c r="J71" s="49">
        <v>4110</v>
      </c>
      <c r="K71" s="50">
        <v>0</v>
      </c>
      <c r="L71" s="48">
        <v>0</v>
      </c>
      <c r="M71" s="48">
        <v>0</v>
      </c>
      <c r="N71" s="51">
        <f t="shared" si="37"/>
        <v>3699</v>
      </c>
      <c r="O71" s="52">
        <f t="shared" si="38"/>
        <v>4110</v>
      </c>
      <c r="P71" s="79">
        <f t="shared" si="39"/>
        <v>104.96594778660612</v>
      </c>
      <c r="Q71" s="53">
        <f t="shared" si="40"/>
        <v>0.1</v>
      </c>
      <c r="R71" s="54">
        <f t="shared" si="41"/>
        <v>411</v>
      </c>
      <c r="S71" s="53">
        <v>0.8</v>
      </c>
      <c r="T71" s="54">
        <f t="shared" si="42"/>
        <v>3288</v>
      </c>
      <c r="U71" s="53">
        <f t="shared" si="43"/>
        <v>9.9999999999999978E-2</v>
      </c>
      <c r="V71" s="54">
        <f t="shared" si="44"/>
        <v>410.99999999999989</v>
      </c>
      <c r="W71" s="55">
        <f ca="1">V71*VLOOKUP(TODAY(),'UF HOY'!$A$2:$B$36,2,0)</f>
        <v>16330649.339999996</v>
      </c>
      <c r="X71" s="56">
        <f>Datos!$K$6</f>
        <v>36</v>
      </c>
      <c r="Y71" s="55">
        <f ca="1">IF((W71-Datos!$U$6-1000000)/X71&gt;0,(W71-Datos!$U$6-1000000)/X71,0)</f>
        <v>423073.5927777777</v>
      </c>
      <c r="Z71" s="56">
        <f>Datos!$K$6</f>
        <v>36</v>
      </c>
      <c r="AA71" s="55">
        <f ca="1">IF((W71-Datos!$U$6-1000000-O71*3%*VLOOKUP(TODAY(),'UF HOY'!$A$2:$B$36,2,0))/Z71&gt;0,(W71-Datos!$U$6-1000000-O71*3%*VLOOKUP(TODAY(),'UF HOY'!$A$2:$B$36,2,0))/Z71,0)</f>
        <v>286984.84827777767</v>
      </c>
      <c r="AB71" s="55">
        <f>IF(L71&gt;0,VLOOKUP(D71,Datos!$A$36:$C$40,3,0),VLOOKUP(D71,Datos!$A$36:$C$40,2,0))</f>
        <v>450000</v>
      </c>
      <c r="AC71" s="55">
        <f ca="1">(S71*PMT(Datos!$G$15,Datos!$G$14,-O71,,)*VLOOKUP(TODAY(),'UF HOY'!$A$2:$B$36,2,0)/12)+VLOOKUP(TODAY(),'UF HOY'!$A$2:$B$36,2,0)</f>
        <v>669335.98683284083</v>
      </c>
      <c r="AD71" s="55">
        <f t="shared" ca="1" si="45"/>
        <v>-219335.98683284083</v>
      </c>
      <c r="AE71" s="93">
        <f t="shared" ca="1" si="46"/>
        <v>2677343.9473313633</v>
      </c>
    </row>
    <row r="72" spans="1:31" s="3" customFormat="1" x14ac:dyDescent="0.35">
      <c r="A72" s="94" t="s">
        <v>305</v>
      </c>
      <c r="B72" s="80">
        <v>2312</v>
      </c>
      <c r="C72" s="48" t="s">
        <v>41</v>
      </c>
      <c r="D72" s="48" t="s">
        <v>37</v>
      </c>
      <c r="E72" s="48"/>
      <c r="F72" s="48">
        <v>34.06</v>
      </c>
      <c r="G72" s="48">
        <v>2.66</v>
      </c>
      <c r="H72" s="82">
        <f t="shared" si="35"/>
        <v>35.39</v>
      </c>
      <c r="I72" s="82">
        <f t="shared" si="36"/>
        <v>36.72</v>
      </c>
      <c r="J72" s="49">
        <v>4115</v>
      </c>
      <c r="K72" s="50">
        <v>0</v>
      </c>
      <c r="L72" s="48">
        <v>0</v>
      </c>
      <c r="M72" s="48">
        <v>0</v>
      </c>
      <c r="N72" s="51">
        <f t="shared" si="37"/>
        <v>3703.5</v>
      </c>
      <c r="O72" s="52">
        <f t="shared" si="38"/>
        <v>4115</v>
      </c>
      <c r="P72" s="79">
        <f t="shared" si="39"/>
        <v>104.64820570782707</v>
      </c>
      <c r="Q72" s="53">
        <f t="shared" si="40"/>
        <v>0.1</v>
      </c>
      <c r="R72" s="54">
        <f t="shared" si="41"/>
        <v>411.5</v>
      </c>
      <c r="S72" s="53">
        <v>0.8</v>
      </c>
      <c r="T72" s="54">
        <f t="shared" si="42"/>
        <v>3292</v>
      </c>
      <c r="U72" s="53">
        <f t="shared" si="43"/>
        <v>9.9999999999999978E-2</v>
      </c>
      <c r="V72" s="54">
        <f t="shared" si="44"/>
        <v>411.49999999999989</v>
      </c>
      <c r="W72" s="55">
        <f ca="1">V72*VLOOKUP(TODAY(),'UF HOY'!$A$2:$B$36,2,0)</f>
        <v>16350516.309999997</v>
      </c>
      <c r="X72" s="56">
        <f>Datos!$K$6</f>
        <v>36</v>
      </c>
      <c r="Y72" s="55">
        <f ca="1">IF((W72-Datos!$U$6-1000000)/X72&gt;0,(W72-Datos!$U$6-1000000)/X72,0)</f>
        <v>423625.45305555547</v>
      </c>
      <c r="Z72" s="56">
        <f>Datos!$K$6</f>
        <v>36</v>
      </c>
      <c r="AA72" s="55">
        <f ca="1">IF((W72-Datos!$U$6-1000000-O72*3%*VLOOKUP(TODAY(),'UF HOY'!$A$2:$B$36,2,0))/Z72&gt;0,(W72-Datos!$U$6-1000000-O72*3%*VLOOKUP(TODAY(),'UF HOY'!$A$2:$B$36,2,0))/Z72,0)</f>
        <v>287371.15047222213</v>
      </c>
      <c r="AB72" s="55">
        <f>IF(L72&gt;0,VLOOKUP(D72,Datos!$A$36:$C$40,3,0),VLOOKUP(D72,Datos!$A$36:$C$40,2,0))</f>
        <v>450000</v>
      </c>
      <c r="AC72" s="55">
        <f ca="1">(S72*PMT(Datos!$G$15,Datos!$G$14,-O72,,)*VLOOKUP(TODAY(),'UF HOY'!$A$2:$B$36,2,0)/12)+VLOOKUP(TODAY(),'UF HOY'!$A$2:$B$36,2,0)</f>
        <v>670101.92606256437</v>
      </c>
      <c r="AD72" s="55">
        <f t="shared" ca="1" si="45"/>
        <v>-220101.92606256437</v>
      </c>
      <c r="AE72" s="93">
        <f t="shared" ca="1" si="46"/>
        <v>2680407.7042502575</v>
      </c>
    </row>
    <row r="73" spans="1:31" s="3" customFormat="1" x14ac:dyDescent="0.35">
      <c r="A73" s="94" t="s">
        <v>305</v>
      </c>
      <c r="B73" s="80">
        <v>2510</v>
      </c>
      <c r="C73" s="48" t="s">
        <v>41</v>
      </c>
      <c r="D73" s="48" t="s">
        <v>37</v>
      </c>
      <c r="E73" s="48"/>
      <c r="F73" s="48">
        <v>33.9</v>
      </c>
      <c r="G73" s="48">
        <v>2.68</v>
      </c>
      <c r="H73" s="82">
        <f t="shared" si="35"/>
        <v>35.24</v>
      </c>
      <c r="I73" s="82">
        <f t="shared" si="36"/>
        <v>36.58</v>
      </c>
      <c r="J73" s="49">
        <v>4120</v>
      </c>
      <c r="K73" s="50">
        <v>0</v>
      </c>
      <c r="L73" s="48">
        <v>0</v>
      </c>
      <c r="M73" s="48">
        <v>0</v>
      </c>
      <c r="N73" s="51">
        <f t="shared" si="37"/>
        <v>3708</v>
      </c>
      <c r="O73" s="52">
        <f t="shared" si="38"/>
        <v>4120</v>
      </c>
      <c r="P73" s="79">
        <f t="shared" si="39"/>
        <v>105.22133938706015</v>
      </c>
      <c r="Q73" s="53">
        <f t="shared" si="40"/>
        <v>0.1</v>
      </c>
      <c r="R73" s="54">
        <f t="shared" si="41"/>
        <v>412</v>
      </c>
      <c r="S73" s="53">
        <v>0.8</v>
      </c>
      <c r="T73" s="54">
        <f t="shared" si="42"/>
        <v>3296</v>
      </c>
      <c r="U73" s="53">
        <f t="shared" si="43"/>
        <v>9.9999999999999978E-2</v>
      </c>
      <c r="V73" s="54">
        <f t="shared" si="44"/>
        <v>411.99999999999989</v>
      </c>
      <c r="W73" s="55">
        <f ca="1">V73*VLOOKUP(TODAY(),'UF HOY'!$A$2:$B$36,2,0)</f>
        <v>16370383.279999996</v>
      </c>
      <c r="X73" s="56">
        <f>Datos!$K$6</f>
        <v>36</v>
      </c>
      <c r="Y73" s="55">
        <f ca="1">IF((W73-Datos!$U$6-1000000)/X73&gt;0,(W73-Datos!$U$6-1000000)/X73,0)</f>
        <v>424177.31333333324</v>
      </c>
      <c r="Z73" s="56">
        <f>Datos!$K$6</f>
        <v>36</v>
      </c>
      <c r="AA73" s="55">
        <f ca="1">IF((W73-Datos!$U$6-1000000-O73*3%*VLOOKUP(TODAY(),'UF HOY'!$A$2:$B$36,2,0))/Z73&gt;0,(W73-Datos!$U$6-1000000-O73*3%*VLOOKUP(TODAY(),'UF HOY'!$A$2:$B$36,2,0))/Z73,0)</f>
        <v>287757.45266666659</v>
      </c>
      <c r="AB73" s="55">
        <f>IF(L73&gt;0,VLOOKUP(D73,Datos!$A$36:$C$40,3,0),VLOOKUP(D73,Datos!$A$36:$C$40,2,0))</f>
        <v>450000</v>
      </c>
      <c r="AC73" s="55">
        <f ca="1">(S73*PMT(Datos!$G$15,Datos!$G$14,-O73,,)*VLOOKUP(TODAY(),'UF HOY'!$A$2:$B$36,2,0)/12)+VLOOKUP(TODAY(),'UF HOY'!$A$2:$B$36,2,0)</f>
        <v>670867.86529228813</v>
      </c>
      <c r="AD73" s="55">
        <f t="shared" ca="1" si="45"/>
        <v>-220867.86529228813</v>
      </c>
      <c r="AE73" s="93">
        <f t="shared" ca="1" si="46"/>
        <v>2683471.4611691525</v>
      </c>
    </row>
    <row r="74" spans="1:31" s="3" customFormat="1" x14ac:dyDescent="0.35">
      <c r="A74" s="94" t="s">
        <v>305</v>
      </c>
      <c r="B74" s="80">
        <v>1913</v>
      </c>
      <c r="C74" s="48" t="s">
        <v>41</v>
      </c>
      <c r="D74" s="48" t="s">
        <v>37</v>
      </c>
      <c r="E74" s="48"/>
      <c r="F74" s="48">
        <v>34.93</v>
      </c>
      <c r="G74" s="48">
        <v>2.64</v>
      </c>
      <c r="H74" s="82">
        <f t="shared" si="35"/>
        <v>36.25</v>
      </c>
      <c r="I74" s="82">
        <f t="shared" si="36"/>
        <v>37.57</v>
      </c>
      <c r="J74" s="49">
        <v>4125</v>
      </c>
      <c r="K74" s="50">
        <v>0</v>
      </c>
      <c r="L74" s="48">
        <v>0</v>
      </c>
      <c r="M74" s="48">
        <v>0</v>
      </c>
      <c r="N74" s="51">
        <f t="shared" si="37"/>
        <v>3712.5</v>
      </c>
      <c r="O74" s="52">
        <f t="shared" si="38"/>
        <v>4125</v>
      </c>
      <c r="P74" s="79">
        <f t="shared" si="39"/>
        <v>102.41379310344827</v>
      </c>
      <c r="Q74" s="53">
        <f t="shared" si="40"/>
        <v>0.1</v>
      </c>
      <c r="R74" s="54">
        <f t="shared" si="41"/>
        <v>412.5</v>
      </c>
      <c r="S74" s="53">
        <v>0.8</v>
      </c>
      <c r="T74" s="54">
        <f t="shared" si="42"/>
        <v>3300</v>
      </c>
      <c r="U74" s="53">
        <f t="shared" si="43"/>
        <v>9.9999999999999978E-2</v>
      </c>
      <c r="V74" s="54">
        <f t="shared" si="44"/>
        <v>412.49999999999989</v>
      </c>
      <c r="W74" s="55">
        <f ca="1">V74*VLOOKUP(TODAY(),'UF HOY'!$A$2:$B$36,2,0)</f>
        <v>16390250.249999996</v>
      </c>
      <c r="X74" s="56">
        <f>Datos!$K$6</f>
        <v>36</v>
      </c>
      <c r="Y74" s="55">
        <f ca="1">IF((W74-Datos!$U$6-1000000)/X74&gt;0,(W74-Datos!$U$6-1000000)/X74,0)</f>
        <v>424729.17361111101</v>
      </c>
      <c r="Z74" s="56">
        <f>Datos!$K$6</f>
        <v>36</v>
      </c>
      <c r="AA74" s="55">
        <f ca="1">IF((W74-Datos!$U$6-1000000-O74*3%*VLOOKUP(TODAY(),'UF HOY'!$A$2:$B$36,2,0))/Z74&gt;0,(W74-Datos!$U$6-1000000-O74*3%*VLOOKUP(TODAY(),'UF HOY'!$A$2:$B$36,2,0))/Z74,0)</f>
        <v>288143.75486111105</v>
      </c>
      <c r="AB74" s="55">
        <f>IF(L74&gt;0,VLOOKUP(D74,Datos!$A$36:$C$40,3,0),VLOOKUP(D74,Datos!$A$36:$C$40,2,0))</f>
        <v>450000</v>
      </c>
      <c r="AC74" s="55">
        <f ca="1">(S74*PMT(Datos!$G$15,Datos!$G$14,-O74,,)*VLOOKUP(TODAY(),'UF HOY'!$A$2:$B$36,2,0)/12)+VLOOKUP(TODAY(),'UF HOY'!$A$2:$B$36,2,0)</f>
        <v>671633.80452201189</v>
      </c>
      <c r="AD74" s="55">
        <f t="shared" ca="1" si="45"/>
        <v>-221633.80452201189</v>
      </c>
      <c r="AE74" s="93">
        <f t="shared" ca="1" si="46"/>
        <v>2686535.2180880476</v>
      </c>
    </row>
    <row r="75" spans="1:31" s="3" customFormat="1" x14ac:dyDescent="0.35">
      <c r="A75" s="94" t="s">
        <v>305</v>
      </c>
      <c r="B75" s="80">
        <v>2412</v>
      </c>
      <c r="C75" s="48" t="s">
        <v>41</v>
      </c>
      <c r="D75" s="48" t="s">
        <v>37</v>
      </c>
      <c r="E75" s="48"/>
      <c r="F75" s="48">
        <v>34.06</v>
      </c>
      <c r="G75" s="48">
        <v>2.66</v>
      </c>
      <c r="H75" s="82">
        <f t="shared" si="35"/>
        <v>35.39</v>
      </c>
      <c r="I75" s="82">
        <f t="shared" si="36"/>
        <v>36.72</v>
      </c>
      <c r="J75" s="49">
        <v>4130</v>
      </c>
      <c r="K75" s="50">
        <v>0</v>
      </c>
      <c r="L75" s="48">
        <v>0</v>
      </c>
      <c r="M75" s="48">
        <v>0</v>
      </c>
      <c r="N75" s="51">
        <f t="shared" si="37"/>
        <v>3717</v>
      </c>
      <c r="O75" s="52">
        <f t="shared" si="38"/>
        <v>4130</v>
      </c>
      <c r="P75" s="79">
        <f t="shared" si="39"/>
        <v>105.02966939813507</v>
      </c>
      <c r="Q75" s="53">
        <f t="shared" si="40"/>
        <v>0.1</v>
      </c>
      <c r="R75" s="54">
        <f t="shared" si="41"/>
        <v>413</v>
      </c>
      <c r="S75" s="53">
        <v>0.8</v>
      </c>
      <c r="T75" s="54">
        <f t="shared" si="42"/>
        <v>3304</v>
      </c>
      <c r="U75" s="53">
        <f t="shared" si="43"/>
        <v>9.9999999999999978E-2</v>
      </c>
      <c r="V75" s="54">
        <f t="shared" si="44"/>
        <v>412.99999999999989</v>
      </c>
      <c r="W75" s="55">
        <f ca="1">V75*VLOOKUP(TODAY(),'UF HOY'!$A$2:$B$36,2,0)</f>
        <v>16410117.219999997</v>
      </c>
      <c r="X75" s="56">
        <f>Datos!$K$6</f>
        <v>36</v>
      </c>
      <c r="Y75" s="55">
        <f ca="1">IF((W75-Datos!$U$6-1000000)/X75&gt;0,(W75-Datos!$U$6-1000000)/X75,0)</f>
        <v>425281.03388888878</v>
      </c>
      <c r="Z75" s="56">
        <f>Datos!$K$6</f>
        <v>36</v>
      </c>
      <c r="AA75" s="55">
        <f ca="1">IF((W75-Datos!$U$6-1000000-O75*3%*VLOOKUP(TODAY(),'UF HOY'!$A$2:$B$36,2,0))/Z75&gt;0,(W75-Datos!$U$6-1000000-O75*3%*VLOOKUP(TODAY(),'UF HOY'!$A$2:$B$36,2,0))/Z75,0)</f>
        <v>288530.05705555552</v>
      </c>
      <c r="AB75" s="55">
        <f>IF(L75&gt;0,VLOOKUP(D75,Datos!$A$36:$C$40,3,0),VLOOKUP(D75,Datos!$A$36:$C$40,2,0))</f>
        <v>450000</v>
      </c>
      <c r="AC75" s="55">
        <f ca="1">(S75*PMT(Datos!$G$15,Datos!$G$14,-O75,,)*VLOOKUP(TODAY(),'UF HOY'!$A$2:$B$36,2,0)/12)+VLOOKUP(TODAY(),'UF HOY'!$A$2:$B$36,2,0)</f>
        <v>672399.74375173566</v>
      </c>
      <c r="AD75" s="55">
        <f t="shared" ca="1" si="45"/>
        <v>-222399.74375173566</v>
      </c>
      <c r="AE75" s="93">
        <f t="shared" ca="1" si="46"/>
        <v>2689598.9750069426</v>
      </c>
    </row>
    <row r="76" spans="1:31" s="3" customFormat="1" x14ac:dyDescent="0.35">
      <c r="A76" s="94" t="s">
        <v>305</v>
      </c>
      <c r="B76" s="80">
        <v>2610</v>
      </c>
      <c r="C76" s="48" t="s">
        <v>41</v>
      </c>
      <c r="D76" s="48" t="s">
        <v>37</v>
      </c>
      <c r="E76" s="48"/>
      <c r="F76" s="48">
        <v>33.9</v>
      </c>
      <c r="G76" s="48">
        <v>2.68</v>
      </c>
      <c r="H76" s="82">
        <f t="shared" si="35"/>
        <v>35.24</v>
      </c>
      <c r="I76" s="82">
        <f t="shared" si="36"/>
        <v>36.58</v>
      </c>
      <c r="J76" s="49">
        <v>4135</v>
      </c>
      <c r="K76" s="50">
        <v>0</v>
      </c>
      <c r="L76" s="48">
        <v>0</v>
      </c>
      <c r="M76" s="48">
        <v>0</v>
      </c>
      <c r="N76" s="51">
        <f t="shared" si="37"/>
        <v>3721.5</v>
      </c>
      <c r="O76" s="52">
        <f t="shared" si="38"/>
        <v>4135</v>
      </c>
      <c r="P76" s="79">
        <f t="shared" si="39"/>
        <v>105.6044267877412</v>
      </c>
      <c r="Q76" s="53">
        <f t="shared" si="40"/>
        <v>0.1</v>
      </c>
      <c r="R76" s="54">
        <f t="shared" si="41"/>
        <v>413.5</v>
      </c>
      <c r="S76" s="53">
        <v>0.8</v>
      </c>
      <c r="T76" s="54">
        <f t="shared" si="42"/>
        <v>3308</v>
      </c>
      <c r="U76" s="53">
        <f t="shared" si="43"/>
        <v>9.9999999999999978E-2</v>
      </c>
      <c r="V76" s="54">
        <f t="shared" si="44"/>
        <v>413.49999999999989</v>
      </c>
      <c r="W76" s="55">
        <f ca="1">V76*VLOOKUP(TODAY(),'UF HOY'!$A$2:$B$36,2,0)</f>
        <v>16429984.189999996</v>
      </c>
      <c r="X76" s="56">
        <f>Datos!$K$6</f>
        <v>36</v>
      </c>
      <c r="Y76" s="55">
        <f ca="1">IF((W76-Datos!$U$6-1000000)/X76&gt;0,(W76-Datos!$U$6-1000000)/X76,0)</f>
        <v>425832.89416666655</v>
      </c>
      <c r="Z76" s="56">
        <f>Datos!$K$6</f>
        <v>36</v>
      </c>
      <c r="AA76" s="55">
        <f ca="1">IF((W76-Datos!$U$6-1000000-O76*3%*VLOOKUP(TODAY(),'UF HOY'!$A$2:$B$36,2,0))/Z76&gt;0,(W76-Datos!$U$6-1000000-O76*3%*VLOOKUP(TODAY(),'UF HOY'!$A$2:$B$36,2,0))/Z76,0)</f>
        <v>288916.35924999986</v>
      </c>
      <c r="AB76" s="55">
        <f>IF(L76&gt;0,VLOOKUP(D76,Datos!$A$36:$C$40,3,0),VLOOKUP(D76,Datos!$A$36:$C$40,2,0))</f>
        <v>450000</v>
      </c>
      <c r="AC76" s="55">
        <f ca="1">(S76*PMT(Datos!$G$15,Datos!$G$14,-O76,,)*VLOOKUP(TODAY(),'UF HOY'!$A$2:$B$36,2,0)/12)+VLOOKUP(TODAY(),'UF HOY'!$A$2:$B$36,2,0)</f>
        <v>673165.68298145919</v>
      </c>
      <c r="AD76" s="55">
        <f t="shared" ca="1" si="45"/>
        <v>-223165.68298145919</v>
      </c>
      <c r="AE76" s="93">
        <f t="shared" ca="1" si="46"/>
        <v>2692662.7319258368</v>
      </c>
    </row>
    <row r="77" spans="1:31" s="3" customFormat="1" x14ac:dyDescent="0.35">
      <c r="A77" s="94" t="s">
        <v>305</v>
      </c>
      <c r="B77" s="80">
        <v>2013</v>
      </c>
      <c r="C77" s="48" t="s">
        <v>41</v>
      </c>
      <c r="D77" s="48" t="s">
        <v>37</v>
      </c>
      <c r="E77" s="48"/>
      <c r="F77" s="48">
        <v>34.93</v>
      </c>
      <c r="G77" s="48">
        <v>2.64</v>
      </c>
      <c r="H77" s="82">
        <f t="shared" si="35"/>
        <v>36.25</v>
      </c>
      <c r="I77" s="82">
        <f t="shared" si="36"/>
        <v>37.57</v>
      </c>
      <c r="J77" s="49">
        <v>4140</v>
      </c>
      <c r="K77" s="50">
        <v>0</v>
      </c>
      <c r="L77" s="48">
        <v>0</v>
      </c>
      <c r="M77" s="48">
        <v>0</v>
      </c>
      <c r="N77" s="51">
        <f t="shared" si="37"/>
        <v>3726</v>
      </c>
      <c r="O77" s="52">
        <f t="shared" si="38"/>
        <v>4140</v>
      </c>
      <c r="P77" s="79">
        <f t="shared" si="39"/>
        <v>102.78620689655172</v>
      </c>
      <c r="Q77" s="53">
        <f t="shared" si="40"/>
        <v>0.1</v>
      </c>
      <c r="R77" s="54">
        <f t="shared" si="41"/>
        <v>414</v>
      </c>
      <c r="S77" s="53">
        <v>0.8</v>
      </c>
      <c r="T77" s="54">
        <f t="shared" si="42"/>
        <v>3312</v>
      </c>
      <c r="U77" s="53">
        <f t="shared" si="43"/>
        <v>9.9999999999999978E-2</v>
      </c>
      <c r="V77" s="54">
        <f t="shared" si="44"/>
        <v>413.99999999999989</v>
      </c>
      <c r="W77" s="55">
        <f ca="1">V77*VLOOKUP(TODAY(),'UF HOY'!$A$2:$B$36,2,0)</f>
        <v>16449851.159999996</v>
      </c>
      <c r="X77" s="56">
        <f>Datos!$K$6</f>
        <v>36</v>
      </c>
      <c r="Y77" s="55">
        <f ca="1">IF((W77-Datos!$U$6-1000000)/X77&gt;0,(W77-Datos!$U$6-1000000)/X77,0)</f>
        <v>426384.75444444432</v>
      </c>
      <c r="Z77" s="56">
        <f>Datos!$K$6</f>
        <v>36</v>
      </c>
      <c r="AA77" s="55">
        <f ca="1">IF((W77-Datos!$U$6-1000000-O77*3%*VLOOKUP(TODAY(),'UF HOY'!$A$2:$B$36,2,0))/Z77&gt;0,(W77-Datos!$U$6-1000000-O77*3%*VLOOKUP(TODAY(),'UF HOY'!$A$2:$B$36,2,0))/Z77,0)</f>
        <v>289302.66144444433</v>
      </c>
      <c r="AB77" s="55">
        <f>IF(L77&gt;0,VLOOKUP(D77,Datos!$A$36:$C$40,3,0),VLOOKUP(D77,Datos!$A$36:$C$40,2,0))</f>
        <v>450000</v>
      </c>
      <c r="AC77" s="55">
        <f ca="1">(S77*PMT(Datos!$G$15,Datos!$G$14,-O77,,)*VLOOKUP(TODAY(),'UF HOY'!$A$2:$B$36,2,0)/12)+VLOOKUP(TODAY(),'UF HOY'!$A$2:$B$36,2,0)</f>
        <v>673931.62221118272</v>
      </c>
      <c r="AD77" s="55">
        <f t="shared" ca="1" si="45"/>
        <v>-223931.62221118272</v>
      </c>
      <c r="AE77" s="93">
        <f t="shared" ca="1" si="46"/>
        <v>2695726.4888447309</v>
      </c>
    </row>
    <row r="78" spans="1:31" s="3" customFormat="1" x14ac:dyDescent="0.35">
      <c r="A78" s="94" t="s">
        <v>305</v>
      </c>
      <c r="B78" s="80">
        <v>2512</v>
      </c>
      <c r="C78" s="48" t="s">
        <v>41</v>
      </c>
      <c r="D78" s="48" t="s">
        <v>37</v>
      </c>
      <c r="E78" s="48"/>
      <c r="F78" s="48">
        <v>34.06</v>
      </c>
      <c r="G78" s="48">
        <v>2.66</v>
      </c>
      <c r="H78" s="82">
        <f t="shared" si="35"/>
        <v>35.39</v>
      </c>
      <c r="I78" s="82">
        <f t="shared" si="36"/>
        <v>36.72</v>
      </c>
      <c r="J78" s="49">
        <v>4140</v>
      </c>
      <c r="K78" s="50">
        <v>0</v>
      </c>
      <c r="L78" s="48">
        <v>0</v>
      </c>
      <c r="M78" s="48">
        <v>0</v>
      </c>
      <c r="N78" s="51">
        <f t="shared" si="37"/>
        <v>3726</v>
      </c>
      <c r="O78" s="52">
        <f t="shared" si="38"/>
        <v>4140</v>
      </c>
      <c r="P78" s="79">
        <f t="shared" si="39"/>
        <v>105.28397852500706</v>
      </c>
      <c r="Q78" s="53">
        <f t="shared" si="40"/>
        <v>0.1</v>
      </c>
      <c r="R78" s="54">
        <f t="shared" si="41"/>
        <v>414</v>
      </c>
      <c r="S78" s="53">
        <v>0.8</v>
      </c>
      <c r="T78" s="54">
        <f t="shared" si="42"/>
        <v>3312</v>
      </c>
      <c r="U78" s="53">
        <f t="shared" si="43"/>
        <v>9.9999999999999978E-2</v>
      </c>
      <c r="V78" s="54">
        <f t="shared" si="44"/>
        <v>413.99999999999989</v>
      </c>
      <c r="W78" s="55">
        <f ca="1">V78*VLOOKUP(TODAY(),'UF HOY'!$A$2:$B$36,2,0)</f>
        <v>16449851.159999996</v>
      </c>
      <c r="X78" s="56">
        <f>Datos!$K$6</f>
        <v>36</v>
      </c>
      <c r="Y78" s="55">
        <f ca="1">IF((W78-Datos!$U$6-1000000)/X78&gt;0,(W78-Datos!$U$6-1000000)/X78,0)</f>
        <v>426384.75444444432</v>
      </c>
      <c r="Z78" s="56">
        <f>Datos!$K$6</f>
        <v>36</v>
      </c>
      <c r="AA78" s="55">
        <f ca="1">IF((W78-Datos!$U$6-1000000-O78*3%*VLOOKUP(TODAY(),'UF HOY'!$A$2:$B$36,2,0))/Z78&gt;0,(W78-Datos!$U$6-1000000-O78*3%*VLOOKUP(TODAY(),'UF HOY'!$A$2:$B$36,2,0))/Z78,0)</f>
        <v>289302.66144444433</v>
      </c>
      <c r="AB78" s="55">
        <f>IF(L78&gt;0,VLOOKUP(D78,Datos!$A$36:$C$40,3,0),VLOOKUP(D78,Datos!$A$36:$C$40,2,0))</f>
        <v>450000</v>
      </c>
      <c r="AC78" s="55">
        <f ca="1">(S78*PMT(Datos!$G$15,Datos!$G$14,-O78,,)*VLOOKUP(TODAY(),'UF HOY'!$A$2:$B$36,2,0)/12)+VLOOKUP(TODAY(),'UF HOY'!$A$2:$B$36,2,0)</f>
        <v>673931.62221118272</v>
      </c>
      <c r="AD78" s="55">
        <f t="shared" ca="1" si="45"/>
        <v>-223931.62221118272</v>
      </c>
      <c r="AE78" s="93">
        <f t="shared" ca="1" si="46"/>
        <v>2695726.4888447309</v>
      </c>
    </row>
    <row r="79" spans="1:31" s="3" customFormat="1" x14ac:dyDescent="0.35">
      <c r="A79" s="94" t="s">
        <v>305</v>
      </c>
      <c r="B79" s="80">
        <v>2710</v>
      </c>
      <c r="C79" s="48" t="s">
        <v>41</v>
      </c>
      <c r="D79" s="48" t="s">
        <v>37</v>
      </c>
      <c r="E79" s="48"/>
      <c r="F79" s="48">
        <v>33.9</v>
      </c>
      <c r="G79" s="48">
        <v>2.68</v>
      </c>
      <c r="H79" s="82">
        <f t="shared" si="35"/>
        <v>35.24</v>
      </c>
      <c r="I79" s="82">
        <f t="shared" si="36"/>
        <v>36.58</v>
      </c>
      <c r="J79" s="49">
        <v>4145</v>
      </c>
      <c r="K79" s="50">
        <v>0</v>
      </c>
      <c r="L79" s="48">
        <v>0</v>
      </c>
      <c r="M79" s="48">
        <v>0</v>
      </c>
      <c r="N79" s="51">
        <f t="shared" si="37"/>
        <v>3730.5</v>
      </c>
      <c r="O79" s="52">
        <f t="shared" si="38"/>
        <v>4145</v>
      </c>
      <c r="P79" s="79">
        <f t="shared" si="39"/>
        <v>105.85981838819522</v>
      </c>
      <c r="Q79" s="53">
        <f t="shared" si="40"/>
        <v>0.1</v>
      </c>
      <c r="R79" s="54">
        <f t="shared" si="41"/>
        <v>414.5</v>
      </c>
      <c r="S79" s="53">
        <v>0.8</v>
      </c>
      <c r="T79" s="54">
        <f t="shared" si="42"/>
        <v>3316</v>
      </c>
      <c r="U79" s="53">
        <f t="shared" si="43"/>
        <v>9.9999999999999978E-2</v>
      </c>
      <c r="V79" s="54">
        <f t="shared" si="44"/>
        <v>414.49999999999989</v>
      </c>
      <c r="W79" s="55">
        <f ca="1">V79*VLOOKUP(TODAY(),'UF HOY'!$A$2:$B$36,2,0)</f>
        <v>16469718.129999997</v>
      </c>
      <c r="X79" s="56">
        <f>Datos!$K$6</f>
        <v>36</v>
      </c>
      <c r="Y79" s="55">
        <f ca="1">IF((W79-Datos!$U$6-1000000)/X79&gt;0,(W79-Datos!$U$6-1000000)/X79,0)</f>
        <v>426936.61472222215</v>
      </c>
      <c r="Z79" s="56">
        <f>Datos!$K$6</f>
        <v>36</v>
      </c>
      <c r="AA79" s="55">
        <f ca="1">IF((W79-Datos!$U$6-1000000-O79*3%*VLOOKUP(TODAY(),'UF HOY'!$A$2:$B$36,2,0))/Z79&gt;0,(W79-Datos!$U$6-1000000-O79*3%*VLOOKUP(TODAY(),'UF HOY'!$A$2:$B$36,2,0))/Z79,0)</f>
        <v>289688.96363888879</v>
      </c>
      <c r="AB79" s="55">
        <f>IF(L79&gt;0,VLOOKUP(D79,Datos!$A$36:$C$40,3,0),VLOOKUP(D79,Datos!$A$36:$C$40,2,0))</f>
        <v>450000</v>
      </c>
      <c r="AC79" s="55">
        <f ca="1">(S79*PMT(Datos!$G$15,Datos!$G$14,-O79,,)*VLOOKUP(TODAY(),'UF HOY'!$A$2:$B$36,2,0)/12)+VLOOKUP(TODAY(),'UF HOY'!$A$2:$B$36,2,0)</f>
        <v>674697.56144090625</v>
      </c>
      <c r="AD79" s="55">
        <f t="shared" ca="1" si="45"/>
        <v>-224697.56144090625</v>
      </c>
      <c r="AE79" s="93">
        <f t="shared" ca="1" si="46"/>
        <v>2698790.245763625</v>
      </c>
    </row>
    <row r="80" spans="1:31" s="3" customFormat="1" x14ac:dyDescent="0.35">
      <c r="A80" s="94" t="s">
        <v>305</v>
      </c>
      <c r="B80" s="80">
        <v>2113</v>
      </c>
      <c r="C80" s="48" t="s">
        <v>41</v>
      </c>
      <c r="D80" s="48" t="s">
        <v>37</v>
      </c>
      <c r="E80" s="48"/>
      <c r="F80" s="48">
        <v>34.880000000000003</v>
      </c>
      <c r="G80" s="48">
        <v>2.69</v>
      </c>
      <c r="H80" s="82">
        <f t="shared" si="35"/>
        <v>36.225000000000001</v>
      </c>
      <c r="I80" s="82">
        <f t="shared" si="36"/>
        <v>37.57</v>
      </c>
      <c r="J80" s="49">
        <v>4150</v>
      </c>
      <c r="K80" s="50">
        <v>0</v>
      </c>
      <c r="L80" s="48">
        <v>0</v>
      </c>
      <c r="M80" s="48">
        <v>0</v>
      </c>
      <c r="N80" s="51">
        <f t="shared" si="37"/>
        <v>3735</v>
      </c>
      <c r="O80" s="52">
        <f t="shared" si="38"/>
        <v>4150</v>
      </c>
      <c r="P80" s="79">
        <f t="shared" si="39"/>
        <v>103.1055900621118</v>
      </c>
      <c r="Q80" s="53">
        <f t="shared" si="40"/>
        <v>0.1</v>
      </c>
      <c r="R80" s="54">
        <f t="shared" si="41"/>
        <v>415</v>
      </c>
      <c r="S80" s="53">
        <v>0.8</v>
      </c>
      <c r="T80" s="54">
        <f t="shared" si="42"/>
        <v>3320</v>
      </c>
      <c r="U80" s="53">
        <f t="shared" si="43"/>
        <v>9.9999999999999978E-2</v>
      </c>
      <c r="V80" s="54">
        <f t="shared" si="44"/>
        <v>414.99999999999989</v>
      </c>
      <c r="W80" s="55">
        <f ca="1">V80*VLOOKUP(TODAY(),'UF HOY'!$A$2:$B$36,2,0)</f>
        <v>16489585.099999996</v>
      </c>
      <c r="X80" s="56">
        <f>Datos!$K$6</f>
        <v>36</v>
      </c>
      <c r="Y80" s="55">
        <f ca="1">IF((W80-Datos!$U$6-1000000)/X80&gt;0,(W80-Datos!$U$6-1000000)/X80,0)</f>
        <v>427488.47499999986</v>
      </c>
      <c r="Z80" s="56">
        <f>Datos!$K$6</f>
        <v>36</v>
      </c>
      <c r="AA80" s="55">
        <f ca="1">IF((W80-Datos!$U$6-1000000-O80*3%*VLOOKUP(TODAY(),'UF HOY'!$A$2:$B$36,2,0))/Z80&gt;0,(W80-Datos!$U$6-1000000-O80*3%*VLOOKUP(TODAY(),'UF HOY'!$A$2:$B$36,2,0))/Z80,0)</f>
        <v>290075.26583333325</v>
      </c>
      <c r="AB80" s="55">
        <f>IF(L80&gt;0,VLOOKUP(D80,Datos!$A$36:$C$40,3,0),VLOOKUP(D80,Datos!$A$36:$C$40,2,0))</f>
        <v>450000</v>
      </c>
      <c r="AC80" s="55">
        <f ca="1">(S80*PMT(Datos!$G$15,Datos!$G$14,-O80,,)*VLOOKUP(TODAY(),'UF HOY'!$A$2:$B$36,2,0)/12)+VLOOKUP(TODAY(),'UF HOY'!$A$2:$B$36,2,0)</f>
        <v>675463.50067063002</v>
      </c>
      <c r="AD80" s="55">
        <f t="shared" ca="1" si="45"/>
        <v>-225463.50067063002</v>
      </c>
      <c r="AE80" s="93">
        <f t="shared" ca="1" si="46"/>
        <v>2701854.0026825201</v>
      </c>
    </row>
    <row r="81" spans="1:31" s="3" customFormat="1" x14ac:dyDescent="0.35">
      <c r="A81" s="94" t="s">
        <v>305</v>
      </c>
      <c r="B81" s="80">
        <v>2612</v>
      </c>
      <c r="C81" s="48" t="s">
        <v>41</v>
      </c>
      <c r="D81" s="48" t="s">
        <v>37</v>
      </c>
      <c r="E81" s="48"/>
      <c r="F81" s="48">
        <v>34.06</v>
      </c>
      <c r="G81" s="48">
        <v>2.66</v>
      </c>
      <c r="H81" s="82">
        <f t="shared" si="35"/>
        <v>35.39</v>
      </c>
      <c r="I81" s="82">
        <f t="shared" si="36"/>
        <v>36.72</v>
      </c>
      <c r="J81" s="49">
        <v>4150</v>
      </c>
      <c r="K81" s="50">
        <v>0</v>
      </c>
      <c r="L81" s="48">
        <v>0</v>
      </c>
      <c r="M81" s="48">
        <v>0</v>
      </c>
      <c r="N81" s="51">
        <f t="shared" si="37"/>
        <v>3735</v>
      </c>
      <c r="O81" s="52">
        <f t="shared" si="38"/>
        <v>4150</v>
      </c>
      <c r="P81" s="79">
        <f t="shared" si="39"/>
        <v>105.53828765187906</v>
      </c>
      <c r="Q81" s="53">
        <f t="shared" si="40"/>
        <v>0.1</v>
      </c>
      <c r="R81" s="54">
        <f t="shared" si="41"/>
        <v>415</v>
      </c>
      <c r="S81" s="53">
        <v>0.8</v>
      </c>
      <c r="T81" s="54">
        <f t="shared" si="42"/>
        <v>3320</v>
      </c>
      <c r="U81" s="53">
        <f t="shared" si="43"/>
        <v>9.9999999999999978E-2</v>
      </c>
      <c r="V81" s="54">
        <f t="shared" si="44"/>
        <v>414.99999999999989</v>
      </c>
      <c r="W81" s="55">
        <f ca="1">V81*VLOOKUP(TODAY(),'UF HOY'!$A$2:$B$36,2,0)</f>
        <v>16489585.099999996</v>
      </c>
      <c r="X81" s="56">
        <f>Datos!$K$6</f>
        <v>36</v>
      </c>
      <c r="Y81" s="55">
        <f ca="1">IF((W81-Datos!$U$6-1000000)/X81&gt;0,(W81-Datos!$U$6-1000000)/X81,0)</f>
        <v>427488.47499999986</v>
      </c>
      <c r="Z81" s="56">
        <f>Datos!$K$6</f>
        <v>36</v>
      </c>
      <c r="AA81" s="55">
        <f ca="1">IF((W81-Datos!$U$6-1000000-O81*3%*VLOOKUP(TODAY(),'UF HOY'!$A$2:$B$36,2,0))/Z81&gt;0,(W81-Datos!$U$6-1000000-O81*3%*VLOOKUP(TODAY(),'UF HOY'!$A$2:$B$36,2,0))/Z81,0)</f>
        <v>290075.26583333325</v>
      </c>
      <c r="AB81" s="55">
        <f>IF(L81&gt;0,VLOOKUP(D81,Datos!$A$36:$C$40,3,0),VLOOKUP(D81,Datos!$A$36:$C$40,2,0))</f>
        <v>450000</v>
      </c>
      <c r="AC81" s="55">
        <f ca="1">(S81*PMT(Datos!$G$15,Datos!$G$14,-O81,,)*VLOOKUP(TODAY(),'UF HOY'!$A$2:$B$36,2,0)/12)+VLOOKUP(TODAY(),'UF HOY'!$A$2:$B$36,2,0)</f>
        <v>675463.50067063002</v>
      </c>
      <c r="AD81" s="55">
        <f t="shared" ca="1" si="45"/>
        <v>-225463.50067063002</v>
      </c>
      <c r="AE81" s="93">
        <f t="shared" ca="1" si="46"/>
        <v>2701854.0026825201</v>
      </c>
    </row>
    <row r="82" spans="1:31" s="3" customFormat="1" x14ac:dyDescent="0.35">
      <c r="A82" s="94" t="s">
        <v>305</v>
      </c>
      <c r="B82" s="80">
        <v>2810</v>
      </c>
      <c r="C82" s="48" t="s">
        <v>41</v>
      </c>
      <c r="D82" s="48" t="s">
        <v>37</v>
      </c>
      <c r="E82" s="48"/>
      <c r="F82" s="48">
        <v>33.9</v>
      </c>
      <c r="G82" s="48">
        <v>2.67</v>
      </c>
      <c r="H82" s="82">
        <f t="shared" si="35"/>
        <v>35.234999999999999</v>
      </c>
      <c r="I82" s="82">
        <f t="shared" si="36"/>
        <v>36.57</v>
      </c>
      <c r="J82" s="49">
        <v>4155</v>
      </c>
      <c r="K82" s="50">
        <v>0</v>
      </c>
      <c r="L82" s="48">
        <v>0</v>
      </c>
      <c r="M82" s="48">
        <v>0</v>
      </c>
      <c r="N82" s="51">
        <f t="shared" si="37"/>
        <v>3739.5</v>
      </c>
      <c r="O82" s="52">
        <f t="shared" si="38"/>
        <v>4155</v>
      </c>
      <c r="P82" s="79">
        <f t="shared" si="39"/>
        <v>106.13026819923371</v>
      </c>
      <c r="Q82" s="53">
        <f t="shared" si="40"/>
        <v>0.1</v>
      </c>
      <c r="R82" s="54">
        <f t="shared" si="41"/>
        <v>415.5</v>
      </c>
      <c r="S82" s="53">
        <v>0.8</v>
      </c>
      <c r="T82" s="54">
        <f t="shared" si="42"/>
        <v>3324</v>
      </c>
      <c r="U82" s="53">
        <f t="shared" si="43"/>
        <v>9.9999999999999978E-2</v>
      </c>
      <c r="V82" s="54">
        <f t="shared" si="44"/>
        <v>415.49999999999989</v>
      </c>
      <c r="W82" s="55">
        <f ca="1">V82*VLOOKUP(TODAY(),'UF HOY'!$A$2:$B$36,2,0)</f>
        <v>16509452.069999997</v>
      </c>
      <c r="X82" s="56">
        <f>Datos!$K$6</f>
        <v>36</v>
      </c>
      <c r="Y82" s="55">
        <f ca="1">IF((W82-Datos!$U$6-1000000)/X82&gt;0,(W82-Datos!$U$6-1000000)/X82,0)</f>
        <v>428040.33527777769</v>
      </c>
      <c r="Z82" s="56">
        <f>Datos!$K$6</f>
        <v>36</v>
      </c>
      <c r="AA82" s="55">
        <f ca="1">IF((W82-Datos!$U$6-1000000-O82*3%*VLOOKUP(TODAY(),'UF HOY'!$A$2:$B$36,2,0))/Z82&gt;0,(W82-Datos!$U$6-1000000-O82*3%*VLOOKUP(TODAY(),'UF HOY'!$A$2:$B$36,2,0))/Z82,0)</f>
        <v>290461.56802777771</v>
      </c>
      <c r="AB82" s="55">
        <f>IF(L82&gt;0,VLOOKUP(D82,Datos!$A$36:$C$40,3,0),VLOOKUP(D82,Datos!$A$36:$C$40,2,0))</f>
        <v>450000</v>
      </c>
      <c r="AC82" s="55">
        <f ca="1">(S82*PMT(Datos!$G$15,Datos!$G$14,-O82,,)*VLOOKUP(TODAY(),'UF HOY'!$A$2:$B$36,2,0)/12)+VLOOKUP(TODAY(),'UF HOY'!$A$2:$B$36,2,0)</f>
        <v>676229.43990035378</v>
      </c>
      <c r="AD82" s="55">
        <f t="shared" ca="1" si="45"/>
        <v>-226229.43990035378</v>
      </c>
      <c r="AE82" s="93">
        <f t="shared" ca="1" si="46"/>
        <v>2704917.7596014151</v>
      </c>
    </row>
    <row r="83" spans="1:31" s="3" customFormat="1" x14ac:dyDescent="0.35">
      <c r="A83" s="94" t="s">
        <v>305</v>
      </c>
      <c r="B83" s="80">
        <v>3010</v>
      </c>
      <c r="C83" s="48" t="s">
        <v>41</v>
      </c>
      <c r="D83" s="48" t="s">
        <v>37</v>
      </c>
      <c r="E83" s="48"/>
      <c r="F83" s="48">
        <v>33.9</v>
      </c>
      <c r="G83" s="48">
        <v>2.67</v>
      </c>
      <c r="H83" s="82">
        <f t="shared" si="35"/>
        <v>35.234999999999999</v>
      </c>
      <c r="I83" s="82">
        <f t="shared" si="36"/>
        <v>36.57</v>
      </c>
      <c r="J83" s="49">
        <v>4155</v>
      </c>
      <c r="K83" s="50">
        <v>0</v>
      </c>
      <c r="L83" s="48">
        <v>0</v>
      </c>
      <c r="M83" s="48">
        <v>0</v>
      </c>
      <c r="N83" s="51">
        <f t="shared" si="37"/>
        <v>3739.5</v>
      </c>
      <c r="O83" s="52">
        <f t="shared" si="38"/>
        <v>4155</v>
      </c>
      <c r="P83" s="79">
        <f t="shared" si="39"/>
        <v>106.13026819923371</v>
      </c>
      <c r="Q83" s="53">
        <f t="shared" si="40"/>
        <v>0.1</v>
      </c>
      <c r="R83" s="54">
        <f t="shared" si="41"/>
        <v>415.5</v>
      </c>
      <c r="S83" s="53">
        <v>0.8</v>
      </c>
      <c r="T83" s="54">
        <f t="shared" si="42"/>
        <v>3324</v>
      </c>
      <c r="U83" s="53">
        <f t="shared" si="43"/>
        <v>9.9999999999999978E-2</v>
      </c>
      <c r="V83" s="54">
        <f t="shared" si="44"/>
        <v>415.49999999999989</v>
      </c>
      <c r="W83" s="55">
        <f ca="1">V83*VLOOKUP(TODAY(),'UF HOY'!$A$2:$B$36,2,0)</f>
        <v>16509452.069999997</v>
      </c>
      <c r="X83" s="56">
        <f>Datos!$K$6</f>
        <v>36</v>
      </c>
      <c r="Y83" s="55">
        <f ca="1">IF((W83-Datos!$U$6-1000000)/X83&gt;0,(W83-Datos!$U$6-1000000)/X83,0)</f>
        <v>428040.33527777769</v>
      </c>
      <c r="Z83" s="56">
        <f>Datos!$K$6</f>
        <v>36</v>
      </c>
      <c r="AA83" s="55">
        <f ca="1">IF((W83-Datos!$U$6-1000000-O83*3%*VLOOKUP(TODAY(),'UF HOY'!$A$2:$B$36,2,0))/Z83&gt;0,(W83-Datos!$U$6-1000000-O83*3%*VLOOKUP(TODAY(),'UF HOY'!$A$2:$B$36,2,0))/Z83,0)</f>
        <v>290461.56802777771</v>
      </c>
      <c r="AB83" s="55">
        <f>IF(L83&gt;0,VLOOKUP(D83,Datos!$A$36:$C$40,3,0),VLOOKUP(D83,Datos!$A$36:$C$40,2,0))</f>
        <v>450000</v>
      </c>
      <c r="AC83" s="55">
        <f ca="1">(S83*PMT(Datos!$G$15,Datos!$G$14,-O83,,)*VLOOKUP(TODAY(),'UF HOY'!$A$2:$B$36,2,0)/12)+VLOOKUP(TODAY(),'UF HOY'!$A$2:$B$36,2,0)</f>
        <v>676229.43990035378</v>
      </c>
      <c r="AD83" s="55">
        <f t="shared" ca="1" si="45"/>
        <v>-226229.43990035378</v>
      </c>
      <c r="AE83" s="93">
        <f t="shared" ca="1" si="46"/>
        <v>2704917.7596014151</v>
      </c>
    </row>
    <row r="84" spans="1:31" s="3" customFormat="1" x14ac:dyDescent="0.35">
      <c r="A84" s="94" t="s">
        <v>305</v>
      </c>
      <c r="B84" s="80">
        <v>3110</v>
      </c>
      <c r="C84" s="48" t="s">
        <v>41</v>
      </c>
      <c r="D84" s="48" t="s">
        <v>37</v>
      </c>
      <c r="E84" s="48"/>
      <c r="F84" s="48">
        <v>33.9</v>
      </c>
      <c r="G84" s="48">
        <v>2.67</v>
      </c>
      <c r="H84" s="82">
        <f t="shared" si="35"/>
        <v>35.234999999999999</v>
      </c>
      <c r="I84" s="82">
        <f t="shared" si="36"/>
        <v>36.57</v>
      </c>
      <c r="J84" s="49">
        <v>4155</v>
      </c>
      <c r="K84" s="50">
        <v>0</v>
      </c>
      <c r="L84" s="48">
        <v>0</v>
      </c>
      <c r="M84" s="48">
        <v>0</v>
      </c>
      <c r="N84" s="51">
        <f t="shared" si="37"/>
        <v>3739.5</v>
      </c>
      <c r="O84" s="52">
        <f t="shared" si="38"/>
        <v>4155</v>
      </c>
      <c r="P84" s="79">
        <f t="shared" si="39"/>
        <v>106.13026819923371</v>
      </c>
      <c r="Q84" s="53">
        <f t="shared" si="40"/>
        <v>0.1</v>
      </c>
      <c r="R84" s="54">
        <f t="shared" si="41"/>
        <v>415.5</v>
      </c>
      <c r="S84" s="53">
        <v>0.8</v>
      </c>
      <c r="T84" s="54">
        <f t="shared" si="42"/>
        <v>3324</v>
      </c>
      <c r="U84" s="53">
        <f t="shared" si="43"/>
        <v>9.9999999999999978E-2</v>
      </c>
      <c r="V84" s="54">
        <f t="shared" si="44"/>
        <v>415.49999999999989</v>
      </c>
      <c r="W84" s="55">
        <f ca="1">V84*VLOOKUP(TODAY(),'UF HOY'!$A$2:$B$36,2,0)</f>
        <v>16509452.069999997</v>
      </c>
      <c r="X84" s="56">
        <f>Datos!$K$6</f>
        <v>36</v>
      </c>
      <c r="Y84" s="55">
        <f ca="1">IF((W84-Datos!$U$6-1000000)/X84&gt;0,(W84-Datos!$U$6-1000000)/X84,0)</f>
        <v>428040.33527777769</v>
      </c>
      <c r="Z84" s="56">
        <f>Datos!$K$6</f>
        <v>36</v>
      </c>
      <c r="AA84" s="55">
        <f ca="1">IF((W84-Datos!$U$6-1000000-O84*3%*VLOOKUP(TODAY(),'UF HOY'!$A$2:$B$36,2,0))/Z84&gt;0,(W84-Datos!$U$6-1000000-O84*3%*VLOOKUP(TODAY(),'UF HOY'!$A$2:$B$36,2,0))/Z84,0)</f>
        <v>290461.56802777771</v>
      </c>
      <c r="AB84" s="55">
        <f>IF(L84&gt;0,VLOOKUP(D84,Datos!$A$36:$C$40,3,0),VLOOKUP(D84,Datos!$A$36:$C$40,2,0))</f>
        <v>450000</v>
      </c>
      <c r="AC84" s="55">
        <f ca="1">(S84*PMT(Datos!$G$15,Datos!$G$14,-O84,,)*VLOOKUP(TODAY(),'UF HOY'!$A$2:$B$36,2,0)/12)+VLOOKUP(TODAY(),'UF HOY'!$A$2:$B$36,2,0)</f>
        <v>676229.43990035378</v>
      </c>
      <c r="AD84" s="55">
        <f t="shared" ca="1" si="45"/>
        <v>-226229.43990035378</v>
      </c>
      <c r="AE84" s="93">
        <f t="shared" ca="1" si="46"/>
        <v>2704917.7596014151</v>
      </c>
    </row>
    <row r="85" spans="1:31" s="3" customFormat="1" x14ac:dyDescent="0.35">
      <c r="A85" s="94" t="s">
        <v>305</v>
      </c>
      <c r="B85" s="80">
        <v>2213</v>
      </c>
      <c r="C85" s="48" t="s">
        <v>41</v>
      </c>
      <c r="D85" s="48" t="s">
        <v>37</v>
      </c>
      <c r="E85" s="48"/>
      <c r="F85" s="48">
        <v>34.880000000000003</v>
      </c>
      <c r="G85" s="48">
        <v>2.69</v>
      </c>
      <c r="H85" s="82">
        <f t="shared" si="35"/>
        <v>36.225000000000001</v>
      </c>
      <c r="I85" s="82">
        <f t="shared" si="36"/>
        <v>37.57</v>
      </c>
      <c r="J85" s="49">
        <v>4165</v>
      </c>
      <c r="K85" s="50">
        <v>0</v>
      </c>
      <c r="L85" s="48">
        <v>0</v>
      </c>
      <c r="M85" s="48">
        <v>0</v>
      </c>
      <c r="N85" s="51">
        <f t="shared" si="37"/>
        <v>3748.5</v>
      </c>
      <c r="O85" s="52">
        <f t="shared" si="38"/>
        <v>4165</v>
      </c>
      <c r="P85" s="79">
        <f t="shared" si="39"/>
        <v>103.47826086956522</v>
      </c>
      <c r="Q85" s="53">
        <f t="shared" si="40"/>
        <v>0.1</v>
      </c>
      <c r="R85" s="54">
        <f t="shared" si="41"/>
        <v>416.5</v>
      </c>
      <c r="S85" s="53">
        <v>0.8</v>
      </c>
      <c r="T85" s="54">
        <f t="shared" si="42"/>
        <v>3332</v>
      </c>
      <c r="U85" s="53">
        <f t="shared" si="43"/>
        <v>9.9999999999999978E-2</v>
      </c>
      <c r="V85" s="54">
        <f t="shared" si="44"/>
        <v>416.49999999999989</v>
      </c>
      <c r="W85" s="55">
        <f ca="1">V85*VLOOKUP(TODAY(),'UF HOY'!$A$2:$B$36,2,0)</f>
        <v>16549186.009999996</v>
      </c>
      <c r="X85" s="56">
        <f>Datos!$K$6</f>
        <v>36</v>
      </c>
      <c r="Y85" s="55">
        <f ca="1">IF((W85-Datos!$U$6-1000000)/X85&gt;0,(W85-Datos!$U$6-1000000)/X85,0)</f>
        <v>429144.05583333323</v>
      </c>
      <c r="Z85" s="56">
        <f>Datos!$K$6</f>
        <v>36</v>
      </c>
      <c r="AA85" s="55">
        <f ca="1">IF((W85-Datos!$U$6-1000000-O85*3%*VLOOKUP(TODAY(),'UF HOY'!$A$2:$B$36,2,0))/Z85&gt;0,(W85-Datos!$U$6-1000000-O85*3%*VLOOKUP(TODAY(),'UF HOY'!$A$2:$B$36,2,0))/Z85,0)</f>
        <v>291234.17241666658</v>
      </c>
      <c r="AB85" s="55">
        <f>IF(L85&gt;0,VLOOKUP(D85,Datos!$A$36:$C$40,3,0),VLOOKUP(D85,Datos!$A$36:$C$40,2,0))</f>
        <v>450000</v>
      </c>
      <c r="AC85" s="55">
        <f ca="1">(S85*PMT(Datos!$G$15,Datos!$G$14,-O85,,)*VLOOKUP(TODAY(),'UF HOY'!$A$2:$B$36,2,0)/12)+VLOOKUP(TODAY(),'UF HOY'!$A$2:$B$36,2,0)</f>
        <v>677761.31835980108</v>
      </c>
      <c r="AD85" s="55">
        <f t="shared" ca="1" si="45"/>
        <v>-227761.31835980108</v>
      </c>
      <c r="AE85" s="93">
        <f t="shared" ca="1" si="46"/>
        <v>2711045.2734392043</v>
      </c>
    </row>
    <row r="86" spans="1:31" s="3" customFormat="1" x14ac:dyDescent="0.35">
      <c r="A86" s="94" t="s">
        <v>305</v>
      </c>
      <c r="B86" s="80">
        <v>2712</v>
      </c>
      <c r="C86" s="48" t="s">
        <v>41</v>
      </c>
      <c r="D86" s="48" t="s">
        <v>37</v>
      </c>
      <c r="E86" s="48"/>
      <c r="F86" s="48">
        <v>34.06</v>
      </c>
      <c r="G86" s="48">
        <v>2.66</v>
      </c>
      <c r="H86" s="82">
        <f t="shared" si="35"/>
        <v>35.39</v>
      </c>
      <c r="I86" s="82">
        <f t="shared" si="36"/>
        <v>36.72</v>
      </c>
      <c r="J86" s="49">
        <v>4165</v>
      </c>
      <c r="K86" s="50">
        <v>0</v>
      </c>
      <c r="L86" s="48">
        <v>0</v>
      </c>
      <c r="M86" s="48">
        <v>0</v>
      </c>
      <c r="N86" s="51">
        <f t="shared" si="37"/>
        <v>3748.5</v>
      </c>
      <c r="O86" s="52">
        <f t="shared" si="38"/>
        <v>4165</v>
      </c>
      <c r="P86" s="79">
        <f t="shared" si="39"/>
        <v>105.91975134218706</v>
      </c>
      <c r="Q86" s="53">
        <f t="shared" si="40"/>
        <v>0.1</v>
      </c>
      <c r="R86" s="54">
        <f t="shared" si="41"/>
        <v>416.5</v>
      </c>
      <c r="S86" s="53">
        <v>0.8</v>
      </c>
      <c r="T86" s="54">
        <f t="shared" si="42"/>
        <v>3332</v>
      </c>
      <c r="U86" s="53">
        <f t="shared" si="43"/>
        <v>9.9999999999999978E-2</v>
      </c>
      <c r="V86" s="54">
        <f t="shared" si="44"/>
        <v>416.49999999999989</v>
      </c>
      <c r="W86" s="55">
        <f ca="1">V86*VLOOKUP(TODAY(),'UF HOY'!$A$2:$B$36,2,0)</f>
        <v>16549186.009999996</v>
      </c>
      <c r="X86" s="56">
        <f>Datos!$K$6</f>
        <v>36</v>
      </c>
      <c r="Y86" s="55">
        <f ca="1">IF((W86-Datos!$U$6-1000000)/X86&gt;0,(W86-Datos!$U$6-1000000)/X86,0)</f>
        <v>429144.05583333323</v>
      </c>
      <c r="Z86" s="56">
        <f>Datos!$K$6</f>
        <v>36</v>
      </c>
      <c r="AA86" s="55">
        <f ca="1">IF((W86-Datos!$U$6-1000000-O86*3%*VLOOKUP(TODAY(),'UF HOY'!$A$2:$B$36,2,0))/Z86&gt;0,(W86-Datos!$U$6-1000000-O86*3%*VLOOKUP(TODAY(),'UF HOY'!$A$2:$B$36,2,0))/Z86,0)</f>
        <v>291234.17241666658</v>
      </c>
      <c r="AB86" s="55">
        <f>IF(L86&gt;0,VLOOKUP(D86,Datos!$A$36:$C$40,3,0),VLOOKUP(D86,Datos!$A$36:$C$40,2,0))</f>
        <v>450000</v>
      </c>
      <c r="AC86" s="55">
        <f ca="1">(S86*PMT(Datos!$G$15,Datos!$G$14,-O86,,)*VLOOKUP(TODAY(),'UF HOY'!$A$2:$B$36,2,0)/12)+VLOOKUP(TODAY(),'UF HOY'!$A$2:$B$36,2,0)</f>
        <v>677761.31835980108</v>
      </c>
      <c r="AD86" s="55">
        <f t="shared" ca="1" si="45"/>
        <v>-227761.31835980108</v>
      </c>
      <c r="AE86" s="93">
        <f t="shared" ca="1" si="46"/>
        <v>2711045.2734392043</v>
      </c>
    </row>
    <row r="87" spans="1:31" s="3" customFormat="1" x14ac:dyDescent="0.35">
      <c r="A87" s="94" t="s">
        <v>305</v>
      </c>
      <c r="B87" s="80">
        <v>2910</v>
      </c>
      <c r="C87" s="48" t="s">
        <v>41</v>
      </c>
      <c r="D87" s="48" t="s">
        <v>37</v>
      </c>
      <c r="E87" s="48"/>
      <c r="F87" s="48">
        <v>33.9</v>
      </c>
      <c r="G87" s="48">
        <v>2.67</v>
      </c>
      <c r="H87" s="82">
        <f t="shared" si="35"/>
        <v>35.234999999999999</v>
      </c>
      <c r="I87" s="82">
        <f t="shared" si="36"/>
        <v>36.57</v>
      </c>
      <c r="J87" s="49">
        <v>4165</v>
      </c>
      <c r="K87" s="50">
        <v>0</v>
      </c>
      <c r="L87" s="48">
        <v>0</v>
      </c>
      <c r="M87" s="48">
        <v>0</v>
      </c>
      <c r="N87" s="51">
        <f t="shared" si="37"/>
        <v>3748.5</v>
      </c>
      <c r="O87" s="52">
        <f t="shared" si="38"/>
        <v>4165</v>
      </c>
      <c r="P87" s="79">
        <f t="shared" si="39"/>
        <v>106.38569604086845</v>
      </c>
      <c r="Q87" s="53">
        <f t="shared" si="40"/>
        <v>0.1</v>
      </c>
      <c r="R87" s="54">
        <f t="shared" si="41"/>
        <v>416.5</v>
      </c>
      <c r="S87" s="53">
        <v>0.8</v>
      </c>
      <c r="T87" s="54">
        <f t="shared" si="42"/>
        <v>3332</v>
      </c>
      <c r="U87" s="53">
        <f t="shared" si="43"/>
        <v>9.9999999999999978E-2</v>
      </c>
      <c r="V87" s="54">
        <f t="shared" si="44"/>
        <v>416.49999999999989</v>
      </c>
      <c r="W87" s="55">
        <f ca="1">V87*VLOOKUP(TODAY(),'UF HOY'!$A$2:$B$36,2,0)</f>
        <v>16549186.009999996</v>
      </c>
      <c r="X87" s="56">
        <f>Datos!$K$6</f>
        <v>36</v>
      </c>
      <c r="Y87" s="55">
        <f ca="1">IF((W87-Datos!$U$6-1000000)/X87&gt;0,(W87-Datos!$U$6-1000000)/X87,0)</f>
        <v>429144.05583333323</v>
      </c>
      <c r="Z87" s="56">
        <f>Datos!$K$6</f>
        <v>36</v>
      </c>
      <c r="AA87" s="55">
        <f ca="1">IF((W87-Datos!$U$6-1000000-O87*3%*VLOOKUP(TODAY(),'UF HOY'!$A$2:$B$36,2,0))/Z87&gt;0,(W87-Datos!$U$6-1000000-O87*3%*VLOOKUP(TODAY(),'UF HOY'!$A$2:$B$36,2,0))/Z87,0)</f>
        <v>291234.17241666658</v>
      </c>
      <c r="AB87" s="55">
        <f>IF(L87&gt;0,VLOOKUP(D87,Datos!$A$36:$C$40,3,0),VLOOKUP(D87,Datos!$A$36:$C$40,2,0))</f>
        <v>450000</v>
      </c>
      <c r="AC87" s="55">
        <f ca="1">(S87*PMT(Datos!$G$15,Datos!$G$14,-O87,,)*VLOOKUP(TODAY(),'UF HOY'!$A$2:$B$36,2,0)/12)+VLOOKUP(TODAY(),'UF HOY'!$A$2:$B$36,2,0)</f>
        <v>677761.31835980108</v>
      </c>
      <c r="AD87" s="55">
        <f t="shared" ca="1" si="45"/>
        <v>-227761.31835980108</v>
      </c>
      <c r="AE87" s="93">
        <f t="shared" ca="1" si="46"/>
        <v>2711045.2734392043</v>
      </c>
    </row>
    <row r="88" spans="1:31" s="3" customFormat="1" x14ac:dyDescent="0.35">
      <c r="A88" s="94" t="s">
        <v>305</v>
      </c>
      <c r="B88" s="80">
        <v>2313</v>
      </c>
      <c r="C88" s="48" t="s">
        <v>41</v>
      </c>
      <c r="D88" s="48" t="s">
        <v>37</v>
      </c>
      <c r="E88" s="48"/>
      <c r="F88" s="48">
        <v>34.880000000000003</v>
      </c>
      <c r="G88" s="48">
        <v>2.69</v>
      </c>
      <c r="H88" s="82">
        <f t="shared" si="35"/>
        <v>36.225000000000001</v>
      </c>
      <c r="I88" s="82">
        <f t="shared" si="36"/>
        <v>37.57</v>
      </c>
      <c r="J88" s="49">
        <v>4175</v>
      </c>
      <c r="K88" s="50">
        <v>0</v>
      </c>
      <c r="L88" s="48">
        <v>0</v>
      </c>
      <c r="M88" s="48">
        <v>0</v>
      </c>
      <c r="N88" s="51">
        <f t="shared" si="37"/>
        <v>3757.5</v>
      </c>
      <c r="O88" s="52">
        <f t="shared" si="38"/>
        <v>4175</v>
      </c>
      <c r="P88" s="79">
        <f t="shared" si="39"/>
        <v>103.72670807453416</v>
      </c>
      <c r="Q88" s="53">
        <f t="shared" si="40"/>
        <v>0.1</v>
      </c>
      <c r="R88" s="54">
        <f t="shared" si="41"/>
        <v>417.5</v>
      </c>
      <c r="S88" s="53">
        <v>0.8</v>
      </c>
      <c r="T88" s="54">
        <f t="shared" si="42"/>
        <v>3340</v>
      </c>
      <c r="U88" s="53">
        <f t="shared" si="43"/>
        <v>9.9999999999999978E-2</v>
      </c>
      <c r="V88" s="54">
        <f t="shared" si="44"/>
        <v>417.49999999999989</v>
      </c>
      <c r="W88" s="55">
        <f ca="1">V88*VLOOKUP(TODAY(),'UF HOY'!$A$2:$B$36,2,0)</f>
        <v>16588919.949999996</v>
      </c>
      <c r="X88" s="56">
        <f>Datos!$K$6</f>
        <v>36</v>
      </c>
      <c r="Y88" s="55">
        <f ca="1">IF((W88-Datos!$U$6-1000000)/X88&gt;0,(W88-Datos!$U$6-1000000)/X88,0)</f>
        <v>430247.77638888877</v>
      </c>
      <c r="Z88" s="56">
        <f>Datos!$K$6</f>
        <v>36</v>
      </c>
      <c r="AA88" s="55">
        <f ca="1">IF((W88-Datos!$U$6-1000000-O88*3%*VLOOKUP(TODAY(),'UF HOY'!$A$2:$B$36,2,0))/Z88&gt;0,(W88-Datos!$U$6-1000000-O88*3%*VLOOKUP(TODAY(),'UF HOY'!$A$2:$B$36,2,0))/Z88,0)</f>
        <v>292006.77680555545</v>
      </c>
      <c r="AB88" s="55">
        <f>IF(L88&gt;0,VLOOKUP(D88,Datos!$A$36:$C$40,3,0),VLOOKUP(D88,Datos!$A$36:$C$40,2,0))</f>
        <v>450000</v>
      </c>
      <c r="AC88" s="55">
        <f ca="1">(S88*PMT(Datos!$G$15,Datos!$G$14,-O88,,)*VLOOKUP(TODAY(),'UF HOY'!$A$2:$B$36,2,0)/12)+VLOOKUP(TODAY(),'UF HOY'!$A$2:$B$36,2,0)</f>
        <v>679293.19681924838</v>
      </c>
      <c r="AD88" s="55">
        <f t="shared" ca="1" si="45"/>
        <v>-229293.19681924838</v>
      </c>
      <c r="AE88" s="93">
        <f t="shared" ca="1" si="46"/>
        <v>2717172.7872769935</v>
      </c>
    </row>
    <row r="89" spans="1:31" s="3" customFormat="1" x14ac:dyDescent="0.35">
      <c r="A89" s="94" t="s">
        <v>305</v>
      </c>
      <c r="B89" s="80">
        <v>2812</v>
      </c>
      <c r="C89" s="48" t="s">
        <v>41</v>
      </c>
      <c r="D89" s="48" t="s">
        <v>37</v>
      </c>
      <c r="E89" s="48"/>
      <c r="F89" s="48">
        <v>34.06</v>
      </c>
      <c r="G89" s="48">
        <v>2.66</v>
      </c>
      <c r="H89" s="82">
        <f t="shared" si="35"/>
        <v>35.39</v>
      </c>
      <c r="I89" s="82">
        <f t="shared" si="36"/>
        <v>36.72</v>
      </c>
      <c r="J89" s="49">
        <v>4175</v>
      </c>
      <c r="K89" s="50">
        <v>0</v>
      </c>
      <c r="L89" s="48">
        <v>0</v>
      </c>
      <c r="M89" s="48">
        <v>0</v>
      </c>
      <c r="N89" s="51">
        <f t="shared" si="37"/>
        <v>3757.5</v>
      </c>
      <c r="O89" s="52">
        <f t="shared" si="38"/>
        <v>4175</v>
      </c>
      <c r="P89" s="79">
        <f t="shared" si="39"/>
        <v>106.17406046905906</v>
      </c>
      <c r="Q89" s="53">
        <f t="shared" si="40"/>
        <v>0.1</v>
      </c>
      <c r="R89" s="54">
        <f t="shared" si="41"/>
        <v>417.5</v>
      </c>
      <c r="S89" s="53">
        <v>0.8</v>
      </c>
      <c r="T89" s="54">
        <f t="shared" si="42"/>
        <v>3340</v>
      </c>
      <c r="U89" s="53">
        <f t="shared" si="43"/>
        <v>9.9999999999999978E-2</v>
      </c>
      <c r="V89" s="54">
        <f t="shared" si="44"/>
        <v>417.49999999999989</v>
      </c>
      <c r="W89" s="55">
        <f ca="1">V89*VLOOKUP(TODAY(),'UF HOY'!$A$2:$B$36,2,0)</f>
        <v>16588919.949999996</v>
      </c>
      <c r="X89" s="56">
        <f>Datos!$K$6</f>
        <v>36</v>
      </c>
      <c r="Y89" s="55">
        <f ca="1">IF((W89-Datos!$U$6-1000000)/X89&gt;0,(W89-Datos!$U$6-1000000)/X89,0)</f>
        <v>430247.77638888877</v>
      </c>
      <c r="Z89" s="56">
        <f>Datos!$K$6</f>
        <v>36</v>
      </c>
      <c r="AA89" s="55">
        <f ca="1">IF((W89-Datos!$U$6-1000000-O89*3%*VLOOKUP(TODAY(),'UF HOY'!$A$2:$B$36,2,0))/Z89&gt;0,(W89-Datos!$U$6-1000000-O89*3%*VLOOKUP(TODAY(),'UF HOY'!$A$2:$B$36,2,0))/Z89,0)</f>
        <v>292006.77680555545</v>
      </c>
      <c r="AB89" s="55">
        <f>IF(L89&gt;0,VLOOKUP(D89,Datos!$A$36:$C$40,3,0),VLOOKUP(D89,Datos!$A$36:$C$40,2,0))</f>
        <v>450000</v>
      </c>
      <c r="AC89" s="55">
        <f ca="1">(S89*PMT(Datos!$G$15,Datos!$G$14,-O89,,)*VLOOKUP(TODAY(),'UF HOY'!$A$2:$B$36,2,0)/12)+VLOOKUP(TODAY(),'UF HOY'!$A$2:$B$36,2,0)</f>
        <v>679293.19681924838</v>
      </c>
      <c r="AD89" s="55">
        <f t="shared" ca="1" si="45"/>
        <v>-229293.19681924838</v>
      </c>
      <c r="AE89" s="93">
        <f t="shared" ca="1" si="46"/>
        <v>2717172.7872769935</v>
      </c>
    </row>
    <row r="90" spans="1:31" s="3" customFormat="1" x14ac:dyDescent="0.35">
      <c r="A90" s="94" t="s">
        <v>305</v>
      </c>
      <c r="B90" s="80">
        <v>3012</v>
      </c>
      <c r="C90" s="48" t="s">
        <v>41</v>
      </c>
      <c r="D90" s="48" t="s">
        <v>37</v>
      </c>
      <c r="E90" s="48"/>
      <c r="F90" s="48">
        <v>34.06</v>
      </c>
      <c r="G90" s="48">
        <v>2.66</v>
      </c>
      <c r="H90" s="82">
        <f t="shared" si="35"/>
        <v>35.39</v>
      </c>
      <c r="I90" s="82">
        <f t="shared" si="36"/>
        <v>36.72</v>
      </c>
      <c r="J90" s="49">
        <v>4175</v>
      </c>
      <c r="K90" s="50">
        <v>0</v>
      </c>
      <c r="L90" s="48">
        <v>0</v>
      </c>
      <c r="M90" s="48">
        <v>0</v>
      </c>
      <c r="N90" s="51">
        <f t="shared" si="37"/>
        <v>3757.5</v>
      </c>
      <c r="O90" s="52">
        <f t="shared" si="38"/>
        <v>4175</v>
      </c>
      <c r="P90" s="79">
        <f t="shared" si="39"/>
        <v>106.17406046905906</v>
      </c>
      <c r="Q90" s="53">
        <f t="shared" si="40"/>
        <v>0.1</v>
      </c>
      <c r="R90" s="54">
        <f t="shared" si="41"/>
        <v>417.5</v>
      </c>
      <c r="S90" s="53">
        <v>0.8</v>
      </c>
      <c r="T90" s="54">
        <f t="shared" si="42"/>
        <v>3340</v>
      </c>
      <c r="U90" s="53">
        <f t="shared" si="43"/>
        <v>9.9999999999999978E-2</v>
      </c>
      <c r="V90" s="54">
        <f t="shared" si="44"/>
        <v>417.49999999999989</v>
      </c>
      <c r="W90" s="55">
        <f ca="1">V90*VLOOKUP(TODAY(),'UF HOY'!$A$2:$B$36,2,0)</f>
        <v>16588919.949999996</v>
      </c>
      <c r="X90" s="56">
        <f>Datos!$K$6</f>
        <v>36</v>
      </c>
      <c r="Y90" s="55">
        <f ca="1">IF((W90-Datos!$U$6-1000000)/X90&gt;0,(W90-Datos!$U$6-1000000)/X90,0)</f>
        <v>430247.77638888877</v>
      </c>
      <c r="Z90" s="56">
        <f>Datos!$K$6</f>
        <v>36</v>
      </c>
      <c r="AA90" s="55">
        <f ca="1">IF((W90-Datos!$U$6-1000000-O90*3%*VLOOKUP(TODAY(),'UF HOY'!$A$2:$B$36,2,0))/Z90&gt;0,(W90-Datos!$U$6-1000000-O90*3%*VLOOKUP(TODAY(),'UF HOY'!$A$2:$B$36,2,0))/Z90,0)</f>
        <v>292006.77680555545</v>
      </c>
      <c r="AB90" s="55">
        <f>IF(L90&gt;0,VLOOKUP(D90,Datos!$A$36:$C$40,3,0),VLOOKUP(D90,Datos!$A$36:$C$40,2,0))</f>
        <v>450000</v>
      </c>
      <c r="AC90" s="55">
        <f ca="1">(S90*PMT(Datos!$G$15,Datos!$G$14,-O90,,)*VLOOKUP(TODAY(),'UF HOY'!$A$2:$B$36,2,0)/12)+VLOOKUP(TODAY(),'UF HOY'!$A$2:$B$36,2,0)</f>
        <v>679293.19681924838</v>
      </c>
      <c r="AD90" s="55">
        <f t="shared" ca="1" si="45"/>
        <v>-229293.19681924838</v>
      </c>
      <c r="AE90" s="93">
        <f t="shared" ca="1" si="46"/>
        <v>2717172.7872769935</v>
      </c>
    </row>
    <row r="91" spans="1:31" s="3" customFormat="1" x14ac:dyDescent="0.35">
      <c r="A91" s="94" t="s">
        <v>305</v>
      </c>
      <c r="B91" s="80">
        <v>3112</v>
      </c>
      <c r="C91" s="48" t="s">
        <v>41</v>
      </c>
      <c r="D91" s="48" t="s">
        <v>37</v>
      </c>
      <c r="E91" s="48"/>
      <c r="F91" s="48">
        <v>34.06</v>
      </c>
      <c r="G91" s="48">
        <v>2.66</v>
      </c>
      <c r="H91" s="82">
        <f t="shared" si="35"/>
        <v>35.39</v>
      </c>
      <c r="I91" s="82">
        <f t="shared" si="36"/>
        <v>36.72</v>
      </c>
      <c r="J91" s="49">
        <v>4175</v>
      </c>
      <c r="K91" s="50">
        <v>0</v>
      </c>
      <c r="L91" s="48">
        <v>0</v>
      </c>
      <c r="M91" s="48">
        <v>0</v>
      </c>
      <c r="N91" s="51">
        <f t="shared" si="37"/>
        <v>3757.5</v>
      </c>
      <c r="O91" s="52">
        <f t="shared" si="38"/>
        <v>4175</v>
      </c>
      <c r="P91" s="79">
        <f t="shared" si="39"/>
        <v>106.17406046905906</v>
      </c>
      <c r="Q91" s="53">
        <f t="shared" si="40"/>
        <v>0.1</v>
      </c>
      <c r="R91" s="54">
        <f t="shared" si="41"/>
        <v>417.5</v>
      </c>
      <c r="S91" s="53">
        <v>0.8</v>
      </c>
      <c r="T91" s="54">
        <f t="shared" si="42"/>
        <v>3340</v>
      </c>
      <c r="U91" s="53">
        <f t="shared" si="43"/>
        <v>9.9999999999999978E-2</v>
      </c>
      <c r="V91" s="54">
        <f t="shared" si="44"/>
        <v>417.49999999999989</v>
      </c>
      <c r="W91" s="55">
        <f ca="1">V91*VLOOKUP(TODAY(),'UF HOY'!$A$2:$B$36,2,0)</f>
        <v>16588919.949999996</v>
      </c>
      <c r="X91" s="56">
        <f>Datos!$K$6</f>
        <v>36</v>
      </c>
      <c r="Y91" s="55">
        <f ca="1">IF((W91-Datos!$U$6-1000000)/X91&gt;0,(W91-Datos!$U$6-1000000)/X91,0)</f>
        <v>430247.77638888877</v>
      </c>
      <c r="Z91" s="56">
        <f>Datos!$K$6</f>
        <v>36</v>
      </c>
      <c r="AA91" s="55">
        <f ca="1">IF((W91-Datos!$U$6-1000000-O91*3%*VLOOKUP(TODAY(),'UF HOY'!$A$2:$B$36,2,0))/Z91&gt;0,(W91-Datos!$U$6-1000000-O91*3%*VLOOKUP(TODAY(),'UF HOY'!$A$2:$B$36,2,0))/Z91,0)</f>
        <v>292006.77680555545</v>
      </c>
      <c r="AB91" s="55">
        <f>IF(L91&gt;0,VLOOKUP(D91,Datos!$A$36:$C$40,3,0),VLOOKUP(D91,Datos!$A$36:$C$40,2,0))</f>
        <v>450000</v>
      </c>
      <c r="AC91" s="55">
        <f ca="1">(S91*PMT(Datos!$G$15,Datos!$G$14,-O91,,)*VLOOKUP(TODAY(),'UF HOY'!$A$2:$B$36,2,0)/12)+VLOOKUP(TODAY(),'UF HOY'!$A$2:$B$36,2,0)</f>
        <v>679293.19681924838</v>
      </c>
      <c r="AD91" s="55">
        <f t="shared" ca="1" si="45"/>
        <v>-229293.19681924838</v>
      </c>
      <c r="AE91" s="93">
        <f t="shared" ca="1" si="46"/>
        <v>2717172.7872769935</v>
      </c>
    </row>
    <row r="92" spans="1:31" s="3" customFormat="1" x14ac:dyDescent="0.35">
      <c r="A92" s="94" t="s">
        <v>305</v>
      </c>
      <c r="B92" s="80">
        <v>2413</v>
      </c>
      <c r="C92" s="48" t="s">
        <v>41</v>
      </c>
      <c r="D92" s="48" t="s">
        <v>37</v>
      </c>
      <c r="E92" s="48"/>
      <c r="F92" s="48">
        <v>34.880000000000003</v>
      </c>
      <c r="G92" s="48">
        <v>2.69</v>
      </c>
      <c r="H92" s="82">
        <f t="shared" si="35"/>
        <v>36.225000000000001</v>
      </c>
      <c r="I92" s="82">
        <f t="shared" si="36"/>
        <v>37.57</v>
      </c>
      <c r="J92" s="49">
        <v>4185</v>
      </c>
      <c r="K92" s="50">
        <v>0</v>
      </c>
      <c r="L92" s="48">
        <v>0</v>
      </c>
      <c r="M92" s="48">
        <v>0</v>
      </c>
      <c r="N92" s="51">
        <f t="shared" si="37"/>
        <v>3766.5</v>
      </c>
      <c r="O92" s="52">
        <f t="shared" si="38"/>
        <v>4185</v>
      </c>
      <c r="P92" s="79">
        <f t="shared" si="39"/>
        <v>103.9751552795031</v>
      </c>
      <c r="Q92" s="53">
        <f t="shared" si="40"/>
        <v>0.1</v>
      </c>
      <c r="R92" s="54">
        <f t="shared" si="41"/>
        <v>418.5</v>
      </c>
      <c r="S92" s="53">
        <v>0.8</v>
      </c>
      <c r="T92" s="54">
        <f t="shared" si="42"/>
        <v>3348</v>
      </c>
      <c r="U92" s="53">
        <f t="shared" si="43"/>
        <v>9.9999999999999978E-2</v>
      </c>
      <c r="V92" s="54">
        <f t="shared" si="44"/>
        <v>418.49999999999989</v>
      </c>
      <c r="W92" s="55">
        <f ca="1">V92*VLOOKUP(TODAY(),'UF HOY'!$A$2:$B$36,2,0)</f>
        <v>16628653.889999997</v>
      </c>
      <c r="X92" s="56">
        <f>Datos!$K$6</f>
        <v>36</v>
      </c>
      <c r="Y92" s="55">
        <f ca="1">IF((W92-Datos!$U$6-1000000)/X92&gt;0,(W92-Datos!$U$6-1000000)/X92,0)</f>
        <v>431351.49694444437</v>
      </c>
      <c r="Z92" s="56">
        <f>Datos!$K$6</f>
        <v>36</v>
      </c>
      <c r="AA92" s="55">
        <f ca="1">IF((W92-Datos!$U$6-1000000-O92*3%*VLOOKUP(TODAY(),'UF HOY'!$A$2:$B$36,2,0))/Z92&gt;0,(W92-Datos!$U$6-1000000-O92*3%*VLOOKUP(TODAY(),'UF HOY'!$A$2:$B$36,2,0))/Z92,0)</f>
        <v>292779.38119444437</v>
      </c>
      <c r="AB92" s="55">
        <f>IF(L92&gt;0,VLOOKUP(D92,Datos!$A$36:$C$40,3,0),VLOOKUP(D92,Datos!$A$36:$C$40,2,0))</f>
        <v>450000</v>
      </c>
      <c r="AC92" s="55">
        <f ca="1">(S92*PMT(Datos!$G$15,Datos!$G$14,-O92,,)*VLOOKUP(TODAY(),'UF HOY'!$A$2:$B$36,2,0)/12)+VLOOKUP(TODAY(),'UF HOY'!$A$2:$B$36,2,0)</f>
        <v>680825.07527869567</v>
      </c>
      <c r="AD92" s="55">
        <f t="shared" ca="1" si="45"/>
        <v>-230825.07527869567</v>
      </c>
      <c r="AE92" s="93">
        <f t="shared" ca="1" si="46"/>
        <v>2723300.3011147827</v>
      </c>
    </row>
    <row r="93" spans="1:31" s="3" customFormat="1" x14ac:dyDescent="0.35">
      <c r="A93" s="94" t="s">
        <v>305</v>
      </c>
      <c r="B93" s="80">
        <v>2912</v>
      </c>
      <c r="C93" s="48" t="s">
        <v>41</v>
      </c>
      <c r="D93" s="48" t="s">
        <v>37</v>
      </c>
      <c r="E93" s="48"/>
      <c r="F93" s="48">
        <v>34.06</v>
      </c>
      <c r="G93" s="48">
        <v>2.66</v>
      </c>
      <c r="H93" s="82">
        <f t="shared" si="35"/>
        <v>35.39</v>
      </c>
      <c r="I93" s="82">
        <f t="shared" si="36"/>
        <v>36.72</v>
      </c>
      <c r="J93" s="49">
        <v>4185</v>
      </c>
      <c r="K93" s="50">
        <v>0</v>
      </c>
      <c r="L93" s="48">
        <v>0</v>
      </c>
      <c r="M93" s="48">
        <v>0</v>
      </c>
      <c r="N93" s="51">
        <f t="shared" si="37"/>
        <v>3766.5</v>
      </c>
      <c r="O93" s="52">
        <f t="shared" si="38"/>
        <v>4185</v>
      </c>
      <c r="P93" s="79">
        <f t="shared" si="39"/>
        <v>106.42836959593106</v>
      </c>
      <c r="Q93" s="53">
        <f t="shared" si="40"/>
        <v>0.1</v>
      </c>
      <c r="R93" s="54">
        <f t="shared" si="41"/>
        <v>418.5</v>
      </c>
      <c r="S93" s="53">
        <v>0.8</v>
      </c>
      <c r="T93" s="54">
        <f t="shared" si="42"/>
        <v>3348</v>
      </c>
      <c r="U93" s="53">
        <f t="shared" si="43"/>
        <v>9.9999999999999978E-2</v>
      </c>
      <c r="V93" s="54">
        <f t="shared" si="44"/>
        <v>418.49999999999989</v>
      </c>
      <c r="W93" s="55">
        <f ca="1">V93*VLOOKUP(TODAY(),'UF HOY'!$A$2:$B$36,2,0)</f>
        <v>16628653.889999997</v>
      </c>
      <c r="X93" s="56">
        <f>Datos!$K$6</f>
        <v>36</v>
      </c>
      <c r="Y93" s="55">
        <f ca="1">IF((W93-Datos!$U$6-1000000)/X93&gt;0,(W93-Datos!$U$6-1000000)/X93,0)</f>
        <v>431351.49694444437</v>
      </c>
      <c r="Z93" s="56">
        <f>Datos!$K$6</f>
        <v>36</v>
      </c>
      <c r="AA93" s="55">
        <f ca="1">IF((W93-Datos!$U$6-1000000-O93*3%*VLOOKUP(TODAY(),'UF HOY'!$A$2:$B$36,2,0))/Z93&gt;0,(W93-Datos!$U$6-1000000-O93*3%*VLOOKUP(TODAY(),'UF HOY'!$A$2:$B$36,2,0))/Z93,0)</f>
        <v>292779.38119444437</v>
      </c>
      <c r="AB93" s="55">
        <f>IF(L93&gt;0,VLOOKUP(D93,Datos!$A$36:$C$40,3,0),VLOOKUP(D93,Datos!$A$36:$C$40,2,0))</f>
        <v>450000</v>
      </c>
      <c r="AC93" s="55">
        <f ca="1">(S93*PMT(Datos!$G$15,Datos!$G$14,-O93,,)*VLOOKUP(TODAY(),'UF HOY'!$A$2:$B$36,2,0)/12)+VLOOKUP(TODAY(),'UF HOY'!$A$2:$B$36,2,0)</f>
        <v>680825.07527869567</v>
      </c>
      <c r="AD93" s="55">
        <f t="shared" ca="1" si="45"/>
        <v>-230825.07527869567</v>
      </c>
      <c r="AE93" s="93">
        <f t="shared" ca="1" si="46"/>
        <v>2723300.3011147827</v>
      </c>
    </row>
    <row r="94" spans="1:31" s="3" customFormat="1" x14ac:dyDescent="0.35">
      <c r="A94" s="94" t="s">
        <v>305</v>
      </c>
      <c r="B94" s="80">
        <v>2513</v>
      </c>
      <c r="C94" s="48" t="s">
        <v>41</v>
      </c>
      <c r="D94" s="48" t="s">
        <v>37</v>
      </c>
      <c r="E94" s="48"/>
      <c r="F94" s="48">
        <v>34.880000000000003</v>
      </c>
      <c r="G94" s="48">
        <v>2.69</v>
      </c>
      <c r="H94" s="82">
        <f t="shared" si="35"/>
        <v>36.225000000000001</v>
      </c>
      <c r="I94" s="82">
        <f t="shared" si="36"/>
        <v>37.57</v>
      </c>
      <c r="J94" s="49">
        <v>4195</v>
      </c>
      <c r="K94" s="50">
        <v>0</v>
      </c>
      <c r="L94" s="48">
        <v>0</v>
      </c>
      <c r="M94" s="48">
        <v>0</v>
      </c>
      <c r="N94" s="51">
        <f t="shared" si="37"/>
        <v>3775.5</v>
      </c>
      <c r="O94" s="52">
        <f t="shared" si="38"/>
        <v>4195</v>
      </c>
      <c r="P94" s="79">
        <f t="shared" si="39"/>
        <v>104.22360248447204</v>
      </c>
      <c r="Q94" s="53">
        <f t="shared" si="40"/>
        <v>0.1</v>
      </c>
      <c r="R94" s="54">
        <f t="shared" si="41"/>
        <v>419.5</v>
      </c>
      <c r="S94" s="53">
        <v>0.8</v>
      </c>
      <c r="T94" s="54">
        <f t="shared" si="42"/>
        <v>3356</v>
      </c>
      <c r="U94" s="53">
        <f t="shared" si="43"/>
        <v>9.9999999999999978E-2</v>
      </c>
      <c r="V94" s="54">
        <f t="shared" si="44"/>
        <v>419.49999999999989</v>
      </c>
      <c r="W94" s="55">
        <f ca="1">V94*VLOOKUP(TODAY(),'UF HOY'!$A$2:$B$36,2,0)</f>
        <v>16668387.829999996</v>
      </c>
      <c r="X94" s="56">
        <f>Datos!$K$6</f>
        <v>36</v>
      </c>
      <c r="Y94" s="55">
        <f ca="1">IF((W94-Datos!$U$6-1000000)/X94&gt;0,(W94-Datos!$U$6-1000000)/X94,0)</f>
        <v>432455.21749999991</v>
      </c>
      <c r="Z94" s="56">
        <f>Datos!$K$6</f>
        <v>36</v>
      </c>
      <c r="AA94" s="55">
        <f ca="1">IF((W94-Datos!$U$6-1000000-O94*3%*VLOOKUP(TODAY(),'UF HOY'!$A$2:$B$36,2,0))/Z94&gt;0,(W94-Datos!$U$6-1000000-O94*3%*VLOOKUP(TODAY(),'UF HOY'!$A$2:$B$36,2,0))/Z94,0)</f>
        <v>293551.98558333318</v>
      </c>
      <c r="AB94" s="55">
        <f>IF(L94&gt;0,VLOOKUP(D94,Datos!$A$36:$C$40,3,0),VLOOKUP(D94,Datos!$A$36:$C$40,2,0))</f>
        <v>450000</v>
      </c>
      <c r="AC94" s="55">
        <f ca="1">(S94*PMT(Datos!$G$15,Datos!$G$14,-O94,,)*VLOOKUP(TODAY(),'UF HOY'!$A$2:$B$36,2,0)/12)+VLOOKUP(TODAY(),'UF HOY'!$A$2:$B$36,2,0)</f>
        <v>682356.95373814297</v>
      </c>
      <c r="AD94" s="55">
        <f t="shared" ca="1" si="45"/>
        <v>-232356.95373814297</v>
      </c>
      <c r="AE94" s="93">
        <f t="shared" ca="1" si="46"/>
        <v>2729427.8149525719</v>
      </c>
    </row>
    <row r="95" spans="1:31" s="3" customFormat="1" x14ac:dyDescent="0.35">
      <c r="A95" s="94" t="s">
        <v>305</v>
      </c>
      <c r="B95" s="80">
        <v>2713</v>
      </c>
      <c r="C95" s="48" t="s">
        <v>41</v>
      </c>
      <c r="D95" s="48" t="s">
        <v>37</v>
      </c>
      <c r="E95" s="48"/>
      <c r="F95" s="48">
        <v>34.880000000000003</v>
      </c>
      <c r="G95" s="48">
        <v>2.69</v>
      </c>
      <c r="H95" s="82">
        <f t="shared" si="35"/>
        <v>36.225000000000001</v>
      </c>
      <c r="I95" s="82">
        <f t="shared" si="36"/>
        <v>37.57</v>
      </c>
      <c r="J95" s="49">
        <v>4220</v>
      </c>
      <c r="K95" s="50">
        <v>0</v>
      </c>
      <c r="L95" s="48">
        <v>0</v>
      </c>
      <c r="M95" s="48">
        <v>0</v>
      </c>
      <c r="N95" s="51">
        <f t="shared" si="37"/>
        <v>3798</v>
      </c>
      <c r="O95" s="52">
        <f t="shared" si="38"/>
        <v>4220</v>
      </c>
      <c r="P95" s="79">
        <f t="shared" si="39"/>
        <v>104.84472049689441</v>
      </c>
      <c r="Q95" s="53">
        <f t="shared" si="40"/>
        <v>0.1</v>
      </c>
      <c r="R95" s="54">
        <f t="shared" si="41"/>
        <v>422</v>
      </c>
      <c r="S95" s="53">
        <v>0.8</v>
      </c>
      <c r="T95" s="54">
        <f t="shared" si="42"/>
        <v>3376</v>
      </c>
      <c r="U95" s="53">
        <f t="shared" si="43"/>
        <v>9.9999999999999978E-2</v>
      </c>
      <c r="V95" s="54">
        <f t="shared" si="44"/>
        <v>421.99999999999989</v>
      </c>
      <c r="W95" s="55">
        <f ca="1">V95*VLOOKUP(TODAY(),'UF HOY'!$A$2:$B$36,2,0)</f>
        <v>16767722.679999996</v>
      </c>
      <c r="X95" s="56">
        <f>Datos!$K$6</f>
        <v>36</v>
      </c>
      <c r="Y95" s="55">
        <f ca="1">IF((W95-Datos!$U$6-1000000)/X95&gt;0,(W95-Datos!$U$6-1000000)/X95,0)</f>
        <v>435214.51888888876</v>
      </c>
      <c r="Z95" s="56">
        <f>Datos!$K$6</f>
        <v>36</v>
      </c>
      <c r="AA95" s="55">
        <f ca="1">IF((W95-Datos!$U$6-1000000-O95*3%*VLOOKUP(TODAY(),'UF HOY'!$A$2:$B$36,2,0))/Z95&gt;0,(W95-Datos!$U$6-1000000-O95*3%*VLOOKUP(TODAY(),'UF HOY'!$A$2:$B$36,2,0))/Z95,0)</f>
        <v>295483.49655555538</v>
      </c>
      <c r="AB95" s="55">
        <f>IF(L95&gt;0,VLOOKUP(D95,Datos!$A$36:$C$40,3,0),VLOOKUP(D95,Datos!$A$36:$C$40,2,0))</f>
        <v>450000</v>
      </c>
      <c r="AC95" s="55">
        <f ca="1">(S95*PMT(Datos!$G$15,Datos!$G$14,-O95,,)*VLOOKUP(TODAY(),'UF HOY'!$A$2:$B$36,2,0)/12)+VLOOKUP(TODAY(),'UF HOY'!$A$2:$B$36,2,0)</f>
        <v>686186.64988676109</v>
      </c>
      <c r="AD95" s="55">
        <f t="shared" ca="1" si="45"/>
        <v>-236186.64988676109</v>
      </c>
      <c r="AE95" s="93">
        <f t="shared" ca="1" si="46"/>
        <v>2744746.5995470444</v>
      </c>
    </row>
    <row r="96" spans="1:31" s="3" customFormat="1" x14ac:dyDescent="0.35">
      <c r="A96" s="94" t="s">
        <v>305</v>
      </c>
      <c r="B96" s="80">
        <v>2813</v>
      </c>
      <c r="C96" s="48" t="s">
        <v>41</v>
      </c>
      <c r="D96" s="48" t="s">
        <v>37</v>
      </c>
      <c r="E96" s="48"/>
      <c r="F96" s="48">
        <v>34.880000000000003</v>
      </c>
      <c r="G96" s="48">
        <v>2.69</v>
      </c>
      <c r="H96" s="82">
        <f t="shared" si="35"/>
        <v>36.225000000000001</v>
      </c>
      <c r="I96" s="82">
        <f t="shared" si="36"/>
        <v>37.57</v>
      </c>
      <c r="J96" s="49">
        <v>4230</v>
      </c>
      <c r="K96" s="50">
        <v>0</v>
      </c>
      <c r="L96" s="48">
        <v>0</v>
      </c>
      <c r="M96" s="48">
        <v>0</v>
      </c>
      <c r="N96" s="51">
        <f t="shared" si="37"/>
        <v>3807</v>
      </c>
      <c r="O96" s="52">
        <f t="shared" si="38"/>
        <v>4230</v>
      </c>
      <c r="P96" s="79">
        <f t="shared" si="39"/>
        <v>105.09316770186335</v>
      </c>
      <c r="Q96" s="53">
        <f t="shared" si="40"/>
        <v>0.1</v>
      </c>
      <c r="R96" s="54">
        <f t="shared" si="41"/>
        <v>423</v>
      </c>
      <c r="S96" s="53">
        <v>0.8</v>
      </c>
      <c r="T96" s="54">
        <f t="shared" si="42"/>
        <v>3384</v>
      </c>
      <c r="U96" s="53">
        <f t="shared" si="43"/>
        <v>9.9999999999999978E-2</v>
      </c>
      <c r="V96" s="54">
        <f t="shared" si="44"/>
        <v>422.99999999999989</v>
      </c>
      <c r="W96" s="55">
        <f ca="1">V96*VLOOKUP(TODAY(),'UF HOY'!$A$2:$B$36,2,0)</f>
        <v>16807456.619999997</v>
      </c>
      <c r="X96" s="56">
        <f>Datos!$K$6</f>
        <v>36</v>
      </c>
      <c r="Y96" s="55">
        <f ca="1">IF((W96-Datos!$U$6-1000000)/X96&gt;0,(W96-Datos!$U$6-1000000)/X96,0)</f>
        <v>436318.23944444436</v>
      </c>
      <c r="Z96" s="56">
        <f>Datos!$K$6</f>
        <v>36</v>
      </c>
      <c r="AA96" s="55">
        <f ca="1">IF((W96-Datos!$U$6-1000000-O96*3%*VLOOKUP(TODAY(),'UF HOY'!$A$2:$B$36,2,0))/Z96&gt;0,(W96-Datos!$U$6-1000000-O96*3%*VLOOKUP(TODAY(),'UF HOY'!$A$2:$B$36,2,0))/Z96,0)</f>
        <v>296256.10094444436</v>
      </c>
      <c r="AB96" s="55">
        <f>IF(L96&gt;0,VLOOKUP(D96,Datos!$A$36:$C$40,3,0),VLOOKUP(D96,Datos!$A$36:$C$40,2,0))</f>
        <v>450000</v>
      </c>
      <c r="AC96" s="55">
        <f ca="1">(S96*PMT(Datos!$G$15,Datos!$G$14,-O96,,)*VLOOKUP(TODAY(),'UF HOY'!$A$2:$B$36,2,0)/12)+VLOOKUP(TODAY(),'UF HOY'!$A$2:$B$36,2,0)</f>
        <v>687718.52834620839</v>
      </c>
      <c r="AD96" s="55">
        <f t="shared" ca="1" si="45"/>
        <v>-237718.52834620839</v>
      </c>
      <c r="AE96" s="93">
        <f t="shared" ca="1" si="46"/>
        <v>2750874.1133848336</v>
      </c>
    </row>
    <row r="97" spans="1:31" s="3" customFormat="1" x14ac:dyDescent="0.35">
      <c r="A97" s="94" t="s">
        <v>305</v>
      </c>
      <c r="B97" s="80">
        <v>3013</v>
      </c>
      <c r="C97" s="48" t="s">
        <v>41</v>
      </c>
      <c r="D97" s="48" t="s">
        <v>37</v>
      </c>
      <c r="E97" s="48"/>
      <c r="F97" s="48">
        <v>34.880000000000003</v>
      </c>
      <c r="G97" s="48">
        <v>2.69</v>
      </c>
      <c r="H97" s="82">
        <f t="shared" si="35"/>
        <v>36.225000000000001</v>
      </c>
      <c r="I97" s="82">
        <f t="shared" si="36"/>
        <v>37.57</v>
      </c>
      <c r="J97" s="49">
        <v>4230</v>
      </c>
      <c r="K97" s="50">
        <v>0</v>
      </c>
      <c r="L97" s="48">
        <v>0</v>
      </c>
      <c r="M97" s="48">
        <v>0</v>
      </c>
      <c r="N97" s="51">
        <f t="shared" si="37"/>
        <v>3807</v>
      </c>
      <c r="O97" s="52">
        <f t="shared" si="38"/>
        <v>4230</v>
      </c>
      <c r="P97" s="79">
        <f t="shared" si="39"/>
        <v>105.09316770186335</v>
      </c>
      <c r="Q97" s="53">
        <f t="shared" si="40"/>
        <v>0.1</v>
      </c>
      <c r="R97" s="54">
        <f t="shared" si="41"/>
        <v>423</v>
      </c>
      <c r="S97" s="53">
        <v>0.8</v>
      </c>
      <c r="T97" s="54">
        <f t="shared" si="42"/>
        <v>3384</v>
      </c>
      <c r="U97" s="53">
        <f t="shared" si="43"/>
        <v>9.9999999999999978E-2</v>
      </c>
      <c r="V97" s="54">
        <f t="shared" si="44"/>
        <v>422.99999999999989</v>
      </c>
      <c r="W97" s="55">
        <f ca="1">V97*VLOOKUP(TODAY(),'UF HOY'!$A$2:$B$36,2,0)</f>
        <v>16807456.619999997</v>
      </c>
      <c r="X97" s="56">
        <f>Datos!$K$6</f>
        <v>36</v>
      </c>
      <c r="Y97" s="55">
        <f ca="1">IF((W97-Datos!$U$6-1000000)/X97&gt;0,(W97-Datos!$U$6-1000000)/X97,0)</f>
        <v>436318.23944444436</v>
      </c>
      <c r="Z97" s="56">
        <f>Datos!$K$6</f>
        <v>36</v>
      </c>
      <c r="AA97" s="55">
        <f ca="1">IF((W97-Datos!$U$6-1000000-O97*3%*VLOOKUP(TODAY(),'UF HOY'!$A$2:$B$36,2,0))/Z97&gt;0,(W97-Datos!$U$6-1000000-O97*3%*VLOOKUP(TODAY(),'UF HOY'!$A$2:$B$36,2,0))/Z97,0)</f>
        <v>296256.10094444436</v>
      </c>
      <c r="AB97" s="55">
        <f>IF(L97&gt;0,VLOOKUP(D97,Datos!$A$36:$C$40,3,0),VLOOKUP(D97,Datos!$A$36:$C$40,2,0))</f>
        <v>450000</v>
      </c>
      <c r="AC97" s="55">
        <f ca="1">(S97*PMT(Datos!$G$15,Datos!$G$14,-O97,,)*VLOOKUP(TODAY(),'UF HOY'!$A$2:$B$36,2,0)/12)+VLOOKUP(TODAY(),'UF HOY'!$A$2:$B$36,2,0)</f>
        <v>687718.52834620839</v>
      </c>
      <c r="AD97" s="55">
        <f t="shared" ca="1" si="45"/>
        <v>-237718.52834620839</v>
      </c>
      <c r="AE97" s="93">
        <f t="shared" ca="1" si="46"/>
        <v>2750874.1133848336</v>
      </c>
    </row>
    <row r="98" spans="1:31" s="3" customFormat="1" x14ac:dyDescent="0.35">
      <c r="A98" s="94" t="s">
        <v>305</v>
      </c>
      <c r="B98" s="80">
        <v>3113</v>
      </c>
      <c r="C98" s="48" t="s">
        <v>41</v>
      </c>
      <c r="D98" s="48" t="s">
        <v>37</v>
      </c>
      <c r="E98" s="48"/>
      <c r="F98" s="48">
        <v>34.880000000000003</v>
      </c>
      <c r="G98" s="48">
        <v>2.69</v>
      </c>
      <c r="H98" s="82">
        <f t="shared" si="35"/>
        <v>36.225000000000001</v>
      </c>
      <c r="I98" s="82">
        <f t="shared" si="36"/>
        <v>37.57</v>
      </c>
      <c r="J98" s="49">
        <v>4230</v>
      </c>
      <c r="K98" s="50">
        <v>0</v>
      </c>
      <c r="L98" s="48">
        <v>0</v>
      </c>
      <c r="M98" s="48">
        <v>0</v>
      </c>
      <c r="N98" s="51">
        <f t="shared" si="37"/>
        <v>3807</v>
      </c>
      <c r="O98" s="52">
        <f t="shared" si="38"/>
        <v>4230</v>
      </c>
      <c r="P98" s="79">
        <f t="shared" si="39"/>
        <v>105.09316770186335</v>
      </c>
      <c r="Q98" s="53">
        <f t="shared" si="40"/>
        <v>0.1</v>
      </c>
      <c r="R98" s="54">
        <f t="shared" si="41"/>
        <v>423</v>
      </c>
      <c r="S98" s="53">
        <v>0.8</v>
      </c>
      <c r="T98" s="54">
        <f t="shared" si="42"/>
        <v>3384</v>
      </c>
      <c r="U98" s="53">
        <f t="shared" si="43"/>
        <v>9.9999999999999978E-2</v>
      </c>
      <c r="V98" s="54">
        <f t="shared" si="44"/>
        <v>422.99999999999989</v>
      </c>
      <c r="W98" s="55">
        <f ca="1">V98*VLOOKUP(TODAY(),'UF HOY'!$A$2:$B$36,2,0)</f>
        <v>16807456.619999997</v>
      </c>
      <c r="X98" s="56">
        <f>Datos!$K$6</f>
        <v>36</v>
      </c>
      <c r="Y98" s="55">
        <f ca="1">IF((W98-Datos!$U$6-1000000)/X98&gt;0,(W98-Datos!$U$6-1000000)/X98,0)</f>
        <v>436318.23944444436</v>
      </c>
      <c r="Z98" s="56">
        <f>Datos!$K$6</f>
        <v>36</v>
      </c>
      <c r="AA98" s="55">
        <f ca="1">IF((W98-Datos!$U$6-1000000-O98*3%*VLOOKUP(TODAY(),'UF HOY'!$A$2:$B$36,2,0))/Z98&gt;0,(W98-Datos!$U$6-1000000-O98*3%*VLOOKUP(TODAY(),'UF HOY'!$A$2:$B$36,2,0))/Z98,0)</f>
        <v>296256.10094444436</v>
      </c>
      <c r="AB98" s="55">
        <f>IF(L98&gt;0,VLOOKUP(D98,Datos!$A$36:$C$40,3,0),VLOOKUP(D98,Datos!$A$36:$C$40,2,0))</f>
        <v>450000</v>
      </c>
      <c r="AC98" s="55">
        <f ca="1">(S98*PMT(Datos!$G$15,Datos!$G$14,-O98,,)*VLOOKUP(TODAY(),'UF HOY'!$A$2:$B$36,2,0)/12)+VLOOKUP(TODAY(),'UF HOY'!$A$2:$B$36,2,0)</f>
        <v>687718.52834620839</v>
      </c>
      <c r="AD98" s="55">
        <f t="shared" ca="1" si="45"/>
        <v>-237718.52834620839</v>
      </c>
      <c r="AE98" s="93">
        <f t="shared" ca="1" si="46"/>
        <v>2750874.1133848336</v>
      </c>
    </row>
    <row r="99" spans="1:31" s="3" customFormat="1" x14ac:dyDescent="0.35">
      <c r="A99" s="94" t="s">
        <v>305</v>
      </c>
      <c r="B99" s="80">
        <v>2913</v>
      </c>
      <c r="C99" s="48" t="s">
        <v>41</v>
      </c>
      <c r="D99" s="48" t="s">
        <v>37</v>
      </c>
      <c r="E99" s="48"/>
      <c r="F99" s="48">
        <v>34.880000000000003</v>
      </c>
      <c r="G99" s="48">
        <v>2.69</v>
      </c>
      <c r="H99" s="82">
        <f t="shared" si="35"/>
        <v>36.225000000000001</v>
      </c>
      <c r="I99" s="82">
        <f t="shared" si="36"/>
        <v>37.57</v>
      </c>
      <c r="J99" s="49">
        <v>4240</v>
      </c>
      <c r="K99" s="50">
        <v>0</v>
      </c>
      <c r="L99" s="48">
        <v>0</v>
      </c>
      <c r="M99" s="48">
        <v>0</v>
      </c>
      <c r="N99" s="51">
        <f t="shared" si="37"/>
        <v>3816</v>
      </c>
      <c r="O99" s="52">
        <f t="shared" si="38"/>
        <v>4240</v>
      </c>
      <c r="P99" s="79">
        <f t="shared" si="39"/>
        <v>105.34161490683229</v>
      </c>
      <c r="Q99" s="53">
        <f t="shared" si="40"/>
        <v>0.1</v>
      </c>
      <c r="R99" s="54">
        <f t="shared" si="41"/>
        <v>424</v>
      </c>
      <c r="S99" s="53">
        <v>0.8</v>
      </c>
      <c r="T99" s="54">
        <f t="shared" si="42"/>
        <v>3392</v>
      </c>
      <c r="U99" s="53">
        <f t="shared" si="43"/>
        <v>9.9999999999999978E-2</v>
      </c>
      <c r="V99" s="54">
        <f t="shared" si="44"/>
        <v>423.99999999999989</v>
      </c>
      <c r="W99" s="55">
        <f ca="1">V99*VLOOKUP(TODAY(),'UF HOY'!$A$2:$B$36,2,0)</f>
        <v>16847190.559999995</v>
      </c>
      <c r="X99" s="56">
        <f>Datos!$K$6</f>
        <v>36</v>
      </c>
      <c r="Y99" s="55">
        <f ca="1">IF((W99-Datos!$U$6-1000000)/X99&gt;0,(W99-Datos!$U$6-1000000)/X99,0)</f>
        <v>437421.95999999985</v>
      </c>
      <c r="Z99" s="56">
        <f>Datos!$K$6</f>
        <v>36</v>
      </c>
      <c r="AA99" s="55">
        <f ca="1">IF((W99-Datos!$U$6-1000000-O99*3%*VLOOKUP(TODAY(),'UF HOY'!$A$2:$B$36,2,0))/Z99&gt;0,(W99-Datos!$U$6-1000000-O99*3%*VLOOKUP(TODAY(),'UF HOY'!$A$2:$B$36,2,0))/Z99,0)</f>
        <v>297028.70533333323</v>
      </c>
      <c r="AB99" s="55">
        <f>IF(L99&gt;0,VLOOKUP(D99,Datos!$A$36:$C$40,3,0),VLOOKUP(D99,Datos!$A$36:$C$40,2,0))</f>
        <v>450000</v>
      </c>
      <c r="AC99" s="55">
        <f ca="1">(S99*PMT(Datos!$G$15,Datos!$G$14,-O99,,)*VLOOKUP(TODAY(),'UF HOY'!$A$2:$B$36,2,0)/12)+VLOOKUP(TODAY(),'UF HOY'!$A$2:$B$36,2,0)</f>
        <v>689250.40680565569</v>
      </c>
      <c r="AD99" s="55">
        <f t="shared" ca="1" si="45"/>
        <v>-239250.40680565569</v>
      </c>
      <c r="AE99" s="93">
        <f t="shared" ca="1" si="46"/>
        <v>2757001.6272226227</v>
      </c>
    </row>
    <row r="100" spans="1:31" s="3" customFormat="1" x14ac:dyDescent="0.35">
      <c r="A100" s="94" t="s">
        <v>305</v>
      </c>
      <c r="B100" s="80">
        <v>306</v>
      </c>
      <c r="C100" s="48" t="s">
        <v>38</v>
      </c>
      <c r="D100" s="48" t="s">
        <v>39</v>
      </c>
      <c r="E100" s="48"/>
      <c r="F100" s="48">
        <v>48.25</v>
      </c>
      <c r="G100" s="48">
        <v>4.87</v>
      </c>
      <c r="H100" s="82">
        <f t="shared" si="35"/>
        <v>50.685000000000002</v>
      </c>
      <c r="I100" s="82">
        <f t="shared" si="36"/>
        <v>53.12</v>
      </c>
      <c r="J100" s="49">
        <v>4515</v>
      </c>
      <c r="K100" s="50">
        <v>0</v>
      </c>
      <c r="L100" s="48">
        <v>390</v>
      </c>
      <c r="M100" s="48">
        <v>0</v>
      </c>
      <c r="N100" s="51">
        <f t="shared" si="37"/>
        <v>4453.5</v>
      </c>
      <c r="O100" s="52">
        <f t="shared" si="38"/>
        <v>4905</v>
      </c>
      <c r="P100" s="79">
        <f t="shared" si="39"/>
        <v>80.171648416691326</v>
      </c>
      <c r="Q100" s="53">
        <f t="shared" si="40"/>
        <v>9.1999999999999998E-2</v>
      </c>
      <c r="R100" s="54">
        <f t="shared" si="41"/>
        <v>451.5</v>
      </c>
      <c r="S100" s="53">
        <v>0.8</v>
      </c>
      <c r="T100" s="54">
        <f t="shared" si="42"/>
        <v>3924</v>
      </c>
      <c r="U100" s="53">
        <f t="shared" si="43"/>
        <v>0.10799999999999998</v>
      </c>
      <c r="V100" s="54">
        <f t="shared" si="44"/>
        <v>529.7399999999999</v>
      </c>
      <c r="W100" s="55">
        <f ca="1">V100*VLOOKUP(TODAY(),'UF HOY'!$A$2:$B$36,2,0)</f>
        <v>21048657.375599995</v>
      </c>
      <c r="X100" s="56">
        <f>Datos!$K$6</f>
        <v>36</v>
      </c>
      <c r="Y100" s="55">
        <f ca="1">IF((W100-Datos!$U$6-1000000)/X100&gt;0,(W100-Datos!$U$6-1000000)/X100,0)</f>
        <v>554129.37154444435</v>
      </c>
      <c r="Z100" s="56">
        <f>Datos!$K$6</f>
        <v>36</v>
      </c>
      <c r="AA100" s="55">
        <f ca="1">IF((W100-Datos!$U$6-1000000-O100*3%*VLOOKUP(TODAY(),'UF HOY'!$A$2:$B$36,2,0))/Z100&gt;0,(W100-Datos!$U$6-1000000-O100*3%*VLOOKUP(TODAY(),'UF HOY'!$A$2:$B$36,2,0))/Z100,0)</f>
        <v>391716.89179444429</v>
      </c>
      <c r="AB100" s="55">
        <f>IF(L100&gt;0,VLOOKUP(D100,Datos!$A$36:$C$40,3,0),VLOOKUP(D100,Datos!$A$36:$C$40,2,0))</f>
        <v>660000</v>
      </c>
      <c r="AC100" s="55">
        <f ca="1">(S100*PMT(Datos!$G$15,Datos!$G$14,-O100,,)*VLOOKUP(TODAY(),'UF HOY'!$A$2:$B$36,2,0)/12)+VLOOKUP(TODAY(),'UF HOY'!$A$2:$B$36,2,0)</f>
        <v>791120.32435890147</v>
      </c>
      <c r="AD100" s="55">
        <f t="shared" ca="1" si="45"/>
        <v>-131120.32435890147</v>
      </c>
      <c r="AE100" s="93">
        <f t="shared" ca="1" si="46"/>
        <v>3164481.2974356059</v>
      </c>
    </row>
    <row r="101" spans="1:31" s="3" customFormat="1" x14ac:dyDescent="0.35">
      <c r="A101" s="94" t="s">
        <v>305</v>
      </c>
      <c r="B101" s="80">
        <v>1706</v>
      </c>
      <c r="C101" s="48" t="s">
        <v>38</v>
      </c>
      <c r="D101" s="48" t="s">
        <v>39</v>
      </c>
      <c r="E101" s="48"/>
      <c r="F101" s="48">
        <v>48.26</v>
      </c>
      <c r="G101" s="48">
        <v>4.87</v>
      </c>
      <c r="H101" s="82">
        <f t="shared" ref="H101:H132" si="47">F101+(G101/2)</f>
        <v>50.695</v>
      </c>
      <c r="I101" s="82">
        <f t="shared" ref="I101:I132" si="48">F101+G101</f>
        <v>53.129999999999995</v>
      </c>
      <c r="J101" s="49">
        <v>5045</v>
      </c>
      <c r="K101" s="50">
        <v>0</v>
      </c>
      <c r="L101" s="48">
        <v>390</v>
      </c>
      <c r="M101" s="48">
        <v>0</v>
      </c>
      <c r="N101" s="51">
        <f t="shared" ref="N101:N132" si="49">O101-R101</f>
        <v>4930.5</v>
      </c>
      <c r="O101" s="52">
        <f t="shared" ref="O101:O132" si="50">J101*(100%-K101)+L101+M101</f>
        <v>5435</v>
      </c>
      <c r="P101" s="79">
        <f t="shared" ref="P101:P132" si="51">(N101-L101-M101)/H101</f>
        <v>89.565045862511099</v>
      </c>
      <c r="Q101" s="53">
        <f t="shared" ref="Q101:Q132" si="52">IF((O101-N101)/O101&gt;10%,10%,ROUND(IF(O101&gt;N101,(O101-N101)/O101,0),4))</f>
        <v>9.2799999999999994E-2</v>
      </c>
      <c r="R101" s="54">
        <f t="shared" ref="R101:R132" si="53">(J101-J101*K101)*0.1</f>
        <v>504.5</v>
      </c>
      <c r="S101" s="53">
        <v>0.8</v>
      </c>
      <c r="T101" s="54">
        <f t="shared" ref="T101:T132" si="54">S101*O101</f>
        <v>4348</v>
      </c>
      <c r="U101" s="53">
        <f t="shared" ref="U101:U132" si="55">100%-Q101-S101</f>
        <v>0.10719999999999996</v>
      </c>
      <c r="V101" s="54">
        <f t="shared" ref="V101:V132" si="56">O101*U101</f>
        <v>582.63199999999983</v>
      </c>
      <c r="W101" s="55">
        <f ca="1">V101*VLOOKUP(TODAY(),'UF HOY'!$A$2:$B$36,2,0)</f>
        <v>23150264.930079997</v>
      </c>
      <c r="X101" s="56">
        <f>Datos!$K$6</f>
        <v>36</v>
      </c>
      <c r="Y101" s="55">
        <f ca="1">IF((W101-Datos!$U$6-1000000)/X101&gt;0,(W101-Datos!$U$6-1000000)/X101,0)</f>
        <v>612507.35916888877</v>
      </c>
      <c r="Z101" s="56">
        <f>Datos!$K$6</f>
        <v>36</v>
      </c>
      <c r="AA101" s="55">
        <f ca="1">IF((W101-Datos!$U$6-1000000-O101*3%*VLOOKUP(TODAY(),'UF HOY'!$A$2:$B$36,2,0))/Z101&gt;0,(W101-Datos!$U$6-1000000-O101*3%*VLOOKUP(TODAY(),'UF HOY'!$A$2:$B$36,2,0))/Z101,0)</f>
        <v>432545.72258555546</v>
      </c>
      <c r="AB101" s="55">
        <f>IF(L101&gt;0,VLOOKUP(D101,Datos!$A$36:$C$40,3,0),VLOOKUP(D101,Datos!$A$36:$C$40,2,0))</f>
        <v>660000</v>
      </c>
      <c r="AC101" s="55">
        <f ca="1">(S101*PMT(Datos!$G$15,Datos!$G$14,-O101,,)*VLOOKUP(TODAY(),'UF HOY'!$A$2:$B$36,2,0)/12)+VLOOKUP(TODAY(),'UF HOY'!$A$2:$B$36,2,0)</f>
        <v>872309.88270960841</v>
      </c>
      <c r="AD101" s="55">
        <f t="shared" ref="AD101:AD132" ca="1" si="57">AB101-AC101</f>
        <v>-212309.88270960841</v>
      </c>
      <c r="AE101" s="93">
        <f t="shared" ca="1" si="46"/>
        <v>3489239.5308384337</v>
      </c>
    </row>
    <row r="102" spans="1:31" s="3" customFormat="1" x14ac:dyDescent="0.35">
      <c r="A102" s="94" t="s">
        <v>305</v>
      </c>
      <c r="B102" s="80">
        <v>1906</v>
      </c>
      <c r="C102" s="48" t="s">
        <v>38</v>
      </c>
      <c r="D102" s="48" t="s">
        <v>39</v>
      </c>
      <c r="E102" s="48"/>
      <c r="F102" s="48">
        <v>48.26</v>
      </c>
      <c r="G102" s="48">
        <v>4.87</v>
      </c>
      <c r="H102" s="82">
        <f t="shared" si="47"/>
        <v>50.695</v>
      </c>
      <c r="I102" s="82">
        <f t="shared" si="48"/>
        <v>53.129999999999995</v>
      </c>
      <c r="J102" s="49">
        <v>5080</v>
      </c>
      <c r="K102" s="50">
        <v>0</v>
      </c>
      <c r="L102" s="48">
        <v>390</v>
      </c>
      <c r="M102" s="48">
        <v>0</v>
      </c>
      <c r="N102" s="51">
        <f t="shared" si="49"/>
        <v>4962</v>
      </c>
      <c r="O102" s="52">
        <f t="shared" si="50"/>
        <v>5470</v>
      </c>
      <c r="P102" s="79">
        <f t="shared" si="51"/>
        <v>90.186408916066668</v>
      </c>
      <c r="Q102" s="53">
        <f t="shared" si="52"/>
        <v>9.2899999999999996E-2</v>
      </c>
      <c r="R102" s="54">
        <f t="shared" si="53"/>
        <v>508</v>
      </c>
      <c r="S102" s="53">
        <v>0.8</v>
      </c>
      <c r="T102" s="54">
        <f t="shared" si="54"/>
        <v>4376</v>
      </c>
      <c r="U102" s="53">
        <f t="shared" si="55"/>
        <v>0.10709999999999997</v>
      </c>
      <c r="V102" s="54">
        <f t="shared" si="56"/>
        <v>585.83699999999988</v>
      </c>
      <c r="W102" s="55">
        <f ca="1">V102*VLOOKUP(TODAY(),'UF HOY'!$A$2:$B$36,2,0)</f>
        <v>23277612.207779996</v>
      </c>
      <c r="X102" s="56">
        <f>Datos!$K$6</f>
        <v>36</v>
      </c>
      <c r="Y102" s="55">
        <f ca="1">IF((W102-Datos!$U$6-1000000)/X102&gt;0,(W102-Datos!$U$6-1000000)/X102,0)</f>
        <v>616044.78354944428</v>
      </c>
      <c r="Z102" s="56">
        <f>Datos!$K$6</f>
        <v>36</v>
      </c>
      <c r="AA102" s="55">
        <f ca="1">IF((W102-Datos!$U$6-1000000-O102*3%*VLOOKUP(TODAY(),'UF HOY'!$A$2:$B$36,2,0))/Z102&gt;0,(W102-Datos!$U$6-1000000-O102*3%*VLOOKUP(TODAY(),'UF HOY'!$A$2:$B$36,2,0))/Z102,0)</f>
        <v>434924.24038277764</v>
      </c>
      <c r="AB102" s="55">
        <f>IF(L102&gt;0,VLOOKUP(D102,Datos!$A$36:$C$40,3,0),VLOOKUP(D102,Datos!$A$36:$C$40,2,0))</f>
        <v>660000</v>
      </c>
      <c r="AC102" s="55">
        <f ca="1">(S102*PMT(Datos!$G$15,Datos!$G$14,-O102,,)*VLOOKUP(TODAY(),'UF HOY'!$A$2:$B$36,2,0)/12)+VLOOKUP(TODAY(),'UF HOY'!$A$2:$B$36,2,0)</f>
        <v>877671.45731767383</v>
      </c>
      <c r="AD102" s="55">
        <f t="shared" ca="1" si="57"/>
        <v>-217671.45731767383</v>
      </c>
      <c r="AE102" s="93">
        <f t="shared" ca="1" si="46"/>
        <v>3510685.8292706953</v>
      </c>
    </row>
    <row r="103" spans="1:31" s="3" customFormat="1" x14ac:dyDescent="0.35">
      <c r="A103" s="94" t="s">
        <v>305</v>
      </c>
      <c r="B103" s="80">
        <v>2106</v>
      </c>
      <c r="C103" s="48" t="s">
        <v>38</v>
      </c>
      <c r="D103" s="48" t="s">
        <v>39</v>
      </c>
      <c r="E103" s="48"/>
      <c r="F103" s="48">
        <v>48.1</v>
      </c>
      <c r="G103" s="48">
        <v>4.87</v>
      </c>
      <c r="H103" s="82">
        <f t="shared" si="47"/>
        <v>50.535000000000004</v>
      </c>
      <c r="I103" s="82">
        <f t="shared" si="48"/>
        <v>52.97</v>
      </c>
      <c r="J103" s="49">
        <v>5100</v>
      </c>
      <c r="K103" s="50">
        <v>0</v>
      </c>
      <c r="L103" s="48">
        <v>390</v>
      </c>
      <c r="M103" s="48">
        <v>0</v>
      </c>
      <c r="N103" s="51">
        <f t="shared" si="49"/>
        <v>4980</v>
      </c>
      <c r="O103" s="52">
        <f t="shared" si="50"/>
        <v>5490</v>
      </c>
      <c r="P103" s="79">
        <f t="shared" si="51"/>
        <v>90.828138913624215</v>
      </c>
      <c r="Q103" s="53">
        <f t="shared" si="52"/>
        <v>9.2899999999999996E-2</v>
      </c>
      <c r="R103" s="54">
        <f t="shared" si="53"/>
        <v>510</v>
      </c>
      <c r="S103" s="53">
        <v>0.8</v>
      </c>
      <c r="T103" s="54">
        <f t="shared" si="54"/>
        <v>4392</v>
      </c>
      <c r="U103" s="53">
        <f t="shared" si="55"/>
        <v>0.10709999999999997</v>
      </c>
      <c r="V103" s="54">
        <f t="shared" si="56"/>
        <v>587.97899999999981</v>
      </c>
      <c r="W103" s="55">
        <f ca="1">V103*VLOOKUP(TODAY(),'UF HOY'!$A$2:$B$36,2,0)</f>
        <v>23362722.307259995</v>
      </c>
      <c r="X103" s="56">
        <f>Datos!$K$6</f>
        <v>36</v>
      </c>
      <c r="Y103" s="55">
        <f ca="1">IF((W103-Datos!$U$6-1000000)/X103&gt;0,(W103-Datos!$U$6-1000000)/X103,0)</f>
        <v>618408.95297944429</v>
      </c>
      <c r="Z103" s="56">
        <f>Datos!$K$6</f>
        <v>36</v>
      </c>
      <c r="AA103" s="55">
        <f ca="1">IF((W103-Datos!$U$6-1000000-O103*3%*VLOOKUP(TODAY(),'UF HOY'!$A$2:$B$36,2,0))/Z103&gt;0,(W103-Datos!$U$6-1000000-O103*3%*VLOOKUP(TODAY(),'UF HOY'!$A$2:$B$36,2,0))/Z103,0)</f>
        <v>436626.1774794443</v>
      </c>
      <c r="AB103" s="55">
        <f>IF(L103&gt;0,VLOOKUP(D103,Datos!$A$36:$C$40,3,0),VLOOKUP(D103,Datos!$A$36:$C$40,2,0))</f>
        <v>660000</v>
      </c>
      <c r="AC103" s="55">
        <f ca="1">(S103*PMT(Datos!$G$15,Datos!$G$14,-O103,,)*VLOOKUP(TODAY(),'UF HOY'!$A$2:$B$36,2,0)/12)+VLOOKUP(TODAY(),'UF HOY'!$A$2:$B$36,2,0)</f>
        <v>880735.21423656843</v>
      </c>
      <c r="AD103" s="55">
        <f t="shared" ca="1" si="57"/>
        <v>-220735.21423656843</v>
      </c>
      <c r="AE103" s="93">
        <f t="shared" ca="1" si="46"/>
        <v>3522940.8569462737</v>
      </c>
    </row>
    <row r="104" spans="1:31" s="3" customFormat="1" x14ac:dyDescent="0.35">
      <c r="A104" s="94" t="s">
        <v>305</v>
      </c>
      <c r="B104" s="80">
        <v>2006</v>
      </c>
      <c r="C104" s="48" t="s">
        <v>38</v>
      </c>
      <c r="D104" s="48" t="s">
        <v>39</v>
      </c>
      <c r="E104" s="48"/>
      <c r="F104" s="48">
        <v>48.26</v>
      </c>
      <c r="G104" s="48">
        <v>4.87</v>
      </c>
      <c r="H104" s="82">
        <f t="shared" si="47"/>
        <v>50.695</v>
      </c>
      <c r="I104" s="82">
        <f t="shared" si="48"/>
        <v>53.129999999999995</v>
      </c>
      <c r="J104" s="49">
        <v>5105</v>
      </c>
      <c r="K104" s="50">
        <v>0</v>
      </c>
      <c r="L104" s="48">
        <v>390</v>
      </c>
      <c r="M104" s="48">
        <v>0</v>
      </c>
      <c r="N104" s="51">
        <f t="shared" si="49"/>
        <v>4984.5</v>
      </c>
      <c r="O104" s="52">
        <f t="shared" si="50"/>
        <v>5495</v>
      </c>
      <c r="P104" s="79">
        <f t="shared" si="51"/>
        <v>90.630239668606364</v>
      </c>
      <c r="Q104" s="53">
        <f t="shared" si="52"/>
        <v>9.2899999999999996E-2</v>
      </c>
      <c r="R104" s="54">
        <f t="shared" si="53"/>
        <v>510.5</v>
      </c>
      <c r="S104" s="53">
        <v>0.8</v>
      </c>
      <c r="T104" s="54">
        <f t="shared" si="54"/>
        <v>4396</v>
      </c>
      <c r="U104" s="53">
        <f t="shared" si="55"/>
        <v>0.10709999999999997</v>
      </c>
      <c r="V104" s="54">
        <f t="shared" si="56"/>
        <v>588.51449999999988</v>
      </c>
      <c r="W104" s="55">
        <f ca="1">V104*VLOOKUP(TODAY(),'UF HOY'!$A$2:$B$36,2,0)</f>
        <v>23383999.832129996</v>
      </c>
      <c r="X104" s="56">
        <f>Datos!$K$6</f>
        <v>36</v>
      </c>
      <c r="Y104" s="55">
        <f ca="1">IF((W104-Datos!$U$6-1000000)/X104&gt;0,(W104-Datos!$U$6-1000000)/X104,0)</f>
        <v>618999.99533694435</v>
      </c>
      <c r="Z104" s="56">
        <f>Datos!$K$6</f>
        <v>36</v>
      </c>
      <c r="AA104" s="55">
        <f ca="1">IF((W104-Datos!$U$6-1000000-O104*3%*VLOOKUP(TODAY(),'UF HOY'!$A$2:$B$36,2,0))/Z104&gt;0,(W104-Datos!$U$6-1000000-O104*3%*VLOOKUP(TODAY(),'UF HOY'!$A$2:$B$36,2,0))/Z104,0)</f>
        <v>437051.661753611</v>
      </c>
      <c r="AB104" s="55">
        <f>IF(L104&gt;0,VLOOKUP(D104,Datos!$A$36:$C$40,3,0),VLOOKUP(D104,Datos!$A$36:$C$40,2,0))</f>
        <v>660000</v>
      </c>
      <c r="AC104" s="55">
        <f ca="1">(S104*PMT(Datos!$G$15,Datos!$G$14,-O104,,)*VLOOKUP(TODAY(),'UF HOY'!$A$2:$B$36,2,0)/12)+VLOOKUP(TODAY(),'UF HOY'!$A$2:$B$36,2,0)</f>
        <v>881501.15346629219</v>
      </c>
      <c r="AD104" s="55">
        <f t="shared" ca="1" si="57"/>
        <v>-221501.15346629219</v>
      </c>
      <c r="AE104" s="93">
        <f t="shared" ca="1" si="46"/>
        <v>3526004.6138651688</v>
      </c>
    </row>
    <row r="105" spans="1:31" s="3" customFormat="1" x14ac:dyDescent="0.35">
      <c r="A105" s="94" t="s">
        <v>305</v>
      </c>
      <c r="B105" s="80">
        <v>2206</v>
      </c>
      <c r="C105" s="48" t="s">
        <v>38</v>
      </c>
      <c r="D105" s="48" t="s">
        <v>39</v>
      </c>
      <c r="E105" s="48"/>
      <c r="F105" s="48">
        <v>48.1</v>
      </c>
      <c r="G105" s="48">
        <v>4.87</v>
      </c>
      <c r="H105" s="82">
        <f t="shared" si="47"/>
        <v>50.535000000000004</v>
      </c>
      <c r="I105" s="82">
        <f t="shared" si="48"/>
        <v>52.97</v>
      </c>
      <c r="J105" s="49">
        <v>5115</v>
      </c>
      <c r="K105" s="50">
        <v>0</v>
      </c>
      <c r="L105" s="48">
        <v>390</v>
      </c>
      <c r="M105" s="48">
        <v>0</v>
      </c>
      <c r="N105" s="51">
        <f t="shared" si="49"/>
        <v>4993.5</v>
      </c>
      <c r="O105" s="52">
        <f t="shared" si="50"/>
        <v>5505</v>
      </c>
      <c r="P105" s="79">
        <f t="shared" si="51"/>
        <v>91.09528049866428</v>
      </c>
      <c r="Q105" s="53">
        <f t="shared" si="52"/>
        <v>9.2899999999999996E-2</v>
      </c>
      <c r="R105" s="54">
        <f t="shared" si="53"/>
        <v>511.5</v>
      </c>
      <c r="S105" s="53">
        <v>0.8</v>
      </c>
      <c r="T105" s="54">
        <f t="shared" si="54"/>
        <v>4404</v>
      </c>
      <c r="U105" s="53">
        <f t="shared" si="55"/>
        <v>0.10709999999999997</v>
      </c>
      <c r="V105" s="54">
        <f t="shared" si="56"/>
        <v>589.5854999999998</v>
      </c>
      <c r="W105" s="55">
        <f ca="1">V105*VLOOKUP(TODAY(),'UF HOY'!$A$2:$B$36,2,0)</f>
        <v>23426554.881869994</v>
      </c>
      <c r="X105" s="56">
        <f>Datos!$K$6</f>
        <v>36</v>
      </c>
      <c r="Y105" s="55">
        <f ca="1">IF((W105-Datos!$U$6-1000000)/X105&gt;0,(W105-Datos!$U$6-1000000)/X105,0)</f>
        <v>620182.08005194424</v>
      </c>
      <c r="Z105" s="56">
        <f>Datos!$K$6</f>
        <v>36</v>
      </c>
      <c r="AA105" s="55">
        <f ca="1">IF((W105-Datos!$U$6-1000000-O105*3%*VLOOKUP(TODAY(),'UF HOY'!$A$2:$B$36,2,0))/Z105&gt;0,(W105-Datos!$U$6-1000000-O105*3%*VLOOKUP(TODAY(),'UF HOY'!$A$2:$B$36,2,0))/Z105,0)</f>
        <v>437902.63030194427</v>
      </c>
      <c r="AB105" s="55">
        <f>IF(L105&gt;0,VLOOKUP(D105,Datos!$A$36:$C$40,3,0),VLOOKUP(D105,Datos!$A$36:$C$40,2,0))</f>
        <v>660000</v>
      </c>
      <c r="AC105" s="55">
        <f ca="1">(S105*PMT(Datos!$G$15,Datos!$G$14,-O105,,)*VLOOKUP(TODAY(),'UF HOY'!$A$2:$B$36,2,0)/12)+VLOOKUP(TODAY(),'UF HOY'!$A$2:$B$36,2,0)</f>
        <v>883033.03192573949</v>
      </c>
      <c r="AD105" s="55">
        <f t="shared" ca="1" si="57"/>
        <v>-223033.03192573949</v>
      </c>
      <c r="AE105" s="93">
        <f t="shared" ca="1" si="46"/>
        <v>3532132.127702958</v>
      </c>
    </row>
    <row r="106" spans="1:31" s="3" customFormat="1" x14ac:dyDescent="0.35">
      <c r="A106" s="94" t="s">
        <v>305</v>
      </c>
      <c r="B106" s="80">
        <v>2306</v>
      </c>
      <c r="C106" s="48" t="s">
        <v>38</v>
      </c>
      <c r="D106" s="48" t="s">
        <v>39</v>
      </c>
      <c r="E106" s="48"/>
      <c r="F106" s="48">
        <v>48.1</v>
      </c>
      <c r="G106" s="48">
        <v>4.87</v>
      </c>
      <c r="H106" s="82">
        <f t="shared" si="47"/>
        <v>50.535000000000004</v>
      </c>
      <c r="I106" s="82">
        <f t="shared" si="48"/>
        <v>52.97</v>
      </c>
      <c r="J106" s="49">
        <v>5125</v>
      </c>
      <c r="K106" s="50">
        <v>0</v>
      </c>
      <c r="L106" s="48">
        <v>390</v>
      </c>
      <c r="M106" s="48">
        <v>0</v>
      </c>
      <c r="N106" s="51">
        <f t="shared" si="49"/>
        <v>5002.5</v>
      </c>
      <c r="O106" s="52">
        <f t="shared" si="50"/>
        <v>5515</v>
      </c>
      <c r="P106" s="79">
        <f t="shared" si="51"/>
        <v>91.273374888690995</v>
      </c>
      <c r="Q106" s="53">
        <f t="shared" si="52"/>
        <v>9.2899999999999996E-2</v>
      </c>
      <c r="R106" s="54">
        <f t="shared" si="53"/>
        <v>512.5</v>
      </c>
      <c r="S106" s="53">
        <v>0.8</v>
      </c>
      <c r="T106" s="54">
        <f t="shared" si="54"/>
        <v>4412</v>
      </c>
      <c r="U106" s="53">
        <f t="shared" si="55"/>
        <v>0.10709999999999997</v>
      </c>
      <c r="V106" s="54">
        <f t="shared" si="56"/>
        <v>590.65649999999982</v>
      </c>
      <c r="W106" s="55">
        <f ca="1">V106*VLOOKUP(TODAY(),'UF HOY'!$A$2:$B$36,2,0)</f>
        <v>23469109.931609996</v>
      </c>
      <c r="X106" s="56">
        <f>Datos!$K$6</f>
        <v>36</v>
      </c>
      <c r="Y106" s="55">
        <f ca="1">IF((W106-Datos!$U$6-1000000)/X106&gt;0,(W106-Datos!$U$6-1000000)/X106,0)</f>
        <v>621364.16476694436</v>
      </c>
      <c r="Z106" s="56">
        <f>Datos!$K$6</f>
        <v>36</v>
      </c>
      <c r="AA106" s="55">
        <f ca="1">IF((W106-Datos!$U$6-1000000-O106*3%*VLOOKUP(TODAY(),'UF HOY'!$A$2:$B$36,2,0))/Z106&gt;0,(W106-Datos!$U$6-1000000-O106*3%*VLOOKUP(TODAY(),'UF HOY'!$A$2:$B$36,2,0))/Z106,0)</f>
        <v>438753.59885027766</v>
      </c>
      <c r="AB106" s="55">
        <f>IF(L106&gt;0,VLOOKUP(D106,Datos!$A$36:$C$40,3,0),VLOOKUP(D106,Datos!$A$36:$C$40,2,0))</f>
        <v>660000</v>
      </c>
      <c r="AC106" s="55">
        <f ca="1">(S106*PMT(Datos!$G$15,Datos!$G$14,-O106,,)*VLOOKUP(TODAY(),'UF HOY'!$A$2:$B$36,2,0)/12)+VLOOKUP(TODAY(),'UF HOY'!$A$2:$B$36,2,0)</f>
        <v>884564.91038518655</v>
      </c>
      <c r="AD106" s="55">
        <f t="shared" ca="1" si="57"/>
        <v>-224564.91038518655</v>
      </c>
      <c r="AE106" s="93">
        <f t="shared" ca="1" si="46"/>
        <v>3538259.6415407462</v>
      </c>
    </row>
    <row r="107" spans="1:31" s="3" customFormat="1" x14ac:dyDescent="0.35">
      <c r="A107" s="94" t="s">
        <v>305</v>
      </c>
      <c r="B107" s="80">
        <v>2406</v>
      </c>
      <c r="C107" s="48" t="s">
        <v>38</v>
      </c>
      <c r="D107" s="48" t="s">
        <v>39</v>
      </c>
      <c r="E107" s="48"/>
      <c r="F107" s="48">
        <v>48.1</v>
      </c>
      <c r="G107" s="48">
        <v>4.87</v>
      </c>
      <c r="H107" s="82">
        <f t="shared" si="47"/>
        <v>50.535000000000004</v>
      </c>
      <c r="I107" s="82">
        <f t="shared" si="48"/>
        <v>52.97</v>
      </c>
      <c r="J107" s="49">
        <v>5140</v>
      </c>
      <c r="K107" s="50">
        <v>0</v>
      </c>
      <c r="L107" s="48">
        <v>390</v>
      </c>
      <c r="M107" s="48">
        <v>0</v>
      </c>
      <c r="N107" s="51">
        <f t="shared" si="49"/>
        <v>5016</v>
      </c>
      <c r="O107" s="52">
        <f t="shared" si="50"/>
        <v>5530</v>
      </c>
      <c r="P107" s="79">
        <f t="shared" si="51"/>
        <v>91.540516473731074</v>
      </c>
      <c r="Q107" s="53">
        <f t="shared" si="52"/>
        <v>9.2899999999999996E-2</v>
      </c>
      <c r="R107" s="54">
        <f t="shared" si="53"/>
        <v>514</v>
      </c>
      <c r="S107" s="53">
        <v>0.8</v>
      </c>
      <c r="T107" s="54">
        <f t="shared" si="54"/>
        <v>4424</v>
      </c>
      <c r="U107" s="53">
        <f t="shared" si="55"/>
        <v>0.10709999999999997</v>
      </c>
      <c r="V107" s="54">
        <f t="shared" si="56"/>
        <v>592.26299999999981</v>
      </c>
      <c r="W107" s="55">
        <f ca="1">V107*VLOOKUP(TODAY(),'UF HOY'!$A$2:$B$36,2,0)</f>
        <v>23532942.506219994</v>
      </c>
      <c r="X107" s="56">
        <f>Datos!$K$6</f>
        <v>36</v>
      </c>
      <c r="Y107" s="55">
        <f ca="1">IF((W107-Datos!$U$6-1000000)/X107&gt;0,(W107-Datos!$U$6-1000000)/X107,0)</f>
        <v>623137.29183944431</v>
      </c>
      <c r="Z107" s="56">
        <f>Datos!$K$6</f>
        <v>36</v>
      </c>
      <c r="AA107" s="55">
        <f ca="1">IF((W107-Datos!$U$6-1000000-O107*3%*VLOOKUP(TODAY(),'UF HOY'!$A$2:$B$36,2,0))/Z107&gt;0,(W107-Datos!$U$6-1000000-O107*3%*VLOOKUP(TODAY(),'UF HOY'!$A$2:$B$36,2,0))/Z107,0)</f>
        <v>440030.05167277757</v>
      </c>
      <c r="AB107" s="55">
        <f>IF(L107&gt;0,VLOOKUP(D107,Datos!$A$36:$C$40,3,0),VLOOKUP(D107,Datos!$A$36:$C$40,2,0))</f>
        <v>660000</v>
      </c>
      <c r="AC107" s="55">
        <f ca="1">(S107*PMT(Datos!$G$15,Datos!$G$14,-O107,,)*VLOOKUP(TODAY(),'UF HOY'!$A$2:$B$36,2,0)/12)+VLOOKUP(TODAY(),'UF HOY'!$A$2:$B$36,2,0)</f>
        <v>886862.72807435784</v>
      </c>
      <c r="AD107" s="55">
        <f t="shared" ca="1" si="57"/>
        <v>-226862.72807435784</v>
      </c>
      <c r="AE107" s="93">
        <f t="shared" ca="1" si="46"/>
        <v>3547450.9122974314</v>
      </c>
    </row>
    <row r="108" spans="1:31" s="3" customFormat="1" x14ac:dyDescent="0.35">
      <c r="A108" s="94" t="s">
        <v>305</v>
      </c>
      <c r="B108" s="80">
        <v>2506</v>
      </c>
      <c r="C108" s="48" t="s">
        <v>38</v>
      </c>
      <c r="D108" s="48" t="s">
        <v>39</v>
      </c>
      <c r="E108" s="48"/>
      <c r="F108" s="48">
        <v>48.1</v>
      </c>
      <c r="G108" s="48">
        <v>4.87</v>
      </c>
      <c r="H108" s="82">
        <f t="shared" si="47"/>
        <v>50.535000000000004</v>
      </c>
      <c r="I108" s="82">
        <f t="shared" si="48"/>
        <v>52.97</v>
      </c>
      <c r="J108" s="49">
        <v>5155</v>
      </c>
      <c r="K108" s="50">
        <v>0</v>
      </c>
      <c r="L108" s="48">
        <v>390</v>
      </c>
      <c r="M108" s="48">
        <v>0</v>
      </c>
      <c r="N108" s="51">
        <f t="shared" si="49"/>
        <v>5029.5</v>
      </c>
      <c r="O108" s="52">
        <f t="shared" si="50"/>
        <v>5545</v>
      </c>
      <c r="P108" s="79">
        <f t="shared" si="51"/>
        <v>91.807658058771139</v>
      </c>
      <c r="Q108" s="53">
        <f t="shared" si="52"/>
        <v>9.2999999999999999E-2</v>
      </c>
      <c r="R108" s="54">
        <f t="shared" si="53"/>
        <v>515.5</v>
      </c>
      <c r="S108" s="53">
        <v>0.8</v>
      </c>
      <c r="T108" s="54">
        <f t="shared" si="54"/>
        <v>4436</v>
      </c>
      <c r="U108" s="53">
        <f t="shared" si="55"/>
        <v>0.10699999999999998</v>
      </c>
      <c r="V108" s="54">
        <f t="shared" si="56"/>
        <v>593.31499999999994</v>
      </c>
      <c r="W108" s="55">
        <f ca="1">V108*VLOOKUP(TODAY(),'UF HOY'!$A$2:$B$36,2,0)</f>
        <v>23574742.611099999</v>
      </c>
      <c r="X108" s="56">
        <f>Datos!$K$6</f>
        <v>36</v>
      </c>
      <c r="Y108" s="55">
        <f ca="1">IF((W108-Datos!$U$6-1000000)/X108&gt;0,(W108-Datos!$U$6-1000000)/X108,0)</f>
        <v>624298.40586388891</v>
      </c>
      <c r="Z108" s="56">
        <f>Datos!$K$6</f>
        <v>36</v>
      </c>
      <c r="AA108" s="55">
        <f ca="1">IF((W108-Datos!$U$6-1000000-O108*3%*VLOOKUP(TODAY(),'UF HOY'!$A$2:$B$36,2,0))/Z108&gt;0,(W108-Datos!$U$6-1000000-O108*3%*VLOOKUP(TODAY(),'UF HOY'!$A$2:$B$36,2,0))/Z108,0)</f>
        <v>440694.49144722219</v>
      </c>
      <c r="AB108" s="55">
        <f>IF(L108&gt;0,VLOOKUP(D108,Datos!$A$36:$C$40,3,0),VLOOKUP(D108,Datos!$A$36:$C$40,2,0))</f>
        <v>660000</v>
      </c>
      <c r="AC108" s="55">
        <f ca="1">(S108*PMT(Datos!$G$15,Datos!$G$14,-O108,,)*VLOOKUP(TODAY(),'UF HOY'!$A$2:$B$36,2,0)/12)+VLOOKUP(TODAY(),'UF HOY'!$A$2:$B$36,2,0)</f>
        <v>889160.54576352844</v>
      </c>
      <c r="AD108" s="55">
        <f t="shared" ca="1" si="57"/>
        <v>-229160.54576352844</v>
      </c>
      <c r="AE108" s="93">
        <f t="shared" ca="1" si="46"/>
        <v>3556642.1830541138</v>
      </c>
    </row>
    <row r="109" spans="1:31" s="3" customFormat="1" x14ac:dyDescent="0.35">
      <c r="A109" s="94" t="s">
        <v>305</v>
      </c>
      <c r="B109" s="80">
        <v>2606</v>
      </c>
      <c r="C109" s="48" t="s">
        <v>38</v>
      </c>
      <c r="D109" s="48" t="s">
        <v>39</v>
      </c>
      <c r="E109" s="48"/>
      <c r="F109" s="48">
        <v>48.1</v>
      </c>
      <c r="G109" s="48">
        <v>4.87</v>
      </c>
      <c r="H109" s="82">
        <f t="shared" si="47"/>
        <v>50.535000000000004</v>
      </c>
      <c r="I109" s="82">
        <f t="shared" si="48"/>
        <v>52.97</v>
      </c>
      <c r="J109" s="49">
        <v>5170</v>
      </c>
      <c r="K109" s="50">
        <v>0</v>
      </c>
      <c r="L109" s="48">
        <v>390</v>
      </c>
      <c r="M109" s="48">
        <v>0</v>
      </c>
      <c r="N109" s="51">
        <f t="shared" si="49"/>
        <v>5043</v>
      </c>
      <c r="O109" s="52">
        <f t="shared" si="50"/>
        <v>5560</v>
      </c>
      <c r="P109" s="79">
        <f t="shared" si="51"/>
        <v>92.074799643811218</v>
      </c>
      <c r="Q109" s="53">
        <f t="shared" si="52"/>
        <v>9.2999999999999999E-2</v>
      </c>
      <c r="R109" s="54">
        <f t="shared" si="53"/>
        <v>517</v>
      </c>
      <c r="S109" s="53">
        <v>0.8</v>
      </c>
      <c r="T109" s="54">
        <f t="shared" si="54"/>
        <v>4448</v>
      </c>
      <c r="U109" s="53">
        <f t="shared" si="55"/>
        <v>0.10699999999999998</v>
      </c>
      <c r="V109" s="54">
        <f t="shared" si="56"/>
        <v>594.91999999999996</v>
      </c>
      <c r="W109" s="55">
        <f ca="1">V109*VLOOKUP(TODAY(),'UF HOY'!$A$2:$B$36,2,0)</f>
        <v>23638515.584800001</v>
      </c>
      <c r="X109" s="56">
        <f>Datos!$K$6</f>
        <v>36</v>
      </c>
      <c r="Y109" s="55">
        <f ca="1">IF((W109-Datos!$U$6-1000000)/X109&gt;0,(W109-Datos!$U$6-1000000)/X109,0)</f>
        <v>626069.87735555554</v>
      </c>
      <c r="Z109" s="56">
        <f>Datos!$K$6</f>
        <v>36</v>
      </c>
      <c r="AA109" s="55">
        <f ca="1">IF((W109-Datos!$U$6-1000000-O109*3%*VLOOKUP(TODAY(),'UF HOY'!$A$2:$B$36,2,0))/Z109&gt;0,(W109-Datos!$U$6-1000000-O109*3%*VLOOKUP(TODAY(),'UF HOY'!$A$2:$B$36,2,0))/Z109,0)</f>
        <v>441969.28868888895</v>
      </c>
      <c r="AB109" s="55">
        <f>IF(L109&gt;0,VLOOKUP(D109,Datos!$A$36:$C$40,3,0),VLOOKUP(D109,Datos!$A$36:$C$40,2,0))</f>
        <v>660000</v>
      </c>
      <c r="AC109" s="55">
        <f ca="1">(S109*PMT(Datos!$G$15,Datos!$G$14,-O109,,)*VLOOKUP(TODAY(),'UF HOY'!$A$2:$B$36,2,0)/12)+VLOOKUP(TODAY(),'UF HOY'!$A$2:$B$36,2,0)</f>
        <v>891458.3634526995</v>
      </c>
      <c r="AD109" s="55">
        <f t="shared" ca="1" si="57"/>
        <v>-231458.3634526995</v>
      </c>
      <c r="AE109" s="93">
        <f t="shared" ca="1" si="46"/>
        <v>3565833.453810798</v>
      </c>
    </row>
    <row r="110" spans="1:31" s="3" customFormat="1" x14ac:dyDescent="0.35">
      <c r="A110" s="94" t="s">
        <v>305</v>
      </c>
      <c r="B110" s="80">
        <v>1414</v>
      </c>
      <c r="C110" s="48" t="s">
        <v>40</v>
      </c>
      <c r="D110" s="48" t="s">
        <v>39</v>
      </c>
      <c r="E110" s="48"/>
      <c r="F110" s="48">
        <v>49.97</v>
      </c>
      <c r="G110" s="48">
        <v>4.05</v>
      </c>
      <c r="H110" s="82">
        <f t="shared" si="47"/>
        <v>51.994999999999997</v>
      </c>
      <c r="I110" s="82">
        <f t="shared" si="48"/>
        <v>54.019999999999996</v>
      </c>
      <c r="J110" s="49">
        <v>5180</v>
      </c>
      <c r="K110" s="50">
        <v>0</v>
      </c>
      <c r="L110" s="48">
        <v>390</v>
      </c>
      <c r="M110" s="48">
        <v>0</v>
      </c>
      <c r="N110" s="51">
        <f t="shared" si="49"/>
        <v>5052</v>
      </c>
      <c r="O110" s="52">
        <f t="shared" si="50"/>
        <v>5570</v>
      </c>
      <c r="P110" s="79">
        <f t="shared" si="51"/>
        <v>89.662467544956243</v>
      </c>
      <c r="Q110" s="53">
        <f t="shared" si="52"/>
        <v>9.2999999999999999E-2</v>
      </c>
      <c r="R110" s="54">
        <f t="shared" si="53"/>
        <v>518</v>
      </c>
      <c r="S110" s="53">
        <v>0.8</v>
      </c>
      <c r="T110" s="54">
        <f t="shared" si="54"/>
        <v>4456</v>
      </c>
      <c r="U110" s="53">
        <f t="shared" si="55"/>
        <v>0.10699999999999998</v>
      </c>
      <c r="V110" s="54">
        <f t="shared" si="56"/>
        <v>595.9899999999999</v>
      </c>
      <c r="W110" s="55">
        <f ca="1">V110*VLOOKUP(TODAY(),'UF HOY'!$A$2:$B$36,2,0)</f>
        <v>23681030.900599997</v>
      </c>
      <c r="X110" s="56">
        <f>Datos!$K$6</f>
        <v>36</v>
      </c>
      <c r="Y110" s="55">
        <f ca="1">IF((W110-Datos!$U$6-1000000)/X110&gt;0,(W110-Datos!$U$6-1000000)/X110,0)</f>
        <v>627250.85834999988</v>
      </c>
      <c r="Z110" s="56">
        <f>Datos!$K$6</f>
        <v>36</v>
      </c>
      <c r="AA110" s="55">
        <f ca="1">IF((W110-Datos!$U$6-1000000-O110*3%*VLOOKUP(TODAY(),'UF HOY'!$A$2:$B$36,2,0))/Z110&gt;0,(W110-Datos!$U$6-1000000-O110*3%*VLOOKUP(TODAY(),'UF HOY'!$A$2:$B$36,2,0))/Z110,0)</f>
        <v>442819.15351666661</v>
      </c>
      <c r="AB110" s="55">
        <f>IF(L110&gt;0,VLOOKUP(D110,Datos!$A$36:$C$40,3,0),VLOOKUP(D110,Datos!$A$36:$C$40,2,0))</f>
        <v>660000</v>
      </c>
      <c r="AC110" s="55">
        <f ca="1">(S110*PMT(Datos!$G$15,Datos!$G$14,-O110,,)*VLOOKUP(TODAY(),'UF HOY'!$A$2:$B$36,2,0)/12)+VLOOKUP(TODAY(),'UF HOY'!$A$2:$B$36,2,0)</f>
        <v>892990.2419121468</v>
      </c>
      <c r="AD110" s="55">
        <f t="shared" ca="1" si="57"/>
        <v>-232990.2419121468</v>
      </c>
      <c r="AE110" s="93">
        <f t="shared" ca="1" si="46"/>
        <v>3571960.9676485872</v>
      </c>
    </row>
    <row r="111" spans="1:31" s="3" customFormat="1" x14ac:dyDescent="0.35">
      <c r="A111" s="94" t="s">
        <v>305</v>
      </c>
      <c r="B111" s="80">
        <v>2706</v>
      </c>
      <c r="C111" s="48" t="s">
        <v>38</v>
      </c>
      <c r="D111" s="48" t="s">
        <v>39</v>
      </c>
      <c r="E111" s="48"/>
      <c r="F111" s="48">
        <v>48.1</v>
      </c>
      <c r="G111" s="48">
        <v>4.87</v>
      </c>
      <c r="H111" s="82">
        <f t="shared" si="47"/>
        <v>50.535000000000004</v>
      </c>
      <c r="I111" s="82">
        <f t="shared" si="48"/>
        <v>52.97</v>
      </c>
      <c r="J111" s="49">
        <v>5180</v>
      </c>
      <c r="K111" s="50">
        <v>0</v>
      </c>
      <c r="L111" s="48">
        <v>390</v>
      </c>
      <c r="M111" s="48">
        <v>0</v>
      </c>
      <c r="N111" s="51">
        <f t="shared" si="49"/>
        <v>5052</v>
      </c>
      <c r="O111" s="52">
        <f t="shared" si="50"/>
        <v>5570</v>
      </c>
      <c r="P111" s="79">
        <f t="shared" si="51"/>
        <v>92.252894033837933</v>
      </c>
      <c r="Q111" s="53">
        <f t="shared" si="52"/>
        <v>9.2999999999999999E-2</v>
      </c>
      <c r="R111" s="54">
        <f t="shared" si="53"/>
        <v>518</v>
      </c>
      <c r="S111" s="53">
        <v>0.8</v>
      </c>
      <c r="T111" s="54">
        <f t="shared" si="54"/>
        <v>4456</v>
      </c>
      <c r="U111" s="53">
        <f t="shared" si="55"/>
        <v>0.10699999999999998</v>
      </c>
      <c r="V111" s="54">
        <f t="shared" si="56"/>
        <v>595.9899999999999</v>
      </c>
      <c r="W111" s="55">
        <f ca="1">V111*VLOOKUP(TODAY(),'UF HOY'!$A$2:$B$36,2,0)</f>
        <v>23681030.900599997</v>
      </c>
      <c r="X111" s="56">
        <f>Datos!$K$6</f>
        <v>36</v>
      </c>
      <c r="Y111" s="55">
        <f ca="1">IF((W111-Datos!$U$6-1000000)/X111&gt;0,(W111-Datos!$U$6-1000000)/X111,0)</f>
        <v>627250.85834999988</v>
      </c>
      <c r="Z111" s="56">
        <f>Datos!$K$6</f>
        <v>36</v>
      </c>
      <c r="AA111" s="55">
        <f ca="1">IF((W111-Datos!$U$6-1000000-O111*3%*VLOOKUP(TODAY(),'UF HOY'!$A$2:$B$36,2,0))/Z111&gt;0,(W111-Datos!$U$6-1000000-O111*3%*VLOOKUP(TODAY(),'UF HOY'!$A$2:$B$36,2,0))/Z111,0)</f>
        <v>442819.15351666661</v>
      </c>
      <c r="AB111" s="55">
        <f>IF(L111&gt;0,VLOOKUP(D111,Datos!$A$36:$C$40,3,0),VLOOKUP(D111,Datos!$A$36:$C$40,2,0))</f>
        <v>660000</v>
      </c>
      <c r="AC111" s="55">
        <f ca="1">(S111*PMT(Datos!$G$15,Datos!$G$14,-O111,,)*VLOOKUP(TODAY(),'UF HOY'!$A$2:$B$36,2,0)/12)+VLOOKUP(TODAY(),'UF HOY'!$A$2:$B$36,2,0)</f>
        <v>892990.2419121468</v>
      </c>
      <c r="AD111" s="55">
        <f t="shared" ca="1" si="57"/>
        <v>-232990.2419121468</v>
      </c>
      <c r="AE111" s="93">
        <f t="shared" ca="1" si="46"/>
        <v>3571960.9676485872</v>
      </c>
    </row>
    <row r="112" spans="1:31" s="3" customFormat="1" x14ac:dyDescent="0.35">
      <c r="A112" s="94" t="s">
        <v>305</v>
      </c>
      <c r="B112" s="80">
        <v>1514</v>
      </c>
      <c r="C112" s="48" t="s">
        <v>40</v>
      </c>
      <c r="D112" s="48" t="s">
        <v>39</v>
      </c>
      <c r="E112" s="48"/>
      <c r="F112" s="48">
        <v>49.97</v>
      </c>
      <c r="G112" s="48">
        <v>4.05</v>
      </c>
      <c r="H112" s="82">
        <f t="shared" si="47"/>
        <v>51.994999999999997</v>
      </c>
      <c r="I112" s="82">
        <f t="shared" si="48"/>
        <v>54.019999999999996</v>
      </c>
      <c r="J112" s="49">
        <v>5195</v>
      </c>
      <c r="K112" s="50">
        <v>0</v>
      </c>
      <c r="L112" s="48">
        <v>390</v>
      </c>
      <c r="M112" s="48">
        <v>0</v>
      </c>
      <c r="N112" s="51">
        <f t="shared" si="49"/>
        <v>5065.5</v>
      </c>
      <c r="O112" s="52">
        <f t="shared" si="50"/>
        <v>5585</v>
      </c>
      <c r="P112" s="79">
        <f t="shared" si="51"/>
        <v>89.922107894989907</v>
      </c>
      <c r="Q112" s="53">
        <f t="shared" si="52"/>
        <v>9.2999999999999999E-2</v>
      </c>
      <c r="R112" s="54">
        <f t="shared" si="53"/>
        <v>519.5</v>
      </c>
      <c r="S112" s="53">
        <v>0.8</v>
      </c>
      <c r="T112" s="54">
        <f t="shared" si="54"/>
        <v>4468</v>
      </c>
      <c r="U112" s="53">
        <f t="shared" si="55"/>
        <v>0.10699999999999998</v>
      </c>
      <c r="V112" s="54">
        <f t="shared" si="56"/>
        <v>597.59499999999991</v>
      </c>
      <c r="W112" s="55">
        <f ca="1">V112*VLOOKUP(TODAY(),'UF HOY'!$A$2:$B$36,2,0)</f>
        <v>23744803.874299999</v>
      </c>
      <c r="X112" s="56">
        <f>Datos!$K$6</f>
        <v>36</v>
      </c>
      <c r="Y112" s="55">
        <f ca="1">IF((W112-Datos!$U$6-1000000)/X112&gt;0,(W112-Datos!$U$6-1000000)/X112,0)</f>
        <v>629022.32984166662</v>
      </c>
      <c r="Z112" s="56">
        <f>Datos!$K$6</f>
        <v>36</v>
      </c>
      <c r="AA112" s="55">
        <f ca="1">IF((W112-Datos!$U$6-1000000-O112*3%*VLOOKUP(TODAY(),'UF HOY'!$A$2:$B$36,2,0))/Z112&gt;0,(W112-Datos!$U$6-1000000-O112*3%*VLOOKUP(TODAY(),'UF HOY'!$A$2:$B$36,2,0))/Z112,0)</f>
        <v>444093.95075833332</v>
      </c>
      <c r="AB112" s="55">
        <f>IF(L112&gt;0,VLOOKUP(D112,Datos!$A$36:$C$40,3,0),VLOOKUP(D112,Datos!$A$36:$C$40,2,0))</f>
        <v>660000</v>
      </c>
      <c r="AC112" s="55">
        <f ca="1">(S112*PMT(Datos!$G$15,Datos!$G$14,-O112,,)*VLOOKUP(TODAY(),'UF HOY'!$A$2:$B$36,2,0)/12)+VLOOKUP(TODAY(),'UF HOY'!$A$2:$B$36,2,0)</f>
        <v>895288.05960131786</v>
      </c>
      <c r="AD112" s="55">
        <f t="shared" ca="1" si="57"/>
        <v>-235288.05960131786</v>
      </c>
      <c r="AE112" s="93">
        <f t="shared" ca="1" si="46"/>
        <v>3581152.2384052714</v>
      </c>
    </row>
    <row r="113" spans="1:31" s="3" customFormat="1" x14ac:dyDescent="0.35">
      <c r="A113" s="94" t="s">
        <v>305</v>
      </c>
      <c r="B113" s="80">
        <v>2806</v>
      </c>
      <c r="C113" s="48" t="s">
        <v>38</v>
      </c>
      <c r="D113" s="48" t="s">
        <v>39</v>
      </c>
      <c r="E113" s="48"/>
      <c r="F113" s="48">
        <v>48.1</v>
      </c>
      <c r="G113" s="48">
        <v>4.87</v>
      </c>
      <c r="H113" s="82">
        <f t="shared" si="47"/>
        <v>50.535000000000004</v>
      </c>
      <c r="I113" s="82">
        <f t="shared" si="48"/>
        <v>52.97</v>
      </c>
      <c r="J113" s="49">
        <v>5200</v>
      </c>
      <c r="K113" s="50">
        <v>0</v>
      </c>
      <c r="L113" s="48">
        <v>390</v>
      </c>
      <c r="M113" s="48">
        <v>0</v>
      </c>
      <c r="N113" s="51">
        <f t="shared" si="49"/>
        <v>5070</v>
      </c>
      <c r="O113" s="52">
        <f t="shared" si="50"/>
        <v>5590</v>
      </c>
      <c r="P113" s="79">
        <f t="shared" si="51"/>
        <v>92.609082813891362</v>
      </c>
      <c r="Q113" s="53">
        <f t="shared" si="52"/>
        <v>9.2999999999999999E-2</v>
      </c>
      <c r="R113" s="54">
        <f t="shared" si="53"/>
        <v>520</v>
      </c>
      <c r="S113" s="53">
        <v>0.8</v>
      </c>
      <c r="T113" s="54">
        <f t="shared" si="54"/>
        <v>4472</v>
      </c>
      <c r="U113" s="53">
        <f t="shared" si="55"/>
        <v>0.10699999999999998</v>
      </c>
      <c r="V113" s="54">
        <f t="shared" si="56"/>
        <v>598.12999999999988</v>
      </c>
      <c r="W113" s="55">
        <f ca="1">V113*VLOOKUP(TODAY(),'UF HOY'!$A$2:$B$36,2,0)</f>
        <v>23766061.532199997</v>
      </c>
      <c r="X113" s="56">
        <f>Datos!$K$6</f>
        <v>36</v>
      </c>
      <c r="Y113" s="55">
        <f ca="1">IF((W113-Datos!$U$6-1000000)/X113&gt;0,(W113-Datos!$U$6-1000000)/X113,0)</f>
        <v>629612.82033888879</v>
      </c>
      <c r="Z113" s="56">
        <f>Datos!$K$6</f>
        <v>36</v>
      </c>
      <c r="AA113" s="55">
        <f ca="1">IF((W113-Datos!$U$6-1000000-O113*3%*VLOOKUP(TODAY(),'UF HOY'!$A$2:$B$36,2,0))/Z113&gt;0,(W113-Datos!$U$6-1000000-O113*3%*VLOOKUP(TODAY(),'UF HOY'!$A$2:$B$36,2,0))/Z113,0)</f>
        <v>444518.88317222218</v>
      </c>
      <c r="AB113" s="55">
        <f>IF(L113&gt;0,VLOOKUP(D113,Datos!$A$36:$C$40,3,0),VLOOKUP(D113,Datos!$A$36:$C$40,2,0))</f>
        <v>660000</v>
      </c>
      <c r="AC113" s="55">
        <f ca="1">(S113*PMT(Datos!$G$15,Datos!$G$14,-O113,,)*VLOOKUP(TODAY(),'UF HOY'!$A$2:$B$36,2,0)/12)+VLOOKUP(TODAY(),'UF HOY'!$A$2:$B$36,2,0)</f>
        <v>896053.99883104139</v>
      </c>
      <c r="AD113" s="55">
        <f t="shared" ca="1" si="57"/>
        <v>-236053.99883104139</v>
      </c>
      <c r="AE113" s="93">
        <f t="shared" ca="1" si="46"/>
        <v>3584215.9953241656</v>
      </c>
    </row>
    <row r="114" spans="1:31" s="3" customFormat="1" x14ac:dyDescent="0.35">
      <c r="A114" s="94" t="s">
        <v>305</v>
      </c>
      <c r="B114" s="80">
        <v>1614</v>
      </c>
      <c r="C114" s="48" t="s">
        <v>40</v>
      </c>
      <c r="D114" s="48" t="s">
        <v>39</v>
      </c>
      <c r="E114" s="48"/>
      <c r="F114" s="48">
        <v>49.97</v>
      </c>
      <c r="G114" s="48">
        <v>4.05</v>
      </c>
      <c r="H114" s="82">
        <f t="shared" si="47"/>
        <v>51.994999999999997</v>
      </c>
      <c r="I114" s="82">
        <f t="shared" si="48"/>
        <v>54.019999999999996</v>
      </c>
      <c r="J114" s="49">
        <v>5220</v>
      </c>
      <c r="K114" s="50">
        <v>0</v>
      </c>
      <c r="L114" s="48">
        <v>390</v>
      </c>
      <c r="M114" s="48">
        <v>0</v>
      </c>
      <c r="N114" s="51">
        <f t="shared" si="49"/>
        <v>5088</v>
      </c>
      <c r="O114" s="52">
        <f t="shared" si="50"/>
        <v>5610</v>
      </c>
      <c r="P114" s="79">
        <f t="shared" si="51"/>
        <v>90.354841811712674</v>
      </c>
      <c r="Q114" s="53">
        <f t="shared" si="52"/>
        <v>9.2999999999999999E-2</v>
      </c>
      <c r="R114" s="54">
        <f t="shared" si="53"/>
        <v>522</v>
      </c>
      <c r="S114" s="53">
        <v>0.8</v>
      </c>
      <c r="T114" s="54">
        <f t="shared" si="54"/>
        <v>4488</v>
      </c>
      <c r="U114" s="53">
        <f t="shared" si="55"/>
        <v>0.10699999999999998</v>
      </c>
      <c r="V114" s="54">
        <f t="shared" si="56"/>
        <v>600.26999999999987</v>
      </c>
      <c r="W114" s="55">
        <f ca="1">V114*VLOOKUP(TODAY(),'UF HOY'!$A$2:$B$36,2,0)</f>
        <v>23851092.163799997</v>
      </c>
      <c r="X114" s="56">
        <f>Datos!$K$6</f>
        <v>36</v>
      </c>
      <c r="Y114" s="55">
        <f ca="1">IF((W114-Datos!$U$6-1000000)/X114&gt;0,(W114-Datos!$U$6-1000000)/X114,0)</f>
        <v>631974.78232777771</v>
      </c>
      <c r="Z114" s="56">
        <f>Datos!$K$6</f>
        <v>36</v>
      </c>
      <c r="AA114" s="55">
        <f ca="1">IF((W114-Datos!$U$6-1000000-O114*3%*VLOOKUP(TODAY(),'UF HOY'!$A$2:$B$36,2,0))/Z114&gt;0,(W114-Datos!$U$6-1000000-O114*3%*VLOOKUP(TODAY(),'UF HOY'!$A$2:$B$36,2,0))/Z114,0)</f>
        <v>446218.61282777769</v>
      </c>
      <c r="AB114" s="55">
        <f>IF(L114&gt;0,VLOOKUP(D114,Datos!$A$36:$C$40,3,0),VLOOKUP(D114,Datos!$A$36:$C$40,2,0))</f>
        <v>660000</v>
      </c>
      <c r="AC114" s="55">
        <f ca="1">(S114*PMT(Datos!$G$15,Datos!$G$14,-O114,,)*VLOOKUP(TODAY(),'UF HOY'!$A$2:$B$36,2,0)/12)+VLOOKUP(TODAY(),'UF HOY'!$A$2:$B$36,2,0)</f>
        <v>899117.75574993622</v>
      </c>
      <c r="AD114" s="55">
        <f t="shared" ca="1" si="57"/>
        <v>-239117.75574993622</v>
      </c>
      <c r="AE114" s="93">
        <f t="shared" ca="1" si="46"/>
        <v>3596471.0229997449</v>
      </c>
    </row>
    <row r="115" spans="1:31" s="3" customFormat="1" x14ac:dyDescent="0.35">
      <c r="A115" s="94" t="s">
        <v>305</v>
      </c>
      <c r="B115" s="80">
        <v>1309</v>
      </c>
      <c r="C115" s="48" t="s">
        <v>36</v>
      </c>
      <c r="D115" s="48" t="s">
        <v>39</v>
      </c>
      <c r="E115" s="48"/>
      <c r="F115" s="48">
        <v>48.72</v>
      </c>
      <c r="G115" s="48">
        <v>8.48</v>
      </c>
      <c r="H115" s="82">
        <f t="shared" si="47"/>
        <v>52.96</v>
      </c>
      <c r="I115" s="82">
        <f t="shared" si="48"/>
        <v>57.2</v>
      </c>
      <c r="J115" s="49">
        <v>5230</v>
      </c>
      <c r="K115" s="50">
        <v>0</v>
      </c>
      <c r="L115" s="48">
        <v>390</v>
      </c>
      <c r="M115" s="48">
        <v>0</v>
      </c>
      <c r="N115" s="51">
        <f t="shared" si="49"/>
        <v>5097</v>
      </c>
      <c r="O115" s="52">
        <f t="shared" si="50"/>
        <v>5620</v>
      </c>
      <c r="P115" s="79">
        <f t="shared" si="51"/>
        <v>88.878398791540789</v>
      </c>
      <c r="Q115" s="53">
        <f t="shared" si="52"/>
        <v>9.3100000000000002E-2</v>
      </c>
      <c r="R115" s="54">
        <f t="shared" si="53"/>
        <v>523</v>
      </c>
      <c r="S115" s="53">
        <v>0.8</v>
      </c>
      <c r="T115" s="54">
        <f t="shared" si="54"/>
        <v>4496</v>
      </c>
      <c r="U115" s="53">
        <f t="shared" si="55"/>
        <v>0.1069</v>
      </c>
      <c r="V115" s="54">
        <f t="shared" si="56"/>
        <v>600.77800000000002</v>
      </c>
      <c r="W115" s="55">
        <f ca="1">V115*VLOOKUP(TODAY(),'UF HOY'!$A$2:$B$36,2,0)</f>
        <v>23871277.005320001</v>
      </c>
      <c r="X115" s="56">
        <f>Datos!$K$6</f>
        <v>36</v>
      </c>
      <c r="Y115" s="55">
        <f ca="1">IF((W115-Datos!$U$6-1000000)/X115&gt;0,(W115-Datos!$U$6-1000000)/X115,0)</f>
        <v>632535.47237000009</v>
      </c>
      <c r="Z115" s="56">
        <f>Datos!$K$6</f>
        <v>36</v>
      </c>
      <c r="AA115" s="55">
        <f ca="1">IF((W115-Datos!$U$6-1000000-O115*3%*VLOOKUP(TODAY(),'UF HOY'!$A$2:$B$36,2,0))/Z115&gt;0,(W115-Datos!$U$6-1000000-O115*3%*VLOOKUP(TODAY(),'UF HOY'!$A$2:$B$36,2,0))/Z115,0)</f>
        <v>446448.1867033334</v>
      </c>
      <c r="AB115" s="55">
        <f>IF(L115&gt;0,VLOOKUP(D115,Datos!$A$36:$C$40,3,0),VLOOKUP(D115,Datos!$A$36:$C$40,2,0))</f>
        <v>660000</v>
      </c>
      <c r="AC115" s="55">
        <f ca="1">(S115*PMT(Datos!$G$15,Datos!$G$14,-O115,,)*VLOOKUP(TODAY(),'UF HOY'!$A$2:$B$36,2,0)/12)+VLOOKUP(TODAY(),'UF HOY'!$A$2:$B$36,2,0)</f>
        <v>900649.63420938328</v>
      </c>
      <c r="AD115" s="55">
        <f t="shared" ca="1" si="57"/>
        <v>-240649.63420938328</v>
      </c>
      <c r="AE115" s="93">
        <f t="shared" ca="1" si="46"/>
        <v>3602598.5368375331</v>
      </c>
    </row>
    <row r="116" spans="1:31" s="3" customFormat="1" x14ac:dyDescent="0.35">
      <c r="A116" s="94" t="s">
        <v>305</v>
      </c>
      <c r="B116" s="80">
        <v>1714</v>
      </c>
      <c r="C116" s="48" t="s">
        <v>40</v>
      </c>
      <c r="D116" s="48" t="s">
        <v>39</v>
      </c>
      <c r="E116" s="48"/>
      <c r="F116" s="48">
        <v>49.97</v>
      </c>
      <c r="G116" s="48">
        <v>4.05</v>
      </c>
      <c r="H116" s="82">
        <f t="shared" si="47"/>
        <v>51.994999999999997</v>
      </c>
      <c r="I116" s="82">
        <f t="shared" si="48"/>
        <v>54.019999999999996</v>
      </c>
      <c r="J116" s="49">
        <v>5240</v>
      </c>
      <c r="K116" s="50">
        <v>0</v>
      </c>
      <c r="L116" s="48">
        <v>390</v>
      </c>
      <c r="M116" s="48">
        <v>0</v>
      </c>
      <c r="N116" s="51">
        <f t="shared" si="49"/>
        <v>5106</v>
      </c>
      <c r="O116" s="52">
        <f t="shared" si="50"/>
        <v>5630</v>
      </c>
      <c r="P116" s="79">
        <f t="shared" si="51"/>
        <v>90.701028945090883</v>
      </c>
      <c r="Q116" s="53">
        <f t="shared" si="52"/>
        <v>9.3100000000000002E-2</v>
      </c>
      <c r="R116" s="54">
        <f t="shared" si="53"/>
        <v>524</v>
      </c>
      <c r="S116" s="53">
        <v>0.8</v>
      </c>
      <c r="T116" s="54">
        <f t="shared" si="54"/>
        <v>4504</v>
      </c>
      <c r="U116" s="53">
        <f t="shared" si="55"/>
        <v>0.1069</v>
      </c>
      <c r="V116" s="54">
        <f t="shared" si="56"/>
        <v>601.84699999999998</v>
      </c>
      <c r="W116" s="55">
        <f ca="1">V116*VLOOKUP(TODAY(),'UF HOY'!$A$2:$B$36,2,0)</f>
        <v>23913752.58718</v>
      </c>
      <c r="X116" s="56">
        <f>Datos!$K$6</f>
        <v>36</v>
      </c>
      <c r="Y116" s="55">
        <f ca="1">IF((W116-Datos!$U$6-1000000)/X116&gt;0,(W116-Datos!$U$6-1000000)/X116,0)</f>
        <v>633715.34964388888</v>
      </c>
      <c r="Z116" s="56">
        <f>Datos!$K$6</f>
        <v>36</v>
      </c>
      <c r="AA116" s="55">
        <f ca="1">IF((W116-Datos!$U$6-1000000-O116*3%*VLOOKUP(TODAY(),'UF HOY'!$A$2:$B$36,2,0))/Z116&gt;0,(W116-Datos!$U$6-1000000-O116*3%*VLOOKUP(TODAY(),'UF HOY'!$A$2:$B$36,2,0))/Z116,0)</f>
        <v>447296.94781055552</v>
      </c>
      <c r="AB116" s="55">
        <f>IF(L116&gt;0,VLOOKUP(D116,Datos!$A$36:$C$40,3,0),VLOOKUP(D116,Datos!$A$36:$C$40,2,0))</f>
        <v>660000</v>
      </c>
      <c r="AC116" s="55">
        <f ca="1">(S116*PMT(Datos!$G$15,Datos!$G$14,-O116,,)*VLOOKUP(TODAY(),'UF HOY'!$A$2:$B$36,2,0)/12)+VLOOKUP(TODAY(),'UF HOY'!$A$2:$B$36,2,0)</f>
        <v>902181.51266883058</v>
      </c>
      <c r="AD116" s="55">
        <f t="shared" ca="1" si="57"/>
        <v>-242181.51266883058</v>
      </c>
      <c r="AE116" s="93">
        <f t="shared" ca="1" si="46"/>
        <v>3608726.0506753223</v>
      </c>
    </row>
    <row r="117" spans="1:31" s="3" customFormat="1" x14ac:dyDescent="0.35">
      <c r="A117" s="94" t="s">
        <v>305</v>
      </c>
      <c r="B117" s="80">
        <v>1409</v>
      </c>
      <c r="C117" s="48" t="s">
        <v>36</v>
      </c>
      <c r="D117" s="48" t="s">
        <v>39</v>
      </c>
      <c r="E117" s="48"/>
      <c r="F117" s="48">
        <v>48.72</v>
      </c>
      <c r="G117" s="48">
        <v>8.48</v>
      </c>
      <c r="H117" s="82">
        <f t="shared" si="47"/>
        <v>52.96</v>
      </c>
      <c r="I117" s="82">
        <f t="shared" si="48"/>
        <v>57.2</v>
      </c>
      <c r="J117" s="49">
        <v>5250</v>
      </c>
      <c r="K117" s="50">
        <v>0</v>
      </c>
      <c r="L117" s="48">
        <v>390</v>
      </c>
      <c r="M117" s="48">
        <v>0</v>
      </c>
      <c r="N117" s="51">
        <f t="shared" si="49"/>
        <v>5115</v>
      </c>
      <c r="O117" s="52">
        <f t="shared" si="50"/>
        <v>5640</v>
      </c>
      <c r="P117" s="79">
        <f t="shared" si="51"/>
        <v>89.218277945619334</v>
      </c>
      <c r="Q117" s="53">
        <f t="shared" si="52"/>
        <v>9.3100000000000002E-2</v>
      </c>
      <c r="R117" s="54">
        <f t="shared" si="53"/>
        <v>525</v>
      </c>
      <c r="S117" s="53">
        <v>0.8</v>
      </c>
      <c r="T117" s="54">
        <f t="shared" si="54"/>
        <v>4512</v>
      </c>
      <c r="U117" s="53">
        <f t="shared" si="55"/>
        <v>0.1069</v>
      </c>
      <c r="V117" s="54">
        <f t="shared" si="56"/>
        <v>602.91599999999994</v>
      </c>
      <c r="W117" s="55">
        <f ca="1">V117*VLOOKUP(TODAY(),'UF HOY'!$A$2:$B$36,2,0)</f>
        <v>23956228.169039998</v>
      </c>
      <c r="X117" s="56">
        <f>Datos!$K$6</f>
        <v>36</v>
      </c>
      <c r="Y117" s="55">
        <f ca="1">IF((W117-Datos!$U$6-1000000)/X117&gt;0,(W117-Datos!$U$6-1000000)/X117,0)</f>
        <v>634895.22691777768</v>
      </c>
      <c r="Z117" s="56">
        <f>Datos!$K$6</f>
        <v>36</v>
      </c>
      <c r="AA117" s="55">
        <f ca="1">IF((W117-Datos!$U$6-1000000-O117*3%*VLOOKUP(TODAY(),'UF HOY'!$A$2:$B$36,2,0))/Z117&gt;0,(W117-Datos!$U$6-1000000-O117*3%*VLOOKUP(TODAY(),'UF HOY'!$A$2:$B$36,2,0))/Z117,0)</f>
        <v>448145.70891777775</v>
      </c>
      <c r="AB117" s="55">
        <f>IF(L117&gt;0,VLOOKUP(D117,Datos!$A$36:$C$40,3,0),VLOOKUP(D117,Datos!$A$36:$C$40,2,0))</f>
        <v>660000</v>
      </c>
      <c r="AC117" s="55">
        <f ca="1">(S117*PMT(Datos!$G$15,Datos!$G$14,-O117,,)*VLOOKUP(TODAY(),'UF HOY'!$A$2:$B$36,2,0)/12)+VLOOKUP(TODAY(),'UF HOY'!$A$2:$B$36,2,0)</f>
        <v>903713.39112827787</v>
      </c>
      <c r="AD117" s="55">
        <f t="shared" ca="1" si="57"/>
        <v>-243713.39112827787</v>
      </c>
      <c r="AE117" s="93">
        <f t="shared" ca="1" si="46"/>
        <v>3614853.5645131115</v>
      </c>
    </row>
    <row r="118" spans="1:31" s="3" customFormat="1" x14ac:dyDescent="0.35">
      <c r="A118" s="94" t="s">
        <v>305</v>
      </c>
      <c r="B118" s="80">
        <v>1814</v>
      </c>
      <c r="C118" s="48" t="s">
        <v>40</v>
      </c>
      <c r="D118" s="48" t="s">
        <v>39</v>
      </c>
      <c r="E118" s="48"/>
      <c r="F118" s="48">
        <v>49.97</v>
      </c>
      <c r="G118" s="48">
        <v>4.05</v>
      </c>
      <c r="H118" s="82">
        <f t="shared" si="47"/>
        <v>51.994999999999997</v>
      </c>
      <c r="I118" s="82">
        <f t="shared" si="48"/>
        <v>54.019999999999996</v>
      </c>
      <c r="J118" s="49">
        <v>5260</v>
      </c>
      <c r="K118" s="50">
        <v>0</v>
      </c>
      <c r="L118" s="48">
        <v>390</v>
      </c>
      <c r="M118" s="48">
        <v>0</v>
      </c>
      <c r="N118" s="51">
        <f t="shared" si="49"/>
        <v>5124</v>
      </c>
      <c r="O118" s="52">
        <f t="shared" si="50"/>
        <v>5650</v>
      </c>
      <c r="P118" s="79">
        <f t="shared" si="51"/>
        <v>91.047216078469091</v>
      </c>
      <c r="Q118" s="53">
        <f t="shared" si="52"/>
        <v>9.3100000000000002E-2</v>
      </c>
      <c r="R118" s="54">
        <f t="shared" si="53"/>
        <v>526</v>
      </c>
      <c r="S118" s="53">
        <v>0.8</v>
      </c>
      <c r="T118" s="54">
        <f t="shared" si="54"/>
        <v>4520</v>
      </c>
      <c r="U118" s="53">
        <f t="shared" si="55"/>
        <v>0.1069</v>
      </c>
      <c r="V118" s="54">
        <f t="shared" si="56"/>
        <v>603.98500000000001</v>
      </c>
      <c r="W118" s="55">
        <f ca="1">V118*VLOOKUP(TODAY(),'UF HOY'!$A$2:$B$36,2,0)</f>
        <v>23998703.7509</v>
      </c>
      <c r="X118" s="56">
        <f>Datos!$K$6</f>
        <v>36</v>
      </c>
      <c r="Y118" s="55">
        <f ca="1">IF((W118-Datos!$U$6-1000000)/X118&gt;0,(W118-Datos!$U$6-1000000)/X118,0)</f>
        <v>636075.1041916667</v>
      </c>
      <c r="Z118" s="56">
        <f>Datos!$K$6</f>
        <v>36</v>
      </c>
      <c r="AA118" s="55">
        <f ca="1">IF((W118-Datos!$U$6-1000000-O118*3%*VLOOKUP(TODAY(),'UF HOY'!$A$2:$B$36,2,0))/Z118&gt;0,(W118-Datos!$U$6-1000000-O118*3%*VLOOKUP(TODAY(),'UF HOY'!$A$2:$B$36,2,0))/Z118,0)</f>
        <v>448994.47002499999</v>
      </c>
      <c r="AB118" s="55">
        <f>IF(L118&gt;0,VLOOKUP(D118,Datos!$A$36:$C$40,3,0),VLOOKUP(D118,Datos!$A$36:$C$40,2,0))</f>
        <v>660000</v>
      </c>
      <c r="AC118" s="55">
        <f ca="1">(S118*PMT(Datos!$G$15,Datos!$G$14,-O118,,)*VLOOKUP(TODAY(),'UF HOY'!$A$2:$B$36,2,0)/12)+VLOOKUP(TODAY(),'UF HOY'!$A$2:$B$36,2,0)</f>
        <v>905245.2695877254</v>
      </c>
      <c r="AD118" s="55">
        <f t="shared" ca="1" si="57"/>
        <v>-245245.2695877254</v>
      </c>
      <c r="AE118" s="93">
        <f t="shared" ca="1" si="46"/>
        <v>3620981.0783509016</v>
      </c>
    </row>
    <row r="119" spans="1:31" s="3" customFormat="1" x14ac:dyDescent="0.35">
      <c r="A119" s="94" t="s">
        <v>305</v>
      </c>
      <c r="B119" s="80">
        <v>3106</v>
      </c>
      <c r="C119" s="48" t="s">
        <v>38</v>
      </c>
      <c r="D119" s="48" t="s">
        <v>39</v>
      </c>
      <c r="E119" s="48"/>
      <c r="F119" s="48">
        <v>48.81</v>
      </c>
      <c r="G119" s="48">
        <v>4.87</v>
      </c>
      <c r="H119" s="82">
        <f t="shared" si="47"/>
        <v>51.245000000000005</v>
      </c>
      <c r="I119" s="82">
        <f t="shared" si="48"/>
        <v>53.68</v>
      </c>
      <c r="J119" s="49">
        <v>5270</v>
      </c>
      <c r="K119" s="50">
        <v>0</v>
      </c>
      <c r="L119" s="48">
        <v>390</v>
      </c>
      <c r="M119" s="48">
        <v>0</v>
      </c>
      <c r="N119" s="51">
        <f t="shared" si="49"/>
        <v>5133</v>
      </c>
      <c r="O119" s="52">
        <f t="shared" si="50"/>
        <v>5660</v>
      </c>
      <c r="P119" s="79">
        <f t="shared" si="51"/>
        <v>92.555371255732254</v>
      </c>
      <c r="Q119" s="53">
        <f t="shared" si="52"/>
        <v>9.3100000000000002E-2</v>
      </c>
      <c r="R119" s="54">
        <f t="shared" si="53"/>
        <v>527</v>
      </c>
      <c r="S119" s="53">
        <v>0.8</v>
      </c>
      <c r="T119" s="54">
        <f t="shared" si="54"/>
        <v>4528</v>
      </c>
      <c r="U119" s="53">
        <f t="shared" si="55"/>
        <v>0.1069</v>
      </c>
      <c r="V119" s="54">
        <f t="shared" si="56"/>
        <v>605.05399999999997</v>
      </c>
      <c r="W119" s="55">
        <f ca="1">V119*VLOOKUP(TODAY(),'UF HOY'!$A$2:$B$36,2,0)</f>
        <v>24041179.332759999</v>
      </c>
      <c r="X119" s="56">
        <f>Datos!$K$6</f>
        <v>36</v>
      </c>
      <c r="Y119" s="55">
        <f ca="1">IF((W119-Datos!$U$6-1000000)/X119&gt;0,(W119-Datos!$U$6-1000000)/X119,0)</f>
        <v>637254.98146555549</v>
      </c>
      <c r="Z119" s="56">
        <f>Datos!$K$6</f>
        <v>36</v>
      </c>
      <c r="AA119" s="55">
        <f ca="1">IF((W119-Datos!$U$6-1000000-O119*3%*VLOOKUP(TODAY(),'UF HOY'!$A$2:$B$36,2,0))/Z119&gt;0,(W119-Datos!$U$6-1000000-O119*3%*VLOOKUP(TODAY(),'UF HOY'!$A$2:$B$36,2,0))/Z119,0)</f>
        <v>449843.23113222216</v>
      </c>
      <c r="AB119" s="55">
        <f>IF(L119&gt;0,VLOOKUP(D119,Datos!$A$36:$C$40,3,0),VLOOKUP(D119,Datos!$A$36:$C$40,2,0))</f>
        <v>660000</v>
      </c>
      <c r="AC119" s="55">
        <f ca="1">(S119*PMT(Datos!$G$15,Datos!$G$14,-O119,,)*VLOOKUP(TODAY(),'UF HOY'!$A$2:$B$36,2,0)/12)+VLOOKUP(TODAY(),'UF HOY'!$A$2:$B$36,2,0)</f>
        <v>906777.14804717246</v>
      </c>
      <c r="AD119" s="55">
        <f t="shared" ca="1" si="57"/>
        <v>-246777.14804717246</v>
      </c>
      <c r="AE119" s="93">
        <f t="shared" ca="1" si="46"/>
        <v>3627108.5921886899</v>
      </c>
    </row>
    <row r="120" spans="1:31" s="3" customFormat="1" x14ac:dyDescent="0.35">
      <c r="A120" s="94" t="s">
        <v>305</v>
      </c>
      <c r="B120" s="80">
        <v>1914</v>
      </c>
      <c r="C120" s="48" t="s">
        <v>40</v>
      </c>
      <c r="D120" s="48" t="s">
        <v>39</v>
      </c>
      <c r="E120" s="48"/>
      <c r="F120" s="48">
        <v>49.97</v>
      </c>
      <c r="G120" s="48">
        <v>4.05</v>
      </c>
      <c r="H120" s="82">
        <f t="shared" si="47"/>
        <v>51.994999999999997</v>
      </c>
      <c r="I120" s="82">
        <f t="shared" si="48"/>
        <v>54.019999999999996</v>
      </c>
      <c r="J120" s="49">
        <v>5280</v>
      </c>
      <c r="K120" s="50">
        <v>0</v>
      </c>
      <c r="L120" s="48">
        <v>390</v>
      </c>
      <c r="M120" s="48">
        <v>0</v>
      </c>
      <c r="N120" s="51">
        <f t="shared" si="49"/>
        <v>5142</v>
      </c>
      <c r="O120" s="52">
        <f t="shared" si="50"/>
        <v>5670</v>
      </c>
      <c r="P120" s="79">
        <f t="shared" si="51"/>
        <v>91.3934032118473</v>
      </c>
      <c r="Q120" s="53">
        <f t="shared" si="52"/>
        <v>9.3100000000000002E-2</v>
      </c>
      <c r="R120" s="54">
        <f t="shared" si="53"/>
        <v>528</v>
      </c>
      <c r="S120" s="53">
        <v>0.8</v>
      </c>
      <c r="T120" s="54">
        <f t="shared" si="54"/>
        <v>4536</v>
      </c>
      <c r="U120" s="53">
        <f t="shared" si="55"/>
        <v>0.1069</v>
      </c>
      <c r="V120" s="54">
        <f t="shared" si="56"/>
        <v>606.12299999999993</v>
      </c>
      <c r="W120" s="55">
        <f ca="1">V120*VLOOKUP(TODAY(),'UF HOY'!$A$2:$B$36,2,0)</f>
        <v>24083654.914619997</v>
      </c>
      <c r="X120" s="56">
        <f>Datos!$K$6</f>
        <v>36</v>
      </c>
      <c r="Y120" s="55">
        <f ca="1">IF((W120-Datos!$U$6-1000000)/X120&gt;0,(W120-Datos!$U$6-1000000)/X120,0)</f>
        <v>638434.8587394444</v>
      </c>
      <c r="Z120" s="56">
        <f>Datos!$K$6</f>
        <v>36</v>
      </c>
      <c r="AA120" s="55">
        <f ca="1">IF((W120-Datos!$U$6-1000000-O120*3%*VLOOKUP(TODAY(),'UF HOY'!$A$2:$B$36,2,0))/Z120&gt;0,(W120-Datos!$U$6-1000000-O120*3%*VLOOKUP(TODAY(),'UF HOY'!$A$2:$B$36,2,0))/Z120,0)</f>
        <v>450691.99223944434</v>
      </c>
      <c r="AB120" s="55">
        <f>IF(L120&gt;0,VLOOKUP(D120,Datos!$A$36:$C$40,3,0),VLOOKUP(D120,Datos!$A$36:$C$40,2,0))</f>
        <v>660000</v>
      </c>
      <c r="AC120" s="55">
        <f ca="1">(S120*PMT(Datos!$G$15,Datos!$G$14,-O120,,)*VLOOKUP(TODAY(),'UF HOY'!$A$2:$B$36,2,0)/12)+VLOOKUP(TODAY(),'UF HOY'!$A$2:$B$36,2,0)</f>
        <v>908309.02650661976</v>
      </c>
      <c r="AD120" s="55">
        <f t="shared" ca="1" si="57"/>
        <v>-248309.02650661976</v>
      </c>
      <c r="AE120" s="93">
        <f t="shared" ca="1" si="46"/>
        <v>3633236.106026479</v>
      </c>
    </row>
    <row r="121" spans="1:31" s="3" customFormat="1" x14ac:dyDescent="0.35">
      <c r="A121" s="94" t="s">
        <v>305</v>
      </c>
      <c r="B121" s="80">
        <v>1609</v>
      </c>
      <c r="C121" s="48" t="s">
        <v>36</v>
      </c>
      <c r="D121" s="48" t="s">
        <v>39</v>
      </c>
      <c r="E121" s="48"/>
      <c r="F121" s="48">
        <v>48.72</v>
      </c>
      <c r="G121" s="48">
        <v>8.48</v>
      </c>
      <c r="H121" s="82">
        <f t="shared" si="47"/>
        <v>52.96</v>
      </c>
      <c r="I121" s="82">
        <f t="shared" si="48"/>
        <v>57.2</v>
      </c>
      <c r="J121" s="49">
        <v>5290</v>
      </c>
      <c r="K121" s="50">
        <v>0</v>
      </c>
      <c r="L121" s="48">
        <v>390</v>
      </c>
      <c r="M121" s="48">
        <v>0</v>
      </c>
      <c r="N121" s="51">
        <f t="shared" si="49"/>
        <v>5151</v>
      </c>
      <c r="O121" s="52">
        <f t="shared" si="50"/>
        <v>5680</v>
      </c>
      <c r="P121" s="79">
        <f t="shared" si="51"/>
        <v>89.898036253776439</v>
      </c>
      <c r="Q121" s="53">
        <f t="shared" si="52"/>
        <v>9.3100000000000002E-2</v>
      </c>
      <c r="R121" s="54">
        <f t="shared" si="53"/>
        <v>529</v>
      </c>
      <c r="S121" s="53">
        <v>0.8</v>
      </c>
      <c r="T121" s="54">
        <f t="shared" si="54"/>
        <v>4544</v>
      </c>
      <c r="U121" s="53">
        <f t="shared" si="55"/>
        <v>0.1069</v>
      </c>
      <c r="V121" s="54">
        <f t="shared" si="56"/>
        <v>607.19200000000001</v>
      </c>
      <c r="W121" s="55">
        <f ca="1">V121*VLOOKUP(TODAY(),'UF HOY'!$A$2:$B$36,2,0)</f>
        <v>24126130.496480003</v>
      </c>
      <c r="X121" s="56">
        <f>Datos!$K$6</f>
        <v>36</v>
      </c>
      <c r="Y121" s="55">
        <f ca="1">IF((W121-Datos!$U$6-1000000)/X121&gt;0,(W121-Datos!$U$6-1000000)/X121,0)</f>
        <v>639614.73601333343</v>
      </c>
      <c r="Z121" s="56">
        <f>Datos!$K$6</f>
        <v>36</v>
      </c>
      <c r="AA121" s="55">
        <f ca="1">IF((W121-Datos!$U$6-1000000-O121*3%*VLOOKUP(TODAY(),'UF HOY'!$A$2:$B$36,2,0))/Z121&gt;0,(W121-Datos!$U$6-1000000-O121*3%*VLOOKUP(TODAY(),'UF HOY'!$A$2:$B$36,2,0))/Z121,0)</f>
        <v>451540.75334666675</v>
      </c>
      <c r="AB121" s="55">
        <f>IF(L121&gt;0,VLOOKUP(D121,Datos!$A$36:$C$40,3,0),VLOOKUP(D121,Datos!$A$36:$C$40,2,0))</f>
        <v>660000</v>
      </c>
      <c r="AC121" s="55">
        <f ca="1">(S121*PMT(Datos!$G$15,Datos!$G$14,-O121,,)*VLOOKUP(TODAY(),'UF HOY'!$A$2:$B$36,2,0)/12)+VLOOKUP(TODAY(),'UF HOY'!$A$2:$B$36,2,0)</f>
        <v>909840.90496606706</v>
      </c>
      <c r="AD121" s="55">
        <f t="shared" ca="1" si="57"/>
        <v>-249840.90496606706</v>
      </c>
      <c r="AE121" s="93">
        <f t="shared" ca="1" si="46"/>
        <v>3639363.6198642682</v>
      </c>
    </row>
    <row r="122" spans="1:31" s="3" customFormat="1" x14ac:dyDescent="0.35">
      <c r="A122" s="94" t="s">
        <v>305</v>
      </c>
      <c r="B122" s="80">
        <v>2014</v>
      </c>
      <c r="C122" s="48" t="s">
        <v>40</v>
      </c>
      <c r="D122" s="48" t="s">
        <v>39</v>
      </c>
      <c r="E122" s="48"/>
      <c r="F122" s="48">
        <v>49.97</v>
      </c>
      <c r="G122" s="48">
        <v>4.05</v>
      </c>
      <c r="H122" s="82">
        <f t="shared" si="47"/>
        <v>51.994999999999997</v>
      </c>
      <c r="I122" s="82">
        <f t="shared" si="48"/>
        <v>54.019999999999996</v>
      </c>
      <c r="J122" s="49">
        <v>5295</v>
      </c>
      <c r="K122" s="50">
        <v>0</v>
      </c>
      <c r="L122" s="48">
        <v>390</v>
      </c>
      <c r="M122" s="48">
        <v>0</v>
      </c>
      <c r="N122" s="51">
        <f t="shared" si="49"/>
        <v>5155.5</v>
      </c>
      <c r="O122" s="52">
        <f t="shared" si="50"/>
        <v>5685</v>
      </c>
      <c r="P122" s="79">
        <f t="shared" si="51"/>
        <v>91.653043561880949</v>
      </c>
      <c r="Q122" s="53">
        <f t="shared" si="52"/>
        <v>9.3100000000000002E-2</v>
      </c>
      <c r="R122" s="54">
        <f t="shared" si="53"/>
        <v>529.5</v>
      </c>
      <c r="S122" s="53">
        <v>0.8</v>
      </c>
      <c r="T122" s="54">
        <f t="shared" si="54"/>
        <v>4548</v>
      </c>
      <c r="U122" s="53">
        <f t="shared" si="55"/>
        <v>0.1069</v>
      </c>
      <c r="V122" s="54">
        <f t="shared" si="56"/>
        <v>607.72649999999999</v>
      </c>
      <c r="W122" s="55">
        <f ca="1">V122*VLOOKUP(TODAY(),'UF HOY'!$A$2:$B$36,2,0)</f>
        <v>24147368.287410002</v>
      </c>
      <c r="X122" s="56">
        <f>Datos!$K$6</f>
        <v>36</v>
      </c>
      <c r="Y122" s="55">
        <f ca="1">IF((W122-Datos!$U$6-1000000)/X122&gt;0,(W122-Datos!$U$6-1000000)/X122,0)</f>
        <v>640204.67465027783</v>
      </c>
      <c r="Z122" s="56">
        <f>Datos!$K$6</f>
        <v>36</v>
      </c>
      <c r="AA122" s="55">
        <f ca="1">IF((W122-Datos!$U$6-1000000-O122*3%*VLOOKUP(TODAY(),'UF HOY'!$A$2:$B$36,2,0))/Z122&gt;0,(W122-Datos!$U$6-1000000-O122*3%*VLOOKUP(TODAY(),'UF HOY'!$A$2:$B$36,2,0))/Z122,0)</f>
        <v>451965.13390027784</v>
      </c>
      <c r="AB122" s="55">
        <f>IF(L122&gt;0,VLOOKUP(D122,Datos!$A$36:$C$40,3,0),VLOOKUP(D122,Datos!$A$36:$C$40,2,0))</f>
        <v>660000</v>
      </c>
      <c r="AC122" s="55">
        <f ca="1">(S122*PMT(Datos!$G$15,Datos!$G$14,-O122,,)*VLOOKUP(TODAY(),'UF HOY'!$A$2:$B$36,2,0)/12)+VLOOKUP(TODAY(),'UF HOY'!$A$2:$B$36,2,0)</f>
        <v>910606.84419579059</v>
      </c>
      <c r="AD122" s="55">
        <f t="shared" ca="1" si="57"/>
        <v>-250606.84419579059</v>
      </c>
      <c r="AE122" s="93">
        <f t="shared" ca="1" si="46"/>
        <v>3642427.3767831624</v>
      </c>
    </row>
    <row r="123" spans="1:31" s="3" customFormat="1" x14ac:dyDescent="0.35">
      <c r="A123" s="94" t="s">
        <v>305</v>
      </c>
      <c r="B123" s="80">
        <v>1709</v>
      </c>
      <c r="C123" s="48" t="s">
        <v>36</v>
      </c>
      <c r="D123" s="48" t="s">
        <v>39</v>
      </c>
      <c r="E123" s="48"/>
      <c r="F123" s="48">
        <v>48.72</v>
      </c>
      <c r="G123" s="48">
        <v>8.48</v>
      </c>
      <c r="H123" s="82">
        <f t="shared" si="47"/>
        <v>52.96</v>
      </c>
      <c r="I123" s="82">
        <f t="shared" si="48"/>
        <v>57.2</v>
      </c>
      <c r="J123" s="49">
        <v>5310</v>
      </c>
      <c r="K123" s="50">
        <v>0</v>
      </c>
      <c r="L123" s="48">
        <v>390</v>
      </c>
      <c r="M123" s="48">
        <v>0</v>
      </c>
      <c r="N123" s="51">
        <f t="shared" si="49"/>
        <v>5169</v>
      </c>
      <c r="O123" s="52">
        <f t="shared" si="50"/>
        <v>5700</v>
      </c>
      <c r="P123" s="79">
        <f t="shared" si="51"/>
        <v>90.237915407854985</v>
      </c>
      <c r="Q123" s="53">
        <f t="shared" si="52"/>
        <v>9.3200000000000005E-2</v>
      </c>
      <c r="R123" s="54">
        <f t="shared" si="53"/>
        <v>531</v>
      </c>
      <c r="S123" s="53">
        <v>0.8</v>
      </c>
      <c r="T123" s="54">
        <f t="shared" si="54"/>
        <v>4560</v>
      </c>
      <c r="U123" s="53">
        <f t="shared" si="55"/>
        <v>0.10680000000000001</v>
      </c>
      <c r="V123" s="54">
        <f t="shared" si="56"/>
        <v>608.76</v>
      </c>
      <c r="W123" s="55">
        <f ca="1">V123*VLOOKUP(TODAY(),'UF HOY'!$A$2:$B$36,2,0)</f>
        <v>24188433.314400002</v>
      </c>
      <c r="X123" s="56">
        <f>Datos!$K$6</f>
        <v>36</v>
      </c>
      <c r="Y123" s="55">
        <f ca="1">IF((W123-Datos!$U$6-1000000)/X123&gt;0,(W123-Datos!$U$6-1000000)/X123,0)</f>
        <v>641345.36984444456</v>
      </c>
      <c r="Z123" s="56">
        <f>Datos!$K$6</f>
        <v>36</v>
      </c>
      <c r="AA123" s="55">
        <f ca="1">IF((W123-Datos!$U$6-1000000-O123*3%*VLOOKUP(TODAY(),'UF HOY'!$A$2:$B$36,2,0))/Z123&gt;0,(W123-Datos!$U$6-1000000-O123*3%*VLOOKUP(TODAY(),'UF HOY'!$A$2:$B$36,2,0))/Z123,0)</f>
        <v>452609.15484444448</v>
      </c>
      <c r="AB123" s="55">
        <f>IF(L123&gt;0,VLOOKUP(D123,Datos!$A$36:$C$40,3,0),VLOOKUP(D123,Datos!$A$36:$C$40,2,0))</f>
        <v>660000</v>
      </c>
      <c r="AC123" s="55">
        <f ca="1">(S123*PMT(Datos!$G$15,Datos!$G$14,-O123,,)*VLOOKUP(TODAY(),'UF HOY'!$A$2:$B$36,2,0)/12)+VLOOKUP(TODAY(),'UF HOY'!$A$2:$B$36,2,0)</f>
        <v>912904.66188496188</v>
      </c>
      <c r="AD123" s="55">
        <f t="shared" ca="1" si="57"/>
        <v>-252904.66188496188</v>
      </c>
      <c r="AE123" s="93">
        <f t="shared" ca="1" si="46"/>
        <v>3651618.6475398475</v>
      </c>
    </row>
    <row r="124" spans="1:31" s="3" customFormat="1" x14ac:dyDescent="0.35">
      <c r="A124" s="94" t="s">
        <v>305</v>
      </c>
      <c r="B124" s="80">
        <v>2114</v>
      </c>
      <c r="C124" s="48" t="s">
        <v>40</v>
      </c>
      <c r="D124" s="48" t="s">
        <v>39</v>
      </c>
      <c r="E124" s="48"/>
      <c r="F124" s="48">
        <v>49.97</v>
      </c>
      <c r="G124" s="48">
        <v>4.05</v>
      </c>
      <c r="H124" s="82">
        <f t="shared" si="47"/>
        <v>51.994999999999997</v>
      </c>
      <c r="I124" s="82">
        <f t="shared" si="48"/>
        <v>54.019999999999996</v>
      </c>
      <c r="J124" s="49">
        <v>5315</v>
      </c>
      <c r="K124" s="50">
        <v>0</v>
      </c>
      <c r="L124" s="48">
        <v>390</v>
      </c>
      <c r="M124" s="48">
        <v>0</v>
      </c>
      <c r="N124" s="51">
        <f t="shared" si="49"/>
        <v>5173.5</v>
      </c>
      <c r="O124" s="52">
        <f t="shared" si="50"/>
        <v>5705</v>
      </c>
      <c r="P124" s="79">
        <f t="shared" si="51"/>
        <v>91.999230695259158</v>
      </c>
      <c r="Q124" s="53">
        <f t="shared" si="52"/>
        <v>9.3200000000000005E-2</v>
      </c>
      <c r="R124" s="54">
        <f t="shared" si="53"/>
        <v>531.5</v>
      </c>
      <c r="S124" s="53">
        <v>0.8</v>
      </c>
      <c r="T124" s="54">
        <f t="shared" si="54"/>
        <v>4564</v>
      </c>
      <c r="U124" s="53">
        <f t="shared" si="55"/>
        <v>0.10680000000000001</v>
      </c>
      <c r="V124" s="54">
        <f t="shared" si="56"/>
        <v>609.29399999999998</v>
      </c>
      <c r="W124" s="55">
        <f ca="1">V124*VLOOKUP(TODAY(),'UF HOY'!$A$2:$B$36,2,0)</f>
        <v>24209651.238359999</v>
      </c>
      <c r="X124" s="56">
        <f>Datos!$K$6</f>
        <v>36</v>
      </c>
      <c r="Y124" s="55">
        <f ca="1">IF((W124-Datos!$U$6-1000000)/X124&gt;0,(W124-Datos!$U$6-1000000)/X124,0)</f>
        <v>641934.75662111107</v>
      </c>
      <c r="Z124" s="56">
        <f>Datos!$K$6</f>
        <v>36</v>
      </c>
      <c r="AA124" s="55">
        <f ca="1">IF((W124-Datos!$U$6-1000000-O124*3%*VLOOKUP(TODAY(),'UF HOY'!$A$2:$B$36,2,0))/Z124&gt;0,(W124-Datos!$U$6-1000000-O124*3%*VLOOKUP(TODAY(),'UF HOY'!$A$2:$B$36,2,0))/Z124,0)</f>
        <v>453032.98353777773</v>
      </c>
      <c r="AB124" s="55">
        <f>IF(L124&gt;0,VLOOKUP(D124,Datos!$A$36:$C$40,3,0),VLOOKUP(D124,Datos!$A$36:$C$40,2,0))</f>
        <v>660000</v>
      </c>
      <c r="AC124" s="55">
        <f ca="1">(S124*PMT(Datos!$G$15,Datos!$G$14,-O124,,)*VLOOKUP(TODAY(),'UF HOY'!$A$2:$B$36,2,0)/12)+VLOOKUP(TODAY(),'UF HOY'!$A$2:$B$36,2,0)</f>
        <v>913670.60111468518</v>
      </c>
      <c r="AD124" s="55">
        <f t="shared" ca="1" si="57"/>
        <v>-253670.60111468518</v>
      </c>
      <c r="AE124" s="93">
        <f t="shared" ca="1" si="46"/>
        <v>3654682.4044587407</v>
      </c>
    </row>
    <row r="125" spans="1:31" s="3" customFormat="1" x14ac:dyDescent="0.35">
      <c r="A125" s="94" t="s">
        <v>305</v>
      </c>
      <c r="B125" s="80">
        <v>3006</v>
      </c>
      <c r="C125" s="48" t="s">
        <v>38</v>
      </c>
      <c r="D125" s="48" t="s">
        <v>39</v>
      </c>
      <c r="E125" s="48"/>
      <c r="F125" s="48">
        <v>48.1</v>
      </c>
      <c r="G125" s="48">
        <v>4.87</v>
      </c>
      <c r="H125" s="82">
        <f t="shared" si="47"/>
        <v>50.535000000000004</v>
      </c>
      <c r="I125" s="82">
        <f t="shared" si="48"/>
        <v>52.97</v>
      </c>
      <c r="J125" s="49">
        <v>5325</v>
      </c>
      <c r="K125" s="50">
        <v>0</v>
      </c>
      <c r="L125" s="48">
        <v>390</v>
      </c>
      <c r="M125" s="48">
        <v>0</v>
      </c>
      <c r="N125" s="51">
        <f t="shared" si="49"/>
        <v>5182.5</v>
      </c>
      <c r="O125" s="52">
        <f t="shared" si="50"/>
        <v>5715</v>
      </c>
      <c r="P125" s="79">
        <f t="shared" si="51"/>
        <v>94.835262689225289</v>
      </c>
      <c r="Q125" s="53">
        <f t="shared" si="52"/>
        <v>9.3200000000000005E-2</v>
      </c>
      <c r="R125" s="54">
        <f t="shared" si="53"/>
        <v>532.5</v>
      </c>
      <c r="S125" s="53">
        <v>0.8</v>
      </c>
      <c r="T125" s="54">
        <f t="shared" si="54"/>
        <v>4572</v>
      </c>
      <c r="U125" s="53">
        <f t="shared" si="55"/>
        <v>0.10680000000000001</v>
      </c>
      <c r="V125" s="54">
        <f t="shared" si="56"/>
        <v>610.36200000000008</v>
      </c>
      <c r="W125" s="55">
        <f ca="1">V125*VLOOKUP(TODAY(),'UF HOY'!$A$2:$B$36,2,0)</f>
        <v>24252087.086280003</v>
      </c>
      <c r="X125" s="56">
        <f>Datos!$K$6</f>
        <v>36</v>
      </c>
      <c r="Y125" s="55">
        <f ca="1">IF((W125-Datos!$U$6-1000000)/X125&gt;0,(W125-Datos!$U$6-1000000)/X125,0)</f>
        <v>643113.53017444455</v>
      </c>
      <c r="Z125" s="56">
        <f>Datos!$K$6</f>
        <v>36</v>
      </c>
      <c r="AA125" s="55">
        <f ca="1">IF((W125-Datos!$U$6-1000000-O125*3%*VLOOKUP(TODAY(),'UF HOY'!$A$2:$B$36,2,0))/Z125&gt;0,(W125-Datos!$U$6-1000000-O125*3%*VLOOKUP(TODAY(),'UF HOY'!$A$2:$B$36,2,0))/Z125,0)</f>
        <v>453880.64092444454</v>
      </c>
      <c r="AB125" s="55">
        <f>IF(L125&gt;0,VLOOKUP(D125,Datos!$A$36:$C$40,3,0),VLOOKUP(D125,Datos!$A$36:$C$40,2,0))</f>
        <v>660000</v>
      </c>
      <c r="AC125" s="55">
        <f ca="1">(S125*PMT(Datos!$G$15,Datos!$G$14,-O125,,)*VLOOKUP(TODAY(),'UF HOY'!$A$2:$B$36,2,0)/12)+VLOOKUP(TODAY(),'UF HOY'!$A$2:$B$36,2,0)</f>
        <v>915202.47957413271</v>
      </c>
      <c r="AD125" s="55">
        <f t="shared" ca="1" si="57"/>
        <v>-255202.47957413271</v>
      </c>
      <c r="AE125" s="93">
        <f t="shared" ca="1" si="46"/>
        <v>3660809.9182965308</v>
      </c>
    </row>
    <row r="126" spans="1:31" s="3" customFormat="1" x14ac:dyDescent="0.35">
      <c r="A126" s="94" t="s">
        <v>305</v>
      </c>
      <c r="B126" s="80">
        <v>1809</v>
      </c>
      <c r="C126" s="48" t="s">
        <v>36</v>
      </c>
      <c r="D126" s="48" t="s">
        <v>39</v>
      </c>
      <c r="E126" s="48"/>
      <c r="F126" s="48">
        <v>48.72</v>
      </c>
      <c r="G126" s="48">
        <v>8.48</v>
      </c>
      <c r="H126" s="82">
        <f t="shared" si="47"/>
        <v>52.96</v>
      </c>
      <c r="I126" s="82">
        <f t="shared" si="48"/>
        <v>57.2</v>
      </c>
      <c r="J126" s="49">
        <v>5330</v>
      </c>
      <c r="K126" s="50">
        <v>0</v>
      </c>
      <c r="L126" s="48">
        <v>390</v>
      </c>
      <c r="M126" s="48">
        <v>0</v>
      </c>
      <c r="N126" s="51">
        <f t="shared" si="49"/>
        <v>5187</v>
      </c>
      <c r="O126" s="52">
        <f t="shared" si="50"/>
        <v>5720</v>
      </c>
      <c r="P126" s="79">
        <f t="shared" si="51"/>
        <v>90.57779456193353</v>
      </c>
      <c r="Q126" s="53">
        <f t="shared" si="52"/>
        <v>9.3200000000000005E-2</v>
      </c>
      <c r="R126" s="54">
        <f t="shared" si="53"/>
        <v>533</v>
      </c>
      <c r="S126" s="53">
        <v>0.8</v>
      </c>
      <c r="T126" s="54">
        <f t="shared" si="54"/>
        <v>4576</v>
      </c>
      <c r="U126" s="53">
        <f t="shared" si="55"/>
        <v>0.10680000000000001</v>
      </c>
      <c r="V126" s="54">
        <f t="shared" si="56"/>
        <v>610.89600000000007</v>
      </c>
      <c r="W126" s="55">
        <f ca="1">V126*VLOOKUP(TODAY(),'UF HOY'!$A$2:$B$36,2,0)</f>
        <v>24273305.010240003</v>
      </c>
      <c r="X126" s="56">
        <f>Datos!$K$6</f>
        <v>36</v>
      </c>
      <c r="Y126" s="55">
        <f ca="1">IF((W126-Datos!$U$6-1000000)/X126&gt;0,(W126-Datos!$U$6-1000000)/X126,0)</f>
        <v>643702.91695111117</v>
      </c>
      <c r="Z126" s="56">
        <f>Datos!$K$6</f>
        <v>36</v>
      </c>
      <c r="AA126" s="55">
        <f ca="1">IF((W126-Datos!$U$6-1000000-O126*3%*VLOOKUP(TODAY(),'UF HOY'!$A$2:$B$36,2,0))/Z126&gt;0,(W126-Datos!$U$6-1000000-O126*3%*VLOOKUP(TODAY(),'UF HOY'!$A$2:$B$36,2,0))/Z126,0)</f>
        <v>454304.46961777785</v>
      </c>
      <c r="AB126" s="55">
        <f>IF(L126&gt;0,VLOOKUP(D126,Datos!$A$36:$C$40,3,0),VLOOKUP(D126,Datos!$A$36:$C$40,2,0))</f>
        <v>660000</v>
      </c>
      <c r="AC126" s="55">
        <f ca="1">(S126*PMT(Datos!$G$15,Datos!$G$14,-O126,,)*VLOOKUP(TODAY(),'UF HOY'!$A$2:$B$36,2,0)/12)+VLOOKUP(TODAY(),'UF HOY'!$A$2:$B$36,2,0)</f>
        <v>915968.41880385648</v>
      </c>
      <c r="AD126" s="55">
        <f t="shared" ca="1" si="57"/>
        <v>-255968.41880385648</v>
      </c>
      <c r="AE126" s="93">
        <f t="shared" ca="1" si="46"/>
        <v>3663873.6752154259</v>
      </c>
    </row>
    <row r="127" spans="1:31" s="3" customFormat="1" x14ac:dyDescent="0.35">
      <c r="A127" s="94" t="s">
        <v>305</v>
      </c>
      <c r="B127" s="80">
        <v>2214</v>
      </c>
      <c r="C127" s="48" t="s">
        <v>40</v>
      </c>
      <c r="D127" s="48" t="s">
        <v>39</v>
      </c>
      <c r="E127" s="48"/>
      <c r="F127" s="48">
        <v>49.97</v>
      </c>
      <c r="G127" s="48">
        <v>4.05</v>
      </c>
      <c r="H127" s="82">
        <f t="shared" si="47"/>
        <v>51.994999999999997</v>
      </c>
      <c r="I127" s="82">
        <f t="shared" si="48"/>
        <v>54.019999999999996</v>
      </c>
      <c r="J127" s="49">
        <v>5330</v>
      </c>
      <c r="K127" s="50">
        <v>0</v>
      </c>
      <c r="L127" s="48">
        <v>390</v>
      </c>
      <c r="M127" s="48">
        <v>0</v>
      </c>
      <c r="N127" s="51">
        <f t="shared" si="49"/>
        <v>5187</v>
      </c>
      <c r="O127" s="52">
        <f t="shared" si="50"/>
        <v>5720</v>
      </c>
      <c r="P127" s="79">
        <f t="shared" si="51"/>
        <v>92.258871045292821</v>
      </c>
      <c r="Q127" s="53">
        <f t="shared" si="52"/>
        <v>9.3200000000000005E-2</v>
      </c>
      <c r="R127" s="54">
        <f t="shared" si="53"/>
        <v>533</v>
      </c>
      <c r="S127" s="53">
        <v>0.8</v>
      </c>
      <c r="T127" s="54">
        <f t="shared" si="54"/>
        <v>4576</v>
      </c>
      <c r="U127" s="53">
        <f t="shared" si="55"/>
        <v>0.10680000000000001</v>
      </c>
      <c r="V127" s="54">
        <f t="shared" si="56"/>
        <v>610.89600000000007</v>
      </c>
      <c r="W127" s="55">
        <f ca="1">V127*VLOOKUP(TODAY(),'UF HOY'!$A$2:$B$36,2,0)</f>
        <v>24273305.010240003</v>
      </c>
      <c r="X127" s="56">
        <f>Datos!$K$6</f>
        <v>36</v>
      </c>
      <c r="Y127" s="55">
        <f ca="1">IF((W127-Datos!$U$6-1000000)/X127&gt;0,(W127-Datos!$U$6-1000000)/X127,0)</f>
        <v>643702.91695111117</v>
      </c>
      <c r="Z127" s="56">
        <f>Datos!$K$6</f>
        <v>36</v>
      </c>
      <c r="AA127" s="55">
        <f ca="1">IF((W127-Datos!$U$6-1000000-O127*3%*VLOOKUP(TODAY(),'UF HOY'!$A$2:$B$36,2,0))/Z127&gt;0,(W127-Datos!$U$6-1000000-O127*3%*VLOOKUP(TODAY(),'UF HOY'!$A$2:$B$36,2,0))/Z127,0)</f>
        <v>454304.46961777785</v>
      </c>
      <c r="AB127" s="55">
        <f>IF(L127&gt;0,VLOOKUP(D127,Datos!$A$36:$C$40,3,0),VLOOKUP(D127,Datos!$A$36:$C$40,2,0))</f>
        <v>660000</v>
      </c>
      <c r="AC127" s="55">
        <f ca="1">(S127*PMT(Datos!$G$15,Datos!$G$14,-O127,,)*VLOOKUP(TODAY(),'UF HOY'!$A$2:$B$36,2,0)/12)+VLOOKUP(TODAY(),'UF HOY'!$A$2:$B$36,2,0)</f>
        <v>915968.41880385648</v>
      </c>
      <c r="AD127" s="55">
        <f t="shared" ca="1" si="57"/>
        <v>-255968.41880385648</v>
      </c>
      <c r="AE127" s="93">
        <f t="shared" ca="1" si="46"/>
        <v>3663873.6752154259</v>
      </c>
    </row>
    <row r="128" spans="1:31" s="3" customFormat="1" x14ac:dyDescent="0.35">
      <c r="A128" s="94" t="s">
        <v>305</v>
      </c>
      <c r="B128" s="80">
        <v>2906</v>
      </c>
      <c r="C128" s="48" t="s">
        <v>38</v>
      </c>
      <c r="D128" s="48" t="s">
        <v>39</v>
      </c>
      <c r="E128" s="48"/>
      <c r="F128" s="48">
        <v>48.1</v>
      </c>
      <c r="G128" s="48">
        <v>4.87</v>
      </c>
      <c r="H128" s="82">
        <f t="shared" si="47"/>
        <v>50.535000000000004</v>
      </c>
      <c r="I128" s="82">
        <f t="shared" si="48"/>
        <v>52.97</v>
      </c>
      <c r="J128" s="49">
        <v>5335</v>
      </c>
      <c r="K128" s="50">
        <v>0</v>
      </c>
      <c r="L128" s="48">
        <v>390</v>
      </c>
      <c r="M128" s="48">
        <v>0</v>
      </c>
      <c r="N128" s="51">
        <f t="shared" si="49"/>
        <v>5191.5</v>
      </c>
      <c r="O128" s="52">
        <f t="shared" si="50"/>
        <v>5725</v>
      </c>
      <c r="P128" s="79">
        <f t="shared" si="51"/>
        <v>95.013357079252003</v>
      </c>
      <c r="Q128" s="53">
        <f t="shared" si="52"/>
        <v>9.3200000000000005E-2</v>
      </c>
      <c r="R128" s="54">
        <f t="shared" si="53"/>
        <v>533.5</v>
      </c>
      <c r="S128" s="53">
        <v>0.8</v>
      </c>
      <c r="T128" s="54">
        <f t="shared" si="54"/>
        <v>4580</v>
      </c>
      <c r="U128" s="53">
        <f t="shared" si="55"/>
        <v>0.10680000000000001</v>
      </c>
      <c r="V128" s="54">
        <f t="shared" si="56"/>
        <v>611.43000000000006</v>
      </c>
      <c r="W128" s="55">
        <f ca="1">V128*VLOOKUP(TODAY(),'UF HOY'!$A$2:$B$36,2,0)</f>
        <v>24294522.934200004</v>
      </c>
      <c r="X128" s="56">
        <f>Datos!$K$6</f>
        <v>36</v>
      </c>
      <c r="Y128" s="55">
        <f ca="1">IF((W128-Datos!$U$6-1000000)/X128&gt;0,(W128-Datos!$U$6-1000000)/X128,0)</f>
        <v>644292.30372777791</v>
      </c>
      <c r="Z128" s="56">
        <f>Datos!$K$6</f>
        <v>36</v>
      </c>
      <c r="AA128" s="55">
        <f ca="1">IF((W128-Datos!$U$6-1000000-O128*3%*VLOOKUP(TODAY(),'UF HOY'!$A$2:$B$36,2,0))/Z128&gt;0,(W128-Datos!$U$6-1000000-O128*3%*VLOOKUP(TODAY(),'UF HOY'!$A$2:$B$36,2,0))/Z128,0)</f>
        <v>454728.29831111123</v>
      </c>
      <c r="AB128" s="55">
        <f>IF(L128&gt;0,VLOOKUP(D128,Datos!$A$36:$C$40,3,0),VLOOKUP(D128,Datos!$A$36:$C$40,2,0))</f>
        <v>660000</v>
      </c>
      <c r="AC128" s="55">
        <f ca="1">(S128*PMT(Datos!$G$15,Datos!$G$14,-O128,,)*VLOOKUP(TODAY(),'UF HOY'!$A$2:$B$36,2,0)/12)+VLOOKUP(TODAY(),'UF HOY'!$A$2:$B$36,2,0)</f>
        <v>916734.35803358001</v>
      </c>
      <c r="AD128" s="55">
        <f t="shared" ca="1" si="57"/>
        <v>-256734.35803358001</v>
      </c>
      <c r="AE128" s="93">
        <f t="shared" ca="1" si="46"/>
        <v>3666937.43213432</v>
      </c>
    </row>
    <row r="129" spans="1:31" s="3" customFormat="1" x14ac:dyDescent="0.35">
      <c r="A129" s="94" t="s">
        <v>305</v>
      </c>
      <c r="B129" s="80">
        <v>2314</v>
      </c>
      <c r="C129" s="48" t="s">
        <v>40</v>
      </c>
      <c r="D129" s="48" t="s">
        <v>39</v>
      </c>
      <c r="E129" s="48"/>
      <c r="F129" s="48">
        <v>49.97</v>
      </c>
      <c r="G129" s="48">
        <v>4.05</v>
      </c>
      <c r="H129" s="82">
        <f t="shared" si="47"/>
        <v>51.994999999999997</v>
      </c>
      <c r="I129" s="82">
        <f t="shared" si="48"/>
        <v>54.019999999999996</v>
      </c>
      <c r="J129" s="49">
        <v>5345</v>
      </c>
      <c r="K129" s="50">
        <v>0</v>
      </c>
      <c r="L129" s="48">
        <v>390</v>
      </c>
      <c r="M129" s="48">
        <v>0</v>
      </c>
      <c r="N129" s="51">
        <f t="shared" si="49"/>
        <v>5200.5</v>
      </c>
      <c r="O129" s="52">
        <f t="shared" si="50"/>
        <v>5735</v>
      </c>
      <c r="P129" s="79">
        <f t="shared" si="51"/>
        <v>92.518511395326485</v>
      </c>
      <c r="Q129" s="53">
        <f t="shared" si="52"/>
        <v>9.3200000000000005E-2</v>
      </c>
      <c r="R129" s="54">
        <f t="shared" si="53"/>
        <v>534.5</v>
      </c>
      <c r="S129" s="53">
        <v>0.8</v>
      </c>
      <c r="T129" s="54">
        <f t="shared" si="54"/>
        <v>4588</v>
      </c>
      <c r="U129" s="53">
        <f t="shared" si="55"/>
        <v>0.10680000000000001</v>
      </c>
      <c r="V129" s="54">
        <f t="shared" si="56"/>
        <v>612.49800000000005</v>
      </c>
      <c r="W129" s="55">
        <f ca="1">V129*VLOOKUP(TODAY(),'UF HOY'!$A$2:$B$36,2,0)</f>
        <v>24336958.782120004</v>
      </c>
      <c r="X129" s="56">
        <f>Datos!$K$6</f>
        <v>36</v>
      </c>
      <c r="Y129" s="55">
        <f ca="1">IF((W129-Datos!$U$6-1000000)/X129&gt;0,(W129-Datos!$U$6-1000000)/X129,0)</f>
        <v>645471.07728111127</v>
      </c>
      <c r="Z129" s="56">
        <f>Datos!$K$6</f>
        <v>36</v>
      </c>
      <c r="AA129" s="55">
        <f ca="1">IF((W129-Datos!$U$6-1000000-O129*3%*VLOOKUP(TODAY(),'UF HOY'!$A$2:$B$36,2,0))/Z129&gt;0,(W129-Datos!$U$6-1000000-O129*3%*VLOOKUP(TODAY(),'UF HOY'!$A$2:$B$36,2,0))/Z129,0)</f>
        <v>455575.95569777791</v>
      </c>
      <c r="AB129" s="55">
        <f>IF(L129&gt;0,VLOOKUP(D129,Datos!$A$36:$C$40,3,0),VLOOKUP(D129,Datos!$A$36:$C$40,2,0))</f>
        <v>660000</v>
      </c>
      <c r="AC129" s="55">
        <f ca="1">(S129*PMT(Datos!$G$15,Datos!$G$14,-O129,,)*VLOOKUP(TODAY(),'UF HOY'!$A$2:$B$36,2,0)/12)+VLOOKUP(TODAY(),'UF HOY'!$A$2:$B$36,2,0)</f>
        <v>918266.2364930273</v>
      </c>
      <c r="AD129" s="55">
        <f t="shared" ca="1" si="57"/>
        <v>-258266.2364930273</v>
      </c>
      <c r="AE129" s="93">
        <f t="shared" ca="1" si="46"/>
        <v>3673064.9459721092</v>
      </c>
    </row>
    <row r="130" spans="1:31" s="3" customFormat="1" x14ac:dyDescent="0.35">
      <c r="A130" s="94" t="s">
        <v>305</v>
      </c>
      <c r="B130" s="80">
        <v>1909</v>
      </c>
      <c r="C130" s="48" t="s">
        <v>36</v>
      </c>
      <c r="D130" s="48" t="s">
        <v>39</v>
      </c>
      <c r="E130" s="48"/>
      <c r="F130" s="48">
        <v>48.72</v>
      </c>
      <c r="G130" s="48">
        <v>8.48</v>
      </c>
      <c r="H130" s="82">
        <f t="shared" si="47"/>
        <v>52.96</v>
      </c>
      <c r="I130" s="82">
        <f t="shared" si="48"/>
        <v>57.2</v>
      </c>
      <c r="J130" s="49">
        <v>5350</v>
      </c>
      <c r="K130" s="50">
        <v>0</v>
      </c>
      <c r="L130" s="48">
        <v>390</v>
      </c>
      <c r="M130" s="48">
        <v>0</v>
      </c>
      <c r="N130" s="51">
        <f t="shared" si="49"/>
        <v>5205</v>
      </c>
      <c r="O130" s="52">
        <f t="shared" si="50"/>
        <v>5740</v>
      </c>
      <c r="P130" s="79">
        <f t="shared" si="51"/>
        <v>90.917673716012089</v>
      </c>
      <c r="Q130" s="53">
        <f t="shared" si="52"/>
        <v>9.3200000000000005E-2</v>
      </c>
      <c r="R130" s="54">
        <f t="shared" si="53"/>
        <v>535</v>
      </c>
      <c r="S130" s="53">
        <v>0.8</v>
      </c>
      <c r="T130" s="54">
        <f t="shared" si="54"/>
        <v>4592</v>
      </c>
      <c r="U130" s="53">
        <f t="shared" si="55"/>
        <v>0.10680000000000001</v>
      </c>
      <c r="V130" s="54">
        <f t="shared" si="56"/>
        <v>613.03200000000004</v>
      </c>
      <c r="W130" s="55">
        <f ca="1">V130*VLOOKUP(TODAY(),'UF HOY'!$A$2:$B$36,2,0)</f>
        <v>24358176.706080005</v>
      </c>
      <c r="X130" s="56">
        <f>Datos!$K$6</f>
        <v>36</v>
      </c>
      <c r="Y130" s="55">
        <f ca="1">IF((W130-Datos!$U$6-1000000)/X130&gt;0,(W130-Datos!$U$6-1000000)/X130,0)</f>
        <v>646060.46405777789</v>
      </c>
      <c r="Z130" s="56">
        <f>Datos!$K$6</f>
        <v>36</v>
      </c>
      <c r="AA130" s="55">
        <f ca="1">IF((W130-Datos!$U$6-1000000-O130*3%*VLOOKUP(TODAY(),'UF HOY'!$A$2:$B$36,2,0))/Z130&gt;0,(W130-Datos!$U$6-1000000-O130*3%*VLOOKUP(TODAY(),'UF HOY'!$A$2:$B$36,2,0))/Z130,0)</f>
        <v>455999.78439111123</v>
      </c>
      <c r="AB130" s="55">
        <f>IF(L130&gt;0,VLOOKUP(D130,Datos!$A$36:$C$40,3,0),VLOOKUP(D130,Datos!$A$36:$C$40,2,0))</f>
        <v>660000</v>
      </c>
      <c r="AC130" s="55">
        <f ca="1">(S130*PMT(Datos!$G$15,Datos!$G$14,-O130,,)*VLOOKUP(TODAY(),'UF HOY'!$A$2:$B$36,2,0)/12)+VLOOKUP(TODAY(),'UF HOY'!$A$2:$B$36,2,0)</f>
        <v>919032.17572275084</v>
      </c>
      <c r="AD130" s="55">
        <f t="shared" ca="1" si="57"/>
        <v>-259032.17572275084</v>
      </c>
      <c r="AE130" s="93">
        <f t="shared" ca="1" si="46"/>
        <v>3676128.7028910033</v>
      </c>
    </row>
    <row r="131" spans="1:31" s="3" customFormat="1" x14ac:dyDescent="0.35">
      <c r="A131" s="94" t="s">
        <v>305</v>
      </c>
      <c r="B131" s="80">
        <v>2414</v>
      </c>
      <c r="C131" s="48" t="s">
        <v>40</v>
      </c>
      <c r="D131" s="48" t="s">
        <v>39</v>
      </c>
      <c r="E131" s="48"/>
      <c r="F131" s="48">
        <v>49.97</v>
      </c>
      <c r="G131" s="48">
        <v>4.05</v>
      </c>
      <c r="H131" s="82">
        <f t="shared" si="47"/>
        <v>51.994999999999997</v>
      </c>
      <c r="I131" s="82">
        <f t="shared" si="48"/>
        <v>54.019999999999996</v>
      </c>
      <c r="J131" s="49">
        <v>5360</v>
      </c>
      <c r="K131" s="50">
        <v>0</v>
      </c>
      <c r="L131" s="48">
        <v>390</v>
      </c>
      <c r="M131" s="48">
        <v>0</v>
      </c>
      <c r="N131" s="51">
        <f t="shared" si="49"/>
        <v>5214</v>
      </c>
      <c r="O131" s="52">
        <f t="shared" si="50"/>
        <v>5750</v>
      </c>
      <c r="P131" s="79">
        <f t="shared" si="51"/>
        <v>92.778151745360134</v>
      </c>
      <c r="Q131" s="53">
        <f t="shared" si="52"/>
        <v>9.3200000000000005E-2</v>
      </c>
      <c r="R131" s="54">
        <f t="shared" si="53"/>
        <v>536</v>
      </c>
      <c r="S131" s="53">
        <v>0.8</v>
      </c>
      <c r="T131" s="54">
        <f t="shared" si="54"/>
        <v>4600</v>
      </c>
      <c r="U131" s="53">
        <f t="shared" si="55"/>
        <v>0.10680000000000001</v>
      </c>
      <c r="V131" s="54">
        <f t="shared" si="56"/>
        <v>614.1</v>
      </c>
      <c r="W131" s="55">
        <f ca="1">V131*VLOOKUP(TODAY(),'UF HOY'!$A$2:$B$36,2,0)</f>
        <v>24400612.554000001</v>
      </c>
      <c r="X131" s="56">
        <f>Datos!$K$6</f>
        <v>36</v>
      </c>
      <c r="Y131" s="55">
        <f ca="1">IF((W131-Datos!$U$6-1000000)/X131&gt;0,(W131-Datos!$U$6-1000000)/X131,0)</f>
        <v>647239.23761111114</v>
      </c>
      <c r="Z131" s="56">
        <f>Datos!$K$6</f>
        <v>36</v>
      </c>
      <c r="AA131" s="55">
        <f ca="1">IF((W131-Datos!$U$6-1000000-O131*3%*VLOOKUP(TODAY(),'UF HOY'!$A$2:$B$36,2,0))/Z131&gt;0,(W131-Datos!$U$6-1000000-O131*3%*VLOOKUP(TODAY(),'UF HOY'!$A$2:$B$36,2,0))/Z131,0)</f>
        <v>456847.4417777778</v>
      </c>
      <c r="AB131" s="55">
        <f>IF(L131&gt;0,VLOOKUP(D131,Datos!$A$36:$C$40,3,0),VLOOKUP(D131,Datos!$A$36:$C$40,2,0))</f>
        <v>660000</v>
      </c>
      <c r="AC131" s="55">
        <f ca="1">(S131*PMT(Datos!$G$15,Datos!$G$14,-O131,,)*VLOOKUP(TODAY(),'UF HOY'!$A$2:$B$36,2,0)/12)+VLOOKUP(TODAY(),'UF HOY'!$A$2:$B$36,2,0)</f>
        <v>920564.05418219836</v>
      </c>
      <c r="AD131" s="55">
        <f t="shared" ca="1" si="57"/>
        <v>-260564.05418219836</v>
      </c>
      <c r="AE131" s="93">
        <f t="shared" ca="1" si="46"/>
        <v>3682256.2167287935</v>
      </c>
    </row>
    <row r="132" spans="1:31" s="3" customFormat="1" x14ac:dyDescent="0.35">
      <c r="A132" s="94" t="s">
        <v>305</v>
      </c>
      <c r="B132" s="80">
        <v>2009</v>
      </c>
      <c r="C132" s="48" t="s">
        <v>36</v>
      </c>
      <c r="D132" s="48" t="s">
        <v>39</v>
      </c>
      <c r="E132" s="48"/>
      <c r="F132" s="48">
        <v>48.72</v>
      </c>
      <c r="G132" s="48">
        <v>8.48</v>
      </c>
      <c r="H132" s="82">
        <f t="shared" si="47"/>
        <v>52.96</v>
      </c>
      <c r="I132" s="82">
        <f t="shared" si="48"/>
        <v>57.2</v>
      </c>
      <c r="J132" s="49">
        <v>5365</v>
      </c>
      <c r="K132" s="50">
        <v>0</v>
      </c>
      <c r="L132" s="48">
        <v>390</v>
      </c>
      <c r="M132" s="48">
        <v>0</v>
      </c>
      <c r="N132" s="51">
        <f t="shared" si="49"/>
        <v>5218.5</v>
      </c>
      <c r="O132" s="52">
        <f t="shared" si="50"/>
        <v>5755</v>
      </c>
      <c r="P132" s="79">
        <f t="shared" si="51"/>
        <v>91.172583081570991</v>
      </c>
      <c r="Q132" s="53">
        <f t="shared" si="52"/>
        <v>9.3200000000000005E-2</v>
      </c>
      <c r="R132" s="54">
        <f t="shared" si="53"/>
        <v>536.5</v>
      </c>
      <c r="S132" s="53">
        <v>0.8</v>
      </c>
      <c r="T132" s="54">
        <f t="shared" si="54"/>
        <v>4604</v>
      </c>
      <c r="U132" s="53">
        <f t="shared" si="55"/>
        <v>0.10680000000000001</v>
      </c>
      <c r="V132" s="54">
        <f t="shared" si="56"/>
        <v>614.63400000000001</v>
      </c>
      <c r="W132" s="55">
        <f ca="1">V132*VLOOKUP(TODAY(),'UF HOY'!$A$2:$B$36,2,0)</f>
        <v>24421830.477960002</v>
      </c>
      <c r="X132" s="56">
        <f>Datos!$K$6</f>
        <v>36</v>
      </c>
      <c r="Y132" s="55">
        <f ca="1">IF((W132-Datos!$U$6-1000000)/X132&gt;0,(W132-Datos!$U$6-1000000)/X132,0)</f>
        <v>647828.62438777788</v>
      </c>
      <c r="Z132" s="56">
        <f>Datos!$K$6</f>
        <v>36</v>
      </c>
      <c r="AA132" s="55">
        <f ca="1">IF((W132-Datos!$U$6-1000000-O132*3%*VLOOKUP(TODAY(),'UF HOY'!$A$2:$B$36,2,0))/Z132&gt;0,(W132-Datos!$U$6-1000000-O132*3%*VLOOKUP(TODAY(),'UF HOY'!$A$2:$B$36,2,0))/Z132,0)</f>
        <v>457271.27047111117</v>
      </c>
      <c r="AB132" s="55">
        <f>IF(L132&gt;0,VLOOKUP(D132,Datos!$A$36:$C$40,3,0),VLOOKUP(D132,Datos!$A$36:$C$40,2,0))</f>
        <v>660000</v>
      </c>
      <c r="AC132" s="55">
        <f ca="1">(S132*PMT(Datos!$G$15,Datos!$G$14,-O132,,)*VLOOKUP(TODAY(),'UF HOY'!$A$2:$B$36,2,0)/12)+VLOOKUP(TODAY(),'UF HOY'!$A$2:$B$36,2,0)</f>
        <v>921329.9934119219</v>
      </c>
      <c r="AD132" s="55">
        <f t="shared" ca="1" si="57"/>
        <v>-261329.9934119219</v>
      </c>
      <c r="AE132" s="93">
        <f t="shared" ca="1" si="46"/>
        <v>3685319.9736476876</v>
      </c>
    </row>
    <row r="133" spans="1:31" s="3" customFormat="1" x14ac:dyDescent="0.35">
      <c r="A133" s="94" t="s">
        <v>305</v>
      </c>
      <c r="B133" s="80">
        <v>2514</v>
      </c>
      <c r="C133" s="48" t="s">
        <v>40</v>
      </c>
      <c r="D133" s="48" t="s">
        <v>39</v>
      </c>
      <c r="E133" s="48"/>
      <c r="F133" s="48">
        <v>49.97</v>
      </c>
      <c r="G133" s="48">
        <v>4.05</v>
      </c>
      <c r="H133" s="82">
        <f t="shared" ref="H133:H164" si="58">F133+(G133/2)</f>
        <v>51.994999999999997</v>
      </c>
      <c r="I133" s="82">
        <f t="shared" ref="I133:I164" si="59">F133+G133</f>
        <v>54.019999999999996</v>
      </c>
      <c r="J133" s="49">
        <v>5375</v>
      </c>
      <c r="K133" s="50">
        <v>0</v>
      </c>
      <c r="L133" s="48">
        <v>390</v>
      </c>
      <c r="M133" s="48">
        <v>0</v>
      </c>
      <c r="N133" s="51">
        <f t="shared" ref="N133:N164" si="60">O133-R133</f>
        <v>5227.5</v>
      </c>
      <c r="O133" s="52">
        <f t="shared" ref="O133:O164" si="61">J133*(100%-K133)+L133+M133</f>
        <v>5765</v>
      </c>
      <c r="P133" s="79">
        <f t="shared" ref="P133:P164" si="62">(N133-L133-M133)/H133</f>
        <v>93.037792095393797</v>
      </c>
      <c r="Q133" s="53">
        <f t="shared" ref="Q133:Q164" si="63">IF((O133-N133)/O133&gt;10%,10%,ROUND(IF(O133&gt;N133,(O133-N133)/O133,0),4))</f>
        <v>9.3200000000000005E-2</v>
      </c>
      <c r="R133" s="54">
        <f t="shared" ref="R133:R164" si="64">(J133-J133*K133)*0.1</f>
        <v>537.5</v>
      </c>
      <c r="S133" s="53">
        <v>0.8</v>
      </c>
      <c r="T133" s="54">
        <f t="shared" ref="T133:T164" si="65">S133*O133</f>
        <v>4612</v>
      </c>
      <c r="U133" s="53">
        <f t="shared" ref="U133:U164" si="66">100%-Q133-S133</f>
        <v>0.10680000000000001</v>
      </c>
      <c r="V133" s="54">
        <f t="shared" ref="V133:V164" si="67">O133*U133</f>
        <v>615.702</v>
      </c>
      <c r="W133" s="55">
        <f ca="1">V133*VLOOKUP(TODAY(),'UF HOY'!$A$2:$B$36,2,0)</f>
        <v>24464266.325880002</v>
      </c>
      <c r="X133" s="56">
        <f>Datos!$K$6</f>
        <v>36</v>
      </c>
      <c r="Y133" s="55">
        <f ca="1">IF((W133-Datos!$U$6-1000000)/X133&gt;0,(W133-Datos!$U$6-1000000)/X133,0)</f>
        <v>649007.39794111112</v>
      </c>
      <c r="Z133" s="56">
        <f>Datos!$K$6</f>
        <v>36</v>
      </c>
      <c r="AA133" s="55">
        <f ca="1">IF((W133-Datos!$U$6-1000000-O133*3%*VLOOKUP(TODAY(),'UF HOY'!$A$2:$B$36,2,0))/Z133&gt;0,(W133-Datos!$U$6-1000000-O133*3%*VLOOKUP(TODAY(),'UF HOY'!$A$2:$B$36,2,0))/Z133,0)</f>
        <v>458118.9278577778</v>
      </c>
      <c r="AB133" s="55">
        <f>IF(L133&gt;0,VLOOKUP(D133,Datos!$A$36:$C$40,3,0),VLOOKUP(D133,Datos!$A$36:$C$40,2,0))</f>
        <v>660000</v>
      </c>
      <c r="AC133" s="55">
        <f ca="1">(S133*PMT(Datos!$G$15,Datos!$G$14,-O133,,)*VLOOKUP(TODAY(),'UF HOY'!$A$2:$B$36,2,0)/12)+VLOOKUP(TODAY(),'UF HOY'!$A$2:$B$36,2,0)</f>
        <v>922861.87187136919</v>
      </c>
      <c r="AD133" s="55">
        <f t="shared" ref="AD133:AD164" ca="1" si="68">AB133-AC133</f>
        <v>-262861.87187136919</v>
      </c>
      <c r="AE133" s="93">
        <f t="shared" ca="1" si="46"/>
        <v>3691447.4874854768</v>
      </c>
    </row>
    <row r="134" spans="1:31" s="3" customFormat="1" x14ac:dyDescent="0.35">
      <c r="A134" s="94" t="s">
        <v>305</v>
      </c>
      <c r="B134" s="80">
        <v>2109</v>
      </c>
      <c r="C134" s="48" t="s">
        <v>36</v>
      </c>
      <c r="D134" s="48" t="s">
        <v>39</v>
      </c>
      <c r="E134" s="48"/>
      <c r="F134" s="48">
        <v>48.72</v>
      </c>
      <c r="G134" s="48">
        <v>8.48</v>
      </c>
      <c r="H134" s="82">
        <f t="shared" si="58"/>
        <v>52.96</v>
      </c>
      <c r="I134" s="82">
        <f t="shared" si="59"/>
        <v>57.2</v>
      </c>
      <c r="J134" s="49">
        <v>5380</v>
      </c>
      <c r="K134" s="50">
        <v>0</v>
      </c>
      <c r="L134" s="48">
        <v>390</v>
      </c>
      <c r="M134" s="48">
        <v>0</v>
      </c>
      <c r="N134" s="51">
        <f t="shared" si="60"/>
        <v>5232</v>
      </c>
      <c r="O134" s="52">
        <f t="shared" si="61"/>
        <v>5770</v>
      </c>
      <c r="P134" s="79">
        <f t="shared" si="62"/>
        <v>91.427492447129907</v>
      </c>
      <c r="Q134" s="53">
        <f t="shared" si="63"/>
        <v>9.3200000000000005E-2</v>
      </c>
      <c r="R134" s="54">
        <f t="shared" si="64"/>
        <v>538</v>
      </c>
      <c r="S134" s="53">
        <v>0.8</v>
      </c>
      <c r="T134" s="54">
        <f t="shared" si="65"/>
        <v>4616</v>
      </c>
      <c r="U134" s="53">
        <f t="shared" si="66"/>
        <v>0.10680000000000001</v>
      </c>
      <c r="V134" s="54">
        <f t="shared" si="67"/>
        <v>616.23599999999999</v>
      </c>
      <c r="W134" s="55">
        <f ca="1">V134*VLOOKUP(TODAY(),'UF HOY'!$A$2:$B$36,2,0)</f>
        <v>24485484.249840003</v>
      </c>
      <c r="X134" s="56">
        <f>Datos!$K$6</f>
        <v>36</v>
      </c>
      <c r="Y134" s="55">
        <f ca="1">IF((W134-Datos!$U$6-1000000)/X134&gt;0,(W134-Datos!$U$6-1000000)/X134,0)</f>
        <v>649596.78471777786</v>
      </c>
      <c r="Z134" s="56">
        <f>Datos!$K$6</f>
        <v>36</v>
      </c>
      <c r="AA134" s="55">
        <f ca="1">IF((W134-Datos!$U$6-1000000-O134*3%*VLOOKUP(TODAY(),'UF HOY'!$A$2:$B$36,2,0))/Z134&gt;0,(W134-Datos!$U$6-1000000-O134*3%*VLOOKUP(TODAY(),'UF HOY'!$A$2:$B$36,2,0))/Z134,0)</f>
        <v>458542.75655111118</v>
      </c>
      <c r="AB134" s="55">
        <f>IF(L134&gt;0,VLOOKUP(D134,Datos!$A$36:$C$40,3,0),VLOOKUP(D134,Datos!$A$36:$C$40,2,0))</f>
        <v>660000</v>
      </c>
      <c r="AC134" s="55">
        <f ca="1">(S134*PMT(Datos!$G$15,Datos!$G$14,-O134,,)*VLOOKUP(TODAY(),'UF HOY'!$A$2:$B$36,2,0)/12)+VLOOKUP(TODAY(),'UF HOY'!$A$2:$B$36,2,0)</f>
        <v>923627.81110109272</v>
      </c>
      <c r="AD134" s="55">
        <f t="shared" ca="1" si="68"/>
        <v>-263627.81110109272</v>
      </c>
      <c r="AE134" s="93">
        <f t="shared" ref="AE134:AE171" ca="1" si="69">IF((AC134/0.25)&lt;=1600000,1600000,(AC134/0.25))</f>
        <v>3694511.2444043709</v>
      </c>
    </row>
    <row r="135" spans="1:31" s="3" customFormat="1" x14ac:dyDescent="0.35">
      <c r="A135" s="94" t="s">
        <v>305</v>
      </c>
      <c r="B135" s="80">
        <v>2614</v>
      </c>
      <c r="C135" s="48" t="s">
        <v>40</v>
      </c>
      <c r="D135" s="48" t="s">
        <v>39</v>
      </c>
      <c r="E135" s="48"/>
      <c r="F135" s="48">
        <v>49.97</v>
      </c>
      <c r="G135" s="48">
        <v>4.05</v>
      </c>
      <c r="H135" s="82">
        <f t="shared" si="58"/>
        <v>51.994999999999997</v>
      </c>
      <c r="I135" s="82">
        <f t="shared" si="59"/>
        <v>54.019999999999996</v>
      </c>
      <c r="J135" s="49">
        <v>5385</v>
      </c>
      <c r="K135" s="50">
        <v>0</v>
      </c>
      <c r="L135" s="48">
        <v>390</v>
      </c>
      <c r="M135" s="48">
        <v>0</v>
      </c>
      <c r="N135" s="51">
        <f t="shared" si="60"/>
        <v>5236.5</v>
      </c>
      <c r="O135" s="52">
        <f t="shared" si="61"/>
        <v>5775</v>
      </c>
      <c r="P135" s="79">
        <f t="shared" si="62"/>
        <v>93.210885662082902</v>
      </c>
      <c r="Q135" s="53">
        <f t="shared" si="63"/>
        <v>9.3200000000000005E-2</v>
      </c>
      <c r="R135" s="54">
        <f t="shared" si="64"/>
        <v>538.5</v>
      </c>
      <c r="S135" s="53">
        <v>0.8</v>
      </c>
      <c r="T135" s="54">
        <f t="shared" si="65"/>
        <v>4620</v>
      </c>
      <c r="U135" s="53">
        <f t="shared" si="66"/>
        <v>0.10680000000000001</v>
      </c>
      <c r="V135" s="54">
        <f t="shared" si="67"/>
        <v>616.77</v>
      </c>
      <c r="W135" s="55">
        <f ca="1">V135*VLOOKUP(TODAY(),'UF HOY'!$A$2:$B$36,2,0)</f>
        <v>24506702.173799999</v>
      </c>
      <c r="X135" s="56">
        <f>Datos!$K$6</f>
        <v>36</v>
      </c>
      <c r="Y135" s="55">
        <f ca="1">IF((W135-Datos!$U$6-1000000)/X135&gt;0,(W135-Datos!$U$6-1000000)/X135,0)</f>
        <v>650186.17149444437</v>
      </c>
      <c r="Z135" s="56">
        <f>Datos!$K$6</f>
        <v>36</v>
      </c>
      <c r="AA135" s="55">
        <f ca="1">IF((W135-Datos!$U$6-1000000-O135*3%*VLOOKUP(TODAY(),'UF HOY'!$A$2:$B$36,2,0))/Z135&gt;0,(W135-Datos!$U$6-1000000-O135*3%*VLOOKUP(TODAY(),'UF HOY'!$A$2:$B$36,2,0))/Z135,0)</f>
        <v>458966.58524444443</v>
      </c>
      <c r="AB135" s="55">
        <f>IF(L135&gt;0,VLOOKUP(D135,Datos!$A$36:$C$40,3,0),VLOOKUP(D135,Datos!$A$36:$C$40,2,0))</f>
        <v>660000</v>
      </c>
      <c r="AC135" s="55">
        <f ca="1">(S135*PMT(Datos!$G$15,Datos!$G$14,-O135,,)*VLOOKUP(TODAY(),'UF HOY'!$A$2:$B$36,2,0)/12)+VLOOKUP(TODAY(),'UF HOY'!$A$2:$B$36,2,0)</f>
        <v>924393.75033081649</v>
      </c>
      <c r="AD135" s="55">
        <f t="shared" ca="1" si="68"/>
        <v>-264393.75033081649</v>
      </c>
      <c r="AE135" s="93">
        <f t="shared" ca="1" si="69"/>
        <v>3697575.001323266</v>
      </c>
    </row>
    <row r="136" spans="1:31" s="3" customFormat="1" x14ac:dyDescent="0.35">
      <c r="A136" s="94" t="s">
        <v>305</v>
      </c>
      <c r="B136" s="80">
        <v>2209</v>
      </c>
      <c r="C136" s="48" t="s">
        <v>36</v>
      </c>
      <c r="D136" s="48" t="s">
        <v>39</v>
      </c>
      <c r="E136" s="48"/>
      <c r="F136" s="48">
        <v>48.72</v>
      </c>
      <c r="G136" s="48">
        <v>8.48</v>
      </c>
      <c r="H136" s="82">
        <f t="shared" si="58"/>
        <v>52.96</v>
      </c>
      <c r="I136" s="82">
        <f t="shared" si="59"/>
        <v>57.2</v>
      </c>
      <c r="J136" s="49">
        <v>5400</v>
      </c>
      <c r="K136" s="50">
        <v>0</v>
      </c>
      <c r="L136" s="48">
        <v>390</v>
      </c>
      <c r="M136" s="48">
        <v>0</v>
      </c>
      <c r="N136" s="51">
        <f t="shared" si="60"/>
        <v>5250</v>
      </c>
      <c r="O136" s="52">
        <f t="shared" si="61"/>
        <v>5790</v>
      </c>
      <c r="P136" s="79">
        <f t="shared" si="62"/>
        <v>91.767371601208453</v>
      </c>
      <c r="Q136" s="53">
        <f t="shared" si="63"/>
        <v>9.3299999999999994E-2</v>
      </c>
      <c r="R136" s="54">
        <f t="shared" si="64"/>
        <v>540</v>
      </c>
      <c r="S136" s="53">
        <v>0.8</v>
      </c>
      <c r="T136" s="54">
        <f t="shared" si="65"/>
        <v>4632</v>
      </c>
      <c r="U136" s="53">
        <f t="shared" si="66"/>
        <v>0.10670000000000002</v>
      </c>
      <c r="V136" s="54">
        <f t="shared" si="67"/>
        <v>617.79300000000012</v>
      </c>
      <c r="W136" s="55">
        <f ca="1">V136*VLOOKUP(TODAY(),'UF HOY'!$A$2:$B$36,2,0)</f>
        <v>24547349.994420007</v>
      </c>
      <c r="X136" s="56">
        <f>Datos!$K$6</f>
        <v>36</v>
      </c>
      <c r="Y136" s="55">
        <f ca="1">IF((W136-Datos!$U$6-1000000)/X136&gt;0,(W136-Datos!$U$6-1000000)/X136,0)</f>
        <v>651315.27762277797</v>
      </c>
      <c r="Z136" s="56">
        <f>Datos!$K$6</f>
        <v>36</v>
      </c>
      <c r="AA136" s="55">
        <f ca="1">IF((W136-Datos!$U$6-1000000-O136*3%*VLOOKUP(TODAY(),'UF HOY'!$A$2:$B$36,2,0))/Z136&gt;0,(W136-Datos!$U$6-1000000-O136*3%*VLOOKUP(TODAY(),'UF HOY'!$A$2:$B$36,2,0))/Z136,0)</f>
        <v>459599.01712277799</v>
      </c>
      <c r="AB136" s="55">
        <f>IF(L136&gt;0,VLOOKUP(D136,Datos!$A$36:$C$40,3,0),VLOOKUP(D136,Datos!$A$36:$C$40,2,0))</f>
        <v>660000</v>
      </c>
      <c r="AC136" s="55">
        <f ca="1">(S136*PMT(Datos!$G$15,Datos!$G$14,-O136,,)*VLOOKUP(TODAY(),'UF HOY'!$A$2:$B$36,2,0)/12)+VLOOKUP(TODAY(),'UF HOY'!$A$2:$B$36,2,0)</f>
        <v>926691.56801998755</v>
      </c>
      <c r="AD136" s="55">
        <f t="shared" ca="1" si="68"/>
        <v>-266691.56801998755</v>
      </c>
      <c r="AE136" s="93">
        <f t="shared" ca="1" si="69"/>
        <v>3706766.2720799502</v>
      </c>
    </row>
    <row r="137" spans="1:31" s="3" customFormat="1" x14ac:dyDescent="0.35">
      <c r="A137" s="94" t="s">
        <v>305</v>
      </c>
      <c r="B137" s="80">
        <v>2714</v>
      </c>
      <c r="C137" s="48" t="s">
        <v>40</v>
      </c>
      <c r="D137" s="48" t="s">
        <v>39</v>
      </c>
      <c r="E137" s="48"/>
      <c r="F137" s="48">
        <v>49.97</v>
      </c>
      <c r="G137" s="48">
        <v>4.05</v>
      </c>
      <c r="H137" s="82">
        <f t="shared" si="58"/>
        <v>51.994999999999997</v>
      </c>
      <c r="I137" s="82">
        <f t="shared" si="59"/>
        <v>54.019999999999996</v>
      </c>
      <c r="J137" s="49">
        <v>5400</v>
      </c>
      <c r="K137" s="50">
        <v>0</v>
      </c>
      <c r="L137" s="48">
        <v>390</v>
      </c>
      <c r="M137" s="48">
        <v>0</v>
      </c>
      <c r="N137" s="51">
        <f t="shared" si="60"/>
        <v>5250</v>
      </c>
      <c r="O137" s="52">
        <f t="shared" si="61"/>
        <v>5790</v>
      </c>
      <c r="P137" s="79">
        <f t="shared" si="62"/>
        <v>93.470526012116551</v>
      </c>
      <c r="Q137" s="53">
        <f t="shared" si="63"/>
        <v>9.3299999999999994E-2</v>
      </c>
      <c r="R137" s="54">
        <f t="shared" si="64"/>
        <v>540</v>
      </c>
      <c r="S137" s="53">
        <v>0.8</v>
      </c>
      <c r="T137" s="54">
        <f t="shared" si="65"/>
        <v>4632</v>
      </c>
      <c r="U137" s="53">
        <f t="shared" si="66"/>
        <v>0.10670000000000002</v>
      </c>
      <c r="V137" s="54">
        <f t="shared" si="67"/>
        <v>617.79300000000012</v>
      </c>
      <c r="W137" s="55">
        <f ca="1">V137*VLOOKUP(TODAY(),'UF HOY'!$A$2:$B$36,2,0)</f>
        <v>24547349.994420007</v>
      </c>
      <c r="X137" s="56">
        <f>Datos!$K$6</f>
        <v>36</v>
      </c>
      <c r="Y137" s="55">
        <f ca="1">IF((W137-Datos!$U$6-1000000)/X137&gt;0,(W137-Datos!$U$6-1000000)/X137,0)</f>
        <v>651315.27762277797</v>
      </c>
      <c r="Z137" s="56">
        <f>Datos!$K$6</f>
        <v>36</v>
      </c>
      <c r="AA137" s="55">
        <f ca="1">IF((W137-Datos!$U$6-1000000-O137*3%*VLOOKUP(TODAY(),'UF HOY'!$A$2:$B$36,2,0))/Z137&gt;0,(W137-Datos!$U$6-1000000-O137*3%*VLOOKUP(TODAY(),'UF HOY'!$A$2:$B$36,2,0))/Z137,0)</f>
        <v>459599.01712277799</v>
      </c>
      <c r="AB137" s="55">
        <f>IF(L137&gt;0,VLOOKUP(D137,Datos!$A$36:$C$40,3,0),VLOOKUP(D137,Datos!$A$36:$C$40,2,0))</f>
        <v>660000</v>
      </c>
      <c r="AC137" s="55">
        <f ca="1">(S137*PMT(Datos!$G$15,Datos!$G$14,-O137,,)*VLOOKUP(TODAY(),'UF HOY'!$A$2:$B$36,2,0)/12)+VLOOKUP(TODAY(),'UF HOY'!$A$2:$B$36,2,0)</f>
        <v>926691.56801998755</v>
      </c>
      <c r="AD137" s="55">
        <f t="shared" ca="1" si="68"/>
        <v>-266691.56801998755</v>
      </c>
      <c r="AE137" s="93">
        <f t="shared" ca="1" si="69"/>
        <v>3706766.2720799502</v>
      </c>
    </row>
    <row r="138" spans="1:31" s="3" customFormat="1" x14ac:dyDescent="0.35">
      <c r="A138" s="94" t="s">
        <v>305</v>
      </c>
      <c r="B138" s="80">
        <v>2309</v>
      </c>
      <c r="C138" s="48" t="s">
        <v>36</v>
      </c>
      <c r="D138" s="48" t="s">
        <v>39</v>
      </c>
      <c r="E138" s="48"/>
      <c r="F138" s="48">
        <v>48.72</v>
      </c>
      <c r="G138" s="48">
        <v>8.48</v>
      </c>
      <c r="H138" s="82">
        <f t="shared" si="58"/>
        <v>52.96</v>
      </c>
      <c r="I138" s="82">
        <f t="shared" si="59"/>
        <v>57.2</v>
      </c>
      <c r="J138" s="49">
        <v>5415</v>
      </c>
      <c r="K138" s="50">
        <v>0</v>
      </c>
      <c r="L138" s="48">
        <v>390</v>
      </c>
      <c r="M138" s="48">
        <v>0</v>
      </c>
      <c r="N138" s="51">
        <f t="shared" si="60"/>
        <v>5263.5</v>
      </c>
      <c r="O138" s="52">
        <f t="shared" si="61"/>
        <v>5805</v>
      </c>
      <c r="P138" s="79">
        <f t="shared" si="62"/>
        <v>92.022280966767369</v>
      </c>
      <c r="Q138" s="53">
        <f t="shared" si="63"/>
        <v>9.3299999999999994E-2</v>
      </c>
      <c r="R138" s="54">
        <f t="shared" si="64"/>
        <v>541.5</v>
      </c>
      <c r="S138" s="53">
        <v>0.8</v>
      </c>
      <c r="T138" s="54">
        <f t="shared" si="65"/>
        <v>4644</v>
      </c>
      <c r="U138" s="53">
        <f t="shared" si="66"/>
        <v>0.10670000000000002</v>
      </c>
      <c r="V138" s="54">
        <f t="shared" si="67"/>
        <v>619.39350000000013</v>
      </c>
      <c r="W138" s="55">
        <f ca="1">V138*VLOOKUP(TODAY(),'UF HOY'!$A$2:$B$36,2,0)</f>
        <v>24610944.165390007</v>
      </c>
      <c r="X138" s="56">
        <f>Datos!$K$6</f>
        <v>36</v>
      </c>
      <c r="Y138" s="55">
        <f ca="1">IF((W138-Datos!$U$6-1000000)/X138&gt;0,(W138-Datos!$U$6-1000000)/X138,0)</f>
        <v>653081.78237194463</v>
      </c>
      <c r="Z138" s="56">
        <f>Datos!$K$6</f>
        <v>36</v>
      </c>
      <c r="AA138" s="55">
        <f ca="1">IF((W138-Datos!$U$6-1000000-O138*3%*VLOOKUP(TODAY(),'UF HOY'!$A$2:$B$36,2,0))/Z138&gt;0,(W138-Datos!$U$6-1000000-O138*3%*VLOOKUP(TODAY(),'UF HOY'!$A$2:$B$36,2,0))/Z138,0)</f>
        <v>460868.84762194462</v>
      </c>
      <c r="AB138" s="55">
        <f>IF(L138&gt;0,VLOOKUP(D138,Datos!$A$36:$C$40,3,0),VLOOKUP(D138,Datos!$A$36:$C$40,2,0))</f>
        <v>660000</v>
      </c>
      <c r="AC138" s="55">
        <f ca="1">(S138*PMT(Datos!$G$15,Datos!$G$14,-O138,,)*VLOOKUP(TODAY(),'UF HOY'!$A$2:$B$36,2,0)/12)+VLOOKUP(TODAY(),'UF HOY'!$A$2:$B$36,2,0)</f>
        <v>928989.38570915838</v>
      </c>
      <c r="AD138" s="55">
        <f t="shared" ca="1" si="68"/>
        <v>-268989.38570915838</v>
      </c>
      <c r="AE138" s="93">
        <f t="shared" ca="1" si="69"/>
        <v>3715957.5428366335</v>
      </c>
    </row>
    <row r="139" spans="1:31" s="3" customFormat="1" x14ac:dyDescent="0.35">
      <c r="A139" s="94" t="s">
        <v>305</v>
      </c>
      <c r="B139" s="80">
        <v>2814</v>
      </c>
      <c r="C139" s="48" t="s">
        <v>40</v>
      </c>
      <c r="D139" s="48" t="s">
        <v>39</v>
      </c>
      <c r="E139" s="48"/>
      <c r="F139" s="48">
        <v>49.97</v>
      </c>
      <c r="G139" s="48">
        <v>4.05</v>
      </c>
      <c r="H139" s="82">
        <f t="shared" si="58"/>
        <v>51.994999999999997</v>
      </c>
      <c r="I139" s="82">
        <f t="shared" si="59"/>
        <v>54.019999999999996</v>
      </c>
      <c r="J139" s="49">
        <v>5420</v>
      </c>
      <c r="K139" s="50">
        <v>0</v>
      </c>
      <c r="L139" s="48">
        <v>390</v>
      </c>
      <c r="M139" s="48">
        <v>0</v>
      </c>
      <c r="N139" s="51">
        <f t="shared" si="60"/>
        <v>5268</v>
      </c>
      <c r="O139" s="52">
        <f t="shared" si="61"/>
        <v>5810</v>
      </c>
      <c r="P139" s="79">
        <f t="shared" si="62"/>
        <v>93.816713145494759</v>
      </c>
      <c r="Q139" s="53">
        <f t="shared" si="63"/>
        <v>9.3299999999999994E-2</v>
      </c>
      <c r="R139" s="54">
        <f t="shared" si="64"/>
        <v>542</v>
      </c>
      <c r="S139" s="53">
        <v>0.8</v>
      </c>
      <c r="T139" s="54">
        <f t="shared" si="65"/>
        <v>4648</v>
      </c>
      <c r="U139" s="53">
        <f t="shared" si="66"/>
        <v>0.10670000000000002</v>
      </c>
      <c r="V139" s="54">
        <f t="shared" si="67"/>
        <v>619.92700000000013</v>
      </c>
      <c r="W139" s="55">
        <f ca="1">V139*VLOOKUP(TODAY(),'UF HOY'!$A$2:$B$36,2,0)</f>
        <v>24632142.222380009</v>
      </c>
      <c r="X139" s="56">
        <f>Datos!$K$6</f>
        <v>36</v>
      </c>
      <c r="Y139" s="55">
        <f ca="1">IF((W139-Datos!$U$6-1000000)/X139&gt;0,(W139-Datos!$U$6-1000000)/X139,0)</f>
        <v>653670.6172883336</v>
      </c>
      <c r="Z139" s="56">
        <f>Datos!$K$6</f>
        <v>36</v>
      </c>
      <c r="AA139" s="55">
        <f ca="1">IF((W139-Datos!$U$6-1000000-O139*3%*VLOOKUP(TODAY(),'UF HOY'!$A$2:$B$36,2,0))/Z139&gt;0,(W139-Datos!$U$6-1000000-O139*3%*VLOOKUP(TODAY(),'UF HOY'!$A$2:$B$36,2,0))/Z139,0)</f>
        <v>461292.12445500027</v>
      </c>
      <c r="AB139" s="55">
        <f>IF(L139&gt;0,VLOOKUP(D139,Datos!$A$36:$C$40,3,0),VLOOKUP(D139,Datos!$A$36:$C$40,2,0))</f>
        <v>660000</v>
      </c>
      <c r="AC139" s="55">
        <f ca="1">(S139*PMT(Datos!$G$15,Datos!$G$14,-O139,,)*VLOOKUP(TODAY(),'UF HOY'!$A$2:$B$36,2,0)/12)+VLOOKUP(TODAY(),'UF HOY'!$A$2:$B$36,2,0)</f>
        <v>929755.32493888214</v>
      </c>
      <c r="AD139" s="55">
        <f t="shared" ca="1" si="68"/>
        <v>-269755.32493888214</v>
      </c>
      <c r="AE139" s="93">
        <f t="shared" ca="1" si="69"/>
        <v>3719021.2997555286</v>
      </c>
    </row>
    <row r="140" spans="1:31" s="3" customFormat="1" x14ac:dyDescent="0.35">
      <c r="A140" s="94" t="s">
        <v>305</v>
      </c>
      <c r="B140" s="80">
        <v>2409</v>
      </c>
      <c r="C140" s="48" t="s">
        <v>36</v>
      </c>
      <c r="D140" s="48" t="s">
        <v>39</v>
      </c>
      <c r="E140" s="48"/>
      <c r="F140" s="48">
        <v>48.72</v>
      </c>
      <c r="G140" s="48">
        <v>8.48</v>
      </c>
      <c r="H140" s="82">
        <f t="shared" si="58"/>
        <v>52.96</v>
      </c>
      <c r="I140" s="82">
        <f t="shared" si="59"/>
        <v>57.2</v>
      </c>
      <c r="J140" s="49">
        <v>5430</v>
      </c>
      <c r="K140" s="50">
        <v>0</v>
      </c>
      <c r="L140" s="48">
        <v>390</v>
      </c>
      <c r="M140" s="48">
        <v>0</v>
      </c>
      <c r="N140" s="51">
        <f t="shared" si="60"/>
        <v>5277</v>
      </c>
      <c r="O140" s="52">
        <f t="shared" si="61"/>
        <v>5820</v>
      </c>
      <c r="P140" s="79">
        <f t="shared" si="62"/>
        <v>92.277190332326285</v>
      </c>
      <c r="Q140" s="53">
        <f t="shared" si="63"/>
        <v>9.3299999999999994E-2</v>
      </c>
      <c r="R140" s="54">
        <f t="shared" si="64"/>
        <v>543</v>
      </c>
      <c r="S140" s="53">
        <v>0.8</v>
      </c>
      <c r="T140" s="54">
        <f t="shared" si="65"/>
        <v>4656</v>
      </c>
      <c r="U140" s="53">
        <f t="shared" si="66"/>
        <v>0.10670000000000002</v>
      </c>
      <c r="V140" s="54">
        <f t="shared" si="67"/>
        <v>620.99400000000014</v>
      </c>
      <c r="W140" s="55">
        <f ca="1">V140*VLOOKUP(TODAY(),'UF HOY'!$A$2:$B$36,2,0)</f>
        <v>24674538.336360008</v>
      </c>
      <c r="X140" s="56">
        <f>Datos!$K$6</f>
        <v>36</v>
      </c>
      <c r="Y140" s="55">
        <f ca="1">IF((W140-Datos!$U$6-1000000)/X140&gt;0,(W140-Datos!$U$6-1000000)/X140,0)</f>
        <v>654848.28712111129</v>
      </c>
      <c r="Z140" s="56">
        <f>Datos!$K$6</f>
        <v>36</v>
      </c>
      <c r="AA140" s="55">
        <f ca="1">IF((W140-Datos!$U$6-1000000-O140*3%*VLOOKUP(TODAY(),'UF HOY'!$A$2:$B$36,2,0))/Z140&gt;0,(W140-Datos!$U$6-1000000-O140*3%*VLOOKUP(TODAY(),'UF HOY'!$A$2:$B$36,2,0))/Z140,0)</f>
        <v>462138.6781211113</v>
      </c>
      <c r="AB140" s="55">
        <f>IF(L140&gt;0,VLOOKUP(D140,Datos!$A$36:$C$40,3,0),VLOOKUP(D140,Datos!$A$36:$C$40,2,0))</f>
        <v>660000</v>
      </c>
      <c r="AC140" s="55">
        <f ca="1">(S140*PMT(Datos!$G$15,Datos!$G$14,-O140,,)*VLOOKUP(TODAY(),'UF HOY'!$A$2:$B$36,2,0)/12)+VLOOKUP(TODAY(),'UF HOY'!$A$2:$B$36,2,0)</f>
        <v>931287.20339832921</v>
      </c>
      <c r="AD140" s="55">
        <f t="shared" ca="1" si="68"/>
        <v>-271287.20339832921</v>
      </c>
      <c r="AE140" s="93">
        <f t="shared" ca="1" si="69"/>
        <v>3725148.8135933168</v>
      </c>
    </row>
    <row r="141" spans="1:31" s="3" customFormat="1" x14ac:dyDescent="0.35">
      <c r="A141" s="94" t="s">
        <v>305</v>
      </c>
      <c r="B141" s="80">
        <v>2509</v>
      </c>
      <c r="C141" s="48" t="s">
        <v>36</v>
      </c>
      <c r="D141" s="48" t="s">
        <v>39</v>
      </c>
      <c r="E141" s="48"/>
      <c r="F141" s="48">
        <v>48.72</v>
      </c>
      <c r="G141" s="48">
        <v>8.48</v>
      </c>
      <c r="H141" s="82">
        <f t="shared" si="58"/>
        <v>52.96</v>
      </c>
      <c r="I141" s="82">
        <f t="shared" si="59"/>
        <v>57.2</v>
      </c>
      <c r="J141" s="49">
        <v>5445</v>
      </c>
      <c r="K141" s="50">
        <v>0</v>
      </c>
      <c r="L141" s="48">
        <v>390</v>
      </c>
      <c r="M141" s="48">
        <v>0</v>
      </c>
      <c r="N141" s="51">
        <f t="shared" si="60"/>
        <v>5290.5</v>
      </c>
      <c r="O141" s="52">
        <f t="shared" si="61"/>
        <v>5835</v>
      </c>
      <c r="P141" s="79">
        <f t="shared" si="62"/>
        <v>92.532099697885201</v>
      </c>
      <c r="Q141" s="53">
        <f t="shared" si="63"/>
        <v>9.3299999999999994E-2</v>
      </c>
      <c r="R141" s="54">
        <f t="shared" si="64"/>
        <v>544.5</v>
      </c>
      <c r="S141" s="53">
        <v>0.8</v>
      </c>
      <c r="T141" s="54">
        <f t="shared" si="65"/>
        <v>4668</v>
      </c>
      <c r="U141" s="53">
        <f t="shared" si="66"/>
        <v>0.10670000000000002</v>
      </c>
      <c r="V141" s="54">
        <f t="shared" si="67"/>
        <v>622.59450000000015</v>
      </c>
      <c r="W141" s="55">
        <f ca="1">V141*VLOOKUP(TODAY(),'UF HOY'!$A$2:$B$36,2,0)</f>
        <v>24738132.507330008</v>
      </c>
      <c r="X141" s="56">
        <f>Datos!$K$6</f>
        <v>36</v>
      </c>
      <c r="Y141" s="55">
        <f ca="1">IF((W141-Datos!$U$6-1000000)/X141&gt;0,(W141-Datos!$U$6-1000000)/X141,0)</f>
        <v>656614.79187027796</v>
      </c>
      <c r="Z141" s="56">
        <f>Datos!$K$6</f>
        <v>36</v>
      </c>
      <c r="AA141" s="55">
        <f ca="1">IF((W141-Datos!$U$6-1000000-O141*3%*VLOOKUP(TODAY(),'UF HOY'!$A$2:$B$36,2,0))/Z141&gt;0,(W141-Datos!$U$6-1000000-O141*3%*VLOOKUP(TODAY(),'UF HOY'!$A$2:$B$36,2,0))/Z141,0)</f>
        <v>463408.50862027798</v>
      </c>
      <c r="AB141" s="55">
        <f>IF(L141&gt;0,VLOOKUP(D141,Datos!$A$36:$C$40,3,0),VLOOKUP(D141,Datos!$A$36:$C$40,2,0))</f>
        <v>660000</v>
      </c>
      <c r="AC141" s="55">
        <f ca="1">(S141*PMT(Datos!$G$15,Datos!$G$14,-O141,,)*VLOOKUP(TODAY(),'UF HOY'!$A$2:$B$36,2,0)/12)+VLOOKUP(TODAY(),'UF HOY'!$A$2:$B$36,2,0)</f>
        <v>933585.02108750027</v>
      </c>
      <c r="AD141" s="55">
        <f t="shared" ca="1" si="68"/>
        <v>-273585.02108750027</v>
      </c>
      <c r="AE141" s="93">
        <f t="shared" ca="1" si="69"/>
        <v>3734340.0843500011</v>
      </c>
    </row>
    <row r="142" spans="1:31" s="3" customFormat="1" x14ac:dyDescent="0.35">
      <c r="A142" s="94" t="s">
        <v>305</v>
      </c>
      <c r="B142" s="80">
        <v>2609</v>
      </c>
      <c r="C142" s="48" t="s">
        <v>36</v>
      </c>
      <c r="D142" s="48" t="s">
        <v>39</v>
      </c>
      <c r="E142" s="48"/>
      <c r="F142" s="48">
        <v>48.72</v>
      </c>
      <c r="G142" s="48">
        <v>8.48</v>
      </c>
      <c r="H142" s="82">
        <f t="shared" si="58"/>
        <v>52.96</v>
      </c>
      <c r="I142" s="82">
        <f t="shared" si="59"/>
        <v>57.2</v>
      </c>
      <c r="J142" s="49">
        <v>5460</v>
      </c>
      <c r="K142" s="50">
        <v>0</v>
      </c>
      <c r="L142" s="48">
        <v>390</v>
      </c>
      <c r="M142" s="48">
        <v>0</v>
      </c>
      <c r="N142" s="51">
        <f t="shared" si="60"/>
        <v>5304</v>
      </c>
      <c r="O142" s="52">
        <f t="shared" si="61"/>
        <v>5850</v>
      </c>
      <c r="P142" s="79">
        <f t="shared" si="62"/>
        <v>92.787009063444103</v>
      </c>
      <c r="Q142" s="53">
        <f t="shared" si="63"/>
        <v>9.3299999999999994E-2</v>
      </c>
      <c r="R142" s="54">
        <f t="shared" si="64"/>
        <v>546</v>
      </c>
      <c r="S142" s="53">
        <v>0.8</v>
      </c>
      <c r="T142" s="54">
        <f t="shared" si="65"/>
        <v>4680</v>
      </c>
      <c r="U142" s="53">
        <f t="shared" si="66"/>
        <v>0.10670000000000002</v>
      </c>
      <c r="V142" s="54">
        <f t="shared" si="67"/>
        <v>624.19500000000005</v>
      </c>
      <c r="W142" s="55">
        <f ca="1">V142*VLOOKUP(TODAY(),'UF HOY'!$A$2:$B$36,2,0)</f>
        <v>24801726.678300004</v>
      </c>
      <c r="X142" s="56">
        <f>Datos!$K$6</f>
        <v>36</v>
      </c>
      <c r="Y142" s="55">
        <f ca="1">IF((W142-Datos!$U$6-1000000)/X142&gt;0,(W142-Datos!$U$6-1000000)/X142,0)</f>
        <v>658381.29661944462</v>
      </c>
      <c r="Z142" s="56">
        <f>Datos!$K$6</f>
        <v>36</v>
      </c>
      <c r="AA142" s="55">
        <f ca="1">IF((W142-Datos!$U$6-1000000-O142*3%*VLOOKUP(TODAY(),'UF HOY'!$A$2:$B$36,2,0))/Z142&gt;0,(W142-Datos!$U$6-1000000-O142*3%*VLOOKUP(TODAY(),'UF HOY'!$A$2:$B$36,2,0))/Z142,0)</f>
        <v>464678.33911944454</v>
      </c>
      <c r="AB142" s="55">
        <f>IF(L142&gt;0,VLOOKUP(D142,Datos!$A$36:$C$40,3,0),VLOOKUP(D142,Datos!$A$36:$C$40,2,0))</f>
        <v>660000</v>
      </c>
      <c r="AC142" s="55">
        <f ca="1">(S142*PMT(Datos!$G$15,Datos!$G$14,-O142,,)*VLOOKUP(TODAY(),'UF HOY'!$A$2:$B$36,2,0)/12)+VLOOKUP(TODAY(),'UF HOY'!$A$2:$B$36,2,0)</f>
        <v>935882.83877667133</v>
      </c>
      <c r="AD142" s="55">
        <f t="shared" ca="1" si="68"/>
        <v>-275882.83877667133</v>
      </c>
      <c r="AE142" s="93">
        <f t="shared" ca="1" si="69"/>
        <v>3743531.3551066853</v>
      </c>
    </row>
    <row r="143" spans="1:31" s="3" customFormat="1" x14ac:dyDescent="0.35">
      <c r="A143" s="94" t="s">
        <v>305</v>
      </c>
      <c r="B143" s="80">
        <v>2709</v>
      </c>
      <c r="C143" s="48" t="s">
        <v>36</v>
      </c>
      <c r="D143" s="48" t="s">
        <v>39</v>
      </c>
      <c r="E143" s="48"/>
      <c r="F143" s="48">
        <v>48.72</v>
      </c>
      <c r="G143" s="48">
        <v>8.48</v>
      </c>
      <c r="H143" s="82">
        <f t="shared" si="58"/>
        <v>52.96</v>
      </c>
      <c r="I143" s="82">
        <f t="shared" si="59"/>
        <v>57.2</v>
      </c>
      <c r="J143" s="49">
        <v>5470</v>
      </c>
      <c r="K143" s="50">
        <v>0</v>
      </c>
      <c r="L143" s="48">
        <v>390</v>
      </c>
      <c r="M143" s="48">
        <v>0</v>
      </c>
      <c r="N143" s="51">
        <f t="shared" si="60"/>
        <v>5313</v>
      </c>
      <c r="O143" s="52">
        <f t="shared" si="61"/>
        <v>5860</v>
      </c>
      <c r="P143" s="79">
        <f t="shared" si="62"/>
        <v>92.956948640483375</v>
      </c>
      <c r="Q143" s="53">
        <f t="shared" si="63"/>
        <v>9.3299999999999994E-2</v>
      </c>
      <c r="R143" s="54">
        <f t="shared" si="64"/>
        <v>547</v>
      </c>
      <c r="S143" s="53">
        <v>0.8</v>
      </c>
      <c r="T143" s="54">
        <f t="shared" si="65"/>
        <v>4688</v>
      </c>
      <c r="U143" s="53">
        <f t="shared" si="66"/>
        <v>0.10670000000000002</v>
      </c>
      <c r="V143" s="54">
        <f t="shared" si="67"/>
        <v>625.26200000000006</v>
      </c>
      <c r="W143" s="55">
        <f ca="1">V143*VLOOKUP(TODAY(),'UF HOY'!$A$2:$B$36,2,0)</f>
        <v>24844122.792280003</v>
      </c>
      <c r="X143" s="56">
        <f>Datos!$K$6</f>
        <v>36</v>
      </c>
      <c r="Y143" s="55">
        <f ca="1">IF((W143-Datos!$U$6-1000000)/X143&gt;0,(W143-Datos!$U$6-1000000)/X143,0)</f>
        <v>659558.96645222232</v>
      </c>
      <c r="Z143" s="56">
        <f>Datos!$K$6</f>
        <v>36</v>
      </c>
      <c r="AA143" s="55">
        <f ca="1">IF((W143-Datos!$U$6-1000000-O143*3%*VLOOKUP(TODAY(),'UF HOY'!$A$2:$B$36,2,0))/Z143&gt;0,(W143-Datos!$U$6-1000000-O143*3%*VLOOKUP(TODAY(),'UF HOY'!$A$2:$B$36,2,0))/Z143,0)</f>
        <v>465524.89278555568</v>
      </c>
      <c r="AB143" s="55">
        <f>IF(L143&gt;0,VLOOKUP(D143,Datos!$A$36:$C$40,3,0),VLOOKUP(D143,Datos!$A$36:$C$40,2,0))</f>
        <v>660000</v>
      </c>
      <c r="AC143" s="55">
        <f ca="1">(S143*PMT(Datos!$G$15,Datos!$G$14,-O143,,)*VLOOKUP(TODAY(),'UF HOY'!$A$2:$B$36,2,0)/12)+VLOOKUP(TODAY(),'UF HOY'!$A$2:$B$36,2,0)</f>
        <v>937414.71723611839</v>
      </c>
      <c r="AD143" s="55">
        <f t="shared" ca="1" si="68"/>
        <v>-277414.71723611839</v>
      </c>
      <c r="AE143" s="93">
        <f t="shared" ca="1" si="69"/>
        <v>3749658.8689444736</v>
      </c>
    </row>
    <row r="144" spans="1:31" s="3" customFormat="1" x14ac:dyDescent="0.35">
      <c r="A144" s="94" t="s">
        <v>305</v>
      </c>
      <c r="B144" s="80">
        <v>2809</v>
      </c>
      <c r="C144" s="48" t="s">
        <v>36</v>
      </c>
      <c r="D144" s="48" t="s">
        <v>39</v>
      </c>
      <c r="E144" s="48"/>
      <c r="F144" s="48">
        <v>48.72</v>
      </c>
      <c r="G144" s="48">
        <v>8.48</v>
      </c>
      <c r="H144" s="82">
        <f t="shared" si="58"/>
        <v>52.96</v>
      </c>
      <c r="I144" s="82">
        <f t="shared" si="59"/>
        <v>57.2</v>
      </c>
      <c r="J144" s="49">
        <v>5485</v>
      </c>
      <c r="K144" s="50">
        <v>0</v>
      </c>
      <c r="L144" s="48">
        <v>390</v>
      </c>
      <c r="M144" s="48">
        <v>0</v>
      </c>
      <c r="N144" s="51">
        <f t="shared" si="60"/>
        <v>5326.5</v>
      </c>
      <c r="O144" s="52">
        <f t="shared" si="61"/>
        <v>5875</v>
      </c>
      <c r="P144" s="79">
        <f t="shared" si="62"/>
        <v>93.211858006042291</v>
      </c>
      <c r="Q144" s="53">
        <f t="shared" si="63"/>
        <v>9.3399999999999997E-2</v>
      </c>
      <c r="R144" s="54">
        <f t="shared" si="64"/>
        <v>548.5</v>
      </c>
      <c r="S144" s="53">
        <v>0.8</v>
      </c>
      <c r="T144" s="54">
        <f t="shared" si="65"/>
        <v>4700</v>
      </c>
      <c r="U144" s="53">
        <f t="shared" si="66"/>
        <v>0.10659999999999992</v>
      </c>
      <c r="V144" s="54">
        <f t="shared" si="67"/>
        <v>626.27499999999952</v>
      </c>
      <c r="W144" s="55">
        <f ca="1">V144*VLOOKUP(TODAY(),'UF HOY'!$A$2:$B$36,2,0)</f>
        <v>24884373.273499984</v>
      </c>
      <c r="X144" s="56">
        <f>Datos!$K$6</f>
        <v>36</v>
      </c>
      <c r="Y144" s="55">
        <f ca="1">IF((W144-Datos!$U$6-1000000)/X144&gt;0,(W144-Datos!$U$6-1000000)/X144,0)</f>
        <v>660677.03537499951</v>
      </c>
      <c r="Z144" s="56">
        <f>Datos!$K$6</f>
        <v>36</v>
      </c>
      <c r="AA144" s="55">
        <f ca="1">IF((W144-Datos!$U$6-1000000-O144*3%*VLOOKUP(TODAY(),'UF HOY'!$A$2:$B$36,2,0))/Z144&gt;0,(W144-Datos!$U$6-1000000-O144*3%*VLOOKUP(TODAY(),'UF HOY'!$A$2:$B$36,2,0))/Z144,0)</f>
        <v>466146.2874583329</v>
      </c>
      <c r="AB144" s="55">
        <f>IF(L144&gt;0,VLOOKUP(D144,Datos!$A$36:$C$40,3,0),VLOOKUP(D144,Datos!$A$36:$C$40,2,0))</f>
        <v>660000</v>
      </c>
      <c r="AC144" s="55">
        <f ca="1">(S144*PMT(Datos!$G$15,Datos!$G$14,-O144,,)*VLOOKUP(TODAY(),'UF HOY'!$A$2:$B$36,2,0)/12)+VLOOKUP(TODAY(),'UF HOY'!$A$2:$B$36,2,0)</f>
        <v>939712.53492528968</v>
      </c>
      <c r="AD144" s="55">
        <f t="shared" ca="1" si="68"/>
        <v>-279712.53492528968</v>
      </c>
      <c r="AE144" s="93">
        <f t="shared" ca="1" si="69"/>
        <v>3758850.1397011587</v>
      </c>
    </row>
    <row r="145" spans="1:31" s="3" customFormat="1" x14ac:dyDescent="0.35">
      <c r="A145" s="94" t="s">
        <v>305</v>
      </c>
      <c r="B145" s="80">
        <v>3009</v>
      </c>
      <c r="C145" s="48" t="s">
        <v>36</v>
      </c>
      <c r="D145" s="48" t="s">
        <v>39</v>
      </c>
      <c r="E145" s="48"/>
      <c r="F145" s="48">
        <v>48.72</v>
      </c>
      <c r="G145" s="48">
        <v>8.48</v>
      </c>
      <c r="H145" s="82">
        <f t="shared" si="58"/>
        <v>52.96</v>
      </c>
      <c r="I145" s="82">
        <f t="shared" si="59"/>
        <v>57.2</v>
      </c>
      <c r="J145" s="49">
        <v>5485</v>
      </c>
      <c r="K145" s="50">
        <v>0</v>
      </c>
      <c r="L145" s="48">
        <v>390</v>
      </c>
      <c r="M145" s="48">
        <v>0</v>
      </c>
      <c r="N145" s="51">
        <f t="shared" si="60"/>
        <v>5326.5</v>
      </c>
      <c r="O145" s="52">
        <f t="shared" si="61"/>
        <v>5875</v>
      </c>
      <c r="P145" s="79">
        <f t="shared" si="62"/>
        <v>93.211858006042291</v>
      </c>
      <c r="Q145" s="53">
        <f t="shared" si="63"/>
        <v>9.3399999999999997E-2</v>
      </c>
      <c r="R145" s="54">
        <f t="shared" si="64"/>
        <v>548.5</v>
      </c>
      <c r="S145" s="53">
        <v>0.8</v>
      </c>
      <c r="T145" s="54">
        <f t="shared" si="65"/>
        <v>4700</v>
      </c>
      <c r="U145" s="53">
        <f t="shared" si="66"/>
        <v>0.10659999999999992</v>
      </c>
      <c r="V145" s="54">
        <f t="shared" si="67"/>
        <v>626.27499999999952</v>
      </c>
      <c r="W145" s="55">
        <f ca="1">V145*VLOOKUP(TODAY(),'UF HOY'!$A$2:$B$36,2,0)</f>
        <v>24884373.273499984</v>
      </c>
      <c r="X145" s="56">
        <f>Datos!$K$6</f>
        <v>36</v>
      </c>
      <c r="Y145" s="55">
        <f ca="1">IF((W145-Datos!$U$6-1000000)/X145&gt;0,(W145-Datos!$U$6-1000000)/X145,0)</f>
        <v>660677.03537499951</v>
      </c>
      <c r="Z145" s="56">
        <f>Datos!$K$6</f>
        <v>36</v>
      </c>
      <c r="AA145" s="55">
        <f ca="1">IF((W145-Datos!$U$6-1000000-O145*3%*VLOOKUP(TODAY(),'UF HOY'!$A$2:$B$36,2,0))/Z145&gt;0,(W145-Datos!$U$6-1000000-O145*3%*VLOOKUP(TODAY(),'UF HOY'!$A$2:$B$36,2,0))/Z145,0)</f>
        <v>466146.2874583329</v>
      </c>
      <c r="AB145" s="55">
        <f>IF(L145&gt;0,VLOOKUP(D145,Datos!$A$36:$C$40,3,0),VLOOKUP(D145,Datos!$A$36:$C$40,2,0))</f>
        <v>660000</v>
      </c>
      <c r="AC145" s="55">
        <f ca="1">(S145*PMT(Datos!$G$15,Datos!$G$14,-O145,,)*VLOOKUP(TODAY(),'UF HOY'!$A$2:$B$36,2,0)/12)+VLOOKUP(TODAY(),'UF HOY'!$A$2:$B$36,2,0)</f>
        <v>939712.53492528968</v>
      </c>
      <c r="AD145" s="55">
        <f t="shared" ca="1" si="68"/>
        <v>-279712.53492528968</v>
      </c>
      <c r="AE145" s="93">
        <f t="shared" ca="1" si="69"/>
        <v>3758850.1397011587</v>
      </c>
    </row>
    <row r="146" spans="1:31" s="3" customFormat="1" x14ac:dyDescent="0.35">
      <c r="A146" s="94" t="s">
        <v>305</v>
      </c>
      <c r="B146" s="80">
        <v>3109</v>
      </c>
      <c r="C146" s="48" t="s">
        <v>36</v>
      </c>
      <c r="D146" s="48" t="s">
        <v>39</v>
      </c>
      <c r="E146" s="48"/>
      <c r="F146" s="48">
        <v>48.72</v>
      </c>
      <c r="G146" s="48">
        <v>8.48</v>
      </c>
      <c r="H146" s="82">
        <f t="shared" si="58"/>
        <v>52.96</v>
      </c>
      <c r="I146" s="82">
        <f t="shared" si="59"/>
        <v>57.2</v>
      </c>
      <c r="J146" s="49">
        <v>5485</v>
      </c>
      <c r="K146" s="50">
        <v>0</v>
      </c>
      <c r="L146" s="48">
        <v>390</v>
      </c>
      <c r="M146" s="48">
        <v>0</v>
      </c>
      <c r="N146" s="51">
        <f t="shared" si="60"/>
        <v>5326.5</v>
      </c>
      <c r="O146" s="52">
        <f t="shared" si="61"/>
        <v>5875</v>
      </c>
      <c r="P146" s="79">
        <f t="shared" si="62"/>
        <v>93.211858006042291</v>
      </c>
      <c r="Q146" s="53">
        <f t="shared" si="63"/>
        <v>9.3399999999999997E-2</v>
      </c>
      <c r="R146" s="54">
        <f t="shared" si="64"/>
        <v>548.5</v>
      </c>
      <c r="S146" s="53">
        <v>0.8</v>
      </c>
      <c r="T146" s="54">
        <f t="shared" si="65"/>
        <v>4700</v>
      </c>
      <c r="U146" s="53">
        <f t="shared" si="66"/>
        <v>0.10659999999999992</v>
      </c>
      <c r="V146" s="54">
        <f t="shared" si="67"/>
        <v>626.27499999999952</v>
      </c>
      <c r="W146" s="55">
        <f ca="1">V146*VLOOKUP(TODAY(),'UF HOY'!$A$2:$B$36,2,0)</f>
        <v>24884373.273499984</v>
      </c>
      <c r="X146" s="56">
        <f>Datos!$K$6</f>
        <v>36</v>
      </c>
      <c r="Y146" s="55">
        <f ca="1">IF((W146-Datos!$U$6-1000000)/X146&gt;0,(W146-Datos!$U$6-1000000)/X146,0)</f>
        <v>660677.03537499951</v>
      </c>
      <c r="Z146" s="56">
        <f>Datos!$K$6</f>
        <v>36</v>
      </c>
      <c r="AA146" s="55">
        <f ca="1">IF((W146-Datos!$U$6-1000000-O146*3%*VLOOKUP(TODAY(),'UF HOY'!$A$2:$B$36,2,0))/Z146&gt;0,(W146-Datos!$U$6-1000000-O146*3%*VLOOKUP(TODAY(),'UF HOY'!$A$2:$B$36,2,0))/Z146,0)</f>
        <v>466146.2874583329</v>
      </c>
      <c r="AB146" s="55">
        <f>IF(L146&gt;0,VLOOKUP(D146,Datos!$A$36:$C$40,3,0),VLOOKUP(D146,Datos!$A$36:$C$40,2,0))</f>
        <v>660000</v>
      </c>
      <c r="AC146" s="55">
        <f ca="1">(S146*PMT(Datos!$G$15,Datos!$G$14,-O146,,)*VLOOKUP(TODAY(),'UF HOY'!$A$2:$B$36,2,0)/12)+VLOOKUP(TODAY(),'UF HOY'!$A$2:$B$36,2,0)</f>
        <v>939712.53492528968</v>
      </c>
      <c r="AD146" s="55">
        <f t="shared" ca="1" si="68"/>
        <v>-279712.53492528968</v>
      </c>
      <c r="AE146" s="93">
        <f t="shared" ca="1" si="69"/>
        <v>3758850.1397011587</v>
      </c>
    </row>
    <row r="147" spans="1:31" s="3" customFormat="1" x14ac:dyDescent="0.35">
      <c r="A147" s="94" t="s">
        <v>305</v>
      </c>
      <c r="B147" s="80">
        <v>205</v>
      </c>
      <c r="C147" s="48" t="s">
        <v>336</v>
      </c>
      <c r="D147" s="48" t="s">
        <v>39</v>
      </c>
      <c r="E147" s="48"/>
      <c r="F147" s="48">
        <v>58.02</v>
      </c>
      <c r="G147" s="48">
        <v>3.81</v>
      </c>
      <c r="H147" s="82">
        <f t="shared" si="58"/>
        <v>59.925000000000004</v>
      </c>
      <c r="I147" s="82">
        <f t="shared" si="59"/>
        <v>61.830000000000005</v>
      </c>
      <c r="J147" s="49">
        <v>5495</v>
      </c>
      <c r="K147" s="50">
        <v>0</v>
      </c>
      <c r="L147" s="48">
        <v>390</v>
      </c>
      <c r="M147" s="48">
        <v>0</v>
      </c>
      <c r="N147" s="51">
        <f t="shared" si="60"/>
        <v>5335.5</v>
      </c>
      <c r="O147" s="52">
        <f t="shared" si="61"/>
        <v>5885</v>
      </c>
      <c r="P147" s="79">
        <f t="shared" si="62"/>
        <v>82.528160200250312</v>
      </c>
      <c r="Q147" s="53">
        <f t="shared" si="63"/>
        <v>9.3399999999999997E-2</v>
      </c>
      <c r="R147" s="54">
        <f t="shared" si="64"/>
        <v>549.5</v>
      </c>
      <c r="S147" s="53">
        <v>0.8</v>
      </c>
      <c r="T147" s="54">
        <f t="shared" si="65"/>
        <v>4708</v>
      </c>
      <c r="U147" s="53">
        <f t="shared" si="66"/>
        <v>0.10659999999999992</v>
      </c>
      <c r="V147" s="54">
        <f t="shared" si="67"/>
        <v>627.34099999999955</v>
      </c>
      <c r="W147" s="55">
        <f ca="1">V147*VLOOKUP(TODAY(),'UF HOY'!$A$2:$B$36,2,0)</f>
        <v>24926729.653539985</v>
      </c>
      <c r="X147" s="56">
        <f>Datos!$K$6</f>
        <v>36</v>
      </c>
      <c r="Y147" s="55">
        <f ca="1">IF((W147-Datos!$U$6-1000000)/X147&gt;0,(W147-Datos!$U$6-1000000)/X147,0)</f>
        <v>661853.60148722178</v>
      </c>
      <c r="Z147" s="56">
        <f>Datos!$K$6</f>
        <v>36</v>
      </c>
      <c r="AA147" s="55">
        <f ca="1">IF((W147-Datos!$U$6-1000000-O147*3%*VLOOKUP(TODAY(),'UF HOY'!$A$2:$B$36,2,0))/Z147&gt;0,(W147-Datos!$U$6-1000000-O147*3%*VLOOKUP(TODAY(),'UF HOY'!$A$2:$B$36,2,0))/Z147,0)</f>
        <v>466991.73740388849</v>
      </c>
      <c r="AB147" s="55">
        <f>IF(L147&gt;0,VLOOKUP(D147,Datos!$A$36:$C$40,3,0),VLOOKUP(D147,Datos!$A$36:$C$40,2,0))</f>
        <v>660000</v>
      </c>
      <c r="AC147" s="55">
        <f ca="1">(S147*PMT(Datos!$G$15,Datos!$G$14,-O147,,)*VLOOKUP(TODAY(),'UF HOY'!$A$2:$B$36,2,0)/12)+VLOOKUP(TODAY(),'UF HOY'!$A$2:$B$36,2,0)</f>
        <v>941244.41338473675</v>
      </c>
      <c r="AD147" s="55">
        <f t="shared" ca="1" si="68"/>
        <v>-281244.41338473675</v>
      </c>
      <c r="AE147" s="93">
        <f t="shared" ca="1" si="69"/>
        <v>3764977.653538947</v>
      </c>
    </row>
    <row r="148" spans="1:31" s="3" customFormat="1" x14ac:dyDescent="0.35">
      <c r="A148" s="94" t="s">
        <v>305</v>
      </c>
      <c r="B148" s="80">
        <v>2909</v>
      </c>
      <c r="C148" s="48" t="s">
        <v>36</v>
      </c>
      <c r="D148" s="48" t="s">
        <v>39</v>
      </c>
      <c r="E148" s="48"/>
      <c r="F148" s="48">
        <v>48.72</v>
      </c>
      <c r="G148" s="48">
        <v>8.48</v>
      </c>
      <c r="H148" s="82">
        <f t="shared" si="58"/>
        <v>52.96</v>
      </c>
      <c r="I148" s="82">
        <f t="shared" si="59"/>
        <v>57.2</v>
      </c>
      <c r="J148" s="49">
        <v>5505</v>
      </c>
      <c r="K148" s="50">
        <v>0</v>
      </c>
      <c r="L148" s="48">
        <v>390</v>
      </c>
      <c r="M148" s="48">
        <v>0</v>
      </c>
      <c r="N148" s="51">
        <f t="shared" si="60"/>
        <v>5344.5</v>
      </c>
      <c r="O148" s="52">
        <f t="shared" si="61"/>
        <v>5895</v>
      </c>
      <c r="P148" s="79">
        <f t="shared" si="62"/>
        <v>93.551737160120851</v>
      </c>
      <c r="Q148" s="53">
        <f t="shared" si="63"/>
        <v>9.3399999999999997E-2</v>
      </c>
      <c r="R148" s="54">
        <f t="shared" si="64"/>
        <v>550.5</v>
      </c>
      <c r="S148" s="53">
        <v>0.8</v>
      </c>
      <c r="T148" s="54">
        <f t="shared" si="65"/>
        <v>4716</v>
      </c>
      <c r="U148" s="53">
        <f t="shared" si="66"/>
        <v>0.10659999999999992</v>
      </c>
      <c r="V148" s="54">
        <f t="shared" si="67"/>
        <v>628.40699999999947</v>
      </c>
      <c r="W148" s="55">
        <f ca="1">V148*VLOOKUP(TODAY(),'UF HOY'!$A$2:$B$36,2,0)</f>
        <v>24969086.033579979</v>
      </c>
      <c r="X148" s="56">
        <f>Datos!$K$6</f>
        <v>36</v>
      </c>
      <c r="Y148" s="55">
        <f ca="1">IF((W148-Datos!$U$6-1000000)/X148&gt;0,(W148-Datos!$U$6-1000000)/X148,0)</f>
        <v>663030.16759944381</v>
      </c>
      <c r="Z148" s="56">
        <f>Datos!$K$6</f>
        <v>36</v>
      </c>
      <c r="AA148" s="55">
        <f ca="1">IF((W148-Datos!$U$6-1000000-O148*3%*VLOOKUP(TODAY(),'UF HOY'!$A$2:$B$36,2,0))/Z148&gt;0,(W148-Datos!$U$6-1000000-O148*3%*VLOOKUP(TODAY(),'UF HOY'!$A$2:$B$36,2,0))/Z148,0)</f>
        <v>467837.18734944385</v>
      </c>
      <c r="AB148" s="55">
        <f>IF(L148&gt;0,VLOOKUP(D148,Datos!$A$36:$C$40,3,0),VLOOKUP(D148,Datos!$A$36:$C$40,2,0))</f>
        <v>660000</v>
      </c>
      <c r="AC148" s="55">
        <f ca="1">(S148*PMT(Datos!$G$15,Datos!$G$14,-O148,,)*VLOOKUP(TODAY(),'UF HOY'!$A$2:$B$36,2,0)/12)+VLOOKUP(TODAY(),'UF HOY'!$A$2:$B$36,2,0)</f>
        <v>942776.29184418404</v>
      </c>
      <c r="AD148" s="55">
        <f t="shared" ca="1" si="68"/>
        <v>-282776.29184418404</v>
      </c>
      <c r="AE148" s="93">
        <f t="shared" ca="1" si="69"/>
        <v>3771105.1673767362</v>
      </c>
    </row>
    <row r="149" spans="1:31" s="3" customFormat="1" x14ac:dyDescent="0.35">
      <c r="A149" s="94" t="s">
        <v>305</v>
      </c>
      <c r="B149" s="80">
        <v>3005</v>
      </c>
      <c r="C149" s="48" t="s">
        <v>336</v>
      </c>
      <c r="D149" s="48" t="s">
        <v>39</v>
      </c>
      <c r="E149" s="48"/>
      <c r="F149" s="48">
        <v>57.23</v>
      </c>
      <c r="G149" s="48">
        <v>0</v>
      </c>
      <c r="H149" s="82">
        <f t="shared" si="58"/>
        <v>57.23</v>
      </c>
      <c r="I149" s="82">
        <f t="shared" si="59"/>
        <v>57.23</v>
      </c>
      <c r="J149" s="49">
        <v>5545</v>
      </c>
      <c r="K149" s="50">
        <v>0</v>
      </c>
      <c r="L149" s="48">
        <v>390</v>
      </c>
      <c r="M149" s="48">
        <v>0</v>
      </c>
      <c r="N149" s="51">
        <f t="shared" si="60"/>
        <v>5380.5</v>
      </c>
      <c r="O149" s="52">
        <f t="shared" si="61"/>
        <v>5935</v>
      </c>
      <c r="P149" s="79">
        <f t="shared" si="62"/>
        <v>87.200768827538013</v>
      </c>
      <c r="Q149" s="53">
        <f t="shared" si="63"/>
        <v>9.3399999999999997E-2</v>
      </c>
      <c r="R149" s="54">
        <f t="shared" si="64"/>
        <v>554.5</v>
      </c>
      <c r="S149" s="53">
        <v>0.8</v>
      </c>
      <c r="T149" s="54">
        <f t="shared" si="65"/>
        <v>4748</v>
      </c>
      <c r="U149" s="53">
        <f t="shared" si="66"/>
        <v>0.10659999999999992</v>
      </c>
      <c r="V149" s="54">
        <f t="shared" si="67"/>
        <v>632.67099999999948</v>
      </c>
      <c r="W149" s="55">
        <f ca="1">V149*VLOOKUP(TODAY(),'UF HOY'!$A$2:$B$36,2,0)</f>
        <v>25138511.55373998</v>
      </c>
      <c r="X149" s="56">
        <f>Datos!$K$6</f>
        <v>36</v>
      </c>
      <c r="Y149" s="55">
        <f ca="1">IF((W149-Datos!$U$6-1000000)/X149&gt;0,(W149-Datos!$U$6-1000000)/X149,0)</f>
        <v>667736.43204833276</v>
      </c>
      <c r="Z149" s="56">
        <f>Datos!$K$6</f>
        <v>36</v>
      </c>
      <c r="AA149" s="55">
        <f ca="1">IF((W149-Datos!$U$6-1000000-O149*3%*VLOOKUP(TODAY(),'UF HOY'!$A$2:$B$36,2,0))/Z149&gt;0,(W149-Datos!$U$6-1000000-O149*3%*VLOOKUP(TODAY(),'UF HOY'!$A$2:$B$36,2,0))/Z149,0)</f>
        <v>471218.9871316661</v>
      </c>
      <c r="AB149" s="55">
        <f>IF(L149&gt;0,VLOOKUP(D149,Datos!$A$36:$C$40,3,0),VLOOKUP(D149,Datos!$A$36:$C$40,2,0))</f>
        <v>660000</v>
      </c>
      <c r="AC149" s="55">
        <f ca="1">(S149*PMT(Datos!$G$15,Datos!$G$14,-O149,,)*VLOOKUP(TODAY(),'UF HOY'!$A$2:$B$36,2,0)/12)+VLOOKUP(TODAY(),'UF HOY'!$A$2:$B$36,2,0)</f>
        <v>948903.80568197323</v>
      </c>
      <c r="AD149" s="55">
        <f t="shared" ca="1" si="68"/>
        <v>-288903.80568197323</v>
      </c>
      <c r="AE149" s="93">
        <f t="shared" ca="1" si="69"/>
        <v>3795615.2227278929</v>
      </c>
    </row>
    <row r="150" spans="1:31" s="3" customFormat="1" x14ac:dyDescent="0.35">
      <c r="A150" s="94" t="s">
        <v>305</v>
      </c>
      <c r="B150" s="80">
        <v>2905</v>
      </c>
      <c r="C150" s="48" t="s">
        <v>336</v>
      </c>
      <c r="D150" s="48" t="s">
        <v>39</v>
      </c>
      <c r="E150" s="48"/>
      <c r="F150" s="48">
        <v>57.23</v>
      </c>
      <c r="G150" s="48">
        <v>0</v>
      </c>
      <c r="H150" s="82">
        <f t="shared" si="58"/>
        <v>57.23</v>
      </c>
      <c r="I150" s="82">
        <f t="shared" si="59"/>
        <v>57.23</v>
      </c>
      <c r="J150" s="49">
        <v>5555</v>
      </c>
      <c r="K150" s="50">
        <v>0</v>
      </c>
      <c r="L150" s="48">
        <v>390</v>
      </c>
      <c r="M150" s="48">
        <v>0</v>
      </c>
      <c r="N150" s="51">
        <f t="shared" si="60"/>
        <v>5389.5</v>
      </c>
      <c r="O150" s="52">
        <f t="shared" si="61"/>
        <v>5945</v>
      </c>
      <c r="P150" s="79">
        <f t="shared" si="62"/>
        <v>87.358029005766213</v>
      </c>
      <c r="Q150" s="53">
        <f t="shared" si="63"/>
        <v>9.3399999999999997E-2</v>
      </c>
      <c r="R150" s="54">
        <f t="shared" si="64"/>
        <v>555.5</v>
      </c>
      <c r="S150" s="53">
        <v>0.8</v>
      </c>
      <c r="T150" s="54">
        <f t="shared" si="65"/>
        <v>4756</v>
      </c>
      <c r="U150" s="53">
        <f t="shared" si="66"/>
        <v>0.10659999999999992</v>
      </c>
      <c r="V150" s="54">
        <f t="shared" si="67"/>
        <v>633.73699999999951</v>
      </c>
      <c r="W150" s="55">
        <f ca="1">V150*VLOOKUP(TODAY(),'UF HOY'!$A$2:$B$36,2,0)</f>
        <v>25180867.933779981</v>
      </c>
      <c r="X150" s="56">
        <f>Datos!$K$6</f>
        <v>36</v>
      </c>
      <c r="Y150" s="55">
        <f ca="1">IF((W150-Datos!$U$6-1000000)/X150&gt;0,(W150-Datos!$U$6-1000000)/X150,0)</f>
        <v>668912.99816055503</v>
      </c>
      <c r="Z150" s="56">
        <f>Datos!$K$6</f>
        <v>36</v>
      </c>
      <c r="AA150" s="55">
        <f ca="1">IF((W150-Datos!$U$6-1000000-O150*3%*VLOOKUP(TODAY(),'UF HOY'!$A$2:$B$36,2,0))/Z150&gt;0,(W150-Datos!$U$6-1000000-O150*3%*VLOOKUP(TODAY(),'UF HOY'!$A$2:$B$36,2,0))/Z150,0)</f>
        <v>472064.43707722169</v>
      </c>
      <c r="AB150" s="55">
        <f>IF(L150&gt;0,VLOOKUP(D150,Datos!$A$36:$C$40,3,0),VLOOKUP(D150,Datos!$A$36:$C$40,2,0))</f>
        <v>660000</v>
      </c>
      <c r="AC150" s="55">
        <f ca="1">(S150*PMT(Datos!$G$15,Datos!$G$14,-O150,,)*VLOOKUP(TODAY(),'UF HOY'!$A$2:$B$36,2,0)/12)+VLOOKUP(TODAY(),'UF HOY'!$A$2:$B$36,2,0)</f>
        <v>950435.68414142076</v>
      </c>
      <c r="AD150" s="55">
        <f t="shared" ca="1" si="68"/>
        <v>-290435.68414142076</v>
      </c>
      <c r="AE150" s="93">
        <f t="shared" ca="1" si="69"/>
        <v>3801742.736565683</v>
      </c>
    </row>
    <row r="151" spans="1:31" s="3" customFormat="1" x14ac:dyDescent="0.35">
      <c r="A151" s="94" t="s">
        <v>305</v>
      </c>
      <c r="B151" s="80">
        <v>405</v>
      </c>
      <c r="C151" s="48" t="s">
        <v>336</v>
      </c>
      <c r="D151" s="48" t="s">
        <v>39</v>
      </c>
      <c r="E151" s="48"/>
      <c r="F151" s="48">
        <v>58.02</v>
      </c>
      <c r="G151" s="48">
        <v>3.81</v>
      </c>
      <c r="H151" s="82">
        <f t="shared" si="58"/>
        <v>59.925000000000004</v>
      </c>
      <c r="I151" s="82">
        <f t="shared" si="59"/>
        <v>61.830000000000005</v>
      </c>
      <c r="J151" s="49">
        <v>5590</v>
      </c>
      <c r="K151" s="50">
        <v>0</v>
      </c>
      <c r="L151" s="48">
        <v>390</v>
      </c>
      <c r="M151" s="48">
        <v>0</v>
      </c>
      <c r="N151" s="51">
        <f t="shared" si="60"/>
        <v>5421</v>
      </c>
      <c r="O151" s="52">
        <f t="shared" si="61"/>
        <v>5980</v>
      </c>
      <c r="P151" s="79">
        <f t="shared" si="62"/>
        <v>83.954943679599495</v>
      </c>
      <c r="Q151" s="53">
        <f t="shared" si="63"/>
        <v>9.35E-2</v>
      </c>
      <c r="R151" s="54">
        <f t="shared" si="64"/>
        <v>559</v>
      </c>
      <c r="S151" s="53">
        <v>0.8</v>
      </c>
      <c r="T151" s="54">
        <f t="shared" si="65"/>
        <v>4784</v>
      </c>
      <c r="U151" s="53">
        <f t="shared" si="66"/>
        <v>0.10649999999999993</v>
      </c>
      <c r="V151" s="54">
        <f t="shared" si="67"/>
        <v>636.86999999999955</v>
      </c>
      <c r="W151" s="55">
        <f ca="1">V151*VLOOKUP(TODAY(),'UF HOY'!$A$2:$B$36,2,0)</f>
        <v>25305354.367799982</v>
      </c>
      <c r="X151" s="56">
        <f>Datos!$K$6</f>
        <v>36</v>
      </c>
      <c r="Y151" s="55">
        <f ca="1">IF((W151-Datos!$U$6-1000000)/X151&gt;0,(W151-Datos!$U$6-1000000)/X151,0)</f>
        <v>672370.95466111065</v>
      </c>
      <c r="Z151" s="56">
        <f>Datos!$K$6</f>
        <v>36</v>
      </c>
      <c r="AA151" s="55">
        <f ca="1">IF((W151-Datos!$U$6-1000000-O151*3%*VLOOKUP(TODAY(),'UF HOY'!$A$2:$B$36,2,0))/Z151&gt;0,(W151-Datos!$U$6-1000000-O151*3%*VLOOKUP(TODAY(),'UF HOY'!$A$2:$B$36,2,0))/Z151,0)</f>
        <v>474363.48699444387</v>
      </c>
      <c r="AB151" s="55">
        <f>IF(L151&gt;0,VLOOKUP(D151,Datos!$A$36:$C$40,3,0),VLOOKUP(D151,Datos!$A$36:$C$40,2,0))</f>
        <v>660000</v>
      </c>
      <c r="AC151" s="55">
        <f ca="1">(S151*PMT(Datos!$G$15,Datos!$G$14,-O151,,)*VLOOKUP(TODAY(),'UF HOY'!$A$2:$B$36,2,0)/12)+VLOOKUP(TODAY(),'UF HOY'!$A$2:$B$36,2,0)</f>
        <v>955797.25874948618</v>
      </c>
      <c r="AD151" s="55">
        <f t="shared" ca="1" si="68"/>
        <v>-295797.25874948618</v>
      </c>
      <c r="AE151" s="93">
        <f t="shared" ca="1" si="69"/>
        <v>3823189.0349979447</v>
      </c>
    </row>
    <row r="152" spans="1:31" s="3" customFormat="1" x14ac:dyDescent="0.35">
      <c r="A152" s="94" t="s">
        <v>305</v>
      </c>
      <c r="B152" s="80">
        <v>505</v>
      </c>
      <c r="C152" s="48" t="s">
        <v>336</v>
      </c>
      <c r="D152" s="48" t="s">
        <v>39</v>
      </c>
      <c r="E152" s="48"/>
      <c r="F152" s="48">
        <v>58.02</v>
      </c>
      <c r="G152" s="48">
        <v>3.81</v>
      </c>
      <c r="H152" s="82">
        <f t="shared" si="58"/>
        <v>59.925000000000004</v>
      </c>
      <c r="I152" s="82">
        <f t="shared" si="59"/>
        <v>61.830000000000005</v>
      </c>
      <c r="J152" s="49">
        <v>5615</v>
      </c>
      <c r="K152" s="50">
        <v>0</v>
      </c>
      <c r="L152" s="48">
        <v>390</v>
      </c>
      <c r="M152" s="48">
        <v>0</v>
      </c>
      <c r="N152" s="51">
        <f t="shared" si="60"/>
        <v>5443.5</v>
      </c>
      <c r="O152" s="52">
        <f t="shared" si="61"/>
        <v>6005</v>
      </c>
      <c r="P152" s="79">
        <f t="shared" si="62"/>
        <v>84.330413016270327</v>
      </c>
      <c r="Q152" s="53">
        <f t="shared" si="63"/>
        <v>9.35E-2</v>
      </c>
      <c r="R152" s="54">
        <f t="shared" si="64"/>
        <v>561.5</v>
      </c>
      <c r="S152" s="53">
        <v>0.8</v>
      </c>
      <c r="T152" s="54">
        <f t="shared" si="65"/>
        <v>4804</v>
      </c>
      <c r="U152" s="53">
        <f t="shared" si="66"/>
        <v>0.10649999999999993</v>
      </c>
      <c r="V152" s="54">
        <f t="shared" si="67"/>
        <v>639.53249999999957</v>
      </c>
      <c r="W152" s="55">
        <f ca="1">V152*VLOOKUP(TODAY(),'UF HOY'!$A$2:$B$36,2,0)</f>
        <v>25411145.983049985</v>
      </c>
      <c r="X152" s="56">
        <f>Datos!$K$6</f>
        <v>36</v>
      </c>
      <c r="Y152" s="55">
        <f ca="1">IF((W152-Datos!$U$6-1000000)/X152&gt;0,(W152-Datos!$U$6-1000000)/X152,0)</f>
        <v>675309.61064027739</v>
      </c>
      <c r="Z152" s="56">
        <f>Datos!$K$6</f>
        <v>36</v>
      </c>
      <c r="AA152" s="55">
        <f ca="1">IF((W152-Datos!$U$6-1000000-O152*3%*VLOOKUP(TODAY(),'UF HOY'!$A$2:$B$36,2,0))/Z152&gt;0,(W152-Datos!$U$6-1000000-O152*3%*VLOOKUP(TODAY(),'UF HOY'!$A$2:$B$36,2,0))/Z152,0)</f>
        <v>476474.35255694401</v>
      </c>
      <c r="AB152" s="55">
        <f>IF(L152&gt;0,VLOOKUP(D152,Datos!$A$36:$C$40,3,0),VLOOKUP(D152,Datos!$A$36:$C$40,2,0))</f>
        <v>660000</v>
      </c>
      <c r="AC152" s="55">
        <f ca="1">(S152*PMT(Datos!$G$15,Datos!$G$14,-O152,,)*VLOOKUP(TODAY(),'UF HOY'!$A$2:$B$36,2,0)/12)+VLOOKUP(TODAY(),'UF HOY'!$A$2:$B$36,2,0)</f>
        <v>959626.95489810454</v>
      </c>
      <c r="AD152" s="55">
        <f t="shared" ca="1" si="68"/>
        <v>-299626.95489810454</v>
      </c>
      <c r="AE152" s="93">
        <f t="shared" ca="1" si="69"/>
        <v>3838507.8195924181</v>
      </c>
    </row>
    <row r="153" spans="1:31" s="3" customFormat="1" x14ac:dyDescent="0.35">
      <c r="A153" s="94" t="s">
        <v>305</v>
      </c>
      <c r="B153" s="80">
        <v>1105</v>
      </c>
      <c r="C153" s="48" t="s">
        <v>336</v>
      </c>
      <c r="D153" s="48" t="s">
        <v>39</v>
      </c>
      <c r="E153" s="48"/>
      <c r="F153" s="48">
        <v>57.64</v>
      </c>
      <c r="G153" s="48">
        <v>3.86</v>
      </c>
      <c r="H153" s="82">
        <f t="shared" si="58"/>
        <v>59.57</v>
      </c>
      <c r="I153" s="82">
        <f t="shared" si="59"/>
        <v>61.5</v>
      </c>
      <c r="J153" s="49">
        <v>5685</v>
      </c>
      <c r="K153" s="50">
        <v>0</v>
      </c>
      <c r="L153" s="48">
        <v>390</v>
      </c>
      <c r="M153" s="48">
        <v>0</v>
      </c>
      <c r="N153" s="51">
        <f t="shared" si="60"/>
        <v>5506.5</v>
      </c>
      <c r="O153" s="52">
        <f t="shared" si="61"/>
        <v>6075</v>
      </c>
      <c r="P153" s="79">
        <f t="shared" si="62"/>
        <v>85.890548934027194</v>
      </c>
      <c r="Q153" s="53">
        <f t="shared" si="63"/>
        <v>9.3600000000000003E-2</v>
      </c>
      <c r="R153" s="54">
        <f t="shared" si="64"/>
        <v>568.5</v>
      </c>
      <c r="S153" s="53">
        <v>0.8</v>
      </c>
      <c r="T153" s="54">
        <f t="shared" si="65"/>
        <v>4860</v>
      </c>
      <c r="U153" s="53">
        <f t="shared" si="66"/>
        <v>0.10639999999999994</v>
      </c>
      <c r="V153" s="54">
        <f t="shared" si="67"/>
        <v>646.37999999999965</v>
      </c>
      <c r="W153" s="55">
        <f ca="1">V153*VLOOKUP(TODAY(),'UF HOY'!$A$2:$B$36,2,0)</f>
        <v>25683224.137199987</v>
      </c>
      <c r="X153" s="56">
        <f>Datos!$K$6</f>
        <v>36</v>
      </c>
      <c r="Y153" s="55">
        <f ca="1">IF((W153-Datos!$U$6-1000000)/X153&gt;0,(W153-Datos!$U$6-1000000)/X153,0)</f>
        <v>682867.33714444411</v>
      </c>
      <c r="Z153" s="56">
        <f>Datos!$K$6</f>
        <v>36</v>
      </c>
      <c r="AA153" s="55">
        <f ca="1">IF((W153-Datos!$U$6-1000000-O153*3%*VLOOKUP(TODAY(),'UF HOY'!$A$2:$B$36,2,0))/Z153&gt;0,(W153-Datos!$U$6-1000000-O153*3%*VLOOKUP(TODAY(),'UF HOY'!$A$2:$B$36,2,0))/Z153,0)</f>
        <v>481714.26589444402</v>
      </c>
      <c r="AB153" s="55">
        <f>IF(L153&gt;0,VLOOKUP(D153,Datos!$A$36:$C$40,3,0),VLOOKUP(D153,Datos!$A$36:$C$40,2,0))</f>
        <v>660000</v>
      </c>
      <c r="AC153" s="55">
        <f ca="1">(S153*PMT(Datos!$G$15,Datos!$G$14,-O153,,)*VLOOKUP(TODAY(),'UF HOY'!$A$2:$B$36,2,0)/12)+VLOOKUP(TODAY(),'UF HOY'!$A$2:$B$36,2,0)</f>
        <v>970350.10411423538</v>
      </c>
      <c r="AD153" s="55">
        <f t="shared" ca="1" si="68"/>
        <v>-310350.10411423538</v>
      </c>
      <c r="AE153" s="93">
        <f t="shared" ca="1" si="69"/>
        <v>3881400.4164569415</v>
      </c>
    </row>
    <row r="154" spans="1:31" s="3" customFormat="1" x14ac:dyDescent="0.35">
      <c r="A154" s="94" t="s">
        <v>305</v>
      </c>
      <c r="B154" s="80">
        <v>1205</v>
      </c>
      <c r="C154" s="48" t="s">
        <v>336</v>
      </c>
      <c r="D154" s="48" t="s">
        <v>39</v>
      </c>
      <c r="E154" s="48"/>
      <c r="F154" s="48">
        <v>57.64</v>
      </c>
      <c r="G154" s="48">
        <v>3.86</v>
      </c>
      <c r="H154" s="82">
        <f t="shared" si="58"/>
        <v>59.57</v>
      </c>
      <c r="I154" s="82">
        <f t="shared" si="59"/>
        <v>61.5</v>
      </c>
      <c r="J154" s="49">
        <v>5710</v>
      </c>
      <c r="K154" s="50">
        <v>0</v>
      </c>
      <c r="L154" s="48">
        <v>390</v>
      </c>
      <c r="M154" s="48">
        <v>0</v>
      </c>
      <c r="N154" s="51">
        <f t="shared" si="60"/>
        <v>5529</v>
      </c>
      <c r="O154" s="52">
        <f t="shared" si="61"/>
        <v>6100</v>
      </c>
      <c r="P154" s="79">
        <f t="shared" si="62"/>
        <v>86.268255833473219</v>
      </c>
      <c r="Q154" s="53">
        <f t="shared" si="63"/>
        <v>9.3600000000000003E-2</v>
      </c>
      <c r="R154" s="54">
        <f t="shared" si="64"/>
        <v>571</v>
      </c>
      <c r="S154" s="53">
        <v>0.8</v>
      </c>
      <c r="T154" s="54">
        <f t="shared" si="65"/>
        <v>4880</v>
      </c>
      <c r="U154" s="53">
        <f t="shared" si="66"/>
        <v>0.10639999999999994</v>
      </c>
      <c r="V154" s="54">
        <f t="shared" si="67"/>
        <v>649.03999999999962</v>
      </c>
      <c r="W154" s="55">
        <f ca="1">V154*VLOOKUP(TODAY(),'UF HOY'!$A$2:$B$36,2,0)</f>
        <v>25788916.417599987</v>
      </c>
      <c r="X154" s="56">
        <f>Datos!$K$6</f>
        <v>36</v>
      </c>
      <c r="Y154" s="55">
        <f ca="1">IF((W154-Datos!$U$6-1000000)/X154&gt;0,(W154-Datos!$U$6-1000000)/X154,0)</f>
        <v>685803.23382222187</v>
      </c>
      <c r="Z154" s="56">
        <f>Datos!$K$6</f>
        <v>36</v>
      </c>
      <c r="AA154" s="55">
        <f ca="1">IF((W154-Datos!$U$6-1000000-O154*3%*VLOOKUP(TODAY(),'UF HOY'!$A$2:$B$36,2,0))/Z154&gt;0,(W154-Datos!$U$6-1000000-O154*3%*VLOOKUP(TODAY(),'UF HOY'!$A$2:$B$36,2,0))/Z154,0)</f>
        <v>483822.37215555523</v>
      </c>
      <c r="AB154" s="55">
        <f>IF(L154&gt;0,VLOOKUP(D154,Datos!$A$36:$C$40,3,0),VLOOKUP(D154,Datos!$A$36:$C$40,2,0))</f>
        <v>660000</v>
      </c>
      <c r="AC154" s="55">
        <f ca="1">(S154*PMT(Datos!$G$15,Datos!$G$14,-O154,,)*VLOOKUP(TODAY(),'UF HOY'!$A$2:$B$36,2,0)/12)+VLOOKUP(TODAY(),'UF HOY'!$A$2:$B$36,2,0)</f>
        <v>974179.80026285374</v>
      </c>
      <c r="AD154" s="55">
        <f t="shared" ca="1" si="68"/>
        <v>-314179.80026285374</v>
      </c>
      <c r="AE154" s="93">
        <f t="shared" ca="1" si="69"/>
        <v>3896719.2010514149</v>
      </c>
    </row>
    <row r="155" spans="1:31" s="3" customFormat="1" x14ac:dyDescent="0.35">
      <c r="A155" s="94" t="s">
        <v>305</v>
      </c>
      <c r="B155" s="80">
        <v>905</v>
      </c>
      <c r="C155" s="48" t="s">
        <v>336</v>
      </c>
      <c r="D155" s="48" t="s">
        <v>39</v>
      </c>
      <c r="E155" s="48"/>
      <c r="F155" s="48">
        <v>58.02</v>
      </c>
      <c r="G155" s="48">
        <v>3.81</v>
      </c>
      <c r="H155" s="82">
        <f t="shared" si="58"/>
        <v>59.925000000000004</v>
      </c>
      <c r="I155" s="82">
        <f t="shared" si="59"/>
        <v>61.830000000000005</v>
      </c>
      <c r="J155" s="49">
        <v>5725</v>
      </c>
      <c r="K155" s="50">
        <v>0</v>
      </c>
      <c r="L155" s="48">
        <v>390</v>
      </c>
      <c r="M155" s="48">
        <v>0</v>
      </c>
      <c r="N155" s="51">
        <f t="shared" si="60"/>
        <v>5542.5</v>
      </c>
      <c r="O155" s="52">
        <f t="shared" si="61"/>
        <v>6115</v>
      </c>
      <c r="P155" s="79">
        <f t="shared" si="62"/>
        <v>85.982478097622021</v>
      </c>
      <c r="Q155" s="53">
        <f t="shared" si="63"/>
        <v>9.3600000000000003E-2</v>
      </c>
      <c r="R155" s="54">
        <f t="shared" si="64"/>
        <v>572.5</v>
      </c>
      <c r="S155" s="53">
        <v>0.8</v>
      </c>
      <c r="T155" s="54">
        <f t="shared" si="65"/>
        <v>4892</v>
      </c>
      <c r="U155" s="53">
        <f t="shared" si="66"/>
        <v>0.10639999999999994</v>
      </c>
      <c r="V155" s="54">
        <f t="shared" si="67"/>
        <v>650.63599999999963</v>
      </c>
      <c r="W155" s="55">
        <f ca="1">V155*VLOOKUP(TODAY(),'UF HOY'!$A$2:$B$36,2,0)</f>
        <v>25852331.785839986</v>
      </c>
      <c r="X155" s="56">
        <f>Datos!$K$6</f>
        <v>36</v>
      </c>
      <c r="Y155" s="55">
        <f ca="1">IF((W155-Datos!$U$6-1000000)/X155&gt;0,(W155-Datos!$U$6-1000000)/X155,0)</f>
        <v>687564.77182888845</v>
      </c>
      <c r="Z155" s="56">
        <f>Datos!$K$6</f>
        <v>36</v>
      </c>
      <c r="AA155" s="55">
        <f ca="1">IF((W155-Datos!$U$6-1000000-O155*3%*VLOOKUP(TODAY(),'UF HOY'!$A$2:$B$36,2,0))/Z155&gt;0,(W155-Datos!$U$6-1000000-O155*3%*VLOOKUP(TODAY(),'UF HOY'!$A$2:$B$36,2,0))/Z155,0)</f>
        <v>485087.23591222177</v>
      </c>
      <c r="AB155" s="55">
        <f>IF(L155&gt;0,VLOOKUP(D155,Datos!$A$36:$C$40,3,0),VLOOKUP(D155,Datos!$A$36:$C$40,2,0))</f>
        <v>660000</v>
      </c>
      <c r="AC155" s="55">
        <f ca="1">(S155*PMT(Datos!$G$15,Datos!$G$14,-O155,,)*VLOOKUP(TODAY(),'UF HOY'!$A$2:$B$36,2,0)/12)+VLOOKUP(TODAY(),'UF HOY'!$A$2:$B$36,2,0)</f>
        <v>976477.61795202456</v>
      </c>
      <c r="AD155" s="55">
        <f t="shared" ca="1" si="68"/>
        <v>-316477.61795202456</v>
      </c>
      <c r="AE155" s="93">
        <f t="shared" ca="1" si="69"/>
        <v>3905910.4718080983</v>
      </c>
    </row>
    <row r="156" spans="1:31" s="3" customFormat="1" x14ac:dyDescent="0.35">
      <c r="A156" s="94" t="s">
        <v>305</v>
      </c>
      <c r="B156" s="80">
        <v>1305</v>
      </c>
      <c r="C156" s="48" t="s">
        <v>336</v>
      </c>
      <c r="D156" s="48" t="s">
        <v>39</v>
      </c>
      <c r="E156" s="48"/>
      <c r="F156" s="48">
        <v>57.64</v>
      </c>
      <c r="G156" s="48">
        <v>3.86</v>
      </c>
      <c r="H156" s="82">
        <f t="shared" si="58"/>
        <v>59.57</v>
      </c>
      <c r="I156" s="82">
        <f t="shared" si="59"/>
        <v>61.5</v>
      </c>
      <c r="J156" s="49">
        <v>5730</v>
      </c>
      <c r="K156" s="50">
        <v>0</v>
      </c>
      <c r="L156" s="48">
        <v>390</v>
      </c>
      <c r="M156" s="48">
        <v>0</v>
      </c>
      <c r="N156" s="51">
        <f t="shared" si="60"/>
        <v>5547</v>
      </c>
      <c r="O156" s="52">
        <f t="shared" si="61"/>
        <v>6120</v>
      </c>
      <c r="P156" s="79">
        <f t="shared" si="62"/>
        <v>86.570421353030042</v>
      </c>
      <c r="Q156" s="53">
        <f t="shared" si="63"/>
        <v>9.3600000000000003E-2</v>
      </c>
      <c r="R156" s="54">
        <f t="shared" si="64"/>
        <v>573</v>
      </c>
      <c r="S156" s="53">
        <v>0.8</v>
      </c>
      <c r="T156" s="54">
        <f t="shared" si="65"/>
        <v>4896</v>
      </c>
      <c r="U156" s="53">
        <f t="shared" si="66"/>
        <v>0.10639999999999994</v>
      </c>
      <c r="V156" s="54">
        <f t="shared" si="67"/>
        <v>651.16799999999967</v>
      </c>
      <c r="W156" s="55">
        <f ca="1">V156*VLOOKUP(TODAY(),'UF HOY'!$A$2:$B$36,2,0)</f>
        <v>25873470.241919987</v>
      </c>
      <c r="X156" s="56">
        <f>Datos!$K$6</f>
        <v>36</v>
      </c>
      <c r="Y156" s="55">
        <f ca="1">IF((W156-Datos!$U$6-1000000)/X156&gt;0,(W156-Datos!$U$6-1000000)/X156,0)</f>
        <v>688151.95116444409</v>
      </c>
      <c r="Z156" s="56">
        <f>Datos!$K$6</f>
        <v>36</v>
      </c>
      <c r="AA156" s="55">
        <f ca="1">IF((W156-Datos!$U$6-1000000-O156*3%*VLOOKUP(TODAY(),'UF HOY'!$A$2:$B$36,2,0))/Z156&gt;0,(W156-Datos!$U$6-1000000-O156*3%*VLOOKUP(TODAY(),'UF HOY'!$A$2:$B$36,2,0))/Z156,0)</f>
        <v>485508.85716444411</v>
      </c>
      <c r="AB156" s="55">
        <f>IF(L156&gt;0,VLOOKUP(D156,Datos!$A$36:$C$40,3,0),VLOOKUP(D156,Datos!$A$36:$C$40,2,0))</f>
        <v>660000</v>
      </c>
      <c r="AC156" s="55">
        <f ca="1">(S156*PMT(Datos!$G$15,Datos!$G$14,-O156,,)*VLOOKUP(TODAY(),'UF HOY'!$A$2:$B$36,2,0)/12)+VLOOKUP(TODAY(),'UF HOY'!$A$2:$B$36,2,0)</f>
        <v>977243.55718174856</v>
      </c>
      <c r="AD156" s="55">
        <f t="shared" ca="1" si="68"/>
        <v>-317243.55718174856</v>
      </c>
      <c r="AE156" s="93">
        <f t="shared" ca="1" si="69"/>
        <v>3908974.2287269942</v>
      </c>
    </row>
    <row r="157" spans="1:31" s="3" customFormat="1" x14ac:dyDescent="0.35">
      <c r="A157" s="94" t="s">
        <v>305</v>
      </c>
      <c r="B157" s="80">
        <v>1405</v>
      </c>
      <c r="C157" s="48" t="s">
        <v>336</v>
      </c>
      <c r="D157" s="48" t="s">
        <v>39</v>
      </c>
      <c r="E157" s="48"/>
      <c r="F157" s="48">
        <v>57.64</v>
      </c>
      <c r="G157" s="48">
        <v>3.86</v>
      </c>
      <c r="H157" s="82">
        <f t="shared" si="58"/>
        <v>59.57</v>
      </c>
      <c r="I157" s="82">
        <f t="shared" si="59"/>
        <v>61.5</v>
      </c>
      <c r="J157" s="49">
        <v>5755</v>
      </c>
      <c r="K157" s="50">
        <v>0</v>
      </c>
      <c r="L157" s="48">
        <v>390</v>
      </c>
      <c r="M157" s="48">
        <v>0</v>
      </c>
      <c r="N157" s="51">
        <f t="shared" si="60"/>
        <v>5569.5</v>
      </c>
      <c r="O157" s="52">
        <f t="shared" si="61"/>
        <v>6145</v>
      </c>
      <c r="P157" s="79">
        <f t="shared" si="62"/>
        <v>86.948128252476081</v>
      </c>
      <c r="Q157" s="53">
        <f t="shared" si="63"/>
        <v>9.3700000000000006E-2</v>
      </c>
      <c r="R157" s="54">
        <f t="shared" si="64"/>
        <v>575.5</v>
      </c>
      <c r="S157" s="53">
        <v>0.8</v>
      </c>
      <c r="T157" s="54">
        <f t="shared" si="65"/>
        <v>4916</v>
      </c>
      <c r="U157" s="53">
        <f t="shared" si="66"/>
        <v>0.10629999999999995</v>
      </c>
      <c r="V157" s="54">
        <f t="shared" si="67"/>
        <v>653.21349999999973</v>
      </c>
      <c r="W157" s="55">
        <f ca="1">V157*VLOOKUP(TODAY(),'UF HOY'!$A$2:$B$36,2,0)</f>
        <v>25954746.016189992</v>
      </c>
      <c r="X157" s="56">
        <f>Datos!$K$6</f>
        <v>36</v>
      </c>
      <c r="Y157" s="55">
        <f ca="1">IF((W157-Datos!$U$6-1000000)/X157&gt;0,(W157-Datos!$U$6-1000000)/X157,0)</f>
        <v>690409.61156083317</v>
      </c>
      <c r="Z157" s="56">
        <f>Datos!$K$6</f>
        <v>36</v>
      </c>
      <c r="AA157" s="55">
        <f ca="1">IF((W157-Datos!$U$6-1000000-O157*3%*VLOOKUP(TODAY(),'UF HOY'!$A$2:$B$36,2,0))/Z157&gt;0,(W157-Datos!$U$6-1000000-O157*3%*VLOOKUP(TODAY(),'UF HOY'!$A$2:$B$36,2,0))/Z157,0)</f>
        <v>486938.72714416642</v>
      </c>
      <c r="AB157" s="55">
        <f>IF(L157&gt;0,VLOOKUP(D157,Datos!$A$36:$C$40,3,0),VLOOKUP(D157,Datos!$A$36:$C$40,2,0))</f>
        <v>660000</v>
      </c>
      <c r="AC157" s="55">
        <f ca="1">(S157*PMT(Datos!$G$15,Datos!$G$14,-O157,,)*VLOOKUP(TODAY(),'UF HOY'!$A$2:$B$36,2,0)/12)+VLOOKUP(TODAY(),'UF HOY'!$A$2:$B$36,2,0)</f>
        <v>981073.25333036669</v>
      </c>
      <c r="AD157" s="55">
        <f t="shared" ca="1" si="68"/>
        <v>-321073.25333036669</v>
      </c>
      <c r="AE157" s="93">
        <f t="shared" ca="1" si="69"/>
        <v>3924293.0133214667</v>
      </c>
    </row>
    <row r="158" spans="1:31" s="3" customFormat="1" x14ac:dyDescent="0.35">
      <c r="A158" s="94" t="s">
        <v>305</v>
      </c>
      <c r="B158" s="80">
        <v>1505</v>
      </c>
      <c r="C158" s="48" t="s">
        <v>336</v>
      </c>
      <c r="D158" s="48" t="s">
        <v>39</v>
      </c>
      <c r="E158" s="48"/>
      <c r="F158" s="48">
        <v>57.64</v>
      </c>
      <c r="G158" s="48">
        <v>3.86</v>
      </c>
      <c r="H158" s="82">
        <f t="shared" si="58"/>
        <v>59.57</v>
      </c>
      <c r="I158" s="82">
        <f t="shared" si="59"/>
        <v>61.5</v>
      </c>
      <c r="J158" s="49">
        <v>5775</v>
      </c>
      <c r="K158" s="50">
        <v>0</v>
      </c>
      <c r="L158" s="48">
        <v>390</v>
      </c>
      <c r="M158" s="48">
        <v>0</v>
      </c>
      <c r="N158" s="51">
        <f t="shared" si="60"/>
        <v>5587.5</v>
      </c>
      <c r="O158" s="52">
        <f t="shared" si="61"/>
        <v>6165</v>
      </c>
      <c r="P158" s="79">
        <f t="shared" si="62"/>
        <v>87.250293772032904</v>
      </c>
      <c r="Q158" s="53">
        <f t="shared" si="63"/>
        <v>9.3700000000000006E-2</v>
      </c>
      <c r="R158" s="54">
        <f t="shared" si="64"/>
        <v>577.5</v>
      </c>
      <c r="S158" s="53">
        <v>0.8</v>
      </c>
      <c r="T158" s="54">
        <f t="shared" si="65"/>
        <v>4932</v>
      </c>
      <c r="U158" s="53">
        <f t="shared" si="66"/>
        <v>0.10629999999999995</v>
      </c>
      <c r="V158" s="54">
        <f t="shared" si="67"/>
        <v>655.3394999999997</v>
      </c>
      <c r="W158" s="55">
        <f ca="1">V158*VLOOKUP(TODAY(),'UF HOY'!$A$2:$B$36,2,0)</f>
        <v>26039220.372629989</v>
      </c>
      <c r="X158" s="56">
        <f>Datos!$K$6</f>
        <v>36</v>
      </c>
      <c r="Y158" s="55">
        <f ca="1">IF((W158-Datos!$U$6-1000000)/X158&gt;0,(W158-Datos!$U$6-1000000)/X158,0)</f>
        <v>692756.12146194419</v>
      </c>
      <c r="Z158" s="56">
        <f>Datos!$K$6</f>
        <v>36</v>
      </c>
      <c r="AA158" s="55">
        <f ca="1">IF((W158-Datos!$U$6-1000000-O158*3%*VLOOKUP(TODAY(),'UF HOY'!$A$2:$B$36,2,0))/Z158&gt;0,(W158-Datos!$U$6-1000000-O158*3%*VLOOKUP(TODAY(),'UF HOY'!$A$2:$B$36,2,0))/Z158,0)</f>
        <v>488623.0047119442</v>
      </c>
      <c r="AB158" s="55">
        <f>IF(L158&gt;0,VLOOKUP(D158,Datos!$A$36:$C$40,3,0),VLOOKUP(D158,Datos!$A$36:$C$40,2,0))</f>
        <v>660000</v>
      </c>
      <c r="AC158" s="55">
        <f ca="1">(S158*PMT(Datos!$G$15,Datos!$G$14,-O158,,)*VLOOKUP(TODAY(),'UF HOY'!$A$2:$B$36,2,0)/12)+VLOOKUP(TODAY(),'UF HOY'!$A$2:$B$36,2,0)</f>
        <v>984137.01024926105</v>
      </c>
      <c r="AD158" s="55">
        <f t="shared" ca="1" si="68"/>
        <v>-324137.01024926105</v>
      </c>
      <c r="AE158" s="93">
        <f t="shared" ca="1" si="69"/>
        <v>3936548.0409970442</v>
      </c>
    </row>
    <row r="159" spans="1:31" s="3" customFormat="1" x14ac:dyDescent="0.35">
      <c r="A159" s="94" t="s">
        <v>305</v>
      </c>
      <c r="B159" s="80">
        <v>1605</v>
      </c>
      <c r="C159" s="48" t="s">
        <v>336</v>
      </c>
      <c r="D159" s="48" t="s">
        <v>39</v>
      </c>
      <c r="E159" s="48"/>
      <c r="F159" s="48">
        <v>57.64</v>
      </c>
      <c r="G159" s="48">
        <v>3.86</v>
      </c>
      <c r="H159" s="82">
        <f t="shared" si="58"/>
        <v>59.57</v>
      </c>
      <c r="I159" s="82">
        <f t="shared" si="59"/>
        <v>61.5</v>
      </c>
      <c r="J159" s="49">
        <v>5795</v>
      </c>
      <c r="K159" s="50">
        <v>0</v>
      </c>
      <c r="L159" s="48">
        <v>390</v>
      </c>
      <c r="M159" s="48">
        <v>0</v>
      </c>
      <c r="N159" s="51">
        <f t="shared" si="60"/>
        <v>5605.5</v>
      </c>
      <c r="O159" s="52">
        <f t="shared" si="61"/>
        <v>6185</v>
      </c>
      <c r="P159" s="79">
        <f t="shared" si="62"/>
        <v>87.552459291589727</v>
      </c>
      <c r="Q159" s="53">
        <f t="shared" si="63"/>
        <v>9.3700000000000006E-2</v>
      </c>
      <c r="R159" s="54">
        <f t="shared" si="64"/>
        <v>579.5</v>
      </c>
      <c r="S159" s="53">
        <v>0.8</v>
      </c>
      <c r="T159" s="54">
        <f t="shared" si="65"/>
        <v>4948</v>
      </c>
      <c r="U159" s="53">
        <f t="shared" si="66"/>
        <v>0.10629999999999995</v>
      </c>
      <c r="V159" s="54">
        <f t="shared" si="67"/>
        <v>657.46549999999968</v>
      </c>
      <c r="W159" s="55">
        <f ca="1">V159*VLOOKUP(TODAY(),'UF HOY'!$A$2:$B$36,2,0)</f>
        <v>26123694.729069989</v>
      </c>
      <c r="X159" s="56">
        <f>Datos!$K$6</f>
        <v>36</v>
      </c>
      <c r="Y159" s="55">
        <f ca="1">IF((W159-Datos!$U$6-1000000)/X159&gt;0,(W159-Datos!$U$6-1000000)/X159,0)</f>
        <v>695102.6313630552</v>
      </c>
      <c r="Z159" s="56">
        <f>Datos!$K$6</f>
        <v>36</v>
      </c>
      <c r="AA159" s="55">
        <f ca="1">IF((W159-Datos!$U$6-1000000-O159*3%*VLOOKUP(TODAY(),'UF HOY'!$A$2:$B$36,2,0))/Z159&gt;0,(W159-Datos!$U$6-1000000-O159*3%*VLOOKUP(TODAY(),'UF HOY'!$A$2:$B$36,2,0))/Z159,0)</f>
        <v>490307.28227972199</v>
      </c>
      <c r="AB159" s="55">
        <f>IF(L159&gt;0,VLOOKUP(D159,Datos!$A$36:$C$40,3,0),VLOOKUP(D159,Datos!$A$36:$C$40,2,0))</f>
        <v>660000</v>
      </c>
      <c r="AC159" s="55">
        <f ca="1">(S159*PMT(Datos!$G$15,Datos!$G$14,-O159,,)*VLOOKUP(TODAY(),'UF HOY'!$A$2:$B$36,2,0)/12)+VLOOKUP(TODAY(),'UF HOY'!$A$2:$B$36,2,0)</f>
        <v>987200.76716815587</v>
      </c>
      <c r="AD159" s="55">
        <f t="shared" ca="1" si="68"/>
        <v>-327200.76716815587</v>
      </c>
      <c r="AE159" s="93">
        <f t="shared" ca="1" si="69"/>
        <v>3948803.0686726235</v>
      </c>
    </row>
    <row r="160" spans="1:31" s="3" customFormat="1" x14ac:dyDescent="0.35">
      <c r="A160" s="94" t="s">
        <v>305</v>
      </c>
      <c r="B160" s="80">
        <v>1705</v>
      </c>
      <c r="C160" s="48" t="s">
        <v>336</v>
      </c>
      <c r="D160" s="48" t="s">
        <v>39</v>
      </c>
      <c r="E160" s="48"/>
      <c r="F160" s="48">
        <v>57.64</v>
      </c>
      <c r="G160" s="48">
        <v>3.86</v>
      </c>
      <c r="H160" s="82">
        <f t="shared" si="58"/>
        <v>59.57</v>
      </c>
      <c r="I160" s="82">
        <f t="shared" si="59"/>
        <v>61.5</v>
      </c>
      <c r="J160" s="49">
        <v>5815</v>
      </c>
      <c r="K160" s="50">
        <v>0</v>
      </c>
      <c r="L160" s="48">
        <v>390</v>
      </c>
      <c r="M160" s="48">
        <v>0</v>
      </c>
      <c r="N160" s="51">
        <f t="shared" si="60"/>
        <v>5623.5</v>
      </c>
      <c r="O160" s="52">
        <f t="shared" si="61"/>
        <v>6205</v>
      </c>
      <c r="P160" s="79">
        <f t="shared" si="62"/>
        <v>87.85462481114655</v>
      </c>
      <c r="Q160" s="53">
        <f t="shared" si="63"/>
        <v>9.3700000000000006E-2</v>
      </c>
      <c r="R160" s="54">
        <f t="shared" si="64"/>
        <v>581.5</v>
      </c>
      <c r="S160" s="53">
        <v>0.8</v>
      </c>
      <c r="T160" s="54">
        <f t="shared" si="65"/>
        <v>4964</v>
      </c>
      <c r="U160" s="53">
        <f t="shared" si="66"/>
        <v>0.10629999999999995</v>
      </c>
      <c r="V160" s="54">
        <f t="shared" si="67"/>
        <v>659.59149999999966</v>
      </c>
      <c r="W160" s="55">
        <f ca="1">V160*VLOOKUP(TODAY(),'UF HOY'!$A$2:$B$36,2,0)</f>
        <v>26208169.085509989</v>
      </c>
      <c r="X160" s="56">
        <f>Datos!$K$6</f>
        <v>36</v>
      </c>
      <c r="Y160" s="55">
        <f ca="1">IF((W160-Datos!$U$6-1000000)/X160&gt;0,(W160-Datos!$U$6-1000000)/X160,0)</f>
        <v>697449.14126416633</v>
      </c>
      <c r="Z160" s="56">
        <f>Datos!$K$6</f>
        <v>36</v>
      </c>
      <c r="AA160" s="55">
        <f ca="1">IF((W160-Datos!$U$6-1000000-O160*3%*VLOOKUP(TODAY(),'UF HOY'!$A$2:$B$36,2,0))/Z160&gt;0,(W160-Datos!$U$6-1000000-O160*3%*VLOOKUP(TODAY(),'UF HOY'!$A$2:$B$36,2,0))/Z160,0)</f>
        <v>491991.55984749965</v>
      </c>
      <c r="AB160" s="55">
        <f>IF(L160&gt;0,VLOOKUP(D160,Datos!$A$36:$C$40,3,0),VLOOKUP(D160,Datos!$A$36:$C$40,2,0))</f>
        <v>660000</v>
      </c>
      <c r="AC160" s="55">
        <f ca="1">(S160*PMT(Datos!$G$15,Datos!$G$14,-O160,,)*VLOOKUP(TODAY(),'UF HOY'!$A$2:$B$36,2,0)/12)+VLOOKUP(TODAY(),'UF HOY'!$A$2:$B$36,2,0)</f>
        <v>990264.52408705046</v>
      </c>
      <c r="AD160" s="55">
        <f t="shared" ca="1" si="68"/>
        <v>-330264.52408705046</v>
      </c>
      <c r="AE160" s="93">
        <f t="shared" ca="1" si="69"/>
        <v>3961058.0963482019</v>
      </c>
    </row>
    <row r="161" spans="1:31" s="3" customFormat="1" x14ac:dyDescent="0.35">
      <c r="A161" s="94" t="s">
        <v>305</v>
      </c>
      <c r="B161" s="80">
        <v>1805</v>
      </c>
      <c r="C161" s="48" t="s">
        <v>336</v>
      </c>
      <c r="D161" s="48" t="s">
        <v>39</v>
      </c>
      <c r="E161" s="48"/>
      <c r="F161" s="48">
        <v>57.64</v>
      </c>
      <c r="G161" s="48">
        <v>3.86</v>
      </c>
      <c r="H161" s="82">
        <f t="shared" si="58"/>
        <v>59.57</v>
      </c>
      <c r="I161" s="82">
        <f t="shared" si="59"/>
        <v>61.5</v>
      </c>
      <c r="J161" s="49">
        <v>5835</v>
      </c>
      <c r="K161" s="50">
        <v>0</v>
      </c>
      <c r="L161" s="48">
        <v>390</v>
      </c>
      <c r="M161" s="48">
        <v>0</v>
      </c>
      <c r="N161" s="51">
        <f t="shared" si="60"/>
        <v>5641.5</v>
      </c>
      <c r="O161" s="52">
        <f t="shared" si="61"/>
        <v>6225</v>
      </c>
      <c r="P161" s="79">
        <f t="shared" si="62"/>
        <v>88.156790330703373</v>
      </c>
      <c r="Q161" s="53">
        <f t="shared" si="63"/>
        <v>9.3700000000000006E-2</v>
      </c>
      <c r="R161" s="54">
        <f t="shared" si="64"/>
        <v>583.5</v>
      </c>
      <c r="S161" s="53">
        <v>0.8</v>
      </c>
      <c r="T161" s="54">
        <f t="shared" si="65"/>
        <v>4980</v>
      </c>
      <c r="U161" s="53">
        <f t="shared" si="66"/>
        <v>0.10629999999999995</v>
      </c>
      <c r="V161" s="54">
        <f t="shared" si="67"/>
        <v>661.71749999999975</v>
      </c>
      <c r="W161" s="55">
        <f ca="1">V161*VLOOKUP(TODAY(),'UF HOY'!$A$2:$B$36,2,0)</f>
        <v>26292643.44194999</v>
      </c>
      <c r="X161" s="56">
        <f>Datos!$K$6</f>
        <v>36</v>
      </c>
      <c r="Y161" s="55">
        <f ca="1">IF((W161-Datos!$U$6-1000000)/X161&gt;0,(W161-Datos!$U$6-1000000)/X161,0)</f>
        <v>699795.65116527746</v>
      </c>
      <c r="Z161" s="56">
        <f>Datos!$K$6</f>
        <v>36</v>
      </c>
      <c r="AA161" s="55">
        <f ca="1">IF((W161-Datos!$U$6-1000000-O161*3%*VLOOKUP(TODAY(),'UF HOY'!$A$2:$B$36,2,0))/Z161&gt;0,(W161-Datos!$U$6-1000000-O161*3%*VLOOKUP(TODAY(),'UF HOY'!$A$2:$B$36,2,0))/Z161,0)</f>
        <v>493675.83741527743</v>
      </c>
      <c r="AB161" s="55">
        <f>IF(L161&gt;0,VLOOKUP(D161,Datos!$A$36:$C$40,3,0),VLOOKUP(D161,Datos!$A$36:$C$40,2,0))</f>
        <v>660000</v>
      </c>
      <c r="AC161" s="55">
        <f ca="1">(S161*PMT(Datos!$G$15,Datos!$G$14,-O161,,)*VLOOKUP(TODAY(),'UF HOY'!$A$2:$B$36,2,0)/12)+VLOOKUP(TODAY(),'UF HOY'!$A$2:$B$36,2,0)</f>
        <v>993328.28100594506</v>
      </c>
      <c r="AD161" s="55">
        <f t="shared" ca="1" si="68"/>
        <v>-333328.28100594506</v>
      </c>
      <c r="AE161" s="93">
        <f t="shared" ca="1" si="69"/>
        <v>3973313.1240237802</v>
      </c>
    </row>
    <row r="162" spans="1:31" s="3" customFormat="1" x14ac:dyDescent="0.35">
      <c r="A162" s="94" t="s">
        <v>305</v>
      </c>
      <c r="B162" s="80">
        <v>1905</v>
      </c>
      <c r="C162" s="48" t="s">
        <v>336</v>
      </c>
      <c r="D162" s="48" t="s">
        <v>39</v>
      </c>
      <c r="E162" s="48"/>
      <c r="F162" s="48">
        <v>57.64</v>
      </c>
      <c r="G162" s="48">
        <v>3.86</v>
      </c>
      <c r="H162" s="82">
        <f t="shared" si="58"/>
        <v>59.57</v>
      </c>
      <c r="I162" s="82">
        <f t="shared" si="59"/>
        <v>61.5</v>
      </c>
      <c r="J162" s="49">
        <v>5860</v>
      </c>
      <c r="K162" s="50">
        <v>0</v>
      </c>
      <c r="L162" s="48">
        <v>390</v>
      </c>
      <c r="M162" s="48">
        <v>0</v>
      </c>
      <c r="N162" s="51">
        <f t="shared" si="60"/>
        <v>5664</v>
      </c>
      <c r="O162" s="52">
        <f t="shared" si="61"/>
        <v>6250</v>
      </c>
      <c r="P162" s="79">
        <f t="shared" si="62"/>
        <v>88.534497230149398</v>
      </c>
      <c r="Q162" s="53">
        <f t="shared" si="63"/>
        <v>9.3799999999999994E-2</v>
      </c>
      <c r="R162" s="54">
        <f t="shared" si="64"/>
        <v>586</v>
      </c>
      <c r="S162" s="53">
        <v>0.8</v>
      </c>
      <c r="T162" s="54">
        <f t="shared" si="65"/>
        <v>5000</v>
      </c>
      <c r="U162" s="53">
        <f t="shared" si="66"/>
        <v>0.10619999999999996</v>
      </c>
      <c r="V162" s="54">
        <f t="shared" si="67"/>
        <v>663.74999999999977</v>
      </c>
      <c r="W162" s="55">
        <f ca="1">V162*VLOOKUP(TODAY(),'UF HOY'!$A$2:$B$36,2,0)</f>
        <v>26373402.674999993</v>
      </c>
      <c r="X162" s="56">
        <f>Datos!$K$6</f>
        <v>36</v>
      </c>
      <c r="Y162" s="55">
        <f ca="1">IF((W162-Datos!$U$6-1000000)/X162&gt;0,(W162-Datos!$U$6-1000000)/X162,0)</f>
        <v>702038.96319444431</v>
      </c>
      <c r="Z162" s="56">
        <f>Datos!$K$6</f>
        <v>36</v>
      </c>
      <c r="AA162" s="55">
        <f ca="1">IF((W162-Datos!$U$6-1000000-O162*3%*VLOOKUP(TODAY(),'UF HOY'!$A$2:$B$36,2,0))/Z162&gt;0,(W162-Datos!$U$6-1000000-O162*3%*VLOOKUP(TODAY(),'UF HOY'!$A$2:$B$36,2,0))/Z162,0)</f>
        <v>495091.35902777757</v>
      </c>
      <c r="AB162" s="55">
        <f>IF(L162&gt;0,VLOOKUP(D162,Datos!$A$36:$C$40,3,0),VLOOKUP(D162,Datos!$A$36:$C$40,2,0))</f>
        <v>660000</v>
      </c>
      <c r="AC162" s="55">
        <f ca="1">(S162*PMT(Datos!$G$15,Datos!$G$14,-O162,,)*VLOOKUP(TODAY(),'UF HOY'!$A$2:$B$36,2,0)/12)+VLOOKUP(TODAY(),'UF HOY'!$A$2:$B$36,2,0)</f>
        <v>997157.97715456341</v>
      </c>
      <c r="AD162" s="55">
        <f t="shared" ca="1" si="68"/>
        <v>-337157.97715456341</v>
      </c>
      <c r="AE162" s="93">
        <f t="shared" ca="1" si="69"/>
        <v>3988631.9086182537</v>
      </c>
    </row>
    <row r="163" spans="1:31" s="3" customFormat="1" x14ac:dyDescent="0.35">
      <c r="A163" s="94" t="s">
        <v>305</v>
      </c>
      <c r="B163" s="80">
        <v>2005</v>
      </c>
      <c r="C163" s="48" t="s">
        <v>336</v>
      </c>
      <c r="D163" s="48" t="s">
        <v>39</v>
      </c>
      <c r="E163" s="48"/>
      <c r="F163" s="48">
        <v>57.64</v>
      </c>
      <c r="G163" s="48">
        <v>3.86</v>
      </c>
      <c r="H163" s="82">
        <f t="shared" si="58"/>
        <v>59.57</v>
      </c>
      <c r="I163" s="82">
        <f t="shared" si="59"/>
        <v>61.5</v>
      </c>
      <c r="J163" s="49">
        <v>5885</v>
      </c>
      <c r="K163" s="50">
        <v>0</v>
      </c>
      <c r="L163" s="48">
        <v>390</v>
      </c>
      <c r="M163" s="48">
        <v>0</v>
      </c>
      <c r="N163" s="51">
        <f t="shared" si="60"/>
        <v>5686.5</v>
      </c>
      <c r="O163" s="52">
        <f t="shared" si="61"/>
        <v>6275</v>
      </c>
      <c r="P163" s="79">
        <f t="shared" si="62"/>
        <v>88.912204129595438</v>
      </c>
      <c r="Q163" s="53">
        <f t="shared" si="63"/>
        <v>9.3799999999999994E-2</v>
      </c>
      <c r="R163" s="54">
        <f t="shared" si="64"/>
        <v>588.5</v>
      </c>
      <c r="S163" s="53">
        <v>0.8</v>
      </c>
      <c r="T163" s="54">
        <f t="shared" si="65"/>
        <v>5020</v>
      </c>
      <c r="U163" s="53">
        <f t="shared" si="66"/>
        <v>0.10619999999999996</v>
      </c>
      <c r="V163" s="54">
        <f t="shared" si="67"/>
        <v>666.40499999999975</v>
      </c>
      <c r="W163" s="55">
        <f ca="1">V163*VLOOKUP(TODAY(),'UF HOY'!$A$2:$B$36,2,0)</f>
        <v>26478896.28569999</v>
      </c>
      <c r="X163" s="56">
        <f>Datos!$K$6</f>
        <v>36</v>
      </c>
      <c r="Y163" s="55">
        <f ca="1">IF((W163-Datos!$U$6-1000000)/X163&gt;0,(W163-Datos!$U$6-1000000)/X163,0)</f>
        <v>704969.34126944421</v>
      </c>
      <c r="Z163" s="56">
        <f>Datos!$K$6</f>
        <v>36</v>
      </c>
      <c r="AA163" s="55">
        <f ca="1">IF((W163-Datos!$U$6-1000000-O163*3%*VLOOKUP(TODAY(),'UF HOY'!$A$2:$B$36,2,0))/Z163&gt;0,(W163-Datos!$U$6-1000000-O163*3%*VLOOKUP(TODAY(),'UF HOY'!$A$2:$B$36,2,0))/Z163,0)</f>
        <v>497193.94668611075</v>
      </c>
      <c r="AB163" s="55">
        <f>IF(L163&gt;0,VLOOKUP(D163,Datos!$A$36:$C$40,3,0),VLOOKUP(D163,Datos!$A$36:$C$40,2,0))</f>
        <v>660000</v>
      </c>
      <c r="AC163" s="55">
        <f ca="1">(S163*PMT(Datos!$G$15,Datos!$G$14,-O163,,)*VLOOKUP(TODAY(),'UF HOY'!$A$2:$B$36,2,0)/12)+VLOOKUP(TODAY(),'UF HOY'!$A$2:$B$36,2,0)</f>
        <v>1000987.6733031818</v>
      </c>
      <c r="AD163" s="55">
        <f t="shared" ca="1" si="68"/>
        <v>-340987.67330318177</v>
      </c>
      <c r="AE163" s="93">
        <f t="shared" ca="1" si="69"/>
        <v>4003950.6932127271</v>
      </c>
    </row>
    <row r="164" spans="1:31" s="3" customFormat="1" x14ac:dyDescent="0.35">
      <c r="A164" s="94" t="s">
        <v>305</v>
      </c>
      <c r="B164" s="80">
        <v>2105</v>
      </c>
      <c r="C164" s="48" t="s">
        <v>336</v>
      </c>
      <c r="D164" s="48" t="s">
        <v>39</v>
      </c>
      <c r="E164" s="48"/>
      <c r="F164" s="48">
        <v>57.64</v>
      </c>
      <c r="G164" s="48">
        <v>3.86</v>
      </c>
      <c r="H164" s="82">
        <f t="shared" si="58"/>
        <v>59.57</v>
      </c>
      <c r="I164" s="82">
        <f t="shared" si="59"/>
        <v>61.5</v>
      </c>
      <c r="J164" s="49">
        <v>5900</v>
      </c>
      <c r="K164" s="50">
        <v>0</v>
      </c>
      <c r="L164" s="48">
        <v>390</v>
      </c>
      <c r="M164" s="48">
        <v>0</v>
      </c>
      <c r="N164" s="51">
        <f t="shared" si="60"/>
        <v>5700</v>
      </c>
      <c r="O164" s="52">
        <f t="shared" si="61"/>
        <v>6290</v>
      </c>
      <c r="P164" s="79">
        <f t="shared" si="62"/>
        <v>89.138828269263058</v>
      </c>
      <c r="Q164" s="53">
        <f t="shared" si="63"/>
        <v>9.3799999999999994E-2</v>
      </c>
      <c r="R164" s="54">
        <f t="shared" si="64"/>
        <v>590</v>
      </c>
      <c r="S164" s="53">
        <v>0.8</v>
      </c>
      <c r="T164" s="54">
        <f t="shared" si="65"/>
        <v>5032</v>
      </c>
      <c r="U164" s="53">
        <f t="shared" si="66"/>
        <v>0.10619999999999996</v>
      </c>
      <c r="V164" s="54">
        <f t="shared" si="67"/>
        <v>667.99799999999971</v>
      </c>
      <c r="W164" s="55">
        <f ca="1">V164*VLOOKUP(TODAY(),'UF HOY'!$A$2:$B$36,2,0)</f>
        <v>26542192.452119991</v>
      </c>
      <c r="X164" s="56">
        <f>Datos!$K$6</f>
        <v>36</v>
      </c>
      <c r="Y164" s="55">
        <f ca="1">IF((W164-Datos!$U$6-1000000)/X164&gt;0,(W164-Datos!$U$6-1000000)/X164,0)</f>
        <v>706727.56811444415</v>
      </c>
      <c r="Z164" s="56">
        <f>Datos!$K$6</f>
        <v>36</v>
      </c>
      <c r="AA164" s="55">
        <f ca="1">IF((W164-Datos!$U$6-1000000-O164*3%*VLOOKUP(TODAY(),'UF HOY'!$A$2:$B$36,2,0))/Z164&gt;0,(W164-Datos!$U$6-1000000-O164*3%*VLOOKUP(TODAY(),'UF HOY'!$A$2:$B$36,2,0))/Z164,0)</f>
        <v>498455.49928111088</v>
      </c>
      <c r="AB164" s="55">
        <f>IF(L164&gt;0,VLOOKUP(D164,Datos!$A$36:$C$40,3,0),VLOOKUP(D164,Datos!$A$36:$C$40,2,0))</f>
        <v>660000</v>
      </c>
      <c r="AC164" s="55">
        <f ca="1">(S164*PMT(Datos!$G$15,Datos!$G$14,-O164,,)*VLOOKUP(TODAY(),'UF HOY'!$A$2:$B$36,2,0)/12)+VLOOKUP(TODAY(),'UF HOY'!$A$2:$B$36,2,0)</f>
        <v>1003285.4909923526</v>
      </c>
      <c r="AD164" s="55">
        <f t="shared" ca="1" si="68"/>
        <v>-343285.4909923526</v>
      </c>
      <c r="AE164" s="93">
        <f t="shared" ca="1" si="69"/>
        <v>4013141.9639694104</v>
      </c>
    </row>
    <row r="165" spans="1:31" s="3" customFormat="1" x14ac:dyDescent="0.35">
      <c r="A165" s="94" t="s">
        <v>305</v>
      </c>
      <c r="B165" s="80">
        <v>2205</v>
      </c>
      <c r="C165" s="48" t="s">
        <v>336</v>
      </c>
      <c r="D165" s="48" t="s">
        <v>39</v>
      </c>
      <c r="E165" s="48"/>
      <c r="F165" s="48">
        <v>57.64</v>
      </c>
      <c r="G165" s="48">
        <v>3.86</v>
      </c>
      <c r="H165" s="82">
        <f t="shared" ref="H165:H171" si="70">F165+(G165/2)</f>
        <v>59.57</v>
      </c>
      <c r="I165" s="82">
        <f t="shared" ref="I165:I171" si="71">F165+G165</f>
        <v>61.5</v>
      </c>
      <c r="J165" s="49">
        <v>5915</v>
      </c>
      <c r="K165" s="50">
        <v>0</v>
      </c>
      <c r="L165" s="48">
        <v>390</v>
      </c>
      <c r="M165" s="48">
        <v>0</v>
      </c>
      <c r="N165" s="51">
        <f t="shared" ref="N165:N171" si="72">O165-R165</f>
        <v>5713.5</v>
      </c>
      <c r="O165" s="52">
        <f t="shared" ref="O165:O171" si="73">J165*(100%-K165)+L165+M165</f>
        <v>6305</v>
      </c>
      <c r="P165" s="79">
        <f t="shared" ref="P165:P171" si="74">(N165-L165-M165)/H165</f>
        <v>89.365452408930665</v>
      </c>
      <c r="Q165" s="53">
        <f t="shared" ref="Q165:Q171" si="75">IF((O165-N165)/O165&gt;10%,10%,ROUND(IF(O165&gt;N165,(O165-N165)/O165,0),4))</f>
        <v>9.3799999999999994E-2</v>
      </c>
      <c r="R165" s="54">
        <f t="shared" ref="R165:R171" si="76">(J165-J165*K165)*0.1</f>
        <v>591.5</v>
      </c>
      <c r="S165" s="53">
        <v>0.8</v>
      </c>
      <c r="T165" s="54">
        <f t="shared" ref="T165:T171" si="77">S165*O165</f>
        <v>5044</v>
      </c>
      <c r="U165" s="53">
        <f t="shared" ref="U165:U171" si="78">100%-Q165-S165</f>
        <v>0.10619999999999996</v>
      </c>
      <c r="V165" s="54">
        <f t="shared" ref="V165:V171" si="79">O165*U165</f>
        <v>669.59099999999978</v>
      </c>
      <c r="W165" s="55">
        <f ca="1">V165*VLOOKUP(TODAY(),'UF HOY'!$A$2:$B$36,2,0)</f>
        <v>26605488.618539993</v>
      </c>
      <c r="X165" s="56">
        <f>Datos!$K$6</f>
        <v>36</v>
      </c>
      <c r="Y165" s="55">
        <f ca="1">IF((W165-Datos!$U$6-1000000)/X165&gt;0,(W165-Datos!$U$6-1000000)/X165,0)</f>
        <v>708485.7949594442</v>
      </c>
      <c r="Z165" s="56">
        <f>Datos!$K$6</f>
        <v>36</v>
      </c>
      <c r="AA165" s="55">
        <f ca="1">IF((W165-Datos!$U$6-1000000-O165*3%*VLOOKUP(TODAY(),'UF HOY'!$A$2:$B$36,2,0))/Z165&gt;0,(W165-Datos!$U$6-1000000-O165*3%*VLOOKUP(TODAY(),'UF HOY'!$A$2:$B$36,2,0))/Z165,0)</f>
        <v>499717.05187611084</v>
      </c>
      <c r="AB165" s="55">
        <f>IF(L165&gt;0,VLOOKUP(D165,Datos!$A$36:$C$40,3,0),VLOOKUP(D165,Datos!$A$36:$C$40,2,0))</f>
        <v>660000</v>
      </c>
      <c r="AC165" s="55">
        <f ca="1">(S165*PMT(Datos!$G$15,Datos!$G$14,-O165,,)*VLOOKUP(TODAY(),'UF HOY'!$A$2:$B$36,2,0)/12)+VLOOKUP(TODAY(),'UF HOY'!$A$2:$B$36,2,0)</f>
        <v>1005583.3086815234</v>
      </c>
      <c r="AD165" s="55">
        <f t="shared" ref="AD165:AD171" ca="1" si="80">AB165-AC165</f>
        <v>-345583.30868152343</v>
      </c>
      <c r="AE165" s="93">
        <f t="shared" ca="1" si="69"/>
        <v>4022333.2347260937</v>
      </c>
    </row>
    <row r="166" spans="1:31" s="3" customFormat="1" x14ac:dyDescent="0.35">
      <c r="A166" s="94" t="s">
        <v>305</v>
      </c>
      <c r="B166" s="80">
        <v>2305</v>
      </c>
      <c r="C166" s="48" t="s">
        <v>336</v>
      </c>
      <c r="D166" s="48" t="s">
        <v>39</v>
      </c>
      <c r="E166" s="48"/>
      <c r="F166" s="48">
        <v>57.64</v>
      </c>
      <c r="G166" s="48">
        <v>3.86</v>
      </c>
      <c r="H166" s="82">
        <f t="shared" si="70"/>
        <v>59.57</v>
      </c>
      <c r="I166" s="82">
        <f t="shared" si="71"/>
        <v>61.5</v>
      </c>
      <c r="J166" s="49">
        <v>5930</v>
      </c>
      <c r="K166" s="50">
        <v>0</v>
      </c>
      <c r="L166" s="48">
        <v>390</v>
      </c>
      <c r="M166" s="48">
        <v>0</v>
      </c>
      <c r="N166" s="51">
        <f t="shared" si="72"/>
        <v>5727</v>
      </c>
      <c r="O166" s="52">
        <f t="shared" si="73"/>
        <v>6320</v>
      </c>
      <c r="P166" s="79">
        <f t="shared" si="74"/>
        <v>89.592076548598286</v>
      </c>
      <c r="Q166" s="53">
        <f t="shared" si="75"/>
        <v>9.3799999999999994E-2</v>
      </c>
      <c r="R166" s="54">
        <f t="shared" si="76"/>
        <v>593</v>
      </c>
      <c r="S166" s="53">
        <v>0.8</v>
      </c>
      <c r="T166" s="54">
        <f t="shared" si="77"/>
        <v>5056</v>
      </c>
      <c r="U166" s="53">
        <f t="shared" si="78"/>
        <v>0.10619999999999996</v>
      </c>
      <c r="V166" s="54">
        <f t="shared" si="79"/>
        <v>671.18399999999974</v>
      </c>
      <c r="W166" s="55">
        <f ca="1">V166*VLOOKUP(TODAY(),'UF HOY'!$A$2:$B$36,2,0)</f>
        <v>26668784.784959991</v>
      </c>
      <c r="X166" s="56">
        <f>Datos!$K$6</f>
        <v>36</v>
      </c>
      <c r="Y166" s="55">
        <f ca="1">IF((W166-Datos!$U$6-1000000)/X166&gt;0,(W166-Datos!$U$6-1000000)/X166,0)</f>
        <v>710244.02180444414</v>
      </c>
      <c r="Z166" s="56">
        <f>Datos!$K$6</f>
        <v>36</v>
      </c>
      <c r="AA166" s="55">
        <f ca="1">IF((W166-Datos!$U$6-1000000-O166*3%*VLOOKUP(TODAY(),'UF HOY'!$A$2:$B$36,2,0))/Z166&gt;0,(W166-Datos!$U$6-1000000-O166*3%*VLOOKUP(TODAY(),'UF HOY'!$A$2:$B$36,2,0))/Z166,0)</f>
        <v>500978.60447111086</v>
      </c>
      <c r="AB166" s="55">
        <f>IF(L166&gt;0,VLOOKUP(D166,Datos!$A$36:$C$40,3,0),VLOOKUP(D166,Datos!$A$36:$C$40,2,0))</f>
        <v>660000</v>
      </c>
      <c r="AC166" s="55">
        <f ca="1">(S166*PMT(Datos!$G$15,Datos!$G$14,-O166,,)*VLOOKUP(TODAY(),'UF HOY'!$A$2:$B$36,2,0)/12)+VLOOKUP(TODAY(),'UF HOY'!$A$2:$B$36,2,0)</f>
        <v>1007881.1263706945</v>
      </c>
      <c r="AD166" s="55">
        <f t="shared" ca="1" si="80"/>
        <v>-347881.12637069449</v>
      </c>
      <c r="AE166" s="93">
        <f t="shared" ca="1" si="69"/>
        <v>4031524.505482778</v>
      </c>
    </row>
    <row r="167" spans="1:31" s="3" customFormat="1" x14ac:dyDescent="0.35">
      <c r="A167" s="94" t="s">
        <v>305</v>
      </c>
      <c r="B167" s="80">
        <v>2405</v>
      </c>
      <c r="C167" s="48" t="s">
        <v>336</v>
      </c>
      <c r="D167" s="48" t="s">
        <v>39</v>
      </c>
      <c r="E167" s="48"/>
      <c r="F167" s="48">
        <v>57.64</v>
      </c>
      <c r="G167" s="48">
        <v>3.86</v>
      </c>
      <c r="H167" s="82">
        <f t="shared" si="70"/>
        <v>59.57</v>
      </c>
      <c r="I167" s="82">
        <f t="shared" si="71"/>
        <v>61.5</v>
      </c>
      <c r="J167" s="49">
        <v>5945</v>
      </c>
      <c r="K167" s="50">
        <v>0</v>
      </c>
      <c r="L167" s="48">
        <v>390</v>
      </c>
      <c r="M167" s="48">
        <v>0</v>
      </c>
      <c r="N167" s="51">
        <f t="shared" si="72"/>
        <v>5740.5</v>
      </c>
      <c r="O167" s="52">
        <f t="shared" si="73"/>
        <v>6335</v>
      </c>
      <c r="P167" s="79">
        <f t="shared" si="74"/>
        <v>89.818700688265906</v>
      </c>
      <c r="Q167" s="53">
        <f t="shared" si="75"/>
        <v>9.3799999999999994E-2</v>
      </c>
      <c r="R167" s="54">
        <f t="shared" si="76"/>
        <v>594.5</v>
      </c>
      <c r="S167" s="53">
        <v>0.8</v>
      </c>
      <c r="T167" s="54">
        <f t="shared" si="77"/>
        <v>5068</v>
      </c>
      <c r="U167" s="53">
        <f t="shared" si="78"/>
        <v>0.10619999999999996</v>
      </c>
      <c r="V167" s="54">
        <f t="shared" si="79"/>
        <v>672.7769999999997</v>
      </c>
      <c r="W167" s="55">
        <f ca="1">V167*VLOOKUP(TODAY(),'UF HOY'!$A$2:$B$36,2,0)</f>
        <v>26732080.951379988</v>
      </c>
      <c r="X167" s="56">
        <f>Datos!$K$6</f>
        <v>36</v>
      </c>
      <c r="Y167" s="55">
        <f ca="1">IF((W167-Datos!$U$6-1000000)/X167&gt;0,(W167-Datos!$U$6-1000000)/X167,0)</f>
        <v>712002.24864944408</v>
      </c>
      <c r="Z167" s="56">
        <f>Datos!$K$6</f>
        <v>36</v>
      </c>
      <c r="AA167" s="55">
        <f ca="1">IF((W167-Datos!$U$6-1000000-O167*3%*VLOOKUP(TODAY(),'UF HOY'!$A$2:$B$36,2,0))/Z167&gt;0,(W167-Datos!$U$6-1000000-O167*3%*VLOOKUP(TODAY(),'UF HOY'!$A$2:$B$36,2,0))/Z167,0)</f>
        <v>502240.15706611081</v>
      </c>
      <c r="AB167" s="55">
        <f>IF(L167&gt;0,VLOOKUP(D167,Datos!$A$36:$C$40,3,0),VLOOKUP(D167,Datos!$A$36:$C$40,2,0))</f>
        <v>660000</v>
      </c>
      <c r="AC167" s="55">
        <f ca="1">(S167*PMT(Datos!$G$15,Datos!$G$14,-O167,,)*VLOOKUP(TODAY(),'UF HOY'!$A$2:$B$36,2,0)/12)+VLOOKUP(TODAY(),'UF HOY'!$A$2:$B$36,2,0)</f>
        <v>1010178.9440598653</v>
      </c>
      <c r="AD167" s="55">
        <f t="shared" ca="1" si="80"/>
        <v>-350178.94405986532</v>
      </c>
      <c r="AE167" s="93">
        <f t="shared" ca="1" si="69"/>
        <v>4040715.7762394613</v>
      </c>
    </row>
    <row r="168" spans="1:31" s="3" customFormat="1" x14ac:dyDescent="0.35">
      <c r="A168" s="94" t="s">
        <v>305</v>
      </c>
      <c r="B168" s="80">
        <v>2505</v>
      </c>
      <c r="C168" s="48" t="s">
        <v>336</v>
      </c>
      <c r="D168" s="48" t="s">
        <v>39</v>
      </c>
      <c r="E168" s="48"/>
      <c r="F168" s="48">
        <v>57.64</v>
      </c>
      <c r="G168" s="48">
        <v>3.86</v>
      </c>
      <c r="H168" s="82">
        <f t="shared" si="70"/>
        <v>59.57</v>
      </c>
      <c r="I168" s="82">
        <f t="shared" si="71"/>
        <v>61.5</v>
      </c>
      <c r="J168" s="49">
        <v>5965</v>
      </c>
      <c r="K168" s="50">
        <v>0</v>
      </c>
      <c r="L168" s="48">
        <v>390</v>
      </c>
      <c r="M168" s="48">
        <v>0</v>
      </c>
      <c r="N168" s="51">
        <f t="shared" si="72"/>
        <v>5758.5</v>
      </c>
      <c r="O168" s="52">
        <f t="shared" si="73"/>
        <v>6355</v>
      </c>
      <c r="P168" s="79">
        <f t="shared" si="74"/>
        <v>90.120866207822729</v>
      </c>
      <c r="Q168" s="53">
        <f t="shared" si="75"/>
        <v>9.3899999999999997E-2</v>
      </c>
      <c r="R168" s="54">
        <f t="shared" si="76"/>
        <v>596.5</v>
      </c>
      <c r="S168" s="53">
        <v>0.8</v>
      </c>
      <c r="T168" s="54">
        <f t="shared" si="77"/>
        <v>5084</v>
      </c>
      <c r="U168" s="53">
        <f t="shared" si="78"/>
        <v>0.10609999999999997</v>
      </c>
      <c r="V168" s="54">
        <f t="shared" si="79"/>
        <v>674.26549999999986</v>
      </c>
      <c r="W168" s="55">
        <f ca="1">V168*VLOOKUP(TODAY(),'UF HOY'!$A$2:$B$36,2,0)</f>
        <v>26791224.921069995</v>
      </c>
      <c r="X168" s="56">
        <f>Datos!$K$6</f>
        <v>36</v>
      </c>
      <c r="Y168" s="55">
        <f ca="1">IF((W168-Datos!$U$6-1000000)/X168&gt;0,(W168-Datos!$U$6-1000000)/X168,0)</f>
        <v>713645.13669638871</v>
      </c>
      <c r="Z168" s="56">
        <f>Datos!$K$6</f>
        <v>36</v>
      </c>
      <c r="AA168" s="55">
        <f ca="1">IF((W168-Datos!$U$6-1000000-O168*3%*VLOOKUP(TODAY(),'UF HOY'!$A$2:$B$36,2,0))/Z168&gt;0,(W168-Datos!$U$6-1000000-O168*3%*VLOOKUP(TODAY(),'UF HOY'!$A$2:$B$36,2,0))/Z168,0)</f>
        <v>503220.8127797221</v>
      </c>
      <c r="AB168" s="55">
        <f>IF(L168&gt;0,VLOOKUP(D168,Datos!$A$36:$C$40,3,0),VLOOKUP(D168,Datos!$A$36:$C$40,2,0))</f>
        <v>660000</v>
      </c>
      <c r="AC168" s="55">
        <f ca="1">(S168*PMT(Datos!$G$15,Datos!$G$14,-O168,,)*VLOOKUP(TODAY(),'UF HOY'!$A$2:$B$36,2,0)/12)+VLOOKUP(TODAY(),'UF HOY'!$A$2:$B$36,2,0)</f>
        <v>1013242.7009787599</v>
      </c>
      <c r="AD168" s="55">
        <f t="shared" ca="1" si="80"/>
        <v>-353242.70097875991</v>
      </c>
      <c r="AE168" s="93">
        <f t="shared" ca="1" si="69"/>
        <v>4052970.8039150396</v>
      </c>
    </row>
    <row r="169" spans="1:31" s="3" customFormat="1" x14ac:dyDescent="0.35">
      <c r="A169" s="94" t="s">
        <v>305</v>
      </c>
      <c r="B169" s="80">
        <v>2605</v>
      </c>
      <c r="C169" s="48" t="s">
        <v>336</v>
      </c>
      <c r="D169" s="48" t="s">
        <v>39</v>
      </c>
      <c r="E169" s="48"/>
      <c r="F169" s="48">
        <v>57.64</v>
      </c>
      <c r="G169" s="48">
        <v>3.86</v>
      </c>
      <c r="H169" s="82">
        <f t="shared" si="70"/>
        <v>59.57</v>
      </c>
      <c r="I169" s="82">
        <f t="shared" si="71"/>
        <v>61.5</v>
      </c>
      <c r="J169" s="49">
        <v>5980</v>
      </c>
      <c r="K169" s="50">
        <v>0</v>
      </c>
      <c r="L169" s="48">
        <v>390</v>
      </c>
      <c r="M169" s="48">
        <v>0</v>
      </c>
      <c r="N169" s="51">
        <f t="shared" si="72"/>
        <v>5772</v>
      </c>
      <c r="O169" s="52">
        <f t="shared" si="73"/>
        <v>6370</v>
      </c>
      <c r="P169" s="79">
        <f t="shared" si="74"/>
        <v>90.34749034749035</v>
      </c>
      <c r="Q169" s="53">
        <f t="shared" si="75"/>
        <v>9.3899999999999997E-2</v>
      </c>
      <c r="R169" s="54">
        <f t="shared" si="76"/>
        <v>598</v>
      </c>
      <c r="S169" s="53">
        <v>0.8</v>
      </c>
      <c r="T169" s="54">
        <f t="shared" si="77"/>
        <v>5096</v>
      </c>
      <c r="U169" s="53">
        <f t="shared" si="78"/>
        <v>0.10609999999999997</v>
      </c>
      <c r="V169" s="54">
        <f t="shared" si="79"/>
        <v>675.85699999999986</v>
      </c>
      <c r="W169" s="55">
        <f ca="1">V169*VLOOKUP(TODAY(),'UF HOY'!$A$2:$B$36,2,0)</f>
        <v>26854461.486579996</v>
      </c>
      <c r="X169" s="56">
        <f>Datos!$K$6</f>
        <v>36</v>
      </c>
      <c r="Y169" s="55">
        <f ca="1">IF((W169-Datos!$U$6-1000000)/X169&gt;0,(W169-Datos!$U$6-1000000)/X169,0)</f>
        <v>715401.70796055545</v>
      </c>
      <c r="Z169" s="56">
        <f>Datos!$K$6</f>
        <v>36</v>
      </c>
      <c r="AA169" s="55">
        <f ca="1">IF((W169-Datos!$U$6-1000000-O169*3%*VLOOKUP(TODAY(),'UF HOY'!$A$2:$B$36,2,0))/Z169&gt;0,(W169-Datos!$U$6-1000000-O169*3%*VLOOKUP(TODAY(),'UF HOY'!$A$2:$B$36,2,0))/Z169,0)</f>
        <v>504480.70979388873</v>
      </c>
      <c r="AB169" s="55">
        <f>IF(L169&gt;0,VLOOKUP(D169,Datos!$A$36:$C$40,3,0),VLOOKUP(D169,Datos!$A$36:$C$40,2,0))</f>
        <v>660000</v>
      </c>
      <c r="AC169" s="55">
        <f ca="1">(S169*PMT(Datos!$G$15,Datos!$G$14,-O169,,)*VLOOKUP(TODAY(),'UF HOY'!$A$2:$B$36,2,0)/12)+VLOOKUP(TODAY(),'UF HOY'!$A$2:$B$36,2,0)</f>
        <v>1015540.518667931</v>
      </c>
      <c r="AD169" s="55">
        <f t="shared" ca="1" si="80"/>
        <v>-355540.51866793097</v>
      </c>
      <c r="AE169" s="93">
        <f t="shared" ca="1" si="69"/>
        <v>4062162.0746717239</v>
      </c>
    </row>
    <row r="170" spans="1:31" s="3" customFormat="1" x14ac:dyDescent="0.35">
      <c r="A170" s="94" t="s">
        <v>305</v>
      </c>
      <c r="B170" s="80">
        <v>2705</v>
      </c>
      <c r="C170" s="48" t="s">
        <v>336</v>
      </c>
      <c r="D170" s="48" t="s">
        <v>39</v>
      </c>
      <c r="E170" s="48"/>
      <c r="F170" s="48">
        <v>57.64</v>
      </c>
      <c r="G170" s="48">
        <v>3.86</v>
      </c>
      <c r="H170" s="82">
        <f t="shared" si="70"/>
        <v>59.57</v>
      </c>
      <c r="I170" s="82">
        <f t="shared" si="71"/>
        <v>61.5</v>
      </c>
      <c r="J170" s="49">
        <v>5995</v>
      </c>
      <c r="K170" s="50">
        <v>0</v>
      </c>
      <c r="L170" s="48">
        <v>390</v>
      </c>
      <c r="M170" s="48">
        <v>0</v>
      </c>
      <c r="N170" s="51">
        <f t="shared" si="72"/>
        <v>5785.5</v>
      </c>
      <c r="O170" s="52">
        <f t="shared" si="73"/>
        <v>6385</v>
      </c>
      <c r="P170" s="79">
        <f t="shared" si="74"/>
        <v>90.574114487157971</v>
      </c>
      <c r="Q170" s="53">
        <f t="shared" si="75"/>
        <v>9.3899999999999997E-2</v>
      </c>
      <c r="R170" s="54">
        <f t="shared" si="76"/>
        <v>599.5</v>
      </c>
      <c r="S170" s="53">
        <v>0.8</v>
      </c>
      <c r="T170" s="54">
        <f t="shared" si="77"/>
        <v>5108</v>
      </c>
      <c r="U170" s="53">
        <f t="shared" si="78"/>
        <v>0.10609999999999997</v>
      </c>
      <c r="V170" s="54">
        <f t="shared" si="79"/>
        <v>677.44849999999985</v>
      </c>
      <c r="W170" s="55">
        <f ca="1">V170*VLOOKUP(TODAY(),'UF HOY'!$A$2:$B$36,2,0)</f>
        <v>26917698.052089997</v>
      </c>
      <c r="X170" s="56">
        <f>Datos!$K$6</f>
        <v>36</v>
      </c>
      <c r="Y170" s="55">
        <f ca="1">IF((W170-Datos!$U$6-1000000)/X170&gt;0,(W170-Datos!$U$6-1000000)/X170,0)</f>
        <v>717158.27922472218</v>
      </c>
      <c r="Z170" s="56">
        <f>Datos!$K$6</f>
        <v>36</v>
      </c>
      <c r="AA170" s="55">
        <f ca="1">IF((W170-Datos!$U$6-1000000-O170*3%*VLOOKUP(TODAY(),'UF HOY'!$A$2:$B$36,2,0))/Z170&gt;0,(W170-Datos!$U$6-1000000-O170*3%*VLOOKUP(TODAY(),'UF HOY'!$A$2:$B$36,2,0))/Z170,0)</f>
        <v>505740.60680805548</v>
      </c>
      <c r="AB170" s="55">
        <f>IF(L170&gt;0,VLOOKUP(D170,Datos!$A$36:$C$40,3,0),VLOOKUP(D170,Datos!$A$36:$C$40,2,0))</f>
        <v>660000</v>
      </c>
      <c r="AC170" s="55">
        <f ca="1">(S170*PMT(Datos!$G$15,Datos!$G$14,-O170,,)*VLOOKUP(TODAY(),'UF HOY'!$A$2:$B$36,2,0)/12)+VLOOKUP(TODAY(),'UF HOY'!$A$2:$B$36,2,0)</f>
        <v>1017838.3363571018</v>
      </c>
      <c r="AD170" s="55">
        <f t="shared" ca="1" si="80"/>
        <v>-357838.3363571018</v>
      </c>
      <c r="AE170" s="93">
        <f t="shared" ca="1" si="69"/>
        <v>4071353.3454284072</v>
      </c>
    </row>
    <row r="171" spans="1:31" s="3" customFormat="1" x14ac:dyDescent="0.35">
      <c r="A171" s="94" t="s">
        <v>305</v>
      </c>
      <c r="B171" s="80">
        <v>2805</v>
      </c>
      <c r="C171" s="48" t="s">
        <v>336</v>
      </c>
      <c r="D171" s="48" t="s">
        <v>39</v>
      </c>
      <c r="E171" s="48"/>
      <c r="F171" s="48">
        <v>57.64</v>
      </c>
      <c r="G171" s="48">
        <v>3.86</v>
      </c>
      <c r="H171" s="82">
        <f t="shared" si="70"/>
        <v>59.57</v>
      </c>
      <c r="I171" s="82">
        <f t="shared" si="71"/>
        <v>61.5</v>
      </c>
      <c r="J171" s="49">
        <v>6010</v>
      </c>
      <c r="K171" s="50">
        <v>0</v>
      </c>
      <c r="L171" s="48">
        <v>390</v>
      </c>
      <c r="M171" s="48">
        <v>0</v>
      </c>
      <c r="N171" s="51">
        <f t="shared" si="72"/>
        <v>5799</v>
      </c>
      <c r="O171" s="52">
        <f t="shared" si="73"/>
        <v>6400</v>
      </c>
      <c r="P171" s="79">
        <f t="shared" si="74"/>
        <v>90.800738626825577</v>
      </c>
      <c r="Q171" s="53">
        <f t="shared" si="75"/>
        <v>9.3899999999999997E-2</v>
      </c>
      <c r="R171" s="54">
        <f t="shared" si="76"/>
        <v>601</v>
      </c>
      <c r="S171" s="53">
        <v>0.8</v>
      </c>
      <c r="T171" s="54">
        <f t="shared" si="77"/>
        <v>5120</v>
      </c>
      <c r="U171" s="53">
        <f t="shared" si="78"/>
        <v>0.10609999999999997</v>
      </c>
      <c r="V171" s="54">
        <f t="shared" si="79"/>
        <v>679.03999999999985</v>
      </c>
      <c r="W171" s="55">
        <f ca="1">V171*VLOOKUP(TODAY(),'UF HOY'!$A$2:$B$36,2,0)</f>
        <v>26980934.617599994</v>
      </c>
      <c r="X171" s="56">
        <f>Datos!$K$6</f>
        <v>36</v>
      </c>
      <c r="Y171" s="55">
        <f ca="1">IF((W171-Datos!$U$6-1000000)/X171&gt;0,(W171-Datos!$U$6-1000000)/X171,0)</f>
        <v>718914.85048888868</v>
      </c>
      <c r="Z171" s="56">
        <f>Datos!$K$6</f>
        <v>36</v>
      </c>
      <c r="AA171" s="55">
        <f ca="1">IF((W171-Datos!$U$6-1000000-O171*3%*VLOOKUP(TODAY(),'UF HOY'!$A$2:$B$36,2,0))/Z171&gt;0,(W171-Datos!$U$6-1000000-O171*3%*VLOOKUP(TODAY(),'UF HOY'!$A$2:$B$36,2,0))/Z171,0)</f>
        <v>507000.50382222206</v>
      </c>
      <c r="AB171" s="55">
        <f>IF(L171&gt;0,VLOOKUP(D171,Datos!$A$36:$C$40,3,0),VLOOKUP(D171,Datos!$A$36:$C$40,2,0))</f>
        <v>660000</v>
      </c>
      <c r="AC171" s="55">
        <f ca="1">(S171*PMT(Datos!$G$15,Datos!$G$14,-O171,,)*VLOOKUP(TODAY(),'UF HOY'!$A$2:$B$36,2,0)/12)+VLOOKUP(TODAY(),'UF HOY'!$A$2:$B$36,2,0)</f>
        <v>1020136.1540462729</v>
      </c>
      <c r="AD171" s="55">
        <f t="shared" ca="1" si="80"/>
        <v>-360136.15404627286</v>
      </c>
      <c r="AE171" s="93">
        <f t="shared" ca="1" si="69"/>
        <v>4080544.6161850914</v>
      </c>
    </row>
    <row r="172" spans="1:31" s="4" customFormat="1" ht="15.75" customHeight="1" x14ac:dyDescent="0.25"/>
    <row r="173" spans="1:31" x14ac:dyDescent="0.35">
      <c r="L173" s="33" t="s">
        <v>321</v>
      </c>
    </row>
  </sheetData>
  <autoFilter ref="A1:AE171" xr:uid="{D23478EC-CB20-4F34-B607-A7836A277580}">
    <filterColumn colId="0">
      <filters>
        <filter val="SIN ABONO"/>
      </filters>
    </filterColumn>
    <sortState xmlns:xlrd2="http://schemas.microsoft.com/office/spreadsheetml/2017/richdata2" ref="A2:AE171">
      <sortCondition ref="N1:N171"/>
    </sortState>
  </autoFilter>
  <conditionalFormatting sqref="A1:AD16 AE2:AE16 A17:AE171">
    <cfRule type="expression" dxfId="3" priority="6">
      <formula>ROW()=CELL("fila")</formula>
    </cfRule>
  </conditionalFormatting>
  <conditionalFormatting sqref="AE1">
    <cfRule type="expression" dxfId="2" priority="3">
      <formula>ROW()=CELL("fila")</formula>
    </cfRule>
  </conditionalFormatting>
  <pageMargins left="0.7" right="0.7" top="0.75" bottom="0.75" header="0.3" footer="0.3"/>
  <pageSetup orientation="portrait"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426FC-2142-476B-9E18-302AD4CE4BDB}">
  <sheetPr codeName="Hoja19" filterMode="1">
    <tabColor rgb="FF002060"/>
  </sheetPr>
  <dimension ref="A1:AE125"/>
  <sheetViews>
    <sheetView showGridLines="0" zoomScale="80" zoomScaleNormal="80" zoomScalePageLayoutView="120" workbookViewId="0">
      <pane ySplit="1" topLeftCell="A16" activePane="bottomLeft" state="frozen"/>
      <selection activeCell="C20" sqref="C20"/>
      <selection pane="bottomLeft" activeCell="AB16" sqref="AB16"/>
    </sheetView>
  </sheetViews>
  <sheetFormatPr baseColWidth="10" defaultColWidth="11" defaultRowHeight="15.5" x14ac:dyDescent="0.35"/>
  <cols>
    <col min="1" max="1" width="10.5" style="4" bestFit="1" customWidth="1"/>
    <col min="2" max="2" width="12.5" style="4" bestFit="1" customWidth="1"/>
    <col min="3" max="3" width="11.5" style="4" customWidth="1"/>
    <col min="4" max="4" width="12" style="4" customWidth="1"/>
    <col min="5" max="7" width="9" style="4" hidden="1" customWidth="1"/>
    <col min="8" max="8" width="12.58203125" style="4" hidden="1" customWidth="1"/>
    <col min="9" max="9" width="12" style="4" bestFit="1" customWidth="1"/>
    <col min="10" max="10" width="10.5" style="4" customWidth="1"/>
    <col min="11" max="11" width="10" style="4" customWidth="1"/>
    <col min="12" max="12" width="8.5" style="4" bestFit="1" customWidth="1"/>
    <col min="13" max="13" width="13.58203125" style="4" customWidth="1"/>
    <col min="14" max="16" width="10.5" style="4" customWidth="1"/>
    <col min="17" max="18" width="9.9140625" style="4" customWidth="1"/>
    <col min="19" max="19" width="16" style="4" customWidth="1"/>
    <col min="20" max="20" width="15.08203125" style="4" customWidth="1"/>
    <col min="21" max="21" width="10.5" style="4" bestFit="1" customWidth="1"/>
    <col min="22" max="22" width="10.5" style="4" customWidth="1"/>
    <col min="23" max="23" width="10.9140625" style="4" bestFit="1" customWidth="1"/>
    <col min="24" max="24" width="15" style="4" bestFit="1" customWidth="1"/>
    <col min="25" max="25" width="13.5" style="4" customWidth="1"/>
    <col min="26" max="26" width="15" style="4" bestFit="1" customWidth="1"/>
    <col min="27" max="27" width="13.5" style="4" customWidth="1"/>
    <col min="28" max="29" width="13" style="4" bestFit="1" customWidth="1"/>
    <col min="30" max="30" width="9.5" style="4" bestFit="1" customWidth="1"/>
  </cols>
  <sheetData>
    <row r="1" spans="1:31" ht="26.25" customHeight="1" x14ac:dyDescent="0.35">
      <c r="A1" s="44" t="s">
        <v>7</v>
      </c>
      <c r="B1" s="44" t="s">
        <v>8</v>
      </c>
      <c r="C1" s="44" t="s">
        <v>9</v>
      </c>
      <c r="D1" s="44" t="s">
        <v>10</v>
      </c>
      <c r="E1" s="44" t="s">
        <v>11</v>
      </c>
      <c r="F1" s="44" t="s">
        <v>12</v>
      </c>
      <c r="G1" s="44" t="s">
        <v>13</v>
      </c>
      <c r="H1" s="44" t="s">
        <v>14</v>
      </c>
      <c r="I1" s="44" t="s">
        <v>15</v>
      </c>
      <c r="J1" s="44" t="s">
        <v>16</v>
      </c>
      <c r="K1" s="44" t="s">
        <v>17</v>
      </c>
      <c r="L1" s="44" t="s">
        <v>18</v>
      </c>
      <c r="M1" s="44" t="s">
        <v>19</v>
      </c>
      <c r="N1" s="44" t="s">
        <v>20</v>
      </c>
      <c r="O1" s="44" t="s">
        <v>22</v>
      </c>
      <c r="P1" s="45" t="s">
        <v>21</v>
      </c>
      <c r="Q1" s="45" t="s">
        <v>23</v>
      </c>
      <c r="R1" s="45" t="s">
        <v>24</v>
      </c>
      <c r="S1" s="45" t="s">
        <v>25</v>
      </c>
      <c r="T1" s="45" t="s">
        <v>26</v>
      </c>
      <c r="U1" s="45" t="s">
        <v>27</v>
      </c>
      <c r="V1" s="45" t="s">
        <v>28</v>
      </c>
      <c r="W1" s="46" t="s">
        <v>29</v>
      </c>
      <c r="X1" s="47" t="s">
        <v>30</v>
      </c>
      <c r="Y1" s="46" t="s">
        <v>31</v>
      </c>
      <c r="Z1" s="47" t="s">
        <v>32</v>
      </c>
      <c r="AA1" s="46" t="s">
        <v>31</v>
      </c>
      <c r="AB1" s="46" t="s">
        <v>33</v>
      </c>
      <c r="AC1" s="46" t="s">
        <v>34</v>
      </c>
      <c r="AD1" s="46" t="s">
        <v>35</v>
      </c>
      <c r="AE1" s="92" t="s">
        <v>280</v>
      </c>
    </row>
    <row r="2" spans="1:31" s="3" customFormat="1" hidden="1" x14ac:dyDescent="0.35">
      <c r="A2" s="94" t="s">
        <v>342</v>
      </c>
      <c r="B2" s="81" t="s">
        <v>349</v>
      </c>
      <c r="C2" s="48" t="s">
        <v>40</v>
      </c>
      <c r="D2" s="48" t="s">
        <v>37</v>
      </c>
      <c r="E2" s="48"/>
      <c r="F2" s="48">
        <v>33.479999999999997</v>
      </c>
      <c r="G2" s="48">
        <v>2.29</v>
      </c>
      <c r="H2" s="82">
        <f t="shared" ref="H2:H3" si="0">F2+(G2/2)</f>
        <v>34.625</v>
      </c>
      <c r="I2" s="82">
        <f t="shared" ref="I2:I3" si="1">F2+G2</f>
        <v>35.769999999999996</v>
      </c>
      <c r="J2" s="51">
        <v>3390</v>
      </c>
      <c r="K2" s="50">
        <v>0</v>
      </c>
      <c r="L2" s="81">
        <v>200</v>
      </c>
      <c r="M2" s="48">
        <v>0</v>
      </c>
      <c r="N2" s="49">
        <f t="shared" ref="N2" si="2">O2-R2</f>
        <v>3251</v>
      </c>
      <c r="O2" s="108">
        <f t="shared" ref="O2" si="3">J2*(100%-K2)+L2+M2</f>
        <v>3590</v>
      </c>
      <c r="P2" s="79">
        <f t="shared" ref="P2" si="4">(N2-L2-M2)/H2</f>
        <v>88.115523465703973</v>
      </c>
      <c r="Q2" s="53">
        <f t="shared" ref="Q2" si="5">IF((O2-N2)/O2&gt;10%,10%,ROUND(IF(O2&gt;N2,(O2-N2)/O2,0),4))</f>
        <v>9.4399999999999998E-2</v>
      </c>
      <c r="R2" s="54">
        <f t="shared" ref="R2" si="6">(J2-J2*K2)*0.1</f>
        <v>339</v>
      </c>
      <c r="S2" s="53">
        <v>0.8</v>
      </c>
      <c r="T2" s="54">
        <f t="shared" ref="T2:T3" si="7">S2*O2</f>
        <v>2872</v>
      </c>
      <c r="U2" s="53">
        <f t="shared" ref="U2:U3" si="8">100%-Q2-S2</f>
        <v>0.10559999999999992</v>
      </c>
      <c r="V2" s="54">
        <f t="shared" ref="V2:V3" si="9">O2*U2</f>
        <v>379.1039999999997</v>
      </c>
      <c r="W2" s="55">
        <f ca="1">V2*VLOOKUP(TODAY(),'UF HOY'!$A$2:$B$36,2,0)</f>
        <v>15063295.589759989</v>
      </c>
      <c r="X2" s="56">
        <f>Datos!$K$9</f>
        <v>24</v>
      </c>
      <c r="Y2" s="55">
        <f ca="1">IF((W2-Datos!$U$9-1000000)/X2&gt;0,(W2-Datos!$U$9-1000000)/X2,0)</f>
        <v>581803.98290666624</v>
      </c>
      <c r="Z2" s="56">
        <f>Datos!$K$9</f>
        <v>24</v>
      </c>
      <c r="AA2" s="55">
        <f ca="1">IF((W2-Datos!$U$9-1000000-O2*4%*VLOOKUP(TODAY(),'UF HOY'!$A$2:$B$36,2,0))/Z2&gt;0,(W2-Datos!$U$9-1000000-O2*4%*VLOOKUP(TODAY(),'UF HOY'!$A$2:$B$36,2,0))/Z2,0)</f>
        <v>344062.57523999951</v>
      </c>
      <c r="AB2" s="55">
        <f>IF(L2&gt;0,VLOOKUP(D2,Datos!$A$6:$C$10,3,0),VLOOKUP(D2,Datos!$A$6:$C$10,2,0))</f>
        <v>390000</v>
      </c>
      <c r="AC2" s="55">
        <f ca="1">(S2*PMT(Datos!$G$15,Datos!$G$14,-O2,,)*VLOOKUP(TODAY(),'UF HOY'!$A$2:$B$36,2,0)/12)+VLOOKUP(TODAY(),'UF HOY'!$A$2:$B$36,2,0)</f>
        <v>589678.30694158119</v>
      </c>
      <c r="AD2" s="55">
        <f t="shared" ref="AD2:AD3" ca="1" si="10">AB2-AC2</f>
        <v>-199678.30694158119</v>
      </c>
      <c r="AE2" s="93">
        <f ca="1">IF((AC2/0.25)&lt;=1600000,1600000,(AC2/0.25))</f>
        <v>2358713.2277663248</v>
      </c>
    </row>
    <row r="3" spans="1:31" s="3" customFormat="1" hidden="1" x14ac:dyDescent="0.35">
      <c r="A3" s="94" t="s">
        <v>342</v>
      </c>
      <c r="B3" s="81" t="s">
        <v>350</v>
      </c>
      <c r="C3" s="48" t="s">
        <v>36</v>
      </c>
      <c r="D3" s="48" t="s">
        <v>37</v>
      </c>
      <c r="E3" s="48"/>
      <c r="F3" s="48">
        <v>35.03</v>
      </c>
      <c r="G3" s="48">
        <v>2.29</v>
      </c>
      <c r="H3" s="82">
        <f t="shared" si="0"/>
        <v>36.175000000000004</v>
      </c>
      <c r="I3" s="82">
        <f t="shared" si="1"/>
        <v>37.32</v>
      </c>
      <c r="J3" s="51">
        <v>3390</v>
      </c>
      <c r="K3" s="50">
        <v>0</v>
      </c>
      <c r="L3" s="81">
        <v>200</v>
      </c>
      <c r="M3" s="48">
        <v>0</v>
      </c>
      <c r="N3" s="49">
        <f t="shared" ref="N3:N27" si="11">O3-R3</f>
        <v>3251</v>
      </c>
      <c r="O3" s="108">
        <f t="shared" ref="O3:O27" si="12">J3*(100%-K3)+L3+M3</f>
        <v>3590</v>
      </c>
      <c r="P3" s="79">
        <f t="shared" ref="P3:P27" si="13">(N3-L3-M3)/H3</f>
        <v>84.340013821700055</v>
      </c>
      <c r="Q3" s="53">
        <f t="shared" ref="Q3:Q27" si="14">IF((O3-N3)/O3&gt;10%,10%,ROUND(IF(O3&gt;N3,(O3-N3)/O3,0),4))</f>
        <v>9.4399999999999998E-2</v>
      </c>
      <c r="R3" s="54">
        <f t="shared" ref="R3:R27" si="15">(J3-J3*K3)*0.1</f>
        <v>339</v>
      </c>
      <c r="S3" s="53">
        <v>0.8</v>
      </c>
      <c r="T3" s="54">
        <f t="shared" si="7"/>
        <v>2872</v>
      </c>
      <c r="U3" s="53">
        <f t="shared" si="8"/>
        <v>0.10559999999999992</v>
      </c>
      <c r="V3" s="54">
        <f t="shared" si="9"/>
        <v>379.1039999999997</v>
      </c>
      <c r="W3" s="55">
        <f ca="1">V3*VLOOKUP(TODAY(),'UF HOY'!$A$2:$B$36,2,0)</f>
        <v>15063295.589759989</v>
      </c>
      <c r="X3" s="56">
        <f>Datos!$K$9</f>
        <v>24</v>
      </c>
      <c r="Y3" s="55">
        <f ca="1">IF((W3-Datos!$U$9-1000000)/X3&gt;0,(W3-Datos!$U$9-1000000)/X3,0)</f>
        <v>581803.98290666624</v>
      </c>
      <c r="Z3" s="56">
        <f>Datos!$K$9</f>
        <v>24</v>
      </c>
      <c r="AA3" s="55">
        <f ca="1">IF((W3-Datos!$U$9-1000000-O3*4%*VLOOKUP(TODAY(),'UF HOY'!$A$2:$B$36,2,0))/Z3&gt;0,(W3-Datos!$U$9-1000000-O3*4%*VLOOKUP(TODAY(),'UF HOY'!$A$2:$B$36,2,0))/Z3,0)</f>
        <v>344062.57523999951</v>
      </c>
      <c r="AB3" s="55">
        <f>IF(L3&gt;0,VLOOKUP(D3,Datos!$A$6:$C$10,3,0),VLOOKUP(D3,Datos!$A$6:$C$10,2,0))</f>
        <v>390000</v>
      </c>
      <c r="AC3" s="55">
        <f ca="1">(S3*PMT(Datos!$G$15,Datos!$G$14,-O3,,)*VLOOKUP(TODAY(),'UF HOY'!$A$2:$B$36,2,0)/12)+VLOOKUP(TODAY(),'UF HOY'!$A$2:$B$36,2,0)</f>
        <v>589678.30694158119</v>
      </c>
      <c r="AD3" s="55">
        <f t="shared" ca="1" si="10"/>
        <v>-199678.30694158119</v>
      </c>
      <c r="AE3" s="93">
        <f t="shared" ref="AE3:AE68" ca="1" si="16">IF((AC3/0.25)&lt;=1600000,1600000,(AC3/0.25))</f>
        <v>2358713.2277663248</v>
      </c>
    </row>
    <row r="4" spans="1:31" s="3" customFormat="1" x14ac:dyDescent="0.35">
      <c r="A4" s="94" t="s">
        <v>305</v>
      </c>
      <c r="B4" s="81" t="s">
        <v>337</v>
      </c>
      <c r="C4" s="48" t="s">
        <v>36</v>
      </c>
      <c r="D4" s="48" t="s">
        <v>37</v>
      </c>
      <c r="E4" s="48"/>
      <c r="F4" s="48">
        <v>33.58</v>
      </c>
      <c r="G4" s="48">
        <v>2.29</v>
      </c>
      <c r="H4" s="82">
        <f t="shared" ref="H4:H6" si="17">F4+(G4/2)</f>
        <v>34.725000000000001</v>
      </c>
      <c r="I4" s="82">
        <f t="shared" ref="I4:I6" si="18">F4+G4</f>
        <v>35.869999999999997</v>
      </c>
      <c r="J4" s="51">
        <v>3405</v>
      </c>
      <c r="K4" s="50">
        <v>0</v>
      </c>
      <c r="L4" s="81">
        <v>200</v>
      </c>
      <c r="M4" s="48">
        <v>0</v>
      </c>
      <c r="N4" s="49">
        <f t="shared" si="11"/>
        <v>3264.5</v>
      </c>
      <c r="O4" s="108">
        <f t="shared" si="12"/>
        <v>3605</v>
      </c>
      <c r="P4" s="79">
        <f t="shared" si="13"/>
        <v>88.250539956803451</v>
      </c>
      <c r="Q4" s="53">
        <f t="shared" si="14"/>
        <v>9.4500000000000001E-2</v>
      </c>
      <c r="R4" s="54">
        <f t="shared" si="15"/>
        <v>340.5</v>
      </c>
      <c r="S4" s="53">
        <v>0.8</v>
      </c>
      <c r="T4" s="54">
        <f t="shared" ref="T4:T6" si="19">S4*O4</f>
        <v>2884</v>
      </c>
      <c r="U4" s="53">
        <f t="shared" ref="U4:U6" si="20">100%-Q4-S4</f>
        <v>0.10549999999999993</v>
      </c>
      <c r="V4" s="54">
        <f t="shared" ref="V4:V6" si="21">O4*U4</f>
        <v>380.32749999999976</v>
      </c>
      <c r="W4" s="55">
        <f ca="1">V4*VLOOKUP(TODAY(),'UF HOY'!$A$2:$B$36,2,0)</f>
        <v>15111910.065349991</v>
      </c>
      <c r="X4" s="56">
        <f>Datos!$K$9</f>
        <v>24</v>
      </c>
      <c r="Y4" s="55">
        <f ca="1">IF((W4-Datos!$U$9-1000000)/X4&gt;0,(W4-Datos!$U$9-1000000)/X4,0)</f>
        <v>583829.58605624957</v>
      </c>
      <c r="Z4" s="56">
        <f>Datos!$K$9</f>
        <v>24</v>
      </c>
      <c r="AA4" s="55">
        <f ca="1">IF((W4-Datos!$U$9-1000000-O4*4%*VLOOKUP(TODAY(),'UF HOY'!$A$2:$B$36,2,0))/Z4&gt;0,(W4-Datos!$U$9-1000000-O4*4%*VLOOKUP(TODAY(),'UF HOY'!$A$2:$B$36,2,0))/Z4,0)</f>
        <v>345094.82988958288</v>
      </c>
      <c r="AB4" s="55">
        <f>IF(L4&gt;0,VLOOKUP(D4,Datos!$A$6:$C$10,3,0),VLOOKUP(D4,Datos!$A$6:$C$10,2,0))</f>
        <v>390000</v>
      </c>
      <c r="AC4" s="55">
        <f ca="1">(S4*PMT(Datos!$G$15,Datos!$G$14,-O4,,)*VLOOKUP(TODAY(),'UF HOY'!$A$2:$B$36,2,0)/12)+VLOOKUP(TODAY(),'UF HOY'!$A$2:$B$36,2,0)</f>
        <v>591976.12463075225</v>
      </c>
      <c r="AD4" s="55">
        <f t="shared" ref="AD4:AD6" ca="1" si="22">AB4-AC4</f>
        <v>-201976.12463075225</v>
      </c>
      <c r="AE4" s="93">
        <f t="shared" ca="1" si="16"/>
        <v>2367904.498523009</v>
      </c>
    </row>
    <row r="5" spans="1:31" s="3" customFormat="1" x14ac:dyDescent="0.35">
      <c r="A5" s="94" t="s">
        <v>305</v>
      </c>
      <c r="B5" s="81" t="s">
        <v>335</v>
      </c>
      <c r="C5" s="48" t="s">
        <v>36</v>
      </c>
      <c r="D5" s="48" t="s">
        <v>37</v>
      </c>
      <c r="E5" s="48"/>
      <c r="F5" s="48">
        <v>33.58</v>
      </c>
      <c r="G5" s="48">
        <v>2.29</v>
      </c>
      <c r="H5" s="82">
        <f t="shared" si="17"/>
        <v>34.725000000000001</v>
      </c>
      <c r="I5" s="82">
        <f t="shared" si="18"/>
        <v>35.869999999999997</v>
      </c>
      <c r="J5" s="51">
        <v>3410</v>
      </c>
      <c r="K5" s="50">
        <v>0</v>
      </c>
      <c r="L5" s="81">
        <v>200</v>
      </c>
      <c r="M5" s="48">
        <v>0</v>
      </c>
      <c r="N5" s="49">
        <f t="shared" si="11"/>
        <v>3269</v>
      </c>
      <c r="O5" s="108">
        <f t="shared" si="12"/>
        <v>3610</v>
      </c>
      <c r="P5" s="79">
        <f t="shared" si="13"/>
        <v>88.38012958963283</v>
      </c>
      <c r="Q5" s="53">
        <f t="shared" si="14"/>
        <v>9.4500000000000001E-2</v>
      </c>
      <c r="R5" s="54">
        <f t="shared" si="15"/>
        <v>341</v>
      </c>
      <c r="S5" s="53">
        <v>0.8</v>
      </c>
      <c r="T5" s="54">
        <f t="shared" si="19"/>
        <v>2888</v>
      </c>
      <c r="U5" s="53">
        <f t="shared" si="20"/>
        <v>0.10549999999999993</v>
      </c>
      <c r="V5" s="54">
        <f t="shared" si="21"/>
        <v>380.85499999999973</v>
      </c>
      <c r="W5" s="55">
        <f ca="1">V5*VLOOKUP(TODAY(),'UF HOY'!$A$2:$B$36,2,0)</f>
        <v>15132869.71869999</v>
      </c>
      <c r="X5" s="56">
        <f>Datos!$K$9</f>
        <v>24</v>
      </c>
      <c r="Y5" s="55">
        <f ca="1">IF((W5-Datos!$U$9-1000000)/X5&gt;0,(W5-Datos!$U$9-1000000)/X5,0)</f>
        <v>584702.90494583291</v>
      </c>
      <c r="Z5" s="56">
        <f>Datos!$K$9</f>
        <v>24</v>
      </c>
      <c r="AA5" s="55">
        <f ca="1">IF((W5-Datos!$U$9-1000000-O5*4%*VLOOKUP(TODAY(),'UF HOY'!$A$2:$B$36,2,0))/Z5&gt;0,(W5-Datos!$U$9-1000000-O5*4%*VLOOKUP(TODAY(),'UF HOY'!$A$2:$B$36,2,0))/Z5,0)</f>
        <v>345637.03261249955</v>
      </c>
      <c r="AB5" s="55">
        <f>IF(L5&gt;0,VLOOKUP(D5,Datos!$A$6:$C$10,3,0),VLOOKUP(D5,Datos!$A$6:$C$10,2,0))</f>
        <v>390000</v>
      </c>
      <c r="AC5" s="55">
        <f ca="1">(S5*PMT(Datos!$G$15,Datos!$G$14,-O5,,)*VLOOKUP(TODAY(),'UF HOY'!$A$2:$B$36,2,0)/12)+VLOOKUP(TODAY(),'UF HOY'!$A$2:$B$36,2,0)</f>
        <v>592742.06386047578</v>
      </c>
      <c r="AD5" s="55">
        <f t="shared" ca="1" si="22"/>
        <v>-202742.06386047578</v>
      </c>
      <c r="AE5" s="93">
        <f t="shared" ca="1" si="16"/>
        <v>2370968.2554419031</v>
      </c>
    </row>
    <row r="6" spans="1:31" s="3" customFormat="1" x14ac:dyDescent="0.35">
      <c r="A6" s="94" t="s">
        <v>305</v>
      </c>
      <c r="B6" s="81" t="s">
        <v>338</v>
      </c>
      <c r="C6" s="48" t="s">
        <v>40</v>
      </c>
      <c r="D6" s="48" t="s">
        <v>37</v>
      </c>
      <c r="E6" s="48"/>
      <c r="F6" s="48">
        <v>33.479999999999997</v>
      </c>
      <c r="G6" s="48">
        <v>2.29</v>
      </c>
      <c r="H6" s="82">
        <f t="shared" si="17"/>
        <v>34.625</v>
      </c>
      <c r="I6" s="82">
        <f t="shared" si="18"/>
        <v>35.769999999999996</v>
      </c>
      <c r="J6" s="49">
        <v>3468</v>
      </c>
      <c r="K6" s="50">
        <v>0</v>
      </c>
      <c r="L6" s="81">
        <v>200</v>
      </c>
      <c r="M6" s="48">
        <v>0</v>
      </c>
      <c r="N6" s="49">
        <f t="shared" si="11"/>
        <v>3321.2</v>
      </c>
      <c r="O6" s="108">
        <f t="shared" si="12"/>
        <v>3668</v>
      </c>
      <c r="P6" s="79">
        <f t="shared" si="13"/>
        <v>90.142960288808652</v>
      </c>
      <c r="Q6" s="53">
        <f t="shared" si="14"/>
        <v>9.4500000000000001E-2</v>
      </c>
      <c r="R6" s="54">
        <f t="shared" si="15"/>
        <v>346.8</v>
      </c>
      <c r="S6" s="53">
        <v>0.8</v>
      </c>
      <c r="T6" s="54">
        <f t="shared" si="19"/>
        <v>2934.4</v>
      </c>
      <c r="U6" s="53">
        <f t="shared" si="20"/>
        <v>0.10549999999999993</v>
      </c>
      <c r="V6" s="54">
        <f t="shared" si="21"/>
        <v>386.97399999999971</v>
      </c>
      <c r="W6" s="55">
        <f ca="1">V6*VLOOKUP(TODAY(),'UF HOY'!$A$2:$B$36,2,0)</f>
        <v>15376001.69755999</v>
      </c>
      <c r="X6" s="56">
        <f>Datos!$K$9</f>
        <v>24</v>
      </c>
      <c r="Y6" s="55">
        <f ca="1">IF((W6-Datos!$U$9-1000000)/X6&gt;0,(W6-Datos!$U$9-1000000)/X6,0)</f>
        <v>594833.40406499954</v>
      </c>
      <c r="Z6" s="56">
        <f>Datos!$K$9</f>
        <v>24</v>
      </c>
      <c r="AA6" s="55">
        <f ca="1">IF((W6-Datos!$U$9-1000000-O6*4%*VLOOKUP(TODAY(),'UF HOY'!$A$2:$B$36,2,0))/Z6&gt;0,(W6-Datos!$U$9-1000000-O6*4%*VLOOKUP(TODAY(),'UF HOY'!$A$2:$B$36,2,0))/Z6,0)</f>
        <v>351926.58419833286</v>
      </c>
      <c r="AB6" s="55">
        <f>IF(L6&gt;0,VLOOKUP(D6,Datos!$A$6:$C$10,3,0),VLOOKUP(D6,Datos!$A$6:$C$10,2,0))</f>
        <v>390000</v>
      </c>
      <c r="AC6" s="55">
        <f ca="1">(S6*PMT(Datos!$G$15,Datos!$G$14,-O6,,)*VLOOKUP(TODAY(),'UF HOY'!$A$2:$B$36,2,0)/12)+VLOOKUP(TODAY(),'UF HOY'!$A$2:$B$36,2,0)</f>
        <v>601626.95892527024</v>
      </c>
      <c r="AD6" s="55">
        <f t="shared" ca="1" si="22"/>
        <v>-211626.95892527024</v>
      </c>
      <c r="AE6" s="93">
        <f t="shared" ca="1" si="16"/>
        <v>2406507.835701081</v>
      </c>
    </row>
    <row r="7" spans="1:31" s="3" customFormat="1" x14ac:dyDescent="0.35">
      <c r="A7" s="94" t="s">
        <v>305</v>
      </c>
      <c r="B7" s="81" t="s">
        <v>351</v>
      </c>
      <c r="C7" s="48" t="s">
        <v>41</v>
      </c>
      <c r="D7" s="48" t="s">
        <v>37</v>
      </c>
      <c r="E7" s="48"/>
      <c r="F7" s="48">
        <v>33.520000000000003</v>
      </c>
      <c r="G7" s="48">
        <v>2.29</v>
      </c>
      <c r="H7" s="82">
        <f t="shared" ref="H7:H20" si="23">F7+(G7/2)</f>
        <v>34.665000000000006</v>
      </c>
      <c r="I7" s="82">
        <f t="shared" ref="I7:I20" si="24">F7+G7</f>
        <v>35.81</v>
      </c>
      <c r="J7" s="49">
        <v>3488</v>
      </c>
      <c r="K7" s="50">
        <v>0</v>
      </c>
      <c r="L7" s="81">
        <v>200</v>
      </c>
      <c r="M7" s="48">
        <v>0</v>
      </c>
      <c r="N7" s="49">
        <f t="shared" si="11"/>
        <v>3339.2</v>
      </c>
      <c r="O7" s="108">
        <f t="shared" si="12"/>
        <v>3688</v>
      </c>
      <c r="P7" s="79">
        <f t="shared" si="13"/>
        <v>90.558199913457358</v>
      </c>
      <c r="Q7" s="53">
        <f t="shared" si="14"/>
        <v>9.4600000000000004E-2</v>
      </c>
      <c r="R7" s="54">
        <f t="shared" si="15"/>
        <v>348.8</v>
      </c>
      <c r="S7" s="53">
        <v>0.8</v>
      </c>
      <c r="T7" s="54">
        <f t="shared" ref="T7:T20" si="25">S7*O7</f>
        <v>2950.4</v>
      </c>
      <c r="U7" s="53">
        <f t="shared" ref="U7:U20" si="26">100%-Q7-S7</f>
        <v>0.10539999999999994</v>
      </c>
      <c r="V7" s="54">
        <f t="shared" ref="V7:V20" si="27">O7*U7</f>
        <v>388.71519999999975</v>
      </c>
      <c r="W7" s="55">
        <f ca="1">V7*VLOOKUP(TODAY(),'UF HOY'!$A$2:$B$36,2,0)</f>
        <v>15445186.433887992</v>
      </c>
      <c r="X7" s="56">
        <f>Datos!$K$9</f>
        <v>24</v>
      </c>
      <c r="Y7" s="55">
        <f ca="1">IF((W7-Datos!$U$9-1000000)/X7&gt;0,(W7-Datos!$U$9-1000000)/X7,0)</f>
        <v>597716.10141199967</v>
      </c>
      <c r="Z7" s="56">
        <f>Datos!$K$9</f>
        <v>24</v>
      </c>
      <c r="AA7" s="55">
        <f ca="1">IF((W7-Datos!$U$9-1000000-O7*4%*VLOOKUP(TODAY(),'UF HOY'!$A$2:$B$36,2,0))/Z7&gt;0,(W7-Datos!$U$9-1000000-O7*4%*VLOOKUP(TODAY(),'UF HOY'!$A$2:$B$36,2,0))/Z7,0)</f>
        <v>353484.81687866634</v>
      </c>
      <c r="AB7" s="55">
        <f>IF(L7&gt;0,VLOOKUP(D7,Datos!$A$6:$C$10,3,0),VLOOKUP(D7,Datos!$A$6:$C$10,2,0))</f>
        <v>390000</v>
      </c>
      <c r="AC7" s="55">
        <f ca="1">(S7*PMT(Datos!$G$15,Datos!$G$14,-O7,,)*VLOOKUP(TODAY(),'UF HOY'!$A$2:$B$36,2,0)/12)+VLOOKUP(TODAY(),'UF HOY'!$A$2:$B$36,2,0)</f>
        <v>604690.71584416484</v>
      </c>
      <c r="AD7" s="55">
        <f t="shared" ref="AD7:AD20" ca="1" si="28">AB7-AC7</f>
        <v>-214690.71584416484</v>
      </c>
      <c r="AE7" s="93">
        <f t="shared" ca="1" si="16"/>
        <v>2418762.8633766593</v>
      </c>
    </row>
    <row r="8" spans="1:31" s="3" customFormat="1" x14ac:dyDescent="0.35">
      <c r="A8" s="94" t="s">
        <v>305</v>
      </c>
      <c r="B8" s="81" t="s">
        <v>352</v>
      </c>
      <c r="C8" s="48" t="s">
        <v>36</v>
      </c>
      <c r="D8" s="48" t="s">
        <v>37</v>
      </c>
      <c r="E8" s="48"/>
      <c r="F8" s="48">
        <v>35.03</v>
      </c>
      <c r="G8" s="48">
        <v>2.29</v>
      </c>
      <c r="H8" s="82">
        <f t="shared" si="23"/>
        <v>36.175000000000004</v>
      </c>
      <c r="I8" s="82">
        <f t="shared" si="24"/>
        <v>37.32</v>
      </c>
      <c r="J8" s="49">
        <v>3488</v>
      </c>
      <c r="K8" s="50">
        <v>0</v>
      </c>
      <c r="L8" s="81">
        <v>200</v>
      </c>
      <c r="M8" s="48">
        <v>0</v>
      </c>
      <c r="N8" s="49">
        <f t="shared" si="11"/>
        <v>3339.2</v>
      </c>
      <c r="O8" s="108">
        <f t="shared" si="12"/>
        <v>3688</v>
      </c>
      <c r="P8" s="79">
        <f t="shared" si="13"/>
        <v>86.778161713890796</v>
      </c>
      <c r="Q8" s="53">
        <f t="shared" si="14"/>
        <v>9.4600000000000004E-2</v>
      </c>
      <c r="R8" s="54">
        <f t="shared" si="15"/>
        <v>348.8</v>
      </c>
      <c r="S8" s="53">
        <v>0.8</v>
      </c>
      <c r="T8" s="54">
        <f t="shared" si="25"/>
        <v>2950.4</v>
      </c>
      <c r="U8" s="53">
        <f t="shared" si="26"/>
        <v>0.10539999999999994</v>
      </c>
      <c r="V8" s="54">
        <f t="shared" si="27"/>
        <v>388.71519999999975</v>
      </c>
      <c r="W8" s="55">
        <f ca="1">V8*VLOOKUP(TODAY(),'UF HOY'!$A$2:$B$36,2,0)</f>
        <v>15445186.433887992</v>
      </c>
      <c r="X8" s="56">
        <f>Datos!$K$9</f>
        <v>24</v>
      </c>
      <c r="Y8" s="55">
        <f ca="1">IF((W8-Datos!$U$9-1000000)/X8&gt;0,(W8-Datos!$U$9-1000000)/X8,0)</f>
        <v>597716.10141199967</v>
      </c>
      <c r="Z8" s="56">
        <f>Datos!$K$9</f>
        <v>24</v>
      </c>
      <c r="AA8" s="55">
        <f ca="1">IF((W8-Datos!$U$9-1000000-O8*4%*VLOOKUP(TODAY(),'UF HOY'!$A$2:$B$36,2,0))/Z8&gt;0,(W8-Datos!$U$9-1000000-O8*4%*VLOOKUP(TODAY(),'UF HOY'!$A$2:$B$36,2,0))/Z8,0)</f>
        <v>353484.81687866634</v>
      </c>
      <c r="AB8" s="55">
        <f>IF(L8&gt;0,VLOOKUP(D8,Datos!$A$6:$C$10,3,0),VLOOKUP(D8,Datos!$A$6:$C$10,2,0))</f>
        <v>390000</v>
      </c>
      <c r="AC8" s="55">
        <f ca="1">(S8*PMT(Datos!$G$15,Datos!$G$14,-O8,,)*VLOOKUP(TODAY(),'UF HOY'!$A$2:$B$36,2,0)/12)+VLOOKUP(TODAY(),'UF HOY'!$A$2:$B$36,2,0)</f>
        <v>604690.71584416484</v>
      </c>
      <c r="AD8" s="55">
        <f t="shared" ca="1" si="28"/>
        <v>-214690.71584416484</v>
      </c>
      <c r="AE8" s="93">
        <f t="shared" ca="1" si="16"/>
        <v>2418762.8633766593</v>
      </c>
    </row>
    <row r="9" spans="1:31" s="3" customFormat="1" x14ac:dyDescent="0.35">
      <c r="A9" s="94" t="s">
        <v>305</v>
      </c>
      <c r="B9" s="81" t="s">
        <v>155</v>
      </c>
      <c r="C9" s="48" t="s">
        <v>36</v>
      </c>
      <c r="D9" s="48" t="s">
        <v>37</v>
      </c>
      <c r="E9" s="48"/>
      <c r="F9" s="48">
        <v>33.58</v>
      </c>
      <c r="G9" s="48">
        <v>2.29</v>
      </c>
      <c r="H9" s="82">
        <f t="shared" si="23"/>
        <v>34.725000000000001</v>
      </c>
      <c r="I9" s="82">
        <f t="shared" si="24"/>
        <v>35.869999999999997</v>
      </c>
      <c r="J9" s="49">
        <v>3510</v>
      </c>
      <c r="K9" s="50">
        <v>0</v>
      </c>
      <c r="L9" s="81">
        <v>200</v>
      </c>
      <c r="M9" s="48">
        <v>0</v>
      </c>
      <c r="N9" s="49">
        <f t="shared" si="11"/>
        <v>3359</v>
      </c>
      <c r="O9" s="108">
        <f t="shared" si="12"/>
        <v>3710</v>
      </c>
      <c r="P9" s="79">
        <f t="shared" si="13"/>
        <v>90.971922246220302</v>
      </c>
      <c r="Q9" s="53">
        <f t="shared" si="14"/>
        <v>9.4600000000000004E-2</v>
      </c>
      <c r="R9" s="54">
        <f t="shared" si="15"/>
        <v>351</v>
      </c>
      <c r="S9" s="53">
        <v>0.8</v>
      </c>
      <c r="T9" s="54">
        <f t="shared" si="25"/>
        <v>2968</v>
      </c>
      <c r="U9" s="53">
        <f t="shared" si="26"/>
        <v>0.10539999999999994</v>
      </c>
      <c r="V9" s="54">
        <f t="shared" si="27"/>
        <v>391.03399999999976</v>
      </c>
      <c r="W9" s="55">
        <f ca="1">V9*VLOOKUP(TODAY(),'UF HOY'!$A$2:$B$36,2,0)</f>
        <v>15537321.493959991</v>
      </c>
      <c r="X9" s="56">
        <f>Datos!$K$9</f>
        <v>24</v>
      </c>
      <c r="Y9" s="55">
        <f ca="1">IF((W9-Datos!$U$9-1000000)/X9&gt;0,(W9-Datos!$U$9-1000000)/X9,0)</f>
        <v>601555.06224833301</v>
      </c>
      <c r="Z9" s="56">
        <f>Datos!$K$9</f>
        <v>24</v>
      </c>
      <c r="AA9" s="55">
        <f ca="1">IF((W9-Datos!$U$9-1000000-O9*4%*VLOOKUP(TODAY(),'UF HOY'!$A$2:$B$36,2,0))/Z9&gt;0,(W9-Datos!$U$9-1000000-O9*4%*VLOOKUP(TODAY(),'UF HOY'!$A$2:$B$36,2,0))/Z9,0)</f>
        <v>355866.86658166628</v>
      </c>
      <c r="AB9" s="55">
        <f>IF(L9&gt;0,VLOOKUP(D9,Datos!$A$6:$C$10,3,0),VLOOKUP(D9,Datos!$A$6:$C$10,2,0))</f>
        <v>390000</v>
      </c>
      <c r="AC9" s="55">
        <f ca="1">(S9*PMT(Datos!$G$15,Datos!$G$14,-O9,,)*VLOOKUP(TODAY(),'UF HOY'!$A$2:$B$36,2,0)/12)+VLOOKUP(TODAY(),'UF HOY'!$A$2:$B$36,2,0)</f>
        <v>608060.84845494875</v>
      </c>
      <c r="AD9" s="55">
        <f t="shared" ca="1" si="28"/>
        <v>-218060.84845494875</v>
      </c>
      <c r="AE9" s="93">
        <f t="shared" ca="1" si="16"/>
        <v>2432243.393819795</v>
      </c>
    </row>
    <row r="10" spans="1:31" s="3" customFormat="1" x14ac:dyDescent="0.35">
      <c r="A10" s="94" t="s">
        <v>305</v>
      </c>
      <c r="B10" s="81" t="s">
        <v>282</v>
      </c>
      <c r="C10" s="48" t="s">
        <v>38</v>
      </c>
      <c r="D10" s="48" t="s">
        <v>37</v>
      </c>
      <c r="E10" s="48"/>
      <c r="F10" s="48">
        <v>33.14</v>
      </c>
      <c r="G10" s="48">
        <v>28.29</v>
      </c>
      <c r="H10" s="82">
        <f t="shared" si="23"/>
        <v>47.284999999999997</v>
      </c>
      <c r="I10" s="82">
        <f t="shared" si="24"/>
        <v>61.43</v>
      </c>
      <c r="J10" s="49">
        <v>3520</v>
      </c>
      <c r="K10" s="50">
        <v>0</v>
      </c>
      <c r="L10" s="81">
        <v>200</v>
      </c>
      <c r="M10" s="48">
        <v>0</v>
      </c>
      <c r="N10" s="49">
        <f t="shared" si="11"/>
        <v>3368</v>
      </c>
      <c r="O10" s="108">
        <f t="shared" si="12"/>
        <v>3720</v>
      </c>
      <c r="P10" s="79">
        <f t="shared" si="13"/>
        <v>66.99799090620705</v>
      </c>
      <c r="Q10" s="53">
        <f t="shared" si="14"/>
        <v>9.4600000000000004E-2</v>
      </c>
      <c r="R10" s="54">
        <f t="shared" si="15"/>
        <v>352</v>
      </c>
      <c r="S10" s="53">
        <v>0.8</v>
      </c>
      <c r="T10" s="54">
        <f t="shared" si="25"/>
        <v>2976</v>
      </c>
      <c r="U10" s="53">
        <f t="shared" si="26"/>
        <v>0.10539999999999994</v>
      </c>
      <c r="V10" s="54">
        <f t="shared" si="27"/>
        <v>392.08799999999979</v>
      </c>
      <c r="W10" s="55">
        <f ca="1">V10*VLOOKUP(TODAY(),'UF HOY'!$A$2:$B$36,2,0)</f>
        <v>15579201.066719992</v>
      </c>
      <c r="X10" s="56">
        <f>Datos!$K$9</f>
        <v>24</v>
      </c>
      <c r="Y10" s="55">
        <f ca="1">IF((W10-Datos!$U$9-1000000)/X10&gt;0,(W10-Datos!$U$9-1000000)/X10,0)</f>
        <v>603300.04444666638</v>
      </c>
      <c r="Z10" s="56">
        <f>Datos!$K$9</f>
        <v>24</v>
      </c>
      <c r="AA10" s="55">
        <f ca="1">IF((W10-Datos!$U$9-1000000-O10*4%*VLOOKUP(TODAY(),'UF HOY'!$A$2:$B$36,2,0))/Z10&gt;0,(W10-Datos!$U$9-1000000-O10*4%*VLOOKUP(TODAY(),'UF HOY'!$A$2:$B$36,2,0))/Z10,0)</f>
        <v>356949.61644666624</v>
      </c>
      <c r="AB10" s="55">
        <f>IF(L10&gt;0,VLOOKUP(D10,Datos!$A$6:$C$10,3,0),VLOOKUP(D10,Datos!$A$6:$C$10,2,0))</f>
        <v>390000</v>
      </c>
      <c r="AC10" s="55">
        <f ca="1">(S10*PMT(Datos!$G$15,Datos!$G$14,-O10,,)*VLOOKUP(TODAY(),'UF HOY'!$A$2:$B$36,2,0)/12)+VLOOKUP(TODAY(),'UF HOY'!$A$2:$B$36,2,0)</f>
        <v>609592.72691439604</v>
      </c>
      <c r="AD10" s="55">
        <f t="shared" ca="1" si="28"/>
        <v>-219592.72691439604</v>
      </c>
      <c r="AE10" s="93">
        <f t="shared" ca="1" si="16"/>
        <v>2438370.9076575842</v>
      </c>
    </row>
    <row r="11" spans="1:31" s="3" customFormat="1" x14ac:dyDescent="0.35">
      <c r="A11" s="94" t="s">
        <v>305</v>
      </c>
      <c r="B11" s="81" t="s">
        <v>219</v>
      </c>
      <c r="C11" s="48" t="s">
        <v>36</v>
      </c>
      <c r="D11" s="48" t="s">
        <v>37</v>
      </c>
      <c r="E11" s="48"/>
      <c r="F11" s="48">
        <v>32.76</v>
      </c>
      <c r="G11" s="48">
        <v>2.29</v>
      </c>
      <c r="H11" s="82">
        <f t="shared" si="23"/>
        <v>33.905000000000001</v>
      </c>
      <c r="I11" s="82">
        <f t="shared" si="24"/>
        <v>35.049999999999997</v>
      </c>
      <c r="J11" s="49">
        <v>3525</v>
      </c>
      <c r="K11" s="50">
        <v>0</v>
      </c>
      <c r="L11" s="81">
        <v>200</v>
      </c>
      <c r="M11" s="48">
        <v>0</v>
      </c>
      <c r="N11" s="49">
        <f t="shared" si="11"/>
        <v>3372.5</v>
      </c>
      <c r="O11" s="108">
        <f t="shared" si="12"/>
        <v>3725</v>
      </c>
      <c r="P11" s="79">
        <f t="shared" si="13"/>
        <v>93.570269871700333</v>
      </c>
      <c r="Q11" s="53">
        <f t="shared" si="14"/>
        <v>9.4600000000000004E-2</v>
      </c>
      <c r="R11" s="54">
        <f t="shared" si="15"/>
        <v>352.5</v>
      </c>
      <c r="S11" s="53">
        <v>0.8</v>
      </c>
      <c r="T11" s="54">
        <f t="shared" si="25"/>
        <v>2980</v>
      </c>
      <c r="U11" s="53">
        <f t="shared" si="26"/>
        <v>0.10539999999999994</v>
      </c>
      <c r="V11" s="54">
        <f t="shared" si="27"/>
        <v>392.61499999999978</v>
      </c>
      <c r="W11" s="55">
        <f ca="1">V11*VLOOKUP(TODAY(),'UF HOY'!$A$2:$B$36,2,0)</f>
        <v>15600140.853099992</v>
      </c>
      <c r="X11" s="56">
        <f>Datos!$K$9</f>
        <v>24</v>
      </c>
      <c r="Y11" s="55">
        <f ca="1">IF((W11-Datos!$U$9-1000000)/X11&gt;0,(W11-Datos!$U$9-1000000)/X11,0)</f>
        <v>604172.53554583306</v>
      </c>
      <c r="Z11" s="56">
        <f>Datos!$K$9</f>
        <v>24</v>
      </c>
      <c r="AA11" s="55">
        <f ca="1">IF((W11-Datos!$U$9-1000000-O11*4%*VLOOKUP(TODAY(),'UF HOY'!$A$2:$B$36,2,0))/Z11&gt;0,(W11-Datos!$U$9-1000000-O11*4%*VLOOKUP(TODAY(),'UF HOY'!$A$2:$B$36,2,0))/Z11,0)</f>
        <v>357490.99137916631</v>
      </c>
      <c r="AB11" s="55">
        <f>IF(L11&gt;0,VLOOKUP(D11,Datos!$A$6:$C$10,3,0),VLOOKUP(D11,Datos!$A$6:$C$10,2,0))</f>
        <v>390000</v>
      </c>
      <c r="AC11" s="55">
        <f ca="1">(S11*PMT(Datos!$G$15,Datos!$G$14,-O11,,)*VLOOKUP(TODAY(),'UF HOY'!$A$2:$B$36,2,0)/12)+VLOOKUP(TODAY(),'UF HOY'!$A$2:$B$36,2,0)</f>
        <v>610358.66614411981</v>
      </c>
      <c r="AD11" s="55">
        <f t="shared" ca="1" si="28"/>
        <v>-220358.66614411981</v>
      </c>
      <c r="AE11" s="93">
        <f t="shared" ca="1" si="16"/>
        <v>2441434.6645764792</v>
      </c>
    </row>
    <row r="12" spans="1:31" s="3" customFormat="1" hidden="1" x14ac:dyDescent="0.35">
      <c r="A12" s="94" t="s">
        <v>342</v>
      </c>
      <c r="B12" s="81" t="s">
        <v>234</v>
      </c>
      <c r="C12" s="48" t="s">
        <v>41</v>
      </c>
      <c r="D12" s="48" t="s">
        <v>37</v>
      </c>
      <c r="E12" s="48"/>
      <c r="F12" s="48">
        <v>32.76</v>
      </c>
      <c r="G12" s="48">
        <v>2.29</v>
      </c>
      <c r="H12" s="82">
        <f t="shared" ref="H12:H15" si="29">F12+(G12/2)</f>
        <v>33.905000000000001</v>
      </c>
      <c r="I12" s="82">
        <f t="shared" ref="I12:I15" si="30">F12+G12</f>
        <v>35.049999999999997</v>
      </c>
      <c r="J12" s="49">
        <v>3530</v>
      </c>
      <c r="K12" s="50">
        <v>0</v>
      </c>
      <c r="L12" s="81">
        <v>200</v>
      </c>
      <c r="M12" s="48">
        <v>0</v>
      </c>
      <c r="N12" s="49">
        <f t="shared" ref="N12:N15" si="31">O12-R12</f>
        <v>3377</v>
      </c>
      <c r="O12" s="108">
        <f t="shared" ref="O12:O15" si="32">J12*(100%-K12)+L12+M12</f>
        <v>3730</v>
      </c>
      <c r="P12" s="79">
        <f t="shared" ref="P12:P15" si="33">(N12-L12-M12)/H12</f>
        <v>93.702993658752391</v>
      </c>
      <c r="Q12" s="53">
        <f t="shared" ref="Q12:Q15" si="34">IF((O12-N12)/O12&gt;10%,10%,ROUND(IF(O12&gt;N12,(O12-N12)/O12,0),4))</f>
        <v>9.4600000000000004E-2</v>
      </c>
      <c r="R12" s="54">
        <f t="shared" ref="R12:R15" si="35">(J12-J12*K12)*0.1</f>
        <v>353</v>
      </c>
      <c r="S12" s="53">
        <v>0.8</v>
      </c>
      <c r="T12" s="54">
        <f t="shared" ref="T12:T15" si="36">S12*O12</f>
        <v>2984</v>
      </c>
      <c r="U12" s="53">
        <f t="shared" ref="U12:U15" si="37">100%-Q12-S12</f>
        <v>0.10539999999999994</v>
      </c>
      <c r="V12" s="54">
        <f t="shared" ref="V12:V15" si="38">O12*U12</f>
        <v>393.14199999999977</v>
      </c>
      <c r="W12" s="55">
        <f ca="1">V12*VLOOKUP(TODAY(),'UF HOY'!$A$2:$B$36,2,0)</f>
        <v>15621080.639479991</v>
      </c>
      <c r="X12" s="56">
        <f>Datos!$K$9</f>
        <v>24</v>
      </c>
      <c r="Y12" s="55">
        <f ca="1">IF((W12-Datos!$U$9-1000000)/X12&gt;0,(W12-Datos!$U$9-1000000)/X12,0)</f>
        <v>605045.02664499963</v>
      </c>
      <c r="Z12" s="56">
        <f>Datos!$K$9</f>
        <v>24</v>
      </c>
      <c r="AA12" s="55">
        <f ca="1">IF((W12-Datos!$U$9-1000000-O12*4%*VLOOKUP(TODAY(),'UF HOY'!$A$2:$B$36,2,0))/Z12&gt;0,(W12-Datos!$U$9-1000000-O12*4%*VLOOKUP(TODAY(),'UF HOY'!$A$2:$B$36,2,0))/Z12,0)</f>
        <v>358032.36631166626</v>
      </c>
      <c r="AB12" s="55">
        <f>IF(L12&gt;0,VLOOKUP(D12,Datos!$A$6:$C$10,3,0),VLOOKUP(D12,Datos!$A$6:$C$10,2,0))</f>
        <v>390000</v>
      </c>
      <c r="AC12" s="55">
        <f ca="1">(S12*PMT(Datos!$G$15,Datos!$G$14,-O12,,)*VLOOKUP(TODAY(),'UF HOY'!$A$2:$B$36,2,0)/12)+VLOOKUP(TODAY(),'UF HOY'!$A$2:$B$36,2,0)</f>
        <v>611124.60537384334</v>
      </c>
      <c r="AD12" s="55">
        <f t="shared" ref="AD12:AD15" ca="1" si="39">AB12-AC12</f>
        <v>-221124.60537384334</v>
      </c>
      <c r="AE12" s="93">
        <f t="shared" ca="1" si="16"/>
        <v>2444498.4214953734</v>
      </c>
    </row>
    <row r="13" spans="1:31" s="3" customFormat="1" x14ac:dyDescent="0.35">
      <c r="A13" s="94" t="s">
        <v>305</v>
      </c>
      <c r="B13" s="81" t="s">
        <v>210</v>
      </c>
      <c r="C13" s="48" t="s">
        <v>40</v>
      </c>
      <c r="D13" s="48" t="s">
        <v>37</v>
      </c>
      <c r="E13" s="48"/>
      <c r="F13" s="48">
        <v>33.479999999999997</v>
      </c>
      <c r="G13" s="48">
        <v>2.29</v>
      </c>
      <c r="H13" s="82">
        <f t="shared" si="29"/>
        <v>34.625</v>
      </c>
      <c r="I13" s="82">
        <f t="shared" si="30"/>
        <v>35.769999999999996</v>
      </c>
      <c r="J13" s="49">
        <v>3535</v>
      </c>
      <c r="K13" s="50">
        <v>0</v>
      </c>
      <c r="L13" s="81">
        <v>200</v>
      </c>
      <c r="M13" s="48">
        <v>0</v>
      </c>
      <c r="N13" s="49">
        <f t="shared" si="31"/>
        <v>3381.5</v>
      </c>
      <c r="O13" s="108">
        <f t="shared" si="32"/>
        <v>3735</v>
      </c>
      <c r="P13" s="79">
        <f t="shared" si="33"/>
        <v>91.884476534296027</v>
      </c>
      <c r="Q13" s="53">
        <f t="shared" si="34"/>
        <v>9.4600000000000004E-2</v>
      </c>
      <c r="R13" s="54">
        <f t="shared" si="35"/>
        <v>353.5</v>
      </c>
      <c r="S13" s="53">
        <v>0.8</v>
      </c>
      <c r="T13" s="54">
        <f t="shared" si="36"/>
        <v>2988</v>
      </c>
      <c r="U13" s="53">
        <f t="shared" si="37"/>
        <v>0.10539999999999994</v>
      </c>
      <c r="V13" s="54">
        <f t="shared" si="38"/>
        <v>393.66899999999976</v>
      </c>
      <c r="W13" s="55">
        <f ca="1">V13*VLOOKUP(TODAY(),'UF HOY'!$A$2:$B$36,2,0)</f>
        <v>15642020.425859991</v>
      </c>
      <c r="X13" s="56">
        <f>Datos!$K$9</f>
        <v>24</v>
      </c>
      <c r="Y13" s="55">
        <f ca="1">IF((W13-Datos!$U$9-1000000)/X13&gt;0,(W13-Datos!$U$9-1000000)/X13,0)</f>
        <v>605917.51774416631</v>
      </c>
      <c r="Z13" s="56">
        <f>Datos!$K$9</f>
        <v>24</v>
      </c>
      <c r="AA13" s="55">
        <f ca="1">IF((W13-Datos!$U$9-1000000-O13*4%*VLOOKUP(TODAY(),'UF HOY'!$A$2:$B$36,2,0))/Z13&gt;0,(W13-Datos!$U$9-1000000-O13*4%*VLOOKUP(TODAY(),'UF HOY'!$A$2:$B$36,2,0))/Z13,0)</f>
        <v>358573.74124416633</v>
      </c>
      <c r="AB13" s="55">
        <f>IF(L13&gt;0,VLOOKUP(D13,Datos!$A$6:$C$10,3,0),VLOOKUP(D13,Datos!$A$6:$C$10,2,0))</f>
        <v>390000</v>
      </c>
      <c r="AC13" s="55">
        <f ca="1">(S13*PMT(Datos!$G$15,Datos!$G$14,-O13,,)*VLOOKUP(TODAY(),'UF HOY'!$A$2:$B$36,2,0)/12)+VLOOKUP(TODAY(),'UF HOY'!$A$2:$B$36,2,0)</f>
        <v>611890.5446035671</v>
      </c>
      <c r="AD13" s="55">
        <f t="shared" ca="1" si="39"/>
        <v>-221890.5446035671</v>
      </c>
      <c r="AE13" s="93">
        <f t="shared" ca="1" si="16"/>
        <v>2447562.1784142684</v>
      </c>
    </row>
    <row r="14" spans="1:31" s="3" customFormat="1" hidden="1" x14ac:dyDescent="0.35">
      <c r="A14" s="94" t="s">
        <v>355</v>
      </c>
      <c r="B14" s="81" t="s">
        <v>356</v>
      </c>
      <c r="C14" s="48" t="s">
        <v>41</v>
      </c>
      <c r="D14" s="48" t="s">
        <v>37</v>
      </c>
      <c r="E14" s="48"/>
      <c r="F14" s="48">
        <v>32.76</v>
      </c>
      <c r="G14" s="48">
        <v>2.29</v>
      </c>
      <c r="H14" s="82">
        <f t="shared" si="29"/>
        <v>33.905000000000001</v>
      </c>
      <c r="I14" s="82">
        <f t="shared" si="30"/>
        <v>35.049999999999997</v>
      </c>
      <c r="J14" s="49">
        <v>3500</v>
      </c>
      <c r="K14" s="306">
        <v>0.02</v>
      </c>
      <c r="L14" s="307">
        <v>240</v>
      </c>
      <c r="M14" s="48">
        <v>0</v>
      </c>
      <c r="N14" s="49">
        <f t="shared" si="31"/>
        <v>3327</v>
      </c>
      <c r="O14" s="108">
        <f t="shared" si="32"/>
        <v>3670</v>
      </c>
      <c r="P14" s="79">
        <f t="shared" si="33"/>
        <v>91.048517917711251</v>
      </c>
      <c r="Q14" s="53">
        <f t="shared" si="34"/>
        <v>9.35E-2</v>
      </c>
      <c r="R14" s="54">
        <f t="shared" si="35"/>
        <v>343</v>
      </c>
      <c r="S14" s="53">
        <v>0.8</v>
      </c>
      <c r="T14" s="54">
        <f t="shared" si="36"/>
        <v>2936</v>
      </c>
      <c r="U14" s="53">
        <f t="shared" si="37"/>
        <v>0.10649999999999993</v>
      </c>
      <c r="V14" s="54">
        <f t="shared" si="38"/>
        <v>390.85499999999973</v>
      </c>
      <c r="W14" s="55">
        <f ca="1">V14*VLOOKUP(TODAY(),'UF HOY'!$A$2:$B$36,2,0)</f>
        <v>15530209.11869999</v>
      </c>
      <c r="X14" s="56">
        <f>Datos!$K$9</f>
        <v>24</v>
      </c>
      <c r="Y14" s="55">
        <f ca="1">IF((W14-Datos!$U$9-1000000)/X14&gt;0,(W14-Datos!$U$9-1000000)/X14,0)</f>
        <v>601258.71327916626</v>
      </c>
      <c r="Z14" s="56">
        <f>Datos!$K$9</f>
        <v>24</v>
      </c>
      <c r="AA14" s="55">
        <f ca="1">IF((W14-Datos!$U$9-1000000-O14*4%*VLOOKUP(TODAY(),'UF HOY'!$A$2:$B$36,2,0))/Z14&gt;0,(W14-Datos!$U$9-1000000-O14*4%*VLOOKUP(TODAY(),'UF HOY'!$A$2:$B$36,2,0))/Z14,0)</f>
        <v>358219.44694583287</v>
      </c>
      <c r="AB14" s="55">
        <f>IF(L14&gt;0,VLOOKUP(D14,Datos!$A$6:$C$10,3,0),VLOOKUP(D14,Datos!$A$6:$C$10,2,0))</f>
        <v>390000</v>
      </c>
      <c r="AC14" s="55">
        <f ca="1">(S14*PMT(Datos!$G$15,Datos!$G$14,-O14,,)*VLOOKUP(TODAY(),'UF HOY'!$A$2:$B$36,2,0)/12)+VLOOKUP(TODAY(),'UF HOY'!$A$2:$B$36,2,0)</f>
        <v>601933.33461715956</v>
      </c>
      <c r="AD14" s="55">
        <f t="shared" ca="1" si="39"/>
        <v>-211933.33461715956</v>
      </c>
      <c r="AE14" s="93">
        <f t="shared" ref="AE14:AE15" ca="1" si="40">IF((AC14/0.25)&lt;=1600000,1600000,(AC14/0.25))</f>
        <v>2407733.3384686382</v>
      </c>
    </row>
    <row r="15" spans="1:31" s="3" customFormat="1" hidden="1" x14ac:dyDescent="0.35">
      <c r="A15" s="94" t="s">
        <v>355</v>
      </c>
      <c r="B15" s="81" t="s">
        <v>357</v>
      </c>
      <c r="C15" s="48" t="s">
        <v>40</v>
      </c>
      <c r="D15" s="48" t="s">
        <v>37</v>
      </c>
      <c r="E15" s="48"/>
      <c r="F15" s="48">
        <v>32.76</v>
      </c>
      <c r="G15" s="48">
        <v>2.29</v>
      </c>
      <c r="H15" s="82">
        <f t="shared" si="29"/>
        <v>33.905000000000001</v>
      </c>
      <c r="I15" s="82">
        <f t="shared" si="30"/>
        <v>35.049999999999997</v>
      </c>
      <c r="J15" s="49">
        <v>3520</v>
      </c>
      <c r="K15" s="306">
        <v>0.02</v>
      </c>
      <c r="L15" s="307">
        <v>180</v>
      </c>
      <c r="M15" s="48">
        <v>0</v>
      </c>
      <c r="N15" s="49">
        <f t="shared" si="31"/>
        <v>3284.64</v>
      </c>
      <c r="O15" s="108">
        <f t="shared" si="32"/>
        <v>3629.6</v>
      </c>
      <c r="P15" s="79">
        <f t="shared" si="33"/>
        <v>91.568795162955311</v>
      </c>
      <c r="Q15" s="53">
        <f t="shared" si="34"/>
        <v>9.5000000000000001E-2</v>
      </c>
      <c r="R15" s="54">
        <f t="shared" si="35"/>
        <v>344.96000000000004</v>
      </c>
      <c r="S15" s="53">
        <v>0.8</v>
      </c>
      <c r="T15" s="54">
        <f t="shared" si="36"/>
        <v>2903.6800000000003</v>
      </c>
      <c r="U15" s="53">
        <f t="shared" si="37"/>
        <v>0.10499999999999998</v>
      </c>
      <c r="V15" s="54">
        <f t="shared" si="38"/>
        <v>381.10799999999995</v>
      </c>
      <c r="W15" s="55">
        <f ca="1">V15*VLOOKUP(TODAY(),'UF HOY'!$A$2:$B$36,2,0)</f>
        <v>15142922.40552</v>
      </c>
      <c r="X15" s="56">
        <f>Datos!$K$9</f>
        <v>24</v>
      </c>
      <c r="Y15" s="55">
        <f ca="1">IF((W15-Datos!$U$9-1000000)/X15&gt;0,(W15-Datos!$U$9-1000000)/X15,0)</f>
        <v>585121.76689666661</v>
      </c>
      <c r="Z15" s="56">
        <f>Datos!$K$9</f>
        <v>24</v>
      </c>
      <c r="AA15" s="55">
        <f ca="1">IF((W15-Datos!$U$9-1000000-O15*4%*VLOOKUP(TODAY(),'UF HOY'!$A$2:$B$36,2,0))/Z15&gt;0,(W15-Datos!$U$9-1000000-O15*4%*VLOOKUP(TODAY(),'UF HOY'!$A$2:$B$36,2,0))/Z15,0)</f>
        <v>344757.91918999999</v>
      </c>
      <c r="AB15" s="55">
        <f>IF(L15&gt;0,VLOOKUP(D15,Datos!$A$6:$C$10,3,0),VLOOKUP(D15,Datos!$A$6:$C$10,2,0))</f>
        <v>390000</v>
      </c>
      <c r="AC15" s="55">
        <f ca="1">(S15*PMT(Datos!$G$15,Datos!$G$14,-O15,,)*VLOOKUP(TODAY(),'UF HOY'!$A$2:$B$36,2,0)/12)+VLOOKUP(TODAY(),'UF HOY'!$A$2:$B$36,2,0)</f>
        <v>595744.54564099247</v>
      </c>
      <c r="AD15" s="55">
        <f t="shared" ca="1" si="39"/>
        <v>-205744.54564099247</v>
      </c>
      <c r="AE15" s="93">
        <f t="shared" ca="1" si="40"/>
        <v>2382978.1825639699</v>
      </c>
    </row>
    <row r="16" spans="1:31" s="3" customFormat="1" hidden="1" x14ac:dyDescent="0.35">
      <c r="A16" s="94" t="s">
        <v>355</v>
      </c>
      <c r="B16" s="81" t="s">
        <v>359</v>
      </c>
      <c r="C16" s="48" t="s">
        <v>40</v>
      </c>
      <c r="D16" s="48" t="s">
        <v>37</v>
      </c>
      <c r="E16" s="48"/>
      <c r="F16" s="48">
        <v>32.76</v>
      </c>
      <c r="G16" s="48">
        <v>2.29</v>
      </c>
      <c r="H16" s="82">
        <f t="shared" si="23"/>
        <v>33.905000000000001</v>
      </c>
      <c r="I16" s="82">
        <f t="shared" si="24"/>
        <v>35.049999999999997</v>
      </c>
      <c r="J16" s="49">
        <v>3530</v>
      </c>
      <c r="K16" s="306">
        <v>0.02</v>
      </c>
      <c r="L16" s="307">
        <v>240</v>
      </c>
      <c r="M16" s="48">
        <v>0</v>
      </c>
      <c r="N16" s="49">
        <f t="shared" si="11"/>
        <v>3353.46</v>
      </c>
      <c r="O16" s="108">
        <f t="shared" si="12"/>
        <v>3699.4</v>
      </c>
      <c r="P16" s="79">
        <f t="shared" si="13"/>
        <v>91.828933785577348</v>
      </c>
      <c r="Q16" s="53">
        <f t="shared" si="14"/>
        <v>9.35E-2</v>
      </c>
      <c r="R16" s="54">
        <f t="shared" si="15"/>
        <v>345.94000000000005</v>
      </c>
      <c r="S16" s="53">
        <v>0.8</v>
      </c>
      <c r="T16" s="54">
        <f t="shared" si="25"/>
        <v>2959.5200000000004</v>
      </c>
      <c r="U16" s="53">
        <f t="shared" si="26"/>
        <v>0.10649999999999993</v>
      </c>
      <c r="V16" s="54">
        <f t="shared" si="27"/>
        <v>393.98609999999974</v>
      </c>
      <c r="W16" s="55">
        <f ca="1">V16*VLOOKUP(TODAY(),'UF HOY'!$A$2:$B$36,2,0)</f>
        <v>15654620.058233991</v>
      </c>
      <c r="X16" s="56">
        <f>Datos!$K$9</f>
        <v>24</v>
      </c>
      <c r="Y16" s="55">
        <f ca="1">IF((W16-Datos!$U$9-1000000)/X16&gt;0,(W16-Datos!$U$9-1000000)/X16,0)</f>
        <v>606442.50242641626</v>
      </c>
      <c r="Z16" s="56">
        <f>Datos!$K$9</f>
        <v>24</v>
      </c>
      <c r="AA16" s="55">
        <f ca="1">IF((W16-Datos!$U$9-1000000-O16*4%*VLOOKUP(TODAY(),'UF HOY'!$A$2:$B$36,2,0))/Z16&gt;0,(W16-Datos!$U$9-1000000-O16*4%*VLOOKUP(TODAY(),'UF HOY'!$A$2:$B$36,2,0))/Z16,0)</f>
        <v>361456.27303308295</v>
      </c>
      <c r="AB16" s="55">
        <f>IF(L16&gt;0,VLOOKUP(D16,Datos!$A$6:$C$10,3,0),VLOOKUP(D16,Datos!$A$6:$C$10,2,0))</f>
        <v>390000</v>
      </c>
      <c r="AC16" s="55">
        <f ca="1">(S16*PMT(Datos!$G$15,Datos!$G$14,-O16,,)*VLOOKUP(TODAY(),'UF HOY'!$A$2:$B$36,2,0)/12)+VLOOKUP(TODAY(),'UF HOY'!$A$2:$B$36,2,0)</f>
        <v>606437.0572879347</v>
      </c>
      <c r="AD16" s="55">
        <f t="shared" ca="1" si="28"/>
        <v>-216437.0572879347</v>
      </c>
      <c r="AE16" s="93">
        <f t="shared" ca="1" si="16"/>
        <v>2425748.2291517388</v>
      </c>
    </row>
    <row r="17" spans="1:31" s="3" customFormat="1" hidden="1" x14ac:dyDescent="0.35">
      <c r="A17" s="94" t="s">
        <v>355</v>
      </c>
      <c r="B17" s="81" t="s">
        <v>360</v>
      </c>
      <c r="C17" s="48" t="s">
        <v>40</v>
      </c>
      <c r="D17" s="48" t="s">
        <v>37</v>
      </c>
      <c r="E17" s="48"/>
      <c r="F17" s="48">
        <v>32.76</v>
      </c>
      <c r="G17" s="48">
        <v>2.29</v>
      </c>
      <c r="H17" s="82">
        <f t="shared" si="23"/>
        <v>33.905000000000001</v>
      </c>
      <c r="I17" s="82">
        <f t="shared" si="24"/>
        <v>35.049999999999997</v>
      </c>
      <c r="J17" s="49">
        <v>3530</v>
      </c>
      <c r="K17" s="306">
        <v>0.02</v>
      </c>
      <c r="L17" s="307">
        <v>240</v>
      </c>
      <c r="M17" s="48">
        <v>0</v>
      </c>
      <c r="N17" s="49">
        <f t="shared" si="11"/>
        <v>3353.46</v>
      </c>
      <c r="O17" s="108">
        <f t="shared" si="12"/>
        <v>3699.4</v>
      </c>
      <c r="P17" s="79">
        <f t="shared" si="13"/>
        <v>91.828933785577348</v>
      </c>
      <c r="Q17" s="53">
        <f t="shared" si="14"/>
        <v>9.35E-2</v>
      </c>
      <c r="R17" s="54">
        <f t="shared" si="15"/>
        <v>345.94000000000005</v>
      </c>
      <c r="S17" s="53">
        <v>0.8</v>
      </c>
      <c r="T17" s="54">
        <f t="shared" si="25"/>
        <v>2959.5200000000004</v>
      </c>
      <c r="U17" s="53">
        <f t="shared" si="26"/>
        <v>0.10649999999999993</v>
      </c>
      <c r="V17" s="54">
        <f t="shared" si="27"/>
        <v>393.98609999999974</v>
      </c>
      <c r="W17" s="55">
        <f ca="1">V17*VLOOKUP(TODAY(),'UF HOY'!$A$2:$B$36,2,0)</f>
        <v>15654620.058233991</v>
      </c>
      <c r="X17" s="56">
        <f>Datos!$K$9</f>
        <v>24</v>
      </c>
      <c r="Y17" s="55">
        <f ca="1">IF((W17-Datos!$U$9-1000000)/X17&gt;0,(W17-Datos!$U$9-1000000)/X17,0)</f>
        <v>606442.50242641626</v>
      </c>
      <c r="Z17" s="56">
        <f>Datos!$K$9</f>
        <v>24</v>
      </c>
      <c r="AA17" s="55">
        <f ca="1">IF((W17-Datos!$U$9-1000000-O17*4%*VLOOKUP(TODAY(),'UF HOY'!$A$2:$B$36,2,0))/Z17&gt;0,(W17-Datos!$U$9-1000000-O17*4%*VLOOKUP(TODAY(),'UF HOY'!$A$2:$B$36,2,0))/Z17,0)</f>
        <v>361456.27303308295</v>
      </c>
      <c r="AB17" s="55">
        <f>IF(L17&gt;0,VLOOKUP(D17,Datos!$A$6:$C$10,3,0),VLOOKUP(D17,Datos!$A$6:$C$10,2,0))</f>
        <v>390000</v>
      </c>
      <c r="AC17" s="55">
        <f ca="1">(S17*PMT(Datos!$G$15,Datos!$G$14,-O17,,)*VLOOKUP(TODAY(),'UF HOY'!$A$2:$B$36,2,0)/12)+VLOOKUP(TODAY(),'UF HOY'!$A$2:$B$36,2,0)</f>
        <v>606437.0572879347</v>
      </c>
      <c r="AD17" s="55">
        <f t="shared" ca="1" si="28"/>
        <v>-216437.0572879347</v>
      </c>
      <c r="AE17" s="93">
        <f t="shared" ca="1" si="16"/>
        <v>2425748.2291517388</v>
      </c>
    </row>
    <row r="18" spans="1:31" s="3" customFormat="1" x14ac:dyDescent="0.35">
      <c r="A18" s="94" t="s">
        <v>305</v>
      </c>
      <c r="B18" s="81" t="s">
        <v>276</v>
      </c>
      <c r="C18" s="48" t="s">
        <v>40</v>
      </c>
      <c r="D18" s="48" t="s">
        <v>37</v>
      </c>
      <c r="E18" s="48"/>
      <c r="F18" s="48">
        <v>32.89</v>
      </c>
      <c r="G18" s="48">
        <v>2.29</v>
      </c>
      <c r="H18" s="82">
        <f t="shared" si="23"/>
        <v>34.035000000000004</v>
      </c>
      <c r="I18" s="82">
        <f t="shared" si="24"/>
        <v>35.18</v>
      </c>
      <c r="J18" s="49">
        <v>3540</v>
      </c>
      <c r="K18" s="50">
        <v>0</v>
      </c>
      <c r="L18" s="81">
        <v>200</v>
      </c>
      <c r="M18" s="48">
        <v>0</v>
      </c>
      <c r="N18" s="49">
        <f t="shared" si="11"/>
        <v>3386</v>
      </c>
      <c r="O18" s="108">
        <f t="shared" si="12"/>
        <v>3740</v>
      </c>
      <c r="P18" s="79">
        <f t="shared" si="13"/>
        <v>93.609519612163936</v>
      </c>
      <c r="Q18" s="53">
        <f t="shared" si="14"/>
        <v>9.4700000000000006E-2</v>
      </c>
      <c r="R18" s="54">
        <f t="shared" si="15"/>
        <v>354</v>
      </c>
      <c r="S18" s="53">
        <v>0.8</v>
      </c>
      <c r="T18" s="54">
        <f t="shared" si="25"/>
        <v>2992</v>
      </c>
      <c r="U18" s="53">
        <f t="shared" si="26"/>
        <v>0.10529999999999995</v>
      </c>
      <c r="V18" s="54">
        <f t="shared" si="27"/>
        <v>393.82199999999983</v>
      </c>
      <c r="W18" s="55">
        <f ca="1">V18*VLOOKUP(TODAY(),'UF HOY'!$A$2:$B$36,2,0)</f>
        <v>15648099.718679994</v>
      </c>
      <c r="X18" s="56">
        <f>Datos!$K$9</f>
        <v>24</v>
      </c>
      <c r="Y18" s="55">
        <f ca="1">IF((W18-Datos!$U$9-1000000)/X18&gt;0,(W18-Datos!$U$9-1000000)/X18,0)</f>
        <v>606170.82161166647</v>
      </c>
      <c r="Z18" s="56">
        <f>Datos!$K$9</f>
        <v>24</v>
      </c>
      <c r="AA18" s="55">
        <f ca="1">IF((W18-Datos!$U$9-1000000-O18*4%*VLOOKUP(TODAY(),'UF HOY'!$A$2:$B$36,2,0))/Z18&gt;0,(W18-Datos!$U$9-1000000-O18*4%*VLOOKUP(TODAY(),'UF HOY'!$A$2:$B$36,2,0))/Z18,0)</f>
        <v>358495.92894499976</v>
      </c>
      <c r="AB18" s="55">
        <f>IF(L18&gt;0,VLOOKUP(D18,Datos!$A$6:$C$10,3,0),VLOOKUP(D18,Datos!$A$6:$C$10,2,0))</f>
        <v>390000</v>
      </c>
      <c r="AC18" s="55">
        <f ca="1">(S18*PMT(Datos!$G$15,Datos!$G$14,-O18,,)*VLOOKUP(TODAY(),'UF HOY'!$A$2:$B$36,2,0)/12)+VLOOKUP(TODAY(),'UF HOY'!$A$2:$B$36,2,0)</f>
        <v>612656.48383329064</v>
      </c>
      <c r="AD18" s="55">
        <f t="shared" ca="1" si="28"/>
        <v>-222656.48383329064</v>
      </c>
      <c r="AE18" s="93">
        <f t="shared" ca="1" si="16"/>
        <v>2450625.9353331625</v>
      </c>
    </row>
    <row r="19" spans="1:31" s="3" customFormat="1" x14ac:dyDescent="0.35">
      <c r="A19" s="94" t="s">
        <v>305</v>
      </c>
      <c r="B19" s="81" t="s">
        <v>233</v>
      </c>
      <c r="C19" s="48" t="s">
        <v>38</v>
      </c>
      <c r="D19" s="48" t="s">
        <v>37</v>
      </c>
      <c r="E19" s="48"/>
      <c r="F19" s="48">
        <v>33.700000000000003</v>
      </c>
      <c r="G19" s="48">
        <v>2.29</v>
      </c>
      <c r="H19" s="82">
        <f t="shared" si="23"/>
        <v>34.845000000000006</v>
      </c>
      <c r="I19" s="82">
        <f t="shared" si="24"/>
        <v>35.99</v>
      </c>
      <c r="J19" s="49">
        <v>3540</v>
      </c>
      <c r="K19" s="50">
        <v>0</v>
      </c>
      <c r="L19" s="81">
        <v>200</v>
      </c>
      <c r="M19" s="48">
        <v>0</v>
      </c>
      <c r="N19" s="49">
        <f t="shared" si="11"/>
        <v>3386</v>
      </c>
      <c r="O19" s="108">
        <f t="shared" si="12"/>
        <v>3740</v>
      </c>
      <c r="P19" s="79">
        <f t="shared" si="13"/>
        <v>91.433491175204466</v>
      </c>
      <c r="Q19" s="53">
        <f t="shared" si="14"/>
        <v>9.4700000000000006E-2</v>
      </c>
      <c r="R19" s="54">
        <f t="shared" si="15"/>
        <v>354</v>
      </c>
      <c r="S19" s="53">
        <v>0.8</v>
      </c>
      <c r="T19" s="54">
        <f t="shared" si="25"/>
        <v>2992</v>
      </c>
      <c r="U19" s="53">
        <f t="shared" si="26"/>
        <v>0.10529999999999995</v>
      </c>
      <c r="V19" s="54">
        <f t="shared" si="27"/>
        <v>393.82199999999983</v>
      </c>
      <c r="W19" s="55">
        <f ca="1">V19*VLOOKUP(TODAY(),'UF HOY'!$A$2:$B$36,2,0)</f>
        <v>15648099.718679994</v>
      </c>
      <c r="X19" s="56">
        <f>Datos!$K$9</f>
        <v>24</v>
      </c>
      <c r="Y19" s="55">
        <f ca="1">IF((W19-Datos!$U$9-1000000)/X19&gt;0,(W19-Datos!$U$9-1000000)/X19,0)</f>
        <v>606170.82161166647</v>
      </c>
      <c r="Z19" s="56">
        <f>Datos!$K$9</f>
        <v>24</v>
      </c>
      <c r="AA19" s="55">
        <f ca="1">IF((W19-Datos!$U$9-1000000-O19*4%*VLOOKUP(TODAY(),'UF HOY'!$A$2:$B$36,2,0))/Z19&gt;0,(W19-Datos!$U$9-1000000-O19*4%*VLOOKUP(TODAY(),'UF HOY'!$A$2:$B$36,2,0))/Z19,0)</f>
        <v>358495.92894499976</v>
      </c>
      <c r="AB19" s="55">
        <f>IF(L19&gt;0,VLOOKUP(D19,Datos!$A$6:$C$10,3,0),VLOOKUP(D19,Datos!$A$6:$C$10,2,0))</f>
        <v>390000</v>
      </c>
      <c r="AC19" s="55">
        <f ca="1">(S19*PMT(Datos!$G$15,Datos!$G$14,-O19,,)*VLOOKUP(TODAY(),'UF HOY'!$A$2:$B$36,2,0)/12)+VLOOKUP(TODAY(),'UF HOY'!$A$2:$B$36,2,0)</f>
        <v>612656.48383329064</v>
      </c>
      <c r="AD19" s="55">
        <f t="shared" ca="1" si="28"/>
        <v>-222656.48383329064</v>
      </c>
      <c r="AE19" s="93">
        <f t="shared" ca="1" si="16"/>
        <v>2450625.9353331625</v>
      </c>
    </row>
    <row r="20" spans="1:31" s="3" customFormat="1" x14ac:dyDescent="0.35">
      <c r="A20" s="94" t="s">
        <v>305</v>
      </c>
      <c r="B20" s="81" t="s">
        <v>150</v>
      </c>
      <c r="C20" s="48" t="s">
        <v>40</v>
      </c>
      <c r="D20" s="48" t="s">
        <v>37</v>
      </c>
      <c r="E20" s="48"/>
      <c r="F20" s="48">
        <v>32.89</v>
      </c>
      <c r="G20" s="48">
        <v>2.29</v>
      </c>
      <c r="H20" s="82">
        <f t="shared" si="23"/>
        <v>34.035000000000004</v>
      </c>
      <c r="I20" s="82">
        <f t="shared" si="24"/>
        <v>35.18</v>
      </c>
      <c r="J20" s="49">
        <v>3540</v>
      </c>
      <c r="K20" s="50">
        <v>0</v>
      </c>
      <c r="L20" s="81">
        <v>200</v>
      </c>
      <c r="M20" s="48">
        <v>0</v>
      </c>
      <c r="N20" s="49">
        <f t="shared" si="11"/>
        <v>3386</v>
      </c>
      <c r="O20" s="108">
        <f t="shared" si="12"/>
        <v>3740</v>
      </c>
      <c r="P20" s="79">
        <f t="shared" si="13"/>
        <v>93.609519612163936</v>
      </c>
      <c r="Q20" s="53">
        <f t="shared" si="14"/>
        <v>9.4700000000000006E-2</v>
      </c>
      <c r="R20" s="54">
        <f t="shared" si="15"/>
        <v>354</v>
      </c>
      <c r="S20" s="53">
        <v>0.8</v>
      </c>
      <c r="T20" s="54">
        <f t="shared" si="25"/>
        <v>2992</v>
      </c>
      <c r="U20" s="53">
        <f t="shared" si="26"/>
        <v>0.10529999999999995</v>
      </c>
      <c r="V20" s="54">
        <f t="shared" si="27"/>
        <v>393.82199999999983</v>
      </c>
      <c r="W20" s="55">
        <f ca="1">V20*VLOOKUP(TODAY(),'UF HOY'!$A$2:$B$36,2,0)</f>
        <v>15648099.718679994</v>
      </c>
      <c r="X20" s="56">
        <f>Datos!$K$9</f>
        <v>24</v>
      </c>
      <c r="Y20" s="55">
        <f ca="1">IF((W20-Datos!$U$9-1000000)/X20&gt;0,(W20-Datos!$U$9-1000000)/X20,0)</f>
        <v>606170.82161166647</v>
      </c>
      <c r="Z20" s="56">
        <f>Datos!$K$9</f>
        <v>24</v>
      </c>
      <c r="AA20" s="55">
        <f ca="1">IF((W20-Datos!$U$9-1000000-O20*4%*VLOOKUP(TODAY(),'UF HOY'!$A$2:$B$36,2,0))/Z20&gt;0,(W20-Datos!$U$9-1000000-O20*4%*VLOOKUP(TODAY(),'UF HOY'!$A$2:$B$36,2,0))/Z20,0)</f>
        <v>358495.92894499976</v>
      </c>
      <c r="AB20" s="55">
        <f>IF(L20&gt;0,VLOOKUP(D20,Datos!$A$6:$C$10,3,0),VLOOKUP(D20,Datos!$A$6:$C$10,2,0))</f>
        <v>390000</v>
      </c>
      <c r="AC20" s="55">
        <f ca="1">(S20*PMT(Datos!$G$15,Datos!$G$14,-O20,,)*VLOOKUP(TODAY(),'UF HOY'!$A$2:$B$36,2,0)/12)+VLOOKUP(TODAY(),'UF HOY'!$A$2:$B$36,2,0)</f>
        <v>612656.48383329064</v>
      </c>
      <c r="AD20" s="55">
        <f t="shared" ca="1" si="28"/>
        <v>-222656.48383329064</v>
      </c>
      <c r="AE20" s="93">
        <f t="shared" ca="1" si="16"/>
        <v>2450625.9353331625</v>
      </c>
    </row>
    <row r="21" spans="1:31" s="3" customFormat="1" x14ac:dyDescent="0.35">
      <c r="A21" s="94" t="s">
        <v>305</v>
      </c>
      <c r="B21" s="81" t="s">
        <v>232</v>
      </c>
      <c r="C21" s="48" t="s">
        <v>38</v>
      </c>
      <c r="D21" s="48" t="s">
        <v>37</v>
      </c>
      <c r="E21" s="48"/>
      <c r="F21" s="48">
        <v>33.700000000000003</v>
      </c>
      <c r="G21" s="48">
        <v>2.29</v>
      </c>
      <c r="H21" s="82">
        <f t="shared" ref="H21:H52" si="41">F21+(G21/2)</f>
        <v>34.845000000000006</v>
      </c>
      <c r="I21" s="82">
        <f t="shared" ref="I21:I52" si="42">F21+G21</f>
        <v>35.99</v>
      </c>
      <c r="J21" s="49">
        <v>3540</v>
      </c>
      <c r="K21" s="50">
        <v>0</v>
      </c>
      <c r="L21" s="81">
        <v>200</v>
      </c>
      <c r="M21" s="48">
        <v>0</v>
      </c>
      <c r="N21" s="49">
        <f t="shared" si="11"/>
        <v>3386</v>
      </c>
      <c r="O21" s="108">
        <f t="shared" si="12"/>
        <v>3740</v>
      </c>
      <c r="P21" s="79">
        <f t="shared" si="13"/>
        <v>91.433491175204466</v>
      </c>
      <c r="Q21" s="53">
        <f t="shared" si="14"/>
        <v>9.4700000000000006E-2</v>
      </c>
      <c r="R21" s="54">
        <f t="shared" si="15"/>
        <v>354</v>
      </c>
      <c r="S21" s="53">
        <v>0.8</v>
      </c>
      <c r="T21" s="54">
        <f t="shared" ref="T21:T52" si="43">S21*O21</f>
        <v>2992</v>
      </c>
      <c r="U21" s="53">
        <f t="shared" ref="U21:U52" si="44">100%-Q21-S21</f>
        <v>0.10529999999999995</v>
      </c>
      <c r="V21" s="54">
        <f t="shared" ref="V21:V52" si="45">O21*U21</f>
        <v>393.82199999999983</v>
      </c>
      <c r="W21" s="55">
        <f ca="1">V21*VLOOKUP(TODAY(),'UF HOY'!$A$2:$B$36,2,0)</f>
        <v>15648099.718679994</v>
      </c>
      <c r="X21" s="56">
        <f>Datos!$K$9</f>
        <v>24</v>
      </c>
      <c r="Y21" s="55">
        <f ca="1">IF((W21-Datos!$U$9-1000000)/X21&gt;0,(W21-Datos!$U$9-1000000)/X21,0)</f>
        <v>606170.82161166647</v>
      </c>
      <c r="Z21" s="56">
        <f>Datos!$K$9</f>
        <v>24</v>
      </c>
      <c r="AA21" s="55">
        <f ca="1">IF((W21-Datos!$U$9-1000000-O21*4%*VLOOKUP(TODAY(),'UF HOY'!$A$2:$B$36,2,0))/Z21&gt;0,(W21-Datos!$U$9-1000000-O21*4%*VLOOKUP(TODAY(),'UF HOY'!$A$2:$B$36,2,0))/Z21,0)</f>
        <v>358495.92894499976</v>
      </c>
      <c r="AB21" s="55">
        <f>IF(L21&gt;0,VLOOKUP(D21,Datos!$A$6:$C$10,3,0),VLOOKUP(D21,Datos!$A$6:$C$10,2,0))</f>
        <v>390000</v>
      </c>
      <c r="AC21" s="55">
        <f ca="1">(S21*PMT(Datos!$G$15,Datos!$G$14,-O21,,)*VLOOKUP(TODAY(),'UF HOY'!$A$2:$B$36,2,0)/12)+VLOOKUP(TODAY(),'UF HOY'!$A$2:$B$36,2,0)</f>
        <v>612656.48383329064</v>
      </c>
      <c r="AD21" s="55">
        <f t="shared" ref="AD21:AD52" ca="1" si="46">AB21-AC21</f>
        <v>-222656.48383329064</v>
      </c>
      <c r="AE21" s="93">
        <f t="shared" ca="1" si="16"/>
        <v>2450625.9353331625</v>
      </c>
    </row>
    <row r="22" spans="1:31" s="3" customFormat="1" x14ac:dyDescent="0.35">
      <c r="A22" s="94" t="s">
        <v>305</v>
      </c>
      <c r="B22" s="81" t="s">
        <v>226</v>
      </c>
      <c r="C22" s="48" t="s">
        <v>41</v>
      </c>
      <c r="D22" s="48" t="s">
        <v>37</v>
      </c>
      <c r="E22" s="48"/>
      <c r="F22" s="48">
        <v>32.76</v>
      </c>
      <c r="G22" s="48">
        <v>2.29</v>
      </c>
      <c r="H22" s="82">
        <f t="shared" si="41"/>
        <v>33.905000000000001</v>
      </c>
      <c r="I22" s="82">
        <f t="shared" si="42"/>
        <v>35.049999999999997</v>
      </c>
      <c r="J22" s="49">
        <v>3545</v>
      </c>
      <c r="K22" s="50">
        <v>0</v>
      </c>
      <c r="L22" s="81">
        <v>200</v>
      </c>
      <c r="M22" s="48">
        <v>0</v>
      </c>
      <c r="N22" s="49">
        <f t="shared" si="11"/>
        <v>3390.5</v>
      </c>
      <c r="O22" s="108">
        <f t="shared" si="12"/>
        <v>3745</v>
      </c>
      <c r="P22" s="79">
        <f t="shared" si="13"/>
        <v>94.101165019908564</v>
      </c>
      <c r="Q22" s="53">
        <f t="shared" si="14"/>
        <v>9.4700000000000006E-2</v>
      </c>
      <c r="R22" s="54">
        <f t="shared" si="15"/>
        <v>354.5</v>
      </c>
      <c r="S22" s="53">
        <v>0.8</v>
      </c>
      <c r="T22" s="54">
        <f t="shared" si="43"/>
        <v>2996</v>
      </c>
      <c r="U22" s="53">
        <f t="shared" si="44"/>
        <v>0.10529999999999995</v>
      </c>
      <c r="V22" s="54">
        <f t="shared" si="45"/>
        <v>394.34849999999983</v>
      </c>
      <c r="W22" s="55">
        <f ca="1">V22*VLOOKUP(TODAY(),'UF HOY'!$A$2:$B$36,2,0)</f>
        <v>15669019.638089994</v>
      </c>
      <c r="X22" s="56">
        <f>Datos!$K$9</f>
        <v>24</v>
      </c>
      <c r="Y22" s="55">
        <f ca="1">IF((W22-Datos!$U$9-1000000)/X22&gt;0,(W22-Datos!$U$9-1000000)/X22,0)</f>
        <v>607042.48492041638</v>
      </c>
      <c r="Z22" s="56">
        <f>Datos!$K$9</f>
        <v>24</v>
      </c>
      <c r="AA22" s="55">
        <f ca="1">IF((W22-Datos!$U$9-1000000-O22*4%*VLOOKUP(TODAY(),'UF HOY'!$A$2:$B$36,2,0))/Z22&gt;0,(W22-Datos!$U$9-1000000-O22*4%*VLOOKUP(TODAY(),'UF HOY'!$A$2:$B$36,2,0))/Z22,0)</f>
        <v>359036.47608708305</v>
      </c>
      <c r="AB22" s="55">
        <f>IF(L22&gt;0,VLOOKUP(D22,Datos!$A$6:$C$10,3,0),VLOOKUP(D22,Datos!$A$6:$C$10,2,0))</f>
        <v>390000</v>
      </c>
      <c r="AC22" s="55">
        <f ca="1">(S22*PMT(Datos!$G$15,Datos!$G$14,-O22,,)*VLOOKUP(TODAY(),'UF HOY'!$A$2:$B$36,2,0)/12)+VLOOKUP(TODAY(),'UF HOY'!$A$2:$B$36,2,0)</f>
        <v>613422.4230630144</v>
      </c>
      <c r="AD22" s="55">
        <f t="shared" ca="1" si="46"/>
        <v>-223422.4230630144</v>
      </c>
      <c r="AE22" s="93">
        <f t="shared" ca="1" si="16"/>
        <v>2453689.6922520576</v>
      </c>
    </row>
    <row r="23" spans="1:31" s="3" customFormat="1" x14ac:dyDescent="0.35">
      <c r="A23" s="94" t="s">
        <v>305</v>
      </c>
      <c r="B23" s="81" t="s">
        <v>284</v>
      </c>
      <c r="C23" s="48" t="s">
        <v>36</v>
      </c>
      <c r="D23" s="48" t="s">
        <v>37</v>
      </c>
      <c r="E23" s="48"/>
      <c r="F23" s="48">
        <v>32.76</v>
      </c>
      <c r="G23" s="48">
        <v>2.29</v>
      </c>
      <c r="H23" s="82">
        <f t="shared" si="41"/>
        <v>33.905000000000001</v>
      </c>
      <c r="I23" s="82">
        <f t="shared" si="42"/>
        <v>35.049999999999997</v>
      </c>
      <c r="J23" s="49">
        <v>3545</v>
      </c>
      <c r="K23" s="50">
        <v>0</v>
      </c>
      <c r="L23" s="81">
        <v>200</v>
      </c>
      <c r="M23" s="48">
        <v>0</v>
      </c>
      <c r="N23" s="49">
        <f t="shared" si="11"/>
        <v>3390.5</v>
      </c>
      <c r="O23" s="108">
        <f t="shared" si="12"/>
        <v>3745</v>
      </c>
      <c r="P23" s="79">
        <f t="shared" si="13"/>
        <v>94.101165019908564</v>
      </c>
      <c r="Q23" s="53">
        <f t="shared" si="14"/>
        <v>9.4700000000000006E-2</v>
      </c>
      <c r="R23" s="54">
        <f t="shared" si="15"/>
        <v>354.5</v>
      </c>
      <c r="S23" s="53">
        <v>0.8</v>
      </c>
      <c r="T23" s="54">
        <f t="shared" si="43"/>
        <v>2996</v>
      </c>
      <c r="U23" s="53">
        <f t="shared" si="44"/>
        <v>0.10529999999999995</v>
      </c>
      <c r="V23" s="54">
        <f t="shared" si="45"/>
        <v>394.34849999999983</v>
      </c>
      <c r="W23" s="55">
        <f ca="1">V23*VLOOKUP(TODAY(),'UF HOY'!$A$2:$B$36,2,0)</f>
        <v>15669019.638089994</v>
      </c>
      <c r="X23" s="56">
        <f>Datos!$K$9</f>
        <v>24</v>
      </c>
      <c r="Y23" s="55">
        <f ca="1">IF((W23-Datos!$U$9-1000000)/X23&gt;0,(W23-Datos!$U$9-1000000)/X23,0)</f>
        <v>607042.48492041638</v>
      </c>
      <c r="Z23" s="56">
        <f>Datos!$K$9</f>
        <v>24</v>
      </c>
      <c r="AA23" s="55">
        <f ca="1">IF((W23-Datos!$U$9-1000000-O23*4%*VLOOKUP(TODAY(),'UF HOY'!$A$2:$B$36,2,0))/Z23&gt;0,(W23-Datos!$U$9-1000000-O23*4%*VLOOKUP(TODAY(),'UF HOY'!$A$2:$B$36,2,0))/Z23,0)</f>
        <v>359036.47608708305</v>
      </c>
      <c r="AB23" s="55">
        <f>IF(L23&gt;0,VLOOKUP(D23,Datos!$A$6:$C$10,3,0),VLOOKUP(D23,Datos!$A$6:$C$10,2,0))</f>
        <v>390000</v>
      </c>
      <c r="AC23" s="55">
        <f ca="1">(S23*PMT(Datos!$G$15,Datos!$G$14,-O23,,)*VLOOKUP(TODAY(),'UF HOY'!$A$2:$B$36,2,0)/12)+VLOOKUP(TODAY(),'UF HOY'!$A$2:$B$36,2,0)</f>
        <v>613422.4230630144</v>
      </c>
      <c r="AD23" s="55">
        <f t="shared" ca="1" si="46"/>
        <v>-223422.4230630144</v>
      </c>
      <c r="AE23" s="93">
        <f t="shared" ca="1" si="16"/>
        <v>2453689.6922520576</v>
      </c>
    </row>
    <row r="24" spans="1:31" s="3" customFormat="1" x14ac:dyDescent="0.35">
      <c r="A24" s="94" t="s">
        <v>305</v>
      </c>
      <c r="B24" s="81" t="s">
        <v>204</v>
      </c>
      <c r="C24" s="48" t="s">
        <v>41</v>
      </c>
      <c r="D24" s="48" t="s">
        <v>37</v>
      </c>
      <c r="E24" s="48"/>
      <c r="F24" s="48">
        <v>32.76</v>
      </c>
      <c r="G24" s="48">
        <v>2.29</v>
      </c>
      <c r="H24" s="82">
        <f t="shared" si="41"/>
        <v>33.905000000000001</v>
      </c>
      <c r="I24" s="82">
        <f t="shared" si="42"/>
        <v>35.049999999999997</v>
      </c>
      <c r="J24" s="49">
        <v>3545</v>
      </c>
      <c r="K24" s="50">
        <v>0</v>
      </c>
      <c r="L24" s="81">
        <v>200</v>
      </c>
      <c r="M24" s="48">
        <v>0</v>
      </c>
      <c r="N24" s="49">
        <f t="shared" si="11"/>
        <v>3390.5</v>
      </c>
      <c r="O24" s="108">
        <f t="shared" si="12"/>
        <v>3745</v>
      </c>
      <c r="P24" s="79">
        <f t="shared" si="13"/>
        <v>94.101165019908564</v>
      </c>
      <c r="Q24" s="53">
        <f t="shared" si="14"/>
        <v>9.4700000000000006E-2</v>
      </c>
      <c r="R24" s="54">
        <f t="shared" si="15"/>
        <v>354.5</v>
      </c>
      <c r="S24" s="53">
        <v>0.8</v>
      </c>
      <c r="T24" s="54">
        <f t="shared" si="43"/>
        <v>2996</v>
      </c>
      <c r="U24" s="53">
        <f t="shared" si="44"/>
        <v>0.10529999999999995</v>
      </c>
      <c r="V24" s="54">
        <f t="shared" si="45"/>
        <v>394.34849999999983</v>
      </c>
      <c r="W24" s="55">
        <f ca="1">V24*VLOOKUP(TODAY(),'UF HOY'!$A$2:$B$36,2,0)</f>
        <v>15669019.638089994</v>
      </c>
      <c r="X24" s="56">
        <f>Datos!$K$9</f>
        <v>24</v>
      </c>
      <c r="Y24" s="55">
        <f ca="1">IF((W24-Datos!$U$9-1000000)/X24&gt;0,(W24-Datos!$U$9-1000000)/X24,0)</f>
        <v>607042.48492041638</v>
      </c>
      <c r="Z24" s="56">
        <f>Datos!$K$9</f>
        <v>24</v>
      </c>
      <c r="AA24" s="55">
        <f ca="1">IF((W24-Datos!$U$9-1000000-O24*4%*VLOOKUP(TODAY(),'UF HOY'!$A$2:$B$36,2,0))/Z24&gt;0,(W24-Datos!$U$9-1000000-O24*4%*VLOOKUP(TODAY(),'UF HOY'!$A$2:$B$36,2,0))/Z24,0)</f>
        <v>359036.47608708305</v>
      </c>
      <c r="AB24" s="55">
        <f>IF(L24&gt;0,VLOOKUP(D24,Datos!$A$6:$C$10,3,0),VLOOKUP(D24,Datos!$A$6:$C$10,2,0))</f>
        <v>390000</v>
      </c>
      <c r="AC24" s="55">
        <f ca="1">(S24*PMT(Datos!$G$15,Datos!$G$14,-O24,,)*VLOOKUP(TODAY(),'UF HOY'!$A$2:$B$36,2,0)/12)+VLOOKUP(TODAY(),'UF HOY'!$A$2:$B$36,2,0)</f>
        <v>613422.4230630144</v>
      </c>
      <c r="AD24" s="55">
        <f t="shared" ca="1" si="46"/>
        <v>-223422.4230630144</v>
      </c>
      <c r="AE24" s="93">
        <f t="shared" ca="1" si="16"/>
        <v>2453689.6922520576</v>
      </c>
    </row>
    <row r="25" spans="1:31" s="3" customFormat="1" x14ac:dyDescent="0.35">
      <c r="A25" s="94" t="s">
        <v>305</v>
      </c>
      <c r="B25" s="81" t="s">
        <v>274</v>
      </c>
      <c r="C25" s="48" t="s">
        <v>36</v>
      </c>
      <c r="D25" s="48" t="s">
        <v>37</v>
      </c>
      <c r="E25" s="48"/>
      <c r="F25" s="48">
        <v>32.76</v>
      </c>
      <c r="G25" s="48">
        <v>2.29</v>
      </c>
      <c r="H25" s="82">
        <f t="shared" si="41"/>
        <v>33.905000000000001</v>
      </c>
      <c r="I25" s="82">
        <f t="shared" si="42"/>
        <v>35.049999999999997</v>
      </c>
      <c r="J25" s="49">
        <v>3545</v>
      </c>
      <c r="K25" s="50">
        <v>0</v>
      </c>
      <c r="L25" s="81">
        <v>200</v>
      </c>
      <c r="M25" s="48">
        <v>0</v>
      </c>
      <c r="N25" s="49">
        <f t="shared" si="11"/>
        <v>3390.5</v>
      </c>
      <c r="O25" s="108">
        <f t="shared" si="12"/>
        <v>3745</v>
      </c>
      <c r="P25" s="79">
        <f t="shared" si="13"/>
        <v>94.101165019908564</v>
      </c>
      <c r="Q25" s="53">
        <f t="shared" si="14"/>
        <v>9.4700000000000006E-2</v>
      </c>
      <c r="R25" s="54">
        <f t="shared" si="15"/>
        <v>354.5</v>
      </c>
      <c r="S25" s="53">
        <v>0.8</v>
      </c>
      <c r="T25" s="54">
        <f t="shared" si="43"/>
        <v>2996</v>
      </c>
      <c r="U25" s="53">
        <f t="shared" si="44"/>
        <v>0.10529999999999995</v>
      </c>
      <c r="V25" s="54">
        <f t="shared" si="45"/>
        <v>394.34849999999983</v>
      </c>
      <c r="W25" s="55">
        <f ca="1">V25*VLOOKUP(TODAY(),'UF HOY'!$A$2:$B$36,2,0)</f>
        <v>15669019.638089994</v>
      </c>
      <c r="X25" s="56">
        <f>Datos!$K$9</f>
        <v>24</v>
      </c>
      <c r="Y25" s="55">
        <f ca="1">IF((W25-Datos!$U$9-1000000)/X25&gt;0,(W25-Datos!$U$9-1000000)/X25,0)</f>
        <v>607042.48492041638</v>
      </c>
      <c r="Z25" s="56">
        <f>Datos!$K$9</f>
        <v>24</v>
      </c>
      <c r="AA25" s="55">
        <f ca="1">IF((W25-Datos!$U$9-1000000-O25*4%*VLOOKUP(TODAY(),'UF HOY'!$A$2:$B$36,2,0))/Z25&gt;0,(W25-Datos!$U$9-1000000-O25*4%*VLOOKUP(TODAY(),'UF HOY'!$A$2:$B$36,2,0))/Z25,0)</f>
        <v>359036.47608708305</v>
      </c>
      <c r="AB25" s="55">
        <f>IF(L25&gt;0,VLOOKUP(D25,Datos!$A$6:$C$10,3,0),VLOOKUP(D25,Datos!$A$6:$C$10,2,0))</f>
        <v>390000</v>
      </c>
      <c r="AC25" s="55">
        <f ca="1">(S25*PMT(Datos!$G$15,Datos!$G$14,-O25,,)*VLOOKUP(TODAY(),'UF HOY'!$A$2:$B$36,2,0)/12)+VLOOKUP(TODAY(),'UF HOY'!$A$2:$B$36,2,0)</f>
        <v>613422.4230630144</v>
      </c>
      <c r="AD25" s="55">
        <f t="shared" ca="1" si="46"/>
        <v>-223422.4230630144</v>
      </c>
      <c r="AE25" s="93">
        <f t="shared" ca="1" si="16"/>
        <v>2453689.6922520576</v>
      </c>
    </row>
    <row r="26" spans="1:31" s="3" customFormat="1" x14ac:dyDescent="0.35">
      <c r="A26" s="94" t="s">
        <v>305</v>
      </c>
      <c r="B26" s="81" t="s">
        <v>236</v>
      </c>
      <c r="C26" s="48" t="s">
        <v>38</v>
      </c>
      <c r="D26" s="48" t="s">
        <v>37</v>
      </c>
      <c r="E26" s="48"/>
      <c r="F26" s="48">
        <v>32.76</v>
      </c>
      <c r="G26" s="48">
        <v>25.29</v>
      </c>
      <c r="H26" s="82">
        <f t="shared" si="41"/>
        <v>45.405000000000001</v>
      </c>
      <c r="I26" s="82">
        <f t="shared" si="42"/>
        <v>58.05</v>
      </c>
      <c r="J26" s="49">
        <v>3545</v>
      </c>
      <c r="K26" s="50">
        <v>0</v>
      </c>
      <c r="L26" s="81">
        <v>200</v>
      </c>
      <c r="M26" s="48">
        <v>0</v>
      </c>
      <c r="N26" s="49">
        <f t="shared" si="11"/>
        <v>3390.5</v>
      </c>
      <c r="O26" s="108">
        <f t="shared" si="12"/>
        <v>3745</v>
      </c>
      <c r="P26" s="79">
        <f t="shared" si="13"/>
        <v>70.267591674925669</v>
      </c>
      <c r="Q26" s="53">
        <f t="shared" si="14"/>
        <v>9.4700000000000006E-2</v>
      </c>
      <c r="R26" s="54">
        <f t="shared" si="15"/>
        <v>354.5</v>
      </c>
      <c r="S26" s="53">
        <v>0.8</v>
      </c>
      <c r="T26" s="54">
        <f t="shared" si="43"/>
        <v>2996</v>
      </c>
      <c r="U26" s="53">
        <f t="shared" si="44"/>
        <v>0.10529999999999995</v>
      </c>
      <c r="V26" s="54">
        <f t="shared" si="45"/>
        <v>394.34849999999983</v>
      </c>
      <c r="W26" s="55">
        <f ca="1">V26*VLOOKUP(TODAY(),'UF HOY'!$A$2:$B$36,2,0)</f>
        <v>15669019.638089994</v>
      </c>
      <c r="X26" s="56">
        <f>Datos!$K$9</f>
        <v>24</v>
      </c>
      <c r="Y26" s="55">
        <f ca="1">IF((W26-Datos!$U$9-1000000)/X26&gt;0,(W26-Datos!$U$9-1000000)/X26,0)</f>
        <v>607042.48492041638</v>
      </c>
      <c r="Z26" s="56">
        <f>Datos!$K$9</f>
        <v>24</v>
      </c>
      <c r="AA26" s="55">
        <f ca="1">IF((W26-Datos!$U$9-1000000-O26*4%*VLOOKUP(TODAY(),'UF HOY'!$A$2:$B$36,2,0))/Z26&gt;0,(W26-Datos!$U$9-1000000-O26*4%*VLOOKUP(TODAY(),'UF HOY'!$A$2:$B$36,2,0))/Z26,0)</f>
        <v>359036.47608708305</v>
      </c>
      <c r="AB26" s="55">
        <f>IF(L26&gt;0,VLOOKUP(D26,Datos!$A$6:$C$10,3,0),VLOOKUP(D26,Datos!$A$6:$C$10,2,0))</f>
        <v>390000</v>
      </c>
      <c r="AC26" s="55">
        <f ca="1">(S26*PMT(Datos!$G$15,Datos!$G$14,-O26,,)*VLOOKUP(TODAY(),'UF HOY'!$A$2:$B$36,2,0)/12)+VLOOKUP(TODAY(),'UF HOY'!$A$2:$B$36,2,0)</f>
        <v>613422.4230630144</v>
      </c>
      <c r="AD26" s="55">
        <f t="shared" ca="1" si="46"/>
        <v>-223422.4230630144</v>
      </c>
      <c r="AE26" s="93">
        <f t="shared" ca="1" si="16"/>
        <v>2453689.6922520576</v>
      </c>
    </row>
    <row r="27" spans="1:31" s="3" customFormat="1" x14ac:dyDescent="0.35">
      <c r="A27" s="94" t="s">
        <v>305</v>
      </c>
      <c r="B27" s="81" t="s">
        <v>281</v>
      </c>
      <c r="C27" s="48" t="s">
        <v>38</v>
      </c>
      <c r="D27" s="48" t="s">
        <v>37</v>
      </c>
      <c r="E27" s="48"/>
      <c r="F27" s="48">
        <v>32.76</v>
      </c>
      <c r="G27" s="48">
        <v>26.29</v>
      </c>
      <c r="H27" s="82">
        <f t="shared" si="41"/>
        <v>45.905000000000001</v>
      </c>
      <c r="I27" s="82">
        <f t="shared" si="42"/>
        <v>59.05</v>
      </c>
      <c r="J27" s="49">
        <v>3545</v>
      </c>
      <c r="K27" s="50">
        <v>0</v>
      </c>
      <c r="L27" s="81">
        <v>200</v>
      </c>
      <c r="M27" s="48">
        <v>0</v>
      </c>
      <c r="N27" s="49">
        <f t="shared" si="11"/>
        <v>3390.5</v>
      </c>
      <c r="O27" s="108">
        <f t="shared" si="12"/>
        <v>3745</v>
      </c>
      <c r="P27" s="79">
        <f t="shared" si="13"/>
        <v>69.502232872236135</v>
      </c>
      <c r="Q27" s="53">
        <f t="shared" si="14"/>
        <v>9.4700000000000006E-2</v>
      </c>
      <c r="R27" s="54">
        <f t="shared" si="15"/>
        <v>354.5</v>
      </c>
      <c r="S27" s="53">
        <v>0.8</v>
      </c>
      <c r="T27" s="54">
        <f t="shared" si="43"/>
        <v>2996</v>
      </c>
      <c r="U27" s="53">
        <f t="shared" si="44"/>
        <v>0.10529999999999995</v>
      </c>
      <c r="V27" s="54">
        <f t="shared" si="45"/>
        <v>394.34849999999983</v>
      </c>
      <c r="W27" s="55">
        <f ca="1">V27*VLOOKUP(TODAY(),'UF HOY'!$A$2:$B$36,2,0)</f>
        <v>15669019.638089994</v>
      </c>
      <c r="X27" s="56">
        <f>Datos!$K$9</f>
        <v>24</v>
      </c>
      <c r="Y27" s="55">
        <f ca="1">IF((W27-Datos!$U$9-1000000)/X27&gt;0,(W27-Datos!$U$9-1000000)/X27,0)</f>
        <v>607042.48492041638</v>
      </c>
      <c r="Z27" s="56">
        <f>Datos!$K$9</f>
        <v>24</v>
      </c>
      <c r="AA27" s="55">
        <f ca="1">IF((W27-Datos!$U$9-1000000-O27*4%*VLOOKUP(TODAY(),'UF HOY'!$A$2:$B$36,2,0))/Z27&gt;0,(W27-Datos!$U$9-1000000-O27*4%*VLOOKUP(TODAY(),'UF HOY'!$A$2:$B$36,2,0))/Z27,0)</f>
        <v>359036.47608708305</v>
      </c>
      <c r="AB27" s="55">
        <f>IF(L27&gt;0,VLOOKUP(D27,Datos!$A$6:$C$10,3,0),VLOOKUP(D27,Datos!$A$6:$C$10,2,0))</f>
        <v>390000</v>
      </c>
      <c r="AC27" s="55">
        <f ca="1">(S27*PMT(Datos!$G$15,Datos!$G$14,-O27,,)*VLOOKUP(TODAY(),'UF HOY'!$A$2:$B$36,2,0)/12)+VLOOKUP(TODAY(),'UF HOY'!$A$2:$B$36,2,0)</f>
        <v>613422.4230630144</v>
      </c>
      <c r="AD27" s="55">
        <f t="shared" ca="1" si="46"/>
        <v>-223422.4230630144</v>
      </c>
      <c r="AE27" s="93">
        <f t="shared" ca="1" si="16"/>
        <v>2453689.6922520576</v>
      </c>
    </row>
    <row r="28" spans="1:31" s="3" customFormat="1" x14ac:dyDescent="0.35">
      <c r="A28" s="94" t="s">
        <v>305</v>
      </c>
      <c r="B28" s="81" t="s">
        <v>225</v>
      </c>
      <c r="C28" s="48" t="s">
        <v>41</v>
      </c>
      <c r="D28" s="48" t="s">
        <v>37</v>
      </c>
      <c r="E28" s="48"/>
      <c r="F28" s="48">
        <v>32.76</v>
      </c>
      <c r="G28" s="48">
        <v>2.29</v>
      </c>
      <c r="H28" s="82">
        <f t="shared" si="41"/>
        <v>33.905000000000001</v>
      </c>
      <c r="I28" s="82">
        <f t="shared" si="42"/>
        <v>35.049999999999997</v>
      </c>
      <c r="J28" s="49">
        <v>3545</v>
      </c>
      <c r="K28" s="50">
        <v>0</v>
      </c>
      <c r="L28" s="81">
        <v>200</v>
      </c>
      <c r="M28" s="48">
        <v>0</v>
      </c>
      <c r="N28" s="49">
        <f t="shared" ref="N28:N91" si="47">O28-R28</f>
        <v>3390.5</v>
      </c>
      <c r="O28" s="108">
        <f t="shared" ref="O28:O91" si="48">J28*(100%-K28)+L28+M28</f>
        <v>3745</v>
      </c>
      <c r="P28" s="79">
        <f t="shared" ref="P28:P91" si="49">(N28-L28-M28)/H28</f>
        <v>94.101165019908564</v>
      </c>
      <c r="Q28" s="53">
        <f t="shared" ref="Q28:Q91" si="50">IF((O28-N28)/O28&gt;10%,10%,ROUND(IF(O28&gt;N28,(O28-N28)/O28,0),4))</f>
        <v>9.4700000000000006E-2</v>
      </c>
      <c r="R28" s="54">
        <f t="shared" ref="R28:R91" si="51">(J28-J28*K28)*0.1</f>
        <v>354.5</v>
      </c>
      <c r="S28" s="53">
        <v>0.8</v>
      </c>
      <c r="T28" s="54">
        <f t="shared" si="43"/>
        <v>2996</v>
      </c>
      <c r="U28" s="53">
        <f t="shared" si="44"/>
        <v>0.10529999999999995</v>
      </c>
      <c r="V28" s="54">
        <f t="shared" si="45"/>
        <v>394.34849999999983</v>
      </c>
      <c r="W28" s="55">
        <f ca="1">V28*VLOOKUP(TODAY(),'UF HOY'!$A$2:$B$36,2,0)</f>
        <v>15669019.638089994</v>
      </c>
      <c r="X28" s="56">
        <f>Datos!$K$9</f>
        <v>24</v>
      </c>
      <c r="Y28" s="55">
        <f ca="1">IF((W28-Datos!$U$9-1000000)/X28&gt;0,(W28-Datos!$U$9-1000000)/X28,0)</f>
        <v>607042.48492041638</v>
      </c>
      <c r="Z28" s="56">
        <f>Datos!$K$9</f>
        <v>24</v>
      </c>
      <c r="AA28" s="55">
        <f ca="1">IF((W28-Datos!$U$9-1000000-O28*4%*VLOOKUP(TODAY(),'UF HOY'!$A$2:$B$36,2,0))/Z28&gt;0,(W28-Datos!$U$9-1000000-O28*4%*VLOOKUP(TODAY(),'UF HOY'!$A$2:$B$36,2,0))/Z28,0)</f>
        <v>359036.47608708305</v>
      </c>
      <c r="AB28" s="55">
        <f>IF(L28&gt;0,VLOOKUP(D28,Datos!$A$6:$C$10,3,0),VLOOKUP(D28,Datos!$A$6:$C$10,2,0))</f>
        <v>390000</v>
      </c>
      <c r="AC28" s="55">
        <f ca="1">(S28*PMT(Datos!$G$15,Datos!$G$14,-O28,,)*VLOOKUP(TODAY(),'UF HOY'!$A$2:$B$36,2,0)/12)+VLOOKUP(TODAY(),'UF HOY'!$A$2:$B$36,2,0)</f>
        <v>613422.4230630144</v>
      </c>
      <c r="AD28" s="55">
        <f t="shared" ca="1" si="46"/>
        <v>-223422.4230630144</v>
      </c>
      <c r="AE28" s="93">
        <f t="shared" ca="1" si="16"/>
        <v>2453689.6922520576</v>
      </c>
    </row>
    <row r="29" spans="1:31" s="3" customFormat="1" x14ac:dyDescent="0.35">
      <c r="A29" s="94" t="s">
        <v>305</v>
      </c>
      <c r="B29" s="81" t="s">
        <v>285</v>
      </c>
      <c r="C29" s="48" t="s">
        <v>36</v>
      </c>
      <c r="D29" s="48" t="s">
        <v>37</v>
      </c>
      <c r="E29" s="48"/>
      <c r="F29" s="48">
        <v>32.76</v>
      </c>
      <c r="G29" s="48">
        <v>2.29</v>
      </c>
      <c r="H29" s="82">
        <f t="shared" si="41"/>
        <v>33.905000000000001</v>
      </c>
      <c r="I29" s="82">
        <f t="shared" si="42"/>
        <v>35.049999999999997</v>
      </c>
      <c r="J29" s="49">
        <v>3545</v>
      </c>
      <c r="K29" s="50">
        <v>0</v>
      </c>
      <c r="L29" s="81">
        <v>200</v>
      </c>
      <c r="M29" s="48">
        <v>0</v>
      </c>
      <c r="N29" s="49">
        <f t="shared" si="47"/>
        <v>3390.5</v>
      </c>
      <c r="O29" s="108">
        <f t="shared" si="48"/>
        <v>3745</v>
      </c>
      <c r="P29" s="79">
        <f t="shared" si="49"/>
        <v>94.101165019908564</v>
      </c>
      <c r="Q29" s="53">
        <f t="shared" si="50"/>
        <v>9.4700000000000006E-2</v>
      </c>
      <c r="R29" s="54">
        <f t="shared" si="51"/>
        <v>354.5</v>
      </c>
      <c r="S29" s="53">
        <v>0.8</v>
      </c>
      <c r="T29" s="54">
        <f t="shared" si="43"/>
        <v>2996</v>
      </c>
      <c r="U29" s="53">
        <f t="shared" si="44"/>
        <v>0.10529999999999995</v>
      </c>
      <c r="V29" s="54">
        <f t="shared" si="45"/>
        <v>394.34849999999983</v>
      </c>
      <c r="W29" s="55">
        <f ca="1">V29*VLOOKUP(TODAY(),'UF HOY'!$A$2:$B$36,2,0)</f>
        <v>15669019.638089994</v>
      </c>
      <c r="X29" s="56">
        <f>Datos!$K$9</f>
        <v>24</v>
      </c>
      <c r="Y29" s="55">
        <f ca="1">IF((W29-Datos!$U$9-1000000)/X29&gt;0,(W29-Datos!$U$9-1000000)/X29,0)</f>
        <v>607042.48492041638</v>
      </c>
      <c r="Z29" s="56">
        <f>Datos!$K$9</f>
        <v>24</v>
      </c>
      <c r="AA29" s="55">
        <f ca="1">IF((W29-Datos!$U$9-1000000-O29*4%*VLOOKUP(TODAY(),'UF HOY'!$A$2:$B$36,2,0))/Z29&gt;0,(W29-Datos!$U$9-1000000-O29*4%*VLOOKUP(TODAY(),'UF HOY'!$A$2:$B$36,2,0))/Z29,0)</f>
        <v>359036.47608708305</v>
      </c>
      <c r="AB29" s="55">
        <f>IF(L29&gt;0,VLOOKUP(D29,Datos!$A$6:$C$10,3,0),VLOOKUP(D29,Datos!$A$6:$C$10,2,0))</f>
        <v>390000</v>
      </c>
      <c r="AC29" s="55">
        <f ca="1">(S29*PMT(Datos!$G$15,Datos!$G$14,-O29,,)*VLOOKUP(TODAY(),'UF HOY'!$A$2:$B$36,2,0)/12)+VLOOKUP(TODAY(),'UF HOY'!$A$2:$B$36,2,0)</f>
        <v>613422.4230630144</v>
      </c>
      <c r="AD29" s="55">
        <f t="shared" ca="1" si="46"/>
        <v>-223422.4230630144</v>
      </c>
      <c r="AE29" s="93">
        <f t="shared" ca="1" si="16"/>
        <v>2453689.6922520576</v>
      </c>
    </row>
    <row r="30" spans="1:31" s="3" customFormat="1" x14ac:dyDescent="0.35">
      <c r="A30" s="94" t="s">
        <v>305</v>
      </c>
      <c r="B30" s="81" t="s">
        <v>286</v>
      </c>
      <c r="C30" s="48" t="s">
        <v>36</v>
      </c>
      <c r="D30" s="48" t="s">
        <v>37</v>
      </c>
      <c r="E30" s="48"/>
      <c r="F30" s="48">
        <v>32.76</v>
      </c>
      <c r="G30" s="48">
        <v>2.29</v>
      </c>
      <c r="H30" s="82">
        <f t="shared" si="41"/>
        <v>33.905000000000001</v>
      </c>
      <c r="I30" s="82">
        <f t="shared" si="42"/>
        <v>35.049999999999997</v>
      </c>
      <c r="J30" s="49">
        <v>3545</v>
      </c>
      <c r="K30" s="50">
        <v>0</v>
      </c>
      <c r="L30" s="81">
        <v>200</v>
      </c>
      <c r="M30" s="48">
        <v>0</v>
      </c>
      <c r="N30" s="49">
        <f t="shared" si="47"/>
        <v>3390.5</v>
      </c>
      <c r="O30" s="108">
        <f t="shared" si="48"/>
        <v>3745</v>
      </c>
      <c r="P30" s="79">
        <f t="shared" si="49"/>
        <v>94.101165019908564</v>
      </c>
      <c r="Q30" s="53">
        <f t="shared" si="50"/>
        <v>9.4700000000000006E-2</v>
      </c>
      <c r="R30" s="54">
        <f t="shared" si="51"/>
        <v>354.5</v>
      </c>
      <c r="S30" s="53">
        <v>0.8</v>
      </c>
      <c r="T30" s="54">
        <f t="shared" si="43"/>
        <v>2996</v>
      </c>
      <c r="U30" s="53">
        <f t="shared" si="44"/>
        <v>0.10529999999999995</v>
      </c>
      <c r="V30" s="54">
        <f t="shared" si="45"/>
        <v>394.34849999999983</v>
      </c>
      <c r="W30" s="55">
        <f ca="1">V30*VLOOKUP(TODAY(),'UF HOY'!$A$2:$B$36,2,0)</f>
        <v>15669019.638089994</v>
      </c>
      <c r="X30" s="56">
        <f>Datos!$K$9</f>
        <v>24</v>
      </c>
      <c r="Y30" s="55">
        <f ca="1">IF((W30-Datos!$U$9-1000000)/X30&gt;0,(W30-Datos!$U$9-1000000)/X30,0)</f>
        <v>607042.48492041638</v>
      </c>
      <c r="Z30" s="56">
        <f>Datos!$K$9</f>
        <v>24</v>
      </c>
      <c r="AA30" s="55">
        <f ca="1">IF((W30-Datos!$U$9-1000000-O30*4%*VLOOKUP(TODAY(),'UF HOY'!$A$2:$B$36,2,0))/Z30&gt;0,(W30-Datos!$U$9-1000000-O30*4%*VLOOKUP(TODAY(),'UF HOY'!$A$2:$B$36,2,0))/Z30,0)</f>
        <v>359036.47608708305</v>
      </c>
      <c r="AB30" s="55">
        <f>IF(L30&gt;0,VLOOKUP(D30,Datos!$A$6:$C$10,3,0),VLOOKUP(D30,Datos!$A$6:$C$10,2,0))</f>
        <v>390000</v>
      </c>
      <c r="AC30" s="55">
        <f ca="1">(S30*PMT(Datos!$G$15,Datos!$G$14,-O30,,)*VLOOKUP(TODAY(),'UF HOY'!$A$2:$B$36,2,0)/12)+VLOOKUP(TODAY(),'UF HOY'!$A$2:$B$36,2,0)</f>
        <v>613422.4230630144</v>
      </c>
      <c r="AD30" s="55">
        <f t="shared" ca="1" si="46"/>
        <v>-223422.4230630144</v>
      </c>
      <c r="AE30" s="93">
        <f t="shared" ca="1" si="16"/>
        <v>2453689.6922520576</v>
      </c>
    </row>
    <row r="31" spans="1:31" s="3" customFormat="1" x14ac:dyDescent="0.35">
      <c r="A31" s="94" t="s">
        <v>305</v>
      </c>
      <c r="B31" s="81" t="s">
        <v>265</v>
      </c>
      <c r="C31" s="48" t="s">
        <v>36</v>
      </c>
      <c r="D31" s="48" t="s">
        <v>37</v>
      </c>
      <c r="E31" s="48"/>
      <c r="F31" s="48">
        <v>32.76</v>
      </c>
      <c r="G31" s="48">
        <v>2.29</v>
      </c>
      <c r="H31" s="82">
        <f t="shared" si="41"/>
        <v>33.905000000000001</v>
      </c>
      <c r="I31" s="82">
        <f t="shared" si="42"/>
        <v>35.049999999999997</v>
      </c>
      <c r="J31" s="49">
        <v>3545</v>
      </c>
      <c r="K31" s="50">
        <v>0</v>
      </c>
      <c r="L31" s="81">
        <v>200</v>
      </c>
      <c r="M31" s="48">
        <v>0</v>
      </c>
      <c r="N31" s="49">
        <f t="shared" si="47"/>
        <v>3390.5</v>
      </c>
      <c r="O31" s="108">
        <f t="shared" si="48"/>
        <v>3745</v>
      </c>
      <c r="P31" s="79">
        <f t="shared" si="49"/>
        <v>94.101165019908564</v>
      </c>
      <c r="Q31" s="53">
        <f t="shared" si="50"/>
        <v>9.4700000000000006E-2</v>
      </c>
      <c r="R31" s="54">
        <f t="shared" si="51"/>
        <v>354.5</v>
      </c>
      <c r="S31" s="53">
        <v>0.8</v>
      </c>
      <c r="T31" s="54">
        <f t="shared" si="43"/>
        <v>2996</v>
      </c>
      <c r="U31" s="53">
        <f t="shared" si="44"/>
        <v>0.10529999999999995</v>
      </c>
      <c r="V31" s="54">
        <f t="shared" si="45"/>
        <v>394.34849999999983</v>
      </c>
      <c r="W31" s="55">
        <f ca="1">V31*VLOOKUP(TODAY(),'UF HOY'!$A$2:$B$36,2,0)</f>
        <v>15669019.638089994</v>
      </c>
      <c r="X31" s="56">
        <f>Datos!$K$9</f>
        <v>24</v>
      </c>
      <c r="Y31" s="55">
        <f ca="1">IF((W31-Datos!$U$9-1000000)/X31&gt;0,(W31-Datos!$U$9-1000000)/X31,0)</f>
        <v>607042.48492041638</v>
      </c>
      <c r="Z31" s="56">
        <f>Datos!$K$9</f>
        <v>24</v>
      </c>
      <c r="AA31" s="55">
        <f ca="1">IF((W31-Datos!$U$9-1000000-O31*4%*VLOOKUP(TODAY(),'UF HOY'!$A$2:$B$36,2,0))/Z31&gt;0,(W31-Datos!$U$9-1000000-O31*4%*VLOOKUP(TODAY(),'UF HOY'!$A$2:$B$36,2,0))/Z31,0)</f>
        <v>359036.47608708305</v>
      </c>
      <c r="AB31" s="55">
        <f>IF(L31&gt;0,VLOOKUP(D31,Datos!$A$6:$C$10,3,0),VLOOKUP(D31,Datos!$A$6:$C$10,2,0))</f>
        <v>390000</v>
      </c>
      <c r="AC31" s="55">
        <f ca="1">(S31*PMT(Datos!$G$15,Datos!$G$14,-O31,,)*VLOOKUP(TODAY(),'UF HOY'!$A$2:$B$36,2,0)/12)+VLOOKUP(TODAY(),'UF HOY'!$A$2:$B$36,2,0)</f>
        <v>613422.4230630144</v>
      </c>
      <c r="AD31" s="55">
        <f t="shared" ca="1" si="46"/>
        <v>-223422.4230630144</v>
      </c>
      <c r="AE31" s="93">
        <f t="shared" ca="1" si="16"/>
        <v>2453689.6922520576</v>
      </c>
    </row>
    <row r="32" spans="1:31" s="3" customFormat="1" x14ac:dyDescent="0.35">
      <c r="A32" s="94" t="s">
        <v>305</v>
      </c>
      <c r="B32" s="81" t="s">
        <v>148</v>
      </c>
      <c r="C32" s="48" t="s">
        <v>36</v>
      </c>
      <c r="D32" s="48" t="s">
        <v>37</v>
      </c>
      <c r="E32" s="48"/>
      <c r="F32" s="48">
        <v>32.76</v>
      </c>
      <c r="G32" s="48">
        <v>2.29</v>
      </c>
      <c r="H32" s="82">
        <f t="shared" si="41"/>
        <v>33.905000000000001</v>
      </c>
      <c r="I32" s="82">
        <f t="shared" si="42"/>
        <v>35.049999999999997</v>
      </c>
      <c r="J32" s="49">
        <v>3545</v>
      </c>
      <c r="K32" s="50">
        <v>0</v>
      </c>
      <c r="L32" s="81">
        <v>200</v>
      </c>
      <c r="M32" s="48">
        <v>0</v>
      </c>
      <c r="N32" s="49">
        <f t="shared" si="47"/>
        <v>3390.5</v>
      </c>
      <c r="O32" s="108">
        <f t="shared" si="48"/>
        <v>3745</v>
      </c>
      <c r="P32" s="79">
        <f t="shared" si="49"/>
        <v>94.101165019908564</v>
      </c>
      <c r="Q32" s="53">
        <f t="shared" si="50"/>
        <v>9.4700000000000006E-2</v>
      </c>
      <c r="R32" s="54">
        <f t="shared" si="51"/>
        <v>354.5</v>
      </c>
      <c r="S32" s="53">
        <v>0.8</v>
      </c>
      <c r="T32" s="54">
        <f t="shared" si="43"/>
        <v>2996</v>
      </c>
      <c r="U32" s="53">
        <f t="shared" si="44"/>
        <v>0.10529999999999995</v>
      </c>
      <c r="V32" s="54">
        <f t="shared" si="45"/>
        <v>394.34849999999983</v>
      </c>
      <c r="W32" s="55">
        <f ca="1">V32*VLOOKUP(TODAY(),'UF HOY'!$A$2:$B$36,2,0)</f>
        <v>15669019.638089994</v>
      </c>
      <c r="X32" s="56">
        <f>Datos!$K$9</f>
        <v>24</v>
      </c>
      <c r="Y32" s="55">
        <f ca="1">IF((W32-Datos!$U$9-1000000)/X32&gt;0,(W32-Datos!$U$9-1000000)/X32,0)</f>
        <v>607042.48492041638</v>
      </c>
      <c r="Z32" s="56">
        <f>Datos!$K$9</f>
        <v>24</v>
      </c>
      <c r="AA32" s="55">
        <f ca="1">IF((W32-Datos!$U$9-1000000-O32*4%*VLOOKUP(TODAY(),'UF HOY'!$A$2:$B$36,2,0))/Z32&gt;0,(W32-Datos!$U$9-1000000-O32*4%*VLOOKUP(TODAY(),'UF HOY'!$A$2:$B$36,2,0))/Z32,0)</f>
        <v>359036.47608708305</v>
      </c>
      <c r="AB32" s="55">
        <f>IF(L32&gt;0,VLOOKUP(D32,Datos!$A$6:$C$10,3,0),VLOOKUP(D32,Datos!$A$6:$C$10,2,0))</f>
        <v>390000</v>
      </c>
      <c r="AC32" s="55">
        <f ca="1">(S32*PMT(Datos!$G$15,Datos!$G$14,-O32,,)*VLOOKUP(TODAY(),'UF HOY'!$A$2:$B$36,2,0)/12)+VLOOKUP(TODAY(),'UF HOY'!$A$2:$B$36,2,0)</f>
        <v>613422.4230630144</v>
      </c>
      <c r="AD32" s="55">
        <f t="shared" ca="1" si="46"/>
        <v>-223422.4230630144</v>
      </c>
      <c r="AE32" s="93">
        <f t="shared" ca="1" si="16"/>
        <v>2453689.6922520576</v>
      </c>
    </row>
    <row r="33" spans="1:31" s="3" customFormat="1" x14ac:dyDescent="0.35">
      <c r="A33" s="94" t="s">
        <v>305</v>
      </c>
      <c r="B33" s="81" t="s">
        <v>230</v>
      </c>
      <c r="C33" s="48" t="s">
        <v>36</v>
      </c>
      <c r="D33" s="48" t="s">
        <v>37</v>
      </c>
      <c r="E33" s="48"/>
      <c r="F33" s="48">
        <v>32.76</v>
      </c>
      <c r="G33" s="48">
        <v>2.29</v>
      </c>
      <c r="H33" s="82">
        <f t="shared" si="41"/>
        <v>33.905000000000001</v>
      </c>
      <c r="I33" s="82">
        <f t="shared" si="42"/>
        <v>35.049999999999997</v>
      </c>
      <c r="J33" s="49">
        <v>3545</v>
      </c>
      <c r="K33" s="50">
        <v>0</v>
      </c>
      <c r="L33" s="81">
        <v>200</v>
      </c>
      <c r="M33" s="48">
        <v>0</v>
      </c>
      <c r="N33" s="49">
        <f t="shared" si="47"/>
        <v>3390.5</v>
      </c>
      <c r="O33" s="108">
        <f t="shared" si="48"/>
        <v>3745</v>
      </c>
      <c r="P33" s="79">
        <f t="shared" si="49"/>
        <v>94.101165019908564</v>
      </c>
      <c r="Q33" s="53">
        <f t="shared" si="50"/>
        <v>9.4700000000000006E-2</v>
      </c>
      <c r="R33" s="54">
        <f t="shared" si="51"/>
        <v>354.5</v>
      </c>
      <c r="S33" s="53">
        <v>0.8</v>
      </c>
      <c r="T33" s="54">
        <f t="shared" si="43"/>
        <v>2996</v>
      </c>
      <c r="U33" s="53">
        <f t="shared" si="44"/>
        <v>0.10529999999999995</v>
      </c>
      <c r="V33" s="54">
        <f t="shared" si="45"/>
        <v>394.34849999999983</v>
      </c>
      <c r="W33" s="55">
        <f ca="1">V33*VLOOKUP(TODAY(),'UF HOY'!$A$2:$B$36,2,0)</f>
        <v>15669019.638089994</v>
      </c>
      <c r="X33" s="56">
        <f>Datos!$K$9</f>
        <v>24</v>
      </c>
      <c r="Y33" s="55">
        <f ca="1">IF((W33-Datos!$U$9-1000000)/X33&gt;0,(W33-Datos!$U$9-1000000)/X33,0)</f>
        <v>607042.48492041638</v>
      </c>
      <c r="Z33" s="56">
        <f>Datos!$K$9</f>
        <v>24</v>
      </c>
      <c r="AA33" s="55">
        <f ca="1">IF((W33-Datos!$U$9-1000000-O33*4%*VLOOKUP(TODAY(),'UF HOY'!$A$2:$B$36,2,0))/Z33&gt;0,(W33-Datos!$U$9-1000000-O33*4%*VLOOKUP(TODAY(),'UF HOY'!$A$2:$B$36,2,0))/Z33,0)</f>
        <v>359036.47608708305</v>
      </c>
      <c r="AB33" s="55">
        <f>IF(L33&gt;0,VLOOKUP(D33,Datos!$A$6:$C$10,3,0),VLOOKUP(D33,Datos!$A$6:$C$10,2,0))</f>
        <v>390000</v>
      </c>
      <c r="AC33" s="55">
        <f ca="1">(S33*PMT(Datos!$G$15,Datos!$G$14,-O33,,)*VLOOKUP(TODAY(),'UF HOY'!$A$2:$B$36,2,0)/12)+VLOOKUP(TODAY(),'UF HOY'!$A$2:$B$36,2,0)</f>
        <v>613422.4230630144</v>
      </c>
      <c r="AD33" s="55">
        <f t="shared" ca="1" si="46"/>
        <v>-223422.4230630144</v>
      </c>
      <c r="AE33" s="93">
        <f t="shared" ca="1" si="16"/>
        <v>2453689.6922520576</v>
      </c>
    </row>
    <row r="34" spans="1:31" s="3" customFormat="1" x14ac:dyDescent="0.35">
      <c r="A34" s="94" t="s">
        <v>305</v>
      </c>
      <c r="B34" s="81" t="s">
        <v>266</v>
      </c>
      <c r="C34" s="48" t="s">
        <v>36</v>
      </c>
      <c r="D34" s="48" t="s">
        <v>37</v>
      </c>
      <c r="E34" s="48"/>
      <c r="F34" s="48">
        <v>32.76</v>
      </c>
      <c r="G34" s="48">
        <v>2.29</v>
      </c>
      <c r="H34" s="82">
        <f t="shared" si="41"/>
        <v>33.905000000000001</v>
      </c>
      <c r="I34" s="82">
        <f t="shared" si="42"/>
        <v>35.049999999999997</v>
      </c>
      <c r="J34" s="49">
        <v>3545</v>
      </c>
      <c r="K34" s="50">
        <v>0</v>
      </c>
      <c r="L34" s="81">
        <v>200</v>
      </c>
      <c r="M34" s="48">
        <v>0</v>
      </c>
      <c r="N34" s="49">
        <f t="shared" si="47"/>
        <v>3390.5</v>
      </c>
      <c r="O34" s="108">
        <f t="shared" si="48"/>
        <v>3745</v>
      </c>
      <c r="P34" s="79">
        <f t="shared" si="49"/>
        <v>94.101165019908564</v>
      </c>
      <c r="Q34" s="53">
        <f t="shared" si="50"/>
        <v>9.4700000000000006E-2</v>
      </c>
      <c r="R34" s="54">
        <f t="shared" si="51"/>
        <v>354.5</v>
      </c>
      <c r="S34" s="53">
        <v>0.8</v>
      </c>
      <c r="T34" s="54">
        <f t="shared" si="43"/>
        <v>2996</v>
      </c>
      <c r="U34" s="53">
        <f t="shared" si="44"/>
        <v>0.10529999999999995</v>
      </c>
      <c r="V34" s="54">
        <f t="shared" si="45"/>
        <v>394.34849999999983</v>
      </c>
      <c r="W34" s="55">
        <f ca="1">V34*VLOOKUP(TODAY(),'UF HOY'!$A$2:$B$36,2,0)</f>
        <v>15669019.638089994</v>
      </c>
      <c r="X34" s="56">
        <f>Datos!$K$9</f>
        <v>24</v>
      </c>
      <c r="Y34" s="55">
        <f ca="1">IF((W34-Datos!$U$9-1000000)/X34&gt;0,(W34-Datos!$U$9-1000000)/X34,0)</f>
        <v>607042.48492041638</v>
      </c>
      <c r="Z34" s="56">
        <f>Datos!$K$9</f>
        <v>24</v>
      </c>
      <c r="AA34" s="55">
        <f ca="1">IF((W34-Datos!$U$9-1000000-O34*4%*VLOOKUP(TODAY(),'UF HOY'!$A$2:$B$36,2,0))/Z34&gt;0,(W34-Datos!$U$9-1000000-O34*4%*VLOOKUP(TODAY(),'UF HOY'!$A$2:$B$36,2,0))/Z34,0)</f>
        <v>359036.47608708305</v>
      </c>
      <c r="AB34" s="55">
        <f>IF(L34&gt;0,VLOOKUP(D34,Datos!$A$6:$C$10,3,0),VLOOKUP(D34,Datos!$A$6:$C$10,2,0))</f>
        <v>390000</v>
      </c>
      <c r="AC34" s="55">
        <f ca="1">(S34*PMT(Datos!$G$15,Datos!$G$14,-O34,,)*VLOOKUP(TODAY(),'UF HOY'!$A$2:$B$36,2,0)/12)+VLOOKUP(TODAY(),'UF HOY'!$A$2:$B$36,2,0)</f>
        <v>613422.4230630144</v>
      </c>
      <c r="AD34" s="55">
        <f t="shared" ca="1" si="46"/>
        <v>-223422.4230630144</v>
      </c>
      <c r="AE34" s="93">
        <f t="shared" ca="1" si="16"/>
        <v>2453689.6922520576</v>
      </c>
    </row>
    <row r="35" spans="1:31" s="3" customFormat="1" x14ac:dyDescent="0.35">
      <c r="A35" s="94" t="s">
        <v>305</v>
      </c>
      <c r="B35" s="81" t="s">
        <v>206</v>
      </c>
      <c r="C35" s="48" t="s">
        <v>36</v>
      </c>
      <c r="D35" s="48" t="s">
        <v>37</v>
      </c>
      <c r="E35" s="48"/>
      <c r="F35" s="48">
        <v>35.03</v>
      </c>
      <c r="G35" s="48">
        <v>2.29</v>
      </c>
      <c r="H35" s="82">
        <f t="shared" si="41"/>
        <v>36.175000000000004</v>
      </c>
      <c r="I35" s="82">
        <f t="shared" si="42"/>
        <v>37.32</v>
      </c>
      <c r="J35" s="49">
        <v>3550</v>
      </c>
      <c r="K35" s="50">
        <v>0</v>
      </c>
      <c r="L35" s="81">
        <v>200</v>
      </c>
      <c r="M35" s="48">
        <v>0</v>
      </c>
      <c r="N35" s="49">
        <f t="shared" si="47"/>
        <v>3395</v>
      </c>
      <c r="O35" s="108">
        <f t="shared" si="48"/>
        <v>3750</v>
      </c>
      <c r="P35" s="79">
        <f t="shared" si="49"/>
        <v>88.320663441603301</v>
      </c>
      <c r="Q35" s="53">
        <f t="shared" si="50"/>
        <v>9.4700000000000006E-2</v>
      </c>
      <c r="R35" s="54">
        <f t="shared" si="51"/>
        <v>355</v>
      </c>
      <c r="S35" s="53">
        <v>0.8</v>
      </c>
      <c r="T35" s="54">
        <f t="shared" si="43"/>
        <v>3000</v>
      </c>
      <c r="U35" s="53">
        <f t="shared" si="44"/>
        <v>0.10529999999999995</v>
      </c>
      <c r="V35" s="54">
        <f t="shared" si="45"/>
        <v>394.87499999999983</v>
      </c>
      <c r="W35" s="55">
        <f ca="1">V35*VLOOKUP(TODAY(),'UF HOY'!$A$2:$B$36,2,0)</f>
        <v>15689939.557499994</v>
      </c>
      <c r="X35" s="56">
        <f>Datos!$K$9</f>
        <v>24</v>
      </c>
      <c r="Y35" s="55">
        <f ca="1">IF((W35-Datos!$U$9-1000000)/X35&gt;0,(W35-Datos!$U$9-1000000)/X35,0)</f>
        <v>607914.1482291664</v>
      </c>
      <c r="Z35" s="56">
        <f>Datos!$K$9</f>
        <v>24</v>
      </c>
      <c r="AA35" s="55">
        <f ca="1">IF((W35-Datos!$U$9-1000000-O35*4%*VLOOKUP(TODAY(),'UF HOY'!$A$2:$B$36,2,0))/Z35&gt;0,(W35-Datos!$U$9-1000000-O35*4%*VLOOKUP(TODAY(),'UF HOY'!$A$2:$B$36,2,0))/Z35,0)</f>
        <v>359577.0232291664</v>
      </c>
      <c r="AB35" s="55">
        <f>IF(L35&gt;0,VLOOKUP(D35,Datos!$A$6:$C$10,3,0),VLOOKUP(D35,Datos!$A$6:$C$10,2,0))</f>
        <v>390000</v>
      </c>
      <c r="AC35" s="55">
        <f ca="1">(S35*PMT(Datos!$G$15,Datos!$G$14,-O35,,)*VLOOKUP(TODAY(),'UF HOY'!$A$2:$B$36,2,0)/12)+VLOOKUP(TODAY(),'UF HOY'!$A$2:$B$36,2,0)</f>
        <v>614188.36229273793</v>
      </c>
      <c r="AD35" s="55">
        <f t="shared" ca="1" si="46"/>
        <v>-224188.36229273793</v>
      </c>
      <c r="AE35" s="93">
        <f t="shared" ca="1" si="16"/>
        <v>2456753.4491709517</v>
      </c>
    </row>
    <row r="36" spans="1:31" s="3" customFormat="1" x14ac:dyDescent="0.35">
      <c r="A36" s="94" t="s">
        <v>305</v>
      </c>
      <c r="B36" s="81" t="s">
        <v>353</v>
      </c>
      <c r="C36" s="48" t="s">
        <v>41</v>
      </c>
      <c r="D36" s="48" t="s">
        <v>37</v>
      </c>
      <c r="E36" s="48"/>
      <c r="F36" s="48">
        <v>32.6</v>
      </c>
      <c r="G36" s="48">
        <v>5.77</v>
      </c>
      <c r="H36" s="82">
        <f t="shared" si="41"/>
        <v>35.484999999999999</v>
      </c>
      <c r="I36" s="82">
        <f t="shared" si="42"/>
        <v>38.370000000000005</v>
      </c>
      <c r="J36" s="49">
        <v>3550</v>
      </c>
      <c r="K36" s="50">
        <v>0</v>
      </c>
      <c r="L36" s="81">
        <v>200</v>
      </c>
      <c r="M36" s="48">
        <v>0</v>
      </c>
      <c r="N36" s="49">
        <f t="shared" si="47"/>
        <v>3395</v>
      </c>
      <c r="O36" s="108">
        <f t="shared" si="48"/>
        <v>3750</v>
      </c>
      <c r="P36" s="79">
        <f t="shared" si="49"/>
        <v>90.038044244046787</v>
      </c>
      <c r="Q36" s="53">
        <f t="shared" si="50"/>
        <v>9.4700000000000006E-2</v>
      </c>
      <c r="R36" s="54">
        <f t="shared" si="51"/>
        <v>355</v>
      </c>
      <c r="S36" s="53">
        <v>0.8</v>
      </c>
      <c r="T36" s="54">
        <f t="shared" si="43"/>
        <v>3000</v>
      </c>
      <c r="U36" s="53">
        <f t="shared" si="44"/>
        <v>0.10529999999999995</v>
      </c>
      <c r="V36" s="54">
        <f t="shared" si="45"/>
        <v>394.87499999999983</v>
      </c>
      <c r="W36" s="55">
        <f ca="1">V36*VLOOKUP(TODAY(),'UF HOY'!$A$2:$B$36,2,0)</f>
        <v>15689939.557499994</v>
      </c>
      <c r="X36" s="56">
        <f>Datos!$K$9</f>
        <v>24</v>
      </c>
      <c r="Y36" s="55">
        <f ca="1">IF((W36-Datos!$U$9-1000000)/X36&gt;0,(W36-Datos!$U$9-1000000)/X36,0)</f>
        <v>607914.1482291664</v>
      </c>
      <c r="Z36" s="56">
        <f>Datos!$K$9</f>
        <v>24</v>
      </c>
      <c r="AA36" s="55">
        <f ca="1">IF((W36-Datos!$U$9-1000000-O36*4%*VLOOKUP(TODAY(),'UF HOY'!$A$2:$B$36,2,0))/Z36&gt;0,(W36-Datos!$U$9-1000000-O36*4%*VLOOKUP(TODAY(),'UF HOY'!$A$2:$B$36,2,0))/Z36,0)</f>
        <v>359577.0232291664</v>
      </c>
      <c r="AB36" s="55">
        <f>IF(L36&gt;0,VLOOKUP(D36,Datos!$A$6:$C$10,3,0),VLOOKUP(D36,Datos!$A$6:$C$10,2,0))</f>
        <v>390000</v>
      </c>
      <c r="AC36" s="55">
        <f ca="1">(S36*PMT(Datos!$G$15,Datos!$G$14,-O36,,)*VLOOKUP(TODAY(),'UF HOY'!$A$2:$B$36,2,0)/12)+VLOOKUP(TODAY(),'UF HOY'!$A$2:$B$36,2,0)</f>
        <v>614188.36229273793</v>
      </c>
      <c r="AD36" s="55">
        <f t="shared" ca="1" si="46"/>
        <v>-224188.36229273793</v>
      </c>
      <c r="AE36" s="93">
        <f t="shared" ca="1" si="16"/>
        <v>2456753.4491709517</v>
      </c>
    </row>
    <row r="37" spans="1:31" s="3" customFormat="1" x14ac:dyDescent="0.35">
      <c r="A37" s="94" t="s">
        <v>305</v>
      </c>
      <c r="B37" s="81" t="s">
        <v>201</v>
      </c>
      <c r="C37" s="48" t="s">
        <v>36</v>
      </c>
      <c r="D37" s="48" t="s">
        <v>37</v>
      </c>
      <c r="E37" s="48"/>
      <c r="F37" s="48">
        <v>33.549999999999997</v>
      </c>
      <c r="G37" s="48">
        <v>2.29</v>
      </c>
      <c r="H37" s="82">
        <f t="shared" si="41"/>
        <v>34.695</v>
      </c>
      <c r="I37" s="82">
        <f t="shared" si="42"/>
        <v>35.839999999999996</v>
      </c>
      <c r="J37" s="49">
        <v>3555</v>
      </c>
      <c r="K37" s="50">
        <v>0</v>
      </c>
      <c r="L37" s="81">
        <v>200</v>
      </c>
      <c r="M37" s="48">
        <v>0</v>
      </c>
      <c r="N37" s="49">
        <f t="shared" si="47"/>
        <v>3399.5</v>
      </c>
      <c r="O37" s="108">
        <f t="shared" si="48"/>
        <v>3755</v>
      </c>
      <c r="P37" s="79">
        <f t="shared" si="49"/>
        <v>92.217898832684824</v>
      </c>
      <c r="Q37" s="53">
        <f t="shared" si="50"/>
        <v>9.4700000000000006E-2</v>
      </c>
      <c r="R37" s="54">
        <f t="shared" si="51"/>
        <v>355.5</v>
      </c>
      <c r="S37" s="53">
        <v>0.8</v>
      </c>
      <c r="T37" s="54">
        <f t="shared" si="43"/>
        <v>3004</v>
      </c>
      <c r="U37" s="53">
        <f t="shared" si="44"/>
        <v>0.10529999999999995</v>
      </c>
      <c r="V37" s="54">
        <f t="shared" si="45"/>
        <v>395.40149999999983</v>
      </c>
      <c r="W37" s="55">
        <f ca="1">V37*VLOOKUP(TODAY(),'UF HOY'!$A$2:$B$36,2,0)</f>
        <v>15710859.476909993</v>
      </c>
      <c r="X37" s="56">
        <f>Datos!$K$9</f>
        <v>24</v>
      </c>
      <c r="Y37" s="55">
        <f ca="1">IF((W37-Datos!$U$9-1000000)/X37&gt;0,(W37-Datos!$U$9-1000000)/X37,0)</f>
        <v>608785.81153791642</v>
      </c>
      <c r="Z37" s="56">
        <f>Datos!$K$9</f>
        <v>24</v>
      </c>
      <c r="AA37" s="55">
        <f ca="1">IF((W37-Datos!$U$9-1000000-O37*4%*VLOOKUP(TODAY(),'UF HOY'!$A$2:$B$36,2,0))/Z37&gt;0,(W37-Datos!$U$9-1000000-O37*4%*VLOOKUP(TODAY(),'UF HOY'!$A$2:$B$36,2,0))/Z37,0)</f>
        <v>360117.57037124969</v>
      </c>
      <c r="AB37" s="55">
        <f>IF(L37&gt;0,VLOOKUP(D37,Datos!$A$6:$C$10,3,0),VLOOKUP(D37,Datos!$A$6:$C$10,2,0))</f>
        <v>390000</v>
      </c>
      <c r="AC37" s="55">
        <f ca="1">(S37*PMT(Datos!$G$15,Datos!$G$14,-O37,,)*VLOOKUP(TODAY(),'UF HOY'!$A$2:$B$36,2,0)/12)+VLOOKUP(TODAY(),'UF HOY'!$A$2:$B$36,2,0)</f>
        <v>614954.3015224617</v>
      </c>
      <c r="AD37" s="55">
        <f t="shared" ca="1" si="46"/>
        <v>-224954.3015224617</v>
      </c>
      <c r="AE37" s="93">
        <f t="shared" ca="1" si="16"/>
        <v>2459817.2060898468</v>
      </c>
    </row>
    <row r="38" spans="1:31" s="3" customFormat="1" x14ac:dyDescent="0.35">
      <c r="A38" s="94" t="s">
        <v>305</v>
      </c>
      <c r="B38" s="81" t="s">
        <v>200</v>
      </c>
      <c r="C38" s="48" t="s">
        <v>36</v>
      </c>
      <c r="D38" s="48" t="s">
        <v>37</v>
      </c>
      <c r="E38" s="48"/>
      <c r="F38" s="48">
        <v>33.549999999999997</v>
      </c>
      <c r="G38" s="48">
        <v>2.29</v>
      </c>
      <c r="H38" s="82">
        <f t="shared" si="41"/>
        <v>34.695</v>
      </c>
      <c r="I38" s="82">
        <f t="shared" si="42"/>
        <v>35.839999999999996</v>
      </c>
      <c r="J38" s="49">
        <v>3555</v>
      </c>
      <c r="K38" s="50">
        <v>0</v>
      </c>
      <c r="L38" s="81">
        <v>200</v>
      </c>
      <c r="M38" s="48">
        <v>0</v>
      </c>
      <c r="N38" s="49">
        <f t="shared" si="47"/>
        <v>3399.5</v>
      </c>
      <c r="O38" s="108">
        <f t="shared" si="48"/>
        <v>3755</v>
      </c>
      <c r="P38" s="79">
        <f t="shared" si="49"/>
        <v>92.217898832684824</v>
      </c>
      <c r="Q38" s="53">
        <f t="shared" si="50"/>
        <v>9.4700000000000006E-2</v>
      </c>
      <c r="R38" s="54">
        <f t="shared" si="51"/>
        <v>355.5</v>
      </c>
      <c r="S38" s="53">
        <v>0.8</v>
      </c>
      <c r="T38" s="54">
        <f t="shared" si="43"/>
        <v>3004</v>
      </c>
      <c r="U38" s="53">
        <f t="shared" si="44"/>
        <v>0.10529999999999995</v>
      </c>
      <c r="V38" s="54">
        <f t="shared" si="45"/>
        <v>395.40149999999983</v>
      </c>
      <c r="W38" s="55">
        <f ca="1">V38*VLOOKUP(TODAY(),'UF HOY'!$A$2:$B$36,2,0)</f>
        <v>15710859.476909993</v>
      </c>
      <c r="X38" s="56">
        <f>Datos!$K$9</f>
        <v>24</v>
      </c>
      <c r="Y38" s="55">
        <f ca="1">IF((W38-Datos!$U$9-1000000)/X38&gt;0,(W38-Datos!$U$9-1000000)/X38,0)</f>
        <v>608785.81153791642</v>
      </c>
      <c r="Z38" s="56">
        <f>Datos!$K$9</f>
        <v>24</v>
      </c>
      <c r="AA38" s="55">
        <f ca="1">IF((W38-Datos!$U$9-1000000-O38*4%*VLOOKUP(TODAY(),'UF HOY'!$A$2:$B$36,2,0))/Z38&gt;0,(W38-Datos!$U$9-1000000-O38*4%*VLOOKUP(TODAY(),'UF HOY'!$A$2:$B$36,2,0))/Z38,0)</f>
        <v>360117.57037124969</v>
      </c>
      <c r="AB38" s="55">
        <f>IF(L38&gt;0,VLOOKUP(D38,Datos!$A$6:$C$10,3,0),VLOOKUP(D38,Datos!$A$6:$C$10,2,0))</f>
        <v>390000</v>
      </c>
      <c r="AC38" s="55">
        <f ca="1">(S38*PMT(Datos!$G$15,Datos!$G$14,-O38,,)*VLOOKUP(TODAY(),'UF HOY'!$A$2:$B$36,2,0)/12)+VLOOKUP(TODAY(),'UF HOY'!$A$2:$B$36,2,0)</f>
        <v>614954.3015224617</v>
      </c>
      <c r="AD38" s="55">
        <f t="shared" ca="1" si="46"/>
        <v>-224954.3015224617</v>
      </c>
      <c r="AE38" s="93">
        <f t="shared" ca="1" si="16"/>
        <v>2459817.2060898468</v>
      </c>
    </row>
    <row r="39" spans="1:31" s="3" customFormat="1" x14ac:dyDescent="0.35">
      <c r="A39" s="94" t="s">
        <v>305</v>
      </c>
      <c r="B39" s="81" t="s">
        <v>157</v>
      </c>
      <c r="C39" s="48" t="s">
        <v>36</v>
      </c>
      <c r="D39" s="48" t="s">
        <v>37</v>
      </c>
      <c r="E39" s="48"/>
      <c r="F39" s="48">
        <v>33.58</v>
      </c>
      <c r="G39" s="48">
        <v>2.29</v>
      </c>
      <c r="H39" s="82">
        <f t="shared" si="41"/>
        <v>34.725000000000001</v>
      </c>
      <c r="I39" s="82">
        <f t="shared" si="42"/>
        <v>35.869999999999997</v>
      </c>
      <c r="J39" s="49">
        <v>3555</v>
      </c>
      <c r="K39" s="50">
        <v>0</v>
      </c>
      <c r="L39" s="81">
        <v>200</v>
      </c>
      <c r="M39" s="48">
        <v>0</v>
      </c>
      <c r="N39" s="49">
        <f t="shared" si="47"/>
        <v>3399.5</v>
      </c>
      <c r="O39" s="108">
        <f t="shared" si="48"/>
        <v>3755</v>
      </c>
      <c r="P39" s="79">
        <f t="shared" si="49"/>
        <v>92.138228941684659</v>
      </c>
      <c r="Q39" s="53">
        <f t="shared" si="50"/>
        <v>9.4700000000000006E-2</v>
      </c>
      <c r="R39" s="54">
        <f t="shared" si="51"/>
        <v>355.5</v>
      </c>
      <c r="S39" s="53">
        <v>0.8</v>
      </c>
      <c r="T39" s="54">
        <f t="shared" si="43"/>
        <v>3004</v>
      </c>
      <c r="U39" s="53">
        <f t="shared" si="44"/>
        <v>0.10529999999999995</v>
      </c>
      <c r="V39" s="54">
        <f t="shared" si="45"/>
        <v>395.40149999999983</v>
      </c>
      <c r="W39" s="55">
        <f ca="1">V39*VLOOKUP(TODAY(),'UF HOY'!$A$2:$B$36,2,0)</f>
        <v>15710859.476909993</v>
      </c>
      <c r="X39" s="56">
        <f>Datos!$K$9</f>
        <v>24</v>
      </c>
      <c r="Y39" s="55">
        <f ca="1">IF((W39-Datos!$U$9-1000000)/X39&gt;0,(W39-Datos!$U$9-1000000)/X39,0)</f>
        <v>608785.81153791642</v>
      </c>
      <c r="Z39" s="56">
        <f>Datos!$K$9</f>
        <v>24</v>
      </c>
      <c r="AA39" s="55">
        <f ca="1">IF((W39-Datos!$U$9-1000000-O39*4%*VLOOKUP(TODAY(),'UF HOY'!$A$2:$B$36,2,0))/Z39&gt;0,(W39-Datos!$U$9-1000000-O39*4%*VLOOKUP(TODAY(),'UF HOY'!$A$2:$B$36,2,0))/Z39,0)</f>
        <v>360117.57037124969</v>
      </c>
      <c r="AB39" s="55">
        <f>IF(L39&gt;0,VLOOKUP(D39,Datos!$A$6:$C$10,3,0),VLOOKUP(D39,Datos!$A$6:$C$10,2,0))</f>
        <v>390000</v>
      </c>
      <c r="AC39" s="55">
        <f ca="1">(S39*PMT(Datos!$G$15,Datos!$G$14,-O39,,)*VLOOKUP(TODAY(),'UF HOY'!$A$2:$B$36,2,0)/12)+VLOOKUP(TODAY(),'UF HOY'!$A$2:$B$36,2,0)</f>
        <v>614954.3015224617</v>
      </c>
      <c r="AD39" s="55">
        <f t="shared" ca="1" si="46"/>
        <v>-224954.3015224617</v>
      </c>
      <c r="AE39" s="93">
        <f t="shared" ca="1" si="16"/>
        <v>2459817.2060898468</v>
      </c>
    </row>
    <row r="40" spans="1:31" s="3" customFormat="1" x14ac:dyDescent="0.35">
      <c r="A40" s="94" t="s">
        <v>305</v>
      </c>
      <c r="B40" s="81" t="s">
        <v>147</v>
      </c>
      <c r="C40" s="48" t="s">
        <v>36</v>
      </c>
      <c r="D40" s="48" t="s">
        <v>37</v>
      </c>
      <c r="E40" s="48"/>
      <c r="F40" s="48">
        <v>33.58</v>
      </c>
      <c r="G40" s="48">
        <v>2.29</v>
      </c>
      <c r="H40" s="82">
        <f t="shared" si="41"/>
        <v>34.725000000000001</v>
      </c>
      <c r="I40" s="82">
        <f t="shared" si="42"/>
        <v>35.869999999999997</v>
      </c>
      <c r="J40" s="49">
        <v>3555</v>
      </c>
      <c r="K40" s="50">
        <v>0</v>
      </c>
      <c r="L40" s="81">
        <v>200</v>
      </c>
      <c r="M40" s="48">
        <v>0</v>
      </c>
      <c r="N40" s="49">
        <f t="shared" si="47"/>
        <v>3399.5</v>
      </c>
      <c r="O40" s="108">
        <f t="shared" si="48"/>
        <v>3755</v>
      </c>
      <c r="P40" s="79">
        <f t="shared" si="49"/>
        <v>92.138228941684659</v>
      </c>
      <c r="Q40" s="53">
        <f t="shared" si="50"/>
        <v>9.4700000000000006E-2</v>
      </c>
      <c r="R40" s="54">
        <f t="shared" si="51"/>
        <v>355.5</v>
      </c>
      <c r="S40" s="53">
        <v>0.8</v>
      </c>
      <c r="T40" s="54">
        <f t="shared" si="43"/>
        <v>3004</v>
      </c>
      <c r="U40" s="53">
        <f t="shared" si="44"/>
        <v>0.10529999999999995</v>
      </c>
      <c r="V40" s="54">
        <f t="shared" si="45"/>
        <v>395.40149999999983</v>
      </c>
      <c r="W40" s="55">
        <f ca="1">V40*VLOOKUP(TODAY(),'UF HOY'!$A$2:$B$36,2,0)</f>
        <v>15710859.476909993</v>
      </c>
      <c r="X40" s="56">
        <f>Datos!$K$9</f>
        <v>24</v>
      </c>
      <c r="Y40" s="55">
        <f ca="1">IF((W40-Datos!$U$9-1000000)/X40&gt;0,(W40-Datos!$U$9-1000000)/X40,0)</f>
        <v>608785.81153791642</v>
      </c>
      <c r="Z40" s="56">
        <f>Datos!$K$9</f>
        <v>24</v>
      </c>
      <c r="AA40" s="55">
        <f ca="1">IF((W40-Datos!$U$9-1000000-O40*4%*VLOOKUP(TODAY(),'UF HOY'!$A$2:$B$36,2,0))/Z40&gt;0,(W40-Datos!$U$9-1000000-O40*4%*VLOOKUP(TODAY(),'UF HOY'!$A$2:$B$36,2,0))/Z40,0)</f>
        <v>360117.57037124969</v>
      </c>
      <c r="AB40" s="55">
        <f>IF(L40&gt;0,VLOOKUP(D40,Datos!$A$6:$C$10,3,0),VLOOKUP(D40,Datos!$A$6:$C$10,2,0))</f>
        <v>390000</v>
      </c>
      <c r="AC40" s="55">
        <f ca="1">(S40*PMT(Datos!$G$15,Datos!$G$14,-O40,,)*VLOOKUP(TODAY(),'UF HOY'!$A$2:$B$36,2,0)/12)+VLOOKUP(TODAY(),'UF HOY'!$A$2:$B$36,2,0)</f>
        <v>614954.3015224617</v>
      </c>
      <c r="AD40" s="55">
        <f t="shared" ca="1" si="46"/>
        <v>-224954.3015224617</v>
      </c>
      <c r="AE40" s="93">
        <f t="shared" ca="1" si="16"/>
        <v>2459817.2060898468</v>
      </c>
    </row>
    <row r="41" spans="1:31" s="3" customFormat="1" x14ac:dyDescent="0.35">
      <c r="A41" s="94" t="s">
        <v>305</v>
      </c>
      <c r="B41" s="81" t="s">
        <v>222</v>
      </c>
      <c r="C41" s="48" t="s">
        <v>41</v>
      </c>
      <c r="D41" s="48" t="s">
        <v>37</v>
      </c>
      <c r="E41" s="48"/>
      <c r="F41" s="48">
        <v>32.76</v>
      </c>
      <c r="G41" s="48">
        <v>2.29</v>
      </c>
      <c r="H41" s="82">
        <f t="shared" si="41"/>
        <v>33.905000000000001</v>
      </c>
      <c r="I41" s="82">
        <f t="shared" si="42"/>
        <v>35.049999999999997</v>
      </c>
      <c r="J41" s="49">
        <v>3560</v>
      </c>
      <c r="K41" s="50">
        <v>0</v>
      </c>
      <c r="L41" s="81">
        <v>200</v>
      </c>
      <c r="M41" s="48">
        <v>0</v>
      </c>
      <c r="N41" s="49">
        <f t="shared" si="47"/>
        <v>3404</v>
      </c>
      <c r="O41" s="108">
        <f t="shared" si="48"/>
        <v>3760</v>
      </c>
      <c r="P41" s="79">
        <f t="shared" si="49"/>
        <v>94.499336381064737</v>
      </c>
      <c r="Q41" s="53">
        <f t="shared" si="50"/>
        <v>9.4700000000000006E-2</v>
      </c>
      <c r="R41" s="54">
        <f t="shared" si="51"/>
        <v>356</v>
      </c>
      <c r="S41" s="53">
        <v>0.8</v>
      </c>
      <c r="T41" s="54">
        <f t="shared" si="43"/>
        <v>3008</v>
      </c>
      <c r="U41" s="53">
        <f t="shared" si="44"/>
        <v>0.10529999999999995</v>
      </c>
      <c r="V41" s="54">
        <f t="shared" si="45"/>
        <v>395.92799999999983</v>
      </c>
      <c r="W41" s="55">
        <f ca="1">V41*VLOOKUP(TODAY(),'UF HOY'!$A$2:$B$36,2,0)</f>
        <v>15731779.396319995</v>
      </c>
      <c r="X41" s="56">
        <f>Datos!$K$9</f>
        <v>24</v>
      </c>
      <c r="Y41" s="55">
        <f ca="1">IF((W41-Datos!$U$9-1000000)/X41&gt;0,(W41-Datos!$U$9-1000000)/X41,0)</f>
        <v>609657.47484666645</v>
      </c>
      <c r="Z41" s="56">
        <f>Datos!$K$9</f>
        <v>24</v>
      </c>
      <c r="AA41" s="55">
        <f ca="1">IF((W41-Datos!$U$9-1000000-O41*4%*VLOOKUP(TODAY(),'UF HOY'!$A$2:$B$36,2,0))/Z41&gt;0,(W41-Datos!$U$9-1000000-O41*4%*VLOOKUP(TODAY(),'UF HOY'!$A$2:$B$36,2,0))/Z41,0)</f>
        <v>360658.11751333316</v>
      </c>
      <c r="AB41" s="55">
        <f>IF(L41&gt;0,VLOOKUP(D41,Datos!$A$6:$C$10,3,0),VLOOKUP(D41,Datos!$A$6:$C$10,2,0))</f>
        <v>390000</v>
      </c>
      <c r="AC41" s="55">
        <f ca="1">(S41*PMT(Datos!$G$15,Datos!$G$14,-O41,,)*VLOOKUP(TODAY(),'UF HOY'!$A$2:$B$36,2,0)/12)+VLOOKUP(TODAY(),'UF HOY'!$A$2:$B$36,2,0)</f>
        <v>615720.24075218523</v>
      </c>
      <c r="AD41" s="55">
        <f t="shared" ca="1" si="46"/>
        <v>-225720.24075218523</v>
      </c>
      <c r="AE41" s="93">
        <f t="shared" ca="1" si="16"/>
        <v>2462880.9630087409</v>
      </c>
    </row>
    <row r="42" spans="1:31" s="3" customFormat="1" hidden="1" x14ac:dyDescent="0.35">
      <c r="A42" s="94" t="s">
        <v>342</v>
      </c>
      <c r="B42" s="81" t="s">
        <v>268</v>
      </c>
      <c r="C42" s="48" t="s">
        <v>41</v>
      </c>
      <c r="D42" s="48" t="s">
        <v>37</v>
      </c>
      <c r="E42" s="48"/>
      <c r="F42" s="48">
        <v>32.93</v>
      </c>
      <c r="G42" s="48">
        <v>2.29</v>
      </c>
      <c r="H42" s="82">
        <f t="shared" si="41"/>
        <v>34.075000000000003</v>
      </c>
      <c r="I42" s="82">
        <f t="shared" si="42"/>
        <v>35.22</v>
      </c>
      <c r="J42" s="49">
        <v>3560</v>
      </c>
      <c r="K42" s="50">
        <v>0</v>
      </c>
      <c r="L42" s="81">
        <v>200</v>
      </c>
      <c r="M42" s="48">
        <v>0</v>
      </c>
      <c r="N42" s="49">
        <f t="shared" si="47"/>
        <v>3404</v>
      </c>
      <c r="O42" s="108">
        <f t="shared" si="48"/>
        <v>3760</v>
      </c>
      <c r="P42" s="79">
        <f t="shared" si="49"/>
        <v>94.027879677182682</v>
      </c>
      <c r="Q42" s="53">
        <f t="shared" si="50"/>
        <v>9.4700000000000006E-2</v>
      </c>
      <c r="R42" s="54">
        <f t="shared" si="51"/>
        <v>356</v>
      </c>
      <c r="S42" s="53">
        <v>0.8</v>
      </c>
      <c r="T42" s="54">
        <f t="shared" si="43"/>
        <v>3008</v>
      </c>
      <c r="U42" s="53">
        <f t="shared" si="44"/>
        <v>0.10529999999999995</v>
      </c>
      <c r="V42" s="54">
        <f t="shared" si="45"/>
        <v>395.92799999999983</v>
      </c>
      <c r="W42" s="55">
        <f ca="1">V42*VLOOKUP(TODAY(),'UF HOY'!$A$2:$B$36,2,0)</f>
        <v>15731779.396319995</v>
      </c>
      <c r="X42" s="56">
        <f>Datos!$K$9</f>
        <v>24</v>
      </c>
      <c r="Y42" s="55">
        <f ca="1">IF((W42-Datos!$U$9-1000000)/X42&gt;0,(W42-Datos!$U$9-1000000)/X42,0)</f>
        <v>609657.47484666645</v>
      </c>
      <c r="Z42" s="56">
        <f>Datos!$K$9</f>
        <v>24</v>
      </c>
      <c r="AA42" s="55">
        <f ca="1">IF((W42-Datos!$U$9-1000000-O42*4%*VLOOKUP(TODAY(),'UF HOY'!$A$2:$B$36,2,0))/Z42&gt;0,(W42-Datos!$U$9-1000000-O42*4%*VLOOKUP(TODAY(),'UF HOY'!$A$2:$B$36,2,0))/Z42,0)</f>
        <v>360658.11751333316</v>
      </c>
      <c r="AB42" s="55">
        <f>IF(L42&gt;0,VLOOKUP(D42,Datos!$A$6:$C$10,3,0),VLOOKUP(D42,Datos!$A$6:$C$10,2,0))</f>
        <v>390000</v>
      </c>
      <c r="AC42" s="55">
        <f ca="1">(S42*PMT(Datos!$G$15,Datos!$G$14,-O42,,)*VLOOKUP(TODAY(),'UF HOY'!$A$2:$B$36,2,0)/12)+VLOOKUP(TODAY(),'UF HOY'!$A$2:$B$36,2,0)</f>
        <v>615720.24075218523</v>
      </c>
      <c r="AD42" s="55">
        <f t="shared" ca="1" si="46"/>
        <v>-225720.24075218523</v>
      </c>
      <c r="AE42" s="93">
        <f t="shared" ca="1" si="16"/>
        <v>2462880.9630087409</v>
      </c>
    </row>
    <row r="43" spans="1:31" s="3" customFormat="1" x14ac:dyDescent="0.35">
      <c r="A43" s="94" t="s">
        <v>305</v>
      </c>
      <c r="B43" s="81" t="s">
        <v>143</v>
      </c>
      <c r="C43" s="48" t="s">
        <v>40</v>
      </c>
      <c r="D43" s="48" t="s">
        <v>37</v>
      </c>
      <c r="E43" s="48"/>
      <c r="F43" s="48">
        <v>32.76</v>
      </c>
      <c r="G43" s="48">
        <v>2.29</v>
      </c>
      <c r="H43" s="82">
        <f t="shared" si="41"/>
        <v>33.905000000000001</v>
      </c>
      <c r="I43" s="82">
        <f t="shared" si="42"/>
        <v>35.049999999999997</v>
      </c>
      <c r="J43" s="49">
        <v>3565</v>
      </c>
      <c r="K43" s="50">
        <v>0</v>
      </c>
      <c r="L43" s="81">
        <v>200</v>
      </c>
      <c r="M43" s="48">
        <v>0</v>
      </c>
      <c r="N43" s="49">
        <f t="shared" si="47"/>
        <v>3408.5</v>
      </c>
      <c r="O43" s="108">
        <f t="shared" si="48"/>
        <v>3765</v>
      </c>
      <c r="P43" s="79">
        <f t="shared" si="49"/>
        <v>94.632060168116794</v>
      </c>
      <c r="Q43" s="53">
        <f t="shared" si="50"/>
        <v>9.4700000000000006E-2</v>
      </c>
      <c r="R43" s="54">
        <f t="shared" si="51"/>
        <v>356.5</v>
      </c>
      <c r="S43" s="53">
        <v>0.8</v>
      </c>
      <c r="T43" s="54">
        <f t="shared" si="43"/>
        <v>3012</v>
      </c>
      <c r="U43" s="53">
        <f t="shared" si="44"/>
        <v>0.10529999999999995</v>
      </c>
      <c r="V43" s="54">
        <f t="shared" si="45"/>
        <v>396.45449999999983</v>
      </c>
      <c r="W43" s="55">
        <f ca="1">V43*VLOOKUP(TODAY(),'UF HOY'!$A$2:$B$36,2,0)</f>
        <v>15752699.315729994</v>
      </c>
      <c r="X43" s="56">
        <f>Datos!$K$9</f>
        <v>24</v>
      </c>
      <c r="Y43" s="55">
        <f ca="1">IF((W43-Datos!$U$9-1000000)/X43&gt;0,(W43-Datos!$U$9-1000000)/X43,0)</f>
        <v>610529.13815541647</v>
      </c>
      <c r="Z43" s="56">
        <f>Datos!$K$9</f>
        <v>24</v>
      </c>
      <c r="AA43" s="55">
        <f ca="1">IF((W43-Datos!$U$9-1000000-O43*4%*VLOOKUP(TODAY(),'UF HOY'!$A$2:$B$36,2,0))/Z43&gt;0,(W43-Datos!$U$9-1000000-O43*4%*VLOOKUP(TODAY(),'UF HOY'!$A$2:$B$36,2,0))/Z43,0)</f>
        <v>361198.66465541645</v>
      </c>
      <c r="AB43" s="55">
        <f>IF(L43&gt;0,VLOOKUP(D43,Datos!$A$6:$C$10,3,0),VLOOKUP(D43,Datos!$A$6:$C$10,2,0))</f>
        <v>390000</v>
      </c>
      <c r="AC43" s="55">
        <f ca="1">(S43*PMT(Datos!$G$15,Datos!$G$14,-O43,,)*VLOOKUP(TODAY(),'UF HOY'!$A$2:$B$36,2,0)/12)+VLOOKUP(TODAY(),'UF HOY'!$A$2:$B$36,2,0)</f>
        <v>616486.17998190899</v>
      </c>
      <c r="AD43" s="55">
        <f t="shared" ca="1" si="46"/>
        <v>-226486.17998190899</v>
      </c>
      <c r="AE43" s="93">
        <f t="shared" ca="1" si="16"/>
        <v>2465944.719927636</v>
      </c>
    </row>
    <row r="44" spans="1:31" s="3" customFormat="1" x14ac:dyDescent="0.35">
      <c r="A44" s="94" t="s">
        <v>305</v>
      </c>
      <c r="B44" s="81" t="s">
        <v>316</v>
      </c>
      <c r="C44" s="48" t="s">
        <v>38</v>
      </c>
      <c r="D44" s="48" t="s">
        <v>37</v>
      </c>
      <c r="E44" s="48"/>
      <c r="F44" s="48">
        <v>32.76</v>
      </c>
      <c r="G44" s="48">
        <v>2.29</v>
      </c>
      <c r="H44" s="82">
        <f t="shared" si="41"/>
        <v>33.905000000000001</v>
      </c>
      <c r="I44" s="82">
        <f t="shared" si="42"/>
        <v>35.049999999999997</v>
      </c>
      <c r="J44" s="49">
        <v>3565</v>
      </c>
      <c r="K44" s="50">
        <v>0</v>
      </c>
      <c r="L44" s="81">
        <v>200</v>
      </c>
      <c r="M44" s="48">
        <v>0</v>
      </c>
      <c r="N44" s="49">
        <f t="shared" si="47"/>
        <v>3408.5</v>
      </c>
      <c r="O44" s="108">
        <f t="shared" si="48"/>
        <v>3765</v>
      </c>
      <c r="P44" s="79">
        <f t="shared" si="49"/>
        <v>94.632060168116794</v>
      </c>
      <c r="Q44" s="53">
        <f t="shared" si="50"/>
        <v>9.4700000000000006E-2</v>
      </c>
      <c r="R44" s="54">
        <f t="shared" si="51"/>
        <v>356.5</v>
      </c>
      <c r="S44" s="53">
        <v>0.8</v>
      </c>
      <c r="T44" s="54">
        <f t="shared" si="43"/>
        <v>3012</v>
      </c>
      <c r="U44" s="53">
        <f t="shared" si="44"/>
        <v>0.10529999999999995</v>
      </c>
      <c r="V44" s="54">
        <f t="shared" si="45"/>
        <v>396.45449999999983</v>
      </c>
      <c r="W44" s="55">
        <f ca="1">V44*VLOOKUP(TODAY(),'UF HOY'!$A$2:$B$36,2,0)</f>
        <v>15752699.315729994</v>
      </c>
      <c r="X44" s="56">
        <f>Datos!$K$9</f>
        <v>24</v>
      </c>
      <c r="Y44" s="55">
        <f ca="1">IF((W44-Datos!$U$9-1000000)/X44&gt;0,(W44-Datos!$U$9-1000000)/X44,0)</f>
        <v>610529.13815541647</v>
      </c>
      <c r="Z44" s="56">
        <f>Datos!$K$9</f>
        <v>24</v>
      </c>
      <c r="AA44" s="55">
        <f ca="1">IF((W44-Datos!$U$9-1000000-O44*4%*VLOOKUP(TODAY(),'UF HOY'!$A$2:$B$36,2,0))/Z44&gt;0,(W44-Datos!$U$9-1000000-O44*4%*VLOOKUP(TODAY(),'UF HOY'!$A$2:$B$36,2,0))/Z44,0)</f>
        <v>361198.66465541645</v>
      </c>
      <c r="AB44" s="55">
        <f>IF(L44&gt;0,VLOOKUP(D44,Datos!$A$6:$C$10,3,0),VLOOKUP(D44,Datos!$A$6:$C$10,2,0))</f>
        <v>390000</v>
      </c>
      <c r="AC44" s="55">
        <f ca="1">(S44*PMT(Datos!$G$15,Datos!$G$14,-O44,,)*VLOOKUP(TODAY(),'UF HOY'!$A$2:$B$36,2,0)/12)+VLOOKUP(TODAY(),'UF HOY'!$A$2:$B$36,2,0)</f>
        <v>616486.17998190899</v>
      </c>
      <c r="AD44" s="55">
        <f t="shared" ca="1" si="46"/>
        <v>-226486.17998190899</v>
      </c>
      <c r="AE44" s="93">
        <f t="shared" ca="1" si="16"/>
        <v>2465944.719927636</v>
      </c>
    </row>
    <row r="45" spans="1:31" s="3" customFormat="1" x14ac:dyDescent="0.35">
      <c r="A45" s="94" t="s">
        <v>305</v>
      </c>
      <c r="B45" s="81" t="s">
        <v>317</v>
      </c>
      <c r="C45" s="48" t="s">
        <v>38</v>
      </c>
      <c r="D45" s="48" t="s">
        <v>37</v>
      </c>
      <c r="E45" s="48"/>
      <c r="F45" s="48">
        <v>32.76</v>
      </c>
      <c r="G45" s="48">
        <v>2.29</v>
      </c>
      <c r="H45" s="82">
        <f t="shared" si="41"/>
        <v>33.905000000000001</v>
      </c>
      <c r="I45" s="82">
        <f t="shared" si="42"/>
        <v>35.049999999999997</v>
      </c>
      <c r="J45" s="49">
        <v>3565</v>
      </c>
      <c r="K45" s="50">
        <v>0</v>
      </c>
      <c r="L45" s="81">
        <v>200</v>
      </c>
      <c r="M45" s="48">
        <v>0</v>
      </c>
      <c r="N45" s="49">
        <f t="shared" si="47"/>
        <v>3408.5</v>
      </c>
      <c r="O45" s="108">
        <f t="shared" si="48"/>
        <v>3765</v>
      </c>
      <c r="P45" s="79">
        <f t="shared" si="49"/>
        <v>94.632060168116794</v>
      </c>
      <c r="Q45" s="53">
        <f t="shared" si="50"/>
        <v>9.4700000000000006E-2</v>
      </c>
      <c r="R45" s="54">
        <f t="shared" si="51"/>
        <v>356.5</v>
      </c>
      <c r="S45" s="53">
        <v>0.8</v>
      </c>
      <c r="T45" s="54">
        <f t="shared" si="43"/>
        <v>3012</v>
      </c>
      <c r="U45" s="53">
        <f t="shared" si="44"/>
        <v>0.10529999999999995</v>
      </c>
      <c r="V45" s="54">
        <f t="shared" si="45"/>
        <v>396.45449999999983</v>
      </c>
      <c r="W45" s="55">
        <f ca="1">V45*VLOOKUP(TODAY(),'UF HOY'!$A$2:$B$36,2,0)</f>
        <v>15752699.315729994</v>
      </c>
      <c r="X45" s="56">
        <f>Datos!$K$9</f>
        <v>24</v>
      </c>
      <c r="Y45" s="55">
        <f ca="1">IF((W45-Datos!$U$9-1000000)/X45&gt;0,(W45-Datos!$U$9-1000000)/X45,0)</f>
        <v>610529.13815541647</v>
      </c>
      <c r="Z45" s="56">
        <f>Datos!$K$9</f>
        <v>24</v>
      </c>
      <c r="AA45" s="55">
        <f ca="1">IF((W45-Datos!$U$9-1000000-O45*4%*VLOOKUP(TODAY(),'UF HOY'!$A$2:$B$36,2,0))/Z45&gt;0,(W45-Datos!$U$9-1000000-O45*4%*VLOOKUP(TODAY(),'UF HOY'!$A$2:$B$36,2,0))/Z45,0)</f>
        <v>361198.66465541645</v>
      </c>
      <c r="AB45" s="55">
        <f>IF(L45&gt;0,VLOOKUP(D45,Datos!$A$6:$C$10,3,0),VLOOKUP(D45,Datos!$A$6:$C$10,2,0))</f>
        <v>390000</v>
      </c>
      <c r="AC45" s="55">
        <f ca="1">(S45*PMT(Datos!$G$15,Datos!$G$14,-O45,,)*VLOOKUP(TODAY(),'UF HOY'!$A$2:$B$36,2,0)/12)+VLOOKUP(TODAY(),'UF HOY'!$A$2:$B$36,2,0)</f>
        <v>616486.17998190899</v>
      </c>
      <c r="AD45" s="55">
        <f t="shared" ca="1" si="46"/>
        <v>-226486.17998190899</v>
      </c>
      <c r="AE45" s="93">
        <f t="shared" ca="1" si="16"/>
        <v>2465944.719927636</v>
      </c>
    </row>
    <row r="46" spans="1:31" s="3" customFormat="1" x14ac:dyDescent="0.35">
      <c r="A46" s="94" t="s">
        <v>305</v>
      </c>
      <c r="B46" s="81" t="s">
        <v>158</v>
      </c>
      <c r="C46" s="48" t="s">
        <v>40</v>
      </c>
      <c r="D46" s="48" t="s">
        <v>37</v>
      </c>
      <c r="E46" s="48"/>
      <c r="F46" s="48">
        <v>32.76</v>
      </c>
      <c r="G46" s="48">
        <v>2.29</v>
      </c>
      <c r="H46" s="82">
        <f t="shared" si="41"/>
        <v>33.905000000000001</v>
      </c>
      <c r="I46" s="82">
        <f t="shared" si="42"/>
        <v>35.049999999999997</v>
      </c>
      <c r="J46" s="49">
        <v>3565</v>
      </c>
      <c r="K46" s="50">
        <v>0</v>
      </c>
      <c r="L46" s="81">
        <v>200</v>
      </c>
      <c r="M46" s="48">
        <v>0</v>
      </c>
      <c r="N46" s="49">
        <f t="shared" si="47"/>
        <v>3408.5</v>
      </c>
      <c r="O46" s="108">
        <f t="shared" si="48"/>
        <v>3765</v>
      </c>
      <c r="P46" s="79">
        <f t="shared" si="49"/>
        <v>94.632060168116794</v>
      </c>
      <c r="Q46" s="53">
        <f t="shared" si="50"/>
        <v>9.4700000000000006E-2</v>
      </c>
      <c r="R46" s="54">
        <f t="shared" si="51"/>
        <v>356.5</v>
      </c>
      <c r="S46" s="53">
        <v>0.8</v>
      </c>
      <c r="T46" s="54">
        <f t="shared" si="43"/>
        <v>3012</v>
      </c>
      <c r="U46" s="53">
        <f t="shared" si="44"/>
        <v>0.10529999999999995</v>
      </c>
      <c r="V46" s="54">
        <f t="shared" si="45"/>
        <v>396.45449999999983</v>
      </c>
      <c r="W46" s="55">
        <f ca="1">V46*VLOOKUP(TODAY(),'UF HOY'!$A$2:$B$36,2,0)</f>
        <v>15752699.315729994</v>
      </c>
      <c r="X46" s="56">
        <f>Datos!$K$9</f>
        <v>24</v>
      </c>
      <c r="Y46" s="55">
        <f ca="1">IF((W46-Datos!$U$9-1000000)/X46&gt;0,(W46-Datos!$U$9-1000000)/X46,0)</f>
        <v>610529.13815541647</v>
      </c>
      <c r="Z46" s="56">
        <f>Datos!$K$9</f>
        <v>24</v>
      </c>
      <c r="AA46" s="55">
        <f ca="1">IF((W46-Datos!$U$9-1000000-O46*4%*VLOOKUP(TODAY(),'UF HOY'!$A$2:$B$36,2,0))/Z46&gt;0,(W46-Datos!$U$9-1000000-O46*4%*VLOOKUP(TODAY(),'UF HOY'!$A$2:$B$36,2,0))/Z46,0)</f>
        <v>361198.66465541645</v>
      </c>
      <c r="AB46" s="55">
        <f>IF(L46&gt;0,VLOOKUP(D46,Datos!$A$6:$C$10,3,0),VLOOKUP(D46,Datos!$A$6:$C$10,2,0))</f>
        <v>390000</v>
      </c>
      <c r="AC46" s="55">
        <f ca="1">(S46*PMT(Datos!$G$15,Datos!$G$14,-O46,,)*VLOOKUP(TODAY(),'UF HOY'!$A$2:$B$36,2,0)/12)+VLOOKUP(TODAY(),'UF HOY'!$A$2:$B$36,2,0)</f>
        <v>616486.17998190899</v>
      </c>
      <c r="AD46" s="55">
        <f t="shared" ca="1" si="46"/>
        <v>-226486.17998190899</v>
      </c>
      <c r="AE46" s="93">
        <f t="shared" ca="1" si="16"/>
        <v>2465944.719927636</v>
      </c>
    </row>
    <row r="47" spans="1:31" s="3" customFormat="1" x14ac:dyDescent="0.35">
      <c r="A47" s="94" t="s">
        <v>305</v>
      </c>
      <c r="B47" s="81" t="s">
        <v>318</v>
      </c>
      <c r="C47" s="48" t="s">
        <v>38</v>
      </c>
      <c r="D47" s="48" t="s">
        <v>37</v>
      </c>
      <c r="E47" s="48"/>
      <c r="F47" s="48">
        <v>32.76</v>
      </c>
      <c r="G47" s="48">
        <v>2.29</v>
      </c>
      <c r="H47" s="82">
        <f t="shared" si="41"/>
        <v>33.905000000000001</v>
      </c>
      <c r="I47" s="82">
        <f t="shared" si="42"/>
        <v>35.049999999999997</v>
      </c>
      <c r="J47" s="49">
        <v>3565</v>
      </c>
      <c r="K47" s="50">
        <v>0</v>
      </c>
      <c r="L47" s="81">
        <v>200</v>
      </c>
      <c r="M47" s="48">
        <v>0</v>
      </c>
      <c r="N47" s="49">
        <f t="shared" si="47"/>
        <v>3408.5</v>
      </c>
      <c r="O47" s="108">
        <f t="shared" si="48"/>
        <v>3765</v>
      </c>
      <c r="P47" s="79">
        <f t="shared" si="49"/>
        <v>94.632060168116794</v>
      </c>
      <c r="Q47" s="53">
        <f t="shared" si="50"/>
        <v>9.4700000000000006E-2</v>
      </c>
      <c r="R47" s="54">
        <f t="shared" si="51"/>
        <v>356.5</v>
      </c>
      <c r="S47" s="53">
        <v>0.8</v>
      </c>
      <c r="T47" s="54">
        <f t="shared" si="43"/>
        <v>3012</v>
      </c>
      <c r="U47" s="53">
        <f t="shared" si="44"/>
        <v>0.10529999999999995</v>
      </c>
      <c r="V47" s="54">
        <f t="shared" si="45"/>
        <v>396.45449999999983</v>
      </c>
      <c r="W47" s="55">
        <f ca="1">V47*VLOOKUP(TODAY(),'UF HOY'!$A$2:$B$36,2,0)</f>
        <v>15752699.315729994</v>
      </c>
      <c r="X47" s="56">
        <f>Datos!$K$9</f>
        <v>24</v>
      </c>
      <c r="Y47" s="55">
        <f ca="1">IF((W47-Datos!$U$9-1000000)/X47&gt;0,(W47-Datos!$U$9-1000000)/X47,0)</f>
        <v>610529.13815541647</v>
      </c>
      <c r="Z47" s="56">
        <f>Datos!$K$9</f>
        <v>24</v>
      </c>
      <c r="AA47" s="55">
        <f ca="1">IF((W47-Datos!$U$9-1000000-O47*4%*VLOOKUP(TODAY(),'UF HOY'!$A$2:$B$36,2,0))/Z47&gt;0,(W47-Datos!$U$9-1000000-O47*4%*VLOOKUP(TODAY(),'UF HOY'!$A$2:$B$36,2,0))/Z47,0)</f>
        <v>361198.66465541645</v>
      </c>
      <c r="AB47" s="55">
        <f>IF(L47&gt;0,VLOOKUP(D47,Datos!$A$6:$C$10,3,0),VLOOKUP(D47,Datos!$A$6:$C$10,2,0))</f>
        <v>390000</v>
      </c>
      <c r="AC47" s="55">
        <f ca="1">(S47*PMT(Datos!$G$15,Datos!$G$14,-O47,,)*VLOOKUP(TODAY(),'UF HOY'!$A$2:$B$36,2,0)/12)+VLOOKUP(TODAY(),'UF HOY'!$A$2:$B$36,2,0)</f>
        <v>616486.17998190899</v>
      </c>
      <c r="AD47" s="55">
        <f t="shared" ca="1" si="46"/>
        <v>-226486.17998190899</v>
      </c>
      <c r="AE47" s="93">
        <f t="shared" ca="1" si="16"/>
        <v>2465944.719927636</v>
      </c>
    </row>
    <row r="48" spans="1:31" s="3" customFormat="1" x14ac:dyDescent="0.35">
      <c r="A48" s="94" t="s">
        <v>305</v>
      </c>
      <c r="B48" s="81" t="s">
        <v>198</v>
      </c>
      <c r="C48" s="48" t="s">
        <v>41</v>
      </c>
      <c r="D48" s="48" t="s">
        <v>37</v>
      </c>
      <c r="E48" s="48"/>
      <c r="F48" s="48">
        <v>33.520000000000003</v>
      </c>
      <c r="G48" s="48">
        <v>2.29</v>
      </c>
      <c r="H48" s="82">
        <f t="shared" si="41"/>
        <v>34.665000000000006</v>
      </c>
      <c r="I48" s="82">
        <f t="shared" si="42"/>
        <v>35.81</v>
      </c>
      <c r="J48" s="49">
        <v>3570</v>
      </c>
      <c r="K48" s="50">
        <v>0</v>
      </c>
      <c r="L48" s="81">
        <v>200</v>
      </c>
      <c r="M48" s="48">
        <v>0</v>
      </c>
      <c r="N48" s="49">
        <f t="shared" si="47"/>
        <v>3413</v>
      </c>
      <c r="O48" s="108">
        <f t="shared" si="48"/>
        <v>3770</v>
      </c>
      <c r="P48" s="79">
        <f t="shared" si="49"/>
        <v>92.687148420597126</v>
      </c>
      <c r="Q48" s="53">
        <f t="shared" si="50"/>
        <v>9.4700000000000006E-2</v>
      </c>
      <c r="R48" s="54">
        <f t="shared" si="51"/>
        <v>357</v>
      </c>
      <c r="S48" s="53">
        <v>0.8</v>
      </c>
      <c r="T48" s="54">
        <f t="shared" si="43"/>
        <v>3016</v>
      </c>
      <c r="U48" s="53">
        <f t="shared" si="44"/>
        <v>0.10529999999999995</v>
      </c>
      <c r="V48" s="54">
        <f t="shared" si="45"/>
        <v>396.98099999999982</v>
      </c>
      <c r="W48" s="55">
        <f ca="1">V48*VLOOKUP(TODAY(),'UF HOY'!$A$2:$B$36,2,0)</f>
        <v>15773619.235139994</v>
      </c>
      <c r="X48" s="56">
        <f>Datos!$K$9</f>
        <v>24</v>
      </c>
      <c r="Y48" s="55">
        <f ca="1">IF((W48-Datos!$U$9-1000000)/X48&gt;0,(W48-Datos!$U$9-1000000)/X48,0)</f>
        <v>611400.80146416638</v>
      </c>
      <c r="Z48" s="56">
        <f>Datos!$K$9</f>
        <v>24</v>
      </c>
      <c r="AA48" s="55">
        <f ca="1">IF((W48-Datos!$U$9-1000000-O48*4%*VLOOKUP(TODAY(),'UF HOY'!$A$2:$B$36,2,0))/Z48&gt;0,(W48-Datos!$U$9-1000000-O48*4%*VLOOKUP(TODAY(),'UF HOY'!$A$2:$B$36,2,0))/Z48,0)</f>
        <v>361739.21179749974</v>
      </c>
      <c r="AB48" s="55">
        <f>IF(L48&gt;0,VLOOKUP(D48,Datos!$A$6:$C$10,3,0),VLOOKUP(D48,Datos!$A$6:$C$10,2,0))</f>
        <v>390000</v>
      </c>
      <c r="AC48" s="55">
        <f ca="1">(S48*PMT(Datos!$G$15,Datos!$G$14,-O48,,)*VLOOKUP(TODAY(),'UF HOY'!$A$2:$B$36,2,0)/12)+VLOOKUP(TODAY(),'UF HOY'!$A$2:$B$36,2,0)</f>
        <v>617252.11921163253</v>
      </c>
      <c r="AD48" s="55">
        <f t="shared" ca="1" si="46"/>
        <v>-227252.11921163253</v>
      </c>
      <c r="AE48" s="93">
        <f t="shared" ca="1" si="16"/>
        <v>2469008.4768465301</v>
      </c>
    </row>
    <row r="49" spans="1:31" s="3" customFormat="1" x14ac:dyDescent="0.35">
      <c r="A49" s="94" t="s">
        <v>305</v>
      </c>
      <c r="B49" s="81" t="s">
        <v>227</v>
      </c>
      <c r="C49" s="48" t="s">
        <v>41</v>
      </c>
      <c r="D49" s="48" t="s">
        <v>37</v>
      </c>
      <c r="E49" s="48"/>
      <c r="F49" s="48">
        <v>32.76</v>
      </c>
      <c r="G49" s="48">
        <v>2.29</v>
      </c>
      <c r="H49" s="82">
        <f t="shared" si="41"/>
        <v>33.905000000000001</v>
      </c>
      <c r="I49" s="82">
        <f t="shared" si="42"/>
        <v>35.049999999999997</v>
      </c>
      <c r="J49" s="49">
        <v>3570</v>
      </c>
      <c r="K49" s="50">
        <v>0</v>
      </c>
      <c r="L49" s="81">
        <v>200</v>
      </c>
      <c r="M49" s="48">
        <v>0</v>
      </c>
      <c r="N49" s="49">
        <f t="shared" si="47"/>
        <v>3413</v>
      </c>
      <c r="O49" s="108">
        <f t="shared" si="48"/>
        <v>3770</v>
      </c>
      <c r="P49" s="79">
        <f t="shared" si="49"/>
        <v>94.764783955168852</v>
      </c>
      <c r="Q49" s="53">
        <f t="shared" si="50"/>
        <v>9.4700000000000006E-2</v>
      </c>
      <c r="R49" s="54">
        <f t="shared" si="51"/>
        <v>357</v>
      </c>
      <c r="S49" s="53">
        <v>0.8</v>
      </c>
      <c r="T49" s="54">
        <f t="shared" si="43"/>
        <v>3016</v>
      </c>
      <c r="U49" s="53">
        <f t="shared" si="44"/>
        <v>0.10529999999999995</v>
      </c>
      <c r="V49" s="54">
        <f t="shared" si="45"/>
        <v>396.98099999999982</v>
      </c>
      <c r="W49" s="55">
        <f ca="1">V49*VLOOKUP(TODAY(),'UF HOY'!$A$2:$B$36,2,0)</f>
        <v>15773619.235139994</v>
      </c>
      <c r="X49" s="56">
        <f>Datos!$K$9</f>
        <v>24</v>
      </c>
      <c r="Y49" s="55">
        <f ca="1">IF((W49-Datos!$U$9-1000000)/X49&gt;0,(W49-Datos!$U$9-1000000)/X49,0)</f>
        <v>611400.80146416638</v>
      </c>
      <c r="Z49" s="56">
        <f>Datos!$K$9</f>
        <v>24</v>
      </c>
      <c r="AA49" s="55">
        <f ca="1">IF((W49-Datos!$U$9-1000000-O49*4%*VLOOKUP(TODAY(),'UF HOY'!$A$2:$B$36,2,0))/Z49&gt;0,(W49-Datos!$U$9-1000000-O49*4%*VLOOKUP(TODAY(),'UF HOY'!$A$2:$B$36,2,0))/Z49,0)</f>
        <v>361739.21179749974</v>
      </c>
      <c r="AB49" s="55">
        <f>IF(L49&gt;0,VLOOKUP(D49,Datos!$A$6:$C$10,3,0),VLOOKUP(D49,Datos!$A$6:$C$10,2,0))</f>
        <v>390000</v>
      </c>
      <c r="AC49" s="55">
        <f ca="1">(S49*PMT(Datos!$G$15,Datos!$G$14,-O49,,)*VLOOKUP(TODAY(),'UF HOY'!$A$2:$B$36,2,0)/12)+VLOOKUP(TODAY(),'UF HOY'!$A$2:$B$36,2,0)</f>
        <v>617252.11921163253</v>
      </c>
      <c r="AD49" s="55">
        <f t="shared" ca="1" si="46"/>
        <v>-227252.11921163253</v>
      </c>
      <c r="AE49" s="93">
        <f t="shared" ca="1" si="16"/>
        <v>2469008.4768465301</v>
      </c>
    </row>
    <row r="50" spans="1:31" s="3" customFormat="1" x14ac:dyDescent="0.35">
      <c r="A50" s="94" t="s">
        <v>305</v>
      </c>
      <c r="B50" s="81" t="s">
        <v>199</v>
      </c>
      <c r="C50" s="48" t="s">
        <v>41</v>
      </c>
      <c r="D50" s="48" t="s">
        <v>37</v>
      </c>
      <c r="E50" s="48"/>
      <c r="F50" s="48">
        <v>32.6</v>
      </c>
      <c r="G50" s="48">
        <v>5.77</v>
      </c>
      <c r="H50" s="82">
        <f t="shared" si="41"/>
        <v>35.484999999999999</v>
      </c>
      <c r="I50" s="82">
        <f t="shared" si="42"/>
        <v>38.370000000000005</v>
      </c>
      <c r="J50" s="49">
        <v>3570</v>
      </c>
      <c r="K50" s="50">
        <v>0</v>
      </c>
      <c r="L50" s="81">
        <v>200</v>
      </c>
      <c r="M50" s="48">
        <v>0</v>
      </c>
      <c r="N50" s="49">
        <f t="shared" si="47"/>
        <v>3413</v>
      </c>
      <c r="O50" s="108">
        <f t="shared" si="48"/>
        <v>3770</v>
      </c>
      <c r="P50" s="79">
        <f t="shared" si="49"/>
        <v>90.545300831337187</v>
      </c>
      <c r="Q50" s="53">
        <f t="shared" si="50"/>
        <v>9.4700000000000006E-2</v>
      </c>
      <c r="R50" s="54">
        <f t="shared" si="51"/>
        <v>357</v>
      </c>
      <c r="S50" s="53">
        <v>0.8</v>
      </c>
      <c r="T50" s="54">
        <f t="shared" si="43"/>
        <v>3016</v>
      </c>
      <c r="U50" s="53">
        <f t="shared" si="44"/>
        <v>0.10529999999999995</v>
      </c>
      <c r="V50" s="54">
        <f t="shared" si="45"/>
        <v>396.98099999999982</v>
      </c>
      <c r="W50" s="55">
        <f ca="1">V50*VLOOKUP(TODAY(),'UF HOY'!$A$2:$B$36,2,0)</f>
        <v>15773619.235139994</v>
      </c>
      <c r="X50" s="56">
        <f>Datos!$K$9</f>
        <v>24</v>
      </c>
      <c r="Y50" s="55">
        <f ca="1">IF((W50-Datos!$U$9-1000000)/X50&gt;0,(W50-Datos!$U$9-1000000)/X50,0)</f>
        <v>611400.80146416638</v>
      </c>
      <c r="Z50" s="56">
        <f>Datos!$K$9</f>
        <v>24</v>
      </c>
      <c r="AA50" s="55">
        <f ca="1">IF((W50-Datos!$U$9-1000000-O50*4%*VLOOKUP(TODAY(),'UF HOY'!$A$2:$B$36,2,0))/Z50&gt;0,(W50-Datos!$U$9-1000000-O50*4%*VLOOKUP(TODAY(),'UF HOY'!$A$2:$B$36,2,0))/Z50,0)</f>
        <v>361739.21179749974</v>
      </c>
      <c r="AB50" s="55">
        <f>IF(L50&gt;0,VLOOKUP(D50,Datos!$A$6:$C$10,3,0),VLOOKUP(D50,Datos!$A$6:$C$10,2,0))</f>
        <v>390000</v>
      </c>
      <c r="AC50" s="55">
        <f ca="1">(S50*PMT(Datos!$G$15,Datos!$G$14,-O50,,)*VLOOKUP(TODAY(),'UF HOY'!$A$2:$B$36,2,0)/12)+VLOOKUP(TODAY(),'UF HOY'!$A$2:$B$36,2,0)</f>
        <v>617252.11921163253</v>
      </c>
      <c r="AD50" s="55">
        <f t="shared" ca="1" si="46"/>
        <v>-227252.11921163253</v>
      </c>
      <c r="AE50" s="93">
        <f t="shared" ca="1" si="16"/>
        <v>2469008.4768465301</v>
      </c>
    </row>
    <row r="51" spans="1:31" s="3" customFormat="1" x14ac:dyDescent="0.35">
      <c r="A51" s="94" t="s">
        <v>305</v>
      </c>
      <c r="B51" s="81" t="s">
        <v>287</v>
      </c>
      <c r="C51" s="48" t="s">
        <v>40</v>
      </c>
      <c r="D51" s="48" t="s">
        <v>37</v>
      </c>
      <c r="E51" s="48"/>
      <c r="F51" s="48">
        <v>32.76</v>
      </c>
      <c r="G51" s="48">
        <v>2.29</v>
      </c>
      <c r="H51" s="82">
        <f t="shared" si="41"/>
        <v>33.905000000000001</v>
      </c>
      <c r="I51" s="82">
        <f t="shared" si="42"/>
        <v>35.049999999999997</v>
      </c>
      <c r="J51" s="49">
        <v>3570</v>
      </c>
      <c r="K51" s="50">
        <v>0</v>
      </c>
      <c r="L51" s="81">
        <v>200</v>
      </c>
      <c r="M51" s="48">
        <v>0</v>
      </c>
      <c r="N51" s="49">
        <f t="shared" si="47"/>
        <v>3413</v>
      </c>
      <c r="O51" s="108">
        <f t="shared" si="48"/>
        <v>3770</v>
      </c>
      <c r="P51" s="79">
        <f t="shared" si="49"/>
        <v>94.764783955168852</v>
      </c>
      <c r="Q51" s="53">
        <f t="shared" si="50"/>
        <v>9.4700000000000006E-2</v>
      </c>
      <c r="R51" s="54">
        <f t="shared" si="51"/>
        <v>357</v>
      </c>
      <c r="S51" s="53">
        <v>0.8</v>
      </c>
      <c r="T51" s="54">
        <f t="shared" si="43"/>
        <v>3016</v>
      </c>
      <c r="U51" s="53">
        <f t="shared" si="44"/>
        <v>0.10529999999999995</v>
      </c>
      <c r="V51" s="54">
        <f t="shared" si="45"/>
        <v>396.98099999999982</v>
      </c>
      <c r="W51" s="55">
        <f ca="1">V51*VLOOKUP(TODAY(),'UF HOY'!$A$2:$B$36,2,0)</f>
        <v>15773619.235139994</v>
      </c>
      <c r="X51" s="56">
        <f>Datos!$K$9</f>
        <v>24</v>
      </c>
      <c r="Y51" s="55">
        <f ca="1">IF((W51-Datos!$U$9-1000000)/X51&gt;0,(W51-Datos!$U$9-1000000)/X51,0)</f>
        <v>611400.80146416638</v>
      </c>
      <c r="Z51" s="56">
        <f>Datos!$K$9</f>
        <v>24</v>
      </c>
      <c r="AA51" s="55">
        <f ca="1">IF((W51-Datos!$U$9-1000000-O51*4%*VLOOKUP(TODAY(),'UF HOY'!$A$2:$B$36,2,0))/Z51&gt;0,(W51-Datos!$U$9-1000000-O51*4%*VLOOKUP(TODAY(),'UF HOY'!$A$2:$B$36,2,0))/Z51,0)</f>
        <v>361739.21179749974</v>
      </c>
      <c r="AB51" s="55">
        <f>IF(L51&gt;0,VLOOKUP(D51,Datos!$A$6:$C$10,3,0),VLOOKUP(D51,Datos!$A$6:$C$10,2,0))</f>
        <v>390000</v>
      </c>
      <c r="AC51" s="55">
        <f ca="1">(S51*PMT(Datos!$G$15,Datos!$G$14,-O51,,)*VLOOKUP(TODAY(),'UF HOY'!$A$2:$B$36,2,0)/12)+VLOOKUP(TODAY(),'UF HOY'!$A$2:$B$36,2,0)</f>
        <v>617252.11921163253</v>
      </c>
      <c r="AD51" s="55">
        <f t="shared" ca="1" si="46"/>
        <v>-227252.11921163253</v>
      </c>
      <c r="AE51" s="93">
        <f t="shared" ca="1" si="16"/>
        <v>2469008.4768465301</v>
      </c>
    </row>
    <row r="52" spans="1:31" s="3" customFormat="1" x14ac:dyDescent="0.35">
      <c r="A52" s="94" t="s">
        <v>305</v>
      </c>
      <c r="B52" s="81" t="s">
        <v>301</v>
      </c>
      <c r="C52" s="48" t="s">
        <v>40</v>
      </c>
      <c r="D52" s="48" t="s">
        <v>37</v>
      </c>
      <c r="E52" s="48"/>
      <c r="F52" s="48">
        <v>33.53</v>
      </c>
      <c r="G52" s="48">
        <v>2.29</v>
      </c>
      <c r="H52" s="82">
        <f t="shared" si="41"/>
        <v>34.675000000000004</v>
      </c>
      <c r="I52" s="82">
        <f t="shared" si="42"/>
        <v>35.82</v>
      </c>
      <c r="J52" s="49">
        <v>3570</v>
      </c>
      <c r="K52" s="50">
        <v>0</v>
      </c>
      <c r="L52" s="81">
        <v>200</v>
      </c>
      <c r="M52" s="48">
        <v>0</v>
      </c>
      <c r="N52" s="49">
        <f t="shared" si="47"/>
        <v>3413</v>
      </c>
      <c r="O52" s="108">
        <f t="shared" si="48"/>
        <v>3770</v>
      </c>
      <c r="P52" s="79">
        <f t="shared" si="49"/>
        <v>92.660418168709427</v>
      </c>
      <c r="Q52" s="53">
        <f t="shared" si="50"/>
        <v>9.4700000000000006E-2</v>
      </c>
      <c r="R52" s="54">
        <f t="shared" si="51"/>
        <v>357</v>
      </c>
      <c r="S52" s="53">
        <v>0.8</v>
      </c>
      <c r="T52" s="54">
        <f t="shared" si="43"/>
        <v>3016</v>
      </c>
      <c r="U52" s="53">
        <f t="shared" si="44"/>
        <v>0.10529999999999995</v>
      </c>
      <c r="V52" s="54">
        <f t="shared" si="45"/>
        <v>396.98099999999982</v>
      </c>
      <c r="W52" s="55">
        <f ca="1">V52*VLOOKUP(TODAY(),'UF HOY'!$A$2:$B$36,2,0)</f>
        <v>15773619.235139994</v>
      </c>
      <c r="X52" s="56">
        <f>Datos!$K$9</f>
        <v>24</v>
      </c>
      <c r="Y52" s="55">
        <f ca="1">IF((W52-Datos!$U$9-1000000)/X52&gt;0,(W52-Datos!$U$9-1000000)/X52,0)</f>
        <v>611400.80146416638</v>
      </c>
      <c r="Z52" s="56">
        <f>Datos!$K$9</f>
        <v>24</v>
      </c>
      <c r="AA52" s="55">
        <f ca="1">IF((W52-Datos!$U$9-1000000-O52*4%*VLOOKUP(TODAY(),'UF HOY'!$A$2:$B$36,2,0))/Z52&gt;0,(W52-Datos!$U$9-1000000-O52*4%*VLOOKUP(TODAY(),'UF HOY'!$A$2:$B$36,2,0))/Z52,0)</f>
        <v>361739.21179749974</v>
      </c>
      <c r="AB52" s="55">
        <f>IF(L52&gt;0,VLOOKUP(D52,Datos!$A$6:$C$10,3,0),VLOOKUP(D52,Datos!$A$6:$C$10,2,0))</f>
        <v>390000</v>
      </c>
      <c r="AC52" s="55">
        <f ca="1">(S52*PMT(Datos!$G$15,Datos!$G$14,-O52,,)*VLOOKUP(TODAY(),'UF HOY'!$A$2:$B$36,2,0)/12)+VLOOKUP(TODAY(),'UF HOY'!$A$2:$B$36,2,0)</f>
        <v>617252.11921163253</v>
      </c>
      <c r="AD52" s="55">
        <f t="shared" ca="1" si="46"/>
        <v>-227252.11921163253</v>
      </c>
      <c r="AE52" s="93">
        <f t="shared" ca="1" si="16"/>
        <v>2469008.4768465301</v>
      </c>
    </row>
    <row r="53" spans="1:31" s="3" customFormat="1" x14ac:dyDescent="0.35">
      <c r="A53" s="94" t="s">
        <v>305</v>
      </c>
      <c r="B53" s="81" t="s">
        <v>224</v>
      </c>
      <c r="C53" s="48" t="s">
        <v>38</v>
      </c>
      <c r="D53" s="48" t="s">
        <v>37</v>
      </c>
      <c r="E53" s="48"/>
      <c r="F53" s="48">
        <v>33.700000000000003</v>
      </c>
      <c r="G53" s="48">
        <v>2.29</v>
      </c>
      <c r="H53" s="82">
        <f t="shared" ref="H53:H84" si="52">F53+(G53/2)</f>
        <v>34.845000000000006</v>
      </c>
      <c r="I53" s="82">
        <f t="shared" ref="I53:I84" si="53">F53+G53</f>
        <v>35.99</v>
      </c>
      <c r="J53" s="49">
        <v>3575</v>
      </c>
      <c r="K53" s="50">
        <v>0</v>
      </c>
      <c r="L53" s="81">
        <v>200</v>
      </c>
      <c r="M53" s="48">
        <v>0</v>
      </c>
      <c r="N53" s="49">
        <f t="shared" si="47"/>
        <v>3417.5</v>
      </c>
      <c r="O53" s="108">
        <f t="shared" si="48"/>
        <v>3775</v>
      </c>
      <c r="P53" s="79">
        <f t="shared" si="49"/>
        <v>92.337494619027098</v>
      </c>
      <c r="Q53" s="53">
        <f t="shared" si="50"/>
        <v>9.4700000000000006E-2</v>
      </c>
      <c r="R53" s="54">
        <f t="shared" si="51"/>
        <v>357.5</v>
      </c>
      <c r="S53" s="53">
        <v>0.8</v>
      </c>
      <c r="T53" s="54">
        <f t="shared" ref="T53:T84" si="54">S53*O53</f>
        <v>3020</v>
      </c>
      <c r="U53" s="53">
        <f t="shared" ref="U53:U84" si="55">100%-Q53-S53</f>
        <v>0.10529999999999995</v>
      </c>
      <c r="V53" s="54">
        <f t="shared" ref="V53:V84" si="56">O53*U53</f>
        <v>397.50749999999982</v>
      </c>
      <c r="W53" s="55">
        <f ca="1">V53*VLOOKUP(TODAY(),'UF HOY'!$A$2:$B$36,2,0)</f>
        <v>15794539.154549994</v>
      </c>
      <c r="X53" s="56">
        <f>Datos!$K$9</f>
        <v>24</v>
      </c>
      <c r="Y53" s="55">
        <f ca="1">IF((W53-Datos!$U$9-1000000)/X53&gt;0,(W53-Datos!$U$9-1000000)/X53,0)</f>
        <v>612272.4647729164</v>
      </c>
      <c r="Z53" s="56">
        <f>Datos!$K$9</f>
        <v>24</v>
      </c>
      <c r="AA53" s="55">
        <f ca="1">IF((W53-Datos!$U$9-1000000-O53*4%*VLOOKUP(TODAY(),'UF HOY'!$A$2:$B$36,2,0))/Z53&gt;0,(W53-Datos!$U$9-1000000-O53*4%*VLOOKUP(TODAY(),'UF HOY'!$A$2:$B$36,2,0))/Z53,0)</f>
        <v>362279.75893958303</v>
      </c>
      <c r="AB53" s="55">
        <f>IF(L53&gt;0,VLOOKUP(D53,Datos!$A$6:$C$10,3,0),VLOOKUP(D53,Datos!$A$6:$C$10,2,0))</f>
        <v>390000</v>
      </c>
      <c r="AC53" s="55">
        <f ca="1">(S53*PMT(Datos!$G$15,Datos!$G$14,-O53,,)*VLOOKUP(TODAY(),'UF HOY'!$A$2:$B$36,2,0)/12)+VLOOKUP(TODAY(),'UF HOY'!$A$2:$B$36,2,0)</f>
        <v>618018.05844135606</v>
      </c>
      <c r="AD53" s="55">
        <f t="shared" ref="AD53:AD84" ca="1" si="57">AB53-AC53</f>
        <v>-228018.05844135606</v>
      </c>
      <c r="AE53" s="93">
        <f t="shared" ca="1" si="16"/>
        <v>2472072.2337654242</v>
      </c>
    </row>
    <row r="54" spans="1:31" s="3" customFormat="1" x14ac:dyDescent="0.35">
      <c r="A54" s="94" t="s">
        <v>305</v>
      </c>
      <c r="B54" s="81" t="s">
        <v>289</v>
      </c>
      <c r="C54" s="48" t="s">
        <v>36</v>
      </c>
      <c r="D54" s="48" t="s">
        <v>37</v>
      </c>
      <c r="E54" s="48"/>
      <c r="F54" s="48">
        <v>32.76</v>
      </c>
      <c r="G54" s="48">
        <v>2.29</v>
      </c>
      <c r="H54" s="82">
        <f t="shared" si="52"/>
        <v>33.905000000000001</v>
      </c>
      <c r="I54" s="82">
        <f t="shared" si="53"/>
        <v>35.049999999999997</v>
      </c>
      <c r="J54" s="49">
        <v>3580</v>
      </c>
      <c r="K54" s="50">
        <v>0</v>
      </c>
      <c r="L54" s="81">
        <v>200</v>
      </c>
      <c r="M54" s="48">
        <v>0</v>
      </c>
      <c r="N54" s="49">
        <f t="shared" si="47"/>
        <v>3422</v>
      </c>
      <c r="O54" s="108">
        <f t="shared" si="48"/>
        <v>3780</v>
      </c>
      <c r="P54" s="79">
        <f t="shared" si="49"/>
        <v>95.030231529272967</v>
      </c>
      <c r="Q54" s="53">
        <f t="shared" si="50"/>
        <v>9.4700000000000006E-2</v>
      </c>
      <c r="R54" s="54">
        <f t="shared" si="51"/>
        <v>358</v>
      </c>
      <c r="S54" s="53">
        <v>0.8</v>
      </c>
      <c r="T54" s="54">
        <f t="shared" si="54"/>
        <v>3024</v>
      </c>
      <c r="U54" s="53">
        <f t="shared" si="55"/>
        <v>0.10529999999999995</v>
      </c>
      <c r="V54" s="54">
        <f t="shared" si="56"/>
        <v>398.03399999999982</v>
      </c>
      <c r="W54" s="55">
        <f ca="1">V54*VLOOKUP(TODAY(),'UF HOY'!$A$2:$B$36,2,0)</f>
        <v>15815459.073959993</v>
      </c>
      <c r="X54" s="56">
        <f>Datos!$K$9</f>
        <v>24</v>
      </c>
      <c r="Y54" s="55">
        <f ca="1">IF((W54-Datos!$U$9-1000000)/X54&gt;0,(W54-Datos!$U$9-1000000)/X54,0)</f>
        <v>613144.12808166642</v>
      </c>
      <c r="Z54" s="56">
        <f>Datos!$K$9</f>
        <v>24</v>
      </c>
      <c r="AA54" s="55">
        <f ca="1">IF((W54-Datos!$U$9-1000000-O54*4%*VLOOKUP(TODAY(),'UF HOY'!$A$2:$B$36,2,0))/Z54&gt;0,(W54-Datos!$U$9-1000000-O54*4%*VLOOKUP(TODAY(),'UF HOY'!$A$2:$B$36,2,0))/Z54,0)</f>
        <v>362820.30608166632</v>
      </c>
      <c r="AB54" s="55">
        <f>IF(L54&gt;0,VLOOKUP(D54,Datos!$A$6:$C$10,3,0),VLOOKUP(D54,Datos!$A$6:$C$10,2,0))</f>
        <v>390000</v>
      </c>
      <c r="AC54" s="55">
        <f ca="1">(S54*PMT(Datos!$G$15,Datos!$G$14,-O54,,)*VLOOKUP(TODAY(),'UF HOY'!$A$2:$B$36,2,0)/12)+VLOOKUP(TODAY(),'UF HOY'!$A$2:$B$36,2,0)</f>
        <v>618783.99767107982</v>
      </c>
      <c r="AD54" s="55">
        <f t="shared" ca="1" si="57"/>
        <v>-228783.99767107982</v>
      </c>
      <c r="AE54" s="93">
        <f t="shared" ca="1" si="16"/>
        <v>2475135.9906843193</v>
      </c>
    </row>
    <row r="55" spans="1:31" s="3" customFormat="1" hidden="1" x14ac:dyDescent="0.35">
      <c r="A55" s="94" t="s">
        <v>342</v>
      </c>
      <c r="B55" s="81" t="s">
        <v>223</v>
      </c>
      <c r="C55" s="48" t="s">
        <v>41</v>
      </c>
      <c r="D55" s="48" t="s">
        <v>37</v>
      </c>
      <c r="E55" s="48"/>
      <c r="F55" s="48">
        <v>32.76</v>
      </c>
      <c r="G55" s="48">
        <v>2.29</v>
      </c>
      <c r="H55" s="82">
        <f t="shared" si="52"/>
        <v>33.905000000000001</v>
      </c>
      <c r="I55" s="82">
        <f t="shared" si="53"/>
        <v>35.049999999999997</v>
      </c>
      <c r="J55" s="49">
        <v>3580</v>
      </c>
      <c r="K55" s="50">
        <v>0</v>
      </c>
      <c r="L55" s="81">
        <v>200</v>
      </c>
      <c r="M55" s="48">
        <v>0</v>
      </c>
      <c r="N55" s="49">
        <f t="shared" si="47"/>
        <v>3422</v>
      </c>
      <c r="O55" s="108">
        <f t="shared" si="48"/>
        <v>3780</v>
      </c>
      <c r="P55" s="79">
        <f t="shared" si="49"/>
        <v>95.030231529272967</v>
      </c>
      <c r="Q55" s="53">
        <f t="shared" si="50"/>
        <v>9.4700000000000006E-2</v>
      </c>
      <c r="R55" s="54">
        <f t="shared" si="51"/>
        <v>358</v>
      </c>
      <c r="S55" s="53">
        <v>0.8</v>
      </c>
      <c r="T55" s="54">
        <f t="shared" si="54"/>
        <v>3024</v>
      </c>
      <c r="U55" s="53">
        <f t="shared" si="55"/>
        <v>0.10529999999999995</v>
      </c>
      <c r="V55" s="54">
        <f t="shared" si="56"/>
        <v>398.03399999999982</v>
      </c>
      <c r="W55" s="55">
        <f ca="1">V55*VLOOKUP(TODAY(),'UF HOY'!$A$2:$B$36,2,0)</f>
        <v>15815459.073959993</v>
      </c>
      <c r="X55" s="56">
        <f>Datos!$K$9</f>
        <v>24</v>
      </c>
      <c r="Y55" s="55">
        <f ca="1">IF((W55-Datos!$U$9-1000000)/X55&gt;0,(W55-Datos!$U$9-1000000)/X55,0)</f>
        <v>613144.12808166642</v>
      </c>
      <c r="Z55" s="56">
        <f>Datos!$K$9</f>
        <v>24</v>
      </c>
      <c r="AA55" s="55">
        <f ca="1">IF((W55-Datos!$U$9-1000000-O55*4%*VLOOKUP(TODAY(),'UF HOY'!$A$2:$B$36,2,0))/Z55&gt;0,(W55-Datos!$U$9-1000000-O55*4%*VLOOKUP(TODAY(),'UF HOY'!$A$2:$B$36,2,0))/Z55,0)</f>
        <v>362820.30608166632</v>
      </c>
      <c r="AB55" s="55">
        <f>IF(L55&gt;0,VLOOKUP(D55,Datos!$A$6:$C$10,3,0),VLOOKUP(D55,Datos!$A$6:$C$10,2,0))</f>
        <v>390000</v>
      </c>
      <c r="AC55" s="55">
        <f ca="1">(S55*PMT(Datos!$G$15,Datos!$G$14,-O55,,)*VLOOKUP(TODAY(),'UF HOY'!$A$2:$B$36,2,0)/12)+VLOOKUP(TODAY(),'UF HOY'!$A$2:$B$36,2,0)</f>
        <v>618783.99767107982</v>
      </c>
      <c r="AD55" s="55">
        <f t="shared" ca="1" si="57"/>
        <v>-228783.99767107982</v>
      </c>
      <c r="AE55" s="93">
        <f t="shared" ca="1" si="16"/>
        <v>2475135.9906843193</v>
      </c>
    </row>
    <row r="56" spans="1:31" s="3" customFormat="1" x14ac:dyDescent="0.35">
      <c r="A56" s="94" t="s">
        <v>305</v>
      </c>
      <c r="B56" s="81" t="s">
        <v>267</v>
      </c>
      <c r="C56" s="48" t="s">
        <v>40</v>
      </c>
      <c r="D56" s="48" t="s">
        <v>37</v>
      </c>
      <c r="E56" s="48"/>
      <c r="F56" s="48">
        <v>32.89</v>
      </c>
      <c r="G56" s="48">
        <v>2.29</v>
      </c>
      <c r="H56" s="82">
        <f t="shared" si="52"/>
        <v>34.035000000000004</v>
      </c>
      <c r="I56" s="82">
        <f t="shared" si="53"/>
        <v>35.18</v>
      </c>
      <c r="J56" s="49">
        <v>3580</v>
      </c>
      <c r="K56" s="50">
        <v>0</v>
      </c>
      <c r="L56" s="81">
        <v>200</v>
      </c>
      <c r="M56" s="48">
        <v>0</v>
      </c>
      <c r="N56" s="49">
        <f t="shared" si="47"/>
        <v>3422</v>
      </c>
      <c r="O56" s="108">
        <f t="shared" si="48"/>
        <v>3780</v>
      </c>
      <c r="P56" s="79">
        <f t="shared" si="49"/>
        <v>94.667254297047151</v>
      </c>
      <c r="Q56" s="53">
        <f t="shared" si="50"/>
        <v>9.4700000000000006E-2</v>
      </c>
      <c r="R56" s="54">
        <f t="shared" si="51"/>
        <v>358</v>
      </c>
      <c r="S56" s="53">
        <v>0.8</v>
      </c>
      <c r="T56" s="54">
        <f t="shared" si="54"/>
        <v>3024</v>
      </c>
      <c r="U56" s="53">
        <f t="shared" si="55"/>
        <v>0.10529999999999995</v>
      </c>
      <c r="V56" s="54">
        <f t="shared" si="56"/>
        <v>398.03399999999982</v>
      </c>
      <c r="W56" s="55">
        <f ca="1">V56*VLOOKUP(TODAY(),'UF HOY'!$A$2:$B$36,2,0)</f>
        <v>15815459.073959993</v>
      </c>
      <c r="X56" s="56">
        <f>Datos!$K$9</f>
        <v>24</v>
      </c>
      <c r="Y56" s="55">
        <f ca="1">IF((W56-Datos!$U$9-1000000)/X56&gt;0,(W56-Datos!$U$9-1000000)/X56,0)</f>
        <v>613144.12808166642</v>
      </c>
      <c r="Z56" s="56">
        <f>Datos!$K$9</f>
        <v>24</v>
      </c>
      <c r="AA56" s="55">
        <f ca="1">IF((W56-Datos!$U$9-1000000-O56*4%*VLOOKUP(TODAY(),'UF HOY'!$A$2:$B$36,2,0))/Z56&gt;0,(W56-Datos!$U$9-1000000-O56*4%*VLOOKUP(TODAY(),'UF HOY'!$A$2:$B$36,2,0))/Z56,0)</f>
        <v>362820.30608166632</v>
      </c>
      <c r="AB56" s="55">
        <f>IF(L56&gt;0,VLOOKUP(D56,Datos!$A$6:$C$10,3,0),VLOOKUP(D56,Datos!$A$6:$C$10,2,0))</f>
        <v>390000</v>
      </c>
      <c r="AC56" s="55">
        <f ca="1">(S56*PMT(Datos!$G$15,Datos!$G$14,-O56,,)*VLOOKUP(TODAY(),'UF HOY'!$A$2:$B$36,2,0)/12)+VLOOKUP(TODAY(),'UF HOY'!$A$2:$B$36,2,0)</f>
        <v>618783.99767107982</v>
      </c>
      <c r="AD56" s="55">
        <f t="shared" ca="1" si="57"/>
        <v>-228783.99767107982</v>
      </c>
      <c r="AE56" s="93">
        <f t="shared" ca="1" si="16"/>
        <v>2475135.9906843193</v>
      </c>
    </row>
    <row r="57" spans="1:31" s="3" customFormat="1" x14ac:dyDescent="0.35">
      <c r="A57" s="94" t="s">
        <v>305</v>
      </c>
      <c r="B57" s="81" t="s">
        <v>221</v>
      </c>
      <c r="C57" s="48" t="s">
        <v>36</v>
      </c>
      <c r="D57" s="48" t="s">
        <v>37</v>
      </c>
      <c r="E57" s="48"/>
      <c r="F57" s="48">
        <v>32.76</v>
      </c>
      <c r="G57" s="48">
        <v>2.29</v>
      </c>
      <c r="H57" s="82">
        <f t="shared" si="52"/>
        <v>33.905000000000001</v>
      </c>
      <c r="I57" s="82">
        <f t="shared" si="53"/>
        <v>35.049999999999997</v>
      </c>
      <c r="J57" s="49">
        <v>3580</v>
      </c>
      <c r="K57" s="50">
        <v>0</v>
      </c>
      <c r="L57" s="81">
        <v>200</v>
      </c>
      <c r="M57" s="48">
        <v>0</v>
      </c>
      <c r="N57" s="49">
        <f t="shared" si="47"/>
        <v>3422</v>
      </c>
      <c r="O57" s="108">
        <f t="shared" si="48"/>
        <v>3780</v>
      </c>
      <c r="P57" s="79">
        <f t="shared" si="49"/>
        <v>95.030231529272967</v>
      </c>
      <c r="Q57" s="53">
        <f t="shared" si="50"/>
        <v>9.4700000000000006E-2</v>
      </c>
      <c r="R57" s="54">
        <f t="shared" si="51"/>
        <v>358</v>
      </c>
      <c r="S57" s="53">
        <v>0.8</v>
      </c>
      <c r="T57" s="54">
        <f t="shared" si="54"/>
        <v>3024</v>
      </c>
      <c r="U57" s="53">
        <f t="shared" si="55"/>
        <v>0.10529999999999995</v>
      </c>
      <c r="V57" s="54">
        <f t="shared" si="56"/>
        <v>398.03399999999982</v>
      </c>
      <c r="W57" s="55">
        <f ca="1">V57*VLOOKUP(TODAY(),'UF HOY'!$A$2:$B$36,2,0)</f>
        <v>15815459.073959993</v>
      </c>
      <c r="X57" s="56">
        <f>Datos!$K$9</f>
        <v>24</v>
      </c>
      <c r="Y57" s="55">
        <f ca="1">IF((W57-Datos!$U$9-1000000)/X57&gt;0,(W57-Datos!$U$9-1000000)/X57,0)</f>
        <v>613144.12808166642</v>
      </c>
      <c r="Z57" s="56">
        <f>Datos!$K$9</f>
        <v>24</v>
      </c>
      <c r="AA57" s="55">
        <f ca="1">IF((W57-Datos!$U$9-1000000-O57*4%*VLOOKUP(TODAY(),'UF HOY'!$A$2:$B$36,2,0))/Z57&gt;0,(W57-Datos!$U$9-1000000-O57*4%*VLOOKUP(TODAY(),'UF HOY'!$A$2:$B$36,2,0))/Z57,0)</f>
        <v>362820.30608166632</v>
      </c>
      <c r="AB57" s="55">
        <f>IF(L57&gt;0,VLOOKUP(D57,Datos!$A$6:$C$10,3,0),VLOOKUP(D57,Datos!$A$6:$C$10,2,0))</f>
        <v>390000</v>
      </c>
      <c r="AC57" s="55">
        <f ca="1">(S57*PMT(Datos!$G$15,Datos!$G$14,-O57,,)*VLOOKUP(TODAY(),'UF HOY'!$A$2:$B$36,2,0)/12)+VLOOKUP(TODAY(),'UF HOY'!$A$2:$B$36,2,0)</f>
        <v>618783.99767107982</v>
      </c>
      <c r="AD57" s="55">
        <f t="shared" ca="1" si="57"/>
        <v>-228783.99767107982</v>
      </c>
      <c r="AE57" s="93">
        <f t="shared" ca="1" si="16"/>
        <v>2475135.9906843193</v>
      </c>
    </row>
    <row r="58" spans="1:31" s="3" customFormat="1" x14ac:dyDescent="0.35">
      <c r="A58" s="94" t="s">
        <v>305</v>
      </c>
      <c r="B58" s="81" t="s">
        <v>220</v>
      </c>
      <c r="C58" s="48" t="s">
        <v>36</v>
      </c>
      <c r="D58" s="48" t="s">
        <v>37</v>
      </c>
      <c r="E58" s="48"/>
      <c r="F58" s="48">
        <v>32.76</v>
      </c>
      <c r="G58" s="48">
        <v>2.29</v>
      </c>
      <c r="H58" s="82">
        <f t="shared" si="52"/>
        <v>33.905000000000001</v>
      </c>
      <c r="I58" s="82">
        <f t="shared" si="53"/>
        <v>35.049999999999997</v>
      </c>
      <c r="J58" s="49">
        <v>3580</v>
      </c>
      <c r="K58" s="50">
        <v>0</v>
      </c>
      <c r="L58" s="81">
        <v>200</v>
      </c>
      <c r="M58" s="48">
        <v>0</v>
      </c>
      <c r="N58" s="49">
        <f t="shared" si="47"/>
        <v>3422</v>
      </c>
      <c r="O58" s="108">
        <f t="shared" si="48"/>
        <v>3780</v>
      </c>
      <c r="P58" s="79">
        <f t="shared" si="49"/>
        <v>95.030231529272967</v>
      </c>
      <c r="Q58" s="53">
        <f t="shared" si="50"/>
        <v>9.4700000000000006E-2</v>
      </c>
      <c r="R58" s="54">
        <f t="shared" si="51"/>
        <v>358</v>
      </c>
      <c r="S58" s="53">
        <v>0.8</v>
      </c>
      <c r="T58" s="54">
        <f t="shared" si="54"/>
        <v>3024</v>
      </c>
      <c r="U58" s="53">
        <f t="shared" si="55"/>
        <v>0.10529999999999995</v>
      </c>
      <c r="V58" s="54">
        <f t="shared" si="56"/>
        <v>398.03399999999982</v>
      </c>
      <c r="W58" s="55">
        <f ca="1">V58*VLOOKUP(TODAY(),'UF HOY'!$A$2:$B$36,2,0)</f>
        <v>15815459.073959993</v>
      </c>
      <c r="X58" s="56">
        <f>Datos!$K$9</f>
        <v>24</v>
      </c>
      <c r="Y58" s="55">
        <f ca="1">IF((W58-Datos!$U$9-1000000)/X58&gt;0,(W58-Datos!$U$9-1000000)/X58,0)</f>
        <v>613144.12808166642</v>
      </c>
      <c r="Z58" s="56">
        <f>Datos!$K$9</f>
        <v>24</v>
      </c>
      <c r="AA58" s="55">
        <f ca="1">IF((W58-Datos!$U$9-1000000-O58*4%*VLOOKUP(TODAY(),'UF HOY'!$A$2:$B$36,2,0))/Z58&gt;0,(W58-Datos!$U$9-1000000-O58*4%*VLOOKUP(TODAY(),'UF HOY'!$A$2:$B$36,2,0))/Z58,0)</f>
        <v>362820.30608166632</v>
      </c>
      <c r="AB58" s="55">
        <f>IF(L58&gt;0,VLOOKUP(D58,Datos!$A$6:$C$10,3,0),VLOOKUP(D58,Datos!$A$6:$C$10,2,0))</f>
        <v>390000</v>
      </c>
      <c r="AC58" s="55">
        <f ca="1">(S58*PMT(Datos!$G$15,Datos!$G$14,-O58,,)*VLOOKUP(TODAY(),'UF HOY'!$A$2:$B$36,2,0)/12)+VLOOKUP(TODAY(),'UF HOY'!$A$2:$B$36,2,0)</f>
        <v>618783.99767107982</v>
      </c>
      <c r="AD58" s="55">
        <f t="shared" ca="1" si="57"/>
        <v>-228783.99767107982</v>
      </c>
      <c r="AE58" s="93">
        <f t="shared" ca="1" si="16"/>
        <v>2475135.9906843193</v>
      </c>
    </row>
    <row r="59" spans="1:31" s="3" customFormat="1" x14ac:dyDescent="0.35">
      <c r="A59" s="94" t="s">
        <v>305</v>
      </c>
      <c r="B59" s="81" t="s">
        <v>218</v>
      </c>
      <c r="C59" s="48" t="s">
        <v>36</v>
      </c>
      <c r="D59" s="48" t="s">
        <v>37</v>
      </c>
      <c r="E59" s="48"/>
      <c r="F59" s="48">
        <v>32.76</v>
      </c>
      <c r="G59" s="48">
        <v>2.29</v>
      </c>
      <c r="H59" s="82">
        <f t="shared" si="52"/>
        <v>33.905000000000001</v>
      </c>
      <c r="I59" s="82">
        <f t="shared" si="53"/>
        <v>35.049999999999997</v>
      </c>
      <c r="J59" s="49">
        <v>3580</v>
      </c>
      <c r="K59" s="50">
        <v>0</v>
      </c>
      <c r="L59" s="81">
        <v>200</v>
      </c>
      <c r="M59" s="48">
        <v>0</v>
      </c>
      <c r="N59" s="49">
        <f t="shared" si="47"/>
        <v>3422</v>
      </c>
      <c r="O59" s="108">
        <f t="shared" si="48"/>
        <v>3780</v>
      </c>
      <c r="P59" s="79">
        <f t="shared" si="49"/>
        <v>95.030231529272967</v>
      </c>
      <c r="Q59" s="53">
        <f t="shared" si="50"/>
        <v>9.4700000000000006E-2</v>
      </c>
      <c r="R59" s="54">
        <f t="shared" si="51"/>
        <v>358</v>
      </c>
      <c r="S59" s="53">
        <v>0.8</v>
      </c>
      <c r="T59" s="54">
        <f t="shared" si="54"/>
        <v>3024</v>
      </c>
      <c r="U59" s="53">
        <f t="shared" si="55"/>
        <v>0.10529999999999995</v>
      </c>
      <c r="V59" s="54">
        <f t="shared" si="56"/>
        <v>398.03399999999982</v>
      </c>
      <c r="W59" s="55">
        <f ca="1">V59*VLOOKUP(TODAY(),'UF HOY'!$A$2:$B$36,2,0)</f>
        <v>15815459.073959993</v>
      </c>
      <c r="X59" s="56">
        <f>Datos!$K$9</f>
        <v>24</v>
      </c>
      <c r="Y59" s="55">
        <f ca="1">IF((W59-Datos!$U$9-1000000)/X59&gt;0,(W59-Datos!$U$9-1000000)/X59,0)</f>
        <v>613144.12808166642</v>
      </c>
      <c r="Z59" s="56">
        <f>Datos!$K$9</f>
        <v>24</v>
      </c>
      <c r="AA59" s="55">
        <f ca="1">IF((W59-Datos!$U$9-1000000-O59*4%*VLOOKUP(TODAY(),'UF HOY'!$A$2:$B$36,2,0))/Z59&gt;0,(W59-Datos!$U$9-1000000-O59*4%*VLOOKUP(TODAY(),'UF HOY'!$A$2:$B$36,2,0))/Z59,0)</f>
        <v>362820.30608166632</v>
      </c>
      <c r="AB59" s="55">
        <f>IF(L59&gt;0,VLOOKUP(D59,Datos!$A$6:$C$10,3,0),VLOOKUP(D59,Datos!$A$6:$C$10,2,0))</f>
        <v>390000</v>
      </c>
      <c r="AC59" s="55">
        <f ca="1">(S59*PMT(Datos!$G$15,Datos!$G$14,-O59,,)*VLOOKUP(TODAY(),'UF HOY'!$A$2:$B$36,2,0)/12)+VLOOKUP(TODAY(),'UF HOY'!$A$2:$B$36,2,0)</f>
        <v>618783.99767107982</v>
      </c>
      <c r="AD59" s="55">
        <f t="shared" ca="1" si="57"/>
        <v>-228783.99767107982</v>
      </c>
      <c r="AE59" s="93">
        <f t="shared" ca="1" si="16"/>
        <v>2475135.9906843193</v>
      </c>
    </row>
    <row r="60" spans="1:31" s="3" customFormat="1" x14ac:dyDescent="0.35">
      <c r="A60" s="94" t="s">
        <v>305</v>
      </c>
      <c r="B60" s="81" t="s">
        <v>290</v>
      </c>
      <c r="C60" s="48" t="s">
        <v>40</v>
      </c>
      <c r="D60" s="48" t="s">
        <v>37</v>
      </c>
      <c r="E60" s="48"/>
      <c r="F60" s="48">
        <v>32.76</v>
      </c>
      <c r="G60" s="48">
        <v>2.29</v>
      </c>
      <c r="H60" s="82">
        <f t="shared" si="52"/>
        <v>33.905000000000001</v>
      </c>
      <c r="I60" s="82">
        <f t="shared" si="53"/>
        <v>35.049999999999997</v>
      </c>
      <c r="J60" s="49">
        <v>3585</v>
      </c>
      <c r="K60" s="50">
        <v>0</v>
      </c>
      <c r="L60" s="81">
        <v>200</v>
      </c>
      <c r="M60" s="48">
        <v>0</v>
      </c>
      <c r="N60" s="49">
        <f t="shared" si="47"/>
        <v>3426.5</v>
      </c>
      <c r="O60" s="108">
        <f t="shared" si="48"/>
        <v>3785</v>
      </c>
      <c r="P60" s="79">
        <f t="shared" si="49"/>
        <v>95.162955316325025</v>
      </c>
      <c r="Q60" s="53">
        <f t="shared" si="50"/>
        <v>9.4700000000000006E-2</v>
      </c>
      <c r="R60" s="54">
        <f t="shared" si="51"/>
        <v>358.5</v>
      </c>
      <c r="S60" s="53">
        <v>0.8</v>
      </c>
      <c r="T60" s="54">
        <f t="shared" si="54"/>
        <v>3028</v>
      </c>
      <c r="U60" s="53">
        <f t="shared" si="55"/>
        <v>0.10529999999999995</v>
      </c>
      <c r="V60" s="54">
        <f t="shared" si="56"/>
        <v>398.56049999999982</v>
      </c>
      <c r="W60" s="55">
        <f ca="1">V60*VLOOKUP(TODAY(),'UF HOY'!$A$2:$B$36,2,0)</f>
        <v>15836378.993369995</v>
      </c>
      <c r="X60" s="56">
        <f>Datos!$K$9</f>
        <v>24</v>
      </c>
      <c r="Y60" s="55">
        <f ca="1">IF((W60-Datos!$U$9-1000000)/X60&gt;0,(W60-Datos!$U$9-1000000)/X60,0)</f>
        <v>614015.79139041645</v>
      </c>
      <c r="Z60" s="56">
        <f>Datos!$K$9</f>
        <v>24</v>
      </c>
      <c r="AA60" s="55">
        <f ca="1">IF((W60-Datos!$U$9-1000000-O60*4%*VLOOKUP(TODAY(),'UF HOY'!$A$2:$B$36,2,0))/Z60&gt;0,(W60-Datos!$U$9-1000000-O60*4%*VLOOKUP(TODAY(),'UF HOY'!$A$2:$B$36,2,0))/Z60,0)</f>
        <v>363360.85322374973</v>
      </c>
      <c r="AB60" s="55">
        <f>IF(L60&gt;0,VLOOKUP(D60,Datos!$A$6:$C$10,3,0),VLOOKUP(D60,Datos!$A$6:$C$10,2,0))</f>
        <v>390000</v>
      </c>
      <c r="AC60" s="55">
        <f ca="1">(S60*PMT(Datos!$G$15,Datos!$G$14,-O60,,)*VLOOKUP(TODAY(),'UF HOY'!$A$2:$B$36,2,0)/12)+VLOOKUP(TODAY(),'UF HOY'!$A$2:$B$36,2,0)</f>
        <v>619549.93690080359</v>
      </c>
      <c r="AD60" s="55">
        <f t="shared" ca="1" si="57"/>
        <v>-229549.93690080359</v>
      </c>
      <c r="AE60" s="93">
        <f t="shared" ca="1" si="16"/>
        <v>2478199.7476032143</v>
      </c>
    </row>
    <row r="61" spans="1:31" s="3" customFormat="1" x14ac:dyDescent="0.35">
      <c r="A61" s="94" t="s">
        <v>305</v>
      </c>
      <c r="B61" s="81" t="s">
        <v>217</v>
      </c>
      <c r="C61" s="48" t="s">
        <v>40</v>
      </c>
      <c r="D61" s="48" t="s">
        <v>37</v>
      </c>
      <c r="E61" s="48"/>
      <c r="F61" s="48">
        <v>32.76</v>
      </c>
      <c r="G61" s="48">
        <v>2.29</v>
      </c>
      <c r="H61" s="82">
        <f t="shared" si="52"/>
        <v>33.905000000000001</v>
      </c>
      <c r="I61" s="82">
        <f t="shared" si="53"/>
        <v>35.049999999999997</v>
      </c>
      <c r="J61" s="49">
        <v>3585</v>
      </c>
      <c r="K61" s="50">
        <v>0</v>
      </c>
      <c r="L61" s="81">
        <v>200</v>
      </c>
      <c r="M61" s="48">
        <v>0</v>
      </c>
      <c r="N61" s="49">
        <f t="shared" si="47"/>
        <v>3426.5</v>
      </c>
      <c r="O61" s="108">
        <f t="shared" si="48"/>
        <v>3785</v>
      </c>
      <c r="P61" s="79">
        <f t="shared" si="49"/>
        <v>95.162955316325025</v>
      </c>
      <c r="Q61" s="53">
        <f t="shared" si="50"/>
        <v>9.4700000000000006E-2</v>
      </c>
      <c r="R61" s="54">
        <f t="shared" si="51"/>
        <v>358.5</v>
      </c>
      <c r="S61" s="53">
        <v>0.8</v>
      </c>
      <c r="T61" s="54">
        <f t="shared" si="54"/>
        <v>3028</v>
      </c>
      <c r="U61" s="53">
        <f t="shared" si="55"/>
        <v>0.10529999999999995</v>
      </c>
      <c r="V61" s="54">
        <f t="shared" si="56"/>
        <v>398.56049999999982</v>
      </c>
      <c r="W61" s="55">
        <f ca="1">V61*VLOOKUP(TODAY(),'UF HOY'!$A$2:$B$36,2,0)</f>
        <v>15836378.993369995</v>
      </c>
      <c r="X61" s="56">
        <f>Datos!$K$9</f>
        <v>24</v>
      </c>
      <c r="Y61" s="55">
        <f ca="1">IF((W61-Datos!$U$9-1000000)/X61&gt;0,(W61-Datos!$U$9-1000000)/X61,0)</f>
        <v>614015.79139041645</v>
      </c>
      <c r="Z61" s="56">
        <f>Datos!$K$9</f>
        <v>24</v>
      </c>
      <c r="AA61" s="55">
        <f ca="1">IF((W61-Datos!$U$9-1000000-O61*4%*VLOOKUP(TODAY(),'UF HOY'!$A$2:$B$36,2,0))/Z61&gt;0,(W61-Datos!$U$9-1000000-O61*4%*VLOOKUP(TODAY(),'UF HOY'!$A$2:$B$36,2,0))/Z61,0)</f>
        <v>363360.85322374973</v>
      </c>
      <c r="AB61" s="55">
        <f>IF(L61&gt;0,VLOOKUP(D61,Datos!$A$6:$C$10,3,0),VLOOKUP(D61,Datos!$A$6:$C$10,2,0))</f>
        <v>390000</v>
      </c>
      <c r="AC61" s="55">
        <f ca="1">(S61*PMT(Datos!$G$15,Datos!$G$14,-O61,,)*VLOOKUP(TODAY(),'UF HOY'!$A$2:$B$36,2,0)/12)+VLOOKUP(TODAY(),'UF HOY'!$A$2:$B$36,2,0)</f>
        <v>619549.93690080359</v>
      </c>
      <c r="AD61" s="55">
        <f t="shared" ca="1" si="57"/>
        <v>-229549.93690080359</v>
      </c>
      <c r="AE61" s="93">
        <f t="shared" ca="1" si="16"/>
        <v>2478199.7476032143</v>
      </c>
    </row>
    <row r="62" spans="1:31" s="3" customFormat="1" x14ac:dyDescent="0.35">
      <c r="A62" s="94" t="s">
        <v>305</v>
      </c>
      <c r="B62" s="81" t="s">
        <v>216</v>
      </c>
      <c r="C62" s="48" t="s">
        <v>40</v>
      </c>
      <c r="D62" s="48" t="s">
        <v>37</v>
      </c>
      <c r="E62" s="48"/>
      <c r="F62" s="48">
        <v>32.76</v>
      </c>
      <c r="G62" s="48">
        <v>2.29</v>
      </c>
      <c r="H62" s="82">
        <f t="shared" si="52"/>
        <v>33.905000000000001</v>
      </c>
      <c r="I62" s="82">
        <f t="shared" si="53"/>
        <v>35.049999999999997</v>
      </c>
      <c r="J62" s="49">
        <v>3585</v>
      </c>
      <c r="K62" s="50">
        <v>0</v>
      </c>
      <c r="L62" s="81">
        <v>200</v>
      </c>
      <c r="M62" s="48">
        <v>0</v>
      </c>
      <c r="N62" s="49">
        <f t="shared" si="47"/>
        <v>3426.5</v>
      </c>
      <c r="O62" s="108">
        <f t="shared" si="48"/>
        <v>3785</v>
      </c>
      <c r="P62" s="79">
        <f t="shared" si="49"/>
        <v>95.162955316325025</v>
      </c>
      <c r="Q62" s="53">
        <f t="shared" si="50"/>
        <v>9.4700000000000006E-2</v>
      </c>
      <c r="R62" s="54">
        <f t="shared" si="51"/>
        <v>358.5</v>
      </c>
      <c r="S62" s="53">
        <v>0.8</v>
      </c>
      <c r="T62" s="54">
        <f t="shared" si="54"/>
        <v>3028</v>
      </c>
      <c r="U62" s="53">
        <f t="shared" si="55"/>
        <v>0.10529999999999995</v>
      </c>
      <c r="V62" s="54">
        <f t="shared" si="56"/>
        <v>398.56049999999982</v>
      </c>
      <c r="W62" s="55">
        <f ca="1">V62*VLOOKUP(TODAY(),'UF HOY'!$A$2:$B$36,2,0)</f>
        <v>15836378.993369995</v>
      </c>
      <c r="X62" s="56">
        <f>Datos!$K$9</f>
        <v>24</v>
      </c>
      <c r="Y62" s="55">
        <f ca="1">IF((W62-Datos!$U$9-1000000)/X62&gt;0,(W62-Datos!$U$9-1000000)/X62,0)</f>
        <v>614015.79139041645</v>
      </c>
      <c r="Z62" s="56">
        <f>Datos!$K$9</f>
        <v>24</v>
      </c>
      <c r="AA62" s="55">
        <f ca="1">IF((W62-Datos!$U$9-1000000-O62*4%*VLOOKUP(TODAY(),'UF HOY'!$A$2:$B$36,2,0))/Z62&gt;0,(W62-Datos!$U$9-1000000-O62*4%*VLOOKUP(TODAY(),'UF HOY'!$A$2:$B$36,2,0))/Z62,0)</f>
        <v>363360.85322374973</v>
      </c>
      <c r="AB62" s="55">
        <f>IF(L62&gt;0,VLOOKUP(D62,Datos!$A$6:$C$10,3,0),VLOOKUP(D62,Datos!$A$6:$C$10,2,0))</f>
        <v>390000</v>
      </c>
      <c r="AC62" s="55">
        <f ca="1">(S62*PMT(Datos!$G$15,Datos!$G$14,-O62,,)*VLOOKUP(TODAY(),'UF HOY'!$A$2:$B$36,2,0)/12)+VLOOKUP(TODAY(),'UF HOY'!$A$2:$B$36,2,0)</f>
        <v>619549.93690080359</v>
      </c>
      <c r="AD62" s="55">
        <f t="shared" ca="1" si="57"/>
        <v>-229549.93690080359</v>
      </c>
      <c r="AE62" s="93">
        <f t="shared" ca="1" si="16"/>
        <v>2478199.7476032143</v>
      </c>
    </row>
    <row r="63" spans="1:31" s="3" customFormat="1" x14ac:dyDescent="0.35">
      <c r="A63" s="94" t="s">
        <v>305</v>
      </c>
      <c r="B63" s="81" t="s">
        <v>291</v>
      </c>
      <c r="C63" s="48" t="s">
        <v>40</v>
      </c>
      <c r="D63" s="48" t="s">
        <v>37</v>
      </c>
      <c r="E63" s="48"/>
      <c r="F63" s="48">
        <v>32.76</v>
      </c>
      <c r="G63" s="48">
        <v>2.29</v>
      </c>
      <c r="H63" s="82">
        <f t="shared" si="52"/>
        <v>33.905000000000001</v>
      </c>
      <c r="I63" s="82">
        <f t="shared" si="53"/>
        <v>35.049999999999997</v>
      </c>
      <c r="J63" s="49">
        <v>3585</v>
      </c>
      <c r="K63" s="50">
        <v>0</v>
      </c>
      <c r="L63" s="81">
        <v>200</v>
      </c>
      <c r="M63" s="48">
        <v>0</v>
      </c>
      <c r="N63" s="49">
        <f t="shared" si="47"/>
        <v>3426.5</v>
      </c>
      <c r="O63" s="108">
        <f t="shared" si="48"/>
        <v>3785</v>
      </c>
      <c r="P63" s="79">
        <f t="shared" si="49"/>
        <v>95.162955316325025</v>
      </c>
      <c r="Q63" s="53">
        <f t="shared" si="50"/>
        <v>9.4700000000000006E-2</v>
      </c>
      <c r="R63" s="54">
        <f t="shared" si="51"/>
        <v>358.5</v>
      </c>
      <c r="S63" s="53">
        <v>0.8</v>
      </c>
      <c r="T63" s="54">
        <f t="shared" si="54"/>
        <v>3028</v>
      </c>
      <c r="U63" s="53">
        <f t="shared" si="55"/>
        <v>0.10529999999999995</v>
      </c>
      <c r="V63" s="54">
        <f t="shared" si="56"/>
        <v>398.56049999999982</v>
      </c>
      <c r="W63" s="55">
        <f ca="1">V63*VLOOKUP(TODAY(),'UF HOY'!$A$2:$B$36,2,0)</f>
        <v>15836378.993369995</v>
      </c>
      <c r="X63" s="56">
        <f>Datos!$K$9</f>
        <v>24</v>
      </c>
      <c r="Y63" s="55">
        <f ca="1">IF((W63-Datos!$U$9-1000000)/X63&gt;0,(W63-Datos!$U$9-1000000)/X63,0)</f>
        <v>614015.79139041645</v>
      </c>
      <c r="Z63" s="56">
        <f>Datos!$K$9</f>
        <v>24</v>
      </c>
      <c r="AA63" s="55">
        <f ca="1">IF((W63-Datos!$U$9-1000000-O63*4%*VLOOKUP(TODAY(),'UF HOY'!$A$2:$B$36,2,0))/Z63&gt;0,(W63-Datos!$U$9-1000000-O63*4%*VLOOKUP(TODAY(),'UF HOY'!$A$2:$B$36,2,0))/Z63,0)</f>
        <v>363360.85322374973</v>
      </c>
      <c r="AB63" s="55">
        <f>IF(L63&gt;0,VLOOKUP(D63,Datos!$A$6:$C$10,3,0),VLOOKUP(D63,Datos!$A$6:$C$10,2,0))</f>
        <v>390000</v>
      </c>
      <c r="AC63" s="55">
        <f ca="1">(S63*PMT(Datos!$G$15,Datos!$G$14,-O63,,)*VLOOKUP(TODAY(),'UF HOY'!$A$2:$B$36,2,0)/12)+VLOOKUP(TODAY(),'UF HOY'!$A$2:$B$36,2,0)</f>
        <v>619549.93690080359</v>
      </c>
      <c r="AD63" s="55">
        <f t="shared" ca="1" si="57"/>
        <v>-229549.93690080359</v>
      </c>
      <c r="AE63" s="93">
        <f t="shared" ca="1" si="16"/>
        <v>2478199.7476032143</v>
      </c>
    </row>
    <row r="64" spans="1:31" s="3" customFormat="1" x14ac:dyDescent="0.35">
      <c r="A64" s="94" t="s">
        <v>305</v>
      </c>
      <c r="B64" s="81" t="s">
        <v>292</v>
      </c>
      <c r="C64" s="48" t="s">
        <v>40</v>
      </c>
      <c r="D64" s="48" t="s">
        <v>37</v>
      </c>
      <c r="E64" s="48"/>
      <c r="F64" s="48">
        <v>32.76</v>
      </c>
      <c r="G64" s="48">
        <v>2.29</v>
      </c>
      <c r="H64" s="82">
        <f t="shared" si="52"/>
        <v>33.905000000000001</v>
      </c>
      <c r="I64" s="82">
        <f t="shared" si="53"/>
        <v>35.049999999999997</v>
      </c>
      <c r="J64" s="49">
        <v>3585</v>
      </c>
      <c r="K64" s="50">
        <v>0</v>
      </c>
      <c r="L64" s="81">
        <v>200</v>
      </c>
      <c r="M64" s="48">
        <v>0</v>
      </c>
      <c r="N64" s="49">
        <f t="shared" si="47"/>
        <v>3426.5</v>
      </c>
      <c r="O64" s="108">
        <f t="shared" si="48"/>
        <v>3785</v>
      </c>
      <c r="P64" s="79">
        <f t="shared" si="49"/>
        <v>95.162955316325025</v>
      </c>
      <c r="Q64" s="53">
        <f t="shared" si="50"/>
        <v>9.4700000000000006E-2</v>
      </c>
      <c r="R64" s="54">
        <f t="shared" si="51"/>
        <v>358.5</v>
      </c>
      <c r="S64" s="53">
        <v>0.8</v>
      </c>
      <c r="T64" s="54">
        <f t="shared" si="54"/>
        <v>3028</v>
      </c>
      <c r="U64" s="53">
        <f t="shared" si="55"/>
        <v>0.10529999999999995</v>
      </c>
      <c r="V64" s="54">
        <f t="shared" si="56"/>
        <v>398.56049999999982</v>
      </c>
      <c r="W64" s="55">
        <f ca="1">V64*VLOOKUP(TODAY(),'UF HOY'!$A$2:$B$36,2,0)</f>
        <v>15836378.993369995</v>
      </c>
      <c r="X64" s="56">
        <f>Datos!$K$9</f>
        <v>24</v>
      </c>
      <c r="Y64" s="55">
        <f ca="1">IF((W64-Datos!$U$9-1000000)/X64&gt;0,(W64-Datos!$U$9-1000000)/X64,0)</f>
        <v>614015.79139041645</v>
      </c>
      <c r="Z64" s="56">
        <f>Datos!$K$9</f>
        <v>24</v>
      </c>
      <c r="AA64" s="55">
        <f ca="1">IF((W64-Datos!$U$9-1000000-O64*4%*VLOOKUP(TODAY(),'UF HOY'!$A$2:$B$36,2,0))/Z64&gt;0,(W64-Datos!$U$9-1000000-O64*4%*VLOOKUP(TODAY(),'UF HOY'!$A$2:$B$36,2,0))/Z64,0)</f>
        <v>363360.85322374973</v>
      </c>
      <c r="AB64" s="55">
        <f>IF(L64&gt;0,VLOOKUP(D64,Datos!$A$6:$C$10,3,0),VLOOKUP(D64,Datos!$A$6:$C$10,2,0))</f>
        <v>390000</v>
      </c>
      <c r="AC64" s="55">
        <f ca="1">(S64*PMT(Datos!$G$15,Datos!$G$14,-O64,,)*VLOOKUP(TODAY(),'UF HOY'!$A$2:$B$36,2,0)/12)+VLOOKUP(TODAY(),'UF HOY'!$A$2:$B$36,2,0)</f>
        <v>619549.93690080359</v>
      </c>
      <c r="AD64" s="55">
        <f t="shared" ca="1" si="57"/>
        <v>-229549.93690080359</v>
      </c>
      <c r="AE64" s="93">
        <f t="shared" ca="1" si="16"/>
        <v>2478199.7476032143</v>
      </c>
    </row>
    <row r="65" spans="1:31" s="3" customFormat="1" x14ac:dyDescent="0.35">
      <c r="A65" s="94" t="s">
        <v>305</v>
      </c>
      <c r="B65" s="81" t="s">
        <v>293</v>
      </c>
      <c r="C65" s="48" t="s">
        <v>40</v>
      </c>
      <c r="D65" s="48" t="s">
        <v>37</v>
      </c>
      <c r="E65" s="48"/>
      <c r="F65" s="48">
        <v>32.76</v>
      </c>
      <c r="G65" s="48">
        <v>2.29</v>
      </c>
      <c r="H65" s="82">
        <f t="shared" si="52"/>
        <v>33.905000000000001</v>
      </c>
      <c r="I65" s="82">
        <f t="shared" si="53"/>
        <v>35.049999999999997</v>
      </c>
      <c r="J65" s="49">
        <v>3585</v>
      </c>
      <c r="K65" s="50">
        <v>0</v>
      </c>
      <c r="L65" s="81">
        <v>200</v>
      </c>
      <c r="M65" s="48">
        <v>0</v>
      </c>
      <c r="N65" s="49">
        <f t="shared" si="47"/>
        <v>3426.5</v>
      </c>
      <c r="O65" s="108">
        <f t="shared" si="48"/>
        <v>3785</v>
      </c>
      <c r="P65" s="79">
        <f t="shared" si="49"/>
        <v>95.162955316325025</v>
      </c>
      <c r="Q65" s="53">
        <f t="shared" si="50"/>
        <v>9.4700000000000006E-2</v>
      </c>
      <c r="R65" s="54">
        <f t="shared" si="51"/>
        <v>358.5</v>
      </c>
      <c r="S65" s="53">
        <v>0.8</v>
      </c>
      <c r="T65" s="54">
        <f t="shared" si="54"/>
        <v>3028</v>
      </c>
      <c r="U65" s="53">
        <f t="shared" si="55"/>
        <v>0.10529999999999995</v>
      </c>
      <c r="V65" s="54">
        <f t="shared" si="56"/>
        <v>398.56049999999982</v>
      </c>
      <c r="W65" s="55">
        <f ca="1">V65*VLOOKUP(TODAY(),'UF HOY'!$A$2:$B$36,2,0)</f>
        <v>15836378.993369995</v>
      </c>
      <c r="X65" s="56">
        <f>Datos!$K$9</f>
        <v>24</v>
      </c>
      <c r="Y65" s="55">
        <f ca="1">IF((W65-Datos!$U$9-1000000)/X65&gt;0,(W65-Datos!$U$9-1000000)/X65,0)</f>
        <v>614015.79139041645</v>
      </c>
      <c r="Z65" s="56">
        <f>Datos!$K$9</f>
        <v>24</v>
      </c>
      <c r="AA65" s="55">
        <f ca="1">IF((W65-Datos!$U$9-1000000-O65*4%*VLOOKUP(TODAY(),'UF HOY'!$A$2:$B$36,2,0))/Z65&gt;0,(W65-Datos!$U$9-1000000-O65*4%*VLOOKUP(TODAY(),'UF HOY'!$A$2:$B$36,2,0))/Z65,0)</f>
        <v>363360.85322374973</v>
      </c>
      <c r="AB65" s="55">
        <f>IF(L65&gt;0,VLOOKUP(D65,Datos!$A$6:$C$10,3,0),VLOOKUP(D65,Datos!$A$6:$C$10,2,0))</f>
        <v>390000</v>
      </c>
      <c r="AC65" s="55">
        <f ca="1">(S65*PMT(Datos!$G$15,Datos!$G$14,-O65,,)*VLOOKUP(TODAY(),'UF HOY'!$A$2:$B$36,2,0)/12)+VLOOKUP(TODAY(),'UF HOY'!$A$2:$B$36,2,0)</f>
        <v>619549.93690080359</v>
      </c>
      <c r="AD65" s="55">
        <f t="shared" ca="1" si="57"/>
        <v>-229549.93690080359</v>
      </c>
      <c r="AE65" s="93">
        <f t="shared" ca="1" si="16"/>
        <v>2478199.7476032143</v>
      </c>
    </row>
    <row r="66" spans="1:31" s="3" customFormat="1" x14ac:dyDescent="0.35">
      <c r="A66" s="94" t="s">
        <v>305</v>
      </c>
      <c r="B66" s="81" t="s">
        <v>303</v>
      </c>
      <c r="C66" s="48" t="s">
        <v>40</v>
      </c>
      <c r="D66" s="48" t="s">
        <v>37</v>
      </c>
      <c r="E66" s="48"/>
      <c r="F66" s="48">
        <v>33.479999999999997</v>
      </c>
      <c r="G66" s="48">
        <v>2.29</v>
      </c>
      <c r="H66" s="82">
        <f t="shared" si="52"/>
        <v>34.625</v>
      </c>
      <c r="I66" s="82">
        <f t="shared" si="53"/>
        <v>35.769999999999996</v>
      </c>
      <c r="J66" s="49">
        <v>3585</v>
      </c>
      <c r="K66" s="50">
        <v>0</v>
      </c>
      <c r="L66" s="81">
        <v>200</v>
      </c>
      <c r="M66" s="48">
        <v>0</v>
      </c>
      <c r="N66" s="49">
        <f t="shared" si="47"/>
        <v>3426.5</v>
      </c>
      <c r="O66" s="108">
        <f t="shared" si="48"/>
        <v>3785</v>
      </c>
      <c r="P66" s="79">
        <f t="shared" si="49"/>
        <v>93.184115523465707</v>
      </c>
      <c r="Q66" s="53">
        <f t="shared" si="50"/>
        <v>9.4700000000000006E-2</v>
      </c>
      <c r="R66" s="54">
        <f t="shared" si="51"/>
        <v>358.5</v>
      </c>
      <c r="S66" s="53">
        <v>0.8</v>
      </c>
      <c r="T66" s="54">
        <f t="shared" si="54"/>
        <v>3028</v>
      </c>
      <c r="U66" s="53">
        <f t="shared" si="55"/>
        <v>0.10529999999999995</v>
      </c>
      <c r="V66" s="54">
        <f t="shared" si="56"/>
        <v>398.56049999999982</v>
      </c>
      <c r="W66" s="55">
        <f ca="1">V66*VLOOKUP(TODAY(),'UF HOY'!$A$2:$B$36,2,0)</f>
        <v>15836378.993369995</v>
      </c>
      <c r="X66" s="56">
        <f>Datos!$K$9</f>
        <v>24</v>
      </c>
      <c r="Y66" s="55">
        <f ca="1">IF((W66-Datos!$U$9-1000000)/X66&gt;0,(W66-Datos!$U$9-1000000)/X66,0)</f>
        <v>614015.79139041645</v>
      </c>
      <c r="Z66" s="56">
        <f>Datos!$K$9</f>
        <v>24</v>
      </c>
      <c r="AA66" s="55">
        <f ca="1">IF((W66-Datos!$U$9-1000000-O66*4%*VLOOKUP(TODAY(),'UF HOY'!$A$2:$B$36,2,0))/Z66&gt;0,(W66-Datos!$U$9-1000000-O66*4%*VLOOKUP(TODAY(),'UF HOY'!$A$2:$B$36,2,0))/Z66,0)</f>
        <v>363360.85322374973</v>
      </c>
      <c r="AB66" s="55">
        <f>IF(L66&gt;0,VLOOKUP(D66,Datos!$A$6:$C$10,3,0),VLOOKUP(D66,Datos!$A$6:$C$10,2,0))</f>
        <v>390000</v>
      </c>
      <c r="AC66" s="55">
        <f ca="1">(S66*PMT(Datos!$G$15,Datos!$G$14,-O66,,)*VLOOKUP(TODAY(),'UF HOY'!$A$2:$B$36,2,0)/12)+VLOOKUP(TODAY(),'UF HOY'!$A$2:$B$36,2,0)</f>
        <v>619549.93690080359</v>
      </c>
      <c r="AD66" s="55">
        <f t="shared" ca="1" si="57"/>
        <v>-229549.93690080359</v>
      </c>
      <c r="AE66" s="93">
        <f t="shared" ca="1" si="16"/>
        <v>2478199.7476032143</v>
      </c>
    </row>
    <row r="67" spans="1:31" s="3" customFormat="1" x14ac:dyDescent="0.35">
      <c r="A67" s="94" t="s">
        <v>305</v>
      </c>
      <c r="B67" s="81" t="s">
        <v>294</v>
      </c>
      <c r="C67" s="48" t="s">
        <v>40</v>
      </c>
      <c r="D67" s="48" t="s">
        <v>37</v>
      </c>
      <c r="E67" s="48"/>
      <c r="F67" s="48">
        <v>32.76</v>
      </c>
      <c r="G67" s="48">
        <v>2.29</v>
      </c>
      <c r="H67" s="82">
        <f t="shared" si="52"/>
        <v>33.905000000000001</v>
      </c>
      <c r="I67" s="82">
        <f t="shared" si="53"/>
        <v>35.049999999999997</v>
      </c>
      <c r="J67" s="49">
        <v>3585</v>
      </c>
      <c r="K67" s="50">
        <v>0</v>
      </c>
      <c r="L67" s="81">
        <v>200</v>
      </c>
      <c r="M67" s="48">
        <v>0</v>
      </c>
      <c r="N67" s="49">
        <f t="shared" si="47"/>
        <v>3426.5</v>
      </c>
      <c r="O67" s="108">
        <f t="shared" si="48"/>
        <v>3785</v>
      </c>
      <c r="P67" s="79">
        <f t="shared" si="49"/>
        <v>95.162955316325025</v>
      </c>
      <c r="Q67" s="53">
        <f t="shared" si="50"/>
        <v>9.4700000000000006E-2</v>
      </c>
      <c r="R67" s="54">
        <f t="shared" si="51"/>
        <v>358.5</v>
      </c>
      <c r="S67" s="53">
        <v>0.8</v>
      </c>
      <c r="T67" s="54">
        <f t="shared" si="54"/>
        <v>3028</v>
      </c>
      <c r="U67" s="53">
        <f t="shared" si="55"/>
        <v>0.10529999999999995</v>
      </c>
      <c r="V67" s="54">
        <f t="shared" si="56"/>
        <v>398.56049999999982</v>
      </c>
      <c r="W67" s="55">
        <f ca="1">V67*VLOOKUP(TODAY(),'UF HOY'!$A$2:$B$36,2,0)</f>
        <v>15836378.993369995</v>
      </c>
      <c r="X67" s="56">
        <f>Datos!$K$9</f>
        <v>24</v>
      </c>
      <c r="Y67" s="55">
        <f ca="1">IF((W67-Datos!$U$9-1000000)/X67&gt;0,(W67-Datos!$U$9-1000000)/X67,0)</f>
        <v>614015.79139041645</v>
      </c>
      <c r="Z67" s="56">
        <f>Datos!$K$9</f>
        <v>24</v>
      </c>
      <c r="AA67" s="55">
        <f ca="1">IF((W67-Datos!$U$9-1000000-O67*4%*VLOOKUP(TODAY(),'UF HOY'!$A$2:$B$36,2,0))/Z67&gt;0,(W67-Datos!$U$9-1000000-O67*4%*VLOOKUP(TODAY(),'UF HOY'!$A$2:$B$36,2,0))/Z67,0)</f>
        <v>363360.85322374973</v>
      </c>
      <c r="AB67" s="55">
        <f>IF(L67&gt;0,VLOOKUP(D67,Datos!$A$6:$C$10,3,0),VLOOKUP(D67,Datos!$A$6:$C$10,2,0))</f>
        <v>390000</v>
      </c>
      <c r="AC67" s="55">
        <f ca="1">(S67*PMT(Datos!$G$15,Datos!$G$14,-O67,,)*VLOOKUP(TODAY(),'UF HOY'!$A$2:$B$36,2,0)/12)+VLOOKUP(TODAY(),'UF HOY'!$A$2:$B$36,2,0)</f>
        <v>619549.93690080359</v>
      </c>
      <c r="AD67" s="55">
        <f t="shared" ca="1" si="57"/>
        <v>-229549.93690080359</v>
      </c>
      <c r="AE67" s="93">
        <f t="shared" ca="1" si="16"/>
        <v>2478199.7476032143</v>
      </c>
    </row>
    <row r="68" spans="1:31" s="3" customFormat="1" x14ac:dyDescent="0.35">
      <c r="A68" s="94" t="s">
        <v>305</v>
      </c>
      <c r="B68" s="81" t="s">
        <v>214</v>
      </c>
      <c r="C68" s="48" t="s">
        <v>40</v>
      </c>
      <c r="D68" s="48" t="s">
        <v>37</v>
      </c>
      <c r="E68" s="48"/>
      <c r="F68" s="48">
        <v>32.76</v>
      </c>
      <c r="G68" s="48">
        <v>2.29</v>
      </c>
      <c r="H68" s="82">
        <f t="shared" si="52"/>
        <v>33.905000000000001</v>
      </c>
      <c r="I68" s="82">
        <f t="shared" si="53"/>
        <v>35.049999999999997</v>
      </c>
      <c r="J68" s="49">
        <v>3585</v>
      </c>
      <c r="K68" s="50">
        <v>0</v>
      </c>
      <c r="L68" s="81">
        <v>200</v>
      </c>
      <c r="M68" s="48">
        <v>0</v>
      </c>
      <c r="N68" s="49">
        <f t="shared" si="47"/>
        <v>3426.5</v>
      </c>
      <c r="O68" s="108">
        <f t="shared" si="48"/>
        <v>3785</v>
      </c>
      <c r="P68" s="79">
        <f t="shared" si="49"/>
        <v>95.162955316325025</v>
      </c>
      <c r="Q68" s="53">
        <f t="shared" si="50"/>
        <v>9.4700000000000006E-2</v>
      </c>
      <c r="R68" s="54">
        <f t="shared" si="51"/>
        <v>358.5</v>
      </c>
      <c r="S68" s="53">
        <v>0.8</v>
      </c>
      <c r="T68" s="54">
        <f t="shared" si="54"/>
        <v>3028</v>
      </c>
      <c r="U68" s="53">
        <f t="shared" si="55"/>
        <v>0.10529999999999995</v>
      </c>
      <c r="V68" s="54">
        <f t="shared" si="56"/>
        <v>398.56049999999982</v>
      </c>
      <c r="W68" s="55">
        <f ca="1">V68*VLOOKUP(TODAY(),'UF HOY'!$A$2:$B$36,2,0)</f>
        <v>15836378.993369995</v>
      </c>
      <c r="X68" s="56">
        <f>Datos!$K$9</f>
        <v>24</v>
      </c>
      <c r="Y68" s="55">
        <f ca="1">IF((W68-Datos!$U$9-1000000)/X68&gt;0,(W68-Datos!$U$9-1000000)/X68,0)</f>
        <v>614015.79139041645</v>
      </c>
      <c r="Z68" s="56">
        <f>Datos!$K$9</f>
        <v>24</v>
      </c>
      <c r="AA68" s="55">
        <f ca="1">IF((W68-Datos!$U$9-1000000-O68*4%*VLOOKUP(TODAY(),'UF HOY'!$A$2:$B$36,2,0))/Z68&gt;0,(W68-Datos!$U$9-1000000-O68*4%*VLOOKUP(TODAY(),'UF HOY'!$A$2:$B$36,2,0))/Z68,0)</f>
        <v>363360.85322374973</v>
      </c>
      <c r="AB68" s="55">
        <f>IF(L68&gt;0,VLOOKUP(D68,Datos!$A$6:$C$10,3,0),VLOOKUP(D68,Datos!$A$6:$C$10,2,0))</f>
        <v>390000</v>
      </c>
      <c r="AC68" s="55">
        <f ca="1">(S68*PMT(Datos!$G$15,Datos!$G$14,-O68,,)*VLOOKUP(TODAY(),'UF HOY'!$A$2:$B$36,2,0)/12)+VLOOKUP(TODAY(),'UF HOY'!$A$2:$B$36,2,0)</f>
        <v>619549.93690080359</v>
      </c>
      <c r="AD68" s="55">
        <f t="shared" ca="1" si="57"/>
        <v>-229549.93690080359</v>
      </c>
      <c r="AE68" s="93">
        <f t="shared" ca="1" si="16"/>
        <v>2478199.7476032143</v>
      </c>
    </row>
    <row r="69" spans="1:31" s="3" customFormat="1" x14ac:dyDescent="0.35">
      <c r="A69" s="94" t="s">
        <v>305</v>
      </c>
      <c r="B69" s="81" t="s">
        <v>295</v>
      </c>
      <c r="C69" s="48" t="s">
        <v>40</v>
      </c>
      <c r="D69" s="48" t="s">
        <v>37</v>
      </c>
      <c r="E69" s="48"/>
      <c r="F69" s="48">
        <v>32.76</v>
      </c>
      <c r="G69" s="48">
        <v>2.29</v>
      </c>
      <c r="H69" s="82">
        <f t="shared" si="52"/>
        <v>33.905000000000001</v>
      </c>
      <c r="I69" s="82">
        <f t="shared" si="53"/>
        <v>35.049999999999997</v>
      </c>
      <c r="J69" s="49">
        <v>3585</v>
      </c>
      <c r="K69" s="50">
        <v>0</v>
      </c>
      <c r="L69" s="81">
        <v>200</v>
      </c>
      <c r="M69" s="48">
        <v>0</v>
      </c>
      <c r="N69" s="49">
        <f t="shared" si="47"/>
        <v>3426.5</v>
      </c>
      <c r="O69" s="108">
        <f t="shared" si="48"/>
        <v>3785</v>
      </c>
      <c r="P69" s="79">
        <f t="shared" si="49"/>
        <v>95.162955316325025</v>
      </c>
      <c r="Q69" s="53">
        <f t="shared" si="50"/>
        <v>9.4700000000000006E-2</v>
      </c>
      <c r="R69" s="54">
        <f t="shared" si="51"/>
        <v>358.5</v>
      </c>
      <c r="S69" s="53">
        <v>0.8</v>
      </c>
      <c r="T69" s="54">
        <f t="shared" si="54"/>
        <v>3028</v>
      </c>
      <c r="U69" s="53">
        <f t="shared" si="55"/>
        <v>0.10529999999999995</v>
      </c>
      <c r="V69" s="54">
        <f t="shared" si="56"/>
        <v>398.56049999999982</v>
      </c>
      <c r="W69" s="55">
        <f ca="1">V69*VLOOKUP(TODAY(),'UF HOY'!$A$2:$B$36,2,0)</f>
        <v>15836378.993369995</v>
      </c>
      <c r="X69" s="56">
        <f>Datos!$K$9</f>
        <v>24</v>
      </c>
      <c r="Y69" s="55">
        <f ca="1">IF((W69-Datos!$U$9-1000000)/X69&gt;0,(W69-Datos!$U$9-1000000)/X69,0)</f>
        <v>614015.79139041645</v>
      </c>
      <c r="Z69" s="56">
        <f>Datos!$K$9</f>
        <v>24</v>
      </c>
      <c r="AA69" s="55">
        <f ca="1">IF((W69-Datos!$U$9-1000000-O69*4%*VLOOKUP(TODAY(),'UF HOY'!$A$2:$B$36,2,0))/Z69&gt;0,(W69-Datos!$U$9-1000000-O69*4%*VLOOKUP(TODAY(),'UF HOY'!$A$2:$B$36,2,0))/Z69,0)</f>
        <v>363360.85322374973</v>
      </c>
      <c r="AB69" s="55">
        <f>IF(L69&gt;0,VLOOKUP(D69,Datos!$A$6:$C$10,3,0),VLOOKUP(D69,Datos!$A$6:$C$10,2,0))</f>
        <v>390000</v>
      </c>
      <c r="AC69" s="55">
        <f ca="1">(S69*PMT(Datos!$G$15,Datos!$G$14,-O69,,)*VLOOKUP(TODAY(),'UF HOY'!$A$2:$B$36,2,0)/12)+VLOOKUP(TODAY(),'UF HOY'!$A$2:$B$36,2,0)</f>
        <v>619549.93690080359</v>
      </c>
      <c r="AD69" s="55">
        <f t="shared" ca="1" si="57"/>
        <v>-229549.93690080359</v>
      </c>
      <c r="AE69" s="93">
        <f t="shared" ref="AE69:AE121" ca="1" si="58">IF((AC69/0.25)&lt;=1600000,1600000,(AC69/0.25))</f>
        <v>2478199.7476032143</v>
      </c>
    </row>
    <row r="70" spans="1:31" s="3" customFormat="1" x14ac:dyDescent="0.35">
      <c r="A70" s="94" t="s">
        <v>305</v>
      </c>
      <c r="B70" s="81" t="s">
        <v>92</v>
      </c>
      <c r="C70" s="48" t="s">
        <v>40</v>
      </c>
      <c r="D70" s="48" t="s">
        <v>37</v>
      </c>
      <c r="E70" s="48"/>
      <c r="F70" s="48">
        <v>32.76</v>
      </c>
      <c r="G70" s="48">
        <v>2.29</v>
      </c>
      <c r="H70" s="82">
        <f t="shared" si="52"/>
        <v>33.905000000000001</v>
      </c>
      <c r="I70" s="82">
        <f t="shared" si="53"/>
        <v>35.049999999999997</v>
      </c>
      <c r="J70" s="49">
        <v>3585</v>
      </c>
      <c r="K70" s="50">
        <v>0</v>
      </c>
      <c r="L70" s="81">
        <v>200</v>
      </c>
      <c r="M70" s="48">
        <v>0</v>
      </c>
      <c r="N70" s="49">
        <f t="shared" si="47"/>
        <v>3426.5</v>
      </c>
      <c r="O70" s="108">
        <f t="shared" si="48"/>
        <v>3785</v>
      </c>
      <c r="P70" s="79">
        <f t="shared" si="49"/>
        <v>95.162955316325025</v>
      </c>
      <c r="Q70" s="53">
        <f t="shared" si="50"/>
        <v>9.4700000000000006E-2</v>
      </c>
      <c r="R70" s="54">
        <f t="shared" si="51"/>
        <v>358.5</v>
      </c>
      <c r="S70" s="53">
        <v>0.8</v>
      </c>
      <c r="T70" s="54">
        <f t="shared" si="54"/>
        <v>3028</v>
      </c>
      <c r="U70" s="53">
        <f t="shared" si="55"/>
        <v>0.10529999999999995</v>
      </c>
      <c r="V70" s="54">
        <f t="shared" si="56"/>
        <v>398.56049999999982</v>
      </c>
      <c r="W70" s="55">
        <f ca="1">V70*VLOOKUP(TODAY(),'UF HOY'!$A$2:$B$36,2,0)</f>
        <v>15836378.993369995</v>
      </c>
      <c r="X70" s="56">
        <f>Datos!$K$9</f>
        <v>24</v>
      </c>
      <c r="Y70" s="55">
        <f ca="1">IF((W70-Datos!$U$9-1000000)/X70&gt;0,(W70-Datos!$U$9-1000000)/X70,0)</f>
        <v>614015.79139041645</v>
      </c>
      <c r="Z70" s="56">
        <f>Datos!$K$9</f>
        <v>24</v>
      </c>
      <c r="AA70" s="55">
        <f ca="1">IF((W70-Datos!$U$9-1000000-O70*4%*VLOOKUP(TODAY(),'UF HOY'!$A$2:$B$36,2,0))/Z70&gt;0,(W70-Datos!$U$9-1000000-O70*4%*VLOOKUP(TODAY(),'UF HOY'!$A$2:$B$36,2,0))/Z70,0)</f>
        <v>363360.85322374973</v>
      </c>
      <c r="AB70" s="55">
        <f>IF(L70&gt;0,VLOOKUP(D70,Datos!$A$6:$C$10,3,0),VLOOKUP(D70,Datos!$A$6:$C$10,2,0))</f>
        <v>390000</v>
      </c>
      <c r="AC70" s="55">
        <f ca="1">(S70*PMT(Datos!$G$15,Datos!$G$14,-O70,,)*VLOOKUP(TODAY(),'UF HOY'!$A$2:$B$36,2,0)/12)+VLOOKUP(TODAY(),'UF HOY'!$A$2:$B$36,2,0)</f>
        <v>619549.93690080359</v>
      </c>
      <c r="AD70" s="55">
        <f t="shared" ca="1" si="57"/>
        <v>-229549.93690080359</v>
      </c>
      <c r="AE70" s="93">
        <f t="shared" ca="1" si="58"/>
        <v>2478199.7476032143</v>
      </c>
    </row>
    <row r="71" spans="1:31" s="3" customFormat="1" x14ac:dyDescent="0.35">
      <c r="A71" s="94" t="s">
        <v>305</v>
      </c>
      <c r="B71" s="81" t="s">
        <v>213</v>
      </c>
      <c r="C71" s="48" t="s">
        <v>40</v>
      </c>
      <c r="D71" s="48" t="s">
        <v>37</v>
      </c>
      <c r="E71" s="48"/>
      <c r="F71" s="48">
        <v>32.76</v>
      </c>
      <c r="G71" s="48">
        <v>2.29</v>
      </c>
      <c r="H71" s="82">
        <f t="shared" si="52"/>
        <v>33.905000000000001</v>
      </c>
      <c r="I71" s="82">
        <f t="shared" si="53"/>
        <v>35.049999999999997</v>
      </c>
      <c r="J71" s="49">
        <v>3585</v>
      </c>
      <c r="K71" s="50">
        <v>0</v>
      </c>
      <c r="L71" s="81">
        <v>200</v>
      </c>
      <c r="M71" s="48">
        <v>0</v>
      </c>
      <c r="N71" s="49">
        <f t="shared" si="47"/>
        <v>3426.5</v>
      </c>
      <c r="O71" s="108">
        <f t="shared" si="48"/>
        <v>3785</v>
      </c>
      <c r="P71" s="79">
        <f t="shared" si="49"/>
        <v>95.162955316325025</v>
      </c>
      <c r="Q71" s="53">
        <f t="shared" si="50"/>
        <v>9.4700000000000006E-2</v>
      </c>
      <c r="R71" s="54">
        <f t="shared" si="51"/>
        <v>358.5</v>
      </c>
      <c r="S71" s="53">
        <v>0.8</v>
      </c>
      <c r="T71" s="54">
        <f t="shared" si="54"/>
        <v>3028</v>
      </c>
      <c r="U71" s="53">
        <f t="shared" si="55"/>
        <v>0.10529999999999995</v>
      </c>
      <c r="V71" s="54">
        <f t="shared" si="56"/>
        <v>398.56049999999982</v>
      </c>
      <c r="W71" s="55">
        <f ca="1">V71*VLOOKUP(TODAY(),'UF HOY'!$A$2:$B$36,2,0)</f>
        <v>15836378.993369995</v>
      </c>
      <c r="X71" s="56">
        <f>Datos!$K$9</f>
        <v>24</v>
      </c>
      <c r="Y71" s="55">
        <f ca="1">IF((W71-Datos!$U$9-1000000)/X71&gt;0,(W71-Datos!$U$9-1000000)/X71,0)</f>
        <v>614015.79139041645</v>
      </c>
      <c r="Z71" s="56">
        <f>Datos!$K$9</f>
        <v>24</v>
      </c>
      <c r="AA71" s="55">
        <f ca="1">IF((W71-Datos!$U$9-1000000-O71*4%*VLOOKUP(TODAY(),'UF HOY'!$A$2:$B$36,2,0))/Z71&gt;0,(W71-Datos!$U$9-1000000-O71*4%*VLOOKUP(TODAY(),'UF HOY'!$A$2:$B$36,2,0))/Z71,0)</f>
        <v>363360.85322374973</v>
      </c>
      <c r="AB71" s="55">
        <f>IF(L71&gt;0,VLOOKUP(D71,Datos!$A$6:$C$10,3,0),VLOOKUP(D71,Datos!$A$6:$C$10,2,0))</f>
        <v>390000</v>
      </c>
      <c r="AC71" s="55">
        <f ca="1">(S71*PMT(Datos!$G$15,Datos!$G$14,-O71,,)*VLOOKUP(TODAY(),'UF HOY'!$A$2:$B$36,2,0)/12)+VLOOKUP(TODAY(),'UF HOY'!$A$2:$B$36,2,0)</f>
        <v>619549.93690080359</v>
      </c>
      <c r="AD71" s="55">
        <f t="shared" ca="1" si="57"/>
        <v>-229549.93690080359</v>
      </c>
      <c r="AE71" s="93">
        <f t="shared" ca="1" si="58"/>
        <v>2478199.7476032143</v>
      </c>
    </row>
    <row r="72" spans="1:31" s="3" customFormat="1" x14ac:dyDescent="0.35">
      <c r="A72" s="94" t="s">
        <v>305</v>
      </c>
      <c r="B72" s="81" t="s">
        <v>275</v>
      </c>
      <c r="C72" s="48" t="s">
        <v>40</v>
      </c>
      <c r="D72" s="48" t="s">
        <v>37</v>
      </c>
      <c r="E72" s="48"/>
      <c r="F72" s="48">
        <v>32.76</v>
      </c>
      <c r="G72" s="48">
        <v>2.29</v>
      </c>
      <c r="H72" s="82">
        <f t="shared" si="52"/>
        <v>33.905000000000001</v>
      </c>
      <c r="I72" s="82">
        <f t="shared" si="53"/>
        <v>35.049999999999997</v>
      </c>
      <c r="J72" s="49">
        <v>3585</v>
      </c>
      <c r="K72" s="50">
        <v>0</v>
      </c>
      <c r="L72" s="81">
        <v>200</v>
      </c>
      <c r="M72" s="48">
        <v>0</v>
      </c>
      <c r="N72" s="49">
        <f t="shared" si="47"/>
        <v>3426.5</v>
      </c>
      <c r="O72" s="108">
        <f t="shared" si="48"/>
        <v>3785</v>
      </c>
      <c r="P72" s="79">
        <f t="shared" si="49"/>
        <v>95.162955316325025</v>
      </c>
      <c r="Q72" s="53">
        <f t="shared" si="50"/>
        <v>9.4700000000000006E-2</v>
      </c>
      <c r="R72" s="54">
        <f t="shared" si="51"/>
        <v>358.5</v>
      </c>
      <c r="S72" s="53">
        <v>0.8</v>
      </c>
      <c r="T72" s="54">
        <f t="shared" si="54"/>
        <v>3028</v>
      </c>
      <c r="U72" s="53">
        <f t="shared" si="55"/>
        <v>0.10529999999999995</v>
      </c>
      <c r="V72" s="54">
        <f t="shared" si="56"/>
        <v>398.56049999999982</v>
      </c>
      <c r="W72" s="55">
        <f ca="1">V72*VLOOKUP(TODAY(),'UF HOY'!$A$2:$B$36,2,0)</f>
        <v>15836378.993369995</v>
      </c>
      <c r="X72" s="56">
        <f>Datos!$K$9</f>
        <v>24</v>
      </c>
      <c r="Y72" s="55">
        <f ca="1">IF((W72-Datos!$U$9-1000000)/X72&gt;0,(W72-Datos!$U$9-1000000)/X72,0)</f>
        <v>614015.79139041645</v>
      </c>
      <c r="Z72" s="56">
        <f>Datos!$K$9</f>
        <v>24</v>
      </c>
      <c r="AA72" s="55">
        <f ca="1">IF((W72-Datos!$U$9-1000000-O72*4%*VLOOKUP(TODAY(),'UF HOY'!$A$2:$B$36,2,0))/Z72&gt;0,(W72-Datos!$U$9-1000000-O72*4%*VLOOKUP(TODAY(),'UF HOY'!$A$2:$B$36,2,0))/Z72,0)</f>
        <v>363360.85322374973</v>
      </c>
      <c r="AB72" s="55">
        <f>IF(L72&gt;0,VLOOKUP(D72,Datos!$A$6:$C$10,3,0),VLOOKUP(D72,Datos!$A$6:$C$10,2,0))</f>
        <v>390000</v>
      </c>
      <c r="AC72" s="55">
        <f ca="1">(S72*PMT(Datos!$G$15,Datos!$G$14,-O72,,)*VLOOKUP(TODAY(),'UF HOY'!$A$2:$B$36,2,0)/12)+VLOOKUP(TODAY(),'UF HOY'!$A$2:$B$36,2,0)</f>
        <v>619549.93690080359</v>
      </c>
      <c r="AD72" s="55">
        <f t="shared" ca="1" si="57"/>
        <v>-229549.93690080359</v>
      </c>
      <c r="AE72" s="93">
        <f t="shared" ca="1" si="58"/>
        <v>2478199.7476032143</v>
      </c>
    </row>
    <row r="73" spans="1:31" s="3" customFormat="1" x14ac:dyDescent="0.35">
      <c r="A73" s="94" t="s">
        <v>305</v>
      </c>
      <c r="B73" s="81" t="s">
        <v>88</v>
      </c>
      <c r="C73" s="48" t="s">
        <v>40</v>
      </c>
      <c r="D73" s="48" t="s">
        <v>37</v>
      </c>
      <c r="E73" s="48"/>
      <c r="F73" s="48">
        <v>33.479999999999997</v>
      </c>
      <c r="G73" s="48">
        <v>2.29</v>
      </c>
      <c r="H73" s="82">
        <f t="shared" si="52"/>
        <v>34.625</v>
      </c>
      <c r="I73" s="82">
        <f t="shared" si="53"/>
        <v>35.769999999999996</v>
      </c>
      <c r="J73" s="49">
        <v>3585</v>
      </c>
      <c r="K73" s="50">
        <v>0</v>
      </c>
      <c r="L73" s="81">
        <v>200</v>
      </c>
      <c r="M73" s="48">
        <v>0</v>
      </c>
      <c r="N73" s="49">
        <f t="shared" si="47"/>
        <v>3426.5</v>
      </c>
      <c r="O73" s="108">
        <f t="shared" si="48"/>
        <v>3785</v>
      </c>
      <c r="P73" s="79">
        <f t="shared" si="49"/>
        <v>93.184115523465707</v>
      </c>
      <c r="Q73" s="53">
        <f t="shared" si="50"/>
        <v>9.4700000000000006E-2</v>
      </c>
      <c r="R73" s="54">
        <f t="shared" si="51"/>
        <v>358.5</v>
      </c>
      <c r="S73" s="53">
        <v>0.8</v>
      </c>
      <c r="T73" s="54">
        <f t="shared" si="54"/>
        <v>3028</v>
      </c>
      <c r="U73" s="53">
        <f t="shared" si="55"/>
        <v>0.10529999999999995</v>
      </c>
      <c r="V73" s="54">
        <f t="shared" si="56"/>
        <v>398.56049999999982</v>
      </c>
      <c r="W73" s="55">
        <f ca="1">V73*VLOOKUP(TODAY(),'UF HOY'!$A$2:$B$36,2,0)</f>
        <v>15836378.993369995</v>
      </c>
      <c r="X73" s="56">
        <f>Datos!$K$9</f>
        <v>24</v>
      </c>
      <c r="Y73" s="55">
        <f ca="1">IF((W73-Datos!$U$9-1000000)/X73&gt;0,(W73-Datos!$U$9-1000000)/X73,0)</f>
        <v>614015.79139041645</v>
      </c>
      <c r="Z73" s="56">
        <f>Datos!$K$9</f>
        <v>24</v>
      </c>
      <c r="AA73" s="55">
        <f ca="1">IF((W73-Datos!$U$9-1000000-O73*4%*VLOOKUP(TODAY(),'UF HOY'!$A$2:$B$36,2,0))/Z73&gt;0,(W73-Datos!$U$9-1000000-O73*4%*VLOOKUP(TODAY(),'UF HOY'!$A$2:$B$36,2,0))/Z73,0)</f>
        <v>363360.85322374973</v>
      </c>
      <c r="AB73" s="55">
        <f>IF(L73&gt;0,VLOOKUP(D73,Datos!$A$6:$C$10,3,0),VLOOKUP(D73,Datos!$A$6:$C$10,2,0))</f>
        <v>390000</v>
      </c>
      <c r="AC73" s="55">
        <f ca="1">(S73*PMT(Datos!$G$15,Datos!$G$14,-O73,,)*VLOOKUP(TODAY(),'UF HOY'!$A$2:$B$36,2,0)/12)+VLOOKUP(TODAY(),'UF HOY'!$A$2:$B$36,2,0)</f>
        <v>619549.93690080359</v>
      </c>
      <c r="AD73" s="55">
        <f t="shared" ca="1" si="57"/>
        <v>-229549.93690080359</v>
      </c>
      <c r="AE73" s="93">
        <f t="shared" ca="1" si="58"/>
        <v>2478199.7476032143</v>
      </c>
    </row>
    <row r="74" spans="1:31" s="3" customFormat="1" x14ac:dyDescent="0.35">
      <c r="A74" s="94" t="s">
        <v>305</v>
      </c>
      <c r="B74" s="81" t="s">
        <v>215</v>
      </c>
      <c r="C74" s="48" t="s">
        <v>41</v>
      </c>
      <c r="D74" s="48" t="s">
        <v>37</v>
      </c>
      <c r="E74" s="48"/>
      <c r="F74" s="48">
        <v>32.76</v>
      </c>
      <c r="G74" s="48">
        <v>2.29</v>
      </c>
      <c r="H74" s="82">
        <f t="shared" si="52"/>
        <v>33.905000000000001</v>
      </c>
      <c r="I74" s="82">
        <f t="shared" si="53"/>
        <v>35.049999999999997</v>
      </c>
      <c r="J74" s="49">
        <v>3585</v>
      </c>
      <c r="K74" s="50">
        <v>0</v>
      </c>
      <c r="L74" s="81">
        <v>200</v>
      </c>
      <c r="M74" s="48">
        <v>0</v>
      </c>
      <c r="N74" s="49">
        <f t="shared" si="47"/>
        <v>3426.5</v>
      </c>
      <c r="O74" s="108">
        <f t="shared" si="48"/>
        <v>3785</v>
      </c>
      <c r="P74" s="79">
        <f t="shared" si="49"/>
        <v>95.162955316325025</v>
      </c>
      <c r="Q74" s="53">
        <f t="shared" si="50"/>
        <v>9.4700000000000006E-2</v>
      </c>
      <c r="R74" s="54">
        <f t="shared" si="51"/>
        <v>358.5</v>
      </c>
      <c r="S74" s="53">
        <v>0.8</v>
      </c>
      <c r="T74" s="54">
        <f t="shared" si="54"/>
        <v>3028</v>
      </c>
      <c r="U74" s="53">
        <f t="shared" si="55"/>
        <v>0.10529999999999995</v>
      </c>
      <c r="V74" s="54">
        <f t="shared" si="56"/>
        <v>398.56049999999982</v>
      </c>
      <c r="W74" s="55">
        <f ca="1">V74*VLOOKUP(TODAY(),'UF HOY'!$A$2:$B$36,2,0)</f>
        <v>15836378.993369995</v>
      </c>
      <c r="X74" s="56">
        <f>Datos!$K$9</f>
        <v>24</v>
      </c>
      <c r="Y74" s="55">
        <f ca="1">IF((W74-Datos!$U$9-1000000)/X74&gt;0,(W74-Datos!$U$9-1000000)/X74,0)</f>
        <v>614015.79139041645</v>
      </c>
      <c r="Z74" s="56">
        <f>Datos!$K$9</f>
        <v>24</v>
      </c>
      <c r="AA74" s="55">
        <f ca="1">IF((W74-Datos!$U$9-1000000-O74*4%*VLOOKUP(TODAY(),'UF HOY'!$A$2:$B$36,2,0))/Z74&gt;0,(W74-Datos!$U$9-1000000-O74*4%*VLOOKUP(TODAY(),'UF HOY'!$A$2:$B$36,2,0))/Z74,0)</f>
        <v>363360.85322374973</v>
      </c>
      <c r="AB74" s="55">
        <f>IF(L74&gt;0,VLOOKUP(D74,Datos!$A$6:$C$10,3,0),VLOOKUP(D74,Datos!$A$6:$C$10,2,0))</f>
        <v>390000</v>
      </c>
      <c r="AC74" s="55">
        <f ca="1">(S74*PMT(Datos!$G$15,Datos!$G$14,-O74,,)*VLOOKUP(TODAY(),'UF HOY'!$A$2:$B$36,2,0)/12)+VLOOKUP(TODAY(),'UF HOY'!$A$2:$B$36,2,0)</f>
        <v>619549.93690080359</v>
      </c>
      <c r="AD74" s="55">
        <f t="shared" ca="1" si="57"/>
        <v>-229549.93690080359</v>
      </c>
      <c r="AE74" s="93">
        <f t="shared" ca="1" si="58"/>
        <v>2478199.7476032143</v>
      </c>
    </row>
    <row r="75" spans="1:31" s="3" customFormat="1" x14ac:dyDescent="0.35">
      <c r="A75" s="94" t="s">
        <v>305</v>
      </c>
      <c r="B75" s="81" t="s">
        <v>212</v>
      </c>
      <c r="C75" s="48" t="s">
        <v>41</v>
      </c>
      <c r="D75" s="48" t="s">
        <v>37</v>
      </c>
      <c r="E75" s="48"/>
      <c r="F75" s="48">
        <v>32.76</v>
      </c>
      <c r="G75" s="48">
        <v>2.29</v>
      </c>
      <c r="H75" s="82">
        <f t="shared" si="52"/>
        <v>33.905000000000001</v>
      </c>
      <c r="I75" s="82">
        <f t="shared" si="53"/>
        <v>35.049999999999997</v>
      </c>
      <c r="J75" s="49">
        <v>3585</v>
      </c>
      <c r="K75" s="50">
        <v>0</v>
      </c>
      <c r="L75" s="81">
        <v>200</v>
      </c>
      <c r="M75" s="48">
        <v>0</v>
      </c>
      <c r="N75" s="49">
        <f t="shared" si="47"/>
        <v>3426.5</v>
      </c>
      <c r="O75" s="108">
        <f t="shared" si="48"/>
        <v>3785</v>
      </c>
      <c r="P75" s="79">
        <f t="shared" si="49"/>
        <v>95.162955316325025</v>
      </c>
      <c r="Q75" s="53">
        <f t="shared" si="50"/>
        <v>9.4700000000000006E-2</v>
      </c>
      <c r="R75" s="54">
        <f t="shared" si="51"/>
        <v>358.5</v>
      </c>
      <c r="S75" s="53">
        <v>0.8</v>
      </c>
      <c r="T75" s="54">
        <f t="shared" si="54"/>
        <v>3028</v>
      </c>
      <c r="U75" s="53">
        <f t="shared" si="55"/>
        <v>0.10529999999999995</v>
      </c>
      <c r="V75" s="54">
        <f t="shared" si="56"/>
        <v>398.56049999999982</v>
      </c>
      <c r="W75" s="55">
        <f ca="1">V75*VLOOKUP(TODAY(),'UF HOY'!$A$2:$B$36,2,0)</f>
        <v>15836378.993369995</v>
      </c>
      <c r="X75" s="56">
        <f>Datos!$K$9</f>
        <v>24</v>
      </c>
      <c r="Y75" s="55">
        <f ca="1">IF((W75-Datos!$U$9-1000000)/X75&gt;0,(W75-Datos!$U$9-1000000)/X75,0)</f>
        <v>614015.79139041645</v>
      </c>
      <c r="Z75" s="56">
        <f>Datos!$K$9</f>
        <v>24</v>
      </c>
      <c r="AA75" s="55">
        <f ca="1">IF((W75-Datos!$U$9-1000000-O75*4%*VLOOKUP(TODAY(),'UF HOY'!$A$2:$B$36,2,0))/Z75&gt;0,(W75-Datos!$U$9-1000000-O75*4%*VLOOKUP(TODAY(),'UF HOY'!$A$2:$B$36,2,0))/Z75,0)</f>
        <v>363360.85322374973</v>
      </c>
      <c r="AB75" s="55">
        <f>IF(L75&gt;0,VLOOKUP(D75,Datos!$A$6:$C$10,3,0),VLOOKUP(D75,Datos!$A$6:$C$10,2,0))</f>
        <v>390000</v>
      </c>
      <c r="AC75" s="55">
        <f ca="1">(S75*PMT(Datos!$G$15,Datos!$G$14,-O75,,)*VLOOKUP(TODAY(),'UF HOY'!$A$2:$B$36,2,0)/12)+VLOOKUP(TODAY(),'UF HOY'!$A$2:$B$36,2,0)</f>
        <v>619549.93690080359</v>
      </c>
      <c r="AD75" s="55">
        <f t="shared" ca="1" si="57"/>
        <v>-229549.93690080359</v>
      </c>
      <c r="AE75" s="93">
        <f t="shared" ca="1" si="58"/>
        <v>2478199.7476032143</v>
      </c>
    </row>
    <row r="76" spans="1:31" s="3" customFormat="1" x14ac:dyDescent="0.35">
      <c r="A76" s="94" t="s">
        <v>305</v>
      </c>
      <c r="B76" s="81" t="s">
        <v>196</v>
      </c>
      <c r="C76" s="48" t="s">
        <v>36</v>
      </c>
      <c r="D76" s="48" t="s">
        <v>37</v>
      </c>
      <c r="E76" s="48"/>
      <c r="F76" s="48">
        <v>33.549999999999997</v>
      </c>
      <c r="G76" s="48">
        <v>2.29</v>
      </c>
      <c r="H76" s="82">
        <f t="shared" si="52"/>
        <v>34.695</v>
      </c>
      <c r="I76" s="82">
        <f t="shared" si="53"/>
        <v>35.839999999999996</v>
      </c>
      <c r="J76" s="49">
        <v>3590</v>
      </c>
      <c r="K76" s="50">
        <v>0</v>
      </c>
      <c r="L76" s="81">
        <v>200</v>
      </c>
      <c r="M76" s="48">
        <v>0</v>
      </c>
      <c r="N76" s="49">
        <f t="shared" si="47"/>
        <v>3431</v>
      </c>
      <c r="O76" s="108">
        <f t="shared" si="48"/>
        <v>3790</v>
      </c>
      <c r="P76" s="79">
        <f t="shared" si="49"/>
        <v>93.125810635538258</v>
      </c>
      <c r="Q76" s="53">
        <f t="shared" si="50"/>
        <v>9.4700000000000006E-2</v>
      </c>
      <c r="R76" s="54">
        <f t="shared" si="51"/>
        <v>359</v>
      </c>
      <c r="S76" s="53">
        <v>0.8</v>
      </c>
      <c r="T76" s="54">
        <f t="shared" si="54"/>
        <v>3032</v>
      </c>
      <c r="U76" s="53">
        <f t="shared" si="55"/>
        <v>0.10529999999999995</v>
      </c>
      <c r="V76" s="54">
        <f t="shared" si="56"/>
        <v>399.08699999999982</v>
      </c>
      <c r="W76" s="55">
        <f ca="1">V76*VLOOKUP(TODAY(),'UF HOY'!$A$2:$B$36,2,0)</f>
        <v>15857298.912779994</v>
      </c>
      <c r="X76" s="56">
        <f>Datos!$K$9</f>
        <v>24</v>
      </c>
      <c r="Y76" s="55">
        <f ca="1">IF((W76-Datos!$U$9-1000000)/X76&gt;0,(W76-Datos!$U$9-1000000)/X76,0)</f>
        <v>614887.45469916647</v>
      </c>
      <c r="Z76" s="56">
        <f>Datos!$K$9</f>
        <v>24</v>
      </c>
      <c r="AA76" s="55">
        <f ca="1">IF((W76-Datos!$U$9-1000000-O76*4%*VLOOKUP(TODAY(),'UF HOY'!$A$2:$B$36,2,0))/Z76&gt;0,(W76-Datos!$U$9-1000000-O76*4%*VLOOKUP(TODAY(),'UF HOY'!$A$2:$B$36,2,0))/Z76,0)</f>
        <v>363901.40036583302</v>
      </c>
      <c r="AB76" s="55">
        <f>IF(L76&gt;0,VLOOKUP(D76,Datos!$A$6:$C$10,3,0),VLOOKUP(D76,Datos!$A$6:$C$10,2,0))</f>
        <v>390000</v>
      </c>
      <c r="AC76" s="55">
        <f ca="1">(S76*PMT(Datos!$G$15,Datos!$G$14,-O76,,)*VLOOKUP(TODAY(),'UF HOY'!$A$2:$B$36,2,0)/12)+VLOOKUP(TODAY(),'UF HOY'!$A$2:$B$36,2,0)</f>
        <v>620315.87613052735</v>
      </c>
      <c r="AD76" s="55">
        <f t="shared" ca="1" si="57"/>
        <v>-230315.87613052735</v>
      </c>
      <c r="AE76" s="93">
        <f t="shared" ca="1" si="58"/>
        <v>2481263.5045221094</v>
      </c>
    </row>
    <row r="77" spans="1:31" s="3" customFormat="1" x14ac:dyDescent="0.35">
      <c r="A77" s="94" t="s">
        <v>305</v>
      </c>
      <c r="B77" s="81" t="s">
        <v>300</v>
      </c>
      <c r="C77" s="48" t="s">
        <v>40</v>
      </c>
      <c r="D77" s="48" t="s">
        <v>37</v>
      </c>
      <c r="E77" s="48"/>
      <c r="F77" s="48">
        <v>33.79</v>
      </c>
      <c r="G77" s="48">
        <v>2.29</v>
      </c>
      <c r="H77" s="82">
        <f t="shared" si="52"/>
        <v>34.935000000000002</v>
      </c>
      <c r="I77" s="82">
        <f t="shared" si="53"/>
        <v>36.08</v>
      </c>
      <c r="J77" s="49">
        <v>3595</v>
      </c>
      <c r="K77" s="50">
        <v>0</v>
      </c>
      <c r="L77" s="81">
        <v>200</v>
      </c>
      <c r="M77" s="48">
        <v>0</v>
      </c>
      <c r="N77" s="49">
        <f t="shared" si="47"/>
        <v>3435.5</v>
      </c>
      <c r="O77" s="108">
        <f t="shared" si="48"/>
        <v>3795</v>
      </c>
      <c r="P77" s="79">
        <f t="shared" si="49"/>
        <v>92.614856161442674</v>
      </c>
      <c r="Q77" s="53">
        <f t="shared" si="50"/>
        <v>9.4700000000000006E-2</v>
      </c>
      <c r="R77" s="54">
        <f t="shared" si="51"/>
        <v>359.5</v>
      </c>
      <c r="S77" s="53">
        <v>0.8</v>
      </c>
      <c r="T77" s="54">
        <f t="shared" si="54"/>
        <v>3036</v>
      </c>
      <c r="U77" s="53">
        <f t="shared" si="55"/>
        <v>0.10529999999999995</v>
      </c>
      <c r="V77" s="54">
        <f t="shared" si="56"/>
        <v>399.61349999999982</v>
      </c>
      <c r="W77" s="55">
        <f ca="1">V77*VLOOKUP(TODAY(),'UF HOY'!$A$2:$B$36,2,0)</f>
        <v>15878218.832189994</v>
      </c>
      <c r="X77" s="56">
        <f>Datos!$K$9</f>
        <v>24</v>
      </c>
      <c r="Y77" s="55">
        <f ca="1">IF((W77-Datos!$U$9-1000000)/X77&gt;0,(W77-Datos!$U$9-1000000)/X77,0)</f>
        <v>615759.11800791638</v>
      </c>
      <c r="Z77" s="56">
        <f>Datos!$K$9</f>
        <v>24</v>
      </c>
      <c r="AA77" s="55">
        <f ca="1">IF((W77-Datos!$U$9-1000000-O77*4%*VLOOKUP(TODAY(),'UF HOY'!$A$2:$B$36,2,0))/Z77&gt;0,(W77-Datos!$U$9-1000000-O77*4%*VLOOKUP(TODAY(),'UF HOY'!$A$2:$B$36,2,0))/Z77,0)</f>
        <v>364441.94750791631</v>
      </c>
      <c r="AB77" s="55">
        <f>IF(L77&gt;0,VLOOKUP(D77,Datos!$A$6:$C$10,3,0),VLOOKUP(D77,Datos!$A$6:$C$10,2,0))</f>
        <v>390000</v>
      </c>
      <c r="AC77" s="55">
        <f ca="1">(S77*PMT(Datos!$G$15,Datos!$G$14,-O77,,)*VLOOKUP(TODAY(),'UF HOY'!$A$2:$B$36,2,0)/12)+VLOOKUP(TODAY(),'UF HOY'!$A$2:$B$36,2,0)</f>
        <v>621081.81536025088</v>
      </c>
      <c r="AD77" s="55">
        <f t="shared" ca="1" si="57"/>
        <v>-231081.81536025088</v>
      </c>
      <c r="AE77" s="93">
        <f t="shared" ca="1" si="58"/>
        <v>2484327.2614410035</v>
      </c>
    </row>
    <row r="78" spans="1:31" s="3" customFormat="1" x14ac:dyDescent="0.35">
      <c r="A78" s="94" t="s">
        <v>305</v>
      </c>
      <c r="B78" s="81" t="s">
        <v>145</v>
      </c>
      <c r="C78" s="48" t="s">
        <v>38</v>
      </c>
      <c r="D78" s="48" t="s">
        <v>37</v>
      </c>
      <c r="E78" s="48"/>
      <c r="F78" s="48">
        <v>32.76</v>
      </c>
      <c r="G78" s="48">
        <v>2.29</v>
      </c>
      <c r="H78" s="82">
        <f t="shared" si="52"/>
        <v>33.905000000000001</v>
      </c>
      <c r="I78" s="82">
        <f t="shared" si="53"/>
        <v>35.049999999999997</v>
      </c>
      <c r="J78" s="49">
        <v>3595</v>
      </c>
      <c r="K78" s="50">
        <v>0</v>
      </c>
      <c r="L78" s="81">
        <v>200</v>
      </c>
      <c r="M78" s="48">
        <v>0</v>
      </c>
      <c r="N78" s="49">
        <f t="shared" si="47"/>
        <v>3435.5</v>
      </c>
      <c r="O78" s="108">
        <f t="shared" si="48"/>
        <v>3795</v>
      </c>
      <c r="P78" s="79">
        <f t="shared" si="49"/>
        <v>95.42840289042914</v>
      </c>
      <c r="Q78" s="53">
        <f t="shared" si="50"/>
        <v>9.4700000000000006E-2</v>
      </c>
      <c r="R78" s="54">
        <f t="shared" si="51"/>
        <v>359.5</v>
      </c>
      <c r="S78" s="53">
        <v>0.8</v>
      </c>
      <c r="T78" s="54">
        <f t="shared" si="54"/>
        <v>3036</v>
      </c>
      <c r="U78" s="53">
        <f t="shared" si="55"/>
        <v>0.10529999999999995</v>
      </c>
      <c r="V78" s="54">
        <f t="shared" si="56"/>
        <v>399.61349999999982</v>
      </c>
      <c r="W78" s="55">
        <f ca="1">V78*VLOOKUP(TODAY(),'UF HOY'!$A$2:$B$36,2,0)</f>
        <v>15878218.832189994</v>
      </c>
      <c r="X78" s="56">
        <f>Datos!$K$9</f>
        <v>24</v>
      </c>
      <c r="Y78" s="55">
        <f ca="1">IF((W78-Datos!$U$9-1000000)/X78&gt;0,(W78-Datos!$U$9-1000000)/X78,0)</f>
        <v>615759.11800791638</v>
      </c>
      <c r="Z78" s="56">
        <f>Datos!$K$9</f>
        <v>24</v>
      </c>
      <c r="AA78" s="55">
        <f ca="1">IF((W78-Datos!$U$9-1000000-O78*4%*VLOOKUP(TODAY(),'UF HOY'!$A$2:$B$36,2,0))/Z78&gt;0,(W78-Datos!$U$9-1000000-O78*4%*VLOOKUP(TODAY(),'UF HOY'!$A$2:$B$36,2,0))/Z78,0)</f>
        <v>364441.94750791631</v>
      </c>
      <c r="AB78" s="55">
        <f>IF(L78&gt;0,VLOOKUP(D78,Datos!$A$6:$C$10,3,0),VLOOKUP(D78,Datos!$A$6:$C$10,2,0))</f>
        <v>390000</v>
      </c>
      <c r="AC78" s="55">
        <f ca="1">(S78*PMT(Datos!$G$15,Datos!$G$14,-O78,,)*VLOOKUP(TODAY(),'UF HOY'!$A$2:$B$36,2,0)/12)+VLOOKUP(TODAY(),'UF HOY'!$A$2:$B$36,2,0)</f>
        <v>621081.81536025088</v>
      </c>
      <c r="AD78" s="55">
        <f t="shared" ca="1" si="57"/>
        <v>-231081.81536025088</v>
      </c>
      <c r="AE78" s="93">
        <f t="shared" ca="1" si="58"/>
        <v>2484327.2614410035</v>
      </c>
    </row>
    <row r="79" spans="1:31" s="3" customFormat="1" x14ac:dyDescent="0.35">
      <c r="A79" s="94" t="s">
        <v>305</v>
      </c>
      <c r="B79" s="81" t="s">
        <v>235</v>
      </c>
      <c r="C79" s="48" t="s">
        <v>38</v>
      </c>
      <c r="D79" s="48" t="s">
        <v>37</v>
      </c>
      <c r="E79" s="48"/>
      <c r="F79" s="48">
        <v>32.76</v>
      </c>
      <c r="G79" s="48">
        <v>2.29</v>
      </c>
      <c r="H79" s="82">
        <f t="shared" si="52"/>
        <v>33.905000000000001</v>
      </c>
      <c r="I79" s="82">
        <f t="shared" si="53"/>
        <v>35.049999999999997</v>
      </c>
      <c r="J79" s="49">
        <v>3595</v>
      </c>
      <c r="K79" s="50">
        <v>0</v>
      </c>
      <c r="L79" s="81">
        <v>200</v>
      </c>
      <c r="M79" s="48">
        <v>0</v>
      </c>
      <c r="N79" s="49">
        <f t="shared" si="47"/>
        <v>3435.5</v>
      </c>
      <c r="O79" s="108">
        <f t="shared" si="48"/>
        <v>3795</v>
      </c>
      <c r="P79" s="79">
        <f t="shared" si="49"/>
        <v>95.42840289042914</v>
      </c>
      <c r="Q79" s="53">
        <f t="shared" si="50"/>
        <v>9.4700000000000006E-2</v>
      </c>
      <c r="R79" s="54">
        <f t="shared" si="51"/>
        <v>359.5</v>
      </c>
      <c r="S79" s="53">
        <v>0.8</v>
      </c>
      <c r="T79" s="54">
        <f t="shared" si="54"/>
        <v>3036</v>
      </c>
      <c r="U79" s="53">
        <f t="shared" si="55"/>
        <v>0.10529999999999995</v>
      </c>
      <c r="V79" s="54">
        <f t="shared" si="56"/>
        <v>399.61349999999982</v>
      </c>
      <c r="W79" s="55">
        <f ca="1">V79*VLOOKUP(TODAY(),'UF HOY'!$A$2:$B$36,2,0)</f>
        <v>15878218.832189994</v>
      </c>
      <c r="X79" s="56">
        <f>Datos!$K$9</f>
        <v>24</v>
      </c>
      <c r="Y79" s="55">
        <f ca="1">IF((W79-Datos!$U$9-1000000)/X79&gt;0,(W79-Datos!$U$9-1000000)/X79,0)</f>
        <v>615759.11800791638</v>
      </c>
      <c r="Z79" s="56">
        <f>Datos!$K$9</f>
        <v>24</v>
      </c>
      <c r="AA79" s="55">
        <f ca="1">IF((W79-Datos!$U$9-1000000-O79*4%*VLOOKUP(TODAY(),'UF HOY'!$A$2:$B$36,2,0))/Z79&gt;0,(W79-Datos!$U$9-1000000-O79*4%*VLOOKUP(TODAY(),'UF HOY'!$A$2:$B$36,2,0))/Z79,0)</f>
        <v>364441.94750791631</v>
      </c>
      <c r="AB79" s="55">
        <f>IF(L79&gt;0,VLOOKUP(D79,Datos!$A$6:$C$10,3,0),VLOOKUP(D79,Datos!$A$6:$C$10,2,0))</f>
        <v>390000</v>
      </c>
      <c r="AC79" s="55">
        <f ca="1">(S79*PMT(Datos!$G$15,Datos!$G$14,-O79,,)*VLOOKUP(TODAY(),'UF HOY'!$A$2:$B$36,2,0)/12)+VLOOKUP(TODAY(),'UF HOY'!$A$2:$B$36,2,0)</f>
        <v>621081.81536025088</v>
      </c>
      <c r="AD79" s="55">
        <f t="shared" ca="1" si="57"/>
        <v>-231081.81536025088</v>
      </c>
      <c r="AE79" s="93">
        <f t="shared" ca="1" si="58"/>
        <v>2484327.2614410035</v>
      </c>
    </row>
    <row r="80" spans="1:31" s="3" customFormat="1" x14ac:dyDescent="0.35">
      <c r="A80" s="94" t="s">
        <v>305</v>
      </c>
      <c r="B80" s="81" t="s">
        <v>146</v>
      </c>
      <c r="C80" s="48" t="s">
        <v>36</v>
      </c>
      <c r="D80" s="48" t="s">
        <v>37</v>
      </c>
      <c r="E80" s="48"/>
      <c r="F80" s="48">
        <v>33.58</v>
      </c>
      <c r="G80" s="48">
        <v>2.29</v>
      </c>
      <c r="H80" s="82">
        <f t="shared" si="52"/>
        <v>34.725000000000001</v>
      </c>
      <c r="I80" s="82">
        <f t="shared" si="53"/>
        <v>35.869999999999997</v>
      </c>
      <c r="J80" s="49">
        <v>3595</v>
      </c>
      <c r="K80" s="50">
        <v>0</v>
      </c>
      <c r="L80" s="81">
        <v>200</v>
      </c>
      <c r="M80" s="48">
        <v>0</v>
      </c>
      <c r="N80" s="49">
        <f t="shared" si="47"/>
        <v>3435.5</v>
      </c>
      <c r="O80" s="108">
        <f t="shared" si="48"/>
        <v>3795</v>
      </c>
      <c r="P80" s="79">
        <f t="shared" si="49"/>
        <v>93.174946004319651</v>
      </c>
      <c r="Q80" s="53">
        <f t="shared" si="50"/>
        <v>9.4700000000000006E-2</v>
      </c>
      <c r="R80" s="54">
        <f t="shared" si="51"/>
        <v>359.5</v>
      </c>
      <c r="S80" s="53">
        <v>0.8</v>
      </c>
      <c r="T80" s="54">
        <f t="shared" si="54"/>
        <v>3036</v>
      </c>
      <c r="U80" s="53">
        <f t="shared" si="55"/>
        <v>0.10529999999999995</v>
      </c>
      <c r="V80" s="54">
        <f t="shared" si="56"/>
        <v>399.61349999999982</v>
      </c>
      <c r="W80" s="55">
        <f ca="1">V80*VLOOKUP(TODAY(),'UF HOY'!$A$2:$B$36,2,0)</f>
        <v>15878218.832189994</v>
      </c>
      <c r="X80" s="56">
        <f>Datos!$K$9</f>
        <v>24</v>
      </c>
      <c r="Y80" s="55">
        <f ca="1">IF((W80-Datos!$U$9-1000000)/X80&gt;0,(W80-Datos!$U$9-1000000)/X80,0)</f>
        <v>615759.11800791638</v>
      </c>
      <c r="Z80" s="56">
        <f>Datos!$K$9</f>
        <v>24</v>
      </c>
      <c r="AA80" s="55">
        <f ca="1">IF((W80-Datos!$U$9-1000000-O80*4%*VLOOKUP(TODAY(),'UF HOY'!$A$2:$B$36,2,0))/Z80&gt;0,(W80-Datos!$U$9-1000000-O80*4%*VLOOKUP(TODAY(),'UF HOY'!$A$2:$B$36,2,0))/Z80,0)</f>
        <v>364441.94750791631</v>
      </c>
      <c r="AB80" s="55">
        <f>IF(L80&gt;0,VLOOKUP(D80,Datos!$A$6:$C$10,3,0),VLOOKUP(D80,Datos!$A$6:$C$10,2,0))</f>
        <v>390000</v>
      </c>
      <c r="AC80" s="55">
        <f ca="1">(S80*PMT(Datos!$G$15,Datos!$G$14,-O80,,)*VLOOKUP(TODAY(),'UF HOY'!$A$2:$B$36,2,0)/12)+VLOOKUP(TODAY(),'UF HOY'!$A$2:$B$36,2,0)</f>
        <v>621081.81536025088</v>
      </c>
      <c r="AD80" s="55">
        <f t="shared" ca="1" si="57"/>
        <v>-231081.81536025088</v>
      </c>
      <c r="AE80" s="93">
        <f t="shared" ca="1" si="58"/>
        <v>2484327.2614410035</v>
      </c>
    </row>
    <row r="81" spans="1:31" s="3" customFormat="1" x14ac:dyDescent="0.35">
      <c r="A81" s="94" t="s">
        <v>305</v>
      </c>
      <c r="B81" s="81" t="s">
        <v>256</v>
      </c>
      <c r="C81" s="48" t="s">
        <v>41</v>
      </c>
      <c r="D81" s="48" t="s">
        <v>37</v>
      </c>
      <c r="E81" s="48"/>
      <c r="F81" s="48">
        <v>32.93</v>
      </c>
      <c r="G81" s="48">
        <v>2.29</v>
      </c>
      <c r="H81" s="82">
        <f t="shared" si="52"/>
        <v>34.075000000000003</v>
      </c>
      <c r="I81" s="82">
        <f t="shared" si="53"/>
        <v>35.22</v>
      </c>
      <c r="J81" s="49">
        <v>3595</v>
      </c>
      <c r="K81" s="50">
        <v>0</v>
      </c>
      <c r="L81" s="81">
        <v>200</v>
      </c>
      <c r="M81" s="48">
        <v>0</v>
      </c>
      <c r="N81" s="49">
        <f t="shared" si="47"/>
        <v>3435.5</v>
      </c>
      <c r="O81" s="108">
        <f t="shared" si="48"/>
        <v>3795</v>
      </c>
      <c r="P81" s="79">
        <f t="shared" si="49"/>
        <v>94.9523110785033</v>
      </c>
      <c r="Q81" s="53">
        <f t="shared" si="50"/>
        <v>9.4700000000000006E-2</v>
      </c>
      <c r="R81" s="54">
        <f t="shared" si="51"/>
        <v>359.5</v>
      </c>
      <c r="S81" s="53">
        <v>0.8</v>
      </c>
      <c r="T81" s="54">
        <f t="shared" si="54"/>
        <v>3036</v>
      </c>
      <c r="U81" s="53">
        <f t="shared" si="55"/>
        <v>0.10529999999999995</v>
      </c>
      <c r="V81" s="54">
        <f t="shared" si="56"/>
        <v>399.61349999999982</v>
      </c>
      <c r="W81" s="55">
        <f ca="1">V81*VLOOKUP(TODAY(),'UF HOY'!$A$2:$B$36,2,0)</f>
        <v>15878218.832189994</v>
      </c>
      <c r="X81" s="56">
        <f>Datos!$K$9</f>
        <v>24</v>
      </c>
      <c r="Y81" s="55">
        <f ca="1">IF((W81-Datos!$U$9-1000000)/X81&gt;0,(W81-Datos!$U$9-1000000)/X81,0)</f>
        <v>615759.11800791638</v>
      </c>
      <c r="Z81" s="56">
        <f>Datos!$K$9</f>
        <v>24</v>
      </c>
      <c r="AA81" s="55">
        <f ca="1">IF((W81-Datos!$U$9-1000000-O81*4%*VLOOKUP(TODAY(),'UF HOY'!$A$2:$B$36,2,0))/Z81&gt;0,(W81-Datos!$U$9-1000000-O81*4%*VLOOKUP(TODAY(),'UF HOY'!$A$2:$B$36,2,0))/Z81,0)</f>
        <v>364441.94750791631</v>
      </c>
      <c r="AB81" s="55">
        <f>IF(L81&gt;0,VLOOKUP(D81,Datos!$A$6:$C$10,3,0),VLOOKUP(D81,Datos!$A$6:$C$10,2,0))</f>
        <v>390000</v>
      </c>
      <c r="AC81" s="55">
        <f ca="1">(S81*PMT(Datos!$G$15,Datos!$G$14,-O81,,)*VLOOKUP(TODAY(),'UF HOY'!$A$2:$B$36,2,0)/12)+VLOOKUP(TODAY(),'UF HOY'!$A$2:$B$36,2,0)</f>
        <v>621081.81536025088</v>
      </c>
      <c r="AD81" s="55">
        <f t="shared" ca="1" si="57"/>
        <v>-231081.81536025088</v>
      </c>
      <c r="AE81" s="93">
        <f t="shared" ca="1" si="58"/>
        <v>2484327.2614410035</v>
      </c>
    </row>
    <row r="82" spans="1:31" s="3" customFormat="1" x14ac:dyDescent="0.35">
      <c r="A82" s="94" t="s">
        <v>305</v>
      </c>
      <c r="B82" s="81" t="s">
        <v>273</v>
      </c>
      <c r="C82" s="48" t="s">
        <v>38</v>
      </c>
      <c r="D82" s="48" t="s">
        <v>37</v>
      </c>
      <c r="E82" s="48"/>
      <c r="F82" s="48">
        <v>32.69</v>
      </c>
      <c r="G82" s="48">
        <v>2.29</v>
      </c>
      <c r="H82" s="82">
        <f t="shared" si="52"/>
        <v>33.835000000000001</v>
      </c>
      <c r="I82" s="82">
        <f t="shared" si="53"/>
        <v>34.979999999999997</v>
      </c>
      <c r="J82" s="49">
        <v>3600</v>
      </c>
      <c r="K82" s="50">
        <v>0</v>
      </c>
      <c r="L82" s="81">
        <v>200</v>
      </c>
      <c r="M82" s="48">
        <v>0</v>
      </c>
      <c r="N82" s="49">
        <f t="shared" si="47"/>
        <v>3440</v>
      </c>
      <c r="O82" s="108">
        <f t="shared" si="48"/>
        <v>3800</v>
      </c>
      <c r="P82" s="79">
        <f t="shared" si="49"/>
        <v>95.758829614304716</v>
      </c>
      <c r="Q82" s="53">
        <f t="shared" si="50"/>
        <v>9.4700000000000006E-2</v>
      </c>
      <c r="R82" s="54">
        <f t="shared" si="51"/>
        <v>360</v>
      </c>
      <c r="S82" s="53">
        <v>0.8</v>
      </c>
      <c r="T82" s="54">
        <f t="shared" si="54"/>
        <v>3040</v>
      </c>
      <c r="U82" s="53">
        <f t="shared" si="55"/>
        <v>0.10529999999999995</v>
      </c>
      <c r="V82" s="54">
        <f t="shared" si="56"/>
        <v>400.13999999999982</v>
      </c>
      <c r="W82" s="55">
        <f ca="1">V82*VLOOKUP(TODAY(),'UF HOY'!$A$2:$B$36,2,0)</f>
        <v>15899138.751599994</v>
      </c>
      <c r="X82" s="56">
        <f>Datos!$K$9</f>
        <v>24</v>
      </c>
      <c r="Y82" s="55">
        <f ca="1">IF((W82-Datos!$U$9-1000000)/X82&gt;0,(W82-Datos!$U$9-1000000)/X82,0)</f>
        <v>616630.7813166664</v>
      </c>
      <c r="Z82" s="56">
        <f>Datos!$K$9</f>
        <v>24</v>
      </c>
      <c r="AA82" s="55">
        <f ca="1">IF((W82-Datos!$U$9-1000000-O82*4%*VLOOKUP(TODAY(),'UF HOY'!$A$2:$B$36,2,0))/Z82&gt;0,(W82-Datos!$U$9-1000000-O82*4%*VLOOKUP(TODAY(),'UF HOY'!$A$2:$B$36,2,0))/Z82,0)</f>
        <v>364982.49464999972</v>
      </c>
      <c r="AB82" s="55">
        <f>IF(L82&gt;0,VLOOKUP(D82,Datos!$A$6:$C$10,3,0),VLOOKUP(D82,Datos!$A$6:$C$10,2,0))</f>
        <v>390000</v>
      </c>
      <c r="AC82" s="55">
        <f ca="1">(S82*PMT(Datos!$G$15,Datos!$G$14,-O82,,)*VLOOKUP(TODAY(),'UF HOY'!$A$2:$B$36,2,0)/12)+VLOOKUP(TODAY(),'UF HOY'!$A$2:$B$36,2,0)</f>
        <v>621847.75458997441</v>
      </c>
      <c r="AD82" s="55">
        <f t="shared" ca="1" si="57"/>
        <v>-231847.75458997441</v>
      </c>
      <c r="AE82" s="93">
        <f t="shared" ca="1" si="58"/>
        <v>2487391.0183598977</v>
      </c>
    </row>
    <row r="83" spans="1:31" s="3" customFormat="1" x14ac:dyDescent="0.35">
      <c r="A83" s="94" t="s">
        <v>305</v>
      </c>
      <c r="B83" s="81" t="s">
        <v>205</v>
      </c>
      <c r="C83" s="48" t="s">
        <v>41</v>
      </c>
      <c r="D83" s="48" t="s">
        <v>37</v>
      </c>
      <c r="E83" s="48"/>
      <c r="F83" s="48">
        <v>32.76</v>
      </c>
      <c r="G83" s="48">
        <v>2.29</v>
      </c>
      <c r="H83" s="82">
        <f t="shared" si="52"/>
        <v>33.905000000000001</v>
      </c>
      <c r="I83" s="82">
        <f t="shared" si="53"/>
        <v>35.049999999999997</v>
      </c>
      <c r="J83" s="49">
        <v>3600</v>
      </c>
      <c r="K83" s="50">
        <v>0</v>
      </c>
      <c r="L83" s="81">
        <v>200</v>
      </c>
      <c r="M83" s="48">
        <v>0</v>
      </c>
      <c r="N83" s="49">
        <f t="shared" si="47"/>
        <v>3440</v>
      </c>
      <c r="O83" s="108">
        <f t="shared" si="48"/>
        <v>3800</v>
      </c>
      <c r="P83" s="79">
        <f t="shared" si="49"/>
        <v>95.561126677481198</v>
      </c>
      <c r="Q83" s="53">
        <f t="shared" si="50"/>
        <v>9.4700000000000006E-2</v>
      </c>
      <c r="R83" s="54">
        <f t="shared" si="51"/>
        <v>360</v>
      </c>
      <c r="S83" s="53">
        <v>0.8</v>
      </c>
      <c r="T83" s="54">
        <f t="shared" si="54"/>
        <v>3040</v>
      </c>
      <c r="U83" s="53">
        <f t="shared" si="55"/>
        <v>0.10529999999999995</v>
      </c>
      <c r="V83" s="54">
        <f t="shared" si="56"/>
        <v>400.13999999999982</v>
      </c>
      <c r="W83" s="55">
        <f ca="1">V83*VLOOKUP(TODAY(),'UF HOY'!$A$2:$B$36,2,0)</f>
        <v>15899138.751599994</v>
      </c>
      <c r="X83" s="56">
        <f>Datos!$K$9</f>
        <v>24</v>
      </c>
      <c r="Y83" s="55">
        <f ca="1">IF((W83-Datos!$U$9-1000000)/X83&gt;0,(W83-Datos!$U$9-1000000)/X83,0)</f>
        <v>616630.7813166664</v>
      </c>
      <c r="Z83" s="56">
        <f>Datos!$K$9</f>
        <v>24</v>
      </c>
      <c r="AA83" s="55">
        <f ca="1">IF((W83-Datos!$U$9-1000000-O83*4%*VLOOKUP(TODAY(),'UF HOY'!$A$2:$B$36,2,0))/Z83&gt;0,(W83-Datos!$U$9-1000000-O83*4%*VLOOKUP(TODAY(),'UF HOY'!$A$2:$B$36,2,0))/Z83,0)</f>
        <v>364982.49464999972</v>
      </c>
      <c r="AB83" s="55">
        <f>IF(L83&gt;0,VLOOKUP(D83,Datos!$A$6:$C$10,3,0),VLOOKUP(D83,Datos!$A$6:$C$10,2,0))</f>
        <v>390000</v>
      </c>
      <c r="AC83" s="55">
        <f ca="1">(S83*PMT(Datos!$G$15,Datos!$G$14,-O83,,)*VLOOKUP(TODAY(),'UF HOY'!$A$2:$B$36,2,0)/12)+VLOOKUP(TODAY(),'UF HOY'!$A$2:$B$36,2,0)</f>
        <v>621847.75458997441</v>
      </c>
      <c r="AD83" s="55">
        <f t="shared" ca="1" si="57"/>
        <v>-231847.75458997441</v>
      </c>
      <c r="AE83" s="93">
        <f t="shared" ca="1" si="58"/>
        <v>2487391.0183598977</v>
      </c>
    </row>
    <row r="84" spans="1:31" s="3" customFormat="1" x14ac:dyDescent="0.35">
      <c r="A84" s="94" t="s">
        <v>305</v>
      </c>
      <c r="B84" s="81" t="s">
        <v>93</v>
      </c>
      <c r="C84" s="48" t="s">
        <v>38</v>
      </c>
      <c r="D84" s="48" t="s">
        <v>37</v>
      </c>
      <c r="E84" s="48"/>
      <c r="F84" s="48">
        <v>32.69</v>
      </c>
      <c r="G84" s="48">
        <v>2.29</v>
      </c>
      <c r="H84" s="82">
        <f t="shared" si="52"/>
        <v>33.835000000000001</v>
      </c>
      <c r="I84" s="82">
        <f t="shared" si="53"/>
        <v>34.979999999999997</v>
      </c>
      <c r="J84" s="49">
        <v>3600</v>
      </c>
      <c r="K84" s="50">
        <v>0</v>
      </c>
      <c r="L84" s="81">
        <v>200</v>
      </c>
      <c r="M84" s="48">
        <v>0</v>
      </c>
      <c r="N84" s="49">
        <f t="shared" si="47"/>
        <v>3440</v>
      </c>
      <c r="O84" s="108">
        <f t="shared" si="48"/>
        <v>3800</v>
      </c>
      <c r="P84" s="79">
        <f t="shared" si="49"/>
        <v>95.758829614304716</v>
      </c>
      <c r="Q84" s="53">
        <f t="shared" si="50"/>
        <v>9.4700000000000006E-2</v>
      </c>
      <c r="R84" s="54">
        <f t="shared" si="51"/>
        <v>360</v>
      </c>
      <c r="S84" s="53">
        <v>0.8</v>
      </c>
      <c r="T84" s="54">
        <f t="shared" si="54"/>
        <v>3040</v>
      </c>
      <c r="U84" s="53">
        <f t="shared" si="55"/>
        <v>0.10529999999999995</v>
      </c>
      <c r="V84" s="54">
        <f t="shared" si="56"/>
        <v>400.13999999999982</v>
      </c>
      <c r="W84" s="55">
        <f ca="1">V84*VLOOKUP(TODAY(),'UF HOY'!$A$2:$B$36,2,0)</f>
        <v>15899138.751599994</v>
      </c>
      <c r="X84" s="56">
        <f>Datos!$K$9</f>
        <v>24</v>
      </c>
      <c r="Y84" s="55">
        <f ca="1">IF((W84-Datos!$U$9-1000000)/X84&gt;0,(W84-Datos!$U$9-1000000)/X84,0)</f>
        <v>616630.7813166664</v>
      </c>
      <c r="Z84" s="56">
        <f>Datos!$K$9</f>
        <v>24</v>
      </c>
      <c r="AA84" s="55">
        <f ca="1">IF((W84-Datos!$U$9-1000000-O84*4%*VLOOKUP(TODAY(),'UF HOY'!$A$2:$B$36,2,0))/Z84&gt;0,(W84-Datos!$U$9-1000000-O84*4%*VLOOKUP(TODAY(),'UF HOY'!$A$2:$B$36,2,0))/Z84,0)</f>
        <v>364982.49464999972</v>
      </c>
      <c r="AB84" s="55">
        <f>IF(L84&gt;0,VLOOKUP(D84,Datos!$A$6:$C$10,3,0),VLOOKUP(D84,Datos!$A$6:$C$10,2,0))</f>
        <v>390000</v>
      </c>
      <c r="AC84" s="55">
        <f ca="1">(S84*PMT(Datos!$G$15,Datos!$G$14,-O84,,)*VLOOKUP(TODAY(),'UF HOY'!$A$2:$B$36,2,0)/12)+VLOOKUP(TODAY(),'UF HOY'!$A$2:$B$36,2,0)</f>
        <v>621847.75458997441</v>
      </c>
      <c r="AD84" s="55">
        <f t="shared" ca="1" si="57"/>
        <v>-231847.75458997441</v>
      </c>
      <c r="AE84" s="93">
        <f t="shared" ca="1" si="58"/>
        <v>2487391.0183598977</v>
      </c>
    </row>
    <row r="85" spans="1:31" s="3" customFormat="1" x14ac:dyDescent="0.35">
      <c r="A85" s="94" t="s">
        <v>305</v>
      </c>
      <c r="B85" s="81" t="s">
        <v>298</v>
      </c>
      <c r="C85" s="48" t="s">
        <v>41</v>
      </c>
      <c r="D85" s="48" t="s">
        <v>37</v>
      </c>
      <c r="E85" s="48"/>
      <c r="F85" s="48">
        <v>32.76</v>
      </c>
      <c r="G85" s="48">
        <v>2.29</v>
      </c>
      <c r="H85" s="82">
        <f t="shared" ref="H85:H116" si="59">F85+(G85/2)</f>
        <v>33.905000000000001</v>
      </c>
      <c r="I85" s="82">
        <f t="shared" ref="I85:I120" si="60">F85+G85</f>
        <v>35.049999999999997</v>
      </c>
      <c r="J85" s="49">
        <v>3600</v>
      </c>
      <c r="K85" s="50">
        <v>0</v>
      </c>
      <c r="L85" s="81">
        <v>200</v>
      </c>
      <c r="M85" s="48">
        <v>0</v>
      </c>
      <c r="N85" s="49">
        <f t="shared" si="47"/>
        <v>3440</v>
      </c>
      <c r="O85" s="108">
        <f t="shared" si="48"/>
        <v>3800</v>
      </c>
      <c r="P85" s="79">
        <f t="shared" si="49"/>
        <v>95.561126677481198</v>
      </c>
      <c r="Q85" s="53">
        <f t="shared" si="50"/>
        <v>9.4700000000000006E-2</v>
      </c>
      <c r="R85" s="54">
        <f t="shared" si="51"/>
        <v>360</v>
      </c>
      <c r="S85" s="53">
        <v>0.8</v>
      </c>
      <c r="T85" s="54">
        <f t="shared" ref="T85:T116" si="61">S85*O85</f>
        <v>3040</v>
      </c>
      <c r="U85" s="53">
        <f t="shared" ref="U85:U120" si="62">100%-Q85-S85</f>
        <v>0.10529999999999995</v>
      </c>
      <c r="V85" s="54">
        <f t="shared" ref="V85:V116" si="63">O85*U85</f>
        <v>400.13999999999982</v>
      </c>
      <c r="W85" s="55">
        <f ca="1">V85*VLOOKUP(TODAY(),'UF HOY'!$A$2:$B$36,2,0)</f>
        <v>15899138.751599994</v>
      </c>
      <c r="X85" s="56">
        <f>Datos!$K$9</f>
        <v>24</v>
      </c>
      <c r="Y85" s="55">
        <f ca="1">IF((W85-Datos!$U$9-1000000)/X85&gt;0,(W85-Datos!$U$9-1000000)/X85,0)</f>
        <v>616630.7813166664</v>
      </c>
      <c r="Z85" s="56">
        <f>Datos!$K$9</f>
        <v>24</v>
      </c>
      <c r="AA85" s="55">
        <f ca="1">IF((W85-Datos!$U$9-1000000-O85*4%*VLOOKUP(TODAY(),'UF HOY'!$A$2:$B$36,2,0))/Z85&gt;0,(W85-Datos!$U$9-1000000-O85*4%*VLOOKUP(TODAY(),'UF HOY'!$A$2:$B$36,2,0))/Z85,0)</f>
        <v>364982.49464999972</v>
      </c>
      <c r="AB85" s="55">
        <f>IF(L85&gt;0,VLOOKUP(D85,Datos!$A$6:$C$10,3,0),VLOOKUP(D85,Datos!$A$6:$C$10,2,0))</f>
        <v>390000</v>
      </c>
      <c r="AC85" s="55">
        <f ca="1">(S85*PMT(Datos!$G$15,Datos!$G$14,-O85,,)*VLOOKUP(TODAY(),'UF HOY'!$A$2:$B$36,2,0)/12)+VLOOKUP(TODAY(),'UF HOY'!$A$2:$B$36,2,0)</f>
        <v>621847.75458997441</v>
      </c>
      <c r="AD85" s="55">
        <f t="shared" ref="AD85:AD116" ca="1" si="64">AB85-AC85</f>
        <v>-231847.75458997441</v>
      </c>
      <c r="AE85" s="93">
        <f t="shared" ca="1" si="58"/>
        <v>2487391.0183598977</v>
      </c>
    </row>
    <row r="86" spans="1:31" s="3" customFormat="1" x14ac:dyDescent="0.35">
      <c r="A86" s="94" t="s">
        <v>305</v>
      </c>
      <c r="B86" s="81" t="s">
        <v>144</v>
      </c>
      <c r="C86" s="48" t="s">
        <v>40</v>
      </c>
      <c r="D86" s="48" t="s">
        <v>37</v>
      </c>
      <c r="E86" s="48"/>
      <c r="F86" s="48">
        <v>32.76</v>
      </c>
      <c r="G86" s="48">
        <v>2.29</v>
      </c>
      <c r="H86" s="82">
        <f t="shared" si="59"/>
        <v>33.905000000000001</v>
      </c>
      <c r="I86" s="82">
        <f t="shared" si="60"/>
        <v>35.049999999999997</v>
      </c>
      <c r="J86" s="49">
        <v>3600</v>
      </c>
      <c r="K86" s="50">
        <v>0</v>
      </c>
      <c r="L86" s="81">
        <v>200</v>
      </c>
      <c r="M86" s="48">
        <v>0</v>
      </c>
      <c r="N86" s="49">
        <f t="shared" si="47"/>
        <v>3440</v>
      </c>
      <c r="O86" s="108">
        <f t="shared" si="48"/>
        <v>3800</v>
      </c>
      <c r="P86" s="79">
        <f t="shared" si="49"/>
        <v>95.561126677481198</v>
      </c>
      <c r="Q86" s="53">
        <f t="shared" si="50"/>
        <v>9.4700000000000006E-2</v>
      </c>
      <c r="R86" s="54">
        <f t="shared" si="51"/>
        <v>360</v>
      </c>
      <c r="S86" s="53">
        <v>0.8</v>
      </c>
      <c r="T86" s="54">
        <f t="shared" si="61"/>
        <v>3040</v>
      </c>
      <c r="U86" s="53">
        <f t="shared" si="62"/>
        <v>0.10529999999999995</v>
      </c>
      <c r="V86" s="54">
        <f t="shared" si="63"/>
        <v>400.13999999999982</v>
      </c>
      <c r="W86" s="55">
        <f ca="1">V86*VLOOKUP(TODAY(),'UF HOY'!$A$2:$B$36,2,0)</f>
        <v>15899138.751599994</v>
      </c>
      <c r="X86" s="56">
        <f>Datos!$K$9</f>
        <v>24</v>
      </c>
      <c r="Y86" s="55">
        <f ca="1">IF((W86-Datos!$U$9-1000000)/X86&gt;0,(W86-Datos!$U$9-1000000)/X86,0)</f>
        <v>616630.7813166664</v>
      </c>
      <c r="Z86" s="56">
        <f>Datos!$K$9</f>
        <v>24</v>
      </c>
      <c r="AA86" s="55">
        <f ca="1">IF((W86-Datos!$U$9-1000000-O86*4%*VLOOKUP(TODAY(),'UF HOY'!$A$2:$B$36,2,0))/Z86&gt;0,(W86-Datos!$U$9-1000000-O86*4%*VLOOKUP(TODAY(),'UF HOY'!$A$2:$B$36,2,0))/Z86,0)</f>
        <v>364982.49464999972</v>
      </c>
      <c r="AB86" s="55">
        <f>IF(L86&gt;0,VLOOKUP(D86,Datos!$A$6:$C$10,3,0),VLOOKUP(D86,Datos!$A$6:$C$10,2,0))</f>
        <v>390000</v>
      </c>
      <c r="AC86" s="55">
        <f ca="1">(S86*PMT(Datos!$G$15,Datos!$G$14,-O86,,)*VLOOKUP(TODAY(),'UF HOY'!$A$2:$B$36,2,0)/12)+VLOOKUP(TODAY(),'UF HOY'!$A$2:$B$36,2,0)</f>
        <v>621847.75458997441</v>
      </c>
      <c r="AD86" s="55">
        <f t="shared" ca="1" si="64"/>
        <v>-231847.75458997441</v>
      </c>
      <c r="AE86" s="93">
        <f t="shared" ca="1" si="58"/>
        <v>2487391.0183598977</v>
      </c>
    </row>
    <row r="87" spans="1:31" s="3" customFormat="1" x14ac:dyDescent="0.35">
      <c r="A87" s="94" t="s">
        <v>305</v>
      </c>
      <c r="B87" s="81" t="s">
        <v>299</v>
      </c>
      <c r="C87" s="48" t="s">
        <v>41</v>
      </c>
      <c r="D87" s="48" t="s">
        <v>37</v>
      </c>
      <c r="E87" s="48"/>
      <c r="F87" s="48">
        <v>32.76</v>
      </c>
      <c r="G87" s="48">
        <v>2.29</v>
      </c>
      <c r="H87" s="82">
        <f t="shared" si="59"/>
        <v>33.905000000000001</v>
      </c>
      <c r="I87" s="82">
        <f t="shared" si="60"/>
        <v>35.049999999999997</v>
      </c>
      <c r="J87" s="49">
        <v>3600</v>
      </c>
      <c r="K87" s="50">
        <v>0</v>
      </c>
      <c r="L87" s="81">
        <v>200</v>
      </c>
      <c r="M87" s="48">
        <v>0</v>
      </c>
      <c r="N87" s="49">
        <f t="shared" si="47"/>
        <v>3440</v>
      </c>
      <c r="O87" s="108">
        <f t="shared" si="48"/>
        <v>3800</v>
      </c>
      <c r="P87" s="79">
        <f t="shared" si="49"/>
        <v>95.561126677481198</v>
      </c>
      <c r="Q87" s="53">
        <f t="shared" si="50"/>
        <v>9.4700000000000006E-2</v>
      </c>
      <c r="R87" s="54">
        <f t="shared" si="51"/>
        <v>360</v>
      </c>
      <c r="S87" s="53">
        <v>0.8</v>
      </c>
      <c r="T87" s="54">
        <f t="shared" si="61"/>
        <v>3040</v>
      </c>
      <c r="U87" s="53">
        <f t="shared" si="62"/>
        <v>0.10529999999999995</v>
      </c>
      <c r="V87" s="54">
        <f t="shared" si="63"/>
        <v>400.13999999999982</v>
      </c>
      <c r="W87" s="55">
        <f ca="1">V87*VLOOKUP(TODAY(),'UF HOY'!$A$2:$B$36,2,0)</f>
        <v>15899138.751599994</v>
      </c>
      <c r="X87" s="56">
        <f>Datos!$K$9</f>
        <v>24</v>
      </c>
      <c r="Y87" s="55">
        <f ca="1">IF((W87-Datos!$U$9-1000000)/X87&gt;0,(W87-Datos!$U$9-1000000)/X87,0)</f>
        <v>616630.7813166664</v>
      </c>
      <c r="Z87" s="56">
        <f>Datos!$K$9</f>
        <v>24</v>
      </c>
      <c r="AA87" s="55">
        <f ca="1">IF((W87-Datos!$U$9-1000000-O87*4%*VLOOKUP(TODAY(),'UF HOY'!$A$2:$B$36,2,0))/Z87&gt;0,(W87-Datos!$U$9-1000000-O87*4%*VLOOKUP(TODAY(),'UF HOY'!$A$2:$B$36,2,0))/Z87,0)</f>
        <v>364982.49464999972</v>
      </c>
      <c r="AB87" s="55">
        <f>IF(L87&gt;0,VLOOKUP(D87,Datos!$A$6:$C$10,3,0),VLOOKUP(D87,Datos!$A$6:$C$10,2,0))</f>
        <v>390000</v>
      </c>
      <c r="AC87" s="55">
        <f ca="1">(S87*PMT(Datos!$G$15,Datos!$G$14,-O87,,)*VLOOKUP(TODAY(),'UF HOY'!$A$2:$B$36,2,0)/12)+VLOOKUP(TODAY(),'UF HOY'!$A$2:$B$36,2,0)</f>
        <v>621847.75458997441</v>
      </c>
      <c r="AD87" s="55">
        <f t="shared" ca="1" si="64"/>
        <v>-231847.75458997441</v>
      </c>
      <c r="AE87" s="93">
        <f t="shared" ca="1" si="58"/>
        <v>2487391.0183598977</v>
      </c>
    </row>
    <row r="88" spans="1:31" s="3" customFormat="1" x14ac:dyDescent="0.35">
      <c r="A88" s="94" t="s">
        <v>305</v>
      </c>
      <c r="B88" s="81" t="s">
        <v>152</v>
      </c>
      <c r="C88" s="48" t="s">
        <v>36</v>
      </c>
      <c r="D88" s="48" t="s">
        <v>37</v>
      </c>
      <c r="E88" s="48"/>
      <c r="F88" s="48">
        <v>35.03</v>
      </c>
      <c r="G88" s="48">
        <v>2.29</v>
      </c>
      <c r="H88" s="82">
        <f t="shared" si="59"/>
        <v>36.175000000000004</v>
      </c>
      <c r="I88" s="82">
        <f t="shared" si="60"/>
        <v>37.32</v>
      </c>
      <c r="J88" s="49">
        <v>3605</v>
      </c>
      <c r="K88" s="50">
        <v>0</v>
      </c>
      <c r="L88" s="81">
        <v>200</v>
      </c>
      <c r="M88" s="48">
        <v>0</v>
      </c>
      <c r="N88" s="49">
        <f t="shared" si="47"/>
        <v>3444.5</v>
      </c>
      <c r="O88" s="108">
        <f t="shared" si="48"/>
        <v>3805</v>
      </c>
      <c r="P88" s="79">
        <f t="shared" si="49"/>
        <v>89.689011748445054</v>
      </c>
      <c r="Q88" s="53">
        <f t="shared" si="50"/>
        <v>9.4700000000000006E-2</v>
      </c>
      <c r="R88" s="54">
        <f t="shared" si="51"/>
        <v>360.5</v>
      </c>
      <c r="S88" s="53">
        <v>0.8</v>
      </c>
      <c r="T88" s="54">
        <f t="shared" si="61"/>
        <v>3044</v>
      </c>
      <c r="U88" s="53">
        <f t="shared" si="62"/>
        <v>0.10529999999999995</v>
      </c>
      <c r="V88" s="54">
        <f t="shared" si="63"/>
        <v>400.66649999999981</v>
      </c>
      <c r="W88" s="55">
        <f ca="1">V88*VLOOKUP(TODAY(),'UF HOY'!$A$2:$B$36,2,0)</f>
        <v>15920058.671009993</v>
      </c>
      <c r="X88" s="56">
        <f>Datos!$K$9</f>
        <v>24</v>
      </c>
      <c r="Y88" s="55">
        <f ca="1">IF((W88-Datos!$U$9-1000000)/X88&gt;0,(W88-Datos!$U$9-1000000)/X88,0)</f>
        <v>617502.44462541642</v>
      </c>
      <c r="Z88" s="56">
        <f>Datos!$K$9</f>
        <v>24</v>
      </c>
      <c r="AA88" s="55">
        <f ca="1">IF((W88-Datos!$U$9-1000000-O88*4%*VLOOKUP(TODAY(),'UF HOY'!$A$2:$B$36,2,0))/Z88&gt;0,(W88-Datos!$U$9-1000000-O88*4%*VLOOKUP(TODAY(),'UF HOY'!$A$2:$B$36,2,0))/Z88,0)</f>
        <v>365523.04179208301</v>
      </c>
      <c r="AB88" s="55">
        <f>IF(L88&gt;0,VLOOKUP(D88,Datos!$A$6:$C$10,3,0),VLOOKUP(D88,Datos!$A$6:$C$10,2,0))</f>
        <v>390000</v>
      </c>
      <c r="AC88" s="55">
        <f ca="1">(S88*PMT(Datos!$G$15,Datos!$G$14,-O88,,)*VLOOKUP(TODAY(),'UF HOY'!$A$2:$B$36,2,0)/12)+VLOOKUP(TODAY(),'UF HOY'!$A$2:$B$36,2,0)</f>
        <v>622613.69381969818</v>
      </c>
      <c r="AD88" s="55">
        <f t="shared" ca="1" si="64"/>
        <v>-232613.69381969818</v>
      </c>
      <c r="AE88" s="93">
        <f t="shared" ca="1" si="58"/>
        <v>2490454.7752787927</v>
      </c>
    </row>
    <row r="89" spans="1:31" s="3" customFormat="1" x14ac:dyDescent="0.35">
      <c r="A89" s="94" t="s">
        <v>305</v>
      </c>
      <c r="B89" s="81" t="s">
        <v>154</v>
      </c>
      <c r="C89" s="48" t="s">
        <v>36</v>
      </c>
      <c r="D89" s="48" t="s">
        <v>37</v>
      </c>
      <c r="E89" s="48"/>
      <c r="F89" s="48">
        <v>35.03</v>
      </c>
      <c r="G89" s="48">
        <v>2.29</v>
      </c>
      <c r="H89" s="82">
        <f t="shared" si="59"/>
        <v>36.175000000000004</v>
      </c>
      <c r="I89" s="82">
        <f t="shared" si="60"/>
        <v>37.32</v>
      </c>
      <c r="J89" s="49">
        <v>3605</v>
      </c>
      <c r="K89" s="50">
        <v>0</v>
      </c>
      <c r="L89" s="81">
        <v>200</v>
      </c>
      <c r="M89" s="48">
        <v>0</v>
      </c>
      <c r="N89" s="49">
        <f t="shared" si="47"/>
        <v>3444.5</v>
      </c>
      <c r="O89" s="108">
        <f t="shared" si="48"/>
        <v>3805</v>
      </c>
      <c r="P89" s="79">
        <f t="shared" si="49"/>
        <v>89.689011748445054</v>
      </c>
      <c r="Q89" s="53">
        <f t="shared" si="50"/>
        <v>9.4700000000000006E-2</v>
      </c>
      <c r="R89" s="54">
        <f t="shared" si="51"/>
        <v>360.5</v>
      </c>
      <c r="S89" s="53">
        <v>0.8</v>
      </c>
      <c r="T89" s="54">
        <f t="shared" si="61"/>
        <v>3044</v>
      </c>
      <c r="U89" s="53">
        <f t="shared" si="62"/>
        <v>0.10529999999999995</v>
      </c>
      <c r="V89" s="54">
        <f t="shared" si="63"/>
        <v>400.66649999999981</v>
      </c>
      <c r="W89" s="55">
        <f ca="1">V89*VLOOKUP(TODAY(),'UF HOY'!$A$2:$B$36,2,0)</f>
        <v>15920058.671009993</v>
      </c>
      <c r="X89" s="56">
        <f>Datos!$K$9</f>
        <v>24</v>
      </c>
      <c r="Y89" s="55">
        <f ca="1">IF((W89-Datos!$U$9-1000000)/X89&gt;0,(W89-Datos!$U$9-1000000)/X89,0)</f>
        <v>617502.44462541642</v>
      </c>
      <c r="Z89" s="56">
        <f>Datos!$K$9</f>
        <v>24</v>
      </c>
      <c r="AA89" s="55">
        <f ca="1">IF((W89-Datos!$U$9-1000000-O89*4%*VLOOKUP(TODAY(),'UF HOY'!$A$2:$B$36,2,0))/Z89&gt;0,(W89-Datos!$U$9-1000000-O89*4%*VLOOKUP(TODAY(),'UF HOY'!$A$2:$B$36,2,0))/Z89,0)</f>
        <v>365523.04179208301</v>
      </c>
      <c r="AB89" s="55">
        <f>IF(L89&gt;0,VLOOKUP(D89,Datos!$A$6:$C$10,3,0),VLOOKUP(D89,Datos!$A$6:$C$10,2,0))</f>
        <v>390000</v>
      </c>
      <c r="AC89" s="55">
        <f ca="1">(S89*PMT(Datos!$G$15,Datos!$G$14,-O89,,)*VLOOKUP(TODAY(),'UF HOY'!$A$2:$B$36,2,0)/12)+VLOOKUP(TODAY(),'UF HOY'!$A$2:$B$36,2,0)</f>
        <v>622613.69381969818</v>
      </c>
      <c r="AD89" s="55">
        <f t="shared" ca="1" si="64"/>
        <v>-232613.69381969818</v>
      </c>
      <c r="AE89" s="93">
        <f t="shared" ca="1" si="58"/>
        <v>2490454.7752787927</v>
      </c>
    </row>
    <row r="90" spans="1:31" s="3" customFormat="1" x14ac:dyDescent="0.35">
      <c r="A90" s="94" t="s">
        <v>305</v>
      </c>
      <c r="B90" s="81" t="s">
        <v>156</v>
      </c>
      <c r="C90" s="48" t="s">
        <v>40</v>
      </c>
      <c r="D90" s="48" t="s">
        <v>37</v>
      </c>
      <c r="E90" s="48"/>
      <c r="F90" s="48">
        <v>32.76</v>
      </c>
      <c r="G90" s="48">
        <v>2.29</v>
      </c>
      <c r="H90" s="82">
        <f t="shared" si="59"/>
        <v>33.905000000000001</v>
      </c>
      <c r="I90" s="82">
        <f t="shared" si="60"/>
        <v>35.049999999999997</v>
      </c>
      <c r="J90" s="49">
        <v>3615</v>
      </c>
      <c r="K90" s="50">
        <v>0</v>
      </c>
      <c r="L90" s="81">
        <v>200</v>
      </c>
      <c r="M90" s="48">
        <v>0</v>
      </c>
      <c r="N90" s="49">
        <f t="shared" si="47"/>
        <v>3453.5</v>
      </c>
      <c r="O90" s="108">
        <f t="shared" si="48"/>
        <v>3815</v>
      </c>
      <c r="P90" s="79">
        <f t="shared" si="49"/>
        <v>95.959298038637371</v>
      </c>
      <c r="Q90" s="53">
        <f t="shared" si="50"/>
        <v>9.4799999999999995E-2</v>
      </c>
      <c r="R90" s="54">
        <f t="shared" si="51"/>
        <v>361.5</v>
      </c>
      <c r="S90" s="53">
        <v>0.8</v>
      </c>
      <c r="T90" s="54">
        <f t="shared" si="61"/>
        <v>3052</v>
      </c>
      <c r="U90" s="53">
        <f t="shared" si="62"/>
        <v>0.10519999999999996</v>
      </c>
      <c r="V90" s="54">
        <f t="shared" si="63"/>
        <v>401.33799999999985</v>
      </c>
      <c r="W90" s="55">
        <f ca="1">V90*VLOOKUP(TODAY(),'UF HOY'!$A$2:$B$36,2,0)</f>
        <v>15946740.011719994</v>
      </c>
      <c r="X90" s="56">
        <f>Datos!$K$9</f>
        <v>24</v>
      </c>
      <c r="Y90" s="55">
        <f ca="1">IF((W90-Datos!$U$9-1000000)/X90&gt;0,(W90-Datos!$U$9-1000000)/X90,0)</f>
        <v>618614.1671549998</v>
      </c>
      <c r="Z90" s="56">
        <f>Datos!$K$9</f>
        <v>24</v>
      </c>
      <c r="AA90" s="55">
        <f ca="1">IF((W90-Datos!$U$9-1000000-O90*4%*VLOOKUP(TODAY(),'UF HOY'!$A$2:$B$36,2,0))/Z90&gt;0,(W90-Datos!$U$9-1000000-O90*4%*VLOOKUP(TODAY(),'UF HOY'!$A$2:$B$36,2,0))/Z90,0)</f>
        <v>365972.53198833315</v>
      </c>
      <c r="AB90" s="55">
        <f>IF(L90&gt;0,VLOOKUP(D90,Datos!$A$6:$C$10,3,0),VLOOKUP(D90,Datos!$A$6:$C$10,2,0))</f>
        <v>390000</v>
      </c>
      <c r="AC90" s="55">
        <f ca="1">(S90*PMT(Datos!$G$15,Datos!$G$14,-O90,,)*VLOOKUP(TODAY(),'UF HOY'!$A$2:$B$36,2,0)/12)+VLOOKUP(TODAY(),'UF HOY'!$A$2:$B$36,2,0)</f>
        <v>624145.57227914548</v>
      </c>
      <c r="AD90" s="55">
        <f t="shared" ca="1" si="64"/>
        <v>-234145.57227914548</v>
      </c>
      <c r="AE90" s="93">
        <f t="shared" ca="1" si="58"/>
        <v>2496582.2891165819</v>
      </c>
    </row>
    <row r="91" spans="1:31" s="3" customFormat="1" x14ac:dyDescent="0.35">
      <c r="A91" s="94" t="s">
        <v>305</v>
      </c>
      <c r="B91" s="81" t="s">
        <v>296</v>
      </c>
      <c r="C91" s="48" t="s">
        <v>40</v>
      </c>
      <c r="D91" s="48" t="s">
        <v>37</v>
      </c>
      <c r="E91" s="48"/>
      <c r="F91" s="48">
        <v>32.76</v>
      </c>
      <c r="G91" s="48">
        <v>2.29</v>
      </c>
      <c r="H91" s="82">
        <f t="shared" si="59"/>
        <v>33.905000000000001</v>
      </c>
      <c r="I91" s="82">
        <f t="shared" si="60"/>
        <v>35.049999999999997</v>
      </c>
      <c r="J91" s="49">
        <v>3615</v>
      </c>
      <c r="K91" s="50">
        <v>0</v>
      </c>
      <c r="L91" s="81">
        <v>200</v>
      </c>
      <c r="M91" s="48">
        <v>0</v>
      </c>
      <c r="N91" s="49">
        <f t="shared" si="47"/>
        <v>3453.5</v>
      </c>
      <c r="O91" s="108">
        <f t="shared" si="48"/>
        <v>3815</v>
      </c>
      <c r="P91" s="79">
        <f t="shared" si="49"/>
        <v>95.959298038637371</v>
      </c>
      <c r="Q91" s="53">
        <f t="shared" si="50"/>
        <v>9.4799999999999995E-2</v>
      </c>
      <c r="R91" s="54">
        <f t="shared" si="51"/>
        <v>361.5</v>
      </c>
      <c r="S91" s="53">
        <v>0.8</v>
      </c>
      <c r="T91" s="54">
        <f t="shared" si="61"/>
        <v>3052</v>
      </c>
      <c r="U91" s="53">
        <f t="shared" si="62"/>
        <v>0.10519999999999996</v>
      </c>
      <c r="V91" s="54">
        <f t="shared" si="63"/>
        <v>401.33799999999985</v>
      </c>
      <c r="W91" s="55">
        <f ca="1">V91*VLOOKUP(TODAY(),'UF HOY'!$A$2:$B$36,2,0)</f>
        <v>15946740.011719994</v>
      </c>
      <c r="X91" s="56">
        <f>Datos!$K$9</f>
        <v>24</v>
      </c>
      <c r="Y91" s="55">
        <f ca="1">IF((W91-Datos!$U$9-1000000)/X91&gt;0,(W91-Datos!$U$9-1000000)/X91,0)</f>
        <v>618614.1671549998</v>
      </c>
      <c r="Z91" s="56">
        <f>Datos!$K$9</f>
        <v>24</v>
      </c>
      <c r="AA91" s="55">
        <f ca="1">IF((W91-Datos!$U$9-1000000-O91*4%*VLOOKUP(TODAY(),'UF HOY'!$A$2:$B$36,2,0))/Z91&gt;0,(W91-Datos!$U$9-1000000-O91*4%*VLOOKUP(TODAY(),'UF HOY'!$A$2:$B$36,2,0))/Z91,0)</f>
        <v>365972.53198833315</v>
      </c>
      <c r="AB91" s="55">
        <f>IF(L91&gt;0,VLOOKUP(D91,Datos!$A$6:$C$10,3,0),VLOOKUP(D91,Datos!$A$6:$C$10,2,0))</f>
        <v>390000</v>
      </c>
      <c r="AC91" s="55">
        <f ca="1">(S91*PMT(Datos!$G$15,Datos!$G$14,-O91,,)*VLOOKUP(TODAY(),'UF HOY'!$A$2:$B$36,2,0)/12)+VLOOKUP(TODAY(),'UF HOY'!$A$2:$B$36,2,0)</f>
        <v>624145.57227914548</v>
      </c>
      <c r="AD91" s="55">
        <f t="shared" ca="1" si="64"/>
        <v>-234145.57227914548</v>
      </c>
      <c r="AE91" s="93">
        <f t="shared" ca="1" si="58"/>
        <v>2496582.2891165819</v>
      </c>
    </row>
    <row r="92" spans="1:31" s="3" customFormat="1" x14ac:dyDescent="0.35">
      <c r="A92" s="94" t="s">
        <v>305</v>
      </c>
      <c r="B92" s="81" t="s">
        <v>89</v>
      </c>
      <c r="C92" s="48" t="s">
        <v>40</v>
      </c>
      <c r="D92" s="48" t="s">
        <v>37</v>
      </c>
      <c r="E92" s="48"/>
      <c r="F92" s="48">
        <v>32.76</v>
      </c>
      <c r="G92" s="48">
        <v>2.29</v>
      </c>
      <c r="H92" s="82">
        <f t="shared" si="59"/>
        <v>33.905000000000001</v>
      </c>
      <c r="I92" s="82">
        <f t="shared" si="60"/>
        <v>35.049999999999997</v>
      </c>
      <c r="J92" s="49">
        <v>3615</v>
      </c>
      <c r="K92" s="50">
        <v>0</v>
      </c>
      <c r="L92" s="81">
        <v>200</v>
      </c>
      <c r="M92" s="48">
        <v>0</v>
      </c>
      <c r="N92" s="49">
        <f t="shared" ref="N92:N121" si="65">O92-R92</f>
        <v>3453.5</v>
      </c>
      <c r="O92" s="108">
        <f t="shared" ref="O92:O121" si="66">J92*(100%-K92)+L92+M92</f>
        <v>3815</v>
      </c>
      <c r="P92" s="79">
        <f t="shared" ref="P92:P121" si="67">(N92-L92-M92)/H92</f>
        <v>95.959298038637371</v>
      </c>
      <c r="Q92" s="53">
        <f t="shared" ref="Q92:Q121" si="68">IF((O92-N92)/O92&gt;10%,10%,ROUND(IF(O92&gt;N92,(O92-N92)/O92,0),4))</f>
        <v>9.4799999999999995E-2</v>
      </c>
      <c r="R92" s="54">
        <f t="shared" ref="R92:R121" si="69">(J92-J92*K92)*0.1</f>
        <v>361.5</v>
      </c>
      <c r="S92" s="53">
        <v>0.8</v>
      </c>
      <c r="T92" s="54">
        <f t="shared" si="61"/>
        <v>3052</v>
      </c>
      <c r="U92" s="53">
        <f t="shared" si="62"/>
        <v>0.10519999999999996</v>
      </c>
      <c r="V92" s="54">
        <f t="shared" si="63"/>
        <v>401.33799999999985</v>
      </c>
      <c r="W92" s="55">
        <f ca="1">V92*VLOOKUP(TODAY(),'UF HOY'!$A$2:$B$36,2,0)</f>
        <v>15946740.011719994</v>
      </c>
      <c r="X92" s="56">
        <f>Datos!$K$9</f>
        <v>24</v>
      </c>
      <c r="Y92" s="55">
        <f ca="1">IF((W92-Datos!$U$9-1000000)/X92&gt;0,(W92-Datos!$U$9-1000000)/X92,0)</f>
        <v>618614.1671549998</v>
      </c>
      <c r="Z92" s="56">
        <f>Datos!$K$9</f>
        <v>24</v>
      </c>
      <c r="AA92" s="55">
        <f ca="1">IF((W92-Datos!$U$9-1000000-O92*4%*VLOOKUP(TODAY(),'UF HOY'!$A$2:$B$36,2,0))/Z92&gt;0,(W92-Datos!$U$9-1000000-O92*4%*VLOOKUP(TODAY(),'UF HOY'!$A$2:$B$36,2,0))/Z92,0)</f>
        <v>365972.53198833315</v>
      </c>
      <c r="AB92" s="55">
        <f>IF(L92&gt;0,VLOOKUP(D92,Datos!$A$6:$C$10,3,0),VLOOKUP(D92,Datos!$A$6:$C$10,2,0))</f>
        <v>390000</v>
      </c>
      <c r="AC92" s="55">
        <f ca="1">(S92*PMT(Datos!$G$15,Datos!$G$14,-O92,,)*VLOOKUP(TODAY(),'UF HOY'!$A$2:$B$36,2,0)/12)+VLOOKUP(TODAY(),'UF HOY'!$A$2:$B$36,2,0)</f>
        <v>624145.57227914548</v>
      </c>
      <c r="AD92" s="55">
        <f t="shared" ca="1" si="64"/>
        <v>-234145.57227914548</v>
      </c>
      <c r="AE92" s="93">
        <f t="shared" ca="1" si="58"/>
        <v>2496582.2891165819</v>
      </c>
    </row>
    <row r="93" spans="1:31" s="3" customFormat="1" x14ac:dyDescent="0.35">
      <c r="A93" s="94" t="s">
        <v>305</v>
      </c>
      <c r="B93" s="81" t="s">
        <v>297</v>
      </c>
      <c r="C93" s="48" t="s">
        <v>40</v>
      </c>
      <c r="D93" s="48" t="s">
        <v>37</v>
      </c>
      <c r="E93" s="48"/>
      <c r="F93" s="48">
        <v>32.76</v>
      </c>
      <c r="G93" s="48">
        <v>2.29</v>
      </c>
      <c r="H93" s="82">
        <f t="shared" si="59"/>
        <v>33.905000000000001</v>
      </c>
      <c r="I93" s="82">
        <f t="shared" si="60"/>
        <v>35.049999999999997</v>
      </c>
      <c r="J93" s="49">
        <v>3615</v>
      </c>
      <c r="K93" s="50">
        <v>0</v>
      </c>
      <c r="L93" s="81">
        <v>200</v>
      </c>
      <c r="M93" s="48">
        <v>0</v>
      </c>
      <c r="N93" s="49">
        <f t="shared" si="65"/>
        <v>3453.5</v>
      </c>
      <c r="O93" s="108">
        <f t="shared" si="66"/>
        <v>3815</v>
      </c>
      <c r="P93" s="79">
        <f t="shared" si="67"/>
        <v>95.959298038637371</v>
      </c>
      <c r="Q93" s="53">
        <f t="shared" si="68"/>
        <v>9.4799999999999995E-2</v>
      </c>
      <c r="R93" s="54">
        <f t="shared" si="69"/>
        <v>361.5</v>
      </c>
      <c r="S93" s="53">
        <v>0.8</v>
      </c>
      <c r="T93" s="54">
        <f t="shared" si="61"/>
        <v>3052</v>
      </c>
      <c r="U93" s="53">
        <f t="shared" si="62"/>
        <v>0.10519999999999996</v>
      </c>
      <c r="V93" s="54">
        <f t="shared" si="63"/>
        <v>401.33799999999985</v>
      </c>
      <c r="W93" s="55">
        <f ca="1">V93*VLOOKUP(TODAY(),'UF HOY'!$A$2:$B$36,2,0)</f>
        <v>15946740.011719994</v>
      </c>
      <c r="X93" s="56">
        <f>Datos!$K$9</f>
        <v>24</v>
      </c>
      <c r="Y93" s="55">
        <f ca="1">IF((W93-Datos!$U$9-1000000)/X93&gt;0,(W93-Datos!$U$9-1000000)/X93,0)</f>
        <v>618614.1671549998</v>
      </c>
      <c r="Z93" s="56">
        <f>Datos!$K$9</f>
        <v>24</v>
      </c>
      <c r="AA93" s="55">
        <f ca="1">IF((W93-Datos!$U$9-1000000-O93*4%*VLOOKUP(TODAY(),'UF HOY'!$A$2:$B$36,2,0))/Z93&gt;0,(W93-Datos!$U$9-1000000-O93*4%*VLOOKUP(TODAY(),'UF HOY'!$A$2:$B$36,2,0))/Z93,0)</f>
        <v>365972.53198833315</v>
      </c>
      <c r="AB93" s="55">
        <f>IF(L93&gt;0,VLOOKUP(D93,Datos!$A$6:$C$10,3,0),VLOOKUP(D93,Datos!$A$6:$C$10,2,0))</f>
        <v>390000</v>
      </c>
      <c r="AC93" s="55">
        <f ca="1">(S93*PMT(Datos!$G$15,Datos!$G$14,-O93,,)*VLOOKUP(TODAY(),'UF HOY'!$A$2:$B$36,2,0)/12)+VLOOKUP(TODAY(),'UF HOY'!$A$2:$B$36,2,0)</f>
        <v>624145.57227914548</v>
      </c>
      <c r="AD93" s="55">
        <f t="shared" ca="1" si="64"/>
        <v>-234145.57227914548</v>
      </c>
      <c r="AE93" s="93">
        <f t="shared" ca="1" si="58"/>
        <v>2496582.2891165819</v>
      </c>
    </row>
    <row r="94" spans="1:31" s="3" customFormat="1" x14ac:dyDescent="0.35">
      <c r="A94" s="94" t="s">
        <v>305</v>
      </c>
      <c r="B94" s="81" t="s">
        <v>209</v>
      </c>
      <c r="C94" s="48" t="s">
        <v>40</v>
      </c>
      <c r="D94" s="48" t="s">
        <v>37</v>
      </c>
      <c r="E94" s="48"/>
      <c r="F94" s="48">
        <v>32.76</v>
      </c>
      <c r="G94" s="48">
        <v>2.29</v>
      </c>
      <c r="H94" s="82">
        <f t="shared" si="59"/>
        <v>33.905000000000001</v>
      </c>
      <c r="I94" s="82">
        <f t="shared" si="60"/>
        <v>35.049999999999997</v>
      </c>
      <c r="J94" s="49">
        <v>3615</v>
      </c>
      <c r="K94" s="50">
        <v>0</v>
      </c>
      <c r="L94" s="81">
        <v>200</v>
      </c>
      <c r="M94" s="48">
        <v>0</v>
      </c>
      <c r="N94" s="49">
        <f t="shared" si="65"/>
        <v>3453.5</v>
      </c>
      <c r="O94" s="108">
        <f t="shared" si="66"/>
        <v>3815</v>
      </c>
      <c r="P94" s="79">
        <f t="shared" si="67"/>
        <v>95.959298038637371</v>
      </c>
      <c r="Q94" s="53">
        <f t="shared" si="68"/>
        <v>9.4799999999999995E-2</v>
      </c>
      <c r="R94" s="54">
        <f t="shared" si="69"/>
        <v>361.5</v>
      </c>
      <c r="S94" s="53">
        <v>0.8</v>
      </c>
      <c r="T94" s="54">
        <f t="shared" si="61"/>
        <v>3052</v>
      </c>
      <c r="U94" s="53">
        <f t="shared" si="62"/>
        <v>0.10519999999999996</v>
      </c>
      <c r="V94" s="54">
        <f t="shared" si="63"/>
        <v>401.33799999999985</v>
      </c>
      <c r="W94" s="55">
        <f ca="1">V94*VLOOKUP(TODAY(),'UF HOY'!$A$2:$B$36,2,0)</f>
        <v>15946740.011719994</v>
      </c>
      <c r="X94" s="56">
        <f>Datos!$K$9</f>
        <v>24</v>
      </c>
      <c r="Y94" s="55">
        <f ca="1">IF((W94-Datos!$U$9-1000000)/X94&gt;0,(W94-Datos!$U$9-1000000)/X94,0)</f>
        <v>618614.1671549998</v>
      </c>
      <c r="Z94" s="56">
        <f>Datos!$K$9</f>
        <v>24</v>
      </c>
      <c r="AA94" s="55">
        <f ca="1">IF((W94-Datos!$U$9-1000000-O94*4%*VLOOKUP(TODAY(),'UF HOY'!$A$2:$B$36,2,0))/Z94&gt;0,(W94-Datos!$U$9-1000000-O94*4%*VLOOKUP(TODAY(),'UF HOY'!$A$2:$B$36,2,0))/Z94,0)</f>
        <v>365972.53198833315</v>
      </c>
      <c r="AB94" s="55">
        <f>IF(L94&gt;0,VLOOKUP(D94,Datos!$A$6:$C$10,3,0),VLOOKUP(D94,Datos!$A$6:$C$10,2,0))</f>
        <v>390000</v>
      </c>
      <c r="AC94" s="55">
        <f ca="1">(S94*PMT(Datos!$G$15,Datos!$G$14,-O94,,)*VLOOKUP(TODAY(),'UF HOY'!$A$2:$B$36,2,0)/12)+VLOOKUP(TODAY(),'UF HOY'!$A$2:$B$36,2,0)</f>
        <v>624145.57227914548</v>
      </c>
      <c r="AD94" s="55">
        <f t="shared" ca="1" si="64"/>
        <v>-234145.57227914548</v>
      </c>
      <c r="AE94" s="93">
        <f t="shared" ca="1" si="58"/>
        <v>2496582.2891165819</v>
      </c>
    </row>
    <row r="95" spans="1:31" s="3" customFormat="1" x14ac:dyDescent="0.35">
      <c r="A95" s="94" t="s">
        <v>305</v>
      </c>
      <c r="B95" s="81" t="s">
        <v>208</v>
      </c>
      <c r="C95" s="48" t="s">
        <v>40</v>
      </c>
      <c r="D95" s="48" t="s">
        <v>37</v>
      </c>
      <c r="E95" s="48"/>
      <c r="F95" s="48">
        <v>32.76</v>
      </c>
      <c r="G95" s="48">
        <v>2.29</v>
      </c>
      <c r="H95" s="82">
        <f t="shared" si="59"/>
        <v>33.905000000000001</v>
      </c>
      <c r="I95" s="82">
        <f t="shared" si="60"/>
        <v>35.049999999999997</v>
      </c>
      <c r="J95" s="49">
        <v>3615</v>
      </c>
      <c r="K95" s="50">
        <v>0</v>
      </c>
      <c r="L95" s="81">
        <v>200</v>
      </c>
      <c r="M95" s="48">
        <v>0</v>
      </c>
      <c r="N95" s="49">
        <f t="shared" si="65"/>
        <v>3453.5</v>
      </c>
      <c r="O95" s="108">
        <f t="shared" si="66"/>
        <v>3815</v>
      </c>
      <c r="P95" s="79">
        <f t="shared" si="67"/>
        <v>95.959298038637371</v>
      </c>
      <c r="Q95" s="53">
        <f t="shared" si="68"/>
        <v>9.4799999999999995E-2</v>
      </c>
      <c r="R95" s="54">
        <f t="shared" si="69"/>
        <v>361.5</v>
      </c>
      <c r="S95" s="53">
        <v>0.8</v>
      </c>
      <c r="T95" s="54">
        <f t="shared" si="61"/>
        <v>3052</v>
      </c>
      <c r="U95" s="53">
        <f t="shared" si="62"/>
        <v>0.10519999999999996</v>
      </c>
      <c r="V95" s="54">
        <f t="shared" si="63"/>
        <v>401.33799999999985</v>
      </c>
      <c r="W95" s="55">
        <f ca="1">V95*VLOOKUP(TODAY(),'UF HOY'!$A$2:$B$36,2,0)</f>
        <v>15946740.011719994</v>
      </c>
      <c r="X95" s="56">
        <f>Datos!$K$9</f>
        <v>24</v>
      </c>
      <c r="Y95" s="55">
        <f ca="1">IF((W95-Datos!$U$9-1000000)/X95&gt;0,(W95-Datos!$U$9-1000000)/X95,0)</f>
        <v>618614.1671549998</v>
      </c>
      <c r="Z95" s="56">
        <f>Datos!$K$9</f>
        <v>24</v>
      </c>
      <c r="AA95" s="55">
        <f ca="1">IF((W95-Datos!$U$9-1000000-O95*4%*VLOOKUP(TODAY(),'UF HOY'!$A$2:$B$36,2,0))/Z95&gt;0,(W95-Datos!$U$9-1000000-O95*4%*VLOOKUP(TODAY(),'UF HOY'!$A$2:$B$36,2,0))/Z95,0)</f>
        <v>365972.53198833315</v>
      </c>
      <c r="AB95" s="55">
        <f>IF(L95&gt;0,VLOOKUP(D95,Datos!$A$6:$C$10,3,0),VLOOKUP(D95,Datos!$A$6:$C$10,2,0))</f>
        <v>390000</v>
      </c>
      <c r="AC95" s="55">
        <f ca="1">(S95*PMT(Datos!$G$15,Datos!$G$14,-O95,,)*VLOOKUP(TODAY(),'UF HOY'!$A$2:$B$36,2,0)/12)+VLOOKUP(TODAY(),'UF HOY'!$A$2:$B$36,2,0)</f>
        <v>624145.57227914548</v>
      </c>
      <c r="AD95" s="55">
        <f t="shared" ca="1" si="64"/>
        <v>-234145.57227914548</v>
      </c>
      <c r="AE95" s="93">
        <f t="shared" ca="1" si="58"/>
        <v>2496582.2891165819</v>
      </c>
    </row>
    <row r="96" spans="1:31" s="3" customFormat="1" x14ac:dyDescent="0.35">
      <c r="A96" s="94" t="s">
        <v>305</v>
      </c>
      <c r="B96" s="81" t="s">
        <v>207</v>
      </c>
      <c r="C96" s="48" t="s">
        <v>41</v>
      </c>
      <c r="D96" s="48" t="s">
        <v>37</v>
      </c>
      <c r="E96" s="48"/>
      <c r="F96" s="48">
        <v>32.76</v>
      </c>
      <c r="G96" s="48">
        <v>2.29</v>
      </c>
      <c r="H96" s="82">
        <f t="shared" si="59"/>
        <v>33.905000000000001</v>
      </c>
      <c r="I96" s="82">
        <f t="shared" si="60"/>
        <v>35.049999999999997</v>
      </c>
      <c r="J96" s="49">
        <v>3615</v>
      </c>
      <c r="K96" s="50">
        <v>0</v>
      </c>
      <c r="L96" s="81">
        <v>200</v>
      </c>
      <c r="M96" s="48">
        <v>0</v>
      </c>
      <c r="N96" s="49">
        <f t="shared" si="65"/>
        <v>3453.5</v>
      </c>
      <c r="O96" s="108">
        <f t="shared" si="66"/>
        <v>3815</v>
      </c>
      <c r="P96" s="79">
        <f t="shared" si="67"/>
        <v>95.959298038637371</v>
      </c>
      <c r="Q96" s="53">
        <f t="shared" si="68"/>
        <v>9.4799999999999995E-2</v>
      </c>
      <c r="R96" s="54">
        <f t="shared" si="69"/>
        <v>361.5</v>
      </c>
      <c r="S96" s="53">
        <v>0.8</v>
      </c>
      <c r="T96" s="54">
        <f t="shared" si="61"/>
        <v>3052</v>
      </c>
      <c r="U96" s="53">
        <f t="shared" si="62"/>
        <v>0.10519999999999996</v>
      </c>
      <c r="V96" s="54">
        <f t="shared" si="63"/>
        <v>401.33799999999985</v>
      </c>
      <c r="W96" s="55">
        <f ca="1">V96*VLOOKUP(TODAY(),'UF HOY'!$A$2:$B$36,2,0)</f>
        <v>15946740.011719994</v>
      </c>
      <c r="X96" s="56">
        <f>Datos!$K$9</f>
        <v>24</v>
      </c>
      <c r="Y96" s="55">
        <f ca="1">IF((W96-Datos!$U$9-1000000)/X96&gt;0,(W96-Datos!$U$9-1000000)/X96,0)</f>
        <v>618614.1671549998</v>
      </c>
      <c r="Z96" s="56">
        <f>Datos!$K$9</f>
        <v>24</v>
      </c>
      <c r="AA96" s="55">
        <f ca="1">IF((W96-Datos!$U$9-1000000-O96*4%*VLOOKUP(TODAY(),'UF HOY'!$A$2:$B$36,2,0))/Z96&gt;0,(W96-Datos!$U$9-1000000-O96*4%*VLOOKUP(TODAY(),'UF HOY'!$A$2:$B$36,2,0))/Z96,0)</f>
        <v>365972.53198833315</v>
      </c>
      <c r="AB96" s="55">
        <f>IF(L96&gt;0,VLOOKUP(D96,Datos!$A$6:$C$10,3,0),VLOOKUP(D96,Datos!$A$6:$C$10,2,0))</f>
        <v>390000</v>
      </c>
      <c r="AC96" s="55">
        <f ca="1">(S96*PMT(Datos!$G$15,Datos!$G$14,-O96,,)*VLOOKUP(TODAY(),'UF HOY'!$A$2:$B$36,2,0)/12)+VLOOKUP(TODAY(),'UF HOY'!$A$2:$B$36,2,0)</f>
        <v>624145.57227914548</v>
      </c>
      <c r="AD96" s="55">
        <f t="shared" ca="1" si="64"/>
        <v>-234145.57227914548</v>
      </c>
      <c r="AE96" s="93">
        <f t="shared" ca="1" si="58"/>
        <v>2496582.2891165819</v>
      </c>
    </row>
    <row r="97" spans="1:31" s="3" customFormat="1" x14ac:dyDescent="0.35">
      <c r="A97" s="94" t="s">
        <v>305</v>
      </c>
      <c r="B97" s="81" t="s">
        <v>277</v>
      </c>
      <c r="C97" s="48" t="s">
        <v>41</v>
      </c>
      <c r="D97" s="48" t="s">
        <v>37</v>
      </c>
      <c r="E97" s="48"/>
      <c r="F97" s="48">
        <v>32.76</v>
      </c>
      <c r="G97" s="48">
        <v>2.29</v>
      </c>
      <c r="H97" s="82">
        <f t="shared" si="59"/>
        <v>33.905000000000001</v>
      </c>
      <c r="I97" s="82">
        <f t="shared" si="60"/>
        <v>35.049999999999997</v>
      </c>
      <c r="J97" s="49">
        <v>3620</v>
      </c>
      <c r="K97" s="50">
        <v>0</v>
      </c>
      <c r="L97" s="81">
        <v>200</v>
      </c>
      <c r="M97" s="48">
        <v>0</v>
      </c>
      <c r="N97" s="49">
        <f t="shared" si="65"/>
        <v>3458</v>
      </c>
      <c r="O97" s="108">
        <f t="shared" si="66"/>
        <v>3820</v>
      </c>
      <c r="P97" s="79">
        <f t="shared" si="67"/>
        <v>96.092021825689429</v>
      </c>
      <c r="Q97" s="53">
        <f t="shared" si="68"/>
        <v>9.4799999999999995E-2</v>
      </c>
      <c r="R97" s="54">
        <f t="shared" si="69"/>
        <v>362</v>
      </c>
      <c r="S97" s="53">
        <v>0.8</v>
      </c>
      <c r="T97" s="54">
        <f t="shared" si="61"/>
        <v>3056</v>
      </c>
      <c r="U97" s="53">
        <f t="shared" si="62"/>
        <v>0.10519999999999996</v>
      </c>
      <c r="V97" s="54">
        <f t="shared" si="63"/>
        <v>401.86399999999986</v>
      </c>
      <c r="W97" s="55">
        <f ca="1">V97*VLOOKUP(TODAY(),'UF HOY'!$A$2:$B$36,2,0)</f>
        <v>15967640.064159995</v>
      </c>
      <c r="X97" s="56">
        <f>Datos!$K$9</f>
        <v>24</v>
      </c>
      <c r="Y97" s="55">
        <f ca="1">IF((W97-Datos!$U$9-1000000)/X97&gt;0,(W97-Datos!$U$9-1000000)/X97,0)</f>
        <v>619485.00267333316</v>
      </c>
      <c r="Z97" s="56">
        <f>Datos!$K$9</f>
        <v>24</v>
      </c>
      <c r="AA97" s="55">
        <f ca="1">IF((W97-Datos!$U$9-1000000-O97*4%*VLOOKUP(TODAY(),'UF HOY'!$A$2:$B$36,2,0))/Z97&gt;0,(W97-Datos!$U$9-1000000-O97*4%*VLOOKUP(TODAY(),'UF HOY'!$A$2:$B$36,2,0))/Z97,0)</f>
        <v>366512.25133999978</v>
      </c>
      <c r="AB97" s="55">
        <f>IF(L97&gt;0,VLOOKUP(D97,Datos!$A$6:$C$10,3,0),VLOOKUP(D97,Datos!$A$6:$C$10,2,0))</f>
        <v>390000</v>
      </c>
      <c r="AC97" s="55">
        <f ca="1">(S97*PMT(Datos!$G$15,Datos!$G$14,-O97,,)*VLOOKUP(TODAY(),'UF HOY'!$A$2:$B$36,2,0)/12)+VLOOKUP(TODAY(),'UF HOY'!$A$2:$B$36,2,0)</f>
        <v>624911.51150886901</v>
      </c>
      <c r="AD97" s="55">
        <f t="shared" ca="1" si="64"/>
        <v>-234911.51150886901</v>
      </c>
      <c r="AE97" s="93">
        <f t="shared" ca="1" si="58"/>
        <v>2499646.046035476</v>
      </c>
    </row>
    <row r="98" spans="1:31" s="3" customFormat="1" x14ac:dyDescent="0.35">
      <c r="A98" s="94" t="s">
        <v>305</v>
      </c>
      <c r="B98" s="81" t="s">
        <v>278</v>
      </c>
      <c r="C98" s="48" t="s">
        <v>40</v>
      </c>
      <c r="D98" s="48" t="s">
        <v>37</v>
      </c>
      <c r="E98" s="48"/>
      <c r="F98" s="48">
        <v>33.479999999999997</v>
      </c>
      <c r="G98" s="48">
        <v>2.29</v>
      </c>
      <c r="H98" s="82">
        <f t="shared" si="59"/>
        <v>34.625</v>
      </c>
      <c r="I98" s="82">
        <f t="shared" si="60"/>
        <v>35.769999999999996</v>
      </c>
      <c r="J98" s="49">
        <v>3620</v>
      </c>
      <c r="K98" s="50">
        <v>0</v>
      </c>
      <c r="L98" s="81">
        <v>200</v>
      </c>
      <c r="M98" s="48">
        <v>0</v>
      </c>
      <c r="N98" s="49">
        <f t="shared" si="65"/>
        <v>3458</v>
      </c>
      <c r="O98" s="108">
        <f t="shared" si="66"/>
        <v>3820</v>
      </c>
      <c r="P98" s="79">
        <f t="shared" si="67"/>
        <v>94.093862815884478</v>
      </c>
      <c r="Q98" s="53">
        <f t="shared" si="68"/>
        <v>9.4799999999999995E-2</v>
      </c>
      <c r="R98" s="54">
        <f t="shared" si="69"/>
        <v>362</v>
      </c>
      <c r="S98" s="53">
        <v>0.8</v>
      </c>
      <c r="T98" s="54">
        <f t="shared" si="61"/>
        <v>3056</v>
      </c>
      <c r="U98" s="53">
        <f t="shared" si="62"/>
        <v>0.10519999999999996</v>
      </c>
      <c r="V98" s="54">
        <f t="shared" si="63"/>
        <v>401.86399999999986</v>
      </c>
      <c r="W98" s="55">
        <f ca="1">V98*VLOOKUP(TODAY(),'UF HOY'!$A$2:$B$36,2,0)</f>
        <v>15967640.064159995</v>
      </c>
      <c r="X98" s="56">
        <f>Datos!$K$9</f>
        <v>24</v>
      </c>
      <c r="Y98" s="55">
        <f ca="1">IF((W98-Datos!$U$9-1000000)/X98&gt;0,(W98-Datos!$U$9-1000000)/X98,0)</f>
        <v>619485.00267333316</v>
      </c>
      <c r="Z98" s="56">
        <f>Datos!$K$9</f>
        <v>24</v>
      </c>
      <c r="AA98" s="55">
        <f ca="1">IF((W98-Datos!$U$9-1000000-O98*4%*VLOOKUP(TODAY(),'UF HOY'!$A$2:$B$36,2,0))/Z98&gt;0,(W98-Datos!$U$9-1000000-O98*4%*VLOOKUP(TODAY(),'UF HOY'!$A$2:$B$36,2,0))/Z98,0)</f>
        <v>366512.25133999978</v>
      </c>
      <c r="AB98" s="55">
        <f>IF(L98&gt;0,VLOOKUP(D98,Datos!$A$6:$C$10,3,0),VLOOKUP(D98,Datos!$A$6:$C$10,2,0))</f>
        <v>390000</v>
      </c>
      <c r="AC98" s="55">
        <f ca="1">(S98*PMT(Datos!$G$15,Datos!$G$14,-O98,,)*VLOOKUP(TODAY(),'UF HOY'!$A$2:$B$36,2,0)/12)+VLOOKUP(TODAY(),'UF HOY'!$A$2:$B$36,2,0)</f>
        <v>624911.51150886901</v>
      </c>
      <c r="AD98" s="55">
        <f t="shared" ca="1" si="64"/>
        <v>-234911.51150886901</v>
      </c>
      <c r="AE98" s="93">
        <f t="shared" ca="1" si="58"/>
        <v>2499646.046035476</v>
      </c>
    </row>
    <row r="99" spans="1:31" s="3" customFormat="1" x14ac:dyDescent="0.35">
      <c r="A99" s="94" t="s">
        <v>305</v>
      </c>
      <c r="B99" s="81" t="s">
        <v>203</v>
      </c>
      <c r="C99" s="48" t="s">
        <v>40</v>
      </c>
      <c r="D99" s="48" t="s">
        <v>37</v>
      </c>
      <c r="E99" s="48"/>
      <c r="F99" s="48">
        <v>32.76</v>
      </c>
      <c r="G99" s="48">
        <v>2.29</v>
      </c>
      <c r="H99" s="82">
        <f t="shared" si="59"/>
        <v>33.905000000000001</v>
      </c>
      <c r="I99" s="82">
        <f t="shared" si="60"/>
        <v>35.049999999999997</v>
      </c>
      <c r="J99" s="49">
        <v>3620</v>
      </c>
      <c r="K99" s="50">
        <v>0</v>
      </c>
      <c r="L99" s="81">
        <v>200</v>
      </c>
      <c r="M99" s="48">
        <v>0</v>
      </c>
      <c r="N99" s="49">
        <f t="shared" si="65"/>
        <v>3458</v>
      </c>
      <c r="O99" s="108">
        <f t="shared" si="66"/>
        <v>3820</v>
      </c>
      <c r="P99" s="79">
        <f t="shared" si="67"/>
        <v>96.092021825689429</v>
      </c>
      <c r="Q99" s="53">
        <f t="shared" si="68"/>
        <v>9.4799999999999995E-2</v>
      </c>
      <c r="R99" s="54">
        <f t="shared" si="69"/>
        <v>362</v>
      </c>
      <c r="S99" s="53">
        <v>0.8</v>
      </c>
      <c r="T99" s="54">
        <f t="shared" si="61"/>
        <v>3056</v>
      </c>
      <c r="U99" s="53">
        <f t="shared" si="62"/>
        <v>0.10519999999999996</v>
      </c>
      <c r="V99" s="54">
        <f t="shared" si="63"/>
        <v>401.86399999999986</v>
      </c>
      <c r="W99" s="55">
        <f ca="1">V99*VLOOKUP(TODAY(),'UF HOY'!$A$2:$B$36,2,0)</f>
        <v>15967640.064159995</v>
      </c>
      <c r="X99" s="56">
        <f>Datos!$K$9</f>
        <v>24</v>
      </c>
      <c r="Y99" s="55">
        <f ca="1">IF((W99-Datos!$U$9-1000000)/X99&gt;0,(W99-Datos!$U$9-1000000)/X99,0)</f>
        <v>619485.00267333316</v>
      </c>
      <c r="Z99" s="56">
        <f>Datos!$K$9</f>
        <v>24</v>
      </c>
      <c r="AA99" s="55">
        <f ca="1">IF((W99-Datos!$U$9-1000000-O99*4%*VLOOKUP(TODAY(),'UF HOY'!$A$2:$B$36,2,0))/Z99&gt;0,(W99-Datos!$U$9-1000000-O99*4%*VLOOKUP(TODAY(),'UF HOY'!$A$2:$B$36,2,0))/Z99,0)</f>
        <v>366512.25133999978</v>
      </c>
      <c r="AB99" s="55">
        <f>IF(L99&gt;0,VLOOKUP(D99,Datos!$A$6:$C$10,3,0),VLOOKUP(D99,Datos!$A$6:$C$10,2,0))</f>
        <v>390000</v>
      </c>
      <c r="AC99" s="55">
        <f ca="1">(S99*PMT(Datos!$G$15,Datos!$G$14,-O99,,)*VLOOKUP(TODAY(),'UF HOY'!$A$2:$B$36,2,0)/12)+VLOOKUP(TODAY(),'UF HOY'!$A$2:$B$36,2,0)</f>
        <v>624911.51150886901</v>
      </c>
      <c r="AD99" s="55">
        <f t="shared" ca="1" si="64"/>
        <v>-234911.51150886901</v>
      </c>
      <c r="AE99" s="93">
        <f t="shared" ca="1" si="58"/>
        <v>2499646.046035476</v>
      </c>
    </row>
    <row r="100" spans="1:31" s="3" customFormat="1" x14ac:dyDescent="0.35">
      <c r="A100" s="94" t="s">
        <v>305</v>
      </c>
      <c r="B100" s="81" t="s">
        <v>229</v>
      </c>
      <c r="C100" s="48" t="s">
        <v>41</v>
      </c>
      <c r="D100" s="48" t="s">
        <v>37</v>
      </c>
      <c r="E100" s="48"/>
      <c r="F100" s="48">
        <v>33.56</v>
      </c>
      <c r="G100" s="48">
        <v>2.29</v>
      </c>
      <c r="H100" s="82">
        <f t="shared" si="59"/>
        <v>34.705000000000005</v>
      </c>
      <c r="I100" s="82">
        <f t="shared" si="60"/>
        <v>35.85</v>
      </c>
      <c r="J100" s="49">
        <v>3620</v>
      </c>
      <c r="K100" s="50">
        <v>0</v>
      </c>
      <c r="L100" s="81">
        <v>200</v>
      </c>
      <c r="M100" s="48">
        <v>0</v>
      </c>
      <c r="N100" s="49">
        <f t="shared" si="65"/>
        <v>3458</v>
      </c>
      <c r="O100" s="108">
        <f t="shared" si="66"/>
        <v>3820</v>
      </c>
      <c r="P100" s="79">
        <f t="shared" si="67"/>
        <v>93.876962973634903</v>
      </c>
      <c r="Q100" s="53">
        <f t="shared" si="68"/>
        <v>9.4799999999999995E-2</v>
      </c>
      <c r="R100" s="54">
        <f t="shared" si="69"/>
        <v>362</v>
      </c>
      <c r="S100" s="53">
        <v>0.8</v>
      </c>
      <c r="T100" s="54">
        <f t="shared" si="61"/>
        <v>3056</v>
      </c>
      <c r="U100" s="53">
        <f t="shared" si="62"/>
        <v>0.10519999999999996</v>
      </c>
      <c r="V100" s="54">
        <f t="shared" si="63"/>
        <v>401.86399999999986</v>
      </c>
      <c r="W100" s="55">
        <f ca="1">V100*VLOOKUP(TODAY(),'UF HOY'!$A$2:$B$36,2,0)</f>
        <v>15967640.064159995</v>
      </c>
      <c r="X100" s="56">
        <f>Datos!$K$9</f>
        <v>24</v>
      </c>
      <c r="Y100" s="55">
        <f ca="1">IF((W100-Datos!$U$9-1000000)/X100&gt;0,(W100-Datos!$U$9-1000000)/X100,0)</f>
        <v>619485.00267333316</v>
      </c>
      <c r="Z100" s="56">
        <f>Datos!$K$9</f>
        <v>24</v>
      </c>
      <c r="AA100" s="55">
        <f ca="1">IF((W100-Datos!$U$9-1000000-O100*4%*VLOOKUP(TODAY(),'UF HOY'!$A$2:$B$36,2,0))/Z100&gt;0,(W100-Datos!$U$9-1000000-O100*4%*VLOOKUP(TODAY(),'UF HOY'!$A$2:$B$36,2,0))/Z100,0)</f>
        <v>366512.25133999978</v>
      </c>
      <c r="AB100" s="55">
        <f>IF(L100&gt;0,VLOOKUP(D100,Datos!$A$6:$C$10,3,0),VLOOKUP(D100,Datos!$A$6:$C$10,2,0))</f>
        <v>390000</v>
      </c>
      <c r="AC100" s="55">
        <f ca="1">(S100*PMT(Datos!$G$15,Datos!$G$14,-O100,,)*VLOOKUP(TODAY(),'UF HOY'!$A$2:$B$36,2,0)/12)+VLOOKUP(TODAY(),'UF HOY'!$A$2:$B$36,2,0)</f>
        <v>624911.51150886901</v>
      </c>
      <c r="AD100" s="55">
        <f t="shared" ca="1" si="64"/>
        <v>-234911.51150886901</v>
      </c>
      <c r="AE100" s="93">
        <f t="shared" ca="1" si="58"/>
        <v>2499646.046035476</v>
      </c>
    </row>
    <row r="101" spans="1:31" s="3" customFormat="1" x14ac:dyDescent="0.35">
      <c r="A101" s="94" t="s">
        <v>305</v>
      </c>
      <c r="B101" s="81" t="s">
        <v>202</v>
      </c>
      <c r="C101" s="48" t="s">
        <v>40</v>
      </c>
      <c r="D101" s="48" t="s">
        <v>37</v>
      </c>
      <c r="E101" s="48"/>
      <c r="F101" s="48">
        <v>32.76</v>
      </c>
      <c r="G101" s="48">
        <v>2.29</v>
      </c>
      <c r="H101" s="82">
        <f t="shared" si="59"/>
        <v>33.905000000000001</v>
      </c>
      <c r="I101" s="82">
        <f t="shared" si="60"/>
        <v>35.049999999999997</v>
      </c>
      <c r="J101" s="49">
        <v>3620</v>
      </c>
      <c r="K101" s="50">
        <v>0</v>
      </c>
      <c r="L101" s="81">
        <v>200</v>
      </c>
      <c r="M101" s="48">
        <v>0</v>
      </c>
      <c r="N101" s="49">
        <f t="shared" si="65"/>
        <v>3458</v>
      </c>
      <c r="O101" s="108">
        <f t="shared" si="66"/>
        <v>3820</v>
      </c>
      <c r="P101" s="79">
        <f t="shared" si="67"/>
        <v>96.092021825689429</v>
      </c>
      <c r="Q101" s="53">
        <f t="shared" si="68"/>
        <v>9.4799999999999995E-2</v>
      </c>
      <c r="R101" s="54">
        <f t="shared" si="69"/>
        <v>362</v>
      </c>
      <c r="S101" s="53">
        <v>0.8</v>
      </c>
      <c r="T101" s="54">
        <f t="shared" si="61"/>
        <v>3056</v>
      </c>
      <c r="U101" s="53">
        <f t="shared" si="62"/>
        <v>0.10519999999999996</v>
      </c>
      <c r="V101" s="54">
        <f t="shared" si="63"/>
        <v>401.86399999999986</v>
      </c>
      <c r="W101" s="55">
        <f ca="1">V101*VLOOKUP(TODAY(),'UF HOY'!$A$2:$B$36,2,0)</f>
        <v>15967640.064159995</v>
      </c>
      <c r="X101" s="56">
        <f>Datos!$K$9</f>
        <v>24</v>
      </c>
      <c r="Y101" s="55">
        <f ca="1">IF((W101-Datos!$U$9-1000000)/X101&gt;0,(W101-Datos!$U$9-1000000)/X101,0)</f>
        <v>619485.00267333316</v>
      </c>
      <c r="Z101" s="56">
        <f>Datos!$K$9</f>
        <v>24</v>
      </c>
      <c r="AA101" s="55">
        <f ca="1">IF((W101-Datos!$U$9-1000000-O101*4%*VLOOKUP(TODAY(),'UF HOY'!$A$2:$B$36,2,0))/Z101&gt;0,(W101-Datos!$U$9-1000000-O101*4%*VLOOKUP(TODAY(),'UF HOY'!$A$2:$B$36,2,0))/Z101,0)</f>
        <v>366512.25133999978</v>
      </c>
      <c r="AB101" s="55">
        <f>IF(L101&gt;0,VLOOKUP(D101,Datos!$A$6:$C$10,3,0),VLOOKUP(D101,Datos!$A$6:$C$10,2,0))</f>
        <v>390000</v>
      </c>
      <c r="AC101" s="55">
        <f ca="1">(S101*PMT(Datos!$G$15,Datos!$G$14,-O101,,)*VLOOKUP(TODAY(),'UF HOY'!$A$2:$B$36,2,0)/12)+VLOOKUP(TODAY(),'UF HOY'!$A$2:$B$36,2,0)</f>
        <v>624911.51150886901</v>
      </c>
      <c r="AD101" s="55">
        <f t="shared" ca="1" si="64"/>
        <v>-234911.51150886901</v>
      </c>
      <c r="AE101" s="93">
        <f t="shared" ca="1" si="58"/>
        <v>2499646.046035476</v>
      </c>
    </row>
    <row r="102" spans="1:31" s="3" customFormat="1" x14ac:dyDescent="0.35">
      <c r="A102" s="94" t="s">
        <v>305</v>
      </c>
      <c r="B102" s="81" t="s">
        <v>228</v>
      </c>
      <c r="C102" s="48" t="s">
        <v>41</v>
      </c>
      <c r="D102" s="48" t="s">
        <v>37</v>
      </c>
      <c r="E102" s="48"/>
      <c r="F102" s="48">
        <v>33.56</v>
      </c>
      <c r="G102" s="48">
        <v>2.29</v>
      </c>
      <c r="H102" s="82">
        <f t="shared" si="59"/>
        <v>34.705000000000005</v>
      </c>
      <c r="I102" s="82">
        <f t="shared" si="60"/>
        <v>35.85</v>
      </c>
      <c r="J102" s="49">
        <v>3620</v>
      </c>
      <c r="K102" s="50">
        <v>0</v>
      </c>
      <c r="L102" s="81">
        <v>200</v>
      </c>
      <c r="M102" s="48">
        <v>0</v>
      </c>
      <c r="N102" s="49">
        <f t="shared" si="65"/>
        <v>3458</v>
      </c>
      <c r="O102" s="108">
        <f t="shared" si="66"/>
        <v>3820</v>
      </c>
      <c r="P102" s="79">
        <f t="shared" si="67"/>
        <v>93.876962973634903</v>
      </c>
      <c r="Q102" s="53">
        <f t="shared" si="68"/>
        <v>9.4799999999999995E-2</v>
      </c>
      <c r="R102" s="54">
        <f t="shared" si="69"/>
        <v>362</v>
      </c>
      <c r="S102" s="53">
        <v>0.8</v>
      </c>
      <c r="T102" s="54">
        <f t="shared" si="61"/>
        <v>3056</v>
      </c>
      <c r="U102" s="53">
        <f t="shared" si="62"/>
        <v>0.10519999999999996</v>
      </c>
      <c r="V102" s="54">
        <f t="shared" si="63"/>
        <v>401.86399999999986</v>
      </c>
      <c r="W102" s="55">
        <f ca="1">V102*VLOOKUP(TODAY(),'UF HOY'!$A$2:$B$36,2,0)</f>
        <v>15967640.064159995</v>
      </c>
      <c r="X102" s="56">
        <f>Datos!$K$9</f>
        <v>24</v>
      </c>
      <c r="Y102" s="55">
        <f ca="1">IF((W102-Datos!$U$9-1000000)/X102&gt;0,(W102-Datos!$U$9-1000000)/X102,0)</f>
        <v>619485.00267333316</v>
      </c>
      <c r="Z102" s="56">
        <f>Datos!$K$9</f>
        <v>24</v>
      </c>
      <c r="AA102" s="55">
        <f ca="1">IF((W102-Datos!$U$9-1000000-O102*4%*VLOOKUP(TODAY(),'UF HOY'!$A$2:$B$36,2,0))/Z102&gt;0,(W102-Datos!$U$9-1000000-O102*4%*VLOOKUP(TODAY(),'UF HOY'!$A$2:$B$36,2,0))/Z102,0)</f>
        <v>366512.25133999978</v>
      </c>
      <c r="AB102" s="55">
        <f>IF(L102&gt;0,VLOOKUP(D102,Datos!$A$6:$C$10,3,0),VLOOKUP(D102,Datos!$A$6:$C$10,2,0))</f>
        <v>390000</v>
      </c>
      <c r="AC102" s="55">
        <f ca="1">(S102*PMT(Datos!$G$15,Datos!$G$14,-O102,,)*VLOOKUP(TODAY(),'UF HOY'!$A$2:$B$36,2,0)/12)+VLOOKUP(TODAY(),'UF HOY'!$A$2:$B$36,2,0)</f>
        <v>624911.51150886901</v>
      </c>
      <c r="AD102" s="55">
        <f t="shared" ca="1" si="64"/>
        <v>-234911.51150886901</v>
      </c>
      <c r="AE102" s="93">
        <f t="shared" ca="1" si="58"/>
        <v>2499646.046035476</v>
      </c>
    </row>
    <row r="103" spans="1:31" s="3" customFormat="1" x14ac:dyDescent="0.35">
      <c r="A103" s="94" t="s">
        <v>305</v>
      </c>
      <c r="B103" s="81" t="s">
        <v>194</v>
      </c>
      <c r="C103" s="48" t="s">
        <v>41</v>
      </c>
      <c r="D103" s="48" t="s">
        <v>37</v>
      </c>
      <c r="E103" s="48"/>
      <c r="F103" s="48">
        <v>33.520000000000003</v>
      </c>
      <c r="G103" s="48">
        <v>2.29</v>
      </c>
      <c r="H103" s="82">
        <f t="shared" si="59"/>
        <v>34.665000000000006</v>
      </c>
      <c r="I103" s="82">
        <f t="shared" si="60"/>
        <v>35.81</v>
      </c>
      <c r="J103" s="49">
        <v>3625</v>
      </c>
      <c r="K103" s="50">
        <v>0</v>
      </c>
      <c r="L103" s="81">
        <v>200</v>
      </c>
      <c r="M103" s="48">
        <v>0</v>
      </c>
      <c r="N103" s="49">
        <f t="shared" si="65"/>
        <v>3462.5</v>
      </c>
      <c r="O103" s="108">
        <f t="shared" si="66"/>
        <v>3825</v>
      </c>
      <c r="P103" s="79">
        <f t="shared" si="67"/>
        <v>94.115101687581117</v>
      </c>
      <c r="Q103" s="53">
        <f t="shared" si="68"/>
        <v>9.4799999999999995E-2</v>
      </c>
      <c r="R103" s="54">
        <f t="shared" si="69"/>
        <v>362.5</v>
      </c>
      <c r="S103" s="53">
        <v>0.8</v>
      </c>
      <c r="T103" s="54">
        <f t="shared" si="61"/>
        <v>3060</v>
      </c>
      <c r="U103" s="53">
        <f t="shared" si="62"/>
        <v>0.10519999999999996</v>
      </c>
      <c r="V103" s="54">
        <f t="shared" si="63"/>
        <v>402.38999999999987</v>
      </c>
      <c r="W103" s="55">
        <f ca="1">V103*VLOOKUP(TODAY(),'UF HOY'!$A$2:$B$36,2,0)</f>
        <v>15988540.116599996</v>
      </c>
      <c r="X103" s="56">
        <f>Datos!$K$9</f>
        <v>24</v>
      </c>
      <c r="Y103" s="55">
        <f ca="1">IF((W103-Datos!$U$9-1000000)/X103&gt;0,(W103-Datos!$U$9-1000000)/X103,0)</f>
        <v>620355.83819166652</v>
      </c>
      <c r="Z103" s="56">
        <f>Datos!$K$9</f>
        <v>24</v>
      </c>
      <c r="AA103" s="55">
        <f ca="1">IF((W103-Datos!$U$9-1000000-O103*4%*VLOOKUP(TODAY(),'UF HOY'!$A$2:$B$36,2,0))/Z103&gt;0,(W103-Datos!$U$9-1000000-O103*4%*VLOOKUP(TODAY(),'UF HOY'!$A$2:$B$36,2,0))/Z103,0)</f>
        <v>367051.97069166647</v>
      </c>
      <c r="AB103" s="55">
        <f>IF(L103&gt;0,VLOOKUP(D103,Datos!$A$6:$C$10,3,0),VLOOKUP(D103,Datos!$A$6:$C$10,2,0))</f>
        <v>390000</v>
      </c>
      <c r="AC103" s="55">
        <f ca="1">(S103*PMT(Datos!$G$15,Datos!$G$14,-O103,,)*VLOOKUP(TODAY(),'UF HOY'!$A$2:$B$36,2,0)/12)+VLOOKUP(TODAY(),'UF HOY'!$A$2:$B$36,2,0)</f>
        <v>625677.45073859277</v>
      </c>
      <c r="AD103" s="55">
        <f t="shared" ca="1" si="64"/>
        <v>-235677.45073859277</v>
      </c>
      <c r="AE103" s="93">
        <f t="shared" ca="1" si="58"/>
        <v>2502709.8029543711</v>
      </c>
    </row>
    <row r="104" spans="1:31" s="3" customFormat="1" x14ac:dyDescent="0.35">
      <c r="A104" s="94" t="s">
        <v>305</v>
      </c>
      <c r="B104" s="81" t="s">
        <v>195</v>
      </c>
      <c r="C104" s="48" t="s">
        <v>41</v>
      </c>
      <c r="D104" s="48" t="s">
        <v>37</v>
      </c>
      <c r="E104" s="48"/>
      <c r="F104" s="48">
        <v>32.6</v>
      </c>
      <c r="G104" s="48">
        <v>5.77</v>
      </c>
      <c r="H104" s="82">
        <f t="shared" si="59"/>
        <v>35.484999999999999</v>
      </c>
      <c r="I104" s="82">
        <f t="shared" si="60"/>
        <v>38.370000000000005</v>
      </c>
      <c r="J104" s="49">
        <v>3625</v>
      </c>
      <c r="K104" s="50">
        <v>0</v>
      </c>
      <c r="L104" s="81">
        <v>200</v>
      </c>
      <c r="M104" s="48">
        <v>0</v>
      </c>
      <c r="N104" s="49">
        <f t="shared" si="65"/>
        <v>3462.5</v>
      </c>
      <c r="O104" s="108">
        <f t="shared" si="66"/>
        <v>3825</v>
      </c>
      <c r="P104" s="79">
        <f t="shared" si="67"/>
        <v>91.940256446385803</v>
      </c>
      <c r="Q104" s="53">
        <f t="shared" si="68"/>
        <v>9.4799999999999995E-2</v>
      </c>
      <c r="R104" s="54">
        <f t="shared" si="69"/>
        <v>362.5</v>
      </c>
      <c r="S104" s="53">
        <v>0.8</v>
      </c>
      <c r="T104" s="54">
        <f t="shared" si="61"/>
        <v>3060</v>
      </c>
      <c r="U104" s="53">
        <f t="shared" si="62"/>
        <v>0.10519999999999996</v>
      </c>
      <c r="V104" s="54">
        <f t="shared" si="63"/>
        <v>402.38999999999987</v>
      </c>
      <c r="W104" s="55">
        <f ca="1">V104*VLOOKUP(TODAY(),'UF HOY'!$A$2:$B$36,2,0)</f>
        <v>15988540.116599996</v>
      </c>
      <c r="X104" s="56">
        <f>Datos!$K$9</f>
        <v>24</v>
      </c>
      <c r="Y104" s="55">
        <f ca="1">IF((W104-Datos!$U$9-1000000)/X104&gt;0,(W104-Datos!$U$9-1000000)/X104,0)</f>
        <v>620355.83819166652</v>
      </c>
      <c r="Z104" s="56">
        <f>Datos!$K$9</f>
        <v>24</v>
      </c>
      <c r="AA104" s="55">
        <f ca="1">IF((W104-Datos!$U$9-1000000-O104*4%*VLOOKUP(TODAY(),'UF HOY'!$A$2:$B$36,2,0))/Z104&gt;0,(W104-Datos!$U$9-1000000-O104*4%*VLOOKUP(TODAY(),'UF HOY'!$A$2:$B$36,2,0))/Z104,0)</f>
        <v>367051.97069166647</v>
      </c>
      <c r="AB104" s="55">
        <f>IF(L104&gt;0,VLOOKUP(D104,Datos!$A$6:$C$10,3,0),VLOOKUP(D104,Datos!$A$6:$C$10,2,0))</f>
        <v>390000</v>
      </c>
      <c r="AC104" s="55">
        <f ca="1">(S104*PMT(Datos!$G$15,Datos!$G$14,-O104,,)*VLOOKUP(TODAY(),'UF HOY'!$A$2:$B$36,2,0)/12)+VLOOKUP(TODAY(),'UF HOY'!$A$2:$B$36,2,0)</f>
        <v>625677.45073859277</v>
      </c>
      <c r="AD104" s="55">
        <f t="shared" ca="1" si="64"/>
        <v>-235677.45073859277</v>
      </c>
      <c r="AE104" s="93">
        <f t="shared" ca="1" si="58"/>
        <v>2502709.8029543711</v>
      </c>
    </row>
    <row r="105" spans="1:31" s="3" customFormat="1" x14ac:dyDescent="0.35">
      <c r="A105" s="94" t="s">
        <v>305</v>
      </c>
      <c r="B105" s="81" t="s">
        <v>193</v>
      </c>
      <c r="C105" s="48" t="s">
        <v>40</v>
      </c>
      <c r="D105" s="48" t="s">
        <v>37</v>
      </c>
      <c r="E105" s="48"/>
      <c r="F105" s="48">
        <v>33.53</v>
      </c>
      <c r="G105" s="48">
        <v>2.29</v>
      </c>
      <c r="H105" s="82">
        <f t="shared" si="59"/>
        <v>34.675000000000004</v>
      </c>
      <c r="I105" s="82">
        <f t="shared" si="60"/>
        <v>35.82</v>
      </c>
      <c r="J105" s="49">
        <v>3625</v>
      </c>
      <c r="K105" s="50">
        <v>0</v>
      </c>
      <c r="L105" s="81">
        <v>200</v>
      </c>
      <c r="M105" s="48">
        <v>0</v>
      </c>
      <c r="N105" s="49">
        <f t="shared" si="65"/>
        <v>3462.5</v>
      </c>
      <c r="O105" s="108">
        <f t="shared" si="66"/>
        <v>3825</v>
      </c>
      <c r="P105" s="79">
        <f t="shared" si="67"/>
        <v>94.087959625090107</v>
      </c>
      <c r="Q105" s="53">
        <f t="shared" si="68"/>
        <v>9.4799999999999995E-2</v>
      </c>
      <c r="R105" s="54">
        <f t="shared" si="69"/>
        <v>362.5</v>
      </c>
      <c r="S105" s="53">
        <v>0.8</v>
      </c>
      <c r="T105" s="54">
        <f t="shared" si="61"/>
        <v>3060</v>
      </c>
      <c r="U105" s="53">
        <f t="shared" si="62"/>
        <v>0.10519999999999996</v>
      </c>
      <c r="V105" s="54">
        <f t="shared" si="63"/>
        <v>402.38999999999987</v>
      </c>
      <c r="W105" s="55">
        <f ca="1">V105*VLOOKUP(TODAY(),'UF HOY'!$A$2:$B$36,2,0)</f>
        <v>15988540.116599996</v>
      </c>
      <c r="X105" s="56">
        <f>Datos!$K$9</f>
        <v>24</v>
      </c>
      <c r="Y105" s="55">
        <f ca="1">IF((W105-Datos!$U$9-1000000)/X105&gt;0,(W105-Datos!$U$9-1000000)/X105,0)</f>
        <v>620355.83819166652</v>
      </c>
      <c r="Z105" s="56">
        <f>Datos!$K$9</f>
        <v>24</v>
      </c>
      <c r="AA105" s="55">
        <f ca="1">IF((W105-Datos!$U$9-1000000-O105*4%*VLOOKUP(TODAY(),'UF HOY'!$A$2:$B$36,2,0))/Z105&gt;0,(W105-Datos!$U$9-1000000-O105*4%*VLOOKUP(TODAY(),'UF HOY'!$A$2:$B$36,2,0))/Z105,0)</f>
        <v>367051.97069166647</v>
      </c>
      <c r="AB105" s="55">
        <f>IF(L105&gt;0,VLOOKUP(D105,Datos!$A$6:$C$10,3,0),VLOOKUP(D105,Datos!$A$6:$C$10,2,0))</f>
        <v>390000</v>
      </c>
      <c r="AC105" s="55">
        <f ca="1">(S105*PMT(Datos!$G$15,Datos!$G$14,-O105,,)*VLOOKUP(TODAY(),'UF HOY'!$A$2:$B$36,2,0)/12)+VLOOKUP(TODAY(),'UF HOY'!$A$2:$B$36,2,0)</f>
        <v>625677.45073859277</v>
      </c>
      <c r="AD105" s="55">
        <f t="shared" ca="1" si="64"/>
        <v>-235677.45073859277</v>
      </c>
      <c r="AE105" s="93">
        <f t="shared" ca="1" si="58"/>
        <v>2502709.8029543711</v>
      </c>
    </row>
    <row r="106" spans="1:31" s="3" customFormat="1" x14ac:dyDescent="0.35">
      <c r="A106" s="94" t="s">
        <v>305</v>
      </c>
      <c r="B106" s="81" t="s">
        <v>192</v>
      </c>
      <c r="C106" s="48" t="s">
        <v>40</v>
      </c>
      <c r="D106" s="48" t="s">
        <v>37</v>
      </c>
      <c r="E106" s="48"/>
      <c r="F106" s="48">
        <v>33.53</v>
      </c>
      <c r="G106" s="48">
        <v>2.29</v>
      </c>
      <c r="H106" s="82">
        <f t="shared" si="59"/>
        <v>34.675000000000004</v>
      </c>
      <c r="I106" s="82">
        <f t="shared" si="60"/>
        <v>35.82</v>
      </c>
      <c r="J106" s="49">
        <v>3625</v>
      </c>
      <c r="K106" s="50">
        <v>0</v>
      </c>
      <c r="L106" s="81">
        <v>200</v>
      </c>
      <c r="M106" s="48">
        <v>0</v>
      </c>
      <c r="N106" s="49">
        <f t="shared" si="65"/>
        <v>3462.5</v>
      </c>
      <c r="O106" s="108">
        <f t="shared" si="66"/>
        <v>3825</v>
      </c>
      <c r="P106" s="79">
        <f t="shared" si="67"/>
        <v>94.087959625090107</v>
      </c>
      <c r="Q106" s="53">
        <f t="shared" si="68"/>
        <v>9.4799999999999995E-2</v>
      </c>
      <c r="R106" s="54">
        <f t="shared" si="69"/>
        <v>362.5</v>
      </c>
      <c r="S106" s="53">
        <v>0.8</v>
      </c>
      <c r="T106" s="54">
        <f t="shared" si="61"/>
        <v>3060</v>
      </c>
      <c r="U106" s="53">
        <f t="shared" si="62"/>
        <v>0.10519999999999996</v>
      </c>
      <c r="V106" s="54">
        <f t="shared" si="63"/>
        <v>402.38999999999987</v>
      </c>
      <c r="W106" s="55">
        <f ca="1">V106*VLOOKUP(TODAY(),'UF HOY'!$A$2:$B$36,2,0)</f>
        <v>15988540.116599996</v>
      </c>
      <c r="X106" s="56">
        <f>Datos!$K$9</f>
        <v>24</v>
      </c>
      <c r="Y106" s="55">
        <f ca="1">IF((W106-Datos!$U$9-1000000)/X106&gt;0,(W106-Datos!$U$9-1000000)/X106,0)</f>
        <v>620355.83819166652</v>
      </c>
      <c r="Z106" s="56">
        <f>Datos!$K$9</f>
        <v>24</v>
      </c>
      <c r="AA106" s="55">
        <f ca="1">IF((W106-Datos!$U$9-1000000-O106*4%*VLOOKUP(TODAY(),'UF HOY'!$A$2:$B$36,2,0))/Z106&gt;0,(W106-Datos!$U$9-1000000-O106*4%*VLOOKUP(TODAY(),'UF HOY'!$A$2:$B$36,2,0))/Z106,0)</f>
        <v>367051.97069166647</v>
      </c>
      <c r="AB106" s="55">
        <f>IF(L106&gt;0,VLOOKUP(D106,Datos!$A$6:$C$10,3,0),VLOOKUP(D106,Datos!$A$6:$C$10,2,0))</f>
        <v>390000</v>
      </c>
      <c r="AC106" s="55">
        <f ca="1">(S106*PMT(Datos!$G$15,Datos!$G$14,-O106,,)*VLOOKUP(TODAY(),'UF HOY'!$A$2:$B$36,2,0)/12)+VLOOKUP(TODAY(),'UF HOY'!$A$2:$B$36,2,0)</f>
        <v>625677.45073859277</v>
      </c>
      <c r="AD106" s="55">
        <f t="shared" ca="1" si="64"/>
        <v>-235677.45073859277</v>
      </c>
      <c r="AE106" s="93">
        <f t="shared" ca="1" si="58"/>
        <v>2502709.8029543711</v>
      </c>
    </row>
    <row r="107" spans="1:31" s="3" customFormat="1" x14ac:dyDescent="0.35">
      <c r="A107" s="94" t="s">
        <v>305</v>
      </c>
      <c r="B107" s="81" t="s">
        <v>302</v>
      </c>
      <c r="C107" s="48" t="s">
        <v>41</v>
      </c>
      <c r="D107" s="48" t="s">
        <v>37</v>
      </c>
      <c r="E107" s="48"/>
      <c r="F107" s="48">
        <v>32.76</v>
      </c>
      <c r="G107" s="48">
        <v>2.29</v>
      </c>
      <c r="H107" s="82">
        <f t="shared" si="59"/>
        <v>33.905000000000001</v>
      </c>
      <c r="I107" s="82">
        <f t="shared" si="60"/>
        <v>35.049999999999997</v>
      </c>
      <c r="J107" s="49">
        <v>3630</v>
      </c>
      <c r="K107" s="50">
        <v>0</v>
      </c>
      <c r="L107" s="81">
        <v>200</v>
      </c>
      <c r="M107" s="48">
        <v>0</v>
      </c>
      <c r="N107" s="49">
        <f t="shared" si="65"/>
        <v>3467</v>
      </c>
      <c r="O107" s="108">
        <f t="shared" si="66"/>
        <v>3830</v>
      </c>
      <c r="P107" s="79">
        <f t="shared" si="67"/>
        <v>96.357469399793544</v>
      </c>
      <c r="Q107" s="53">
        <f t="shared" si="68"/>
        <v>9.4799999999999995E-2</v>
      </c>
      <c r="R107" s="54">
        <f t="shared" si="69"/>
        <v>363</v>
      </c>
      <c r="S107" s="53">
        <v>0.8</v>
      </c>
      <c r="T107" s="54">
        <f t="shared" si="61"/>
        <v>3064</v>
      </c>
      <c r="U107" s="53">
        <f t="shared" si="62"/>
        <v>0.10519999999999996</v>
      </c>
      <c r="V107" s="54">
        <f t="shared" si="63"/>
        <v>402.91599999999983</v>
      </c>
      <c r="W107" s="55">
        <f ca="1">V107*VLOOKUP(TODAY(),'UF HOY'!$A$2:$B$36,2,0)</f>
        <v>16009440.169039994</v>
      </c>
      <c r="X107" s="56">
        <f>Datos!$K$9</f>
        <v>24</v>
      </c>
      <c r="Y107" s="55">
        <f ca="1">IF((W107-Datos!$U$9-1000000)/X107&gt;0,(W107-Datos!$U$9-1000000)/X107,0)</f>
        <v>621226.67370999977</v>
      </c>
      <c r="Z107" s="56">
        <f>Datos!$K$9</f>
        <v>24</v>
      </c>
      <c r="AA107" s="55">
        <f ca="1">IF((W107-Datos!$U$9-1000000-O107*4%*VLOOKUP(TODAY(),'UF HOY'!$A$2:$B$36,2,0))/Z107&gt;0,(W107-Datos!$U$9-1000000-O107*4%*VLOOKUP(TODAY(),'UF HOY'!$A$2:$B$36,2,0))/Z107,0)</f>
        <v>367591.69004333304</v>
      </c>
      <c r="AB107" s="55">
        <f>IF(L107&gt;0,VLOOKUP(D107,Datos!$A$6:$C$10,3,0),VLOOKUP(D107,Datos!$A$6:$C$10,2,0))</f>
        <v>390000</v>
      </c>
      <c r="AC107" s="55">
        <f ca="1">(S107*PMT(Datos!$G$15,Datos!$G$14,-O107,,)*VLOOKUP(TODAY(),'UF HOY'!$A$2:$B$36,2,0)/12)+VLOOKUP(TODAY(),'UF HOY'!$A$2:$B$36,2,0)</f>
        <v>626443.38996831654</v>
      </c>
      <c r="AD107" s="55">
        <f t="shared" ca="1" si="64"/>
        <v>-236443.38996831654</v>
      </c>
      <c r="AE107" s="93">
        <f t="shared" ca="1" si="58"/>
        <v>2505773.5598732661</v>
      </c>
    </row>
    <row r="108" spans="1:31" s="3" customFormat="1" x14ac:dyDescent="0.35">
      <c r="A108" s="94" t="s">
        <v>305</v>
      </c>
      <c r="B108" s="81" t="s">
        <v>283</v>
      </c>
      <c r="C108" s="48" t="s">
        <v>38</v>
      </c>
      <c r="D108" s="48" t="s">
        <v>37</v>
      </c>
      <c r="E108" s="48"/>
      <c r="F108" s="48">
        <v>32.76</v>
      </c>
      <c r="G108" s="48">
        <v>2.29</v>
      </c>
      <c r="H108" s="82">
        <f t="shared" si="59"/>
        <v>33.905000000000001</v>
      </c>
      <c r="I108" s="82">
        <f t="shared" si="60"/>
        <v>35.049999999999997</v>
      </c>
      <c r="J108" s="49">
        <v>3635</v>
      </c>
      <c r="K108" s="50">
        <v>0</v>
      </c>
      <c r="L108" s="81">
        <v>200</v>
      </c>
      <c r="M108" s="48">
        <v>0</v>
      </c>
      <c r="N108" s="49">
        <f t="shared" si="65"/>
        <v>3471.5</v>
      </c>
      <c r="O108" s="108">
        <f t="shared" si="66"/>
        <v>3835</v>
      </c>
      <c r="P108" s="79">
        <f t="shared" si="67"/>
        <v>96.490193186845602</v>
      </c>
      <c r="Q108" s="53">
        <f t="shared" si="68"/>
        <v>9.4799999999999995E-2</v>
      </c>
      <c r="R108" s="54">
        <f t="shared" si="69"/>
        <v>363.5</v>
      </c>
      <c r="S108" s="53">
        <v>0.8</v>
      </c>
      <c r="T108" s="54">
        <f t="shared" si="61"/>
        <v>3068</v>
      </c>
      <c r="U108" s="53">
        <f t="shared" si="62"/>
        <v>0.10519999999999996</v>
      </c>
      <c r="V108" s="54">
        <f t="shared" si="63"/>
        <v>403.44199999999984</v>
      </c>
      <c r="W108" s="55">
        <f ca="1">V108*VLOOKUP(TODAY(),'UF HOY'!$A$2:$B$36,2,0)</f>
        <v>16030340.221479995</v>
      </c>
      <c r="X108" s="56">
        <f>Datos!$K$9</f>
        <v>24</v>
      </c>
      <c r="Y108" s="55">
        <f ca="1">IF((W108-Datos!$U$9-1000000)/X108&gt;0,(W108-Datos!$U$9-1000000)/X108,0)</f>
        <v>622097.50922833313</v>
      </c>
      <c r="Z108" s="56">
        <f>Datos!$K$9</f>
        <v>24</v>
      </c>
      <c r="AA108" s="55">
        <f ca="1">IF((W108-Datos!$U$9-1000000-O108*4%*VLOOKUP(TODAY(),'UF HOY'!$A$2:$B$36,2,0))/Z108&gt;0,(W108-Datos!$U$9-1000000-O108*4%*VLOOKUP(TODAY(),'UF HOY'!$A$2:$B$36,2,0))/Z108,0)</f>
        <v>368131.40939499979</v>
      </c>
      <c r="AB108" s="55">
        <f>IF(L108&gt;0,VLOOKUP(D108,Datos!$A$6:$C$10,3,0),VLOOKUP(D108,Datos!$A$6:$C$10,2,0))</f>
        <v>390000</v>
      </c>
      <c r="AC108" s="55">
        <f ca="1">(S108*PMT(Datos!$G$15,Datos!$G$14,-O108,,)*VLOOKUP(TODAY(),'UF HOY'!$A$2:$B$36,2,0)/12)+VLOOKUP(TODAY(),'UF HOY'!$A$2:$B$36,2,0)</f>
        <v>627209.32919804007</v>
      </c>
      <c r="AD108" s="55">
        <f t="shared" ca="1" si="64"/>
        <v>-237209.32919804007</v>
      </c>
      <c r="AE108" s="93">
        <f t="shared" ca="1" si="58"/>
        <v>2508837.3167921603</v>
      </c>
    </row>
    <row r="109" spans="1:31" s="3" customFormat="1" x14ac:dyDescent="0.35">
      <c r="A109" s="94" t="s">
        <v>305</v>
      </c>
      <c r="B109" s="81" t="s">
        <v>153</v>
      </c>
      <c r="C109" s="48" t="s">
        <v>36</v>
      </c>
      <c r="D109" s="48" t="s">
        <v>37</v>
      </c>
      <c r="E109" s="48"/>
      <c r="F109" s="48">
        <v>35.03</v>
      </c>
      <c r="G109" s="48">
        <v>2.29</v>
      </c>
      <c r="H109" s="82">
        <f t="shared" si="59"/>
        <v>36.175000000000004</v>
      </c>
      <c r="I109" s="82">
        <f t="shared" si="60"/>
        <v>37.32</v>
      </c>
      <c r="J109" s="49">
        <v>3635</v>
      </c>
      <c r="K109" s="50">
        <v>0</v>
      </c>
      <c r="L109" s="81">
        <v>200</v>
      </c>
      <c r="M109" s="48">
        <v>0</v>
      </c>
      <c r="N109" s="49">
        <f t="shared" si="65"/>
        <v>3471.5</v>
      </c>
      <c r="O109" s="108">
        <f t="shared" si="66"/>
        <v>3835</v>
      </c>
      <c r="P109" s="79">
        <f t="shared" si="67"/>
        <v>90.435383552176901</v>
      </c>
      <c r="Q109" s="53">
        <f t="shared" si="68"/>
        <v>9.4799999999999995E-2</v>
      </c>
      <c r="R109" s="54">
        <f t="shared" si="69"/>
        <v>363.5</v>
      </c>
      <c r="S109" s="53">
        <v>0.8</v>
      </c>
      <c r="T109" s="54">
        <f t="shared" si="61"/>
        <v>3068</v>
      </c>
      <c r="U109" s="53">
        <f t="shared" si="62"/>
        <v>0.10519999999999996</v>
      </c>
      <c r="V109" s="54">
        <f t="shared" si="63"/>
        <v>403.44199999999984</v>
      </c>
      <c r="W109" s="55">
        <f ca="1">V109*VLOOKUP(TODAY(),'UF HOY'!$A$2:$B$36,2,0)</f>
        <v>16030340.221479995</v>
      </c>
      <c r="X109" s="56">
        <f>Datos!$K$9</f>
        <v>24</v>
      </c>
      <c r="Y109" s="55">
        <f ca="1">IF((W109-Datos!$U$9-1000000)/X109&gt;0,(W109-Datos!$U$9-1000000)/X109,0)</f>
        <v>622097.50922833313</v>
      </c>
      <c r="Z109" s="56">
        <f>Datos!$K$9</f>
        <v>24</v>
      </c>
      <c r="AA109" s="55">
        <f ca="1">IF((W109-Datos!$U$9-1000000-O109*4%*VLOOKUP(TODAY(),'UF HOY'!$A$2:$B$36,2,0))/Z109&gt;0,(W109-Datos!$U$9-1000000-O109*4%*VLOOKUP(TODAY(),'UF HOY'!$A$2:$B$36,2,0))/Z109,0)</f>
        <v>368131.40939499979</v>
      </c>
      <c r="AB109" s="55">
        <f>IF(L109&gt;0,VLOOKUP(D109,Datos!$A$6:$C$10,3,0),VLOOKUP(D109,Datos!$A$6:$C$10,2,0))</f>
        <v>390000</v>
      </c>
      <c r="AC109" s="55">
        <f ca="1">(S109*PMT(Datos!$G$15,Datos!$G$14,-O109,,)*VLOOKUP(TODAY(),'UF HOY'!$A$2:$B$36,2,0)/12)+VLOOKUP(TODAY(),'UF HOY'!$A$2:$B$36,2,0)</f>
        <v>627209.32919804007</v>
      </c>
      <c r="AD109" s="55">
        <f t="shared" ca="1" si="64"/>
        <v>-237209.32919804007</v>
      </c>
      <c r="AE109" s="93">
        <f t="shared" ca="1" si="58"/>
        <v>2508837.3167921603</v>
      </c>
    </row>
    <row r="110" spans="1:31" s="3" customFormat="1" x14ac:dyDescent="0.35">
      <c r="A110" s="94" t="s">
        <v>305</v>
      </c>
      <c r="B110" s="81" t="s">
        <v>151</v>
      </c>
      <c r="C110" s="48" t="s">
        <v>38</v>
      </c>
      <c r="D110" s="48" t="s">
        <v>37</v>
      </c>
      <c r="E110" s="48"/>
      <c r="F110" s="48">
        <v>32.69</v>
      </c>
      <c r="G110" s="48">
        <v>2.29</v>
      </c>
      <c r="H110" s="82">
        <f t="shared" si="59"/>
        <v>33.835000000000001</v>
      </c>
      <c r="I110" s="82">
        <f t="shared" si="60"/>
        <v>34.979999999999997</v>
      </c>
      <c r="J110" s="49">
        <v>3635</v>
      </c>
      <c r="K110" s="50">
        <v>0</v>
      </c>
      <c r="L110" s="81">
        <v>200</v>
      </c>
      <c r="M110" s="48">
        <v>0</v>
      </c>
      <c r="N110" s="49">
        <f t="shared" si="65"/>
        <v>3471.5</v>
      </c>
      <c r="O110" s="108">
        <f t="shared" si="66"/>
        <v>3835</v>
      </c>
      <c r="P110" s="79">
        <f t="shared" si="67"/>
        <v>96.689818235554895</v>
      </c>
      <c r="Q110" s="53">
        <f t="shared" si="68"/>
        <v>9.4799999999999995E-2</v>
      </c>
      <c r="R110" s="54">
        <f t="shared" si="69"/>
        <v>363.5</v>
      </c>
      <c r="S110" s="53">
        <v>0.8</v>
      </c>
      <c r="T110" s="54">
        <f t="shared" si="61"/>
        <v>3068</v>
      </c>
      <c r="U110" s="53">
        <f t="shared" si="62"/>
        <v>0.10519999999999996</v>
      </c>
      <c r="V110" s="54">
        <f t="shared" si="63"/>
        <v>403.44199999999984</v>
      </c>
      <c r="W110" s="55">
        <f ca="1">V110*VLOOKUP(TODAY(),'UF HOY'!$A$2:$B$36,2,0)</f>
        <v>16030340.221479995</v>
      </c>
      <c r="X110" s="56">
        <f>Datos!$K$9</f>
        <v>24</v>
      </c>
      <c r="Y110" s="55">
        <f ca="1">IF((W110-Datos!$U$9-1000000)/X110&gt;0,(W110-Datos!$U$9-1000000)/X110,0)</f>
        <v>622097.50922833313</v>
      </c>
      <c r="Z110" s="56">
        <f>Datos!$K$9</f>
        <v>24</v>
      </c>
      <c r="AA110" s="55">
        <f ca="1">IF((W110-Datos!$U$9-1000000-O110*4%*VLOOKUP(TODAY(),'UF HOY'!$A$2:$B$36,2,0))/Z110&gt;0,(W110-Datos!$U$9-1000000-O110*4%*VLOOKUP(TODAY(),'UF HOY'!$A$2:$B$36,2,0))/Z110,0)</f>
        <v>368131.40939499979</v>
      </c>
      <c r="AB110" s="55">
        <f>IF(L110&gt;0,VLOOKUP(D110,Datos!$A$6:$C$10,3,0),VLOOKUP(D110,Datos!$A$6:$C$10,2,0))</f>
        <v>390000</v>
      </c>
      <c r="AC110" s="55">
        <f ca="1">(S110*PMT(Datos!$G$15,Datos!$G$14,-O110,,)*VLOOKUP(TODAY(),'UF HOY'!$A$2:$B$36,2,0)/12)+VLOOKUP(TODAY(),'UF HOY'!$A$2:$B$36,2,0)</f>
        <v>627209.32919804007</v>
      </c>
      <c r="AD110" s="55">
        <f t="shared" ca="1" si="64"/>
        <v>-237209.32919804007</v>
      </c>
      <c r="AE110" s="93">
        <f t="shared" ca="1" si="58"/>
        <v>2508837.3167921603</v>
      </c>
    </row>
    <row r="111" spans="1:31" s="3" customFormat="1" x14ac:dyDescent="0.35">
      <c r="A111" s="94" t="s">
        <v>305</v>
      </c>
      <c r="B111" s="81" t="s">
        <v>231</v>
      </c>
      <c r="C111" s="48" t="s">
        <v>38</v>
      </c>
      <c r="D111" s="48" t="s">
        <v>37</v>
      </c>
      <c r="E111" s="48"/>
      <c r="F111" s="48">
        <v>32.76</v>
      </c>
      <c r="G111" s="48">
        <v>2.29</v>
      </c>
      <c r="H111" s="82">
        <f t="shared" si="59"/>
        <v>33.905000000000001</v>
      </c>
      <c r="I111" s="82">
        <f t="shared" si="60"/>
        <v>35.049999999999997</v>
      </c>
      <c r="J111" s="49">
        <v>3635</v>
      </c>
      <c r="K111" s="50">
        <v>0</v>
      </c>
      <c r="L111" s="81">
        <v>200</v>
      </c>
      <c r="M111" s="48">
        <v>0</v>
      </c>
      <c r="N111" s="49">
        <f t="shared" si="65"/>
        <v>3471.5</v>
      </c>
      <c r="O111" s="108">
        <f t="shared" si="66"/>
        <v>3835</v>
      </c>
      <c r="P111" s="79">
        <f t="shared" si="67"/>
        <v>96.490193186845602</v>
      </c>
      <c r="Q111" s="53">
        <f t="shared" si="68"/>
        <v>9.4799999999999995E-2</v>
      </c>
      <c r="R111" s="54">
        <f t="shared" si="69"/>
        <v>363.5</v>
      </c>
      <c r="S111" s="53">
        <v>0.8</v>
      </c>
      <c r="T111" s="54">
        <f t="shared" si="61"/>
        <v>3068</v>
      </c>
      <c r="U111" s="53">
        <f t="shared" si="62"/>
        <v>0.10519999999999996</v>
      </c>
      <c r="V111" s="54">
        <f t="shared" si="63"/>
        <v>403.44199999999984</v>
      </c>
      <c r="W111" s="55">
        <f ca="1">V111*VLOOKUP(TODAY(),'UF HOY'!$A$2:$B$36,2,0)</f>
        <v>16030340.221479995</v>
      </c>
      <c r="X111" s="56">
        <f>Datos!$K$9</f>
        <v>24</v>
      </c>
      <c r="Y111" s="55">
        <f ca="1">IF((W111-Datos!$U$9-1000000)/X111&gt;0,(W111-Datos!$U$9-1000000)/X111,0)</f>
        <v>622097.50922833313</v>
      </c>
      <c r="Z111" s="56">
        <f>Datos!$K$9</f>
        <v>24</v>
      </c>
      <c r="AA111" s="55">
        <f ca="1">IF((W111-Datos!$U$9-1000000-O111*4%*VLOOKUP(TODAY(),'UF HOY'!$A$2:$B$36,2,0))/Z111&gt;0,(W111-Datos!$U$9-1000000-O111*4%*VLOOKUP(TODAY(),'UF HOY'!$A$2:$B$36,2,0))/Z111,0)</f>
        <v>368131.40939499979</v>
      </c>
      <c r="AB111" s="55">
        <f>IF(L111&gt;0,VLOOKUP(D111,Datos!$A$6:$C$10,3,0),VLOOKUP(D111,Datos!$A$6:$C$10,2,0))</f>
        <v>390000</v>
      </c>
      <c r="AC111" s="55">
        <f ca="1">(S111*PMT(Datos!$G$15,Datos!$G$14,-O111,,)*VLOOKUP(TODAY(),'UF HOY'!$A$2:$B$36,2,0)/12)+VLOOKUP(TODAY(),'UF HOY'!$A$2:$B$36,2,0)</f>
        <v>627209.32919804007</v>
      </c>
      <c r="AD111" s="55">
        <f t="shared" ca="1" si="64"/>
        <v>-237209.32919804007</v>
      </c>
      <c r="AE111" s="93">
        <f t="shared" ca="1" si="58"/>
        <v>2508837.3167921603</v>
      </c>
    </row>
    <row r="112" spans="1:31" s="3" customFormat="1" x14ac:dyDescent="0.35">
      <c r="A112" s="94" t="s">
        <v>305</v>
      </c>
      <c r="B112" s="81" t="s">
        <v>312</v>
      </c>
      <c r="C112" s="48" t="s">
        <v>40</v>
      </c>
      <c r="D112" s="48" t="s">
        <v>37</v>
      </c>
      <c r="E112" s="48"/>
      <c r="F112" s="48">
        <v>33.79</v>
      </c>
      <c r="G112" s="48">
        <v>2.29</v>
      </c>
      <c r="H112" s="82">
        <f t="shared" si="59"/>
        <v>34.935000000000002</v>
      </c>
      <c r="I112" s="82">
        <f t="shared" si="60"/>
        <v>36.08</v>
      </c>
      <c r="J112" s="49">
        <v>3640</v>
      </c>
      <c r="K112" s="50">
        <v>0</v>
      </c>
      <c r="L112" s="81">
        <v>200</v>
      </c>
      <c r="M112" s="48">
        <v>0</v>
      </c>
      <c r="N112" s="49">
        <f t="shared" si="65"/>
        <v>3476</v>
      </c>
      <c r="O112" s="108">
        <f t="shared" si="66"/>
        <v>3840</v>
      </c>
      <c r="P112" s="79">
        <f t="shared" si="67"/>
        <v>93.774151996565038</v>
      </c>
      <c r="Q112" s="53">
        <f t="shared" si="68"/>
        <v>9.4799999999999995E-2</v>
      </c>
      <c r="R112" s="54">
        <f t="shared" si="69"/>
        <v>364</v>
      </c>
      <c r="S112" s="53">
        <v>0.8</v>
      </c>
      <c r="T112" s="54">
        <f t="shared" si="61"/>
        <v>3072</v>
      </c>
      <c r="U112" s="53">
        <f t="shared" si="62"/>
        <v>0.10519999999999996</v>
      </c>
      <c r="V112" s="54">
        <f t="shared" si="63"/>
        <v>403.96799999999985</v>
      </c>
      <c r="W112" s="55">
        <f ca="1">V112*VLOOKUP(TODAY(),'UF HOY'!$A$2:$B$36,2,0)</f>
        <v>16051240.273919994</v>
      </c>
      <c r="X112" s="56">
        <f>Datos!$K$9</f>
        <v>24</v>
      </c>
      <c r="Y112" s="55">
        <f ca="1">IF((W112-Datos!$U$9-1000000)/X112&gt;0,(W112-Datos!$U$9-1000000)/X112,0)</f>
        <v>622968.34474666638</v>
      </c>
      <c r="Z112" s="56">
        <f>Datos!$K$9</f>
        <v>24</v>
      </c>
      <c r="AA112" s="55">
        <f ca="1">IF((W112-Datos!$U$9-1000000-O112*4%*VLOOKUP(TODAY(),'UF HOY'!$A$2:$B$36,2,0))/Z112&gt;0,(W112-Datos!$U$9-1000000-O112*4%*VLOOKUP(TODAY(),'UF HOY'!$A$2:$B$36,2,0))/Z112,0)</f>
        <v>368671.12874666642</v>
      </c>
      <c r="AB112" s="55">
        <f>IF(L112&gt;0,VLOOKUP(D112,Datos!$A$6:$C$10,3,0),VLOOKUP(D112,Datos!$A$6:$C$10,2,0))</f>
        <v>390000</v>
      </c>
      <c r="AC112" s="55">
        <f ca="1">(S112*PMT(Datos!$G$15,Datos!$G$14,-O112,,)*VLOOKUP(TODAY(),'UF HOY'!$A$2:$B$36,2,0)/12)+VLOOKUP(TODAY(),'UF HOY'!$A$2:$B$36,2,0)</f>
        <v>627975.26842776383</v>
      </c>
      <c r="AD112" s="55">
        <f t="shared" ca="1" si="64"/>
        <v>-237975.26842776383</v>
      </c>
      <c r="AE112" s="93">
        <f t="shared" ca="1" si="58"/>
        <v>2511901.0737110553</v>
      </c>
    </row>
    <row r="113" spans="1:31" s="3" customFormat="1" x14ac:dyDescent="0.35">
      <c r="A113" s="94" t="s">
        <v>305</v>
      </c>
      <c r="B113" s="81" t="s">
        <v>188</v>
      </c>
      <c r="C113" s="48" t="s">
        <v>40</v>
      </c>
      <c r="D113" s="48" t="s">
        <v>37</v>
      </c>
      <c r="E113" s="48"/>
      <c r="F113" s="48">
        <v>33.79</v>
      </c>
      <c r="G113" s="48">
        <v>2.29</v>
      </c>
      <c r="H113" s="82">
        <f t="shared" si="59"/>
        <v>34.935000000000002</v>
      </c>
      <c r="I113" s="82">
        <f t="shared" si="60"/>
        <v>36.08</v>
      </c>
      <c r="J113" s="49">
        <v>3640</v>
      </c>
      <c r="K113" s="50">
        <v>0</v>
      </c>
      <c r="L113" s="81">
        <v>200</v>
      </c>
      <c r="M113" s="48">
        <v>0</v>
      </c>
      <c r="N113" s="49">
        <f t="shared" si="65"/>
        <v>3476</v>
      </c>
      <c r="O113" s="108">
        <f t="shared" si="66"/>
        <v>3840</v>
      </c>
      <c r="P113" s="79">
        <f t="shared" si="67"/>
        <v>93.774151996565038</v>
      </c>
      <c r="Q113" s="53">
        <f t="shared" si="68"/>
        <v>9.4799999999999995E-2</v>
      </c>
      <c r="R113" s="54">
        <f t="shared" si="69"/>
        <v>364</v>
      </c>
      <c r="S113" s="53">
        <v>0.8</v>
      </c>
      <c r="T113" s="54">
        <f t="shared" si="61"/>
        <v>3072</v>
      </c>
      <c r="U113" s="53">
        <f t="shared" si="62"/>
        <v>0.10519999999999996</v>
      </c>
      <c r="V113" s="54">
        <f t="shared" si="63"/>
        <v>403.96799999999985</v>
      </c>
      <c r="W113" s="55">
        <f ca="1">V113*VLOOKUP(TODAY(),'UF HOY'!$A$2:$B$36,2,0)</f>
        <v>16051240.273919994</v>
      </c>
      <c r="X113" s="56">
        <f>Datos!$K$9</f>
        <v>24</v>
      </c>
      <c r="Y113" s="55">
        <f ca="1">IF((W113-Datos!$U$9-1000000)/X113&gt;0,(W113-Datos!$U$9-1000000)/X113,0)</f>
        <v>622968.34474666638</v>
      </c>
      <c r="Z113" s="56">
        <f>Datos!$K$9</f>
        <v>24</v>
      </c>
      <c r="AA113" s="55">
        <f ca="1">IF((W113-Datos!$U$9-1000000-O113*4%*VLOOKUP(TODAY(),'UF HOY'!$A$2:$B$36,2,0))/Z113&gt;0,(W113-Datos!$U$9-1000000-O113*4%*VLOOKUP(TODAY(),'UF HOY'!$A$2:$B$36,2,0))/Z113,0)</f>
        <v>368671.12874666642</v>
      </c>
      <c r="AB113" s="55">
        <f>IF(L113&gt;0,VLOOKUP(D113,Datos!$A$6:$C$10,3,0),VLOOKUP(D113,Datos!$A$6:$C$10,2,0))</f>
        <v>390000</v>
      </c>
      <c r="AC113" s="55">
        <f ca="1">(S113*PMT(Datos!$G$15,Datos!$G$14,-O113,,)*VLOOKUP(TODAY(),'UF HOY'!$A$2:$B$36,2,0)/12)+VLOOKUP(TODAY(),'UF HOY'!$A$2:$B$36,2,0)</f>
        <v>627975.26842776383</v>
      </c>
      <c r="AD113" s="55">
        <f t="shared" ca="1" si="64"/>
        <v>-237975.26842776383</v>
      </c>
      <c r="AE113" s="93">
        <f t="shared" ca="1" si="58"/>
        <v>2511901.0737110553</v>
      </c>
    </row>
    <row r="114" spans="1:31" s="3" customFormat="1" x14ac:dyDescent="0.35">
      <c r="A114" s="94" t="s">
        <v>305</v>
      </c>
      <c r="B114" s="81" t="s">
        <v>306</v>
      </c>
      <c r="C114" s="48" t="s">
        <v>38</v>
      </c>
      <c r="D114" s="48" t="s">
        <v>37</v>
      </c>
      <c r="E114" s="48"/>
      <c r="F114" s="48">
        <v>33.700000000000003</v>
      </c>
      <c r="G114" s="48">
        <v>33.29</v>
      </c>
      <c r="H114" s="82">
        <f t="shared" si="59"/>
        <v>50.344999999999999</v>
      </c>
      <c r="I114" s="82">
        <f t="shared" si="60"/>
        <v>66.990000000000009</v>
      </c>
      <c r="J114" s="49">
        <v>3645</v>
      </c>
      <c r="K114" s="50">
        <v>0</v>
      </c>
      <c r="L114" s="81">
        <v>200</v>
      </c>
      <c r="M114" s="48">
        <v>0</v>
      </c>
      <c r="N114" s="49">
        <f t="shared" si="65"/>
        <v>3480.5</v>
      </c>
      <c r="O114" s="108">
        <f t="shared" si="66"/>
        <v>3845</v>
      </c>
      <c r="P114" s="79">
        <f t="shared" si="67"/>
        <v>65.160393286324364</v>
      </c>
      <c r="Q114" s="53">
        <f t="shared" si="68"/>
        <v>9.4799999999999995E-2</v>
      </c>
      <c r="R114" s="54">
        <f t="shared" si="69"/>
        <v>364.5</v>
      </c>
      <c r="S114" s="53">
        <v>0.8</v>
      </c>
      <c r="T114" s="54">
        <f t="shared" si="61"/>
        <v>3076</v>
      </c>
      <c r="U114" s="53">
        <f t="shared" si="62"/>
        <v>0.10519999999999996</v>
      </c>
      <c r="V114" s="54">
        <f t="shared" si="63"/>
        <v>404.49399999999986</v>
      </c>
      <c r="W114" s="55">
        <f ca="1">V114*VLOOKUP(TODAY(),'UF HOY'!$A$2:$B$36,2,0)</f>
        <v>16072140.326359995</v>
      </c>
      <c r="X114" s="56">
        <f>Datos!$K$9</f>
        <v>24</v>
      </c>
      <c r="Y114" s="55">
        <f ca="1">IF((W114-Datos!$U$9-1000000)/X114&gt;0,(W114-Datos!$U$9-1000000)/X114,0)</f>
        <v>623839.18026499974</v>
      </c>
      <c r="Z114" s="56">
        <f>Datos!$K$9</f>
        <v>24</v>
      </c>
      <c r="AA114" s="55">
        <f ca="1">IF((W114-Datos!$U$9-1000000-O114*4%*VLOOKUP(TODAY(),'UF HOY'!$A$2:$B$36,2,0))/Z114&gt;0,(W114-Datos!$U$9-1000000-O114*4%*VLOOKUP(TODAY(),'UF HOY'!$A$2:$B$36,2,0))/Z114,0)</f>
        <v>369210.84809833305</v>
      </c>
      <c r="AB114" s="55">
        <f>IF(L114&gt;0,VLOOKUP(D114,Datos!$A$6:$C$10,3,0),VLOOKUP(D114,Datos!$A$6:$C$10,2,0))</f>
        <v>390000</v>
      </c>
      <c r="AC114" s="55">
        <f ca="1">(S114*PMT(Datos!$G$15,Datos!$G$14,-O114,,)*VLOOKUP(TODAY(),'UF HOY'!$A$2:$B$36,2,0)/12)+VLOOKUP(TODAY(),'UF HOY'!$A$2:$B$36,2,0)</f>
        <v>628741.20765748736</v>
      </c>
      <c r="AD114" s="55">
        <f t="shared" ca="1" si="64"/>
        <v>-238741.20765748736</v>
      </c>
      <c r="AE114" s="93">
        <f t="shared" ca="1" si="58"/>
        <v>2514964.8306299495</v>
      </c>
    </row>
    <row r="115" spans="1:31" s="3" customFormat="1" x14ac:dyDescent="0.35">
      <c r="A115" s="94" t="s">
        <v>305</v>
      </c>
      <c r="B115" s="81" t="s">
        <v>197</v>
      </c>
      <c r="C115" s="48" t="s">
        <v>40</v>
      </c>
      <c r="D115" s="48" t="s">
        <v>37</v>
      </c>
      <c r="E115" s="48"/>
      <c r="F115" s="48">
        <v>32.76</v>
      </c>
      <c r="G115" s="48">
        <v>2.29</v>
      </c>
      <c r="H115" s="82">
        <f t="shared" si="59"/>
        <v>33.905000000000001</v>
      </c>
      <c r="I115" s="82">
        <f t="shared" si="60"/>
        <v>35.049999999999997</v>
      </c>
      <c r="J115" s="49">
        <v>3650</v>
      </c>
      <c r="K115" s="50">
        <v>0</v>
      </c>
      <c r="L115" s="81">
        <v>200</v>
      </c>
      <c r="M115" s="48">
        <v>0</v>
      </c>
      <c r="N115" s="49">
        <f t="shared" si="65"/>
        <v>3485</v>
      </c>
      <c r="O115" s="108">
        <f t="shared" si="66"/>
        <v>3850</v>
      </c>
      <c r="P115" s="79">
        <f t="shared" si="67"/>
        <v>96.888364548001761</v>
      </c>
      <c r="Q115" s="53">
        <f t="shared" si="68"/>
        <v>9.4799999999999995E-2</v>
      </c>
      <c r="R115" s="54">
        <f t="shared" si="69"/>
        <v>365</v>
      </c>
      <c r="S115" s="53">
        <v>0.8</v>
      </c>
      <c r="T115" s="54">
        <f t="shared" si="61"/>
        <v>3080</v>
      </c>
      <c r="U115" s="53">
        <f t="shared" si="62"/>
        <v>0.10519999999999996</v>
      </c>
      <c r="V115" s="54">
        <f t="shared" si="63"/>
        <v>405.01999999999987</v>
      </c>
      <c r="W115" s="55">
        <f ca="1">V115*VLOOKUP(TODAY(),'UF HOY'!$A$2:$B$36,2,0)</f>
        <v>16093040.378799995</v>
      </c>
      <c r="X115" s="56">
        <f>Datos!$K$9</f>
        <v>24</v>
      </c>
      <c r="Y115" s="55">
        <f ca="1">IF((W115-Datos!$U$9-1000000)/X115&gt;0,(W115-Datos!$U$9-1000000)/X115,0)</f>
        <v>624710.0157833331</v>
      </c>
      <c r="Z115" s="56">
        <f>Datos!$K$9</f>
        <v>24</v>
      </c>
      <c r="AA115" s="55">
        <f ca="1">IF((W115-Datos!$U$9-1000000-O115*4%*VLOOKUP(TODAY(),'UF HOY'!$A$2:$B$36,2,0))/Z115&gt;0,(W115-Datos!$U$9-1000000-O115*4%*VLOOKUP(TODAY(),'UF HOY'!$A$2:$B$36,2,0))/Z115,0)</f>
        <v>369750.5674499998</v>
      </c>
      <c r="AB115" s="55">
        <f>IF(L115&gt;0,VLOOKUP(D115,Datos!$A$6:$C$10,3,0),VLOOKUP(D115,Datos!$A$6:$C$10,2,0))</f>
        <v>390000</v>
      </c>
      <c r="AC115" s="55">
        <f ca="1">(S115*PMT(Datos!$G$15,Datos!$G$14,-O115,,)*VLOOKUP(TODAY(),'UF HOY'!$A$2:$B$36,2,0)/12)+VLOOKUP(TODAY(),'UF HOY'!$A$2:$B$36,2,0)</f>
        <v>629507.14688721113</v>
      </c>
      <c r="AD115" s="55">
        <f t="shared" ca="1" si="64"/>
        <v>-239507.14688721113</v>
      </c>
      <c r="AE115" s="93">
        <f t="shared" ca="1" si="58"/>
        <v>2518028.5875488445</v>
      </c>
    </row>
    <row r="116" spans="1:31" s="3" customFormat="1" x14ac:dyDescent="0.35">
      <c r="A116" s="94" t="s">
        <v>305</v>
      </c>
      <c r="B116" s="81" t="s">
        <v>191</v>
      </c>
      <c r="C116" s="48" t="s">
        <v>41</v>
      </c>
      <c r="D116" s="48" t="s">
        <v>37</v>
      </c>
      <c r="E116" s="48"/>
      <c r="F116" s="48">
        <v>33.520000000000003</v>
      </c>
      <c r="G116" s="48">
        <v>2.29</v>
      </c>
      <c r="H116" s="82">
        <f t="shared" si="59"/>
        <v>34.665000000000006</v>
      </c>
      <c r="I116" s="82">
        <f t="shared" si="60"/>
        <v>35.81</v>
      </c>
      <c r="J116" s="49">
        <v>3655</v>
      </c>
      <c r="K116" s="50">
        <v>0</v>
      </c>
      <c r="L116" s="81">
        <v>200</v>
      </c>
      <c r="M116" s="48">
        <v>0</v>
      </c>
      <c r="N116" s="49">
        <f t="shared" si="65"/>
        <v>3489.5</v>
      </c>
      <c r="O116" s="108">
        <f t="shared" si="66"/>
        <v>3855</v>
      </c>
      <c r="P116" s="79">
        <f t="shared" si="67"/>
        <v>94.893985287754205</v>
      </c>
      <c r="Q116" s="53">
        <f t="shared" si="68"/>
        <v>9.4799999999999995E-2</v>
      </c>
      <c r="R116" s="54">
        <f t="shared" si="69"/>
        <v>365.5</v>
      </c>
      <c r="S116" s="53">
        <v>0.8</v>
      </c>
      <c r="T116" s="54">
        <f t="shared" si="61"/>
        <v>3084</v>
      </c>
      <c r="U116" s="53">
        <f t="shared" si="62"/>
        <v>0.10519999999999996</v>
      </c>
      <c r="V116" s="54">
        <f t="shared" si="63"/>
        <v>405.54599999999982</v>
      </c>
      <c r="W116" s="55">
        <f ca="1">V116*VLOOKUP(TODAY(),'UF HOY'!$A$2:$B$36,2,0)</f>
        <v>16113940.431239994</v>
      </c>
      <c r="X116" s="56">
        <f>Datos!$K$9</f>
        <v>24</v>
      </c>
      <c r="Y116" s="55">
        <f ca="1">IF((W116-Datos!$U$9-1000000)/X116&gt;0,(W116-Datos!$U$9-1000000)/X116,0)</f>
        <v>625580.85130166647</v>
      </c>
      <c r="Z116" s="56">
        <f>Datos!$K$9</f>
        <v>24</v>
      </c>
      <c r="AA116" s="55">
        <f ca="1">IF((W116-Datos!$U$9-1000000-O116*4%*VLOOKUP(TODAY(),'UF HOY'!$A$2:$B$36,2,0))/Z116&gt;0,(W116-Datos!$U$9-1000000-O116*4%*VLOOKUP(TODAY(),'UF HOY'!$A$2:$B$36,2,0))/Z116,0)</f>
        <v>370290.28680166631</v>
      </c>
      <c r="AB116" s="55">
        <f>IF(L116&gt;0,VLOOKUP(D116,Datos!$A$6:$C$10,3,0),VLOOKUP(D116,Datos!$A$6:$C$10,2,0))</f>
        <v>390000</v>
      </c>
      <c r="AC116" s="55">
        <f ca="1">(S116*PMT(Datos!$G$15,Datos!$G$14,-O116,,)*VLOOKUP(TODAY(),'UF HOY'!$A$2:$B$36,2,0)/12)+VLOOKUP(TODAY(),'UF HOY'!$A$2:$B$36,2,0)</f>
        <v>630273.08611693466</v>
      </c>
      <c r="AD116" s="55">
        <f t="shared" ca="1" si="64"/>
        <v>-240273.08611693466</v>
      </c>
      <c r="AE116" s="93">
        <f t="shared" ca="1" si="58"/>
        <v>2521092.3444677386</v>
      </c>
    </row>
    <row r="117" spans="1:31" s="3" customFormat="1" x14ac:dyDescent="0.35">
      <c r="A117" s="94" t="s">
        <v>305</v>
      </c>
      <c r="B117" s="81" t="s">
        <v>190</v>
      </c>
      <c r="C117" s="48" t="s">
        <v>40</v>
      </c>
      <c r="D117" s="48" t="s">
        <v>37</v>
      </c>
      <c r="E117" s="48"/>
      <c r="F117" s="48">
        <v>33.53</v>
      </c>
      <c r="G117" s="48">
        <v>2.29</v>
      </c>
      <c r="H117" s="82">
        <f t="shared" ref="H117:H120" si="70">F117+(G117/2)</f>
        <v>34.675000000000004</v>
      </c>
      <c r="I117" s="82">
        <f t="shared" si="60"/>
        <v>35.82</v>
      </c>
      <c r="J117" s="49">
        <v>3655</v>
      </c>
      <c r="K117" s="50">
        <v>0</v>
      </c>
      <c r="L117" s="81">
        <v>200</v>
      </c>
      <c r="M117" s="48">
        <v>0</v>
      </c>
      <c r="N117" s="49">
        <f t="shared" si="65"/>
        <v>3489.5</v>
      </c>
      <c r="O117" s="108">
        <f t="shared" si="66"/>
        <v>3855</v>
      </c>
      <c r="P117" s="79">
        <f t="shared" si="67"/>
        <v>94.866618601297759</v>
      </c>
      <c r="Q117" s="53">
        <f t="shared" si="68"/>
        <v>9.4799999999999995E-2</v>
      </c>
      <c r="R117" s="54">
        <f t="shared" si="69"/>
        <v>365.5</v>
      </c>
      <c r="S117" s="53">
        <v>0.8</v>
      </c>
      <c r="T117" s="54">
        <f t="shared" ref="T117:T120" si="71">S117*O117</f>
        <v>3084</v>
      </c>
      <c r="U117" s="53">
        <f t="shared" si="62"/>
        <v>0.10519999999999996</v>
      </c>
      <c r="V117" s="54">
        <f t="shared" ref="V117:V120" si="72">O117*U117</f>
        <v>405.54599999999982</v>
      </c>
      <c r="W117" s="55">
        <f ca="1">V117*VLOOKUP(TODAY(),'UF HOY'!$A$2:$B$36,2,0)</f>
        <v>16113940.431239994</v>
      </c>
      <c r="X117" s="56">
        <f>Datos!$K$9</f>
        <v>24</v>
      </c>
      <c r="Y117" s="55">
        <f ca="1">IF((W117-Datos!$U$9-1000000)/X117&gt;0,(W117-Datos!$U$9-1000000)/X117,0)</f>
        <v>625580.85130166647</v>
      </c>
      <c r="Z117" s="56">
        <f>Datos!$K$9</f>
        <v>24</v>
      </c>
      <c r="AA117" s="55">
        <f ca="1">IF((W117-Datos!$U$9-1000000-O117*4%*VLOOKUP(TODAY(),'UF HOY'!$A$2:$B$36,2,0))/Z117&gt;0,(W117-Datos!$U$9-1000000-O117*4%*VLOOKUP(TODAY(),'UF HOY'!$A$2:$B$36,2,0))/Z117,0)</f>
        <v>370290.28680166631</v>
      </c>
      <c r="AB117" s="55">
        <f>IF(L117&gt;0,VLOOKUP(D117,Datos!$A$6:$C$10,3,0),VLOOKUP(D117,Datos!$A$6:$C$10,2,0))</f>
        <v>390000</v>
      </c>
      <c r="AC117" s="55">
        <f ca="1">(S117*PMT(Datos!$G$15,Datos!$G$14,-O117,,)*VLOOKUP(TODAY(),'UF HOY'!$A$2:$B$36,2,0)/12)+VLOOKUP(TODAY(),'UF HOY'!$A$2:$B$36,2,0)</f>
        <v>630273.08611693466</v>
      </c>
      <c r="AD117" s="55">
        <f t="shared" ref="AD117:AD120" ca="1" si="73">AB117-AC117</f>
        <v>-240273.08611693466</v>
      </c>
      <c r="AE117" s="93">
        <f t="shared" ca="1" si="58"/>
        <v>2521092.3444677386</v>
      </c>
    </row>
    <row r="118" spans="1:31" s="3" customFormat="1" x14ac:dyDescent="0.35">
      <c r="A118" s="94" t="s">
        <v>305</v>
      </c>
      <c r="B118" s="81" t="s">
        <v>211</v>
      </c>
      <c r="C118" s="48" t="s">
        <v>41</v>
      </c>
      <c r="D118" s="48" t="s">
        <v>37</v>
      </c>
      <c r="E118" s="48"/>
      <c r="F118" s="48">
        <v>33.56</v>
      </c>
      <c r="G118" s="48">
        <v>2.29</v>
      </c>
      <c r="H118" s="82">
        <f t="shared" si="70"/>
        <v>34.705000000000005</v>
      </c>
      <c r="I118" s="82">
        <f t="shared" si="60"/>
        <v>35.85</v>
      </c>
      <c r="J118" s="49">
        <v>3655</v>
      </c>
      <c r="K118" s="50">
        <v>0</v>
      </c>
      <c r="L118" s="81">
        <v>200</v>
      </c>
      <c r="M118" s="48">
        <v>0</v>
      </c>
      <c r="N118" s="49">
        <f t="shared" si="65"/>
        <v>3489.5</v>
      </c>
      <c r="O118" s="108">
        <f t="shared" si="66"/>
        <v>3855</v>
      </c>
      <c r="P118" s="79">
        <f t="shared" si="67"/>
        <v>94.784613168131372</v>
      </c>
      <c r="Q118" s="53">
        <f t="shared" si="68"/>
        <v>9.4799999999999995E-2</v>
      </c>
      <c r="R118" s="54">
        <f t="shared" si="69"/>
        <v>365.5</v>
      </c>
      <c r="S118" s="53">
        <v>0.8</v>
      </c>
      <c r="T118" s="54">
        <f t="shared" si="71"/>
        <v>3084</v>
      </c>
      <c r="U118" s="53">
        <f t="shared" si="62"/>
        <v>0.10519999999999996</v>
      </c>
      <c r="V118" s="54">
        <f t="shared" si="72"/>
        <v>405.54599999999982</v>
      </c>
      <c r="W118" s="55">
        <f ca="1">V118*VLOOKUP(TODAY(),'UF HOY'!$A$2:$B$36,2,0)</f>
        <v>16113940.431239994</v>
      </c>
      <c r="X118" s="56">
        <f>Datos!$K$9</f>
        <v>24</v>
      </c>
      <c r="Y118" s="55">
        <f ca="1">IF((W118-Datos!$U$9-1000000)/X118&gt;0,(W118-Datos!$U$9-1000000)/X118,0)</f>
        <v>625580.85130166647</v>
      </c>
      <c r="Z118" s="56">
        <f>Datos!$K$9</f>
        <v>24</v>
      </c>
      <c r="AA118" s="55">
        <f ca="1">IF((W118-Datos!$U$9-1000000-O118*4%*VLOOKUP(TODAY(),'UF HOY'!$A$2:$B$36,2,0))/Z118&gt;0,(W118-Datos!$U$9-1000000-O118*4%*VLOOKUP(TODAY(),'UF HOY'!$A$2:$B$36,2,0))/Z118,0)</f>
        <v>370290.28680166631</v>
      </c>
      <c r="AB118" s="55">
        <f>IF(L118&gt;0,VLOOKUP(D118,Datos!$A$6:$C$10,3,0),VLOOKUP(D118,Datos!$A$6:$C$10,2,0))</f>
        <v>390000</v>
      </c>
      <c r="AC118" s="55">
        <f ca="1">(S118*PMT(Datos!$G$15,Datos!$G$14,-O118,,)*VLOOKUP(TODAY(),'UF HOY'!$A$2:$B$36,2,0)/12)+VLOOKUP(TODAY(),'UF HOY'!$A$2:$B$36,2,0)</f>
        <v>630273.08611693466</v>
      </c>
      <c r="AD118" s="55">
        <f t="shared" ca="1" si="73"/>
        <v>-240273.08611693466</v>
      </c>
      <c r="AE118" s="93">
        <f t="shared" ca="1" si="58"/>
        <v>2521092.3444677386</v>
      </c>
    </row>
    <row r="119" spans="1:31" s="3" customFormat="1" x14ac:dyDescent="0.35">
      <c r="A119" s="94" t="s">
        <v>305</v>
      </c>
      <c r="B119" s="81" t="s">
        <v>288</v>
      </c>
      <c r="C119" s="48" t="s">
        <v>38</v>
      </c>
      <c r="D119" s="48" t="s">
        <v>37</v>
      </c>
      <c r="E119" s="48"/>
      <c r="F119" s="48">
        <v>32.76</v>
      </c>
      <c r="G119" s="48">
        <v>2.29</v>
      </c>
      <c r="H119" s="82">
        <f t="shared" si="70"/>
        <v>33.905000000000001</v>
      </c>
      <c r="I119" s="82">
        <f t="shared" si="60"/>
        <v>35.049999999999997</v>
      </c>
      <c r="J119" s="51">
        <v>3665</v>
      </c>
      <c r="K119" s="50">
        <v>0</v>
      </c>
      <c r="L119" s="81">
        <v>200</v>
      </c>
      <c r="M119" s="48">
        <v>0</v>
      </c>
      <c r="N119" s="49">
        <f t="shared" si="65"/>
        <v>3498.5</v>
      </c>
      <c r="O119" s="108">
        <f t="shared" si="66"/>
        <v>3865</v>
      </c>
      <c r="P119" s="79">
        <f t="shared" si="67"/>
        <v>97.286535909157934</v>
      </c>
      <c r="Q119" s="53">
        <f t="shared" si="68"/>
        <v>9.4799999999999995E-2</v>
      </c>
      <c r="R119" s="54">
        <f t="shared" si="69"/>
        <v>366.5</v>
      </c>
      <c r="S119" s="53">
        <v>0.8</v>
      </c>
      <c r="T119" s="54">
        <f t="shared" si="71"/>
        <v>3092</v>
      </c>
      <c r="U119" s="53">
        <f t="shared" si="62"/>
        <v>0.10519999999999996</v>
      </c>
      <c r="V119" s="54">
        <f t="shared" si="72"/>
        <v>406.59799999999984</v>
      </c>
      <c r="W119" s="55">
        <f ca="1">V119*VLOOKUP(TODAY(),'UF HOY'!$A$2:$B$36,2,0)</f>
        <v>16155740.536119994</v>
      </c>
      <c r="X119" s="56">
        <f>Datos!$K$9</f>
        <v>24</v>
      </c>
      <c r="Y119" s="55">
        <f ca="1">IF((W119-Datos!$U$9-1000000)/X119&gt;0,(W119-Datos!$U$9-1000000)/X119,0)</f>
        <v>627322.52233833307</v>
      </c>
      <c r="Z119" s="56">
        <f>Datos!$K$9</f>
        <v>24</v>
      </c>
      <c r="AA119" s="55">
        <f ca="1">IF((W119-Datos!$U$9-1000000-O119*4%*VLOOKUP(TODAY(),'UF HOY'!$A$2:$B$36,2,0))/Z119&gt;0,(W119-Datos!$U$9-1000000-O119*4%*VLOOKUP(TODAY(),'UF HOY'!$A$2:$B$36,2,0))/Z119,0)</f>
        <v>371369.72550499975</v>
      </c>
      <c r="AB119" s="55">
        <f>IF(L119&gt;0,VLOOKUP(D119,Datos!$A$6:$C$10,3,0),VLOOKUP(D119,Datos!$A$6:$C$10,2,0))</f>
        <v>390000</v>
      </c>
      <c r="AC119" s="55">
        <f ca="1">(S119*PMT(Datos!$G$15,Datos!$G$14,-O119,,)*VLOOKUP(TODAY(),'UF HOY'!$A$2:$B$36,2,0)/12)+VLOOKUP(TODAY(),'UF HOY'!$A$2:$B$36,2,0)</f>
        <v>631804.96457638196</v>
      </c>
      <c r="AD119" s="55">
        <f t="shared" ca="1" si="73"/>
        <v>-241804.96457638196</v>
      </c>
      <c r="AE119" s="93">
        <f t="shared" ca="1" si="58"/>
        <v>2527219.8583055278</v>
      </c>
    </row>
    <row r="120" spans="1:31" s="3" customFormat="1" x14ac:dyDescent="0.35">
      <c r="A120" s="94" t="s">
        <v>305</v>
      </c>
      <c r="B120" s="81" t="s">
        <v>279</v>
      </c>
      <c r="C120" s="48" t="s">
        <v>40</v>
      </c>
      <c r="D120" s="48" t="s">
        <v>37</v>
      </c>
      <c r="E120" s="48"/>
      <c r="F120" s="48">
        <v>33.79</v>
      </c>
      <c r="G120" s="48">
        <v>2.29</v>
      </c>
      <c r="H120" s="82">
        <f t="shared" si="70"/>
        <v>34.935000000000002</v>
      </c>
      <c r="I120" s="82">
        <f t="shared" si="60"/>
        <v>36.08</v>
      </c>
      <c r="J120" s="51">
        <v>3675</v>
      </c>
      <c r="K120" s="50">
        <v>0</v>
      </c>
      <c r="L120" s="81">
        <v>200</v>
      </c>
      <c r="M120" s="48">
        <v>0</v>
      </c>
      <c r="N120" s="49">
        <f t="shared" si="65"/>
        <v>3507.5</v>
      </c>
      <c r="O120" s="108">
        <f t="shared" si="66"/>
        <v>3875</v>
      </c>
      <c r="P120" s="79">
        <f t="shared" si="67"/>
        <v>94.675826534993547</v>
      </c>
      <c r="Q120" s="53">
        <f t="shared" si="68"/>
        <v>9.4799999999999995E-2</v>
      </c>
      <c r="R120" s="54">
        <f t="shared" si="69"/>
        <v>367.5</v>
      </c>
      <c r="S120" s="53">
        <v>0.8</v>
      </c>
      <c r="T120" s="54">
        <f t="shared" si="71"/>
        <v>3100</v>
      </c>
      <c r="U120" s="53">
        <f t="shared" si="62"/>
        <v>0.10519999999999996</v>
      </c>
      <c r="V120" s="54">
        <f t="shared" si="72"/>
        <v>407.64999999999986</v>
      </c>
      <c r="W120" s="55">
        <f ca="1">V120*VLOOKUP(TODAY(),'UF HOY'!$A$2:$B$36,2,0)</f>
        <v>16197540.640999995</v>
      </c>
      <c r="X120" s="56">
        <f>Datos!$K$9</f>
        <v>24</v>
      </c>
      <c r="Y120" s="55">
        <f ca="1">IF((W120-Datos!$U$9-1000000)/X120&gt;0,(W120-Datos!$U$9-1000000)/X120,0)</f>
        <v>629064.1933749998</v>
      </c>
      <c r="Z120" s="56">
        <f>Datos!$K$9</f>
        <v>24</v>
      </c>
      <c r="AA120" s="55">
        <f ca="1">IF((W120-Datos!$U$9-1000000-O120*4%*VLOOKUP(TODAY(),'UF HOY'!$A$2:$B$36,2,0))/Z120&gt;0,(W120-Datos!$U$9-1000000-O120*4%*VLOOKUP(TODAY(),'UF HOY'!$A$2:$B$36,2,0))/Z120,0)</f>
        <v>372449.16420833318</v>
      </c>
      <c r="AB120" s="55">
        <f>IF(L120&gt;0,VLOOKUP(D120,Datos!$A$6:$C$10,3,0),VLOOKUP(D120,Datos!$A$6:$C$10,2,0))</f>
        <v>390000</v>
      </c>
      <c r="AC120" s="55">
        <f ca="1">(S120*PMT(Datos!$G$15,Datos!$G$14,-O120,,)*VLOOKUP(TODAY(),'UF HOY'!$A$2:$B$36,2,0)/12)+VLOOKUP(TODAY(),'UF HOY'!$A$2:$B$36,2,0)</f>
        <v>633336.84303582925</v>
      </c>
      <c r="AD120" s="55">
        <f t="shared" ca="1" si="73"/>
        <v>-243336.84303582925</v>
      </c>
      <c r="AE120" s="93">
        <f t="shared" ca="1" si="58"/>
        <v>2533347.372143317</v>
      </c>
    </row>
    <row r="121" spans="1:31" s="3" customFormat="1" x14ac:dyDescent="0.35">
      <c r="A121" s="94" t="s">
        <v>305</v>
      </c>
      <c r="B121" s="81" t="s">
        <v>189</v>
      </c>
      <c r="C121" s="48" t="s">
        <v>41</v>
      </c>
      <c r="D121" s="48" t="s">
        <v>37</v>
      </c>
      <c r="E121" s="48"/>
      <c r="F121" s="48">
        <v>32.6</v>
      </c>
      <c r="G121" s="48">
        <v>5.77</v>
      </c>
      <c r="H121" s="82">
        <f t="shared" ref="H121" si="74">F121+(G121/2)</f>
        <v>35.484999999999999</v>
      </c>
      <c r="I121" s="82">
        <f t="shared" ref="I121" si="75">F121+G121</f>
        <v>38.370000000000005</v>
      </c>
      <c r="J121" s="49">
        <v>3675</v>
      </c>
      <c r="K121" s="50">
        <v>0</v>
      </c>
      <c r="L121" s="81">
        <v>200</v>
      </c>
      <c r="M121" s="48">
        <v>0</v>
      </c>
      <c r="N121" s="49">
        <f t="shared" si="65"/>
        <v>3507.5</v>
      </c>
      <c r="O121" s="108">
        <f t="shared" si="66"/>
        <v>3875</v>
      </c>
      <c r="P121" s="79">
        <f t="shared" si="67"/>
        <v>93.208397914611808</v>
      </c>
      <c r="Q121" s="53">
        <f t="shared" si="68"/>
        <v>9.4799999999999995E-2</v>
      </c>
      <c r="R121" s="54">
        <f t="shared" si="69"/>
        <v>367.5</v>
      </c>
      <c r="S121" s="53">
        <v>0.8</v>
      </c>
      <c r="T121" s="54">
        <f t="shared" ref="T121" si="76">S121*O121</f>
        <v>3100</v>
      </c>
      <c r="U121" s="53">
        <f t="shared" ref="U121" si="77">100%-Q121-S121</f>
        <v>0.10519999999999996</v>
      </c>
      <c r="V121" s="54">
        <f t="shared" ref="V121" si="78">O121*U121</f>
        <v>407.64999999999986</v>
      </c>
      <c r="W121" s="55">
        <f ca="1">V121*VLOOKUP(TODAY(),'UF HOY'!$A$2:$B$36,2,0)</f>
        <v>16197540.640999995</v>
      </c>
      <c r="X121" s="56">
        <f>Datos!$K$9</f>
        <v>24</v>
      </c>
      <c r="Y121" s="55">
        <f ca="1">IF((W121-Datos!$U$9-1000000)/X121&gt;0,(W121-Datos!$U$9-1000000)/X121,0)</f>
        <v>629064.1933749998</v>
      </c>
      <c r="Z121" s="56">
        <f>Datos!$K$9</f>
        <v>24</v>
      </c>
      <c r="AA121" s="55">
        <f ca="1">IF((W121-Datos!$U$9-1000000-O121*4%*VLOOKUP(TODAY(),'UF HOY'!$A$2:$B$36,2,0))/Z121&gt;0,(W121-Datos!$U$9-1000000-O121*4%*VLOOKUP(TODAY(),'UF HOY'!$A$2:$B$36,2,0))/Z121,0)</f>
        <v>372449.16420833318</v>
      </c>
      <c r="AB121" s="55">
        <f>IF(L121&gt;0,VLOOKUP(D121,Datos!$A$6:$C$10,3,0),VLOOKUP(D121,Datos!$A$6:$C$10,2,0))</f>
        <v>390000</v>
      </c>
      <c r="AC121" s="55">
        <f ca="1">(S121*PMT(Datos!$G$15,Datos!$G$14,-O121,,)*VLOOKUP(TODAY(),'UF HOY'!$A$2:$B$36,2,0)/12)+VLOOKUP(TODAY(),'UF HOY'!$A$2:$B$36,2,0)</f>
        <v>633336.84303582925</v>
      </c>
      <c r="AD121" s="55">
        <f t="shared" ref="AD121" ca="1" si="79">AB121-AC121</f>
        <v>-243336.84303582925</v>
      </c>
      <c r="AE121" s="93">
        <f t="shared" ca="1" si="58"/>
        <v>2533347.372143317</v>
      </c>
    </row>
    <row r="123" spans="1:31" x14ac:dyDescent="0.35">
      <c r="L123" s="33" t="s">
        <v>354</v>
      </c>
    </row>
    <row r="124" spans="1:31" x14ac:dyDescent="0.35">
      <c r="L124" s="33" t="s">
        <v>309</v>
      </c>
      <c r="P124" s="32"/>
    </row>
    <row r="125" spans="1:31" x14ac:dyDescent="0.35">
      <c r="J125" s="35"/>
    </row>
  </sheetData>
  <autoFilter ref="A1:AE121" xr:uid="{28F426FC-2142-476B-9E18-302AD4CE4BDB}">
    <filterColumn colId="0">
      <filters>
        <filter val="SIN ABONO"/>
      </filters>
    </filterColumn>
  </autoFilter>
  <conditionalFormatting sqref="A1:AD1 A2:AE121">
    <cfRule type="expression" dxfId="1" priority="14">
      <formula>ROW()=CELL("fila")</formula>
    </cfRule>
  </conditionalFormatting>
  <conditionalFormatting sqref="AE1">
    <cfRule type="expression" dxfId="0" priority="11">
      <formula>ROW()=CELL("fila")</formula>
    </cfRule>
  </conditionalFormatting>
  <pageMargins left="0.7" right="0.7" top="0.75" bottom="0.75" header="0.3" footer="0.3"/>
  <pageSetup orientation="portrait"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dimension ref="D4:H27"/>
  <sheetViews>
    <sheetView workbookViewId="0">
      <selection activeCell="D23" sqref="D23:H24"/>
    </sheetView>
  </sheetViews>
  <sheetFormatPr baseColWidth="10" defaultColWidth="10.5" defaultRowHeight="15.5" x14ac:dyDescent="0.35"/>
  <cols>
    <col min="1" max="3" width="10.5" style="17"/>
    <col min="4" max="4" width="15.5" style="17" customWidth="1"/>
    <col min="5" max="5" width="10.5" style="17" customWidth="1"/>
    <col min="6" max="6" width="11.08203125" style="17" bestFit="1" customWidth="1"/>
    <col min="7" max="7" width="10.5" style="17" bestFit="1" customWidth="1"/>
    <col min="8" max="8" width="12.9140625" style="17" bestFit="1" customWidth="1"/>
    <col min="9" max="16384" width="10.5" style="17"/>
  </cols>
  <sheetData>
    <row r="4" spans="4:8" x14ac:dyDescent="0.35">
      <c r="D4" s="18" t="s">
        <v>0</v>
      </c>
      <c r="E4" s="18" t="s">
        <v>1</v>
      </c>
      <c r="F4" s="18" t="s">
        <v>2</v>
      </c>
      <c r="G4" s="18" t="s">
        <v>3</v>
      </c>
      <c r="H4" s="18" t="s">
        <v>4</v>
      </c>
    </row>
    <row r="5" spans="4:8" x14ac:dyDescent="0.35">
      <c r="D5" s="18" t="s">
        <v>328</v>
      </c>
      <c r="E5" s="18">
        <v>413</v>
      </c>
      <c r="F5" s="20">
        <v>3470</v>
      </c>
      <c r="G5" s="34">
        <v>0.8</v>
      </c>
      <c r="H5" s="20">
        <f t="shared" ref="H5:H6" si="0">F5*G5</f>
        <v>2776</v>
      </c>
    </row>
    <row r="6" spans="4:8" x14ac:dyDescent="0.35">
      <c r="D6" s="18" t="s">
        <v>328</v>
      </c>
      <c r="E6" s="18">
        <v>910</v>
      </c>
      <c r="F6" s="20">
        <v>3350</v>
      </c>
      <c r="G6" s="34">
        <v>0.8</v>
      </c>
      <c r="H6" s="20">
        <f t="shared" si="0"/>
        <v>2680</v>
      </c>
    </row>
    <row r="7" spans="4:8" x14ac:dyDescent="0.35">
      <c r="D7" s="18" t="s">
        <v>328</v>
      </c>
      <c r="E7" s="18">
        <v>507</v>
      </c>
      <c r="F7" s="20">
        <v>4919</v>
      </c>
      <c r="G7" s="34">
        <v>0.8</v>
      </c>
      <c r="H7" s="20">
        <f t="shared" ref="H7:H8" si="1">F7*G7</f>
        <v>3935.2000000000003</v>
      </c>
    </row>
    <row r="8" spans="4:8" x14ac:dyDescent="0.35">
      <c r="D8" s="18" t="s">
        <v>328</v>
      </c>
      <c r="E8" s="18">
        <v>1604</v>
      </c>
      <c r="F8" s="20">
        <v>3755</v>
      </c>
      <c r="G8" s="34">
        <v>0.8</v>
      </c>
      <c r="H8" s="20">
        <f t="shared" si="1"/>
        <v>3004</v>
      </c>
    </row>
    <row r="9" spans="4:8" x14ac:dyDescent="0.35">
      <c r="E9" s="41"/>
      <c r="F9" s="42"/>
    </row>
    <row r="11" spans="4:8" x14ac:dyDescent="0.35">
      <c r="D11" s="18" t="s">
        <v>0</v>
      </c>
      <c r="E11" s="18" t="s">
        <v>1</v>
      </c>
      <c r="F11" s="18" t="s">
        <v>2</v>
      </c>
      <c r="G11" s="18" t="s">
        <v>3</v>
      </c>
      <c r="H11" s="18" t="s">
        <v>4</v>
      </c>
    </row>
    <row r="12" spans="4:8" x14ac:dyDescent="0.35">
      <c r="D12" s="18" t="s">
        <v>334</v>
      </c>
      <c r="E12" s="18">
        <v>2508</v>
      </c>
      <c r="F12" s="20">
        <v>3960</v>
      </c>
      <c r="G12" s="34">
        <v>0.8</v>
      </c>
      <c r="H12" s="20">
        <f t="shared" ref="H12:H15" si="2">F12*G12</f>
        <v>3168</v>
      </c>
    </row>
    <row r="13" spans="4:8" x14ac:dyDescent="0.35">
      <c r="D13" s="18" t="s">
        <v>334</v>
      </c>
      <c r="E13" s="18">
        <v>2707</v>
      </c>
      <c r="F13" s="20">
        <v>3980</v>
      </c>
      <c r="G13" s="34">
        <v>0.8</v>
      </c>
      <c r="H13" s="20">
        <f t="shared" si="2"/>
        <v>3184</v>
      </c>
    </row>
    <row r="14" spans="4:8" x14ac:dyDescent="0.35">
      <c r="D14" s="18" t="s">
        <v>334</v>
      </c>
      <c r="E14" s="18">
        <v>2807</v>
      </c>
      <c r="F14" s="20">
        <v>3990</v>
      </c>
      <c r="G14" s="34">
        <v>0.8</v>
      </c>
      <c r="H14" s="20">
        <f t="shared" si="2"/>
        <v>3192</v>
      </c>
    </row>
    <row r="15" spans="4:8" x14ac:dyDescent="0.35">
      <c r="D15" s="18" t="s">
        <v>334</v>
      </c>
      <c r="E15" s="18">
        <v>214</v>
      </c>
      <c r="F15" s="20">
        <v>3165.4</v>
      </c>
      <c r="G15" s="34">
        <v>0.8</v>
      </c>
      <c r="H15" s="20">
        <f t="shared" si="2"/>
        <v>2532.3200000000002</v>
      </c>
    </row>
    <row r="17" spans="4:8" x14ac:dyDescent="0.35">
      <c r="D17" s="18" t="s">
        <v>0</v>
      </c>
      <c r="E17" s="18" t="s">
        <v>1</v>
      </c>
      <c r="F17" s="18" t="s">
        <v>2</v>
      </c>
      <c r="G17" s="18" t="s">
        <v>3</v>
      </c>
      <c r="H17" s="18" t="s">
        <v>4</v>
      </c>
    </row>
    <row r="18" spans="4:8" x14ac:dyDescent="0.35">
      <c r="D18" s="18" t="s">
        <v>186</v>
      </c>
      <c r="E18" s="18" t="s">
        <v>234</v>
      </c>
      <c r="F18" s="20">
        <v>3459.4</v>
      </c>
      <c r="G18" s="34">
        <v>0.8</v>
      </c>
      <c r="H18" s="20">
        <f>F18*G18</f>
        <v>2767.5200000000004</v>
      </c>
    </row>
    <row r="19" spans="4:8" x14ac:dyDescent="0.35">
      <c r="D19" s="18" t="s">
        <v>186</v>
      </c>
      <c r="E19" s="18" t="s">
        <v>90</v>
      </c>
      <c r="F19" s="20">
        <v>3459.4</v>
      </c>
      <c r="G19" s="34">
        <v>0.8</v>
      </c>
      <c r="H19" s="20">
        <f t="shared" ref="H19:H21" si="3">F19*G19</f>
        <v>2767.5200000000004</v>
      </c>
    </row>
    <row r="20" spans="4:8" x14ac:dyDescent="0.35">
      <c r="D20" s="18" t="s">
        <v>186</v>
      </c>
      <c r="E20" s="18" t="s">
        <v>339</v>
      </c>
      <c r="F20" s="20">
        <v>3400.6</v>
      </c>
      <c r="G20" s="34">
        <v>0.8</v>
      </c>
      <c r="H20" s="20">
        <f t="shared" si="3"/>
        <v>2720.48</v>
      </c>
    </row>
    <row r="21" spans="4:8" x14ac:dyDescent="0.35">
      <c r="D21" s="18" t="s">
        <v>186</v>
      </c>
      <c r="E21" s="18" t="s">
        <v>90</v>
      </c>
      <c r="F21" s="20">
        <v>3641.7999999999997</v>
      </c>
      <c r="G21" s="34">
        <v>0.8</v>
      </c>
      <c r="H21" s="20">
        <f t="shared" si="3"/>
        <v>2913.44</v>
      </c>
    </row>
    <row r="23" spans="4:8" x14ac:dyDescent="0.35">
      <c r="D23" s="18" t="s">
        <v>0</v>
      </c>
      <c r="E23" s="18" t="s">
        <v>1</v>
      </c>
      <c r="F23" s="18" t="s">
        <v>2</v>
      </c>
      <c r="G23" s="18" t="s">
        <v>3</v>
      </c>
      <c r="H23" s="18" t="s">
        <v>4</v>
      </c>
    </row>
    <row r="24" spans="4:8" x14ac:dyDescent="0.35">
      <c r="D24" s="18" t="s">
        <v>343</v>
      </c>
      <c r="E24" s="18">
        <v>811</v>
      </c>
      <c r="F24" s="20">
        <v>6296.0999999999995</v>
      </c>
      <c r="G24" s="34">
        <v>0.8</v>
      </c>
      <c r="H24" s="20">
        <f t="shared" ref="H24:H27" si="4">F24*G24</f>
        <v>5036.88</v>
      </c>
    </row>
    <row r="25" spans="4:8" x14ac:dyDescent="0.35">
      <c r="D25" s="18" t="s">
        <v>343</v>
      </c>
      <c r="E25" s="18">
        <v>507</v>
      </c>
      <c r="F25" s="20">
        <v>3871</v>
      </c>
      <c r="G25" s="34">
        <v>0.8</v>
      </c>
      <c r="H25" s="20">
        <f t="shared" si="4"/>
        <v>3096.8</v>
      </c>
    </row>
    <row r="26" spans="4:8" x14ac:dyDescent="0.35">
      <c r="D26" s="18" t="s">
        <v>343</v>
      </c>
      <c r="E26" s="18" t="s">
        <v>91</v>
      </c>
      <c r="F26" s="20">
        <v>3720.1</v>
      </c>
      <c r="G26" s="34">
        <v>0.8</v>
      </c>
      <c r="H26" s="20">
        <f t="shared" si="4"/>
        <v>2976.08</v>
      </c>
    </row>
    <row r="27" spans="4:8" x14ac:dyDescent="0.35">
      <c r="D27" s="18" t="s">
        <v>343</v>
      </c>
      <c r="E27" s="18" t="s">
        <v>90</v>
      </c>
      <c r="F27" s="20">
        <v>3641.7999999999997</v>
      </c>
      <c r="G27" s="34">
        <v>0.8</v>
      </c>
      <c r="H27" s="20">
        <f t="shared" si="4"/>
        <v>2913.44</v>
      </c>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7">
    <tabColor theme="4" tint="0.59999389629810485"/>
  </sheetPr>
  <dimension ref="A1:U38"/>
  <sheetViews>
    <sheetView showGridLines="0" zoomScale="78" zoomScaleNormal="78" zoomScalePageLayoutView="80" workbookViewId="0">
      <selection activeCell="A4" sqref="A4:XFD4"/>
    </sheetView>
  </sheetViews>
  <sheetFormatPr baseColWidth="10" defaultColWidth="10.9140625" defaultRowHeight="15.5" x14ac:dyDescent="0.35"/>
  <cols>
    <col min="1" max="1" width="3" style="5" customWidth="1"/>
    <col min="2" max="2" width="22.5" style="5" bestFit="1" customWidth="1"/>
    <col min="3" max="4" width="12.9140625" style="5" bestFit="1" customWidth="1"/>
    <col min="5" max="5" width="10" style="5" bestFit="1" customWidth="1"/>
    <col min="6" max="6" width="4.1640625" style="5" bestFit="1" customWidth="1"/>
    <col min="7" max="7" width="13.1640625" style="5" bestFit="1" customWidth="1"/>
    <col min="8" max="8" width="9.08203125" style="5" bestFit="1" customWidth="1"/>
    <col min="9" max="9" width="5.4140625" style="5" bestFit="1" customWidth="1"/>
    <col min="10" max="10" width="4" style="5" bestFit="1" customWidth="1"/>
    <col min="11" max="11" width="4.5" style="5" bestFit="1" customWidth="1"/>
    <col min="12" max="12" width="9.9140625" style="5" bestFit="1" customWidth="1"/>
    <col min="13" max="13" width="18.5" style="5" bestFit="1" customWidth="1"/>
    <col min="14" max="14" width="13.9140625" style="5" bestFit="1" customWidth="1"/>
    <col min="15" max="15" width="6.6640625" style="6" bestFit="1" customWidth="1"/>
    <col min="16" max="16" width="6.58203125" style="5" bestFit="1" customWidth="1"/>
    <col min="17" max="17" width="6.4140625" style="5" bestFit="1" customWidth="1"/>
    <col min="18" max="18" width="10.6640625" style="5" bestFit="1" customWidth="1"/>
    <col min="19" max="19" width="6.4140625" style="5" bestFit="1" customWidth="1"/>
    <col min="20" max="20" width="11.58203125" style="5" bestFit="1" customWidth="1"/>
    <col min="21" max="21" width="13.08203125" style="5" bestFit="1" customWidth="1"/>
    <col min="22" max="16384" width="10.9140625" style="5"/>
  </cols>
  <sheetData>
    <row r="1" spans="1:21" x14ac:dyDescent="0.35">
      <c r="B1" s="395" t="s">
        <v>116</v>
      </c>
      <c r="C1" s="396"/>
      <c r="D1" s="396"/>
      <c r="E1" s="397"/>
      <c r="F1" s="28"/>
      <c r="G1" s="28"/>
      <c r="H1" s="28"/>
      <c r="I1" s="25"/>
      <c r="J1" s="25"/>
      <c r="K1" s="25"/>
      <c r="L1" s="28"/>
      <c r="M1" s="28"/>
    </row>
    <row r="2" spans="1:21" s="8" customFormat="1" ht="16" thickBot="1" x14ac:dyDescent="0.4">
      <c r="A2" s="5"/>
      <c r="B2" s="398"/>
      <c r="C2" s="399"/>
      <c r="D2" s="399"/>
      <c r="E2" s="400"/>
      <c r="F2" s="29"/>
      <c r="G2" s="29"/>
      <c r="H2" s="29"/>
      <c r="I2" s="29"/>
      <c r="J2" s="29"/>
      <c r="K2" s="29"/>
      <c r="L2" s="29"/>
      <c r="M2" s="29"/>
      <c r="N2" s="7"/>
      <c r="O2" s="7"/>
      <c r="P2" s="7"/>
      <c r="Q2" s="7"/>
      <c r="R2" s="7"/>
      <c r="S2" s="7"/>
      <c r="T2" s="7"/>
      <c r="U2" s="7"/>
    </row>
    <row r="3" spans="1:21" ht="30.75" customHeight="1" x14ac:dyDescent="0.35">
      <c r="B3" s="60" t="s">
        <v>0</v>
      </c>
      <c r="C3" s="60" t="s">
        <v>8</v>
      </c>
      <c r="D3" s="60" t="s">
        <v>58</v>
      </c>
      <c r="E3" s="60" t="s">
        <v>117</v>
      </c>
      <c r="F3" s="61" t="s">
        <v>11</v>
      </c>
      <c r="G3" s="61" t="s">
        <v>118</v>
      </c>
      <c r="H3" s="61" t="s">
        <v>119</v>
      </c>
      <c r="I3" s="62" t="s">
        <v>120</v>
      </c>
      <c r="J3" s="62" t="s">
        <v>18</v>
      </c>
      <c r="K3" s="61" t="s">
        <v>121</v>
      </c>
      <c r="L3" s="61" t="s">
        <v>122</v>
      </c>
      <c r="M3" s="61" t="s">
        <v>123</v>
      </c>
      <c r="N3" s="61" t="s">
        <v>124</v>
      </c>
      <c r="O3" s="61" t="s">
        <v>125</v>
      </c>
      <c r="P3" s="61" t="s">
        <v>45</v>
      </c>
      <c r="Q3" s="63" t="s">
        <v>126</v>
      </c>
      <c r="R3" s="64" t="s">
        <v>127</v>
      </c>
      <c r="S3" s="61" t="s">
        <v>128</v>
      </c>
      <c r="T3" s="64" t="s">
        <v>129</v>
      </c>
      <c r="U3" s="64" t="s">
        <v>130</v>
      </c>
    </row>
    <row r="4" spans="1:21" x14ac:dyDescent="0.35">
      <c r="B4" s="65" t="s">
        <v>344</v>
      </c>
      <c r="C4" s="10">
        <v>1106</v>
      </c>
      <c r="D4" s="10" t="str">
        <f>IFERROR(VLOOKUP(C4,'Atelier - Ñuñoa'!$B$2:$AM$559,3,0),"0")</f>
        <v>1D+1B</v>
      </c>
      <c r="E4" s="10" t="str">
        <f>IFERROR(VLOOKUP(C4,'Atelier - Ñuñoa'!$B$2:$AM$559,2,0),"0")</f>
        <v>Sur</v>
      </c>
      <c r="F4" s="10">
        <f>IFERROR(VLOOKUP(C4,'Atelier - Ñuñoa'!$B$2:$AM$559,4,0),"0")</f>
        <v>0</v>
      </c>
      <c r="G4" s="30">
        <f>IFERROR(VLOOKUP(C4,'Atelier - Ñuñoa'!$B$2:$AM$559,8,0),"0")</f>
        <v>36.989999999999995</v>
      </c>
      <c r="H4" s="11">
        <f>IFERROR(VLOOKUP(C4,'Atelier - Ñuñoa'!$B$2:$AM$559,9,0),"0")</f>
        <v>4050</v>
      </c>
      <c r="I4" s="12">
        <f>IFERROR(VLOOKUP(C4,'Atelier - Ñuñoa'!$B$2:$AM$559,10,0),"0")</f>
        <v>0.02</v>
      </c>
      <c r="J4" s="10">
        <f>IFERROR(VLOOKUP(C4,'Atelier - Ñuñoa'!$B$2:$AM$559,11,0),"0")</f>
        <v>0</v>
      </c>
      <c r="K4" s="10">
        <f>IFERROR(VLOOKUP(C4,'Atelier - Ñuñoa'!$B$2:$AM$559,12,0),"0")</f>
        <v>0</v>
      </c>
      <c r="L4" s="11">
        <f>IFERROR(VLOOKUP(C4,'Atelier - Ñuñoa'!$B$2:$AM$559,13,0),"0")</f>
        <v>3572.1</v>
      </c>
      <c r="M4" s="16">
        <f>IFERROR(VLOOKUP(C4,'Atelier - Ñuñoa'!$B$2:$AM$559,14,0),"0")</f>
        <v>3969</v>
      </c>
      <c r="N4" s="11">
        <f t="shared" ref="N4" si="0">M4*O4</f>
        <v>3175.2000000000003</v>
      </c>
      <c r="O4" s="13">
        <f t="shared" ref="O4" si="1">100%-P4-Q4</f>
        <v>0.8</v>
      </c>
      <c r="P4" s="13">
        <f>IFERROR(VLOOKUP(C4,'Atelier - Ñuñoa'!$B$2:$AM$559,16,0),"0")</f>
        <v>0.1</v>
      </c>
      <c r="Q4" s="13">
        <f>IFERROR(VLOOKUP(C4,'Atelier - Ñuñoa'!$B$2:$AM$559,20,0),"0")</f>
        <v>9.9999999999999978E-2</v>
      </c>
      <c r="R4" s="24">
        <f ca="1">M4*Q4*VLOOKUP(TODAY(),'UF HOY'!$A$2:$B$36,2,0)</f>
        <v>15770400.785999998</v>
      </c>
      <c r="S4" s="14">
        <f>IFERROR(VLOOKUP(C4,'Atelier - Ñuñoa'!$B$2:$AM$559,23,0),"0")</f>
        <v>36</v>
      </c>
      <c r="T4" s="15">
        <f t="shared" ref="T4" ca="1" si="2">R4/S4</f>
        <v>438066.68849999993</v>
      </c>
      <c r="U4" s="15">
        <f>IFERROR(VLOOKUP(C4,'Atelier - Ñuñoa'!$B$2:$AM$559,27,0),"0")</f>
        <v>550000</v>
      </c>
    </row>
    <row r="5" spans="1:21" x14ac:dyDescent="0.35">
      <c r="B5" s="65"/>
      <c r="C5" s="10"/>
      <c r="D5" s="10"/>
      <c r="E5" s="10"/>
      <c r="F5" s="10"/>
      <c r="G5" s="30"/>
      <c r="H5" s="11"/>
      <c r="I5" s="12"/>
      <c r="J5" s="10"/>
      <c r="K5" s="10"/>
      <c r="L5" s="11"/>
      <c r="M5" s="16"/>
      <c r="N5" s="11"/>
      <c r="O5" s="13"/>
      <c r="P5" s="13"/>
      <c r="Q5" s="13"/>
      <c r="R5" s="24"/>
      <c r="S5" s="14"/>
      <c r="T5" s="15"/>
      <c r="U5" s="15"/>
    </row>
    <row r="6" spans="1:21" x14ac:dyDescent="0.35">
      <c r="B6" s="65"/>
      <c r="C6" s="10"/>
      <c r="D6" s="10"/>
      <c r="E6" s="10"/>
      <c r="F6" s="10"/>
      <c r="G6" s="30"/>
      <c r="H6" s="11"/>
      <c r="I6" s="12"/>
      <c r="J6" s="10"/>
      <c r="K6" s="10"/>
      <c r="L6" s="11"/>
      <c r="M6" s="16"/>
      <c r="N6" s="11"/>
      <c r="O6" s="13"/>
      <c r="P6" s="13"/>
      <c r="Q6" s="13"/>
      <c r="R6" s="24"/>
      <c r="S6" s="14"/>
      <c r="T6" s="15"/>
      <c r="U6" s="15"/>
    </row>
    <row r="7" spans="1:21" x14ac:dyDescent="0.35">
      <c r="B7" s="65"/>
      <c r="C7" s="10"/>
      <c r="D7" s="10"/>
      <c r="E7" s="10"/>
      <c r="F7" s="10"/>
      <c r="G7" s="30"/>
      <c r="H7" s="11"/>
      <c r="I7" s="12"/>
      <c r="J7" s="10"/>
      <c r="K7" s="10"/>
      <c r="L7" s="11"/>
      <c r="M7" s="16"/>
      <c r="N7" s="11"/>
      <c r="O7" s="13"/>
      <c r="P7" s="13"/>
      <c r="Q7" s="13"/>
      <c r="R7" s="24"/>
      <c r="S7" s="14"/>
      <c r="T7" s="15"/>
      <c r="U7" s="15"/>
    </row>
    <row r="8" spans="1:21" x14ac:dyDescent="0.35">
      <c r="B8" s="65"/>
      <c r="C8" s="10"/>
      <c r="D8" s="10"/>
      <c r="E8" s="10"/>
      <c r="F8" s="10"/>
      <c r="G8" s="30"/>
      <c r="H8" s="11"/>
      <c r="I8" s="12"/>
      <c r="J8" s="10"/>
      <c r="K8" s="10"/>
      <c r="L8" s="11"/>
      <c r="M8" s="16"/>
      <c r="N8" s="11"/>
      <c r="O8" s="13"/>
      <c r="P8" s="13"/>
      <c r="Q8" s="13"/>
      <c r="R8" s="24"/>
      <c r="S8" s="14"/>
      <c r="T8" s="15"/>
      <c r="U8" s="15"/>
    </row>
    <row r="9" spans="1:21" x14ac:dyDescent="0.35">
      <c r="B9" s="29"/>
      <c r="C9" s="66"/>
      <c r="D9" s="29"/>
      <c r="E9" s="29"/>
      <c r="F9" s="67"/>
      <c r="G9" s="67"/>
      <c r="H9" s="28"/>
      <c r="I9" s="29"/>
      <c r="J9" s="28"/>
      <c r="K9" s="29"/>
      <c r="L9" s="29"/>
      <c r="M9" s="68"/>
      <c r="N9" s="29"/>
      <c r="O9" s="29"/>
      <c r="P9" s="29"/>
      <c r="Q9" s="29"/>
      <c r="R9" s="69"/>
      <c r="S9" s="29"/>
      <c r="T9" s="69"/>
      <c r="U9" s="29"/>
    </row>
    <row r="10" spans="1:21" ht="28.5" customHeight="1" x14ac:dyDescent="0.35">
      <c r="B10" s="392" t="s">
        <v>131</v>
      </c>
      <c r="C10" s="393"/>
      <c r="D10" s="393"/>
      <c r="E10" s="393"/>
      <c r="F10" s="393"/>
      <c r="G10" s="393"/>
      <c r="H10" s="393"/>
      <c r="I10" s="393"/>
      <c r="J10" s="393"/>
      <c r="K10" s="393"/>
      <c r="L10" s="393"/>
      <c r="M10" s="393"/>
      <c r="N10" s="393"/>
      <c r="O10" s="393"/>
      <c r="P10" s="393"/>
      <c r="Q10" s="393"/>
      <c r="R10" s="393"/>
      <c r="S10" s="393"/>
      <c r="T10" s="393"/>
      <c r="U10" s="394"/>
    </row>
    <row r="11" spans="1:21" ht="29" x14ac:dyDescent="0.35">
      <c r="B11" s="60" t="s">
        <v>131</v>
      </c>
      <c r="C11" s="60" t="s">
        <v>8</v>
      </c>
      <c r="D11" s="60" t="s">
        <v>58</v>
      </c>
      <c r="E11" s="60" t="s">
        <v>117</v>
      </c>
      <c r="F11" s="61" t="s">
        <v>11</v>
      </c>
      <c r="G11" s="61" t="s">
        <v>118</v>
      </c>
      <c r="H11" s="61" t="s">
        <v>119</v>
      </c>
      <c r="I11" s="62" t="s">
        <v>120</v>
      </c>
      <c r="J11" s="62" t="s">
        <v>18</v>
      </c>
      <c r="K11" s="61" t="s">
        <v>19</v>
      </c>
      <c r="L11" s="61" t="s">
        <v>122</v>
      </c>
      <c r="M11" s="61" t="s">
        <v>123</v>
      </c>
      <c r="N11" s="61" t="s">
        <v>124</v>
      </c>
      <c r="O11" s="61" t="s">
        <v>125</v>
      </c>
      <c r="P11" s="61" t="s">
        <v>23</v>
      </c>
      <c r="Q11" s="63" t="s">
        <v>126</v>
      </c>
      <c r="R11" s="64" t="s">
        <v>127</v>
      </c>
      <c r="S11" s="61" t="s">
        <v>128</v>
      </c>
      <c r="T11" s="64" t="s">
        <v>129</v>
      </c>
      <c r="U11" s="64" t="s">
        <v>130</v>
      </c>
    </row>
    <row r="12" spans="1:21" ht="15.65" customHeight="1" x14ac:dyDescent="0.35">
      <c r="B12" s="65" t="s">
        <v>109</v>
      </c>
      <c r="C12" s="10">
        <v>1208</v>
      </c>
      <c r="D12" s="10" t="str">
        <f>IFERROR(VLOOKUP(C12,#REF!,3,0),"0")</f>
        <v>0</v>
      </c>
      <c r="E12" s="10" t="str">
        <f>IFERROR(VLOOKUP(C12,#REF!,2,0),"0")</f>
        <v>0</v>
      </c>
      <c r="F12" s="10" t="str">
        <f>IFERROR(VLOOKUP(C12,#REF!,4,0),"0")</f>
        <v>0</v>
      </c>
      <c r="G12" s="30" t="str">
        <f>IFERROR(VLOOKUP(C12,#REF!,8,0),"0")</f>
        <v>0</v>
      </c>
      <c r="H12" s="11" t="str">
        <f>IFERROR(VLOOKUP(C12,#REF!,9,0),"0")</f>
        <v>0</v>
      </c>
      <c r="I12" s="12" t="str">
        <f>IFERROR(VLOOKUP(C12,#REF!,10,0),"0")</f>
        <v>0</v>
      </c>
      <c r="J12" s="10" t="str">
        <f>IFERROR(VLOOKUP(C12,#REF!,11,0),"0")</f>
        <v>0</v>
      </c>
      <c r="K12" s="10" t="str">
        <f>IFERROR(VLOOKUP(C12,#REF!,12,0),"0")</f>
        <v>0</v>
      </c>
      <c r="L12" s="11" t="str">
        <f>IFERROR(VLOOKUP(C12,#REF!,13,0),"0")</f>
        <v>0</v>
      </c>
      <c r="M12" s="16" t="str">
        <f>IFERROR(VLOOKUP(C12,#REF!,14,0),"0")</f>
        <v>0</v>
      </c>
      <c r="N12" s="11">
        <f t="shared" ref="N12" si="3">M12*O12</f>
        <v>0</v>
      </c>
      <c r="O12" s="13">
        <f t="shared" ref="O12" si="4">100%-P12-Q12</f>
        <v>1</v>
      </c>
      <c r="P12" s="13" t="str">
        <f>IFERROR(VLOOKUP(C12,#REF!,16,0),"0")</f>
        <v>0</v>
      </c>
      <c r="Q12" s="13" t="str">
        <f>IFERROR(VLOOKUP(C12,#REF!,20,0),"0")</f>
        <v>0</v>
      </c>
      <c r="R12" s="24">
        <f ca="1">M12*Q12*VLOOKUP(TODAY(),'UF HOY'!$A$2:$B$36,2,0)</f>
        <v>0</v>
      </c>
      <c r="S12" s="14" t="str">
        <f>IFERROR(VLOOKUP(C12,#REF!,23,0),"0")</f>
        <v>0</v>
      </c>
      <c r="T12" s="15" t="e">
        <f t="shared" ref="T12" ca="1" si="5">R12/S12</f>
        <v>#DIV/0!</v>
      </c>
      <c r="U12" s="15" t="str">
        <f>IFERROR(VLOOKUP(C12,#REF!,27,0),"0")</f>
        <v>0</v>
      </c>
    </row>
    <row r="13" spans="1:21" x14ac:dyDescent="0.35">
      <c r="B13" s="65" t="s">
        <v>257</v>
      </c>
      <c r="C13" s="10">
        <v>403</v>
      </c>
      <c r="D13" s="10" t="str">
        <f>IFERROR(VLOOKUP(C13,#REF!,3,0),"0")</f>
        <v>0</v>
      </c>
      <c r="E13" s="10" t="str">
        <f>IFERROR(VLOOKUP(C13,#REF!,2,0),"0")</f>
        <v>0</v>
      </c>
      <c r="F13" s="10" t="str">
        <f>IFERROR(VLOOKUP(C13,#REF!,4,0),"0")</f>
        <v>0</v>
      </c>
      <c r="G13" s="30" t="str">
        <f>IFERROR(VLOOKUP(C13,#REF!,8,0),"0")</f>
        <v>0</v>
      </c>
      <c r="H13" s="11" t="str">
        <f>IFERROR(VLOOKUP(C13,#REF!,9,0),"0")</f>
        <v>0</v>
      </c>
      <c r="I13" s="12" t="str">
        <f>IFERROR(VLOOKUP(C13,#REF!,10,0),"0")</f>
        <v>0</v>
      </c>
      <c r="J13" s="10" t="str">
        <f>IFERROR(VLOOKUP(C13,#REF!,11,0),"0")</f>
        <v>0</v>
      </c>
      <c r="K13" s="10" t="str">
        <f>IFERROR(VLOOKUP(C13,#REF!,12,0),"0")</f>
        <v>0</v>
      </c>
      <c r="L13" s="11" t="str">
        <f>IFERROR(VLOOKUP(C13,#REF!,13,0),"0")</f>
        <v>0</v>
      </c>
      <c r="M13" s="16" t="str">
        <f>IFERROR(VLOOKUP(C13,#REF!,14,0),"0")</f>
        <v>0</v>
      </c>
      <c r="N13" s="11">
        <f t="shared" ref="N13:N14" si="6">M13*O13</f>
        <v>0</v>
      </c>
      <c r="O13" s="13">
        <f t="shared" ref="O13:O14" si="7">100%-P13-Q13</f>
        <v>1</v>
      </c>
      <c r="P13" s="13" t="str">
        <f>IFERROR(VLOOKUP(C13,#REF!,16,0),"0")</f>
        <v>0</v>
      </c>
      <c r="Q13" s="13" t="str">
        <f>IFERROR(VLOOKUP(C13,#REF!,20,0),"0")</f>
        <v>0</v>
      </c>
      <c r="R13" s="24">
        <f ca="1">M13*Q13*VLOOKUP(TODAY(),'UF HOY'!$A$2:$B$36,2,0)</f>
        <v>0</v>
      </c>
      <c r="S13" s="14" t="str">
        <f>IFERROR(VLOOKUP(C13,#REF!,23,0),"0")</f>
        <v>0</v>
      </c>
      <c r="T13" s="15" t="e">
        <f t="shared" ref="T13:T14" ca="1" si="8">R13/S13</f>
        <v>#DIV/0!</v>
      </c>
      <c r="U13" s="15" t="str">
        <f>IFERROR(VLOOKUP(C13,#REF!,27,0),"0")</f>
        <v>0</v>
      </c>
    </row>
    <row r="14" spans="1:21" ht="15" customHeight="1" x14ac:dyDescent="0.35">
      <c r="B14" s="65" t="s">
        <v>270</v>
      </c>
      <c r="C14" s="10">
        <v>116</v>
      </c>
      <c r="D14" s="10" t="str">
        <f>IFERROR(VLOOKUP(C14,'Plaza Lira - Stgo Centro'!$B$2:$AM$636,3,0),"0")</f>
        <v>0</v>
      </c>
      <c r="E14" s="10" t="str">
        <f>IFERROR(VLOOKUP(C14,'Plaza Lira - Stgo Centro'!$B$2:$AM$636,2,0),"0")</f>
        <v>0</v>
      </c>
      <c r="F14" s="10" t="str">
        <f>IFERROR(VLOOKUP(C14,'Plaza Lira - Stgo Centro'!$B$2:$AM$636,4,0),"0")</f>
        <v>0</v>
      </c>
      <c r="G14" s="30" t="str">
        <f>IFERROR(VLOOKUP(C14,'Plaza Lira - Stgo Centro'!$B$2:$AM$636,8,0),"0")</f>
        <v>0</v>
      </c>
      <c r="H14" s="11" t="str">
        <f>IFERROR(VLOOKUP(C14,'Plaza Lira - Stgo Centro'!$B$2:$AM$636,9,0),"0")</f>
        <v>0</v>
      </c>
      <c r="I14" s="12" t="str">
        <f>IFERROR(VLOOKUP(C14,'Plaza Lira - Stgo Centro'!$B$2:$AM$636,10,0),"0")</f>
        <v>0</v>
      </c>
      <c r="J14" s="10" t="str">
        <f>IFERROR(VLOOKUP(C14,'Plaza Lira - Stgo Centro'!$B$2:$AM$636,11,0),"0")</f>
        <v>0</v>
      </c>
      <c r="K14" s="10" t="str">
        <f>IFERROR(VLOOKUP(C14,'Plaza Lira - Stgo Centro'!$B$2:$AM$636,12,0),"0")</f>
        <v>0</v>
      </c>
      <c r="L14" s="11" t="str">
        <f>IFERROR(VLOOKUP(C14,'Plaza Lira - Stgo Centro'!$B$2:$AM$636,13,0),"0")</f>
        <v>0</v>
      </c>
      <c r="M14" s="16" t="str">
        <f>IFERROR(VLOOKUP(C14,'Plaza Lira - Stgo Centro'!$B$2:$AM$636,14,0),"0")</f>
        <v>0</v>
      </c>
      <c r="N14" s="11">
        <f t="shared" si="6"/>
        <v>0</v>
      </c>
      <c r="O14" s="13">
        <f t="shared" si="7"/>
        <v>1</v>
      </c>
      <c r="P14" s="13" t="str">
        <f>IFERROR(VLOOKUP(C14,'Plaza Lira - Stgo Centro'!$B$2:$AM$636,16,0),"0")</f>
        <v>0</v>
      </c>
      <c r="Q14" s="13" t="str">
        <f>IFERROR(VLOOKUP(C14,'Plaza Lira - Stgo Centro'!$B$2:$AM$636,20,0),"0")</f>
        <v>0</v>
      </c>
      <c r="R14" s="24">
        <f ca="1">M14*Q14*VLOOKUP(TODAY(),'UF HOY'!$A$2:$B$36,2,0)</f>
        <v>0</v>
      </c>
      <c r="S14" s="14" t="str">
        <f>IFERROR(VLOOKUP(C14,'Plaza Lira - Stgo Centro'!$B$2:$AM$636,23,0),"0")</f>
        <v>0</v>
      </c>
      <c r="T14" s="15" t="e">
        <f t="shared" ca="1" si="8"/>
        <v>#DIV/0!</v>
      </c>
      <c r="U14" s="15" t="str">
        <f>IFERROR(VLOOKUP(C14,'Plaza Lira - Stgo Centro'!$B$2:$AM$636,27,0),"0")</f>
        <v>0</v>
      </c>
    </row>
    <row r="15" spans="1:21" ht="15" customHeight="1" x14ac:dyDescent="0.35">
      <c r="B15" s="65" t="s">
        <v>187</v>
      </c>
      <c r="C15" s="10" t="s">
        <v>237</v>
      </c>
      <c r="D15" s="10" t="str">
        <f>IFERROR(VLOOKUP(C15,'San Francisco - Stgo Centro'!$B$2:$AM$682,3,0),"0")</f>
        <v>0</v>
      </c>
      <c r="E15" s="10" t="str">
        <f>IFERROR(VLOOKUP(C15,'San Francisco - Stgo Centro'!$B$2:$AM$682,2,0),"0")</f>
        <v>0</v>
      </c>
      <c r="F15" s="10" t="str">
        <f>IFERROR(VLOOKUP(C15,'San Francisco - Stgo Centro'!$B$2:$AM$682,4,0),"0")</f>
        <v>0</v>
      </c>
      <c r="G15" s="30" t="str">
        <f>IFERROR(VLOOKUP(C15,'San Francisco - Stgo Centro'!$B$2:$AM$682,8,0),"0")</f>
        <v>0</v>
      </c>
      <c r="H15" s="11" t="str">
        <f>IFERROR(VLOOKUP(C15,'San Francisco - Stgo Centro'!$B$2:$AM$682,9,0),"0")</f>
        <v>0</v>
      </c>
      <c r="I15" s="12" t="str">
        <f>IFERROR(VLOOKUP(C15,'San Francisco - Stgo Centro'!$B$2:$AM$682,10,0),"0")</f>
        <v>0</v>
      </c>
      <c r="J15" s="10" t="str">
        <f>IFERROR(VLOOKUP(C15,'San Francisco - Stgo Centro'!$B$2:$AM$682,11,0),"0")</f>
        <v>0</v>
      </c>
      <c r="K15" s="10" t="str">
        <f>IFERROR(VLOOKUP(C15,'San Francisco - Stgo Centro'!$B$2:$AM$682,12,0),"0")</f>
        <v>0</v>
      </c>
      <c r="L15" s="11" t="str">
        <f>IFERROR(VLOOKUP(C15,'San Francisco - Stgo Centro'!$B$2:$AM$682,13,0),"0")</f>
        <v>0</v>
      </c>
      <c r="M15" s="16" t="str">
        <f>IFERROR(VLOOKUP(C15,'San Francisco - Stgo Centro'!$B$2:$AM$682,14,0),"0")</f>
        <v>0</v>
      </c>
      <c r="N15" s="11">
        <f t="shared" ref="N15" si="9">M15*O15</f>
        <v>0</v>
      </c>
      <c r="O15" s="13">
        <f t="shared" ref="O15" si="10">100%-P15-Q15</f>
        <v>1</v>
      </c>
      <c r="P15" s="13" t="str">
        <f>IFERROR(VLOOKUP(C15,'San Francisco - Stgo Centro'!$B$2:$AM$682,16,0),"0")</f>
        <v>0</v>
      </c>
      <c r="Q15" s="13" t="str">
        <f>IFERROR(VLOOKUP(C15,'San Francisco - Stgo Centro'!$B$2:$AM$682,20,0),"0")</f>
        <v>0</v>
      </c>
      <c r="R15" s="24">
        <f ca="1">M15*Q15*VLOOKUP(TODAY(),'UF HOY'!$A$2:$B$36,2,0)</f>
        <v>0</v>
      </c>
      <c r="S15" s="14" t="str">
        <f>IFERROR(VLOOKUP(C15,'San Francisco - Stgo Centro'!$B$2:$AM$682,23,0),"0")</f>
        <v>0</v>
      </c>
      <c r="T15" s="15" t="e">
        <f t="shared" ref="T15" ca="1" si="11">R15/S15</f>
        <v>#DIV/0!</v>
      </c>
      <c r="U15" s="15" t="str">
        <f>IFERROR(VLOOKUP(C15,'San Francisco - Stgo Centro'!$B$2:$AM$682,27,0),"0")</f>
        <v>0</v>
      </c>
    </row>
    <row r="16" spans="1:21" x14ac:dyDescent="0.35">
      <c r="B16" s="9" t="s">
        <v>240</v>
      </c>
      <c r="C16" s="10">
        <v>108</v>
      </c>
      <c r="D16" s="10" t="str">
        <f>IFERROR(VLOOKUP(C16,#REF!,3,0),"0")</f>
        <v>0</v>
      </c>
      <c r="E16" s="10" t="str">
        <f>IFERROR(VLOOKUP(C16,#REF!,2,0),"0")</f>
        <v>0</v>
      </c>
      <c r="F16" s="10" t="str">
        <f>IFERROR(VLOOKUP(C16,#REF!,4,0),"0")</f>
        <v>0</v>
      </c>
      <c r="G16" s="30" t="str">
        <f>IFERROR(VLOOKUP(C16,#REF!,8,0),"0")</f>
        <v>0</v>
      </c>
      <c r="H16" s="11" t="str">
        <f>IFERROR(VLOOKUP(C16,#REF!,9,0),"0")</f>
        <v>0</v>
      </c>
      <c r="I16" s="12" t="str">
        <f>IFERROR(VLOOKUP(C16,#REF!,10,0),"0")</f>
        <v>0</v>
      </c>
      <c r="J16" s="10" t="str">
        <f>IFERROR(VLOOKUP(C16,#REF!,11,0),"0")</f>
        <v>0</v>
      </c>
      <c r="K16" s="10" t="str">
        <f>IFERROR(VLOOKUP(C16,#REF!,12,0),"0")</f>
        <v>0</v>
      </c>
      <c r="L16" s="11" t="str">
        <f>IFERROR(VLOOKUP(C16,#REF!,13,0),"0")</f>
        <v>0</v>
      </c>
      <c r="M16" s="16" t="str">
        <f>IFERROR(VLOOKUP(C16,#REF!,14,0),"0")</f>
        <v>0</v>
      </c>
      <c r="N16" s="11">
        <f t="shared" ref="N16:N18" si="12">M16*O16</f>
        <v>0</v>
      </c>
      <c r="O16" s="13">
        <f t="shared" ref="O16:O18" si="13">100%-P16-Q16</f>
        <v>1</v>
      </c>
      <c r="P16" s="13" t="str">
        <f>IFERROR(VLOOKUP(C16,#REF!,16,0),"0")</f>
        <v>0</v>
      </c>
      <c r="Q16" s="13" t="str">
        <f>IFERROR(VLOOKUP(C16,#REF!,20,0),"0")</f>
        <v>0</v>
      </c>
      <c r="R16" s="24">
        <f ca="1">M16*Q16*VLOOKUP(TODAY(),'UF HOY'!$A$2:$B$36,2,0)</f>
        <v>0</v>
      </c>
      <c r="S16" s="14" t="str">
        <f>IFERROR(VLOOKUP(C16,#REF!,23,0),"0")</f>
        <v>0</v>
      </c>
      <c r="T16" s="15" t="e">
        <f t="shared" ref="T16:T18" ca="1" si="14">R16/S16</f>
        <v>#DIV/0!</v>
      </c>
      <c r="U16" s="15" t="str">
        <f>IFERROR(VLOOKUP(C16,#REF!,27,0),"0")</f>
        <v>0</v>
      </c>
    </row>
    <row r="17" spans="2:21" x14ac:dyDescent="0.35">
      <c r="B17" s="65" t="s">
        <v>242</v>
      </c>
      <c r="C17" s="10">
        <v>308</v>
      </c>
      <c r="D17" s="10" t="str">
        <f>IFERROR(VLOOKUP(C17,'Seminario 2 - Ñuñoa'!$B$2:$AM$635,3,0),"0")</f>
        <v>0</v>
      </c>
      <c r="E17" s="10" t="str">
        <f>IFERROR(VLOOKUP(C17,'Seminario 2 - Ñuñoa'!$B$2:$AM$635,2,0),"0")</f>
        <v>0</v>
      </c>
      <c r="F17" s="10" t="str">
        <f>IFERROR(VLOOKUP(C17,'Seminario 2 - Ñuñoa'!$B$2:$AM$635,4,0),"0")</f>
        <v>0</v>
      </c>
      <c r="G17" s="30" t="str">
        <f>IFERROR(VLOOKUP(C17,'Seminario 2 - Ñuñoa'!$B$2:$AM$635,8,0),"0")</f>
        <v>0</v>
      </c>
      <c r="H17" s="11" t="str">
        <f>IFERROR(VLOOKUP(C17,'Seminario 2 - Ñuñoa'!$B$2:$AM$635,9,0),"0")</f>
        <v>0</v>
      </c>
      <c r="I17" s="12" t="str">
        <f>IFERROR(VLOOKUP(C17,'Seminario 2 - Ñuñoa'!$B$2:$AM$635,10,0),"0")</f>
        <v>0</v>
      </c>
      <c r="J17" s="10" t="str">
        <f>IFERROR(VLOOKUP(C17,'Seminario 2 - Ñuñoa'!$B$2:$AM$635,11,0),"0")</f>
        <v>0</v>
      </c>
      <c r="K17" s="10" t="str">
        <f>IFERROR(VLOOKUP(C17,'Seminario 2 - Ñuñoa'!$B$2:$AM$635,12,0),"0")</f>
        <v>0</v>
      </c>
      <c r="L17" s="11" t="str">
        <f>IFERROR(VLOOKUP(C17,'Seminario 2 - Ñuñoa'!$B$2:$AM$635,13,0),"0")</f>
        <v>0</v>
      </c>
      <c r="M17" s="16" t="str">
        <f>IFERROR(VLOOKUP(C17,'Seminario 2 - Ñuñoa'!$B$2:$AM$635,14,0),"0")</f>
        <v>0</v>
      </c>
      <c r="N17" s="11">
        <f t="shared" si="12"/>
        <v>0</v>
      </c>
      <c r="O17" s="13">
        <f t="shared" si="13"/>
        <v>1</v>
      </c>
      <c r="P17" s="13" t="str">
        <f>IFERROR(VLOOKUP(C17,'Seminario 2 - Ñuñoa'!$B$2:$AM$635,16,0),"0")</f>
        <v>0</v>
      </c>
      <c r="Q17" s="13" t="str">
        <f>IFERROR(VLOOKUP(C17,'Seminario 2 - Ñuñoa'!$B$2:$AM$635,20,0),"0")</f>
        <v>0</v>
      </c>
      <c r="R17" s="24">
        <f ca="1">M17*Q17*VLOOKUP(TODAY(),'UF HOY'!$A$2:$B$36,2,0)</f>
        <v>0</v>
      </c>
      <c r="S17" s="14" t="str">
        <f>IFERROR(VLOOKUP(C17,'Seminario 2 - Ñuñoa'!$B$2:$AM$635,23,0),"0")</f>
        <v>0</v>
      </c>
      <c r="T17" s="15" t="e">
        <f t="shared" ca="1" si="14"/>
        <v>#DIV/0!</v>
      </c>
      <c r="U17" s="15" t="str">
        <f>IFERROR(VLOOKUP(C17,'Seminario 2 - Ñuñoa'!$B$2:$AM$635,27,0),"0")</f>
        <v>0</v>
      </c>
    </row>
    <row r="18" spans="2:21" ht="15" customHeight="1" x14ac:dyDescent="0.35">
      <c r="B18" s="65" t="s">
        <v>327</v>
      </c>
      <c r="C18" s="10">
        <v>810</v>
      </c>
      <c r="D18" s="10" t="str">
        <f>IFERROR(VLOOKUP(C18,'Mercado Serrano - Stgo'!$B$2:$AM$672,3,0),"0")</f>
        <v>0</v>
      </c>
      <c r="E18" s="10" t="str">
        <f>IFERROR(VLOOKUP(C18,'Mercado Serrano - Stgo'!$B$2:$AM$672,2,0),"0")</f>
        <v>0</v>
      </c>
      <c r="F18" s="10" t="str">
        <f>IFERROR(VLOOKUP(C18,'Mercado Serrano - Stgo'!$B$2:$AM$672,4,0),"0")</f>
        <v>0</v>
      </c>
      <c r="G18" s="30" t="str">
        <f>IFERROR(VLOOKUP(C18,'Mercado Serrano - Stgo'!$B$2:$AM$672,8,0),"0")</f>
        <v>0</v>
      </c>
      <c r="H18" s="11" t="str">
        <f>IFERROR(VLOOKUP(C18,'Mercado Serrano - Stgo'!$B$2:$AM$672,9,0),"0")</f>
        <v>0</v>
      </c>
      <c r="I18" s="12" t="str">
        <f>IFERROR(VLOOKUP(C18,'Mercado Serrano - Stgo'!$B$2:$AM$672,10,0),"0")</f>
        <v>0</v>
      </c>
      <c r="J18" s="10" t="str">
        <f>IFERROR(VLOOKUP(C18,'Mercado Serrano - Stgo'!$B$2:$AM$672,11,0),"0")</f>
        <v>0</v>
      </c>
      <c r="K18" s="10" t="str">
        <f>IFERROR(VLOOKUP(C18,'Mercado Serrano - Stgo'!$B$2:$AM$672,12,0),"0")</f>
        <v>0</v>
      </c>
      <c r="L18" s="11" t="str">
        <f>IFERROR(VLOOKUP(C18,'Mercado Serrano - Stgo'!$B$2:$AM$672,13,0),"0")</f>
        <v>0</v>
      </c>
      <c r="M18" s="16" t="str">
        <f>IFERROR(VLOOKUP(C18,'Mercado Serrano - Stgo'!$B$2:$AM$672,14,0),"0")</f>
        <v>0</v>
      </c>
      <c r="N18" s="11">
        <f t="shared" si="12"/>
        <v>0</v>
      </c>
      <c r="O18" s="13">
        <f t="shared" si="13"/>
        <v>1</v>
      </c>
      <c r="P18" s="13" t="str">
        <f>IFERROR(VLOOKUP(C18,'Mercado Serrano - Stgo'!$B$2:$AM$672,16,0),"0")</f>
        <v>0</v>
      </c>
      <c r="Q18" s="13" t="str">
        <f>IFERROR(VLOOKUP(C18,'Mercado Serrano - Stgo'!$B$2:$AM$672,20,0),"0")</f>
        <v>0</v>
      </c>
      <c r="R18" s="24">
        <f ca="1">M18*Q18*VLOOKUP(TODAY(),'UF HOY'!$A$2:$B$36,2,0)</f>
        <v>0</v>
      </c>
      <c r="S18" s="14" t="str">
        <f>IFERROR(VLOOKUP(C18,'Mercado Serrano - Stgo'!$B$2:$AM$672,23,0),"0")</f>
        <v>0</v>
      </c>
      <c r="T18" s="15" t="e">
        <f t="shared" ca="1" si="14"/>
        <v>#DIV/0!</v>
      </c>
      <c r="U18" s="15" t="str">
        <f>IFERROR(VLOOKUP(C18,'Mercado Serrano - Stgo'!$B$2:$AM$672,27,0),"0")</f>
        <v>0</v>
      </c>
    </row>
    <row r="19" spans="2:21" x14ac:dyDescent="0.35">
      <c r="B19" s="65" t="s">
        <v>344</v>
      </c>
      <c r="C19" s="10">
        <v>1106</v>
      </c>
      <c r="D19" s="10" t="str">
        <f>IFERROR(VLOOKUP(C19,'Atelier - Ñuñoa'!$B$2:$AM$559,3,0),"0")</f>
        <v>1D+1B</v>
      </c>
      <c r="E19" s="10" t="str">
        <f>IFERROR(VLOOKUP(C19,'Atelier - Ñuñoa'!$B$2:$AM$559,2,0),"0")</f>
        <v>Sur</v>
      </c>
      <c r="F19" s="10">
        <f>IFERROR(VLOOKUP(C19,'Atelier - Ñuñoa'!$B$2:$AM$559,4,0),"0")</f>
        <v>0</v>
      </c>
      <c r="G19" s="30">
        <f>IFERROR(VLOOKUP(C19,'Atelier - Ñuñoa'!$B$2:$AM$559,8,0),"0")</f>
        <v>36.989999999999995</v>
      </c>
      <c r="H19" s="11">
        <f>IFERROR(VLOOKUP(C19,'Atelier - Ñuñoa'!$B$2:$AM$559,9,0),"0")</f>
        <v>4050</v>
      </c>
      <c r="I19" s="12">
        <f>IFERROR(VLOOKUP(C19,'Atelier - Ñuñoa'!$B$2:$AM$559,10,0),"0")</f>
        <v>0.02</v>
      </c>
      <c r="J19" s="10">
        <f>IFERROR(VLOOKUP(C19,'Atelier - Ñuñoa'!$B$2:$AM$559,11,0),"0")</f>
        <v>0</v>
      </c>
      <c r="K19" s="10">
        <f>IFERROR(VLOOKUP(C19,'Atelier - Ñuñoa'!$B$2:$AM$559,12,0),"0")</f>
        <v>0</v>
      </c>
      <c r="L19" s="11">
        <f>IFERROR(VLOOKUP(C19,'Atelier - Ñuñoa'!$B$2:$AM$559,13,0),"0")</f>
        <v>3572.1</v>
      </c>
      <c r="M19" s="16">
        <f>IFERROR(VLOOKUP(C19,'Atelier - Ñuñoa'!$B$2:$AM$559,14,0),"0")</f>
        <v>3969</v>
      </c>
      <c r="N19" s="11">
        <f t="shared" ref="N19" si="15">M19*O19</f>
        <v>3175.2000000000003</v>
      </c>
      <c r="O19" s="13">
        <f t="shared" ref="O19" si="16">100%-P19-Q19</f>
        <v>0.8</v>
      </c>
      <c r="P19" s="13">
        <f>IFERROR(VLOOKUP(C19,'Atelier - Ñuñoa'!$B$2:$AM$559,16,0),"0")</f>
        <v>0.1</v>
      </c>
      <c r="Q19" s="13">
        <f>IFERROR(VLOOKUP(C19,'Atelier - Ñuñoa'!$B$2:$AM$559,20,0),"0")</f>
        <v>9.9999999999999978E-2</v>
      </c>
      <c r="R19" s="24">
        <f ca="1">M19*Q19*VLOOKUP(TODAY(),'UF HOY'!$A$2:$B$36,2,0)</f>
        <v>15770400.785999998</v>
      </c>
      <c r="S19" s="14">
        <f>IFERROR(VLOOKUP(C19,'Atelier - Ñuñoa'!$B$2:$AM$559,23,0),"0")</f>
        <v>36</v>
      </c>
      <c r="T19" s="15">
        <f t="shared" ref="T19" ca="1" si="17">R19/S19</f>
        <v>438066.68849999993</v>
      </c>
      <c r="U19" s="15">
        <f>IFERROR(VLOOKUP(C19,'Atelier - Ñuñoa'!$B$2:$AM$559,27,0),"0")</f>
        <v>550000</v>
      </c>
    </row>
    <row r="20" spans="2:21" x14ac:dyDescent="0.35">
      <c r="B20" s="9"/>
      <c r="C20" s="10"/>
      <c r="D20" s="10"/>
      <c r="E20" s="10"/>
      <c r="F20" s="10"/>
      <c r="G20" s="30"/>
      <c r="H20" s="11"/>
      <c r="I20" s="12"/>
      <c r="J20" s="10"/>
      <c r="K20" s="10"/>
      <c r="L20" s="11"/>
      <c r="M20" s="16"/>
      <c r="N20" s="11"/>
      <c r="O20" s="13"/>
      <c r="P20" s="13"/>
      <c r="Q20" s="13"/>
      <c r="R20" s="24"/>
      <c r="S20" s="14"/>
      <c r="T20" s="15"/>
      <c r="U20" s="15"/>
    </row>
    <row r="21" spans="2:21" x14ac:dyDescent="0.35">
      <c r="B21" s="9"/>
      <c r="C21" s="10"/>
      <c r="D21" s="10"/>
      <c r="E21" s="10"/>
      <c r="F21" s="10"/>
      <c r="G21" s="30"/>
      <c r="H21" s="11"/>
      <c r="I21" s="12"/>
      <c r="J21" s="10"/>
      <c r="K21" s="10"/>
      <c r="L21" s="11"/>
      <c r="M21" s="16"/>
      <c r="N21" s="11"/>
      <c r="O21" s="13"/>
      <c r="P21" s="13"/>
      <c r="Q21" s="13"/>
      <c r="R21" s="24"/>
      <c r="S21" s="14"/>
      <c r="T21" s="15"/>
      <c r="U21" s="15"/>
    </row>
    <row r="22" spans="2:21" x14ac:dyDescent="0.35">
      <c r="B22" s="9"/>
      <c r="C22" s="10"/>
      <c r="D22" s="10"/>
      <c r="E22" s="10"/>
      <c r="F22" s="10"/>
      <c r="G22" s="30"/>
      <c r="H22" s="11"/>
      <c r="I22" s="12"/>
      <c r="J22" s="10"/>
      <c r="K22" s="10"/>
      <c r="L22" s="11"/>
      <c r="M22" s="16"/>
      <c r="N22" s="11"/>
      <c r="O22" s="13"/>
      <c r="P22" s="13"/>
      <c r="Q22" s="13"/>
      <c r="R22" s="24"/>
      <c r="S22" s="14"/>
      <c r="T22" s="15"/>
      <c r="U22" s="15"/>
    </row>
    <row r="23" spans="2:21" x14ac:dyDescent="0.35">
      <c r="B23" s="9"/>
      <c r="C23" s="10"/>
      <c r="D23" s="10"/>
      <c r="E23" s="10"/>
      <c r="F23" s="10"/>
      <c r="G23" s="30"/>
      <c r="H23" s="11"/>
      <c r="I23" s="12"/>
      <c r="J23" s="10"/>
      <c r="K23" s="10"/>
      <c r="L23" s="11"/>
      <c r="M23" s="16"/>
      <c r="N23" s="11"/>
      <c r="O23" s="13"/>
      <c r="P23" s="13"/>
      <c r="Q23" s="13"/>
      <c r="R23" s="24"/>
      <c r="S23" s="14"/>
      <c r="T23" s="15"/>
      <c r="U23" s="15"/>
    </row>
    <row r="24" spans="2:21" x14ac:dyDescent="0.35">
      <c r="B24" s="9"/>
      <c r="C24" s="10"/>
      <c r="D24" s="10"/>
      <c r="E24" s="10"/>
      <c r="F24" s="10"/>
      <c r="G24" s="30"/>
      <c r="H24" s="11"/>
      <c r="I24" s="12"/>
      <c r="J24" s="10"/>
      <c r="K24" s="10"/>
      <c r="L24" s="11"/>
      <c r="M24" s="16"/>
      <c r="N24" s="11"/>
      <c r="O24" s="13"/>
      <c r="P24" s="13"/>
      <c r="Q24" s="13"/>
      <c r="R24" s="24"/>
      <c r="S24" s="14"/>
      <c r="T24" s="15"/>
      <c r="U24" s="15"/>
    </row>
    <row r="25" spans="2:21" x14ac:dyDescent="0.35">
      <c r="B25" s="36" t="s">
        <v>106</v>
      </c>
      <c r="C25" s="27">
        <f>100000*(COUNTIF(C4:C8,"**")+COUNTIF(C4:C8,"&gt;0"))</f>
        <v>100000</v>
      </c>
      <c r="D25" s="36"/>
    </row>
    <row r="26" spans="2:21" x14ac:dyDescent="0.35">
      <c r="B26" s="36" t="s">
        <v>132</v>
      </c>
      <c r="C26" s="27">
        <f>'Escenario de Inversion'!D17</f>
        <v>0</v>
      </c>
      <c r="D26" s="19"/>
    </row>
    <row r="27" spans="2:21" x14ac:dyDescent="0.35">
      <c r="B27" s="36"/>
      <c r="C27" s="36"/>
      <c r="D27" s="36"/>
    </row>
    <row r="28" spans="2:21" x14ac:dyDescent="0.35">
      <c r="B28" s="36"/>
      <c r="C28" s="36"/>
      <c r="D28" s="36"/>
      <c r="G28" s="26"/>
    </row>
    <row r="29" spans="2:21" x14ac:dyDescent="0.35">
      <c r="B29" s="70" t="str">
        <f>VLOOKUP(B4,Datos!I1:O9,7,0)</f>
        <v>Opción 1: 36 Cuotas (Sólo TOKU)</v>
      </c>
      <c r="C29" s="36"/>
      <c r="D29" s="36"/>
    </row>
    <row r="30" spans="2:21" x14ac:dyDescent="0.35">
      <c r="B30" s="36" t="s">
        <v>76</v>
      </c>
      <c r="C30" s="36" t="s">
        <v>133</v>
      </c>
      <c r="D30" s="36" t="s">
        <v>78</v>
      </c>
    </row>
    <row r="31" spans="2:21" x14ac:dyDescent="0.35">
      <c r="B31" s="36" t="str">
        <f>VLOOKUP(B4,Datos!I1:P9,8,0)</f>
        <v>36 Cuotas</v>
      </c>
      <c r="C31" s="27">
        <f ca="1">IF(((SUM(R4:R9)-C25-C26)/VLOOKUP(B4,Datos!I1:K9,3,0))&gt;0,((SUM(R4:R9)-C25-C26)/VLOOKUP(B4,Datos!I1:K9,3,0)),0)</f>
        <v>435288.91072222218</v>
      </c>
      <c r="D31" s="27">
        <f ca="1">C31*VLOOKUP(B4,Datos!I1:K9,3,0)</f>
        <v>15670400.785999998</v>
      </c>
    </row>
    <row r="32" spans="2:21" x14ac:dyDescent="0.35">
      <c r="B32" s="36"/>
      <c r="C32" s="27"/>
      <c r="D32" s="27"/>
    </row>
    <row r="33" spans="2:7" x14ac:dyDescent="0.35">
      <c r="B33" s="36"/>
      <c r="C33" s="27"/>
      <c r="D33" s="27"/>
    </row>
    <row r="34" spans="2:7" x14ac:dyDescent="0.35">
      <c r="B34" s="70" t="str">
        <f>VLOOKUP(B4,Datos!I1:R9,10,0)</f>
        <v>Opción 2: 72 Cuotas (TOKU + TC)</v>
      </c>
      <c r="C34" s="36"/>
      <c r="D34" s="36"/>
      <c r="E34" s="43"/>
    </row>
    <row r="35" spans="2:7" x14ac:dyDescent="0.35">
      <c r="B35" s="36" t="s">
        <v>76</v>
      </c>
      <c r="C35" s="27" t="s">
        <v>133</v>
      </c>
      <c r="D35" s="27" t="s">
        <v>78</v>
      </c>
    </row>
    <row r="36" spans="2:7" x14ac:dyDescent="0.35">
      <c r="B36" s="36" t="str">
        <f>VLOOKUP(B4,Datos!I1:Q9,9,0)</f>
        <v>36 Cuotas</v>
      </c>
      <c r="C36" s="27">
        <f ca="1">IF(((SUM(SIMULACIÓN!R4:R8)-D37-C25-C26)/G4)&gt;0,((SUM(SIMULACIÓN!R4:R8)-D37-C25-C26)/VLOOKUP(B4,Datos!I1:K9,3,0)),0)</f>
        <v>303868.90417222219</v>
      </c>
      <c r="D36" s="27">
        <f ca="1">C36*VLOOKUP(B4,Datos!I1:K9,3,0)</f>
        <v>10939280.550199999</v>
      </c>
    </row>
    <row r="37" spans="2:7" x14ac:dyDescent="0.35">
      <c r="B37" s="36" t="str">
        <f>VLOOKUP(B4,Datos!I1:S9,11,0)</f>
        <v>36 Cuotas TC</v>
      </c>
      <c r="C37" s="27">
        <f ca="1">IF((SUM(M4:M8)*'Escenario de Inversion'!D22*VLOOKUP(TODAY(),'UF HOY'!$A$2:$B$33,2,0))&gt;0,(SUM(M4:M8)*'Escenario de Inversion'!D22*VLOOKUP(TODAY(),'UF HOY'!$A$2:$B$33,2,0)),0)/VLOOKUP(B4,Datos!I1:N9,6,0)</f>
        <v>131420.00654999999</v>
      </c>
      <c r="D37" s="27">
        <f ca="1">C37*VLOOKUP(B4,Datos!I1:N9,6,0)</f>
        <v>4731120.2357999999</v>
      </c>
      <c r="G37" s="26"/>
    </row>
    <row r="38" spans="2:7" x14ac:dyDescent="0.35">
      <c r="D38" s="27">
        <f ca="1">D36+D37</f>
        <v>15670400.785999998</v>
      </c>
    </row>
  </sheetData>
  <mergeCells count="2">
    <mergeCell ref="B10:U10"/>
    <mergeCell ref="B1:E2"/>
  </mergeCells>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6"/>
  <dimension ref="A1:I33"/>
  <sheetViews>
    <sheetView zoomScale="80" zoomScaleNormal="80" zoomScalePageLayoutView="90" workbookViewId="0">
      <selection activeCell="A2" sqref="A2:B33"/>
    </sheetView>
  </sheetViews>
  <sheetFormatPr baseColWidth="10" defaultColWidth="11" defaultRowHeight="15.5" x14ac:dyDescent="0.35"/>
  <cols>
    <col min="1" max="1" width="16" style="1" customWidth="1"/>
    <col min="2" max="3" width="11" style="1"/>
    <col min="4" max="4" width="14.08203125" style="1" bestFit="1" customWidth="1"/>
    <col min="5" max="7" width="11" style="1"/>
    <col min="8" max="8" width="13.6640625" style="1" bestFit="1" customWidth="1"/>
    <col min="9" max="9" width="15.6640625" style="1" bestFit="1" customWidth="1"/>
    <col min="10" max="10" width="20.58203125" style="1" bestFit="1" customWidth="1"/>
    <col min="11" max="11" width="22" style="1" bestFit="1" customWidth="1"/>
    <col min="12" max="12" width="14.08203125" style="1" bestFit="1" customWidth="1"/>
    <col min="13" max="13" width="14.6640625" style="1" bestFit="1" customWidth="1"/>
    <col min="14" max="14" width="11" style="1"/>
    <col min="15" max="15" width="15.1640625" style="1" bestFit="1" customWidth="1"/>
    <col min="16" max="16" width="8.9140625" style="1" bestFit="1" customWidth="1"/>
    <col min="17" max="17" width="33" style="1" bestFit="1" customWidth="1"/>
    <col min="18" max="18" width="15.1640625" style="1" bestFit="1" customWidth="1"/>
    <col min="19" max="16384" width="11" style="1"/>
  </cols>
  <sheetData>
    <row r="1" spans="1:9" ht="16" thickBot="1" x14ac:dyDescent="0.4">
      <c r="A1" s="1" t="s">
        <v>134</v>
      </c>
    </row>
    <row r="2" spans="1:9" ht="16" thickBot="1" x14ac:dyDescent="0.4">
      <c r="A2" s="2">
        <v>46062</v>
      </c>
      <c r="B2" s="31">
        <v>39682.99</v>
      </c>
    </row>
    <row r="3" spans="1:9" ht="16" thickBot="1" x14ac:dyDescent="0.4">
      <c r="A3" s="2">
        <v>46063</v>
      </c>
      <c r="B3" s="31">
        <v>39688.65</v>
      </c>
      <c r="G3" s="21"/>
    </row>
    <row r="4" spans="1:9" ht="16" thickBot="1" x14ac:dyDescent="0.4">
      <c r="A4" s="2">
        <v>46064</v>
      </c>
      <c r="B4" s="31">
        <v>39694.31</v>
      </c>
      <c r="G4" s="22"/>
    </row>
    <row r="5" spans="1:9" ht="16" thickBot="1" x14ac:dyDescent="0.4">
      <c r="A5" s="2">
        <v>46065</v>
      </c>
      <c r="B5" s="31">
        <v>39699.97</v>
      </c>
      <c r="G5" s="22"/>
    </row>
    <row r="6" spans="1:9" ht="16" thickBot="1" x14ac:dyDescent="0.4">
      <c r="A6" s="2">
        <v>46066</v>
      </c>
      <c r="B6" s="31">
        <v>39705.629999999997</v>
      </c>
      <c r="G6" s="22"/>
    </row>
    <row r="7" spans="1:9" ht="16" thickBot="1" x14ac:dyDescent="0.4">
      <c r="A7" s="2">
        <v>46067</v>
      </c>
      <c r="B7" s="31">
        <v>39711.29</v>
      </c>
      <c r="G7" s="22"/>
    </row>
    <row r="8" spans="1:9" ht="16" thickBot="1" x14ac:dyDescent="0.4">
      <c r="A8" s="2">
        <v>46068</v>
      </c>
      <c r="B8" s="31">
        <v>39716.949999999997</v>
      </c>
      <c r="G8" s="22"/>
    </row>
    <row r="9" spans="1:9" ht="16" thickBot="1" x14ac:dyDescent="0.4">
      <c r="A9" s="2">
        <v>46069</v>
      </c>
      <c r="B9" s="31">
        <v>39722.61</v>
      </c>
      <c r="G9" s="22"/>
      <c r="H9" s="22"/>
    </row>
    <row r="10" spans="1:9" ht="16" thickBot="1" x14ac:dyDescent="0.4">
      <c r="A10" s="2">
        <v>46070</v>
      </c>
      <c r="B10" s="31">
        <v>39728.28</v>
      </c>
      <c r="G10" s="22"/>
      <c r="H10" s="23"/>
      <c r="I10" s="401"/>
    </row>
    <row r="11" spans="1:9" ht="16" thickBot="1" x14ac:dyDescent="0.4">
      <c r="A11" s="2">
        <v>46071</v>
      </c>
      <c r="B11" s="31">
        <v>39733.94</v>
      </c>
      <c r="G11" s="23"/>
      <c r="I11" s="401"/>
    </row>
    <row r="12" spans="1:9" ht="16" thickBot="1" x14ac:dyDescent="0.4">
      <c r="A12" s="2">
        <v>46072</v>
      </c>
      <c r="B12" s="31">
        <v>39739.61</v>
      </c>
      <c r="I12" s="401"/>
    </row>
    <row r="13" spans="1:9" ht="16" thickBot="1" x14ac:dyDescent="0.4">
      <c r="A13" s="2">
        <v>46073</v>
      </c>
      <c r="B13" s="31">
        <v>39745.269999999997</v>
      </c>
      <c r="H13" s="22"/>
      <c r="I13" s="401"/>
    </row>
    <row r="14" spans="1:9" ht="16" thickBot="1" x14ac:dyDescent="0.4">
      <c r="A14" s="2">
        <v>46074</v>
      </c>
      <c r="B14" s="31">
        <v>39750.94</v>
      </c>
      <c r="G14" s="22"/>
    </row>
    <row r="15" spans="1:9" ht="16" thickBot="1" x14ac:dyDescent="0.4">
      <c r="A15" s="2">
        <v>46075</v>
      </c>
      <c r="B15" s="31">
        <v>39756.61</v>
      </c>
    </row>
    <row r="16" spans="1:9" ht="16" thickBot="1" x14ac:dyDescent="0.4">
      <c r="A16" s="2">
        <v>46076</v>
      </c>
      <c r="B16" s="31">
        <v>39762.28</v>
      </c>
    </row>
    <row r="17" spans="1:2" ht="16" thickBot="1" x14ac:dyDescent="0.4">
      <c r="A17" s="2">
        <v>46077</v>
      </c>
      <c r="B17" s="31">
        <v>39767.949999999997</v>
      </c>
    </row>
    <row r="18" spans="1:2" ht="16" thickBot="1" x14ac:dyDescent="0.4">
      <c r="A18" s="2">
        <v>46078</v>
      </c>
      <c r="B18" s="31">
        <v>39773.620000000003</v>
      </c>
    </row>
    <row r="19" spans="1:2" ht="16" thickBot="1" x14ac:dyDescent="0.4">
      <c r="A19" s="2">
        <v>46079</v>
      </c>
      <c r="B19" s="31">
        <v>39779.29</v>
      </c>
    </row>
    <row r="20" spans="1:2" ht="16" thickBot="1" x14ac:dyDescent="0.4">
      <c r="A20" s="2">
        <v>46080</v>
      </c>
      <c r="B20" s="31">
        <v>39784.959999999999</v>
      </c>
    </row>
    <row r="21" spans="1:2" ht="16" thickBot="1" x14ac:dyDescent="0.4">
      <c r="A21" s="2">
        <v>46081</v>
      </c>
      <c r="B21" s="31">
        <v>39790.629999999997</v>
      </c>
    </row>
    <row r="22" spans="1:2" ht="16" thickBot="1" x14ac:dyDescent="0.4">
      <c r="A22" s="2">
        <v>46082</v>
      </c>
      <c r="B22" s="31">
        <v>39796.31</v>
      </c>
    </row>
    <row r="23" spans="1:2" ht="16" thickBot="1" x14ac:dyDescent="0.4">
      <c r="A23" s="2">
        <v>46083</v>
      </c>
      <c r="B23" s="31">
        <v>39801.980000000003</v>
      </c>
    </row>
    <row r="24" spans="1:2" ht="16" thickBot="1" x14ac:dyDescent="0.4">
      <c r="A24" s="2">
        <v>46084</v>
      </c>
      <c r="B24" s="31">
        <v>39807.65</v>
      </c>
    </row>
    <row r="25" spans="1:2" ht="16" thickBot="1" x14ac:dyDescent="0.4">
      <c r="A25" s="2">
        <v>46085</v>
      </c>
      <c r="B25" s="31">
        <v>39813.33</v>
      </c>
    </row>
    <row r="26" spans="1:2" ht="16" thickBot="1" x14ac:dyDescent="0.4">
      <c r="A26" s="2">
        <v>46086</v>
      </c>
      <c r="B26" s="31">
        <v>39819.01</v>
      </c>
    </row>
    <row r="27" spans="1:2" ht="16" thickBot="1" x14ac:dyDescent="0.4">
      <c r="A27" s="2">
        <v>46087</v>
      </c>
      <c r="B27" s="31">
        <v>39824.68</v>
      </c>
    </row>
    <row r="28" spans="1:2" ht="16" thickBot="1" x14ac:dyDescent="0.4">
      <c r="A28" s="2">
        <v>46088</v>
      </c>
      <c r="B28" s="31">
        <v>39830.36</v>
      </c>
    </row>
    <row r="29" spans="1:2" ht="16" thickBot="1" x14ac:dyDescent="0.4">
      <c r="A29" s="2">
        <v>46089</v>
      </c>
      <c r="B29" s="31">
        <v>39836.04</v>
      </c>
    </row>
    <row r="30" spans="1:2" ht="16" thickBot="1" x14ac:dyDescent="0.4">
      <c r="A30" s="2">
        <v>46090</v>
      </c>
      <c r="B30" s="31">
        <v>39841.72</v>
      </c>
    </row>
    <row r="31" spans="1:2" ht="16" thickBot="1" x14ac:dyDescent="0.4">
      <c r="A31" s="2">
        <v>46091</v>
      </c>
      <c r="B31" s="31">
        <v>39841.72</v>
      </c>
    </row>
    <row r="32" spans="1:2" ht="16" thickBot="1" x14ac:dyDescent="0.4">
      <c r="A32" s="2">
        <v>46092</v>
      </c>
      <c r="B32" s="31">
        <v>39841.72</v>
      </c>
    </row>
    <row r="33" spans="1:2" ht="16" thickBot="1" x14ac:dyDescent="0.4">
      <c r="A33" s="2">
        <v>46093</v>
      </c>
      <c r="B33" s="31">
        <v>39841.72</v>
      </c>
    </row>
  </sheetData>
  <mergeCells count="1">
    <mergeCell ref="I10:I13"/>
  </mergeCells>
  <phoneticPr fontId="16" type="noConversion"/>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Escenario de Inversion</vt:lpstr>
      <vt:lpstr>Políticas</vt:lpstr>
      <vt:lpstr>Promos</vt:lpstr>
      <vt:lpstr>Atelier - Ñuñoa</vt:lpstr>
      <vt:lpstr>Mercado Serrano - Stgo</vt:lpstr>
      <vt:lpstr>Datos</vt:lpstr>
      <vt:lpstr>Plaza Lira - Stgo Centro</vt:lpstr>
      <vt:lpstr>Seminario 2 - Ñuñoa</vt:lpstr>
      <vt:lpstr>San Francisco - Stgo Centro</vt:lpstr>
      <vt:lpstr>Hoja1</vt:lpstr>
      <vt:lpstr>SIMULACIÓN</vt:lpstr>
      <vt:lpstr>UF HOY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Raimundo Cobo</cp:lastModifiedBy>
  <cp:revision/>
  <dcterms:created xsi:type="dcterms:W3CDTF">2018-09-25T13:47:13Z</dcterms:created>
  <dcterms:modified xsi:type="dcterms:W3CDTF">2026-02-18T19:48:17Z</dcterms:modified>
  <cp:category/>
  <cp:contentStatus/>
</cp:coreProperties>
</file>